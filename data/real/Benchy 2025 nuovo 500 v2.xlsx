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ocumenti Alessandro\Gdonews\Benchmark\"/>
    </mc:Choice>
  </mc:AlternateContent>
  <xr:revisionPtr revIDLastSave="0" documentId="13_ncr:1_{9F08028D-9573-41E8-9F1F-64BCF5BF34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sultati" sheetId="1" r:id="rId1"/>
    <sheet name="calcoli" sheetId="2" r:id="rId2"/>
    <sheet name="export" sheetId="3" r:id="rId3"/>
    <sheet name="test" sheetId="5" r:id="rId4"/>
    <sheet name="ateco" sheetId="4" r:id="rId5"/>
  </sheets>
  <definedNames>
    <definedName name="_xlnm._FilterDatabase" localSheetId="1" hidden="1">calcoli!$A$1:$CA$496</definedName>
    <definedName name="_xlnm._FilterDatabase" localSheetId="2" hidden="1">export!$A$1:$CA$282</definedName>
    <definedName name="_xlnm._FilterDatabase" localSheetId="0" hidden="1">Risultati!$A$1:$AO$495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N35" i="2" l="1"/>
  <c r="BN103" i="2"/>
  <c r="BN104" i="2"/>
  <c r="BN105" i="2"/>
  <c r="BN106" i="2"/>
  <c r="BN107" i="2"/>
  <c r="BN108" i="2"/>
  <c r="BN109" i="2"/>
  <c r="BN110" i="2"/>
  <c r="BN111" i="2"/>
  <c r="BN112" i="2"/>
  <c r="BN113" i="2"/>
  <c r="BN114" i="2"/>
  <c r="BN115" i="2"/>
  <c r="BN116" i="2"/>
  <c r="BN117" i="2"/>
  <c r="BN118" i="2"/>
  <c r="BN119" i="2"/>
  <c r="BN120" i="2"/>
  <c r="BN121" i="2"/>
  <c r="BN122" i="2"/>
  <c r="BN123" i="2"/>
  <c r="BN124" i="2"/>
  <c r="BN125" i="2"/>
  <c r="BN126" i="2"/>
  <c r="BN127" i="2"/>
  <c r="BN128" i="2"/>
  <c r="BN129" i="2"/>
  <c r="BN130" i="2"/>
  <c r="BN131" i="2"/>
  <c r="BN132" i="2"/>
  <c r="BN133" i="2"/>
  <c r="BN134" i="2"/>
  <c r="BN135" i="2"/>
  <c r="BN136" i="2"/>
  <c r="BN137" i="2"/>
  <c r="BN138" i="2"/>
  <c r="BN139" i="2"/>
  <c r="BN140" i="2"/>
  <c r="BN141" i="2"/>
  <c r="BN142" i="2"/>
  <c r="BN143" i="2"/>
  <c r="BN144" i="2"/>
  <c r="BN145" i="2"/>
  <c r="BN146" i="2"/>
  <c r="BN147" i="2"/>
  <c r="BN148" i="2"/>
  <c r="BN149" i="2"/>
  <c r="BN150" i="2"/>
  <c r="BN151" i="2"/>
  <c r="BN152" i="2"/>
  <c r="BN153" i="2"/>
  <c r="BN154" i="2"/>
  <c r="BN155" i="2"/>
  <c r="BN156" i="2"/>
  <c r="BN157" i="2"/>
  <c r="BN158" i="2"/>
  <c r="BN159" i="2"/>
  <c r="BN160" i="2"/>
  <c r="BN161" i="2"/>
  <c r="BN162" i="2"/>
  <c r="BN163" i="2"/>
  <c r="BN164" i="2"/>
  <c r="BN165" i="2"/>
  <c r="BN166" i="2"/>
  <c r="BN167" i="2"/>
  <c r="BN168" i="2"/>
  <c r="BN169" i="2"/>
  <c r="BN170" i="2"/>
  <c r="BN171" i="2"/>
  <c r="BN172" i="2"/>
  <c r="BN173" i="2"/>
  <c r="BN174" i="2"/>
  <c r="BN175" i="2"/>
  <c r="BN176" i="2"/>
  <c r="BN177" i="2"/>
  <c r="BN178" i="2"/>
  <c r="BN179" i="2"/>
  <c r="BN180" i="2"/>
  <c r="BN181" i="2"/>
  <c r="BN182" i="2"/>
  <c r="BN183" i="2"/>
  <c r="BN184" i="2"/>
  <c r="BN185" i="2"/>
  <c r="BN186" i="2"/>
  <c r="BN187" i="2"/>
  <c r="BN188" i="2"/>
  <c r="BN189" i="2"/>
  <c r="BN190" i="2"/>
  <c r="BN191" i="2"/>
  <c r="BN192" i="2"/>
  <c r="BN193" i="2"/>
  <c r="BN194" i="2"/>
  <c r="BN195" i="2"/>
  <c r="BN196" i="2"/>
  <c r="BN197" i="2"/>
  <c r="BN198" i="2"/>
  <c r="BN199" i="2"/>
  <c r="BN200" i="2"/>
  <c r="BN201" i="2"/>
  <c r="BN202" i="2"/>
  <c r="BN203" i="2"/>
  <c r="BN204" i="2"/>
  <c r="BN205" i="2"/>
  <c r="BN206" i="2"/>
  <c r="BN207" i="2"/>
  <c r="BN208" i="2"/>
  <c r="BN209" i="2"/>
  <c r="BN210" i="2"/>
  <c r="BN211" i="2"/>
  <c r="BN212" i="2"/>
  <c r="BN213" i="2"/>
  <c r="BN214" i="2"/>
  <c r="BN215" i="2"/>
  <c r="BN216" i="2"/>
  <c r="BN217" i="2"/>
  <c r="BN218" i="2"/>
  <c r="BN219" i="2"/>
  <c r="BN220" i="2"/>
  <c r="BN221" i="2"/>
  <c r="BN222" i="2"/>
  <c r="BN223" i="2"/>
  <c r="BN224" i="2"/>
  <c r="BN225" i="2"/>
  <c r="BN226" i="2"/>
  <c r="BN227" i="2"/>
  <c r="BN228" i="2"/>
  <c r="BN229" i="2"/>
  <c r="BN230" i="2"/>
  <c r="BN231" i="2"/>
  <c r="BN232" i="2"/>
  <c r="BN233" i="2"/>
  <c r="BN234" i="2"/>
  <c r="BN235" i="2"/>
  <c r="BN236" i="2"/>
  <c r="BN237" i="2"/>
  <c r="BN238" i="2"/>
  <c r="BN239" i="2"/>
  <c r="BN240" i="2"/>
  <c r="BN241" i="2"/>
  <c r="BN242" i="2"/>
  <c r="BN243" i="2"/>
  <c r="BN244" i="2"/>
  <c r="BN245" i="2"/>
  <c r="BN246" i="2"/>
  <c r="BN247" i="2"/>
  <c r="BN248" i="2"/>
  <c r="BN249" i="2"/>
  <c r="BN250" i="2"/>
  <c r="BN251" i="2"/>
  <c r="BN252" i="2"/>
  <c r="BN253" i="2"/>
  <c r="BN254" i="2"/>
  <c r="BN255" i="2"/>
  <c r="BN256" i="2"/>
  <c r="BN257" i="2"/>
  <c r="BN258" i="2"/>
  <c r="BN259" i="2"/>
  <c r="BN260" i="2"/>
  <c r="BN261" i="2"/>
  <c r="BN262" i="2"/>
  <c r="BN263" i="2"/>
  <c r="BN264" i="2"/>
  <c r="BN265" i="2"/>
  <c r="BN266" i="2"/>
  <c r="BN267" i="2"/>
  <c r="BN268" i="2"/>
  <c r="BN269" i="2"/>
  <c r="BN270" i="2"/>
  <c r="BN271" i="2"/>
  <c r="BN272" i="2"/>
  <c r="BN273" i="2"/>
  <c r="BN274" i="2"/>
  <c r="BN275" i="2"/>
  <c r="BN276" i="2"/>
  <c r="BN277" i="2"/>
  <c r="BN278" i="2"/>
  <c r="BN279" i="2"/>
  <c r="BN280" i="2"/>
  <c r="BN281" i="2"/>
  <c r="BN282" i="2"/>
  <c r="BN283" i="2"/>
  <c r="BN284" i="2"/>
  <c r="BN285" i="2"/>
  <c r="BN286" i="2"/>
  <c r="BN287" i="2"/>
  <c r="BN288" i="2"/>
  <c r="BN289" i="2"/>
  <c r="BN290" i="2"/>
  <c r="BN291" i="2"/>
  <c r="BN292" i="2"/>
  <c r="BN293" i="2"/>
  <c r="BN294" i="2"/>
  <c r="BN295" i="2"/>
  <c r="BN296" i="2"/>
  <c r="BN297" i="2"/>
  <c r="BN298" i="2"/>
  <c r="BN299" i="2"/>
  <c r="BN300" i="2"/>
  <c r="BN301" i="2"/>
  <c r="BN302" i="2"/>
  <c r="BN303" i="2"/>
  <c r="BN304" i="2"/>
  <c r="BN305" i="2"/>
  <c r="BN306" i="2"/>
  <c r="BN307" i="2"/>
  <c r="BN308" i="2"/>
  <c r="BN309" i="2"/>
  <c r="BN310" i="2"/>
  <c r="BN311" i="2"/>
  <c r="BN312" i="2"/>
  <c r="BN313" i="2"/>
  <c r="BN314" i="2"/>
  <c r="BN315" i="2"/>
  <c r="BN316" i="2"/>
  <c r="BN317" i="2"/>
  <c r="BN318" i="2"/>
  <c r="BN319" i="2"/>
  <c r="BN320" i="2"/>
  <c r="BN321" i="2"/>
  <c r="BN322" i="2"/>
  <c r="BN323" i="2"/>
  <c r="BN324" i="2"/>
  <c r="BN325" i="2"/>
  <c r="BN326" i="2"/>
  <c r="BN327" i="2"/>
  <c r="BN328" i="2"/>
  <c r="BN329" i="2"/>
  <c r="BN330" i="2"/>
  <c r="BN331" i="2"/>
  <c r="BN332" i="2"/>
  <c r="BN333" i="2"/>
  <c r="BN334" i="2"/>
  <c r="BN335" i="2"/>
  <c r="BN336" i="2"/>
  <c r="BN337" i="2"/>
  <c r="BN338" i="2"/>
  <c r="BN339" i="2"/>
  <c r="BN340" i="2"/>
  <c r="BN341" i="2"/>
  <c r="BN342" i="2"/>
  <c r="BN343" i="2"/>
  <c r="BN344" i="2"/>
  <c r="BN345" i="2"/>
  <c r="BN346" i="2"/>
  <c r="BN347" i="2"/>
  <c r="BN348" i="2"/>
  <c r="BN349" i="2"/>
  <c r="BN350" i="2"/>
  <c r="BN351" i="2"/>
  <c r="BN352" i="2"/>
  <c r="BN353" i="2"/>
  <c r="BN354" i="2"/>
  <c r="BN355" i="2"/>
  <c r="BN356" i="2"/>
  <c r="BN357" i="2"/>
  <c r="BN358" i="2"/>
  <c r="BN359" i="2"/>
  <c r="BN360" i="2"/>
  <c r="BN361" i="2"/>
  <c r="BN362" i="2"/>
  <c r="BN363" i="2"/>
  <c r="BN364" i="2"/>
  <c r="BN365" i="2"/>
  <c r="BN366" i="2"/>
  <c r="BN367" i="2"/>
  <c r="BN368" i="2"/>
  <c r="BN369" i="2"/>
  <c r="BN370" i="2"/>
  <c r="BN371" i="2"/>
  <c r="BN372" i="2"/>
  <c r="BN373" i="2"/>
  <c r="BN374" i="2"/>
  <c r="BN375" i="2"/>
  <c r="BN376" i="2"/>
  <c r="BN377" i="2"/>
  <c r="BN378" i="2"/>
  <c r="BN379" i="2"/>
  <c r="BN380" i="2"/>
  <c r="BN381" i="2"/>
  <c r="BN382" i="2"/>
  <c r="BN383" i="2"/>
  <c r="BN384" i="2"/>
  <c r="BN385" i="2"/>
  <c r="BN386" i="2"/>
  <c r="BN387" i="2"/>
  <c r="BN388" i="2"/>
  <c r="BN389" i="2"/>
  <c r="BN390" i="2"/>
  <c r="BN391" i="2"/>
  <c r="BN392" i="2"/>
  <c r="BN393" i="2"/>
  <c r="BN394" i="2"/>
  <c r="BN395" i="2"/>
  <c r="BN396" i="2"/>
  <c r="BN397" i="2"/>
  <c r="BN398" i="2"/>
  <c r="BN399" i="2"/>
  <c r="BN400" i="2"/>
  <c r="BN401" i="2"/>
  <c r="BN402" i="2"/>
  <c r="BN403" i="2"/>
  <c r="BN404" i="2"/>
  <c r="BN405" i="2"/>
  <c r="BN406" i="2"/>
  <c r="BN407" i="2"/>
  <c r="BN408" i="2"/>
  <c r="BN409" i="2"/>
  <c r="BN410" i="2"/>
  <c r="BN411" i="2"/>
  <c r="BN412" i="2"/>
  <c r="BN413" i="2"/>
  <c r="BN414" i="2"/>
  <c r="BN415" i="2"/>
  <c r="BN416" i="2"/>
  <c r="BN417" i="2"/>
  <c r="BN418" i="2"/>
  <c r="BN419" i="2"/>
  <c r="BN420" i="2"/>
  <c r="BN421" i="2"/>
  <c r="BN422" i="2"/>
  <c r="BN423" i="2"/>
  <c r="BN424" i="2"/>
  <c r="BN425" i="2"/>
  <c r="BN426" i="2"/>
  <c r="BN427" i="2"/>
  <c r="BN428" i="2"/>
  <c r="BN429" i="2"/>
  <c r="BN430" i="2"/>
  <c r="BN431" i="2"/>
  <c r="BN432" i="2"/>
  <c r="BN433" i="2"/>
  <c r="BN434" i="2"/>
  <c r="BN435" i="2"/>
  <c r="BN436" i="2"/>
  <c r="BN437" i="2"/>
  <c r="BN438" i="2"/>
  <c r="BN439" i="2"/>
  <c r="BN440" i="2"/>
  <c r="BN441" i="2"/>
  <c r="BN442" i="2"/>
  <c r="BN443" i="2"/>
  <c r="BN444" i="2"/>
  <c r="BN445" i="2"/>
  <c r="BN446" i="2"/>
  <c r="BN447" i="2"/>
  <c r="BN448" i="2"/>
  <c r="BN449" i="2"/>
  <c r="BN450" i="2"/>
  <c r="BN451" i="2"/>
  <c r="BN452" i="2"/>
  <c r="BN453" i="2"/>
  <c r="BN454" i="2"/>
  <c r="BN455" i="2"/>
  <c r="BN456" i="2"/>
  <c r="BN457" i="2"/>
  <c r="BN458" i="2"/>
  <c r="BN459" i="2"/>
  <c r="BN460" i="2"/>
  <c r="BN461" i="2"/>
  <c r="BN462" i="2"/>
  <c r="BN463" i="2"/>
  <c r="BN464" i="2"/>
  <c r="BN465" i="2"/>
  <c r="BN466" i="2"/>
  <c r="BN467" i="2"/>
  <c r="BN468" i="2"/>
  <c r="BN469" i="2"/>
  <c r="BN470" i="2"/>
  <c r="BN471" i="2"/>
  <c r="BN472" i="2"/>
  <c r="BN473" i="2"/>
  <c r="BN474" i="2"/>
  <c r="BN475" i="2"/>
  <c r="BN476" i="2"/>
  <c r="BN477" i="2"/>
  <c r="BN478" i="2"/>
  <c r="BN479" i="2"/>
  <c r="BN480" i="2"/>
  <c r="BN481" i="2"/>
  <c r="BN482" i="2"/>
  <c r="BN483" i="2"/>
  <c r="BN484" i="2"/>
  <c r="BN485" i="2"/>
  <c r="BN486" i="2"/>
  <c r="BN487" i="2"/>
  <c r="BN488" i="2"/>
  <c r="BN489" i="2"/>
  <c r="BN490" i="2"/>
  <c r="BN491" i="2"/>
  <c r="BN492" i="2"/>
  <c r="BN493" i="2"/>
  <c r="BN494" i="2"/>
  <c r="BN495" i="2"/>
  <c r="BN496" i="2"/>
  <c r="BN497" i="2"/>
  <c r="BN498" i="2"/>
  <c r="BN499" i="2"/>
  <c r="BN500" i="2"/>
  <c r="BN501" i="2"/>
  <c r="BN502" i="2"/>
  <c r="BN33" i="2"/>
  <c r="BN34" i="2"/>
  <c r="BN36" i="2"/>
  <c r="BN37" i="2"/>
  <c r="BN38" i="2"/>
  <c r="BN39" i="2"/>
  <c r="BN40" i="2"/>
  <c r="BN41" i="2"/>
  <c r="BN42" i="2"/>
  <c r="BN43" i="2"/>
  <c r="BN44" i="2"/>
  <c r="BN45" i="2"/>
  <c r="BN46" i="2"/>
  <c r="BN47" i="2"/>
  <c r="BN48" i="2"/>
  <c r="BN49" i="2"/>
  <c r="BN50" i="2"/>
  <c r="BN51" i="2"/>
  <c r="BN52" i="2"/>
  <c r="BN53" i="2"/>
  <c r="BN54" i="2"/>
  <c r="BN55" i="2"/>
  <c r="BN56" i="2"/>
  <c r="BN57" i="2"/>
  <c r="BN58" i="2"/>
  <c r="BN59" i="2"/>
  <c r="BN60" i="2"/>
  <c r="BN61" i="2"/>
  <c r="BN62" i="2"/>
  <c r="BN63" i="2"/>
  <c r="BN64" i="2"/>
  <c r="BN65" i="2"/>
  <c r="BN66" i="2"/>
  <c r="BN67" i="2"/>
  <c r="BN68" i="2"/>
  <c r="BN69" i="2"/>
  <c r="BN70" i="2"/>
  <c r="BN71" i="2"/>
  <c r="BN72" i="2"/>
  <c r="BN73" i="2"/>
  <c r="BN74" i="2"/>
  <c r="BN75" i="2"/>
  <c r="BN76" i="2"/>
  <c r="BN77" i="2"/>
  <c r="BN78" i="2"/>
  <c r="BN79" i="2"/>
  <c r="BN80" i="2"/>
  <c r="BN81" i="2"/>
  <c r="BN82" i="2"/>
  <c r="BN83" i="2"/>
  <c r="BN84" i="2"/>
  <c r="BN85" i="2"/>
  <c r="BN86" i="2"/>
  <c r="BN87" i="2"/>
  <c r="BN88" i="2"/>
  <c r="BN89" i="2"/>
  <c r="BN90" i="2"/>
  <c r="BN91" i="2"/>
  <c r="BN92" i="2"/>
  <c r="BN93" i="2"/>
  <c r="BN94" i="2"/>
  <c r="BN95" i="2"/>
  <c r="BN96" i="2"/>
  <c r="BN97" i="2"/>
  <c r="BN98" i="2"/>
  <c r="BN99" i="2"/>
  <c r="BN100" i="2"/>
  <c r="BN101" i="2"/>
  <c r="BN102" i="2"/>
  <c r="BN4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" i="2"/>
  <c r="B501" i="2" l="1"/>
  <c r="C501" i="2"/>
  <c r="D501" i="2"/>
  <c r="E501" i="2"/>
  <c r="BV501" i="2" s="1"/>
  <c r="F501" i="2"/>
  <c r="G501" i="2"/>
  <c r="I501" i="2"/>
  <c r="L501" i="2"/>
  <c r="J501" i="2" s="1"/>
  <c r="O501" i="2"/>
  <c r="S501" i="2"/>
  <c r="U501" i="2"/>
  <c r="AA501" i="2"/>
  <c r="AB501" i="2"/>
  <c r="AD501" i="2"/>
  <c r="AG501" i="2"/>
  <c r="AH501" i="2"/>
  <c r="AM501" i="2"/>
  <c r="AS501" i="2"/>
  <c r="AT501" i="2"/>
  <c r="AY501" i="2"/>
  <c r="BB501" i="2"/>
  <c r="BC501" i="2"/>
  <c r="BE501" i="2"/>
  <c r="BI501" i="2"/>
  <c r="BO501" i="2" s="1"/>
  <c r="BK501" i="2"/>
  <c r="BL501" i="2"/>
  <c r="BM501" i="2"/>
  <c r="BP501" i="2"/>
  <c r="BQ501" i="2"/>
  <c r="BS501" i="2"/>
  <c r="BT501" i="2"/>
  <c r="BU501" i="2"/>
  <c r="BX501" i="2"/>
  <c r="BZ501" i="2"/>
  <c r="CB501" i="2"/>
  <c r="CD501" i="2"/>
  <c r="CF501" i="2"/>
  <c r="CH501" i="2"/>
  <c r="CL501" i="2"/>
  <c r="CN501" i="2"/>
  <c r="CP501" i="2"/>
  <c r="CR501" i="2"/>
  <c r="CT501" i="2" s="1"/>
  <c r="CV501" i="2"/>
  <c r="CZ501" i="2"/>
  <c r="DD501" i="2"/>
  <c r="DH501" i="2" s="1"/>
  <c r="DF501" i="2"/>
  <c r="DJ501" i="2"/>
  <c r="B502" i="2"/>
  <c r="C502" i="2"/>
  <c r="D502" i="2"/>
  <c r="E502" i="2"/>
  <c r="BW502" i="2" s="1"/>
  <c r="F502" i="2"/>
  <c r="G502" i="2"/>
  <c r="I502" i="2"/>
  <c r="L502" i="2"/>
  <c r="M502" i="2" s="1"/>
  <c r="O502" i="2"/>
  <c r="U502" i="2"/>
  <c r="AA502" i="2"/>
  <c r="AD502" i="2"/>
  <c r="AG502" i="2"/>
  <c r="AM502" i="2"/>
  <c r="AS502" i="2"/>
  <c r="AY502" i="2"/>
  <c r="BB502" i="2"/>
  <c r="BE502" i="2"/>
  <c r="BK502" i="2"/>
  <c r="BL502" i="2"/>
  <c r="BM502" i="2"/>
  <c r="BP502" i="2"/>
  <c r="BQ502" i="2"/>
  <c r="BS502" i="2"/>
  <c r="BT502" i="2"/>
  <c r="BU502" i="2"/>
  <c r="BX502" i="2"/>
  <c r="BZ502" i="2"/>
  <c r="CB502" i="2"/>
  <c r="CD502" i="2"/>
  <c r="CF502" i="2"/>
  <c r="CH502" i="2"/>
  <c r="CL502" i="2"/>
  <c r="CN502" i="2"/>
  <c r="CP502" i="2"/>
  <c r="CR502" i="2"/>
  <c r="CV502" i="2"/>
  <c r="CZ502" i="2"/>
  <c r="DD502" i="2"/>
  <c r="DH502" i="2" s="1"/>
  <c r="DF502" i="2"/>
  <c r="DJ502" i="2"/>
  <c r="BY501" i="2" l="1"/>
  <c r="BV502" i="2"/>
  <c r="CT502" i="2"/>
  <c r="BY502" i="2"/>
  <c r="AQ502" i="2"/>
  <c r="AN501" i="2"/>
  <c r="Y501" i="2"/>
  <c r="BW501" i="2"/>
  <c r="R501" i="2"/>
  <c r="AN502" i="2"/>
  <c r="BC502" i="2"/>
  <c r="AW501" i="2"/>
  <c r="AE501" i="2"/>
  <c r="P501" i="2"/>
  <c r="AB502" i="2"/>
  <c r="BF501" i="2"/>
  <c r="AQ501" i="2"/>
  <c r="Y502" i="2"/>
  <c r="J502" i="2"/>
  <c r="AZ502" i="2"/>
  <c r="V502" i="2"/>
  <c r="BR501" i="2"/>
  <c r="AK502" i="2"/>
  <c r="CJ502" i="2"/>
  <c r="CX502" i="2" s="1"/>
  <c r="AH502" i="2"/>
  <c r="M501" i="2"/>
  <c r="AW502" i="2"/>
  <c r="S502" i="2"/>
  <c r="BI502" i="2"/>
  <c r="AT502" i="2"/>
  <c r="AE502" i="2"/>
  <c r="R502" i="2"/>
  <c r="X502" i="2" s="1"/>
  <c r="AJ502" i="2" s="1"/>
  <c r="AP502" i="2" s="1"/>
  <c r="AZ501" i="2"/>
  <c r="AK501" i="2"/>
  <c r="V501" i="2"/>
  <c r="BF502" i="2"/>
  <c r="P502" i="2"/>
  <c r="CJ501" i="2"/>
  <c r="CX501" i="2" s="1"/>
  <c r="X501" i="2"/>
  <c r="AJ501" i="2" s="1"/>
  <c r="AP501" i="2" s="1"/>
  <c r="AV502" i="2" l="1"/>
  <c r="BH502" i="2" s="1"/>
  <c r="AV501" i="2"/>
  <c r="BH501" i="2" s="1"/>
  <c r="DG502" i="2"/>
  <c r="DA502" i="2"/>
  <c r="DM502" i="2"/>
  <c r="CE502" i="2"/>
  <c r="DI502" i="2"/>
  <c r="CU502" i="2"/>
  <c r="DK502" i="2"/>
  <c r="CI502" i="2"/>
  <c r="CW502" i="2"/>
  <c r="CY502" i="2"/>
  <c r="DE502" i="2"/>
  <c r="CG502" i="2"/>
  <c r="CC502" i="2"/>
  <c r="CM502" i="2"/>
  <c r="DL502" i="2"/>
  <c r="DB502" i="2" s="1"/>
  <c r="DC502" i="2"/>
  <c r="CO502" i="2"/>
  <c r="CS502" i="2"/>
  <c r="CQ502" i="2"/>
  <c r="CK502" i="2"/>
  <c r="CC501" i="2"/>
  <c r="CO501" i="2"/>
  <c r="CK501" i="2"/>
  <c r="CW501" i="2"/>
  <c r="DK501" i="2"/>
  <c r="CI501" i="2"/>
  <c r="CM501" i="2"/>
  <c r="CQ501" i="2"/>
  <c r="CS501" i="2"/>
  <c r="DE501" i="2"/>
  <c r="DM501" i="2"/>
  <c r="CU501" i="2"/>
  <c r="CG501" i="2"/>
  <c r="CY501" i="2"/>
  <c r="DA501" i="2"/>
  <c r="DC501" i="2"/>
  <c r="DG501" i="2"/>
  <c r="DI501" i="2"/>
  <c r="CE501" i="2"/>
  <c r="DL501" i="2"/>
  <c r="DB501" i="2" s="1"/>
  <c r="BR502" i="2"/>
  <c r="BO50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79" i="2"/>
  <c r="AS80" i="2"/>
  <c r="AS81" i="2"/>
  <c r="AS82" i="2"/>
  <c r="AS83" i="2"/>
  <c r="AS84" i="2"/>
  <c r="AS85" i="2"/>
  <c r="AS86" i="2"/>
  <c r="AS87" i="2"/>
  <c r="AS88" i="2"/>
  <c r="AS89" i="2"/>
  <c r="AS90" i="2"/>
  <c r="AS91" i="2"/>
  <c r="AS92" i="2"/>
  <c r="AS93" i="2"/>
  <c r="AS94" i="2"/>
  <c r="AS95" i="2"/>
  <c r="AS96" i="2"/>
  <c r="AS97" i="2"/>
  <c r="AS98" i="2"/>
  <c r="AS99" i="2"/>
  <c r="AS100" i="2"/>
  <c r="AS101" i="2"/>
  <c r="AS102" i="2"/>
  <c r="AS103" i="2"/>
  <c r="AS104" i="2"/>
  <c r="AS105" i="2"/>
  <c r="AS106" i="2"/>
  <c r="AS107" i="2"/>
  <c r="AS108" i="2"/>
  <c r="AS109" i="2"/>
  <c r="AS110" i="2"/>
  <c r="AS111" i="2"/>
  <c r="AS112" i="2"/>
  <c r="AS113" i="2"/>
  <c r="AS114" i="2"/>
  <c r="AS115" i="2"/>
  <c r="AS116" i="2"/>
  <c r="AS117" i="2"/>
  <c r="AS118" i="2"/>
  <c r="AS119" i="2"/>
  <c r="AS120" i="2"/>
  <c r="AS121" i="2"/>
  <c r="AS122" i="2"/>
  <c r="AS123" i="2"/>
  <c r="AS124" i="2"/>
  <c r="AS125" i="2"/>
  <c r="AS126" i="2"/>
  <c r="AS127" i="2"/>
  <c r="AS128" i="2"/>
  <c r="AS129" i="2"/>
  <c r="AS130" i="2"/>
  <c r="AS131" i="2"/>
  <c r="AS132" i="2"/>
  <c r="AS133" i="2"/>
  <c r="AS134" i="2"/>
  <c r="AS135" i="2"/>
  <c r="AS136" i="2"/>
  <c r="AS137" i="2"/>
  <c r="AS138" i="2"/>
  <c r="AS139" i="2"/>
  <c r="AS140" i="2"/>
  <c r="AS141" i="2"/>
  <c r="AS142" i="2"/>
  <c r="AS143" i="2"/>
  <c r="AS144" i="2"/>
  <c r="AS145" i="2"/>
  <c r="AS146" i="2"/>
  <c r="AS147" i="2"/>
  <c r="AS148" i="2"/>
  <c r="AS149" i="2"/>
  <c r="AS150" i="2"/>
  <c r="AS151" i="2"/>
  <c r="AS152" i="2"/>
  <c r="AS153" i="2"/>
  <c r="AS154" i="2"/>
  <c r="AS155" i="2"/>
  <c r="AS156" i="2"/>
  <c r="AS157" i="2"/>
  <c r="AS158" i="2"/>
  <c r="AS159" i="2"/>
  <c r="AS160" i="2"/>
  <c r="AS161" i="2"/>
  <c r="AS162" i="2"/>
  <c r="AS163" i="2"/>
  <c r="AS164" i="2"/>
  <c r="AS165" i="2"/>
  <c r="AS166" i="2"/>
  <c r="AS167" i="2"/>
  <c r="AS168" i="2"/>
  <c r="AS169" i="2"/>
  <c r="AS170" i="2"/>
  <c r="AS171" i="2"/>
  <c r="AS172" i="2"/>
  <c r="AS173" i="2"/>
  <c r="AS174" i="2"/>
  <c r="AS175" i="2"/>
  <c r="AS176" i="2"/>
  <c r="AS177" i="2"/>
  <c r="AS178" i="2"/>
  <c r="AS179" i="2"/>
  <c r="AS180" i="2"/>
  <c r="AS181" i="2"/>
  <c r="AS182" i="2"/>
  <c r="AS183" i="2"/>
  <c r="AS184" i="2"/>
  <c r="AS185" i="2"/>
  <c r="AS186" i="2"/>
  <c r="AS187" i="2"/>
  <c r="AS188" i="2"/>
  <c r="AS189" i="2"/>
  <c r="AS190" i="2"/>
  <c r="AS191" i="2"/>
  <c r="AS192" i="2"/>
  <c r="AS193" i="2"/>
  <c r="AS194" i="2"/>
  <c r="AS195" i="2"/>
  <c r="AS196" i="2"/>
  <c r="AS197" i="2"/>
  <c r="AS198" i="2"/>
  <c r="AS199" i="2"/>
  <c r="AS200" i="2"/>
  <c r="AS201" i="2"/>
  <c r="AS202" i="2"/>
  <c r="AS203" i="2"/>
  <c r="AS204" i="2"/>
  <c r="AS205" i="2"/>
  <c r="AS206" i="2"/>
  <c r="AS207" i="2"/>
  <c r="AS208" i="2"/>
  <c r="AS209" i="2"/>
  <c r="AS210" i="2"/>
  <c r="AS211" i="2"/>
  <c r="AS212" i="2"/>
  <c r="AS213" i="2"/>
  <c r="AS214" i="2"/>
  <c r="AS215" i="2"/>
  <c r="AS216" i="2"/>
  <c r="AS217" i="2"/>
  <c r="AS218" i="2"/>
  <c r="AS219" i="2"/>
  <c r="AS220" i="2"/>
  <c r="AS221" i="2"/>
  <c r="AS222" i="2"/>
  <c r="AS223" i="2"/>
  <c r="AS224" i="2"/>
  <c r="AS225" i="2"/>
  <c r="AS226" i="2"/>
  <c r="AS227" i="2"/>
  <c r="AS228" i="2"/>
  <c r="AS229" i="2"/>
  <c r="AS230" i="2"/>
  <c r="AS231" i="2"/>
  <c r="AS232" i="2"/>
  <c r="AS233" i="2"/>
  <c r="AS234" i="2"/>
  <c r="AS235" i="2"/>
  <c r="AS236" i="2"/>
  <c r="AS237" i="2"/>
  <c r="AS238" i="2"/>
  <c r="AS239" i="2"/>
  <c r="AS240" i="2"/>
  <c r="AS241" i="2"/>
  <c r="AS242" i="2"/>
  <c r="AS243" i="2"/>
  <c r="AS244" i="2"/>
  <c r="AS245" i="2"/>
  <c r="AS246" i="2"/>
  <c r="AS247" i="2"/>
  <c r="AS248" i="2"/>
  <c r="AS249" i="2"/>
  <c r="AS250" i="2"/>
  <c r="AS251" i="2"/>
  <c r="AS252" i="2"/>
  <c r="AS253" i="2"/>
  <c r="AS254" i="2"/>
  <c r="AS255" i="2"/>
  <c r="AS256" i="2"/>
  <c r="AS257" i="2"/>
  <c r="AS258" i="2"/>
  <c r="AS259" i="2"/>
  <c r="AS260" i="2"/>
  <c r="AS261" i="2"/>
  <c r="AS262" i="2"/>
  <c r="AS263" i="2"/>
  <c r="AS264" i="2"/>
  <c r="AS265" i="2"/>
  <c r="AS266" i="2"/>
  <c r="AS267" i="2"/>
  <c r="AS268" i="2"/>
  <c r="AS269" i="2"/>
  <c r="AS270" i="2"/>
  <c r="AS271" i="2"/>
  <c r="AS272" i="2"/>
  <c r="AS273" i="2"/>
  <c r="AS274" i="2"/>
  <c r="AS275" i="2"/>
  <c r="AS276" i="2"/>
  <c r="AS277" i="2"/>
  <c r="AS278" i="2"/>
  <c r="AS279" i="2"/>
  <c r="AS280" i="2"/>
  <c r="AS281" i="2"/>
  <c r="AS282" i="2"/>
  <c r="AS283" i="2"/>
  <c r="AS284" i="2"/>
  <c r="AS285" i="2"/>
  <c r="AS286" i="2"/>
  <c r="AS287" i="2"/>
  <c r="AS288" i="2"/>
  <c r="AS289" i="2"/>
  <c r="AS290" i="2"/>
  <c r="AS291" i="2"/>
  <c r="AS292" i="2"/>
  <c r="AS293" i="2"/>
  <c r="AS294" i="2"/>
  <c r="AS295" i="2"/>
  <c r="AS296" i="2"/>
  <c r="AS297" i="2"/>
  <c r="AS298" i="2"/>
  <c r="AS299" i="2"/>
  <c r="AS300" i="2"/>
  <c r="AS301" i="2"/>
  <c r="AS302" i="2"/>
  <c r="AS303" i="2"/>
  <c r="AS304" i="2"/>
  <c r="AS305" i="2"/>
  <c r="AS306" i="2"/>
  <c r="AS307" i="2"/>
  <c r="AS308" i="2"/>
  <c r="AS309" i="2"/>
  <c r="AS310" i="2"/>
  <c r="AS311" i="2"/>
  <c r="AS312" i="2"/>
  <c r="AS313" i="2"/>
  <c r="AS314" i="2"/>
  <c r="AS315" i="2"/>
  <c r="AS316" i="2"/>
  <c r="AS317" i="2"/>
  <c r="AS318" i="2"/>
  <c r="AS319" i="2"/>
  <c r="AS320" i="2"/>
  <c r="AS321" i="2"/>
  <c r="AS322" i="2"/>
  <c r="AS323" i="2"/>
  <c r="AS324" i="2"/>
  <c r="AS325" i="2"/>
  <c r="AS326" i="2"/>
  <c r="AS327" i="2"/>
  <c r="AS328" i="2"/>
  <c r="AS329" i="2"/>
  <c r="AS330" i="2"/>
  <c r="AS331" i="2"/>
  <c r="AS332" i="2"/>
  <c r="AS333" i="2"/>
  <c r="AS334" i="2"/>
  <c r="AS335" i="2"/>
  <c r="AS336" i="2"/>
  <c r="AS337" i="2"/>
  <c r="AS338" i="2"/>
  <c r="AS339" i="2"/>
  <c r="AS340" i="2"/>
  <c r="AS341" i="2"/>
  <c r="AS342" i="2"/>
  <c r="AS343" i="2"/>
  <c r="AS344" i="2"/>
  <c r="AS345" i="2"/>
  <c r="AS346" i="2"/>
  <c r="AS347" i="2"/>
  <c r="AS348" i="2"/>
  <c r="AS349" i="2"/>
  <c r="AS350" i="2"/>
  <c r="AS351" i="2"/>
  <c r="AS352" i="2"/>
  <c r="AS353" i="2"/>
  <c r="AS354" i="2"/>
  <c r="AS355" i="2"/>
  <c r="AS356" i="2"/>
  <c r="AS357" i="2"/>
  <c r="AS358" i="2"/>
  <c r="AS359" i="2"/>
  <c r="AS360" i="2"/>
  <c r="AS361" i="2"/>
  <c r="AS362" i="2"/>
  <c r="AS363" i="2"/>
  <c r="AS364" i="2"/>
  <c r="AS365" i="2"/>
  <c r="AS366" i="2"/>
  <c r="AS367" i="2"/>
  <c r="AS368" i="2"/>
  <c r="AS369" i="2"/>
  <c r="AS370" i="2"/>
  <c r="AS371" i="2"/>
  <c r="AS372" i="2"/>
  <c r="AS373" i="2"/>
  <c r="AS374" i="2"/>
  <c r="AS375" i="2"/>
  <c r="AS376" i="2"/>
  <c r="AS377" i="2"/>
  <c r="AS378" i="2"/>
  <c r="AS379" i="2"/>
  <c r="AS380" i="2"/>
  <c r="AS381" i="2"/>
  <c r="AS382" i="2"/>
  <c r="AS383" i="2"/>
  <c r="AS384" i="2"/>
  <c r="AS385" i="2"/>
  <c r="AS386" i="2"/>
  <c r="AS387" i="2"/>
  <c r="AS388" i="2"/>
  <c r="AS389" i="2"/>
  <c r="AS390" i="2"/>
  <c r="AS391" i="2"/>
  <c r="AS392" i="2"/>
  <c r="AS393" i="2"/>
  <c r="AS394" i="2"/>
  <c r="AS395" i="2"/>
  <c r="AS396" i="2"/>
  <c r="AS397" i="2"/>
  <c r="AS398" i="2"/>
  <c r="AS399" i="2"/>
  <c r="AS400" i="2"/>
  <c r="AS401" i="2"/>
  <c r="AS402" i="2"/>
  <c r="AS403" i="2"/>
  <c r="AS404" i="2"/>
  <c r="AS405" i="2"/>
  <c r="AS406" i="2"/>
  <c r="AS407" i="2"/>
  <c r="AS408" i="2"/>
  <c r="AS409" i="2"/>
  <c r="AS410" i="2"/>
  <c r="AS411" i="2"/>
  <c r="AS412" i="2"/>
  <c r="AS413" i="2"/>
  <c r="AS414" i="2"/>
  <c r="AS415" i="2"/>
  <c r="AS416" i="2"/>
  <c r="AS417" i="2"/>
  <c r="AS418" i="2"/>
  <c r="AS419" i="2"/>
  <c r="AS420" i="2"/>
  <c r="AS421" i="2"/>
  <c r="AS422" i="2"/>
  <c r="AS423" i="2"/>
  <c r="AS424" i="2"/>
  <c r="AS425" i="2"/>
  <c r="AS426" i="2"/>
  <c r="AS427" i="2"/>
  <c r="AS428" i="2"/>
  <c r="AS429" i="2"/>
  <c r="AS430" i="2"/>
  <c r="AS431" i="2"/>
  <c r="AS432" i="2"/>
  <c r="AS433" i="2"/>
  <c r="AS434" i="2"/>
  <c r="AS435" i="2"/>
  <c r="AS436" i="2"/>
  <c r="AS437" i="2"/>
  <c r="AS438" i="2"/>
  <c r="AS439" i="2"/>
  <c r="AS440" i="2"/>
  <c r="AS441" i="2"/>
  <c r="AS442" i="2"/>
  <c r="AS443" i="2"/>
  <c r="AS444" i="2"/>
  <c r="AS445" i="2"/>
  <c r="AS446" i="2"/>
  <c r="AS447" i="2"/>
  <c r="AS448" i="2"/>
  <c r="AS449" i="2"/>
  <c r="AS450" i="2"/>
  <c r="AS451" i="2"/>
  <c r="AS452" i="2"/>
  <c r="AS453" i="2"/>
  <c r="AS454" i="2"/>
  <c r="AS455" i="2"/>
  <c r="AS456" i="2"/>
  <c r="AS457" i="2"/>
  <c r="AS458" i="2"/>
  <c r="AS459" i="2"/>
  <c r="AS460" i="2"/>
  <c r="AS461" i="2"/>
  <c r="AS462" i="2"/>
  <c r="AS463" i="2"/>
  <c r="AS464" i="2"/>
  <c r="AS465" i="2"/>
  <c r="AS466" i="2"/>
  <c r="AS467" i="2"/>
  <c r="AS468" i="2"/>
  <c r="AS469" i="2"/>
  <c r="AS470" i="2"/>
  <c r="AS471" i="2"/>
  <c r="AS472" i="2"/>
  <c r="AS473" i="2"/>
  <c r="AS474" i="2"/>
  <c r="AS475" i="2"/>
  <c r="AS476" i="2"/>
  <c r="AS477" i="2"/>
  <c r="AS478" i="2"/>
  <c r="AS479" i="2"/>
  <c r="AS480" i="2"/>
  <c r="AS481" i="2"/>
  <c r="AS482" i="2"/>
  <c r="AS483" i="2"/>
  <c r="AS484" i="2"/>
  <c r="AS485" i="2"/>
  <c r="AS486" i="2"/>
  <c r="AS487" i="2"/>
  <c r="AS488" i="2"/>
  <c r="AS489" i="2"/>
  <c r="AS490" i="2"/>
  <c r="AS491" i="2"/>
  <c r="AS492" i="2"/>
  <c r="AS493" i="2"/>
  <c r="AS494" i="2"/>
  <c r="AS495" i="2"/>
  <c r="AS496" i="2"/>
  <c r="AS497" i="2"/>
  <c r="AS498" i="2"/>
  <c r="AS499" i="2"/>
  <c r="AS500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4" i="2"/>
  <c r="AG3" i="2"/>
  <c r="AS3" i="2"/>
  <c r="D16" i="5" s="1"/>
  <c r="CL8" i="2"/>
  <c r="CL9" i="2"/>
  <c r="CL10" i="2"/>
  <c r="CL11" i="2"/>
  <c r="CL12" i="2"/>
  <c r="CL13" i="2"/>
  <c r="CL14" i="2"/>
  <c r="CL15" i="2"/>
  <c r="CL16" i="2"/>
  <c r="CL17" i="2"/>
  <c r="CL18" i="2"/>
  <c r="CL19" i="2"/>
  <c r="CL20" i="2"/>
  <c r="CL21" i="2"/>
  <c r="CL22" i="2"/>
  <c r="CL23" i="2"/>
  <c r="CL24" i="2"/>
  <c r="CL25" i="2"/>
  <c r="CL26" i="2"/>
  <c r="CL27" i="2"/>
  <c r="CL28" i="2"/>
  <c r="CL29" i="2"/>
  <c r="CL30" i="2"/>
  <c r="CL31" i="2"/>
  <c r="CL32" i="2"/>
  <c r="CL33" i="2"/>
  <c r="CL34" i="2"/>
  <c r="CL35" i="2"/>
  <c r="CL36" i="2"/>
  <c r="CL37" i="2"/>
  <c r="CL38" i="2"/>
  <c r="CL39" i="2"/>
  <c r="CL40" i="2"/>
  <c r="CL41" i="2"/>
  <c r="CL42" i="2"/>
  <c r="CL43" i="2"/>
  <c r="CL44" i="2"/>
  <c r="CL45" i="2"/>
  <c r="CL46" i="2"/>
  <c r="CL47" i="2"/>
  <c r="CL48" i="2"/>
  <c r="CL49" i="2"/>
  <c r="CL50" i="2"/>
  <c r="CL51" i="2"/>
  <c r="CL52" i="2"/>
  <c r="CL53" i="2"/>
  <c r="CL54" i="2"/>
  <c r="CL55" i="2"/>
  <c r="CL56" i="2"/>
  <c r="CL57" i="2"/>
  <c r="CL58" i="2"/>
  <c r="CL59" i="2"/>
  <c r="CL60" i="2"/>
  <c r="CL61" i="2"/>
  <c r="CL62" i="2"/>
  <c r="CL63" i="2"/>
  <c r="CL64" i="2"/>
  <c r="CL65" i="2"/>
  <c r="CL66" i="2"/>
  <c r="CL67" i="2"/>
  <c r="CL68" i="2"/>
  <c r="CL69" i="2"/>
  <c r="CL70" i="2"/>
  <c r="CL71" i="2"/>
  <c r="CL72" i="2"/>
  <c r="CL73" i="2"/>
  <c r="CL74" i="2"/>
  <c r="CL75" i="2"/>
  <c r="CL76" i="2"/>
  <c r="CL77" i="2"/>
  <c r="CL78" i="2"/>
  <c r="CL79" i="2"/>
  <c r="CL80" i="2"/>
  <c r="CL81" i="2"/>
  <c r="CL82" i="2"/>
  <c r="CL83" i="2"/>
  <c r="CL84" i="2"/>
  <c r="CL85" i="2"/>
  <c r="CL86" i="2"/>
  <c r="CL87" i="2"/>
  <c r="CL88" i="2"/>
  <c r="CL89" i="2"/>
  <c r="CL90" i="2"/>
  <c r="CL91" i="2"/>
  <c r="CL92" i="2"/>
  <c r="CL93" i="2"/>
  <c r="CL94" i="2"/>
  <c r="CL95" i="2"/>
  <c r="CL96" i="2"/>
  <c r="CL97" i="2"/>
  <c r="CL98" i="2"/>
  <c r="CL99" i="2"/>
  <c r="CL100" i="2"/>
  <c r="CL101" i="2"/>
  <c r="CL102" i="2"/>
  <c r="CL103" i="2"/>
  <c r="CL104" i="2"/>
  <c r="CL105" i="2"/>
  <c r="CL106" i="2"/>
  <c r="CL107" i="2"/>
  <c r="CL108" i="2"/>
  <c r="CL109" i="2"/>
  <c r="CL110" i="2"/>
  <c r="CL111" i="2"/>
  <c r="CL112" i="2"/>
  <c r="CL113" i="2"/>
  <c r="CL114" i="2"/>
  <c r="CL115" i="2"/>
  <c r="CL116" i="2"/>
  <c r="CL117" i="2"/>
  <c r="CL118" i="2"/>
  <c r="CL119" i="2"/>
  <c r="CL120" i="2"/>
  <c r="CL121" i="2"/>
  <c r="CL122" i="2"/>
  <c r="CL123" i="2"/>
  <c r="CL124" i="2"/>
  <c r="CL125" i="2"/>
  <c r="CL126" i="2"/>
  <c r="CL127" i="2"/>
  <c r="CL128" i="2"/>
  <c r="CL129" i="2"/>
  <c r="CL130" i="2"/>
  <c r="CL131" i="2"/>
  <c r="CL132" i="2"/>
  <c r="CL133" i="2"/>
  <c r="CL134" i="2"/>
  <c r="CL135" i="2"/>
  <c r="CL136" i="2"/>
  <c r="CL137" i="2"/>
  <c r="CL138" i="2"/>
  <c r="CL139" i="2"/>
  <c r="CL140" i="2"/>
  <c r="CL141" i="2"/>
  <c r="CL142" i="2"/>
  <c r="CL143" i="2"/>
  <c r="CL144" i="2"/>
  <c r="CL145" i="2"/>
  <c r="CL146" i="2"/>
  <c r="CL147" i="2"/>
  <c r="CL148" i="2"/>
  <c r="CL149" i="2"/>
  <c r="CL150" i="2"/>
  <c r="CL151" i="2"/>
  <c r="CL152" i="2"/>
  <c r="CL153" i="2"/>
  <c r="CL154" i="2"/>
  <c r="CL155" i="2"/>
  <c r="CL156" i="2"/>
  <c r="CL157" i="2"/>
  <c r="CL158" i="2"/>
  <c r="CL159" i="2"/>
  <c r="CL160" i="2"/>
  <c r="CL161" i="2"/>
  <c r="CL162" i="2"/>
  <c r="CL163" i="2"/>
  <c r="CL164" i="2"/>
  <c r="CL165" i="2"/>
  <c r="CL166" i="2"/>
  <c r="CL167" i="2"/>
  <c r="CL168" i="2"/>
  <c r="CL169" i="2"/>
  <c r="CL170" i="2"/>
  <c r="CL171" i="2"/>
  <c r="CL172" i="2"/>
  <c r="CL173" i="2"/>
  <c r="CL174" i="2"/>
  <c r="CL175" i="2"/>
  <c r="CL176" i="2"/>
  <c r="CL177" i="2"/>
  <c r="CL178" i="2"/>
  <c r="CL179" i="2"/>
  <c r="CL180" i="2"/>
  <c r="CL181" i="2"/>
  <c r="CL182" i="2"/>
  <c r="CL183" i="2"/>
  <c r="CL184" i="2"/>
  <c r="CL185" i="2"/>
  <c r="CL186" i="2"/>
  <c r="CL187" i="2"/>
  <c r="CL188" i="2"/>
  <c r="CL189" i="2"/>
  <c r="CL190" i="2"/>
  <c r="CL191" i="2"/>
  <c r="CL192" i="2"/>
  <c r="CL193" i="2"/>
  <c r="CL194" i="2"/>
  <c r="CL195" i="2"/>
  <c r="CL196" i="2"/>
  <c r="CL197" i="2"/>
  <c r="CL198" i="2"/>
  <c r="CL199" i="2"/>
  <c r="CL200" i="2"/>
  <c r="CL201" i="2"/>
  <c r="CL202" i="2"/>
  <c r="CL203" i="2"/>
  <c r="CL204" i="2"/>
  <c r="CL205" i="2"/>
  <c r="CL206" i="2"/>
  <c r="CL207" i="2"/>
  <c r="CL208" i="2"/>
  <c r="CL209" i="2"/>
  <c r="CL210" i="2"/>
  <c r="CL211" i="2"/>
  <c r="CL212" i="2"/>
  <c r="CL213" i="2"/>
  <c r="CL214" i="2"/>
  <c r="CL215" i="2"/>
  <c r="CL216" i="2"/>
  <c r="CL217" i="2"/>
  <c r="CL218" i="2"/>
  <c r="CL219" i="2"/>
  <c r="CL220" i="2"/>
  <c r="CL221" i="2"/>
  <c r="CL222" i="2"/>
  <c r="CL223" i="2"/>
  <c r="CL224" i="2"/>
  <c r="CL225" i="2"/>
  <c r="CL226" i="2"/>
  <c r="CL227" i="2"/>
  <c r="CL228" i="2"/>
  <c r="CL229" i="2"/>
  <c r="CL230" i="2"/>
  <c r="CL231" i="2"/>
  <c r="CL232" i="2"/>
  <c r="CL233" i="2"/>
  <c r="CL234" i="2"/>
  <c r="CL235" i="2"/>
  <c r="CL236" i="2"/>
  <c r="CL237" i="2"/>
  <c r="CL238" i="2"/>
  <c r="CL239" i="2"/>
  <c r="CL240" i="2"/>
  <c r="CL241" i="2"/>
  <c r="CL242" i="2"/>
  <c r="CL243" i="2"/>
  <c r="CL244" i="2"/>
  <c r="CL245" i="2"/>
  <c r="CL246" i="2"/>
  <c r="CL247" i="2"/>
  <c r="CL248" i="2"/>
  <c r="CL249" i="2"/>
  <c r="CL250" i="2"/>
  <c r="CL251" i="2"/>
  <c r="CL252" i="2"/>
  <c r="CL253" i="2"/>
  <c r="CL254" i="2"/>
  <c r="CL255" i="2"/>
  <c r="CL256" i="2"/>
  <c r="CL257" i="2"/>
  <c r="CL258" i="2"/>
  <c r="CL259" i="2"/>
  <c r="CL260" i="2"/>
  <c r="CL261" i="2"/>
  <c r="CL262" i="2"/>
  <c r="CL263" i="2"/>
  <c r="CL264" i="2"/>
  <c r="CL265" i="2"/>
  <c r="CL266" i="2"/>
  <c r="CL267" i="2"/>
  <c r="CL268" i="2"/>
  <c r="CL269" i="2"/>
  <c r="CL270" i="2"/>
  <c r="CL271" i="2"/>
  <c r="CL272" i="2"/>
  <c r="CL273" i="2"/>
  <c r="CL274" i="2"/>
  <c r="CL275" i="2"/>
  <c r="CL276" i="2"/>
  <c r="CL277" i="2"/>
  <c r="CL278" i="2"/>
  <c r="CL279" i="2"/>
  <c r="CL280" i="2"/>
  <c r="CL281" i="2"/>
  <c r="CL282" i="2"/>
  <c r="CL283" i="2"/>
  <c r="CL284" i="2"/>
  <c r="CL285" i="2"/>
  <c r="CL286" i="2"/>
  <c r="CL287" i="2"/>
  <c r="CL288" i="2"/>
  <c r="CL289" i="2"/>
  <c r="CL290" i="2"/>
  <c r="CL291" i="2"/>
  <c r="CL292" i="2"/>
  <c r="CL293" i="2"/>
  <c r="CL294" i="2"/>
  <c r="CL295" i="2"/>
  <c r="CL296" i="2"/>
  <c r="CL297" i="2"/>
  <c r="CL298" i="2"/>
  <c r="CL299" i="2"/>
  <c r="CL300" i="2"/>
  <c r="CL301" i="2"/>
  <c r="CL302" i="2"/>
  <c r="CL303" i="2"/>
  <c r="CL304" i="2"/>
  <c r="CL305" i="2"/>
  <c r="CL306" i="2"/>
  <c r="CL307" i="2"/>
  <c r="CL308" i="2"/>
  <c r="CL309" i="2"/>
  <c r="CL310" i="2"/>
  <c r="CL311" i="2"/>
  <c r="CL312" i="2"/>
  <c r="CL313" i="2"/>
  <c r="CL314" i="2"/>
  <c r="CL315" i="2"/>
  <c r="CL316" i="2"/>
  <c r="CL317" i="2"/>
  <c r="CL318" i="2"/>
  <c r="CL319" i="2"/>
  <c r="CL320" i="2"/>
  <c r="CL321" i="2"/>
  <c r="CL322" i="2"/>
  <c r="CL323" i="2"/>
  <c r="CL324" i="2"/>
  <c r="CL325" i="2"/>
  <c r="CL326" i="2"/>
  <c r="CL327" i="2"/>
  <c r="CL328" i="2"/>
  <c r="CL329" i="2"/>
  <c r="CL330" i="2"/>
  <c r="CL331" i="2"/>
  <c r="CL332" i="2"/>
  <c r="CL333" i="2"/>
  <c r="CL334" i="2"/>
  <c r="CL335" i="2"/>
  <c r="CL336" i="2"/>
  <c r="CL337" i="2"/>
  <c r="CL338" i="2"/>
  <c r="CL339" i="2"/>
  <c r="CL340" i="2"/>
  <c r="CL341" i="2"/>
  <c r="CL342" i="2"/>
  <c r="CL343" i="2"/>
  <c r="CL344" i="2"/>
  <c r="CL345" i="2"/>
  <c r="CL346" i="2"/>
  <c r="CL347" i="2"/>
  <c r="CL348" i="2"/>
  <c r="CL349" i="2"/>
  <c r="CL350" i="2"/>
  <c r="CL351" i="2"/>
  <c r="CL352" i="2"/>
  <c r="CL353" i="2"/>
  <c r="CL354" i="2"/>
  <c r="CL355" i="2"/>
  <c r="CL356" i="2"/>
  <c r="CL357" i="2"/>
  <c r="CL358" i="2"/>
  <c r="CL359" i="2"/>
  <c r="CL360" i="2"/>
  <c r="CL361" i="2"/>
  <c r="CL362" i="2"/>
  <c r="CL363" i="2"/>
  <c r="CL364" i="2"/>
  <c r="CL365" i="2"/>
  <c r="CL366" i="2"/>
  <c r="CL367" i="2"/>
  <c r="CL368" i="2"/>
  <c r="CL369" i="2"/>
  <c r="CL370" i="2"/>
  <c r="CL371" i="2"/>
  <c r="CL372" i="2"/>
  <c r="CL373" i="2"/>
  <c r="CL374" i="2"/>
  <c r="CL375" i="2"/>
  <c r="CL376" i="2"/>
  <c r="CL377" i="2"/>
  <c r="CL378" i="2"/>
  <c r="CL379" i="2"/>
  <c r="CL380" i="2"/>
  <c r="CL381" i="2"/>
  <c r="CL382" i="2"/>
  <c r="CL383" i="2"/>
  <c r="CL384" i="2"/>
  <c r="CL385" i="2"/>
  <c r="CL386" i="2"/>
  <c r="CL387" i="2"/>
  <c r="CL388" i="2"/>
  <c r="CL389" i="2"/>
  <c r="CL390" i="2"/>
  <c r="CL391" i="2"/>
  <c r="CL392" i="2"/>
  <c r="CL393" i="2"/>
  <c r="CL394" i="2"/>
  <c r="CL395" i="2"/>
  <c r="CL396" i="2"/>
  <c r="CL397" i="2"/>
  <c r="CL398" i="2"/>
  <c r="CL399" i="2"/>
  <c r="CL400" i="2"/>
  <c r="CL401" i="2"/>
  <c r="CL402" i="2"/>
  <c r="CL403" i="2"/>
  <c r="CL404" i="2"/>
  <c r="CL405" i="2"/>
  <c r="CL406" i="2"/>
  <c r="CL407" i="2"/>
  <c r="CL408" i="2"/>
  <c r="CL409" i="2"/>
  <c r="CL410" i="2"/>
  <c r="CL411" i="2"/>
  <c r="CL412" i="2"/>
  <c r="CL413" i="2"/>
  <c r="CL414" i="2"/>
  <c r="CL415" i="2"/>
  <c r="CL416" i="2"/>
  <c r="CL417" i="2"/>
  <c r="CL418" i="2"/>
  <c r="CL419" i="2"/>
  <c r="CL420" i="2"/>
  <c r="CL421" i="2"/>
  <c r="CL422" i="2"/>
  <c r="CL423" i="2"/>
  <c r="CL424" i="2"/>
  <c r="CL425" i="2"/>
  <c r="CL426" i="2"/>
  <c r="CL427" i="2"/>
  <c r="CL428" i="2"/>
  <c r="CL429" i="2"/>
  <c r="CL430" i="2"/>
  <c r="CL431" i="2"/>
  <c r="CL432" i="2"/>
  <c r="CL433" i="2"/>
  <c r="CL434" i="2"/>
  <c r="CL435" i="2"/>
  <c r="CL436" i="2"/>
  <c r="CL437" i="2"/>
  <c r="CL438" i="2"/>
  <c r="CL439" i="2"/>
  <c r="CL440" i="2"/>
  <c r="CL441" i="2"/>
  <c r="CL442" i="2"/>
  <c r="CL443" i="2"/>
  <c r="CL444" i="2"/>
  <c r="CL445" i="2"/>
  <c r="CL446" i="2"/>
  <c r="CL447" i="2"/>
  <c r="CL448" i="2"/>
  <c r="CL449" i="2"/>
  <c r="CL450" i="2"/>
  <c r="CL451" i="2"/>
  <c r="CL452" i="2"/>
  <c r="CL453" i="2"/>
  <c r="CL454" i="2"/>
  <c r="CL455" i="2"/>
  <c r="CL456" i="2"/>
  <c r="CL457" i="2"/>
  <c r="CL458" i="2"/>
  <c r="CL459" i="2"/>
  <c r="CL460" i="2"/>
  <c r="CL461" i="2"/>
  <c r="CL462" i="2"/>
  <c r="CL463" i="2"/>
  <c r="CL464" i="2"/>
  <c r="CL465" i="2"/>
  <c r="CL466" i="2"/>
  <c r="CL467" i="2"/>
  <c r="CL468" i="2"/>
  <c r="CL469" i="2"/>
  <c r="CL470" i="2"/>
  <c r="CL471" i="2"/>
  <c r="CL472" i="2"/>
  <c r="CL473" i="2"/>
  <c r="CL474" i="2"/>
  <c r="CL475" i="2"/>
  <c r="CL476" i="2"/>
  <c r="CL477" i="2"/>
  <c r="CL478" i="2"/>
  <c r="CL479" i="2"/>
  <c r="CL480" i="2"/>
  <c r="CL481" i="2"/>
  <c r="CL482" i="2"/>
  <c r="CL483" i="2"/>
  <c r="CL484" i="2"/>
  <c r="CL485" i="2"/>
  <c r="CL486" i="2"/>
  <c r="CL487" i="2"/>
  <c r="CL488" i="2"/>
  <c r="CL489" i="2"/>
  <c r="CL490" i="2"/>
  <c r="CL491" i="2"/>
  <c r="CL492" i="2"/>
  <c r="CL493" i="2"/>
  <c r="CL494" i="2"/>
  <c r="CL495" i="2"/>
  <c r="CL496" i="2"/>
  <c r="CL497" i="2"/>
  <c r="CL498" i="2"/>
  <c r="CL499" i="2"/>
  <c r="CL500" i="2"/>
  <c r="CL7" i="2"/>
  <c r="CL6" i="2"/>
  <c r="CL5" i="2"/>
  <c r="CL3" i="2"/>
  <c r="CL4" i="2"/>
  <c r="D3" i="2"/>
  <c r="D12" i="5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J500" i="2" l="1"/>
  <c r="DF500" i="2"/>
  <c r="DD500" i="2"/>
  <c r="CZ500" i="2"/>
  <c r="CV500" i="2"/>
  <c r="CR500" i="2"/>
  <c r="CP500" i="2"/>
  <c r="CN500" i="2"/>
  <c r="CH500" i="2"/>
  <c r="CF500" i="2"/>
  <c r="CD500" i="2"/>
  <c r="CB500" i="2"/>
  <c r="BZ500" i="2"/>
  <c r="BX500" i="2"/>
  <c r="BU500" i="2"/>
  <c r="BT500" i="2"/>
  <c r="BS500" i="2"/>
  <c r="BM500" i="2"/>
  <c r="BL500" i="2"/>
  <c r="BK500" i="2"/>
  <c r="BE500" i="2"/>
  <c r="BB500" i="2"/>
  <c r="AY500" i="2"/>
  <c r="AM500" i="2"/>
  <c r="AD500" i="2"/>
  <c r="AA500" i="2"/>
  <c r="U500" i="2"/>
  <c r="O500" i="2"/>
  <c r="L500" i="2"/>
  <c r="I500" i="2"/>
  <c r="G500" i="2"/>
  <c r="F500" i="2"/>
  <c r="E500" i="2"/>
  <c r="BW500" i="2" s="1"/>
  <c r="C500" i="2"/>
  <c r="B500" i="2"/>
  <c r="DJ499" i="2"/>
  <c r="DF499" i="2"/>
  <c r="DD499" i="2"/>
  <c r="CZ499" i="2"/>
  <c r="CV499" i="2"/>
  <c r="CR499" i="2"/>
  <c r="CP499" i="2"/>
  <c r="CN499" i="2"/>
  <c r="CH499" i="2"/>
  <c r="CF499" i="2"/>
  <c r="CD499" i="2"/>
  <c r="CB499" i="2"/>
  <c r="BZ499" i="2"/>
  <c r="BX499" i="2"/>
  <c r="BU499" i="2"/>
  <c r="BT499" i="2"/>
  <c r="BS499" i="2"/>
  <c r="BM499" i="2"/>
  <c r="BL499" i="2"/>
  <c r="BK499" i="2"/>
  <c r="BE499" i="2"/>
  <c r="BB499" i="2"/>
  <c r="AY499" i="2"/>
  <c r="AM499" i="2"/>
  <c r="AD499" i="2"/>
  <c r="AA499" i="2"/>
  <c r="U499" i="2"/>
  <c r="O499" i="2"/>
  <c r="L499" i="2"/>
  <c r="I499" i="2"/>
  <c r="G499" i="2"/>
  <c r="F499" i="2"/>
  <c r="E499" i="2"/>
  <c r="BW499" i="2" s="1"/>
  <c r="C499" i="2"/>
  <c r="B499" i="2"/>
  <c r="DJ498" i="2"/>
  <c r="DF498" i="2"/>
  <c r="DD498" i="2"/>
  <c r="CZ498" i="2"/>
  <c r="CV498" i="2"/>
  <c r="CR498" i="2"/>
  <c r="CP498" i="2"/>
  <c r="CN498" i="2"/>
  <c r="CH498" i="2"/>
  <c r="CF498" i="2"/>
  <c r="CD498" i="2"/>
  <c r="CB498" i="2"/>
  <c r="BZ498" i="2"/>
  <c r="BX498" i="2"/>
  <c r="BU498" i="2"/>
  <c r="BT498" i="2"/>
  <c r="BS498" i="2"/>
  <c r="BM498" i="2"/>
  <c r="BL498" i="2"/>
  <c r="BK498" i="2"/>
  <c r="BE498" i="2"/>
  <c r="BB498" i="2"/>
  <c r="AY498" i="2"/>
  <c r="AM498" i="2"/>
  <c r="AD498" i="2"/>
  <c r="AA498" i="2"/>
  <c r="U498" i="2"/>
  <c r="O498" i="2"/>
  <c r="L498" i="2"/>
  <c r="I498" i="2"/>
  <c r="G498" i="2"/>
  <c r="F498" i="2"/>
  <c r="E498" i="2"/>
  <c r="BW498" i="2" s="1"/>
  <c r="C498" i="2"/>
  <c r="B498" i="2"/>
  <c r="DJ497" i="2"/>
  <c r="DF497" i="2"/>
  <c r="DD497" i="2"/>
  <c r="CZ497" i="2"/>
  <c r="CV497" i="2"/>
  <c r="CR497" i="2"/>
  <c r="CP497" i="2"/>
  <c r="CN497" i="2"/>
  <c r="CH497" i="2"/>
  <c r="CF497" i="2"/>
  <c r="CD497" i="2"/>
  <c r="CB497" i="2"/>
  <c r="BZ497" i="2"/>
  <c r="BX497" i="2"/>
  <c r="BU497" i="2"/>
  <c r="BT497" i="2"/>
  <c r="BS497" i="2"/>
  <c r="BM497" i="2"/>
  <c r="BL497" i="2"/>
  <c r="BK497" i="2"/>
  <c r="BE497" i="2"/>
  <c r="BB497" i="2"/>
  <c r="AY497" i="2"/>
  <c r="AM497" i="2"/>
  <c r="AD497" i="2"/>
  <c r="AA497" i="2"/>
  <c r="U497" i="2"/>
  <c r="O497" i="2"/>
  <c r="L497" i="2"/>
  <c r="I497" i="2"/>
  <c r="G497" i="2"/>
  <c r="F497" i="2"/>
  <c r="E497" i="2"/>
  <c r="BW497" i="2" s="1"/>
  <c r="C497" i="2"/>
  <c r="B497" i="2"/>
  <c r="DJ496" i="2"/>
  <c r="DF496" i="2"/>
  <c r="DD496" i="2"/>
  <c r="CZ496" i="2"/>
  <c r="CV496" i="2"/>
  <c r="CR496" i="2"/>
  <c r="CP496" i="2"/>
  <c r="CN496" i="2"/>
  <c r="CH496" i="2"/>
  <c r="CF496" i="2"/>
  <c r="CD496" i="2"/>
  <c r="CB496" i="2"/>
  <c r="BZ496" i="2"/>
  <c r="BX496" i="2"/>
  <c r="BU496" i="2"/>
  <c r="BT496" i="2"/>
  <c r="BS496" i="2"/>
  <c r="BM496" i="2"/>
  <c r="BL496" i="2"/>
  <c r="BK496" i="2"/>
  <c r="BE496" i="2"/>
  <c r="BB496" i="2"/>
  <c r="AY496" i="2"/>
  <c r="AM496" i="2"/>
  <c r="AD496" i="2"/>
  <c r="AA496" i="2"/>
  <c r="U496" i="2"/>
  <c r="O496" i="2"/>
  <c r="L496" i="2"/>
  <c r="I496" i="2"/>
  <c r="G496" i="2"/>
  <c r="F496" i="2"/>
  <c r="E496" i="2"/>
  <c r="BY496" i="2" s="1"/>
  <c r="C496" i="2"/>
  <c r="B496" i="2"/>
  <c r="DJ495" i="2"/>
  <c r="DF495" i="2"/>
  <c r="DD495" i="2"/>
  <c r="CZ495" i="2"/>
  <c r="CV495" i="2"/>
  <c r="CR495" i="2"/>
  <c r="CP495" i="2"/>
  <c r="CN495" i="2"/>
  <c r="CH495" i="2"/>
  <c r="CF495" i="2"/>
  <c r="CD495" i="2"/>
  <c r="CB495" i="2"/>
  <c r="BZ495" i="2"/>
  <c r="BX495" i="2"/>
  <c r="BU495" i="2"/>
  <c r="BT495" i="2"/>
  <c r="BS495" i="2"/>
  <c r="BM495" i="2"/>
  <c r="BL495" i="2"/>
  <c r="BK495" i="2"/>
  <c r="BE495" i="2"/>
  <c r="BB495" i="2"/>
  <c r="AY495" i="2"/>
  <c r="AM495" i="2"/>
  <c r="AD495" i="2"/>
  <c r="AA495" i="2"/>
  <c r="U495" i="2"/>
  <c r="O495" i="2"/>
  <c r="L495" i="2"/>
  <c r="I495" i="2"/>
  <c r="G495" i="2"/>
  <c r="F495" i="2"/>
  <c r="E495" i="2"/>
  <c r="BY495" i="2" s="1"/>
  <c r="C495" i="2"/>
  <c r="B495" i="2"/>
  <c r="DJ494" i="2"/>
  <c r="DF494" i="2"/>
  <c r="DD494" i="2"/>
  <c r="CZ494" i="2"/>
  <c r="CV494" i="2"/>
  <c r="CR494" i="2"/>
  <c r="CP494" i="2"/>
  <c r="CN494" i="2"/>
  <c r="CH494" i="2"/>
  <c r="CF494" i="2"/>
  <c r="CD494" i="2"/>
  <c r="CB494" i="2"/>
  <c r="BZ494" i="2"/>
  <c r="BX494" i="2"/>
  <c r="BU494" i="2"/>
  <c r="BT494" i="2"/>
  <c r="BS494" i="2"/>
  <c r="BM494" i="2"/>
  <c r="BL494" i="2"/>
  <c r="BK494" i="2"/>
  <c r="BE494" i="2"/>
  <c r="BB494" i="2"/>
  <c r="AY494" i="2"/>
  <c r="AM494" i="2"/>
  <c r="AD494" i="2"/>
  <c r="AA494" i="2"/>
  <c r="U494" i="2"/>
  <c r="O494" i="2"/>
  <c r="L494" i="2"/>
  <c r="I494" i="2"/>
  <c r="G494" i="2"/>
  <c r="F494" i="2"/>
  <c r="E494" i="2"/>
  <c r="C494" i="2"/>
  <c r="B494" i="2"/>
  <c r="DJ493" i="2"/>
  <c r="DF493" i="2"/>
  <c r="DD493" i="2"/>
  <c r="CZ493" i="2"/>
  <c r="CV493" i="2"/>
  <c r="CR493" i="2"/>
  <c r="CP493" i="2"/>
  <c r="CN493" i="2"/>
  <c r="CH493" i="2"/>
  <c r="CF493" i="2"/>
  <c r="CD493" i="2"/>
  <c r="CB493" i="2"/>
  <c r="BZ493" i="2"/>
  <c r="BX493" i="2"/>
  <c r="BU493" i="2"/>
  <c r="BT493" i="2"/>
  <c r="BS493" i="2"/>
  <c r="BM493" i="2"/>
  <c r="BL493" i="2"/>
  <c r="BK493" i="2"/>
  <c r="BE493" i="2"/>
  <c r="BB493" i="2"/>
  <c r="AY493" i="2"/>
  <c r="AM493" i="2"/>
  <c r="AD493" i="2"/>
  <c r="AA493" i="2"/>
  <c r="U493" i="2"/>
  <c r="O493" i="2"/>
  <c r="L493" i="2"/>
  <c r="I493" i="2"/>
  <c r="G493" i="2"/>
  <c r="F493" i="2"/>
  <c r="E493" i="2"/>
  <c r="BY493" i="2" s="1"/>
  <c r="C493" i="2"/>
  <c r="B493" i="2"/>
  <c r="DJ492" i="2"/>
  <c r="DF492" i="2"/>
  <c r="DD492" i="2"/>
  <c r="CZ492" i="2"/>
  <c r="CV492" i="2"/>
  <c r="CR492" i="2"/>
  <c r="CP492" i="2"/>
  <c r="CN492" i="2"/>
  <c r="CH492" i="2"/>
  <c r="CF492" i="2"/>
  <c r="CD492" i="2"/>
  <c r="CB492" i="2"/>
  <c r="BZ492" i="2"/>
  <c r="BX492" i="2"/>
  <c r="BU492" i="2"/>
  <c r="BT492" i="2"/>
  <c r="BS492" i="2"/>
  <c r="BM492" i="2"/>
  <c r="BL492" i="2"/>
  <c r="BK492" i="2"/>
  <c r="BE492" i="2"/>
  <c r="BB492" i="2"/>
  <c r="AY492" i="2"/>
  <c r="AM492" i="2"/>
  <c r="AD492" i="2"/>
  <c r="AA492" i="2"/>
  <c r="U492" i="2"/>
  <c r="O492" i="2"/>
  <c r="L492" i="2"/>
  <c r="I492" i="2"/>
  <c r="G492" i="2"/>
  <c r="F492" i="2"/>
  <c r="E492" i="2"/>
  <c r="C492" i="2"/>
  <c r="B492" i="2"/>
  <c r="DJ491" i="2"/>
  <c r="DF491" i="2"/>
  <c r="DD491" i="2"/>
  <c r="CZ491" i="2"/>
  <c r="CV491" i="2"/>
  <c r="CR491" i="2"/>
  <c r="CP491" i="2"/>
  <c r="CN491" i="2"/>
  <c r="CH491" i="2"/>
  <c r="CF491" i="2"/>
  <c r="CD491" i="2"/>
  <c r="CB491" i="2"/>
  <c r="BZ491" i="2"/>
  <c r="BX491" i="2"/>
  <c r="BU491" i="2"/>
  <c r="BT491" i="2"/>
  <c r="BS491" i="2"/>
  <c r="BM491" i="2"/>
  <c r="BL491" i="2"/>
  <c r="BK491" i="2"/>
  <c r="BE491" i="2"/>
  <c r="BB491" i="2"/>
  <c r="AY491" i="2"/>
  <c r="AM491" i="2"/>
  <c r="AD491" i="2"/>
  <c r="AA491" i="2"/>
  <c r="U491" i="2"/>
  <c r="O491" i="2"/>
  <c r="L491" i="2"/>
  <c r="I491" i="2"/>
  <c r="G491" i="2"/>
  <c r="F491" i="2"/>
  <c r="E491" i="2"/>
  <c r="C491" i="2"/>
  <c r="B491" i="2"/>
  <c r="DJ490" i="2"/>
  <c r="DF490" i="2"/>
  <c r="DD490" i="2"/>
  <c r="CZ490" i="2"/>
  <c r="CV490" i="2"/>
  <c r="CR490" i="2"/>
  <c r="CP490" i="2"/>
  <c r="CN490" i="2"/>
  <c r="CH490" i="2"/>
  <c r="CF490" i="2"/>
  <c r="CD490" i="2"/>
  <c r="CB490" i="2"/>
  <c r="BZ490" i="2"/>
  <c r="BX490" i="2"/>
  <c r="BU490" i="2"/>
  <c r="BT490" i="2"/>
  <c r="BS490" i="2"/>
  <c r="BM490" i="2"/>
  <c r="BL490" i="2"/>
  <c r="BK490" i="2"/>
  <c r="BE490" i="2"/>
  <c r="BB490" i="2"/>
  <c r="AY490" i="2"/>
  <c r="AM490" i="2"/>
  <c r="AD490" i="2"/>
  <c r="AA490" i="2"/>
  <c r="U490" i="2"/>
  <c r="O490" i="2"/>
  <c r="L490" i="2"/>
  <c r="I490" i="2"/>
  <c r="G490" i="2"/>
  <c r="F490" i="2"/>
  <c r="E490" i="2"/>
  <c r="BW490" i="2" s="1"/>
  <c r="C490" i="2"/>
  <c r="B490" i="2"/>
  <c r="DJ489" i="2"/>
  <c r="DF489" i="2"/>
  <c r="DD489" i="2"/>
  <c r="CZ489" i="2"/>
  <c r="CV489" i="2"/>
  <c r="CR489" i="2"/>
  <c r="CP489" i="2"/>
  <c r="CN489" i="2"/>
  <c r="CH489" i="2"/>
  <c r="CF489" i="2"/>
  <c r="CD489" i="2"/>
  <c r="CB489" i="2"/>
  <c r="BZ489" i="2"/>
  <c r="BX489" i="2"/>
  <c r="BU489" i="2"/>
  <c r="BT489" i="2"/>
  <c r="BS489" i="2"/>
  <c r="BM489" i="2"/>
  <c r="BL489" i="2"/>
  <c r="BK489" i="2"/>
  <c r="BE489" i="2"/>
  <c r="BB489" i="2"/>
  <c r="AY489" i="2"/>
  <c r="AM489" i="2"/>
  <c r="AD489" i="2"/>
  <c r="AA489" i="2"/>
  <c r="U489" i="2"/>
  <c r="O489" i="2"/>
  <c r="L489" i="2"/>
  <c r="I489" i="2"/>
  <c r="G489" i="2"/>
  <c r="F489" i="2"/>
  <c r="E489" i="2"/>
  <c r="BW489" i="2" s="1"/>
  <c r="C489" i="2"/>
  <c r="B489" i="2"/>
  <c r="DJ488" i="2"/>
  <c r="DF488" i="2"/>
  <c r="DD488" i="2"/>
  <c r="CZ488" i="2"/>
  <c r="CV488" i="2"/>
  <c r="CR488" i="2"/>
  <c r="CP488" i="2"/>
  <c r="CN488" i="2"/>
  <c r="CH488" i="2"/>
  <c r="CF488" i="2"/>
  <c r="CD488" i="2"/>
  <c r="CB488" i="2"/>
  <c r="BZ488" i="2"/>
  <c r="BX488" i="2"/>
  <c r="BU488" i="2"/>
  <c r="BT488" i="2"/>
  <c r="BS488" i="2"/>
  <c r="BM488" i="2"/>
  <c r="BL488" i="2"/>
  <c r="BK488" i="2"/>
  <c r="BE488" i="2"/>
  <c r="BB488" i="2"/>
  <c r="AY488" i="2"/>
  <c r="AM488" i="2"/>
  <c r="AD488" i="2"/>
  <c r="AA488" i="2"/>
  <c r="U488" i="2"/>
  <c r="O488" i="2"/>
  <c r="L488" i="2"/>
  <c r="I488" i="2"/>
  <c r="G488" i="2"/>
  <c r="F488" i="2"/>
  <c r="E488" i="2"/>
  <c r="C488" i="2"/>
  <c r="B488" i="2"/>
  <c r="DJ487" i="2"/>
  <c r="DF487" i="2"/>
  <c r="DD487" i="2"/>
  <c r="CZ487" i="2"/>
  <c r="CV487" i="2"/>
  <c r="CR487" i="2"/>
  <c r="CP487" i="2"/>
  <c r="CN487" i="2"/>
  <c r="CH487" i="2"/>
  <c r="CF487" i="2"/>
  <c r="CD487" i="2"/>
  <c r="CB487" i="2"/>
  <c r="BZ487" i="2"/>
  <c r="BX487" i="2"/>
  <c r="BU487" i="2"/>
  <c r="BT487" i="2"/>
  <c r="BS487" i="2"/>
  <c r="BM487" i="2"/>
  <c r="BL487" i="2"/>
  <c r="BK487" i="2"/>
  <c r="BE487" i="2"/>
  <c r="BB487" i="2"/>
  <c r="AY487" i="2"/>
  <c r="AM487" i="2"/>
  <c r="AD487" i="2"/>
  <c r="AA487" i="2"/>
  <c r="U487" i="2"/>
  <c r="O487" i="2"/>
  <c r="L487" i="2"/>
  <c r="I487" i="2"/>
  <c r="G487" i="2"/>
  <c r="F487" i="2"/>
  <c r="E487" i="2"/>
  <c r="C487" i="2"/>
  <c r="B487" i="2"/>
  <c r="DJ486" i="2"/>
  <c r="DF486" i="2"/>
  <c r="DD486" i="2"/>
  <c r="CZ486" i="2"/>
  <c r="CV486" i="2"/>
  <c r="CR486" i="2"/>
  <c r="CP486" i="2"/>
  <c r="CN486" i="2"/>
  <c r="CH486" i="2"/>
  <c r="CF486" i="2"/>
  <c r="CD486" i="2"/>
  <c r="CB486" i="2"/>
  <c r="BZ486" i="2"/>
  <c r="BX486" i="2"/>
  <c r="BU486" i="2"/>
  <c r="BT486" i="2"/>
  <c r="BS486" i="2"/>
  <c r="BM486" i="2"/>
  <c r="BL486" i="2"/>
  <c r="BK486" i="2"/>
  <c r="BE486" i="2"/>
  <c r="BB486" i="2"/>
  <c r="AY486" i="2"/>
  <c r="AM486" i="2"/>
  <c r="AD486" i="2"/>
  <c r="AA486" i="2"/>
  <c r="U486" i="2"/>
  <c r="O486" i="2"/>
  <c r="L486" i="2"/>
  <c r="I486" i="2"/>
  <c r="G486" i="2"/>
  <c r="F486" i="2"/>
  <c r="E486" i="2"/>
  <c r="BW486" i="2" s="1"/>
  <c r="C486" i="2"/>
  <c r="B486" i="2"/>
  <c r="DJ485" i="2"/>
  <c r="DF485" i="2"/>
  <c r="DD485" i="2"/>
  <c r="CZ485" i="2"/>
  <c r="CV485" i="2"/>
  <c r="CR485" i="2"/>
  <c r="CP485" i="2"/>
  <c r="CN485" i="2"/>
  <c r="CH485" i="2"/>
  <c r="CF485" i="2"/>
  <c r="CD485" i="2"/>
  <c r="CB485" i="2"/>
  <c r="BZ485" i="2"/>
  <c r="BX485" i="2"/>
  <c r="BU485" i="2"/>
  <c r="BT485" i="2"/>
  <c r="BS485" i="2"/>
  <c r="BM485" i="2"/>
  <c r="BL485" i="2"/>
  <c r="BK485" i="2"/>
  <c r="BE485" i="2"/>
  <c r="BB485" i="2"/>
  <c r="AY485" i="2"/>
  <c r="AM485" i="2"/>
  <c r="AD485" i="2"/>
  <c r="AA485" i="2"/>
  <c r="U485" i="2"/>
  <c r="O485" i="2"/>
  <c r="L485" i="2"/>
  <c r="I485" i="2"/>
  <c r="G485" i="2"/>
  <c r="F485" i="2"/>
  <c r="E485" i="2"/>
  <c r="BW485" i="2" s="1"/>
  <c r="C485" i="2"/>
  <c r="B485" i="2"/>
  <c r="DJ484" i="2"/>
  <c r="DF484" i="2"/>
  <c r="DD484" i="2"/>
  <c r="CZ484" i="2"/>
  <c r="CV484" i="2"/>
  <c r="CR484" i="2"/>
  <c r="CP484" i="2"/>
  <c r="CN484" i="2"/>
  <c r="CH484" i="2"/>
  <c r="CF484" i="2"/>
  <c r="CD484" i="2"/>
  <c r="CB484" i="2"/>
  <c r="BZ484" i="2"/>
  <c r="BX484" i="2"/>
  <c r="BU484" i="2"/>
  <c r="BT484" i="2"/>
  <c r="BS484" i="2"/>
  <c r="BM484" i="2"/>
  <c r="BL484" i="2"/>
  <c r="BK484" i="2"/>
  <c r="BE484" i="2"/>
  <c r="BB484" i="2"/>
  <c r="AY484" i="2"/>
  <c r="AM484" i="2"/>
  <c r="AD484" i="2"/>
  <c r="AA484" i="2"/>
  <c r="U484" i="2"/>
  <c r="O484" i="2"/>
  <c r="L484" i="2"/>
  <c r="I484" i="2"/>
  <c r="G484" i="2"/>
  <c r="F484" i="2"/>
  <c r="E484" i="2"/>
  <c r="C484" i="2"/>
  <c r="B484" i="2"/>
  <c r="DJ483" i="2"/>
  <c r="DF483" i="2"/>
  <c r="DD483" i="2"/>
  <c r="CZ483" i="2"/>
  <c r="CV483" i="2"/>
  <c r="CR483" i="2"/>
  <c r="CP483" i="2"/>
  <c r="CN483" i="2"/>
  <c r="CH483" i="2"/>
  <c r="CF483" i="2"/>
  <c r="CD483" i="2"/>
  <c r="CB483" i="2"/>
  <c r="BZ483" i="2"/>
  <c r="BX483" i="2"/>
  <c r="BU483" i="2"/>
  <c r="BT483" i="2"/>
  <c r="BS483" i="2"/>
  <c r="BM483" i="2"/>
  <c r="BL483" i="2"/>
  <c r="BK483" i="2"/>
  <c r="BE483" i="2"/>
  <c r="BB483" i="2"/>
  <c r="AY483" i="2"/>
  <c r="AM483" i="2"/>
  <c r="AD483" i="2"/>
  <c r="AA483" i="2"/>
  <c r="U483" i="2"/>
  <c r="O483" i="2"/>
  <c r="L483" i="2"/>
  <c r="I483" i="2"/>
  <c r="G483" i="2"/>
  <c r="F483" i="2"/>
  <c r="E483" i="2"/>
  <c r="C483" i="2"/>
  <c r="B483" i="2"/>
  <c r="DJ482" i="2"/>
  <c r="DF482" i="2"/>
  <c r="DD482" i="2"/>
  <c r="CZ482" i="2"/>
  <c r="CV482" i="2"/>
  <c r="CR482" i="2"/>
  <c r="CP482" i="2"/>
  <c r="CN482" i="2"/>
  <c r="CH482" i="2"/>
  <c r="CF482" i="2"/>
  <c r="CD482" i="2"/>
  <c r="CB482" i="2"/>
  <c r="BZ482" i="2"/>
  <c r="BX482" i="2"/>
  <c r="BU482" i="2"/>
  <c r="BT482" i="2"/>
  <c r="BS482" i="2"/>
  <c r="BM482" i="2"/>
  <c r="BL482" i="2"/>
  <c r="BK482" i="2"/>
  <c r="BE482" i="2"/>
  <c r="BB482" i="2"/>
  <c r="AY482" i="2"/>
  <c r="AM482" i="2"/>
  <c r="AD482" i="2"/>
  <c r="AA482" i="2"/>
  <c r="U482" i="2"/>
  <c r="O482" i="2"/>
  <c r="L482" i="2"/>
  <c r="I482" i="2"/>
  <c r="G482" i="2"/>
  <c r="F482" i="2"/>
  <c r="E482" i="2"/>
  <c r="BV482" i="2" s="1"/>
  <c r="C482" i="2"/>
  <c r="B482" i="2"/>
  <c r="DJ481" i="2"/>
  <c r="DF481" i="2"/>
  <c r="DD481" i="2"/>
  <c r="CZ481" i="2"/>
  <c r="CV481" i="2"/>
  <c r="CR481" i="2"/>
  <c r="CP481" i="2"/>
  <c r="CN481" i="2"/>
  <c r="CH481" i="2"/>
  <c r="CF481" i="2"/>
  <c r="CD481" i="2"/>
  <c r="CB481" i="2"/>
  <c r="BZ481" i="2"/>
  <c r="BX481" i="2"/>
  <c r="BU481" i="2"/>
  <c r="BT481" i="2"/>
  <c r="BS481" i="2"/>
  <c r="BM481" i="2"/>
  <c r="BL481" i="2"/>
  <c r="BK481" i="2"/>
  <c r="BE481" i="2"/>
  <c r="BB481" i="2"/>
  <c r="AY481" i="2"/>
  <c r="AM481" i="2"/>
  <c r="AD481" i="2"/>
  <c r="AA481" i="2"/>
  <c r="U481" i="2"/>
  <c r="O481" i="2"/>
  <c r="L481" i="2"/>
  <c r="I481" i="2"/>
  <c r="G481" i="2"/>
  <c r="F481" i="2"/>
  <c r="E481" i="2"/>
  <c r="C481" i="2"/>
  <c r="B481" i="2"/>
  <c r="DJ480" i="2"/>
  <c r="DF480" i="2"/>
  <c r="DD480" i="2"/>
  <c r="CZ480" i="2"/>
  <c r="CV480" i="2"/>
  <c r="CR480" i="2"/>
  <c r="CP480" i="2"/>
  <c r="CN480" i="2"/>
  <c r="CH480" i="2"/>
  <c r="CF480" i="2"/>
  <c r="CD480" i="2"/>
  <c r="CB480" i="2"/>
  <c r="BZ480" i="2"/>
  <c r="BX480" i="2"/>
  <c r="BU480" i="2"/>
  <c r="BT480" i="2"/>
  <c r="BS480" i="2"/>
  <c r="BM480" i="2"/>
  <c r="BL480" i="2"/>
  <c r="BK480" i="2"/>
  <c r="BE480" i="2"/>
  <c r="BB480" i="2"/>
  <c r="AY480" i="2"/>
  <c r="AM480" i="2"/>
  <c r="AD480" i="2"/>
  <c r="AA480" i="2"/>
  <c r="U480" i="2"/>
  <c r="O480" i="2"/>
  <c r="L480" i="2"/>
  <c r="I480" i="2"/>
  <c r="G480" i="2"/>
  <c r="F480" i="2"/>
  <c r="E480" i="2"/>
  <c r="C480" i="2"/>
  <c r="B480" i="2"/>
  <c r="DJ479" i="2"/>
  <c r="DF479" i="2"/>
  <c r="DD479" i="2"/>
  <c r="CZ479" i="2"/>
  <c r="CV479" i="2"/>
  <c r="CR479" i="2"/>
  <c r="CP479" i="2"/>
  <c r="CN479" i="2"/>
  <c r="CH479" i="2"/>
  <c r="CF479" i="2"/>
  <c r="CD479" i="2"/>
  <c r="CB479" i="2"/>
  <c r="BZ479" i="2"/>
  <c r="BX479" i="2"/>
  <c r="BU479" i="2"/>
  <c r="BT479" i="2"/>
  <c r="BS479" i="2"/>
  <c r="BM479" i="2"/>
  <c r="BL479" i="2"/>
  <c r="BK479" i="2"/>
  <c r="BE479" i="2"/>
  <c r="BB479" i="2"/>
  <c r="AY479" i="2"/>
  <c r="AM479" i="2"/>
  <c r="AD479" i="2"/>
  <c r="AA479" i="2"/>
  <c r="U479" i="2"/>
  <c r="O479" i="2"/>
  <c r="L479" i="2"/>
  <c r="I479" i="2"/>
  <c r="G479" i="2"/>
  <c r="F479" i="2"/>
  <c r="E479" i="2"/>
  <c r="C479" i="2"/>
  <c r="B479" i="2"/>
  <c r="DJ478" i="2"/>
  <c r="DF478" i="2"/>
  <c r="DD478" i="2"/>
  <c r="CZ478" i="2"/>
  <c r="CV478" i="2"/>
  <c r="CR478" i="2"/>
  <c r="CP478" i="2"/>
  <c r="CN478" i="2"/>
  <c r="CH478" i="2"/>
  <c r="CF478" i="2"/>
  <c r="CD478" i="2"/>
  <c r="CB478" i="2"/>
  <c r="BZ478" i="2"/>
  <c r="BX478" i="2"/>
  <c r="BU478" i="2"/>
  <c r="BT478" i="2"/>
  <c r="BS478" i="2"/>
  <c r="BM478" i="2"/>
  <c r="BL478" i="2"/>
  <c r="BK478" i="2"/>
  <c r="BE478" i="2"/>
  <c r="BB478" i="2"/>
  <c r="AY478" i="2"/>
  <c r="AM478" i="2"/>
  <c r="AD478" i="2"/>
  <c r="AA478" i="2"/>
  <c r="U478" i="2"/>
  <c r="O478" i="2"/>
  <c r="L478" i="2"/>
  <c r="I478" i="2"/>
  <c r="G478" i="2"/>
  <c r="F478" i="2"/>
  <c r="E478" i="2"/>
  <c r="C478" i="2"/>
  <c r="B478" i="2"/>
  <c r="DJ477" i="2"/>
  <c r="DF477" i="2"/>
  <c r="DD477" i="2"/>
  <c r="CZ477" i="2"/>
  <c r="CV477" i="2"/>
  <c r="CR477" i="2"/>
  <c r="CP477" i="2"/>
  <c r="CN477" i="2"/>
  <c r="CH477" i="2"/>
  <c r="CF477" i="2"/>
  <c r="CD477" i="2"/>
  <c r="CB477" i="2"/>
  <c r="BZ477" i="2"/>
  <c r="BX477" i="2"/>
  <c r="BU477" i="2"/>
  <c r="BT477" i="2"/>
  <c r="BS477" i="2"/>
  <c r="BM477" i="2"/>
  <c r="BL477" i="2"/>
  <c r="BK477" i="2"/>
  <c r="BE477" i="2"/>
  <c r="BB477" i="2"/>
  <c r="AY477" i="2"/>
  <c r="AM477" i="2"/>
  <c r="AD477" i="2"/>
  <c r="AA477" i="2"/>
  <c r="U477" i="2"/>
  <c r="O477" i="2"/>
  <c r="R477" i="2" s="1"/>
  <c r="L477" i="2"/>
  <c r="I477" i="2"/>
  <c r="G477" i="2"/>
  <c r="F477" i="2"/>
  <c r="E477" i="2"/>
  <c r="BY477" i="2" s="1"/>
  <c r="C477" i="2"/>
  <c r="B477" i="2"/>
  <c r="DJ476" i="2"/>
  <c r="DF476" i="2"/>
  <c r="DD476" i="2"/>
  <c r="CZ476" i="2"/>
  <c r="CV476" i="2"/>
  <c r="CR476" i="2"/>
  <c r="CP476" i="2"/>
  <c r="CN476" i="2"/>
  <c r="CH476" i="2"/>
  <c r="CF476" i="2"/>
  <c r="CD476" i="2"/>
  <c r="CB476" i="2"/>
  <c r="BZ476" i="2"/>
  <c r="BX476" i="2"/>
  <c r="BU476" i="2"/>
  <c r="BT476" i="2"/>
  <c r="BS476" i="2"/>
  <c r="BM476" i="2"/>
  <c r="BL476" i="2"/>
  <c r="BK476" i="2"/>
  <c r="BE476" i="2"/>
  <c r="BB476" i="2"/>
  <c r="AY476" i="2"/>
  <c r="AM476" i="2"/>
  <c r="AD476" i="2"/>
  <c r="AA476" i="2"/>
  <c r="U476" i="2"/>
  <c r="O476" i="2"/>
  <c r="L476" i="2"/>
  <c r="I476" i="2"/>
  <c r="G476" i="2"/>
  <c r="F476" i="2"/>
  <c r="E476" i="2"/>
  <c r="BY476" i="2" s="1"/>
  <c r="C476" i="2"/>
  <c r="B476" i="2"/>
  <c r="DJ475" i="2"/>
  <c r="DF475" i="2"/>
  <c r="DD475" i="2"/>
  <c r="CZ475" i="2"/>
  <c r="CV475" i="2"/>
  <c r="CR475" i="2"/>
  <c r="CP475" i="2"/>
  <c r="CN475" i="2"/>
  <c r="CH475" i="2"/>
  <c r="CF475" i="2"/>
  <c r="CD475" i="2"/>
  <c r="CB475" i="2"/>
  <c r="BZ475" i="2"/>
  <c r="BX475" i="2"/>
  <c r="BU475" i="2"/>
  <c r="BT475" i="2"/>
  <c r="BS475" i="2"/>
  <c r="BM475" i="2"/>
  <c r="BL475" i="2"/>
  <c r="BK475" i="2"/>
  <c r="BE475" i="2"/>
  <c r="BB475" i="2"/>
  <c r="AY475" i="2"/>
  <c r="AM475" i="2"/>
  <c r="AD475" i="2"/>
  <c r="AA475" i="2"/>
  <c r="U475" i="2"/>
  <c r="O475" i="2"/>
  <c r="L475" i="2"/>
  <c r="I475" i="2"/>
  <c r="G475" i="2"/>
  <c r="F475" i="2"/>
  <c r="E475" i="2"/>
  <c r="C475" i="2"/>
  <c r="B475" i="2"/>
  <c r="DJ474" i="2"/>
  <c r="DF474" i="2"/>
  <c r="DD474" i="2"/>
  <c r="CZ474" i="2"/>
  <c r="CV474" i="2"/>
  <c r="CR474" i="2"/>
  <c r="CP474" i="2"/>
  <c r="CN474" i="2"/>
  <c r="CH474" i="2"/>
  <c r="CF474" i="2"/>
  <c r="CD474" i="2"/>
  <c r="CB474" i="2"/>
  <c r="BZ474" i="2"/>
  <c r="BX474" i="2"/>
  <c r="BU474" i="2"/>
  <c r="BT474" i="2"/>
  <c r="BS474" i="2"/>
  <c r="BM474" i="2"/>
  <c r="BL474" i="2"/>
  <c r="BK474" i="2"/>
  <c r="BE474" i="2"/>
  <c r="BB474" i="2"/>
  <c r="AY474" i="2"/>
  <c r="AM474" i="2"/>
  <c r="AD474" i="2"/>
  <c r="AA474" i="2"/>
  <c r="U474" i="2"/>
  <c r="O474" i="2"/>
  <c r="L474" i="2"/>
  <c r="I474" i="2"/>
  <c r="G474" i="2"/>
  <c r="F474" i="2"/>
  <c r="E474" i="2"/>
  <c r="BW474" i="2" s="1"/>
  <c r="C474" i="2"/>
  <c r="B474" i="2"/>
  <c r="DJ473" i="2"/>
  <c r="DF473" i="2"/>
  <c r="DD473" i="2"/>
  <c r="CZ473" i="2"/>
  <c r="CV473" i="2"/>
  <c r="CR473" i="2"/>
  <c r="CP473" i="2"/>
  <c r="CN473" i="2"/>
  <c r="CH473" i="2"/>
  <c r="CF473" i="2"/>
  <c r="CD473" i="2"/>
  <c r="CB473" i="2"/>
  <c r="BZ473" i="2"/>
  <c r="BX473" i="2"/>
  <c r="BU473" i="2"/>
  <c r="BT473" i="2"/>
  <c r="BS473" i="2"/>
  <c r="BM473" i="2"/>
  <c r="BL473" i="2"/>
  <c r="BK473" i="2"/>
  <c r="BE473" i="2"/>
  <c r="BB473" i="2"/>
  <c r="AY473" i="2"/>
  <c r="AM473" i="2"/>
  <c r="AD473" i="2"/>
  <c r="AA473" i="2"/>
  <c r="U473" i="2"/>
  <c r="O473" i="2"/>
  <c r="L473" i="2"/>
  <c r="I473" i="2"/>
  <c r="G473" i="2"/>
  <c r="F473" i="2"/>
  <c r="E473" i="2"/>
  <c r="C473" i="2"/>
  <c r="B473" i="2"/>
  <c r="DJ472" i="2"/>
  <c r="DF472" i="2"/>
  <c r="DD472" i="2"/>
  <c r="CZ472" i="2"/>
  <c r="CV472" i="2"/>
  <c r="CR472" i="2"/>
  <c r="CP472" i="2"/>
  <c r="CN472" i="2"/>
  <c r="CH472" i="2"/>
  <c r="CF472" i="2"/>
  <c r="CD472" i="2"/>
  <c r="CB472" i="2"/>
  <c r="BZ472" i="2"/>
  <c r="BX472" i="2"/>
  <c r="BU472" i="2"/>
  <c r="BT472" i="2"/>
  <c r="BS472" i="2"/>
  <c r="BM472" i="2"/>
  <c r="BL472" i="2"/>
  <c r="BK472" i="2"/>
  <c r="BE472" i="2"/>
  <c r="BB472" i="2"/>
  <c r="AY472" i="2"/>
  <c r="AM472" i="2"/>
  <c r="AD472" i="2"/>
  <c r="AA472" i="2"/>
  <c r="U472" i="2"/>
  <c r="O472" i="2"/>
  <c r="L472" i="2"/>
  <c r="I472" i="2"/>
  <c r="G472" i="2"/>
  <c r="F472" i="2"/>
  <c r="E472" i="2"/>
  <c r="C472" i="2"/>
  <c r="B472" i="2"/>
  <c r="DJ471" i="2"/>
  <c r="DF471" i="2"/>
  <c r="DD471" i="2"/>
  <c r="CZ471" i="2"/>
  <c r="CV471" i="2"/>
  <c r="CR471" i="2"/>
  <c r="CP471" i="2"/>
  <c r="CN471" i="2"/>
  <c r="CH471" i="2"/>
  <c r="CF471" i="2"/>
  <c r="CD471" i="2"/>
  <c r="CB471" i="2"/>
  <c r="BZ471" i="2"/>
  <c r="BX471" i="2"/>
  <c r="BU471" i="2"/>
  <c r="BT471" i="2"/>
  <c r="BS471" i="2"/>
  <c r="BM471" i="2"/>
  <c r="BL471" i="2"/>
  <c r="BK471" i="2"/>
  <c r="BE471" i="2"/>
  <c r="BB471" i="2"/>
  <c r="AY471" i="2"/>
  <c r="AM471" i="2"/>
  <c r="AD471" i="2"/>
  <c r="AA471" i="2"/>
  <c r="U471" i="2"/>
  <c r="O471" i="2"/>
  <c r="L471" i="2"/>
  <c r="I471" i="2"/>
  <c r="G471" i="2"/>
  <c r="F471" i="2"/>
  <c r="E471" i="2"/>
  <c r="BV471" i="2" s="1"/>
  <c r="C471" i="2"/>
  <c r="B471" i="2"/>
  <c r="DJ470" i="2"/>
  <c r="DF470" i="2"/>
  <c r="DD470" i="2"/>
  <c r="CZ470" i="2"/>
  <c r="CV470" i="2"/>
  <c r="CR470" i="2"/>
  <c r="CP470" i="2"/>
  <c r="CN470" i="2"/>
  <c r="CH470" i="2"/>
  <c r="CF470" i="2"/>
  <c r="CD470" i="2"/>
  <c r="CB470" i="2"/>
  <c r="BZ470" i="2"/>
  <c r="BX470" i="2"/>
  <c r="BU470" i="2"/>
  <c r="BT470" i="2"/>
  <c r="BS470" i="2"/>
  <c r="BM470" i="2"/>
  <c r="BL470" i="2"/>
  <c r="BK470" i="2"/>
  <c r="BE470" i="2"/>
  <c r="BB470" i="2"/>
  <c r="AY470" i="2"/>
  <c r="AM470" i="2"/>
  <c r="AD470" i="2"/>
  <c r="AA470" i="2"/>
  <c r="U470" i="2"/>
  <c r="O470" i="2"/>
  <c r="L470" i="2"/>
  <c r="I470" i="2"/>
  <c r="G470" i="2"/>
  <c r="F470" i="2"/>
  <c r="E470" i="2"/>
  <c r="BV470" i="2" s="1"/>
  <c r="C470" i="2"/>
  <c r="B470" i="2"/>
  <c r="DJ469" i="2"/>
  <c r="DF469" i="2"/>
  <c r="DD469" i="2"/>
  <c r="CZ469" i="2"/>
  <c r="CV469" i="2"/>
  <c r="CR469" i="2"/>
  <c r="CP469" i="2"/>
  <c r="CN469" i="2"/>
  <c r="CH469" i="2"/>
  <c r="CF469" i="2"/>
  <c r="CD469" i="2"/>
  <c r="CB469" i="2"/>
  <c r="BZ469" i="2"/>
  <c r="BX469" i="2"/>
  <c r="BU469" i="2"/>
  <c r="BT469" i="2"/>
  <c r="BS469" i="2"/>
  <c r="BM469" i="2"/>
  <c r="BL469" i="2"/>
  <c r="BK469" i="2"/>
  <c r="BE469" i="2"/>
  <c r="BB469" i="2"/>
  <c r="AY469" i="2"/>
  <c r="AM469" i="2"/>
  <c r="AD469" i="2"/>
  <c r="AA469" i="2"/>
  <c r="U469" i="2"/>
  <c r="O469" i="2"/>
  <c r="L469" i="2"/>
  <c r="I469" i="2"/>
  <c r="G469" i="2"/>
  <c r="F469" i="2"/>
  <c r="E469" i="2"/>
  <c r="BV469" i="2" s="1"/>
  <c r="C469" i="2"/>
  <c r="B469" i="2"/>
  <c r="DJ468" i="2"/>
  <c r="DF468" i="2"/>
  <c r="DD468" i="2"/>
  <c r="CZ468" i="2"/>
  <c r="CV468" i="2"/>
  <c r="CR468" i="2"/>
  <c r="CP468" i="2"/>
  <c r="CN468" i="2"/>
  <c r="CH468" i="2"/>
  <c r="CF468" i="2"/>
  <c r="CD468" i="2"/>
  <c r="CB468" i="2"/>
  <c r="BZ468" i="2"/>
  <c r="BX468" i="2"/>
  <c r="BU468" i="2"/>
  <c r="BT468" i="2"/>
  <c r="BS468" i="2"/>
  <c r="BM468" i="2"/>
  <c r="BL468" i="2"/>
  <c r="BK468" i="2"/>
  <c r="BE468" i="2"/>
  <c r="BB468" i="2"/>
  <c r="AY468" i="2"/>
  <c r="AM468" i="2"/>
  <c r="AD468" i="2"/>
  <c r="AA468" i="2"/>
  <c r="U468" i="2"/>
  <c r="O468" i="2"/>
  <c r="L468" i="2"/>
  <c r="I468" i="2"/>
  <c r="G468" i="2"/>
  <c r="F468" i="2"/>
  <c r="E468" i="2"/>
  <c r="C468" i="2"/>
  <c r="B468" i="2"/>
  <c r="DJ467" i="2"/>
  <c r="DF467" i="2"/>
  <c r="DD467" i="2"/>
  <c r="CZ467" i="2"/>
  <c r="CV467" i="2"/>
  <c r="CR467" i="2"/>
  <c r="CP467" i="2"/>
  <c r="CN467" i="2"/>
  <c r="CH467" i="2"/>
  <c r="CF467" i="2"/>
  <c r="CD467" i="2"/>
  <c r="CB467" i="2"/>
  <c r="BZ467" i="2"/>
  <c r="BX467" i="2"/>
  <c r="BU467" i="2"/>
  <c r="BT467" i="2"/>
  <c r="BS467" i="2"/>
  <c r="BM467" i="2"/>
  <c r="BL467" i="2"/>
  <c r="BK467" i="2"/>
  <c r="BE467" i="2"/>
  <c r="BB467" i="2"/>
  <c r="AY467" i="2"/>
  <c r="AM467" i="2"/>
  <c r="AD467" i="2"/>
  <c r="AA467" i="2"/>
  <c r="U467" i="2"/>
  <c r="O467" i="2"/>
  <c r="L467" i="2"/>
  <c r="I467" i="2"/>
  <c r="G467" i="2"/>
  <c r="F467" i="2"/>
  <c r="E467" i="2"/>
  <c r="BV467" i="2" s="1"/>
  <c r="C467" i="2"/>
  <c r="B467" i="2"/>
  <c r="DJ466" i="2"/>
  <c r="DF466" i="2"/>
  <c r="DD466" i="2"/>
  <c r="CZ466" i="2"/>
  <c r="CV466" i="2"/>
  <c r="CR466" i="2"/>
  <c r="CP466" i="2"/>
  <c r="CN466" i="2"/>
  <c r="CH466" i="2"/>
  <c r="CF466" i="2"/>
  <c r="CD466" i="2"/>
  <c r="CB466" i="2"/>
  <c r="BZ466" i="2"/>
  <c r="BX466" i="2"/>
  <c r="BU466" i="2"/>
  <c r="BT466" i="2"/>
  <c r="BS466" i="2"/>
  <c r="BM466" i="2"/>
  <c r="BL466" i="2"/>
  <c r="BK466" i="2"/>
  <c r="BE466" i="2"/>
  <c r="BB466" i="2"/>
  <c r="AY466" i="2"/>
  <c r="AM466" i="2"/>
  <c r="AD466" i="2"/>
  <c r="AA466" i="2"/>
  <c r="U466" i="2"/>
  <c r="O466" i="2"/>
  <c r="L466" i="2"/>
  <c r="I466" i="2"/>
  <c r="G466" i="2"/>
  <c r="F466" i="2"/>
  <c r="E466" i="2"/>
  <c r="BV466" i="2" s="1"/>
  <c r="C466" i="2"/>
  <c r="B466" i="2"/>
  <c r="DJ465" i="2"/>
  <c r="DF465" i="2"/>
  <c r="DD465" i="2"/>
  <c r="CZ465" i="2"/>
  <c r="CV465" i="2"/>
  <c r="CR465" i="2"/>
  <c r="CP465" i="2"/>
  <c r="CN465" i="2"/>
  <c r="CH465" i="2"/>
  <c r="CF465" i="2"/>
  <c r="CD465" i="2"/>
  <c r="CB465" i="2"/>
  <c r="BZ465" i="2"/>
  <c r="BX465" i="2"/>
  <c r="BU465" i="2"/>
  <c r="BT465" i="2"/>
  <c r="BS465" i="2"/>
  <c r="BM465" i="2"/>
  <c r="BL465" i="2"/>
  <c r="BK465" i="2"/>
  <c r="BE465" i="2"/>
  <c r="BB465" i="2"/>
  <c r="AY465" i="2"/>
  <c r="AM465" i="2"/>
  <c r="AD465" i="2"/>
  <c r="AA465" i="2"/>
  <c r="U465" i="2"/>
  <c r="O465" i="2"/>
  <c r="L465" i="2"/>
  <c r="I465" i="2"/>
  <c r="G465" i="2"/>
  <c r="F465" i="2"/>
  <c r="E465" i="2"/>
  <c r="BV465" i="2" s="1"/>
  <c r="C465" i="2"/>
  <c r="B465" i="2"/>
  <c r="DJ464" i="2"/>
  <c r="DF464" i="2"/>
  <c r="DD464" i="2"/>
  <c r="CZ464" i="2"/>
  <c r="CV464" i="2"/>
  <c r="CR464" i="2"/>
  <c r="CP464" i="2"/>
  <c r="CN464" i="2"/>
  <c r="CH464" i="2"/>
  <c r="CF464" i="2"/>
  <c r="CD464" i="2"/>
  <c r="CB464" i="2"/>
  <c r="BZ464" i="2"/>
  <c r="BX464" i="2"/>
  <c r="BU464" i="2"/>
  <c r="BT464" i="2"/>
  <c r="BS464" i="2"/>
  <c r="BM464" i="2"/>
  <c r="BL464" i="2"/>
  <c r="BK464" i="2"/>
  <c r="BE464" i="2"/>
  <c r="BB464" i="2"/>
  <c r="AY464" i="2"/>
  <c r="AM464" i="2"/>
  <c r="AD464" i="2"/>
  <c r="AA464" i="2"/>
  <c r="U464" i="2"/>
  <c r="O464" i="2"/>
  <c r="L464" i="2"/>
  <c r="I464" i="2"/>
  <c r="G464" i="2"/>
  <c r="F464" i="2"/>
  <c r="E464" i="2"/>
  <c r="BV464" i="2" s="1"/>
  <c r="C464" i="2"/>
  <c r="B464" i="2"/>
  <c r="DJ463" i="2"/>
  <c r="DF463" i="2"/>
  <c r="DD463" i="2"/>
  <c r="CZ463" i="2"/>
  <c r="CV463" i="2"/>
  <c r="CR463" i="2"/>
  <c r="CP463" i="2"/>
  <c r="CN463" i="2"/>
  <c r="CH463" i="2"/>
  <c r="CF463" i="2"/>
  <c r="CD463" i="2"/>
  <c r="CB463" i="2"/>
  <c r="BZ463" i="2"/>
  <c r="BX463" i="2"/>
  <c r="BU463" i="2"/>
  <c r="BT463" i="2"/>
  <c r="BS463" i="2"/>
  <c r="BM463" i="2"/>
  <c r="BL463" i="2"/>
  <c r="BK463" i="2"/>
  <c r="BE463" i="2"/>
  <c r="BB463" i="2"/>
  <c r="AY463" i="2"/>
  <c r="AM463" i="2"/>
  <c r="AD463" i="2"/>
  <c r="AA463" i="2"/>
  <c r="U463" i="2"/>
  <c r="O463" i="2"/>
  <c r="L463" i="2"/>
  <c r="I463" i="2"/>
  <c r="G463" i="2"/>
  <c r="F463" i="2"/>
  <c r="E463" i="2"/>
  <c r="BV463" i="2" s="1"/>
  <c r="C463" i="2"/>
  <c r="B463" i="2"/>
  <c r="DJ462" i="2"/>
  <c r="DF462" i="2"/>
  <c r="DD462" i="2"/>
  <c r="CZ462" i="2"/>
  <c r="CV462" i="2"/>
  <c r="CR462" i="2"/>
  <c r="CP462" i="2"/>
  <c r="CN462" i="2"/>
  <c r="CH462" i="2"/>
  <c r="CF462" i="2"/>
  <c r="CD462" i="2"/>
  <c r="CB462" i="2"/>
  <c r="BZ462" i="2"/>
  <c r="BX462" i="2"/>
  <c r="BU462" i="2"/>
  <c r="BT462" i="2"/>
  <c r="BS462" i="2"/>
  <c r="BM462" i="2"/>
  <c r="BL462" i="2"/>
  <c r="BK462" i="2"/>
  <c r="BE462" i="2"/>
  <c r="BB462" i="2"/>
  <c r="AY462" i="2"/>
  <c r="AM462" i="2"/>
  <c r="AD462" i="2"/>
  <c r="AA462" i="2"/>
  <c r="U462" i="2"/>
  <c r="O462" i="2"/>
  <c r="L462" i="2"/>
  <c r="I462" i="2"/>
  <c r="G462" i="2"/>
  <c r="F462" i="2"/>
  <c r="E462" i="2"/>
  <c r="BV462" i="2" s="1"/>
  <c r="C462" i="2"/>
  <c r="B462" i="2"/>
  <c r="DJ461" i="2"/>
  <c r="DF461" i="2"/>
  <c r="DD461" i="2"/>
  <c r="CZ461" i="2"/>
  <c r="CV461" i="2"/>
  <c r="CR461" i="2"/>
  <c r="CP461" i="2"/>
  <c r="CN461" i="2"/>
  <c r="CH461" i="2"/>
  <c r="CF461" i="2"/>
  <c r="CD461" i="2"/>
  <c r="CB461" i="2"/>
  <c r="BZ461" i="2"/>
  <c r="BX461" i="2"/>
  <c r="BU461" i="2"/>
  <c r="BT461" i="2"/>
  <c r="BS461" i="2"/>
  <c r="BM461" i="2"/>
  <c r="BL461" i="2"/>
  <c r="BK461" i="2"/>
  <c r="BE461" i="2"/>
  <c r="BB461" i="2"/>
  <c r="AY461" i="2"/>
  <c r="AM461" i="2"/>
  <c r="AD461" i="2"/>
  <c r="AA461" i="2"/>
  <c r="U461" i="2"/>
  <c r="O461" i="2"/>
  <c r="L461" i="2"/>
  <c r="I461" i="2"/>
  <c r="G461" i="2"/>
  <c r="F461" i="2"/>
  <c r="E461" i="2"/>
  <c r="BW461" i="2" s="1"/>
  <c r="C461" i="2"/>
  <c r="B461" i="2"/>
  <c r="DJ460" i="2"/>
  <c r="DF460" i="2"/>
  <c r="DD460" i="2"/>
  <c r="CZ460" i="2"/>
  <c r="CV460" i="2"/>
  <c r="CR460" i="2"/>
  <c r="CP460" i="2"/>
  <c r="CN460" i="2"/>
  <c r="CH460" i="2"/>
  <c r="CF460" i="2"/>
  <c r="CD460" i="2"/>
  <c r="CB460" i="2"/>
  <c r="BZ460" i="2"/>
  <c r="BX460" i="2"/>
  <c r="BU460" i="2"/>
  <c r="BT460" i="2"/>
  <c r="BS460" i="2"/>
  <c r="BM460" i="2"/>
  <c r="BL460" i="2"/>
  <c r="BK460" i="2"/>
  <c r="BE460" i="2"/>
  <c r="BB460" i="2"/>
  <c r="AY460" i="2"/>
  <c r="AM460" i="2"/>
  <c r="AD460" i="2"/>
  <c r="AA460" i="2"/>
  <c r="U460" i="2"/>
  <c r="O460" i="2"/>
  <c r="L460" i="2"/>
  <c r="I460" i="2"/>
  <c r="G460" i="2"/>
  <c r="F460" i="2"/>
  <c r="E460" i="2"/>
  <c r="BW460" i="2" s="1"/>
  <c r="C460" i="2"/>
  <c r="B460" i="2"/>
  <c r="DJ459" i="2"/>
  <c r="DF459" i="2"/>
  <c r="DD459" i="2"/>
  <c r="CZ459" i="2"/>
  <c r="CV459" i="2"/>
  <c r="CR459" i="2"/>
  <c r="CP459" i="2"/>
  <c r="CN459" i="2"/>
  <c r="CH459" i="2"/>
  <c r="CF459" i="2"/>
  <c r="CD459" i="2"/>
  <c r="CB459" i="2"/>
  <c r="BZ459" i="2"/>
  <c r="BX459" i="2"/>
  <c r="BU459" i="2"/>
  <c r="BT459" i="2"/>
  <c r="BS459" i="2"/>
  <c r="BM459" i="2"/>
  <c r="BL459" i="2"/>
  <c r="BK459" i="2"/>
  <c r="BE459" i="2"/>
  <c r="BB459" i="2"/>
  <c r="AY459" i="2"/>
  <c r="AM459" i="2"/>
  <c r="AD459" i="2"/>
  <c r="AA459" i="2"/>
  <c r="U459" i="2"/>
  <c r="O459" i="2"/>
  <c r="L459" i="2"/>
  <c r="I459" i="2"/>
  <c r="G459" i="2"/>
  <c r="F459" i="2"/>
  <c r="E459" i="2"/>
  <c r="BW459" i="2" s="1"/>
  <c r="C459" i="2"/>
  <c r="B459" i="2"/>
  <c r="DJ458" i="2"/>
  <c r="DF458" i="2"/>
  <c r="DD458" i="2"/>
  <c r="CZ458" i="2"/>
  <c r="CV458" i="2"/>
  <c r="CR458" i="2"/>
  <c r="CP458" i="2"/>
  <c r="CN458" i="2"/>
  <c r="CH458" i="2"/>
  <c r="CF458" i="2"/>
  <c r="CD458" i="2"/>
  <c r="CB458" i="2"/>
  <c r="BZ458" i="2"/>
  <c r="BX458" i="2"/>
  <c r="BU458" i="2"/>
  <c r="BT458" i="2"/>
  <c r="BS458" i="2"/>
  <c r="BM458" i="2"/>
  <c r="BL458" i="2"/>
  <c r="BK458" i="2"/>
  <c r="BE458" i="2"/>
  <c r="BB458" i="2"/>
  <c r="AY458" i="2"/>
  <c r="AM458" i="2"/>
  <c r="AD458" i="2"/>
  <c r="AA458" i="2"/>
  <c r="U458" i="2"/>
  <c r="O458" i="2"/>
  <c r="L458" i="2"/>
  <c r="I458" i="2"/>
  <c r="G458" i="2"/>
  <c r="F458" i="2"/>
  <c r="E458" i="2"/>
  <c r="BV458" i="2" s="1"/>
  <c r="C458" i="2"/>
  <c r="B458" i="2"/>
  <c r="DJ457" i="2"/>
  <c r="DF457" i="2"/>
  <c r="DD457" i="2"/>
  <c r="CZ457" i="2"/>
  <c r="CV457" i="2"/>
  <c r="CR457" i="2"/>
  <c r="CP457" i="2"/>
  <c r="CN457" i="2"/>
  <c r="CH457" i="2"/>
  <c r="CF457" i="2"/>
  <c r="CD457" i="2"/>
  <c r="CB457" i="2"/>
  <c r="BZ457" i="2"/>
  <c r="BX457" i="2"/>
  <c r="BU457" i="2"/>
  <c r="BT457" i="2"/>
  <c r="BS457" i="2"/>
  <c r="BM457" i="2"/>
  <c r="BL457" i="2"/>
  <c r="BK457" i="2"/>
  <c r="BE457" i="2"/>
  <c r="BB457" i="2"/>
  <c r="AY457" i="2"/>
  <c r="AM457" i="2"/>
  <c r="AD457" i="2"/>
  <c r="AA457" i="2"/>
  <c r="U457" i="2"/>
  <c r="O457" i="2"/>
  <c r="L457" i="2"/>
  <c r="I457" i="2"/>
  <c r="G457" i="2"/>
  <c r="F457" i="2"/>
  <c r="E457" i="2"/>
  <c r="C457" i="2"/>
  <c r="B457" i="2"/>
  <c r="DJ456" i="2"/>
  <c r="DF456" i="2"/>
  <c r="DD456" i="2"/>
  <c r="CZ456" i="2"/>
  <c r="CV456" i="2"/>
  <c r="CR456" i="2"/>
  <c r="CP456" i="2"/>
  <c r="CN456" i="2"/>
  <c r="CH456" i="2"/>
  <c r="CF456" i="2"/>
  <c r="CD456" i="2"/>
  <c r="CB456" i="2"/>
  <c r="BZ456" i="2"/>
  <c r="BX456" i="2"/>
  <c r="BU456" i="2"/>
  <c r="BT456" i="2"/>
  <c r="BS456" i="2"/>
  <c r="BM456" i="2"/>
  <c r="BL456" i="2"/>
  <c r="BK456" i="2"/>
  <c r="BE456" i="2"/>
  <c r="BB456" i="2"/>
  <c r="AY456" i="2"/>
  <c r="AM456" i="2"/>
  <c r="AD456" i="2"/>
  <c r="AA456" i="2"/>
  <c r="U456" i="2"/>
  <c r="O456" i="2"/>
  <c r="L456" i="2"/>
  <c r="I456" i="2"/>
  <c r="G456" i="2"/>
  <c r="F456" i="2"/>
  <c r="E456" i="2"/>
  <c r="BW456" i="2" s="1"/>
  <c r="C456" i="2"/>
  <c r="B456" i="2"/>
  <c r="DJ455" i="2"/>
  <c r="DF455" i="2"/>
  <c r="DD455" i="2"/>
  <c r="CZ455" i="2"/>
  <c r="CV455" i="2"/>
  <c r="CR455" i="2"/>
  <c r="CP455" i="2"/>
  <c r="CN455" i="2"/>
  <c r="CH455" i="2"/>
  <c r="CF455" i="2"/>
  <c r="CD455" i="2"/>
  <c r="CB455" i="2"/>
  <c r="BZ455" i="2"/>
  <c r="BX455" i="2"/>
  <c r="BU455" i="2"/>
  <c r="BT455" i="2"/>
  <c r="BS455" i="2"/>
  <c r="BM455" i="2"/>
  <c r="BL455" i="2"/>
  <c r="BK455" i="2"/>
  <c r="BE455" i="2"/>
  <c r="BB455" i="2"/>
  <c r="AY455" i="2"/>
  <c r="AM455" i="2"/>
  <c r="AD455" i="2"/>
  <c r="AA455" i="2"/>
  <c r="U455" i="2"/>
  <c r="O455" i="2"/>
  <c r="L455" i="2"/>
  <c r="I455" i="2"/>
  <c r="G455" i="2"/>
  <c r="F455" i="2"/>
  <c r="E455" i="2"/>
  <c r="C455" i="2"/>
  <c r="B455" i="2"/>
  <c r="DJ454" i="2"/>
  <c r="DF454" i="2"/>
  <c r="DD454" i="2"/>
  <c r="CZ454" i="2"/>
  <c r="CV454" i="2"/>
  <c r="CR454" i="2"/>
  <c r="CP454" i="2"/>
  <c r="CN454" i="2"/>
  <c r="CH454" i="2"/>
  <c r="CF454" i="2"/>
  <c r="CD454" i="2"/>
  <c r="CB454" i="2"/>
  <c r="BZ454" i="2"/>
  <c r="BX454" i="2"/>
  <c r="BU454" i="2"/>
  <c r="BT454" i="2"/>
  <c r="BS454" i="2"/>
  <c r="BM454" i="2"/>
  <c r="BL454" i="2"/>
  <c r="BK454" i="2"/>
  <c r="BE454" i="2"/>
  <c r="BB454" i="2"/>
  <c r="AY454" i="2"/>
  <c r="AM454" i="2"/>
  <c r="AD454" i="2"/>
  <c r="AA454" i="2"/>
  <c r="U454" i="2"/>
  <c r="O454" i="2"/>
  <c r="L454" i="2"/>
  <c r="I454" i="2"/>
  <c r="G454" i="2"/>
  <c r="F454" i="2"/>
  <c r="E454" i="2"/>
  <c r="C454" i="2"/>
  <c r="B454" i="2"/>
  <c r="DJ453" i="2"/>
  <c r="DF453" i="2"/>
  <c r="DD453" i="2"/>
  <c r="CZ453" i="2"/>
  <c r="CV453" i="2"/>
  <c r="CR453" i="2"/>
  <c r="CP453" i="2"/>
  <c r="CN453" i="2"/>
  <c r="CH453" i="2"/>
  <c r="CF453" i="2"/>
  <c r="CD453" i="2"/>
  <c r="CB453" i="2"/>
  <c r="BZ453" i="2"/>
  <c r="BX453" i="2"/>
  <c r="BU453" i="2"/>
  <c r="BT453" i="2"/>
  <c r="BS453" i="2"/>
  <c r="BM453" i="2"/>
  <c r="BL453" i="2"/>
  <c r="BK453" i="2"/>
  <c r="BE453" i="2"/>
  <c r="BB453" i="2"/>
  <c r="AY453" i="2"/>
  <c r="AM453" i="2"/>
  <c r="AD453" i="2"/>
  <c r="AA453" i="2"/>
  <c r="U453" i="2"/>
  <c r="O453" i="2"/>
  <c r="L453" i="2"/>
  <c r="I453" i="2"/>
  <c r="G453" i="2"/>
  <c r="F453" i="2"/>
  <c r="E453" i="2"/>
  <c r="BV453" i="2" s="1"/>
  <c r="C453" i="2"/>
  <c r="B453" i="2"/>
  <c r="DJ452" i="2"/>
  <c r="DF452" i="2"/>
  <c r="DD452" i="2"/>
  <c r="CZ452" i="2"/>
  <c r="CV452" i="2"/>
  <c r="CR452" i="2"/>
  <c r="CP452" i="2"/>
  <c r="CN452" i="2"/>
  <c r="CH452" i="2"/>
  <c r="CF452" i="2"/>
  <c r="CD452" i="2"/>
  <c r="CB452" i="2"/>
  <c r="BZ452" i="2"/>
  <c r="BX452" i="2"/>
  <c r="BU452" i="2"/>
  <c r="BT452" i="2"/>
  <c r="BS452" i="2"/>
  <c r="BM452" i="2"/>
  <c r="BL452" i="2"/>
  <c r="BK452" i="2"/>
  <c r="BE452" i="2"/>
  <c r="BB452" i="2"/>
  <c r="AY452" i="2"/>
  <c r="AM452" i="2"/>
  <c r="AD452" i="2"/>
  <c r="AA452" i="2"/>
  <c r="U452" i="2"/>
  <c r="O452" i="2"/>
  <c r="L452" i="2"/>
  <c r="I452" i="2"/>
  <c r="G452" i="2"/>
  <c r="F452" i="2"/>
  <c r="E452" i="2"/>
  <c r="BW452" i="2" s="1"/>
  <c r="C452" i="2"/>
  <c r="B452" i="2"/>
  <c r="DJ451" i="2"/>
  <c r="DF451" i="2"/>
  <c r="DD451" i="2"/>
  <c r="CZ451" i="2"/>
  <c r="CV451" i="2"/>
  <c r="CR451" i="2"/>
  <c r="CP451" i="2"/>
  <c r="CN451" i="2"/>
  <c r="CH451" i="2"/>
  <c r="CF451" i="2"/>
  <c r="CD451" i="2"/>
  <c r="CB451" i="2"/>
  <c r="BZ451" i="2"/>
  <c r="BX451" i="2"/>
  <c r="BU451" i="2"/>
  <c r="BT451" i="2"/>
  <c r="BS451" i="2"/>
  <c r="BM451" i="2"/>
  <c r="BL451" i="2"/>
  <c r="BK451" i="2"/>
  <c r="BE451" i="2"/>
  <c r="BB451" i="2"/>
  <c r="AY451" i="2"/>
  <c r="AM451" i="2"/>
  <c r="AD451" i="2"/>
  <c r="AA451" i="2"/>
  <c r="U451" i="2"/>
  <c r="O451" i="2"/>
  <c r="L451" i="2"/>
  <c r="I451" i="2"/>
  <c r="G451" i="2"/>
  <c r="F451" i="2"/>
  <c r="E451" i="2"/>
  <c r="BW451" i="2" s="1"/>
  <c r="C451" i="2"/>
  <c r="B451" i="2"/>
  <c r="DJ450" i="2"/>
  <c r="DF450" i="2"/>
  <c r="DD450" i="2"/>
  <c r="CZ450" i="2"/>
  <c r="CV450" i="2"/>
  <c r="CR450" i="2"/>
  <c r="CP450" i="2"/>
  <c r="CN450" i="2"/>
  <c r="CH450" i="2"/>
  <c r="CF450" i="2"/>
  <c r="CD450" i="2"/>
  <c r="CB450" i="2"/>
  <c r="BZ450" i="2"/>
  <c r="BX450" i="2"/>
  <c r="BU450" i="2"/>
  <c r="BT450" i="2"/>
  <c r="BS450" i="2"/>
  <c r="BM450" i="2"/>
  <c r="BL450" i="2"/>
  <c r="BK450" i="2"/>
  <c r="BE450" i="2"/>
  <c r="BB450" i="2"/>
  <c r="AY450" i="2"/>
  <c r="AM450" i="2"/>
  <c r="AD450" i="2"/>
  <c r="AA450" i="2"/>
  <c r="U450" i="2"/>
  <c r="O450" i="2"/>
  <c r="L450" i="2"/>
  <c r="I450" i="2"/>
  <c r="G450" i="2"/>
  <c r="F450" i="2"/>
  <c r="E450" i="2"/>
  <c r="C450" i="2"/>
  <c r="B450" i="2"/>
  <c r="DJ449" i="2"/>
  <c r="DF449" i="2"/>
  <c r="DD449" i="2"/>
  <c r="CZ449" i="2"/>
  <c r="CV449" i="2"/>
  <c r="CR449" i="2"/>
  <c r="CP449" i="2"/>
  <c r="CN449" i="2"/>
  <c r="CH449" i="2"/>
  <c r="CF449" i="2"/>
  <c r="CD449" i="2"/>
  <c r="CB449" i="2"/>
  <c r="BZ449" i="2"/>
  <c r="BX449" i="2"/>
  <c r="BU449" i="2"/>
  <c r="BT449" i="2"/>
  <c r="BS449" i="2"/>
  <c r="BM449" i="2"/>
  <c r="BL449" i="2"/>
  <c r="BK449" i="2"/>
  <c r="BE449" i="2"/>
  <c r="BB449" i="2"/>
  <c r="AY449" i="2"/>
  <c r="AM449" i="2"/>
  <c r="AD449" i="2"/>
  <c r="AA449" i="2"/>
  <c r="U449" i="2"/>
  <c r="O449" i="2"/>
  <c r="L449" i="2"/>
  <c r="I449" i="2"/>
  <c r="G449" i="2"/>
  <c r="F449" i="2"/>
  <c r="E449" i="2"/>
  <c r="BV449" i="2" s="1"/>
  <c r="C449" i="2"/>
  <c r="B449" i="2"/>
  <c r="DJ448" i="2"/>
  <c r="DF448" i="2"/>
  <c r="DD448" i="2"/>
  <c r="CZ448" i="2"/>
  <c r="CV448" i="2"/>
  <c r="CR448" i="2"/>
  <c r="CP448" i="2"/>
  <c r="CN448" i="2"/>
  <c r="CH448" i="2"/>
  <c r="CF448" i="2"/>
  <c r="CD448" i="2"/>
  <c r="CB448" i="2"/>
  <c r="BZ448" i="2"/>
  <c r="BX448" i="2"/>
  <c r="BU448" i="2"/>
  <c r="BT448" i="2"/>
  <c r="BS448" i="2"/>
  <c r="BM448" i="2"/>
  <c r="BL448" i="2"/>
  <c r="BK448" i="2"/>
  <c r="BE448" i="2"/>
  <c r="BB448" i="2"/>
  <c r="AY448" i="2"/>
  <c r="AM448" i="2"/>
  <c r="AD448" i="2"/>
  <c r="AA448" i="2"/>
  <c r="U448" i="2"/>
  <c r="O448" i="2"/>
  <c r="L448" i="2"/>
  <c r="I448" i="2"/>
  <c r="G448" i="2"/>
  <c r="F448" i="2"/>
  <c r="E448" i="2"/>
  <c r="BW448" i="2" s="1"/>
  <c r="C448" i="2"/>
  <c r="B448" i="2"/>
  <c r="DJ447" i="2"/>
  <c r="DF447" i="2"/>
  <c r="DD447" i="2"/>
  <c r="CZ447" i="2"/>
  <c r="CV447" i="2"/>
  <c r="CR447" i="2"/>
  <c r="CP447" i="2"/>
  <c r="CN447" i="2"/>
  <c r="CH447" i="2"/>
  <c r="CF447" i="2"/>
  <c r="CD447" i="2"/>
  <c r="CB447" i="2"/>
  <c r="BZ447" i="2"/>
  <c r="BX447" i="2"/>
  <c r="BU447" i="2"/>
  <c r="BT447" i="2"/>
  <c r="BS447" i="2"/>
  <c r="BM447" i="2"/>
  <c r="BL447" i="2"/>
  <c r="BK447" i="2"/>
  <c r="BE447" i="2"/>
  <c r="BB447" i="2"/>
  <c r="AY447" i="2"/>
  <c r="AM447" i="2"/>
  <c r="AD447" i="2"/>
  <c r="AA447" i="2"/>
  <c r="U447" i="2"/>
  <c r="O447" i="2"/>
  <c r="L447" i="2"/>
  <c r="I447" i="2"/>
  <c r="G447" i="2"/>
  <c r="F447" i="2"/>
  <c r="E447" i="2"/>
  <c r="C447" i="2"/>
  <c r="B447" i="2"/>
  <c r="DJ446" i="2"/>
  <c r="DF446" i="2"/>
  <c r="DD446" i="2"/>
  <c r="CZ446" i="2"/>
  <c r="CV446" i="2"/>
  <c r="CR446" i="2"/>
  <c r="CP446" i="2"/>
  <c r="CN446" i="2"/>
  <c r="CH446" i="2"/>
  <c r="CF446" i="2"/>
  <c r="CD446" i="2"/>
  <c r="CB446" i="2"/>
  <c r="BZ446" i="2"/>
  <c r="BX446" i="2"/>
  <c r="BU446" i="2"/>
  <c r="BT446" i="2"/>
  <c r="BS446" i="2"/>
  <c r="BM446" i="2"/>
  <c r="BL446" i="2"/>
  <c r="BK446" i="2"/>
  <c r="BE446" i="2"/>
  <c r="BB446" i="2"/>
  <c r="AY446" i="2"/>
  <c r="AM446" i="2"/>
  <c r="AD446" i="2"/>
  <c r="AA446" i="2"/>
  <c r="U446" i="2"/>
  <c r="O446" i="2"/>
  <c r="L446" i="2"/>
  <c r="I446" i="2"/>
  <c r="G446" i="2"/>
  <c r="F446" i="2"/>
  <c r="E446" i="2"/>
  <c r="BW446" i="2" s="1"/>
  <c r="C446" i="2"/>
  <c r="B446" i="2"/>
  <c r="DJ445" i="2"/>
  <c r="DF445" i="2"/>
  <c r="DD445" i="2"/>
  <c r="CZ445" i="2"/>
  <c r="CV445" i="2"/>
  <c r="CR445" i="2"/>
  <c r="CP445" i="2"/>
  <c r="CN445" i="2"/>
  <c r="CH445" i="2"/>
  <c r="CF445" i="2"/>
  <c r="CD445" i="2"/>
  <c r="CB445" i="2"/>
  <c r="BZ445" i="2"/>
  <c r="BX445" i="2"/>
  <c r="BU445" i="2"/>
  <c r="BT445" i="2"/>
  <c r="BS445" i="2"/>
  <c r="BM445" i="2"/>
  <c r="BL445" i="2"/>
  <c r="BK445" i="2"/>
  <c r="BE445" i="2"/>
  <c r="BB445" i="2"/>
  <c r="AY445" i="2"/>
  <c r="AM445" i="2"/>
  <c r="AD445" i="2"/>
  <c r="AA445" i="2"/>
  <c r="U445" i="2"/>
  <c r="O445" i="2"/>
  <c r="L445" i="2"/>
  <c r="I445" i="2"/>
  <c r="G445" i="2"/>
  <c r="F445" i="2"/>
  <c r="E445" i="2"/>
  <c r="BW445" i="2" s="1"/>
  <c r="C445" i="2"/>
  <c r="B445" i="2"/>
  <c r="DJ444" i="2"/>
  <c r="DF444" i="2"/>
  <c r="DD444" i="2"/>
  <c r="CZ444" i="2"/>
  <c r="CV444" i="2"/>
  <c r="CR444" i="2"/>
  <c r="CP444" i="2"/>
  <c r="CN444" i="2"/>
  <c r="CH444" i="2"/>
  <c r="CF444" i="2"/>
  <c r="CD444" i="2"/>
  <c r="CB444" i="2"/>
  <c r="BZ444" i="2"/>
  <c r="BX444" i="2"/>
  <c r="BU444" i="2"/>
  <c r="BT444" i="2"/>
  <c r="BS444" i="2"/>
  <c r="BM444" i="2"/>
  <c r="BL444" i="2"/>
  <c r="BK444" i="2"/>
  <c r="BE444" i="2"/>
  <c r="BB444" i="2"/>
  <c r="AY444" i="2"/>
  <c r="AM444" i="2"/>
  <c r="AD444" i="2"/>
  <c r="AA444" i="2"/>
  <c r="U444" i="2"/>
  <c r="O444" i="2"/>
  <c r="L444" i="2"/>
  <c r="I444" i="2"/>
  <c r="G444" i="2"/>
  <c r="F444" i="2"/>
  <c r="E444" i="2"/>
  <c r="BW444" i="2" s="1"/>
  <c r="C444" i="2"/>
  <c r="B444" i="2"/>
  <c r="DJ443" i="2"/>
  <c r="DF443" i="2"/>
  <c r="DD443" i="2"/>
  <c r="CZ443" i="2"/>
  <c r="CV443" i="2"/>
  <c r="CR443" i="2"/>
  <c r="CP443" i="2"/>
  <c r="CN443" i="2"/>
  <c r="CH443" i="2"/>
  <c r="CF443" i="2"/>
  <c r="CD443" i="2"/>
  <c r="CB443" i="2"/>
  <c r="BZ443" i="2"/>
  <c r="BX443" i="2"/>
  <c r="BU443" i="2"/>
  <c r="BT443" i="2"/>
  <c r="BS443" i="2"/>
  <c r="BM443" i="2"/>
  <c r="BL443" i="2"/>
  <c r="BK443" i="2"/>
  <c r="BE443" i="2"/>
  <c r="BB443" i="2"/>
  <c r="AY443" i="2"/>
  <c r="AM443" i="2"/>
  <c r="AD443" i="2"/>
  <c r="AA443" i="2"/>
  <c r="U443" i="2"/>
  <c r="O443" i="2"/>
  <c r="L443" i="2"/>
  <c r="I443" i="2"/>
  <c r="G443" i="2"/>
  <c r="F443" i="2"/>
  <c r="E443" i="2"/>
  <c r="BW443" i="2" s="1"/>
  <c r="C443" i="2"/>
  <c r="B443" i="2"/>
  <c r="DJ442" i="2"/>
  <c r="DF442" i="2"/>
  <c r="DD442" i="2"/>
  <c r="CZ442" i="2"/>
  <c r="CV442" i="2"/>
  <c r="CR442" i="2"/>
  <c r="CP442" i="2"/>
  <c r="CN442" i="2"/>
  <c r="CH442" i="2"/>
  <c r="CF442" i="2"/>
  <c r="CD442" i="2"/>
  <c r="CB442" i="2"/>
  <c r="BZ442" i="2"/>
  <c r="BX442" i="2"/>
  <c r="BU442" i="2"/>
  <c r="BT442" i="2"/>
  <c r="BS442" i="2"/>
  <c r="BM442" i="2"/>
  <c r="BL442" i="2"/>
  <c r="BK442" i="2"/>
  <c r="BE442" i="2"/>
  <c r="BB442" i="2"/>
  <c r="AY442" i="2"/>
  <c r="AM442" i="2"/>
  <c r="AD442" i="2"/>
  <c r="AA442" i="2"/>
  <c r="U442" i="2"/>
  <c r="O442" i="2"/>
  <c r="L442" i="2"/>
  <c r="I442" i="2"/>
  <c r="G442" i="2"/>
  <c r="F442" i="2"/>
  <c r="E442" i="2"/>
  <c r="C442" i="2"/>
  <c r="B442" i="2"/>
  <c r="DJ441" i="2"/>
  <c r="DF441" i="2"/>
  <c r="DD441" i="2"/>
  <c r="CZ441" i="2"/>
  <c r="CV441" i="2"/>
  <c r="CR441" i="2"/>
  <c r="CP441" i="2"/>
  <c r="CN441" i="2"/>
  <c r="CH441" i="2"/>
  <c r="CF441" i="2"/>
  <c r="CD441" i="2"/>
  <c r="CB441" i="2"/>
  <c r="BZ441" i="2"/>
  <c r="BX441" i="2"/>
  <c r="BU441" i="2"/>
  <c r="BT441" i="2"/>
  <c r="BS441" i="2"/>
  <c r="BM441" i="2"/>
  <c r="BL441" i="2"/>
  <c r="BK441" i="2"/>
  <c r="BE441" i="2"/>
  <c r="BB441" i="2"/>
  <c r="AY441" i="2"/>
  <c r="AM441" i="2"/>
  <c r="AD441" i="2"/>
  <c r="AA441" i="2"/>
  <c r="U441" i="2"/>
  <c r="O441" i="2"/>
  <c r="L441" i="2"/>
  <c r="I441" i="2"/>
  <c r="G441" i="2"/>
  <c r="F441" i="2"/>
  <c r="E441" i="2"/>
  <c r="C441" i="2"/>
  <c r="B441" i="2"/>
  <c r="DJ440" i="2"/>
  <c r="DF440" i="2"/>
  <c r="DD440" i="2"/>
  <c r="CZ440" i="2"/>
  <c r="CV440" i="2"/>
  <c r="CR440" i="2"/>
  <c r="CP440" i="2"/>
  <c r="CN440" i="2"/>
  <c r="CH440" i="2"/>
  <c r="CF440" i="2"/>
  <c r="CD440" i="2"/>
  <c r="CB440" i="2"/>
  <c r="BZ440" i="2"/>
  <c r="BX440" i="2"/>
  <c r="BU440" i="2"/>
  <c r="BT440" i="2"/>
  <c r="BS440" i="2"/>
  <c r="BM440" i="2"/>
  <c r="BL440" i="2"/>
  <c r="BK440" i="2"/>
  <c r="BE440" i="2"/>
  <c r="BB440" i="2"/>
  <c r="AY440" i="2"/>
  <c r="AM440" i="2"/>
  <c r="AD440" i="2"/>
  <c r="AA440" i="2"/>
  <c r="U440" i="2"/>
  <c r="O440" i="2"/>
  <c r="L440" i="2"/>
  <c r="I440" i="2"/>
  <c r="G440" i="2"/>
  <c r="F440" i="2"/>
  <c r="E440" i="2"/>
  <c r="C440" i="2"/>
  <c r="B440" i="2"/>
  <c r="DJ439" i="2"/>
  <c r="DF439" i="2"/>
  <c r="DD439" i="2"/>
  <c r="CZ439" i="2"/>
  <c r="CV439" i="2"/>
  <c r="CR439" i="2"/>
  <c r="CP439" i="2"/>
  <c r="CN439" i="2"/>
  <c r="CH439" i="2"/>
  <c r="CF439" i="2"/>
  <c r="CD439" i="2"/>
  <c r="CB439" i="2"/>
  <c r="BZ439" i="2"/>
  <c r="BX439" i="2"/>
  <c r="BU439" i="2"/>
  <c r="BT439" i="2"/>
  <c r="BS439" i="2"/>
  <c r="BM439" i="2"/>
  <c r="BL439" i="2"/>
  <c r="BK439" i="2"/>
  <c r="BE439" i="2"/>
  <c r="BB439" i="2"/>
  <c r="AY439" i="2"/>
  <c r="AM439" i="2"/>
  <c r="AD439" i="2"/>
  <c r="AA439" i="2"/>
  <c r="U439" i="2"/>
  <c r="O439" i="2"/>
  <c r="L439" i="2"/>
  <c r="I439" i="2"/>
  <c r="G439" i="2"/>
  <c r="F439" i="2"/>
  <c r="E439" i="2"/>
  <c r="C439" i="2"/>
  <c r="B439" i="2"/>
  <c r="DJ438" i="2"/>
  <c r="DF438" i="2"/>
  <c r="DD438" i="2"/>
  <c r="CZ438" i="2"/>
  <c r="CV438" i="2"/>
  <c r="CR438" i="2"/>
  <c r="CP438" i="2"/>
  <c r="CN438" i="2"/>
  <c r="CH438" i="2"/>
  <c r="CF438" i="2"/>
  <c r="CD438" i="2"/>
  <c r="CB438" i="2"/>
  <c r="BZ438" i="2"/>
  <c r="BX438" i="2"/>
  <c r="BU438" i="2"/>
  <c r="BT438" i="2"/>
  <c r="BS438" i="2"/>
  <c r="BM438" i="2"/>
  <c r="BL438" i="2"/>
  <c r="BK438" i="2"/>
  <c r="BE438" i="2"/>
  <c r="BB438" i="2"/>
  <c r="AY438" i="2"/>
  <c r="AM438" i="2"/>
  <c r="AD438" i="2"/>
  <c r="AA438" i="2"/>
  <c r="U438" i="2"/>
  <c r="O438" i="2"/>
  <c r="L438" i="2"/>
  <c r="I438" i="2"/>
  <c r="G438" i="2"/>
  <c r="F438" i="2"/>
  <c r="E438" i="2"/>
  <c r="C438" i="2"/>
  <c r="B438" i="2"/>
  <c r="DJ437" i="2"/>
  <c r="DF437" i="2"/>
  <c r="DD437" i="2"/>
  <c r="CZ437" i="2"/>
  <c r="CV437" i="2"/>
  <c r="CR437" i="2"/>
  <c r="CP437" i="2"/>
  <c r="CN437" i="2"/>
  <c r="CH437" i="2"/>
  <c r="CF437" i="2"/>
  <c r="CD437" i="2"/>
  <c r="CB437" i="2"/>
  <c r="BZ437" i="2"/>
  <c r="BX437" i="2"/>
  <c r="BU437" i="2"/>
  <c r="BT437" i="2"/>
  <c r="BS437" i="2"/>
  <c r="BM437" i="2"/>
  <c r="BL437" i="2"/>
  <c r="BK437" i="2"/>
  <c r="BE437" i="2"/>
  <c r="BB437" i="2"/>
  <c r="AY437" i="2"/>
  <c r="AM437" i="2"/>
  <c r="AD437" i="2"/>
  <c r="AA437" i="2"/>
  <c r="U437" i="2"/>
  <c r="O437" i="2"/>
  <c r="L437" i="2"/>
  <c r="I437" i="2"/>
  <c r="G437" i="2"/>
  <c r="F437" i="2"/>
  <c r="E437" i="2"/>
  <c r="C437" i="2"/>
  <c r="B437" i="2"/>
  <c r="DJ436" i="2"/>
  <c r="DF436" i="2"/>
  <c r="DD436" i="2"/>
  <c r="CZ436" i="2"/>
  <c r="CV436" i="2"/>
  <c r="CR436" i="2"/>
  <c r="CP436" i="2"/>
  <c r="CN436" i="2"/>
  <c r="CH436" i="2"/>
  <c r="CF436" i="2"/>
  <c r="CD436" i="2"/>
  <c r="CB436" i="2"/>
  <c r="BZ436" i="2"/>
  <c r="BX436" i="2"/>
  <c r="BU436" i="2"/>
  <c r="BT436" i="2"/>
  <c r="BS436" i="2"/>
  <c r="BM436" i="2"/>
  <c r="BL436" i="2"/>
  <c r="BK436" i="2"/>
  <c r="BE436" i="2"/>
  <c r="BB436" i="2"/>
  <c r="AY436" i="2"/>
  <c r="AM436" i="2"/>
  <c r="AD436" i="2"/>
  <c r="AA436" i="2"/>
  <c r="U436" i="2"/>
  <c r="O436" i="2"/>
  <c r="L436" i="2"/>
  <c r="I436" i="2"/>
  <c r="G436" i="2"/>
  <c r="F436" i="2"/>
  <c r="E436" i="2"/>
  <c r="C436" i="2"/>
  <c r="B436" i="2"/>
  <c r="DJ435" i="2"/>
  <c r="DF435" i="2"/>
  <c r="DD435" i="2"/>
  <c r="CZ435" i="2"/>
  <c r="CV435" i="2"/>
  <c r="CR435" i="2"/>
  <c r="CP435" i="2"/>
  <c r="CN435" i="2"/>
  <c r="CH435" i="2"/>
  <c r="CF435" i="2"/>
  <c r="CD435" i="2"/>
  <c r="CB435" i="2"/>
  <c r="BZ435" i="2"/>
  <c r="BX435" i="2"/>
  <c r="BU435" i="2"/>
  <c r="BT435" i="2"/>
  <c r="BS435" i="2"/>
  <c r="BM435" i="2"/>
  <c r="BL435" i="2"/>
  <c r="BK435" i="2"/>
  <c r="BE435" i="2"/>
  <c r="BB435" i="2"/>
  <c r="AY435" i="2"/>
  <c r="AM435" i="2"/>
  <c r="AD435" i="2"/>
  <c r="AA435" i="2"/>
  <c r="U435" i="2"/>
  <c r="O435" i="2"/>
  <c r="L435" i="2"/>
  <c r="I435" i="2"/>
  <c r="G435" i="2"/>
  <c r="F435" i="2"/>
  <c r="E435" i="2"/>
  <c r="C435" i="2"/>
  <c r="B435" i="2"/>
  <c r="DJ434" i="2"/>
  <c r="DF434" i="2"/>
  <c r="DD434" i="2"/>
  <c r="CZ434" i="2"/>
  <c r="CV434" i="2"/>
  <c r="CR434" i="2"/>
  <c r="CP434" i="2"/>
  <c r="CN434" i="2"/>
  <c r="CH434" i="2"/>
  <c r="CF434" i="2"/>
  <c r="CD434" i="2"/>
  <c r="CB434" i="2"/>
  <c r="BZ434" i="2"/>
  <c r="BX434" i="2"/>
  <c r="BU434" i="2"/>
  <c r="BT434" i="2"/>
  <c r="BS434" i="2"/>
  <c r="BM434" i="2"/>
  <c r="BL434" i="2"/>
  <c r="BK434" i="2"/>
  <c r="BE434" i="2"/>
  <c r="BB434" i="2"/>
  <c r="AY434" i="2"/>
  <c r="AM434" i="2"/>
  <c r="AD434" i="2"/>
  <c r="AA434" i="2"/>
  <c r="U434" i="2"/>
  <c r="O434" i="2"/>
  <c r="L434" i="2"/>
  <c r="I434" i="2"/>
  <c r="G434" i="2"/>
  <c r="F434" i="2"/>
  <c r="E434" i="2"/>
  <c r="C434" i="2"/>
  <c r="B434" i="2"/>
  <c r="DJ433" i="2"/>
  <c r="DF433" i="2"/>
  <c r="DD433" i="2"/>
  <c r="CZ433" i="2"/>
  <c r="CV433" i="2"/>
  <c r="CR433" i="2"/>
  <c r="CP433" i="2"/>
  <c r="CN433" i="2"/>
  <c r="CH433" i="2"/>
  <c r="CF433" i="2"/>
  <c r="CD433" i="2"/>
  <c r="CB433" i="2"/>
  <c r="BZ433" i="2"/>
  <c r="BX433" i="2"/>
  <c r="BU433" i="2"/>
  <c r="BT433" i="2"/>
  <c r="BS433" i="2"/>
  <c r="BM433" i="2"/>
  <c r="BL433" i="2"/>
  <c r="BK433" i="2"/>
  <c r="BE433" i="2"/>
  <c r="BB433" i="2"/>
  <c r="AY433" i="2"/>
  <c r="AM433" i="2"/>
  <c r="AD433" i="2"/>
  <c r="AA433" i="2"/>
  <c r="U433" i="2"/>
  <c r="O433" i="2"/>
  <c r="L433" i="2"/>
  <c r="I433" i="2"/>
  <c r="G433" i="2"/>
  <c r="F433" i="2"/>
  <c r="E433" i="2"/>
  <c r="C433" i="2"/>
  <c r="B433" i="2"/>
  <c r="DJ432" i="2"/>
  <c r="DF432" i="2"/>
  <c r="DD432" i="2"/>
  <c r="CZ432" i="2"/>
  <c r="CV432" i="2"/>
  <c r="CR432" i="2"/>
  <c r="CP432" i="2"/>
  <c r="CN432" i="2"/>
  <c r="CH432" i="2"/>
  <c r="CF432" i="2"/>
  <c r="CD432" i="2"/>
  <c r="CB432" i="2"/>
  <c r="BZ432" i="2"/>
  <c r="BX432" i="2"/>
  <c r="BU432" i="2"/>
  <c r="BT432" i="2"/>
  <c r="BS432" i="2"/>
  <c r="BM432" i="2"/>
  <c r="BL432" i="2"/>
  <c r="BK432" i="2"/>
  <c r="BE432" i="2"/>
  <c r="BB432" i="2"/>
  <c r="AY432" i="2"/>
  <c r="AM432" i="2"/>
  <c r="AD432" i="2"/>
  <c r="AA432" i="2"/>
  <c r="U432" i="2"/>
  <c r="O432" i="2"/>
  <c r="L432" i="2"/>
  <c r="I432" i="2"/>
  <c r="G432" i="2"/>
  <c r="F432" i="2"/>
  <c r="E432" i="2"/>
  <c r="C432" i="2"/>
  <c r="B432" i="2"/>
  <c r="DJ431" i="2"/>
  <c r="DF431" i="2"/>
  <c r="DD431" i="2"/>
  <c r="CZ431" i="2"/>
  <c r="CV431" i="2"/>
  <c r="CR431" i="2"/>
  <c r="CP431" i="2"/>
  <c r="CN431" i="2"/>
  <c r="CH431" i="2"/>
  <c r="CF431" i="2"/>
  <c r="CD431" i="2"/>
  <c r="CB431" i="2"/>
  <c r="BZ431" i="2"/>
  <c r="BX431" i="2"/>
  <c r="BU431" i="2"/>
  <c r="BT431" i="2"/>
  <c r="BS431" i="2"/>
  <c r="BM431" i="2"/>
  <c r="BL431" i="2"/>
  <c r="BK431" i="2"/>
  <c r="BE431" i="2"/>
  <c r="BB431" i="2"/>
  <c r="AY431" i="2"/>
  <c r="AM431" i="2"/>
  <c r="AD431" i="2"/>
  <c r="AA431" i="2"/>
  <c r="U431" i="2"/>
  <c r="O431" i="2"/>
  <c r="L431" i="2"/>
  <c r="I431" i="2"/>
  <c r="G431" i="2"/>
  <c r="F431" i="2"/>
  <c r="E431" i="2"/>
  <c r="C431" i="2"/>
  <c r="B431" i="2"/>
  <c r="DJ430" i="2"/>
  <c r="DF430" i="2"/>
  <c r="DD430" i="2"/>
  <c r="CZ430" i="2"/>
  <c r="CV430" i="2"/>
  <c r="CR430" i="2"/>
  <c r="CP430" i="2"/>
  <c r="CN430" i="2"/>
  <c r="CH430" i="2"/>
  <c r="CF430" i="2"/>
  <c r="CD430" i="2"/>
  <c r="CB430" i="2"/>
  <c r="BZ430" i="2"/>
  <c r="BX430" i="2"/>
  <c r="BU430" i="2"/>
  <c r="BT430" i="2"/>
  <c r="BS430" i="2"/>
  <c r="BM430" i="2"/>
  <c r="BL430" i="2"/>
  <c r="BK430" i="2"/>
  <c r="BE430" i="2"/>
  <c r="BB430" i="2"/>
  <c r="AY430" i="2"/>
  <c r="AM430" i="2"/>
  <c r="AD430" i="2"/>
  <c r="AA430" i="2"/>
  <c r="U430" i="2"/>
  <c r="O430" i="2"/>
  <c r="L430" i="2"/>
  <c r="I430" i="2"/>
  <c r="G430" i="2"/>
  <c r="F430" i="2"/>
  <c r="E430" i="2"/>
  <c r="C430" i="2"/>
  <c r="B430" i="2"/>
  <c r="DJ429" i="2"/>
  <c r="DF429" i="2"/>
  <c r="DD429" i="2"/>
  <c r="CZ429" i="2"/>
  <c r="CV429" i="2"/>
  <c r="CR429" i="2"/>
  <c r="CP429" i="2"/>
  <c r="CN429" i="2"/>
  <c r="CH429" i="2"/>
  <c r="CF429" i="2"/>
  <c r="CD429" i="2"/>
  <c r="CB429" i="2"/>
  <c r="BZ429" i="2"/>
  <c r="BX429" i="2"/>
  <c r="BU429" i="2"/>
  <c r="BT429" i="2"/>
  <c r="BS429" i="2"/>
  <c r="BM429" i="2"/>
  <c r="BL429" i="2"/>
  <c r="BK429" i="2"/>
  <c r="BE429" i="2"/>
  <c r="BB429" i="2"/>
  <c r="AY429" i="2"/>
  <c r="AM429" i="2"/>
  <c r="AD429" i="2"/>
  <c r="AA429" i="2"/>
  <c r="U429" i="2"/>
  <c r="O429" i="2"/>
  <c r="L429" i="2"/>
  <c r="I429" i="2"/>
  <c r="G429" i="2"/>
  <c r="F429" i="2"/>
  <c r="E429" i="2"/>
  <c r="C429" i="2"/>
  <c r="B429" i="2"/>
  <c r="DJ428" i="2"/>
  <c r="DF428" i="2"/>
  <c r="DD428" i="2"/>
  <c r="CZ428" i="2"/>
  <c r="CV428" i="2"/>
  <c r="CR428" i="2"/>
  <c r="CP428" i="2"/>
  <c r="CN428" i="2"/>
  <c r="CH428" i="2"/>
  <c r="CF428" i="2"/>
  <c r="CD428" i="2"/>
  <c r="CB428" i="2"/>
  <c r="BZ428" i="2"/>
  <c r="BX428" i="2"/>
  <c r="BU428" i="2"/>
  <c r="BT428" i="2"/>
  <c r="BS428" i="2"/>
  <c r="BM428" i="2"/>
  <c r="BL428" i="2"/>
  <c r="BK428" i="2"/>
  <c r="BE428" i="2"/>
  <c r="BB428" i="2"/>
  <c r="AY428" i="2"/>
  <c r="AM428" i="2"/>
  <c r="AD428" i="2"/>
  <c r="AA428" i="2"/>
  <c r="U428" i="2"/>
  <c r="O428" i="2"/>
  <c r="L428" i="2"/>
  <c r="I428" i="2"/>
  <c r="G428" i="2"/>
  <c r="F428" i="2"/>
  <c r="E428" i="2"/>
  <c r="C428" i="2"/>
  <c r="B428" i="2"/>
  <c r="DJ427" i="2"/>
  <c r="DF427" i="2"/>
  <c r="DD427" i="2"/>
  <c r="CZ427" i="2"/>
  <c r="CV427" i="2"/>
  <c r="CR427" i="2"/>
  <c r="CP427" i="2"/>
  <c r="CN427" i="2"/>
  <c r="CH427" i="2"/>
  <c r="CF427" i="2"/>
  <c r="CD427" i="2"/>
  <c r="CB427" i="2"/>
  <c r="BZ427" i="2"/>
  <c r="BX427" i="2"/>
  <c r="BU427" i="2"/>
  <c r="BT427" i="2"/>
  <c r="BS427" i="2"/>
  <c r="BM427" i="2"/>
  <c r="BL427" i="2"/>
  <c r="BK427" i="2"/>
  <c r="BE427" i="2"/>
  <c r="BB427" i="2"/>
  <c r="AY427" i="2"/>
  <c r="AM427" i="2"/>
  <c r="AD427" i="2"/>
  <c r="AA427" i="2"/>
  <c r="U427" i="2"/>
  <c r="O427" i="2"/>
  <c r="L427" i="2"/>
  <c r="I427" i="2"/>
  <c r="G427" i="2"/>
  <c r="F427" i="2"/>
  <c r="E427" i="2"/>
  <c r="C427" i="2"/>
  <c r="B427" i="2"/>
  <c r="DJ426" i="2"/>
  <c r="DF426" i="2"/>
  <c r="DD426" i="2"/>
  <c r="CZ426" i="2"/>
  <c r="CV426" i="2"/>
  <c r="CR426" i="2"/>
  <c r="CP426" i="2"/>
  <c r="CN426" i="2"/>
  <c r="CH426" i="2"/>
  <c r="CF426" i="2"/>
  <c r="CD426" i="2"/>
  <c r="CB426" i="2"/>
  <c r="BZ426" i="2"/>
  <c r="BX426" i="2"/>
  <c r="BU426" i="2"/>
  <c r="BT426" i="2"/>
  <c r="BS426" i="2"/>
  <c r="BM426" i="2"/>
  <c r="BL426" i="2"/>
  <c r="BK426" i="2"/>
  <c r="BE426" i="2"/>
  <c r="BB426" i="2"/>
  <c r="AY426" i="2"/>
  <c r="AM426" i="2"/>
  <c r="AD426" i="2"/>
  <c r="AA426" i="2"/>
  <c r="U426" i="2"/>
  <c r="O426" i="2"/>
  <c r="L426" i="2"/>
  <c r="I426" i="2"/>
  <c r="G426" i="2"/>
  <c r="F426" i="2"/>
  <c r="E426" i="2"/>
  <c r="C426" i="2"/>
  <c r="B426" i="2"/>
  <c r="DJ425" i="2"/>
  <c r="DF425" i="2"/>
  <c r="DD425" i="2"/>
  <c r="CZ425" i="2"/>
  <c r="CV425" i="2"/>
  <c r="CR425" i="2"/>
  <c r="CP425" i="2"/>
  <c r="CN425" i="2"/>
  <c r="CH425" i="2"/>
  <c r="CF425" i="2"/>
  <c r="CD425" i="2"/>
  <c r="CB425" i="2"/>
  <c r="BZ425" i="2"/>
  <c r="BX425" i="2"/>
  <c r="BU425" i="2"/>
  <c r="BT425" i="2"/>
  <c r="BS425" i="2"/>
  <c r="BM425" i="2"/>
  <c r="BL425" i="2"/>
  <c r="BK425" i="2"/>
  <c r="BE425" i="2"/>
  <c r="BB425" i="2"/>
  <c r="AY425" i="2"/>
  <c r="AM425" i="2"/>
  <c r="AD425" i="2"/>
  <c r="AA425" i="2"/>
  <c r="U425" i="2"/>
  <c r="O425" i="2"/>
  <c r="L425" i="2"/>
  <c r="I425" i="2"/>
  <c r="G425" i="2"/>
  <c r="F425" i="2"/>
  <c r="E425" i="2"/>
  <c r="C425" i="2"/>
  <c r="B425" i="2"/>
  <c r="DJ424" i="2"/>
  <c r="DF424" i="2"/>
  <c r="DD424" i="2"/>
  <c r="CZ424" i="2"/>
  <c r="CV424" i="2"/>
  <c r="CR424" i="2"/>
  <c r="CP424" i="2"/>
  <c r="CN424" i="2"/>
  <c r="CH424" i="2"/>
  <c r="CF424" i="2"/>
  <c r="CD424" i="2"/>
  <c r="CB424" i="2"/>
  <c r="BZ424" i="2"/>
  <c r="BX424" i="2"/>
  <c r="BU424" i="2"/>
  <c r="BT424" i="2"/>
  <c r="BS424" i="2"/>
  <c r="BM424" i="2"/>
  <c r="BL424" i="2"/>
  <c r="BK424" i="2"/>
  <c r="BE424" i="2"/>
  <c r="BB424" i="2"/>
  <c r="AY424" i="2"/>
  <c r="AM424" i="2"/>
  <c r="AD424" i="2"/>
  <c r="AA424" i="2"/>
  <c r="U424" i="2"/>
  <c r="O424" i="2"/>
  <c r="L424" i="2"/>
  <c r="I424" i="2"/>
  <c r="G424" i="2"/>
  <c r="F424" i="2"/>
  <c r="E424" i="2"/>
  <c r="C424" i="2"/>
  <c r="B424" i="2"/>
  <c r="DJ423" i="2"/>
  <c r="DF423" i="2"/>
  <c r="DD423" i="2"/>
  <c r="CZ423" i="2"/>
  <c r="CV423" i="2"/>
  <c r="CR423" i="2"/>
  <c r="CP423" i="2"/>
  <c r="CN423" i="2"/>
  <c r="CH423" i="2"/>
  <c r="CF423" i="2"/>
  <c r="CD423" i="2"/>
  <c r="CB423" i="2"/>
  <c r="BZ423" i="2"/>
  <c r="BX423" i="2"/>
  <c r="BU423" i="2"/>
  <c r="BT423" i="2"/>
  <c r="BS423" i="2"/>
  <c r="BM423" i="2"/>
  <c r="BL423" i="2"/>
  <c r="BK423" i="2"/>
  <c r="BE423" i="2"/>
  <c r="BB423" i="2"/>
  <c r="AY423" i="2"/>
  <c r="AM423" i="2"/>
  <c r="AD423" i="2"/>
  <c r="AA423" i="2"/>
  <c r="U423" i="2"/>
  <c r="O423" i="2"/>
  <c r="L423" i="2"/>
  <c r="I423" i="2"/>
  <c r="G423" i="2"/>
  <c r="F423" i="2"/>
  <c r="E423" i="2"/>
  <c r="C423" i="2"/>
  <c r="B423" i="2"/>
  <c r="DJ422" i="2"/>
  <c r="DF422" i="2"/>
  <c r="DD422" i="2"/>
  <c r="CZ422" i="2"/>
  <c r="CV422" i="2"/>
  <c r="CR422" i="2"/>
  <c r="CP422" i="2"/>
  <c r="CN422" i="2"/>
  <c r="CH422" i="2"/>
  <c r="CF422" i="2"/>
  <c r="CD422" i="2"/>
  <c r="CB422" i="2"/>
  <c r="BZ422" i="2"/>
  <c r="BX422" i="2"/>
  <c r="BU422" i="2"/>
  <c r="BT422" i="2"/>
  <c r="BS422" i="2"/>
  <c r="BM422" i="2"/>
  <c r="BL422" i="2"/>
  <c r="BK422" i="2"/>
  <c r="BE422" i="2"/>
  <c r="BB422" i="2"/>
  <c r="AY422" i="2"/>
  <c r="AM422" i="2"/>
  <c r="AD422" i="2"/>
  <c r="AA422" i="2"/>
  <c r="U422" i="2"/>
  <c r="O422" i="2"/>
  <c r="L422" i="2"/>
  <c r="I422" i="2"/>
  <c r="G422" i="2"/>
  <c r="F422" i="2"/>
  <c r="E422" i="2"/>
  <c r="C422" i="2"/>
  <c r="B422" i="2"/>
  <c r="DJ421" i="2"/>
  <c r="DF421" i="2"/>
  <c r="DD421" i="2"/>
  <c r="CZ421" i="2"/>
  <c r="CV421" i="2"/>
  <c r="CR421" i="2"/>
  <c r="CP421" i="2"/>
  <c r="CN421" i="2"/>
  <c r="CH421" i="2"/>
  <c r="CF421" i="2"/>
  <c r="CD421" i="2"/>
  <c r="CB421" i="2"/>
  <c r="BZ421" i="2"/>
  <c r="BX421" i="2"/>
  <c r="BU421" i="2"/>
  <c r="BT421" i="2"/>
  <c r="BS421" i="2"/>
  <c r="BM421" i="2"/>
  <c r="BL421" i="2"/>
  <c r="BK421" i="2"/>
  <c r="BE421" i="2"/>
  <c r="BB421" i="2"/>
  <c r="AY421" i="2"/>
  <c r="AM421" i="2"/>
  <c r="AD421" i="2"/>
  <c r="AA421" i="2"/>
  <c r="U421" i="2"/>
  <c r="O421" i="2"/>
  <c r="L421" i="2"/>
  <c r="I421" i="2"/>
  <c r="G421" i="2"/>
  <c r="F421" i="2"/>
  <c r="E421" i="2"/>
  <c r="C421" i="2"/>
  <c r="B421" i="2"/>
  <c r="DJ420" i="2"/>
  <c r="DF420" i="2"/>
  <c r="DD420" i="2"/>
  <c r="CZ420" i="2"/>
  <c r="CV420" i="2"/>
  <c r="CR420" i="2"/>
  <c r="CP420" i="2"/>
  <c r="CN420" i="2"/>
  <c r="CH420" i="2"/>
  <c r="CF420" i="2"/>
  <c r="CD420" i="2"/>
  <c r="CB420" i="2"/>
  <c r="BZ420" i="2"/>
  <c r="BX420" i="2"/>
  <c r="BU420" i="2"/>
  <c r="BT420" i="2"/>
  <c r="BS420" i="2"/>
  <c r="BM420" i="2"/>
  <c r="BL420" i="2"/>
  <c r="BK420" i="2"/>
  <c r="BE420" i="2"/>
  <c r="BB420" i="2"/>
  <c r="AY420" i="2"/>
  <c r="AM420" i="2"/>
  <c r="AD420" i="2"/>
  <c r="AA420" i="2"/>
  <c r="U420" i="2"/>
  <c r="O420" i="2"/>
  <c r="L420" i="2"/>
  <c r="I420" i="2"/>
  <c r="G420" i="2"/>
  <c r="F420" i="2"/>
  <c r="E420" i="2"/>
  <c r="C420" i="2"/>
  <c r="B420" i="2"/>
  <c r="DJ419" i="2"/>
  <c r="DF419" i="2"/>
  <c r="DD419" i="2"/>
  <c r="CZ419" i="2"/>
  <c r="CV419" i="2"/>
  <c r="CR419" i="2"/>
  <c r="CP419" i="2"/>
  <c r="CN419" i="2"/>
  <c r="CH419" i="2"/>
  <c r="CF419" i="2"/>
  <c r="CD419" i="2"/>
  <c r="CB419" i="2"/>
  <c r="BZ419" i="2"/>
  <c r="BX419" i="2"/>
  <c r="BU419" i="2"/>
  <c r="BT419" i="2"/>
  <c r="BS419" i="2"/>
  <c r="BM419" i="2"/>
  <c r="BL419" i="2"/>
  <c r="BK419" i="2"/>
  <c r="BE419" i="2"/>
  <c r="BB419" i="2"/>
  <c r="AY419" i="2"/>
  <c r="AM419" i="2"/>
  <c r="AD419" i="2"/>
  <c r="AA419" i="2"/>
  <c r="U419" i="2"/>
  <c r="O419" i="2"/>
  <c r="L419" i="2"/>
  <c r="I419" i="2"/>
  <c r="G419" i="2"/>
  <c r="F419" i="2"/>
  <c r="E419" i="2"/>
  <c r="C419" i="2"/>
  <c r="B419" i="2"/>
  <c r="DJ418" i="2"/>
  <c r="DF418" i="2"/>
  <c r="DD418" i="2"/>
  <c r="CZ418" i="2"/>
  <c r="CV418" i="2"/>
  <c r="CR418" i="2"/>
  <c r="CP418" i="2"/>
  <c r="CN418" i="2"/>
  <c r="CH418" i="2"/>
  <c r="CF418" i="2"/>
  <c r="CD418" i="2"/>
  <c r="CB418" i="2"/>
  <c r="BZ418" i="2"/>
  <c r="BX418" i="2"/>
  <c r="BU418" i="2"/>
  <c r="BT418" i="2"/>
  <c r="BS418" i="2"/>
  <c r="BM418" i="2"/>
  <c r="BL418" i="2"/>
  <c r="BK418" i="2"/>
  <c r="BE418" i="2"/>
  <c r="BB418" i="2"/>
  <c r="AY418" i="2"/>
  <c r="AM418" i="2"/>
  <c r="AD418" i="2"/>
  <c r="AA418" i="2"/>
  <c r="U418" i="2"/>
  <c r="O418" i="2"/>
  <c r="L418" i="2"/>
  <c r="I418" i="2"/>
  <c r="G418" i="2"/>
  <c r="F418" i="2"/>
  <c r="E418" i="2"/>
  <c r="C418" i="2"/>
  <c r="B418" i="2"/>
  <c r="DJ417" i="2"/>
  <c r="DF417" i="2"/>
  <c r="DD417" i="2"/>
  <c r="CZ417" i="2"/>
  <c r="CV417" i="2"/>
  <c r="CR417" i="2"/>
  <c r="CP417" i="2"/>
  <c r="CN417" i="2"/>
  <c r="CH417" i="2"/>
  <c r="CF417" i="2"/>
  <c r="CD417" i="2"/>
  <c r="CB417" i="2"/>
  <c r="BZ417" i="2"/>
  <c r="BX417" i="2"/>
  <c r="BU417" i="2"/>
  <c r="BT417" i="2"/>
  <c r="BS417" i="2"/>
  <c r="BM417" i="2"/>
  <c r="BL417" i="2"/>
  <c r="BK417" i="2"/>
  <c r="BE417" i="2"/>
  <c r="BB417" i="2"/>
  <c r="AY417" i="2"/>
  <c r="AM417" i="2"/>
  <c r="AD417" i="2"/>
  <c r="AA417" i="2"/>
  <c r="U417" i="2"/>
  <c r="O417" i="2"/>
  <c r="L417" i="2"/>
  <c r="I417" i="2"/>
  <c r="G417" i="2"/>
  <c r="F417" i="2"/>
  <c r="E417" i="2"/>
  <c r="C417" i="2"/>
  <c r="B417" i="2"/>
  <c r="DJ416" i="2"/>
  <c r="DF416" i="2"/>
  <c r="DD416" i="2"/>
  <c r="CZ416" i="2"/>
  <c r="CV416" i="2"/>
  <c r="CR416" i="2"/>
  <c r="CP416" i="2"/>
  <c r="CN416" i="2"/>
  <c r="CH416" i="2"/>
  <c r="CF416" i="2"/>
  <c r="CD416" i="2"/>
  <c r="CB416" i="2"/>
  <c r="BZ416" i="2"/>
  <c r="BX416" i="2"/>
  <c r="BU416" i="2"/>
  <c r="BT416" i="2"/>
  <c r="BS416" i="2"/>
  <c r="BM416" i="2"/>
  <c r="BL416" i="2"/>
  <c r="BK416" i="2"/>
  <c r="BE416" i="2"/>
  <c r="BB416" i="2"/>
  <c r="AY416" i="2"/>
  <c r="AM416" i="2"/>
  <c r="AD416" i="2"/>
  <c r="AA416" i="2"/>
  <c r="U416" i="2"/>
  <c r="O416" i="2"/>
  <c r="L416" i="2"/>
  <c r="I416" i="2"/>
  <c r="G416" i="2"/>
  <c r="F416" i="2"/>
  <c r="E416" i="2"/>
  <c r="C416" i="2"/>
  <c r="B416" i="2"/>
  <c r="DJ415" i="2"/>
  <c r="DF415" i="2"/>
  <c r="DD415" i="2"/>
  <c r="CZ415" i="2"/>
  <c r="CV415" i="2"/>
  <c r="CR415" i="2"/>
  <c r="CP415" i="2"/>
  <c r="CN415" i="2"/>
  <c r="CH415" i="2"/>
  <c r="CF415" i="2"/>
  <c r="CD415" i="2"/>
  <c r="CB415" i="2"/>
  <c r="BZ415" i="2"/>
  <c r="BX415" i="2"/>
  <c r="BU415" i="2"/>
  <c r="BT415" i="2"/>
  <c r="BS415" i="2"/>
  <c r="BM415" i="2"/>
  <c r="BL415" i="2"/>
  <c r="BK415" i="2"/>
  <c r="BE415" i="2"/>
  <c r="BB415" i="2"/>
  <c r="AY415" i="2"/>
  <c r="AM415" i="2"/>
  <c r="AD415" i="2"/>
  <c r="AA415" i="2"/>
  <c r="U415" i="2"/>
  <c r="O415" i="2"/>
  <c r="L415" i="2"/>
  <c r="I415" i="2"/>
  <c r="G415" i="2"/>
  <c r="F415" i="2"/>
  <c r="E415" i="2"/>
  <c r="C415" i="2"/>
  <c r="B415" i="2"/>
  <c r="DJ414" i="2"/>
  <c r="DF414" i="2"/>
  <c r="DD414" i="2"/>
  <c r="CZ414" i="2"/>
  <c r="CV414" i="2"/>
  <c r="CR414" i="2"/>
  <c r="CP414" i="2"/>
  <c r="CN414" i="2"/>
  <c r="CH414" i="2"/>
  <c r="CF414" i="2"/>
  <c r="CD414" i="2"/>
  <c r="CB414" i="2"/>
  <c r="BZ414" i="2"/>
  <c r="BX414" i="2"/>
  <c r="BU414" i="2"/>
  <c r="BT414" i="2"/>
  <c r="BS414" i="2"/>
  <c r="BM414" i="2"/>
  <c r="BL414" i="2"/>
  <c r="BK414" i="2"/>
  <c r="BE414" i="2"/>
  <c r="BB414" i="2"/>
  <c r="AY414" i="2"/>
  <c r="AM414" i="2"/>
  <c r="AD414" i="2"/>
  <c r="AA414" i="2"/>
  <c r="U414" i="2"/>
  <c r="O414" i="2"/>
  <c r="L414" i="2"/>
  <c r="I414" i="2"/>
  <c r="G414" i="2"/>
  <c r="F414" i="2"/>
  <c r="E414" i="2"/>
  <c r="C414" i="2"/>
  <c r="B414" i="2"/>
  <c r="DJ413" i="2"/>
  <c r="DF413" i="2"/>
  <c r="DD413" i="2"/>
  <c r="CZ413" i="2"/>
  <c r="CV413" i="2"/>
  <c r="CR413" i="2"/>
  <c r="CP413" i="2"/>
  <c r="CN413" i="2"/>
  <c r="CH413" i="2"/>
  <c r="CF413" i="2"/>
  <c r="CD413" i="2"/>
  <c r="CB413" i="2"/>
  <c r="BZ413" i="2"/>
  <c r="BX413" i="2"/>
  <c r="BU413" i="2"/>
  <c r="BT413" i="2"/>
  <c r="BS413" i="2"/>
  <c r="BM413" i="2"/>
  <c r="BL413" i="2"/>
  <c r="BK413" i="2"/>
  <c r="BE413" i="2"/>
  <c r="BB413" i="2"/>
  <c r="AY413" i="2"/>
  <c r="AM413" i="2"/>
  <c r="AD413" i="2"/>
  <c r="AA413" i="2"/>
  <c r="U413" i="2"/>
  <c r="O413" i="2"/>
  <c r="L413" i="2"/>
  <c r="I413" i="2"/>
  <c r="G413" i="2"/>
  <c r="F413" i="2"/>
  <c r="E413" i="2"/>
  <c r="C413" i="2"/>
  <c r="B413" i="2"/>
  <c r="DJ412" i="2"/>
  <c r="DF412" i="2"/>
  <c r="DD412" i="2"/>
  <c r="CZ412" i="2"/>
  <c r="CV412" i="2"/>
  <c r="CR412" i="2"/>
  <c r="CP412" i="2"/>
  <c r="CN412" i="2"/>
  <c r="CH412" i="2"/>
  <c r="CF412" i="2"/>
  <c r="CD412" i="2"/>
  <c r="CB412" i="2"/>
  <c r="BZ412" i="2"/>
  <c r="BX412" i="2"/>
  <c r="BU412" i="2"/>
  <c r="BT412" i="2"/>
  <c r="BS412" i="2"/>
  <c r="BM412" i="2"/>
  <c r="BL412" i="2"/>
  <c r="BK412" i="2"/>
  <c r="BE412" i="2"/>
  <c r="BB412" i="2"/>
  <c r="AY412" i="2"/>
  <c r="AM412" i="2"/>
  <c r="AD412" i="2"/>
  <c r="AA412" i="2"/>
  <c r="U412" i="2"/>
  <c r="O412" i="2"/>
  <c r="L412" i="2"/>
  <c r="I412" i="2"/>
  <c r="G412" i="2"/>
  <c r="F412" i="2"/>
  <c r="E412" i="2"/>
  <c r="C412" i="2"/>
  <c r="B412" i="2"/>
  <c r="DJ411" i="2"/>
  <c r="DF411" i="2"/>
  <c r="DD411" i="2"/>
  <c r="CZ411" i="2"/>
  <c r="CV411" i="2"/>
  <c r="CR411" i="2"/>
  <c r="CP411" i="2"/>
  <c r="CN411" i="2"/>
  <c r="CH411" i="2"/>
  <c r="CF411" i="2"/>
  <c r="CD411" i="2"/>
  <c r="CB411" i="2"/>
  <c r="BZ411" i="2"/>
  <c r="BX411" i="2"/>
  <c r="BU411" i="2"/>
  <c r="BT411" i="2"/>
  <c r="BS411" i="2"/>
  <c r="BM411" i="2"/>
  <c r="BL411" i="2"/>
  <c r="BK411" i="2"/>
  <c r="BE411" i="2"/>
  <c r="BB411" i="2"/>
  <c r="AY411" i="2"/>
  <c r="AM411" i="2"/>
  <c r="AD411" i="2"/>
  <c r="AA411" i="2"/>
  <c r="U411" i="2"/>
  <c r="O411" i="2"/>
  <c r="L411" i="2"/>
  <c r="I411" i="2"/>
  <c r="G411" i="2"/>
  <c r="F411" i="2"/>
  <c r="E411" i="2"/>
  <c r="C411" i="2"/>
  <c r="B411" i="2"/>
  <c r="DJ410" i="2"/>
  <c r="DF410" i="2"/>
  <c r="DD410" i="2"/>
  <c r="CZ410" i="2"/>
  <c r="CV410" i="2"/>
  <c r="CR410" i="2"/>
  <c r="CP410" i="2"/>
  <c r="CN410" i="2"/>
  <c r="CH410" i="2"/>
  <c r="CF410" i="2"/>
  <c r="CD410" i="2"/>
  <c r="CB410" i="2"/>
  <c r="BZ410" i="2"/>
  <c r="BX410" i="2"/>
  <c r="BU410" i="2"/>
  <c r="BT410" i="2"/>
  <c r="BS410" i="2"/>
  <c r="BM410" i="2"/>
  <c r="BL410" i="2"/>
  <c r="BK410" i="2"/>
  <c r="BE410" i="2"/>
  <c r="BB410" i="2"/>
  <c r="AY410" i="2"/>
  <c r="AM410" i="2"/>
  <c r="AD410" i="2"/>
  <c r="AA410" i="2"/>
  <c r="U410" i="2"/>
  <c r="O410" i="2"/>
  <c r="L410" i="2"/>
  <c r="I410" i="2"/>
  <c r="G410" i="2"/>
  <c r="F410" i="2"/>
  <c r="E410" i="2"/>
  <c r="C410" i="2"/>
  <c r="B410" i="2"/>
  <c r="DJ409" i="2"/>
  <c r="DF409" i="2"/>
  <c r="DD409" i="2"/>
  <c r="CZ409" i="2"/>
  <c r="CV409" i="2"/>
  <c r="CR409" i="2"/>
  <c r="CP409" i="2"/>
  <c r="CN409" i="2"/>
  <c r="CH409" i="2"/>
  <c r="CF409" i="2"/>
  <c r="CD409" i="2"/>
  <c r="CB409" i="2"/>
  <c r="BZ409" i="2"/>
  <c r="BX409" i="2"/>
  <c r="BU409" i="2"/>
  <c r="BT409" i="2"/>
  <c r="BS409" i="2"/>
  <c r="BM409" i="2"/>
  <c r="BL409" i="2"/>
  <c r="BK409" i="2"/>
  <c r="BE409" i="2"/>
  <c r="BB409" i="2"/>
  <c r="AY409" i="2"/>
  <c r="AM409" i="2"/>
  <c r="AD409" i="2"/>
  <c r="AA409" i="2"/>
  <c r="U409" i="2"/>
  <c r="O409" i="2"/>
  <c r="L409" i="2"/>
  <c r="I409" i="2"/>
  <c r="G409" i="2"/>
  <c r="F409" i="2"/>
  <c r="E409" i="2"/>
  <c r="C409" i="2"/>
  <c r="B409" i="2"/>
  <c r="DJ408" i="2"/>
  <c r="DF408" i="2"/>
  <c r="DD408" i="2"/>
  <c r="CZ408" i="2"/>
  <c r="CV408" i="2"/>
  <c r="CR408" i="2"/>
  <c r="CP408" i="2"/>
  <c r="CN408" i="2"/>
  <c r="CH408" i="2"/>
  <c r="CF408" i="2"/>
  <c r="CD408" i="2"/>
  <c r="CB408" i="2"/>
  <c r="BZ408" i="2"/>
  <c r="BX408" i="2"/>
  <c r="BU408" i="2"/>
  <c r="BT408" i="2"/>
  <c r="BS408" i="2"/>
  <c r="BM408" i="2"/>
  <c r="BL408" i="2"/>
  <c r="BK408" i="2"/>
  <c r="BE408" i="2"/>
  <c r="BB408" i="2"/>
  <c r="AY408" i="2"/>
  <c r="AM408" i="2"/>
  <c r="AD408" i="2"/>
  <c r="AA408" i="2"/>
  <c r="U408" i="2"/>
  <c r="O408" i="2"/>
  <c r="L408" i="2"/>
  <c r="I408" i="2"/>
  <c r="G408" i="2"/>
  <c r="F408" i="2"/>
  <c r="E408" i="2"/>
  <c r="BY408" i="2" s="1"/>
  <c r="C408" i="2"/>
  <c r="B408" i="2"/>
  <c r="DJ407" i="2"/>
  <c r="DF407" i="2"/>
  <c r="DD407" i="2"/>
  <c r="CZ407" i="2"/>
  <c r="CV407" i="2"/>
  <c r="CR407" i="2"/>
  <c r="CP407" i="2"/>
  <c r="CN407" i="2"/>
  <c r="CH407" i="2"/>
  <c r="CF407" i="2"/>
  <c r="CD407" i="2"/>
  <c r="CB407" i="2"/>
  <c r="BZ407" i="2"/>
  <c r="BX407" i="2"/>
  <c r="BU407" i="2"/>
  <c r="BT407" i="2"/>
  <c r="BS407" i="2"/>
  <c r="BM407" i="2"/>
  <c r="BL407" i="2"/>
  <c r="BK407" i="2"/>
  <c r="BE407" i="2"/>
  <c r="BB407" i="2"/>
  <c r="AY407" i="2"/>
  <c r="AM407" i="2"/>
  <c r="AD407" i="2"/>
  <c r="AA407" i="2"/>
  <c r="U407" i="2"/>
  <c r="O407" i="2"/>
  <c r="L407" i="2"/>
  <c r="I407" i="2"/>
  <c r="G407" i="2"/>
  <c r="F407" i="2"/>
  <c r="E407" i="2"/>
  <c r="C407" i="2"/>
  <c r="B407" i="2"/>
  <c r="DJ406" i="2"/>
  <c r="DF406" i="2"/>
  <c r="DD406" i="2"/>
  <c r="CZ406" i="2"/>
  <c r="CV406" i="2"/>
  <c r="CR406" i="2"/>
  <c r="CP406" i="2"/>
  <c r="CN406" i="2"/>
  <c r="CH406" i="2"/>
  <c r="CF406" i="2"/>
  <c r="CD406" i="2"/>
  <c r="CB406" i="2"/>
  <c r="BZ406" i="2"/>
  <c r="BX406" i="2"/>
  <c r="BU406" i="2"/>
  <c r="BT406" i="2"/>
  <c r="BS406" i="2"/>
  <c r="BM406" i="2"/>
  <c r="BL406" i="2"/>
  <c r="BK406" i="2"/>
  <c r="BE406" i="2"/>
  <c r="BB406" i="2"/>
  <c r="AY406" i="2"/>
  <c r="AM406" i="2"/>
  <c r="AD406" i="2"/>
  <c r="AA406" i="2"/>
  <c r="U406" i="2"/>
  <c r="O406" i="2"/>
  <c r="L406" i="2"/>
  <c r="I406" i="2"/>
  <c r="G406" i="2"/>
  <c r="F406" i="2"/>
  <c r="E406" i="2"/>
  <c r="BW406" i="2" s="1"/>
  <c r="C406" i="2"/>
  <c r="B406" i="2"/>
  <c r="DJ405" i="2"/>
  <c r="DF405" i="2"/>
  <c r="DD405" i="2"/>
  <c r="CZ405" i="2"/>
  <c r="CV405" i="2"/>
  <c r="CR405" i="2"/>
  <c r="CP405" i="2"/>
  <c r="CN405" i="2"/>
  <c r="CH405" i="2"/>
  <c r="CF405" i="2"/>
  <c r="CD405" i="2"/>
  <c r="CB405" i="2"/>
  <c r="BZ405" i="2"/>
  <c r="BX405" i="2"/>
  <c r="BU405" i="2"/>
  <c r="BT405" i="2"/>
  <c r="BS405" i="2"/>
  <c r="BM405" i="2"/>
  <c r="BL405" i="2"/>
  <c r="BK405" i="2"/>
  <c r="BE405" i="2"/>
  <c r="BB405" i="2"/>
  <c r="AY405" i="2"/>
  <c r="AM405" i="2"/>
  <c r="AD405" i="2"/>
  <c r="AA405" i="2"/>
  <c r="U405" i="2"/>
  <c r="O405" i="2"/>
  <c r="L405" i="2"/>
  <c r="I405" i="2"/>
  <c r="G405" i="2"/>
  <c r="F405" i="2"/>
  <c r="E405" i="2"/>
  <c r="BV405" i="2" s="1"/>
  <c r="C405" i="2"/>
  <c r="B405" i="2"/>
  <c r="DJ404" i="2"/>
  <c r="DF404" i="2"/>
  <c r="DD404" i="2"/>
  <c r="CZ404" i="2"/>
  <c r="CV404" i="2"/>
  <c r="CR404" i="2"/>
  <c r="CP404" i="2"/>
  <c r="CN404" i="2"/>
  <c r="CH404" i="2"/>
  <c r="CF404" i="2"/>
  <c r="CD404" i="2"/>
  <c r="CB404" i="2"/>
  <c r="BZ404" i="2"/>
  <c r="BX404" i="2"/>
  <c r="BU404" i="2"/>
  <c r="BT404" i="2"/>
  <c r="BS404" i="2"/>
  <c r="BM404" i="2"/>
  <c r="BL404" i="2"/>
  <c r="BK404" i="2"/>
  <c r="BE404" i="2"/>
  <c r="BB404" i="2"/>
  <c r="AY404" i="2"/>
  <c r="AM404" i="2"/>
  <c r="AD404" i="2"/>
  <c r="AA404" i="2"/>
  <c r="U404" i="2"/>
  <c r="O404" i="2"/>
  <c r="L404" i="2"/>
  <c r="I404" i="2"/>
  <c r="G404" i="2"/>
  <c r="F404" i="2"/>
  <c r="E404" i="2"/>
  <c r="BW404" i="2" s="1"/>
  <c r="C404" i="2"/>
  <c r="B404" i="2"/>
  <c r="DJ403" i="2"/>
  <c r="DF403" i="2"/>
  <c r="DD403" i="2"/>
  <c r="CZ403" i="2"/>
  <c r="CV403" i="2"/>
  <c r="CR403" i="2"/>
  <c r="CP403" i="2"/>
  <c r="CN403" i="2"/>
  <c r="CH403" i="2"/>
  <c r="CF403" i="2"/>
  <c r="CD403" i="2"/>
  <c r="CB403" i="2"/>
  <c r="BZ403" i="2"/>
  <c r="BX403" i="2"/>
  <c r="BU403" i="2"/>
  <c r="BT403" i="2"/>
  <c r="BS403" i="2"/>
  <c r="BM403" i="2"/>
  <c r="BL403" i="2"/>
  <c r="BK403" i="2"/>
  <c r="BE403" i="2"/>
  <c r="BB403" i="2"/>
  <c r="AY403" i="2"/>
  <c r="AM403" i="2"/>
  <c r="AD403" i="2"/>
  <c r="AA403" i="2"/>
  <c r="U403" i="2"/>
  <c r="O403" i="2"/>
  <c r="L403" i="2"/>
  <c r="I403" i="2"/>
  <c r="G403" i="2"/>
  <c r="F403" i="2"/>
  <c r="E403" i="2"/>
  <c r="BV403" i="2" s="1"/>
  <c r="C403" i="2"/>
  <c r="B403" i="2"/>
  <c r="DJ402" i="2"/>
  <c r="DF402" i="2"/>
  <c r="DD402" i="2"/>
  <c r="CZ402" i="2"/>
  <c r="CV402" i="2"/>
  <c r="CR402" i="2"/>
  <c r="CP402" i="2"/>
  <c r="CN402" i="2"/>
  <c r="CH402" i="2"/>
  <c r="CF402" i="2"/>
  <c r="CD402" i="2"/>
  <c r="CB402" i="2"/>
  <c r="BZ402" i="2"/>
  <c r="BX402" i="2"/>
  <c r="BU402" i="2"/>
  <c r="BT402" i="2"/>
  <c r="BS402" i="2"/>
  <c r="BM402" i="2"/>
  <c r="BL402" i="2"/>
  <c r="BK402" i="2"/>
  <c r="BE402" i="2"/>
  <c r="BB402" i="2"/>
  <c r="AY402" i="2"/>
  <c r="AM402" i="2"/>
  <c r="AD402" i="2"/>
  <c r="AA402" i="2"/>
  <c r="U402" i="2"/>
  <c r="O402" i="2"/>
  <c r="L402" i="2"/>
  <c r="I402" i="2"/>
  <c r="G402" i="2"/>
  <c r="F402" i="2"/>
  <c r="E402" i="2"/>
  <c r="BV402" i="2" s="1"/>
  <c r="C402" i="2"/>
  <c r="B402" i="2"/>
  <c r="DJ401" i="2"/>
  <c r="DF401" i="2"/>
  <c r="DD401" i="2"/>
  <c r="CZ401" i="2"/>
  <c r="CV401" i="2"/>
  <c r="CR401" i="2"/>
  <c r="CP401" i="2"/>
  <c r="CN401" i="2"/>
  <c r="CH401" i="2"/>
  <c r="CF401" i="2"/>
  <c r="CD401" i="2"/>
  <c r="CB401" i="2"/>
  <c r="BZ401" i="2"/>
  <c r="BX401" i="2"/>
  <c r="BU401" i="2"/>
  <c r="BT401" i="2"/>
  <c r="BS401" i="2"/>
  <c r="BM401" i="2"/>
  <c r="BL401" i="2"/>
  <c r="BK401" i="2"/>
  <c r="BE401" i="2"/>
  <c r="BB401" i="2"/>
  <c r="AY401" i="2"/>
  <c r="AM401" i="2"/>
  <c r="AD401" i="2"/>
  <c r="AA401" i="2"/>
  <c r="U401" i="2"/>
  <c r="O401" i="2"/>
  <c r="L401" i="2"/>
  <c r="I401" i="2"/>
  <c r="G401" i="2"/>
  <c r="F401" i="2"/>
  <c r="E401" i="2"/>
  <c r="BV401" i="2" s="1"/>
  <c r="C401" i="2"/>
  <c r="B401" i="2"/>
  <c r="DJ400" i="2"/>
  <c r="DF400" i="2"/>
  <c r="DD400" i="2"/>
  <c r="CZ400" i="2"/>
  <c r="CV400" i="2"/>
  <c r="CR400" i="2"/>
  <c r="CP400" i="2"/>
  <c r="CN400" i="2"/>
  <c r="CH400" i="2"/>
  <c r="CF400" i="2"/>
  <c r="CD400" i="2"/>
  <c r="CB400" i="2"/>
  <c r="BZ400" i="2"/>
  <c r="BX400" i="2"/>
  <c r="BU400" i="2"/>
  <c r="BT400" i="2"/>
  <c r="BS400" i="2"/>
  <c r="BM400" i="2"/>
  <c r="BL400" i="2"/>
  <c r="BK400" i="2"/>
  <c r="BE400" i="2"/>
  <c r="BB400" i="2"/>
  <c r="AY400" i="2"/>
  <c r="AM400" i="2"/>
  <c r="AD400" i="2"/>
  <c r="AA400" i="2"/>
  <c r="U400" i="2"/>
  <c r="O400" i="2"/>
  <c r="L400" i="2"/>
  <c r="I400" i="2"/>
  <c r="G400" i="2"/>
  <c r="F400" i="2"/>
  <c r="E400" i="2"/>
  <c r="BV400" i="2" s="1"/>
  <c r="C400" i="2"/>
  <c r="B400" i="2"/>
  <c r="DJ399" i="2"/>
  <c r="DF399" i="2"/>
  <c r="DD399" i="2"/>
  <c r="CZ399" i="2"/>
  <c r="CV399" i="2"/>
  <c r="CR399" i="2"/>
  <c r="CP399" i="2"/>
  <c r="CN399" i="2"/>
  <c r="CH399" i="2"/>
  <c r="CF399" i="2"/>
  <c r="CD399" i="2"/>
  <c r="CB399" i="2"/>
  <c r="BZ399" i="2"/>
  <c r="BX399" i="2"/>
  <c r="BU399" i="2"/>
  <c r="BT399" i="2"/>
  <c r="BS399" i="2"/>
  <c r="BM399" i="2"/>
  <c r="BL399" i="2"/>
  <c r="BK399" i="2"/>
  <c r="BE399" i="2"/>
  <c r="BB399" i="2"/>
  <c r="AY399" i="2"/>
  <c r="AM399" i="2"/>
  <c r="AD399" i="2"/>
  <c r="AA399" i="2"/>
  <c r="U399" i="2"/>
  <c r="O399" i="2"/>
  <c r="L399" i="2"/>
  <c r="I399" i="2"/>
  <c r="G399" i="2"/>
  <c r="F399" i="2"/>
  <c r="E399" i="2"/>
  <c r="BY399" i="2" s="1"/>
  <c r="C399" i="2"/>
  <c r="B399" i="2"/>
  <c r="DJ398" i="2"/>
  <c r="DF398" i="2"/>
  <c r="DD398" i="2"/>
  <c r="CZ398" i="2"/>
  <c r="CV398" i="2"/>
  <c r="CR398" i="2"/>
  <c r="CP398" i="2"/>
  <c r="CN398" i="2"/>
  <c r="CH398" i="2"/>
  <c r="CF398" i="2"/>
  <c r="CD398" i="2"/>
  <c r="CB398" i="2"/>
  <c r="BZ398" i="2"/>
  <c r="BX398" i="2"/>
  <c r="BU398" i="2"/>
  <c r="BT398" i="2"/>
  <c r="BS398" i="2"/>
  <c r="BM398" i="2"/>
  <c r="BL398" i="2"/>
  <c r="BK398" i="2"/>
  <c r="BE398" i="2"/>
  <c r="BB398" i="2"/>
  <c r="AY398" i="2"/>
  <c r="AM398" i="2"/>
  <c r="AD398" i="2"/>
  <c r="AA398" i="2"/>
  <c r="U398" i="2"/>
  <c r="O398" i="2"/>
  <c r="L398" i="2"/>
  <c r="I398" i="2"/>
  <c r="G398" i="2"/>
  <c r="F398" i="2"/>
  <c r="E398" i="2"/>
  <c r="BW398" i="2" s="1"/>
  <c r="C398" i="2"/>
  <c r="B398" i="2"/>
  <c r="DJ397" i="2"/>
  <c r="DF397" i="2"/>
  <c r="DD397" i="2"/>
  <c r="CZ397" i="2"/>
  <c r="CV397" i="2"/>
  <c r="CR397" i="2"/>
  <c r="CP397" i="2"/>
  <c r="CN397" i="2"/>
  <c r="CH397" i="2"/>
  <c r="CF397" i="2"/>
  <c r="CD397" i="2"/>
  <c r="CB397" i="2"/>
  <c r="BZ397" i="2"/>
  <c r="BX397" i="2"/>
  <c r="BU397" i="2"/>
  <c r="BT397" i="2"/>
  <c r="BS397" i="2"/>
  <c r="BM397" i="2"/>
  <c r="BL397" i="2"/>
  <c r="BK397" i="2"/>
  <c r="BE397" i="2"/>
  <c r="BB397" i="2"/>
  <c r="AY397" i="2"/>
  <c r="AM397" i="2"/>
  <c r="AD397" i="2"/>
  <c r="AA397" i="2"/>
  <c r="U397" i="2"/>
  <c r="O397" i="2"/>
  <c r="L397" i="2"/>
  <c r="I397" i="2"/>
  <c r="G397" i="2"/>
  <c r="F397" i="2"/>
  <c r="E397" i="2"/>
  <c r="BY397" i="2" s="1"/>
  <c r="C397" i="2"/>
  <c r="B397" i="2"/>
  <c r="DJ396" i="2"/>
  <c r="DF396" i="2"/>
  <c r="DD396" i="2"/>
  <c r="CZ396" i="2"/>
  <c r="CV396" i="2"/>
  <c r="CR396" i="2"/>
  <c r="CP396" i="2"/>
  <c r="CN396" i="2"/>
  <c r="CH396" i="2"/>
  <c r="CF396" i="2"/>
  <c r="CD396" i="2"/>
  <c r="CB396" i="2"/>
  <c r="BZ396" i="2"/>
  <c r="BX396" i="2"/>
  <c r="BU396" i="2"/>
  <c r="BT396" i="2"/>
  <c r="BS396" i="2"/>
  <c r="BM396" i="2"/>
  <c r="BL396" i="2"/>
  <c r="BK396" i="2"/>
  <c r="BE396" i="2"/>
  <c r="BB396" i="2"/>
  <c r="AY396" i="2"/>
  <c r="AM396" i="2"/>
  <c r="AD396" i="2"/>
  <c r="AA396" i="2"/>
  <c r="U396" i="2"/>
  <c r="O396" i="2"/>
  <c r="L396" i="2"/>
  <c r="I396" i="2"/>
  <c r="G396" i="2"/>
  <c r="F396" i="2"/>
  <c r="E396" i="2"/>
  <c r="BW396" i="2" s="1"/>
  <c r="C396" i="2"/>
  <c r="B396" i="2"/>
  <c r="DJ395" i="2"/>
  <c r="DF395" i="2"/>
  <c r="DD395" i="2"/>
  <c r="CZ395" i="2"/>
  <c r="CV395" i="2"/>
  <c r="CR395" i="2"/>
  <c r="CP395" i="2"/>
  <c r="CN395" i="2"/>
  <c r="CH395" i="2"/>
  <c r="CF395" i="2"/>
  <c r="CD395" i="2"/>
  <c r="CB395" i="2"/>
  <c r="BZ395" i="2"/>
  <c r="BX395" i="2"/>
  <c r="BU395" i="2"/>
  <c r="BT395" i="2"/>
  <c r="BS395" i="2"/>
  <c r="BM395" i="2"/>
  <c r="BL395" i="2"/>
  <c r="BK395" i="2"/>
  <c r="BE395" i="2"/>
  <c r="BB395" i="2"/>
  <c r="AY395" i="2"/>
  <c r="AM395" i="2"/>
  <c r="AD395" i="2"/>
  <c r="AA395" i="2"/>
  <c r="U395" i="2"/>
  <c r="O395" i="2"/>
  <c r="L395" i="2"/>
  <c r="I395" i="2"/>
  <c r="G395" i="2"/>
  <c r="F395" i="2"/>
  <c r="E395" i="2"/>
  <c r="BW395" i="2" s="1"/>
  <c r="C395" i="2"/>
  <c r="B395" i="2"/>
  <c r="DJ394" i="2"/>
  <c r="DF394" i="2"/>
  <c r="DD394" i="2"/>
  <c r="CZ394" i="2"/>
  <c r="CV394" i="2"/>
  <c r="CR394" i="2"/>
  <c r="CP394" i="2"/>
  <c r="CN394" i="2"/>
  <c r="CH394" i="2"/>
  <c r="CF394" i="2"/>
  <c r="CD394" i="2"/>
  <c r="CB394" i="2"/>
  <c r="BZ394" i="2"/>
  <c r="BX394" i="2"/>
  <c r="BU394" i="2"/>
  <c r="BT394" i="2"/>
  <c r="BS394" i="2"/>
  <c r="BM394" i="2"/>
  <c r="BL394" i="2"/>
  <c r="BK394" i="2"/>
  <c r="BE394" i="2"/>
  <c r="BB394" i="2"/>
  <c r="AY394" i="2"/>
  <c r="AM394" i="2"/>
  <c r="AD394" i="2"/>
  <c r="AA394" i="2"/>
  <c r="U394" i="2"/>
  <c r="O394" i="2"/>
  <c r="L394" i="2"/>
  <c r="I394" i="2"/>
  <c r="G394" i="2"/>
  <c r="F394" i="2"/>
  <c r="E394" i="2"/>
  <c r="C394" i="2"/>
  <c r="B394" i="2"/>
  <c r="DJ393" i="2"/>
  <c r="DF393" i="2"/>
  <c r="DD393" i="2"/>
  <c r="CZ393" i="2"/>
  <c r="CV393" i="2"/>
  <c r="CR393" i="2"/>
  <c r="CP393" i="2"/>
  <c r="CN393" i="2"/>
  <c r="CH393" i="2"/>
  <c r="CF393" i="2"/>
  <c r="CD393" i="2"/>
  <c r="CB393" i="2"/>
  <c r="BZ393" i="2"/>
  <c r="BX393" i="2"/>
  <c r="BU393" i="2"/>
  <c r="BT393" i="2"/>
  <c r="BS393" i="2"/>
  <c r="BM393" i="2"/>
  <c r="BL393" i="2"/>
  <c r="BK393" i="2"/>
  <c r="BE393" i="2"/>
  <c r="BB393" i="2"/>
  <c r="AY393" i="2"/>
  <c r="AM393" i="2"/>
  <c r="AD393" i="2"/>
  <c r="AA393" i="2"/>
  <c r="U393" i="2"/>
  <c r="O393" i="2"/>
  <c r="L393" i="2"/>
  <c r="I393" i="2"/>
  <c r="G393" i="2"/>
  <c r="F393" i="2"/>
  <c r="E393" i="2"/>
  <c r="C393" i="2"/>
  <c r="B393" i="2"/>
  <c r="DJ392" i="2"/>
  <c r="DF392" i="2"/>
  <c r="DD392" i="2"/>
  <c r="CZ392" i="2"/>
  <c r="CV392" i="2"/>
  <c r="CR392" i="2"/>
  <c r="CP392" i="2"/>
  <c r="CN392" i="2"/>
  <c r="CH392" i="2"/>
  <c r="CF392" i="2"/>
  <c r="CD392" i="2"/>
  <c r="CB392" i="2"/>
  <c r="BZ392" i="2"/>
  <c r="BX392" i="2"/>
  <c r="BU392" i="2"/>
  <c r="BT392" i="2"/>
  <c r="BS392" i="2"/>
  <c r="BM392" i="2"/>
  <c r="BL392" i="2"/>
  <c r="BK392" i="2"/>
  <c r="BE392" i="2"/>
  <c r="BB392" i="2"/>
  <c r="AY392" i="2"/>
  <c r="AM392" i="2"/>
  <c r="AD392" i="2"/>
  <c r="AA392" i="2"/>
  <c r="U392" i="2"/>
  <c r="O392" i="2"/>
  <c r="L392" i="2"/>
  <c r="I392" i="2"/>
  <c r="G392" i="2"/>
  <c r="F392" i="2"/>
  <c r="E392" i="2"/>
  <c r="BW392" i="2" s="1"/>
  <c r="C392" i="2"/>
  <c r="B392" i="2"/>
  <c r="DJ391" i="2"/>
  <c r="DF391" i="2"/>
  <c r="DD391" i="2"/>
  <c r="CZ391" i="2"/>
  <c r="CV391" i="2"/>
  <c r="CR391" i="2"/>
  <c r="CP391" i="2"/>
  <c r="CN391" i="2"/>
  <c r="CH391" i="2"/>
  <c r="CF391" i="2"/>
  <c r="CD391" i="2"/>
  <c r="CB391" i="2"/>
  <c r="BZ391" i="2"/>
  <c r="BX391" i="2"/>
  <c r="BU391" i="2"/>
  <c r="BT391" i="2"/>
  <c r="BS391" i="2"/>
  <c r="BM391" i="2"/>
  <c r="BL391" i="2"/>
  <c r="BK391" i="2"/>
  <c r="BE391" i="2"/>
  <c r="BB391" i="2"/>
  <c r="AY391" i="2"/>
  <c r="AM391" i="2"/>
  <c r="AD391" i="2"/>
  <c r="AA391" i="2"/>
  <c r="U391" i="2"/>
  <c r="O391" i="2"/>
  <c r="L391" i="2"/>
  <c r="I391" i="2"/>
  <c r="G391" i="2"/>
  <c r="F391" i="2"/>
  <c r="E391" i="2"/>
  <c r="C391" i="2"/>
  <c r="B391" i="2"/>
  <c r="DJ390" i="2"/>
  <c r="DF390" i="2"/>
  <c r="DD390" i="2"/>
  <c r="CZ390" i="2"/>
  <c r="CV390" i="2"/>
  <c r="CR390" i="2"/>
  <c r="CP390" i="2"/>
  <c r="CN390" i="2"/>
  <c r="CH390" i="2"/>
  <c r="CF390" i="2"/>
  <c r="CD390" i="2"/>
  <c r="CB390" i="2"/>
  <c r="BZ390" i="2"/>
  <c r="BX390" i="2"/>
  <c r="BU390" i="2"/>
  <c r="BT390" i="2"/>
  <c r="BS390" i="2"/>
  <c r="BM390" i="2"/>
  <c r="BL390" i="2"/>
  <c r="BK390" i="2"/>
  <c r="BE390" i="2"/>
  <c r="BB390" i="2"/>
  <c r="AY390" i="2"/>
  <c r="AM390" i="2"/>
  <c r="AD390" i="2"/>
  <c r="AA390" i="2"/>
  <c r="U390" i="2"/>
  <c r="O390" i="2"/>
  <c r="L390" i="2"/>
  <c r="I390" i="2"/>
  <c r="G390" i="2"/>
  <c r="F390" i="2"/>
  <c r="E390" i="2"/>
  <c r="C390" i="2"/>
  <c r="B390" i="2"/>
  <c r="DJ389" i="2"/>
  <c r="DF389" i="2"/>
  <c r="DD389" i="2"/>
  <c r="CZ389" i="2"/>
  <c r="CV389" i="2"/>
  <c r="CR389" i="2"/>
  <c r="CP389" i="2"/>
  <c r="CN389" i="2"/>
  <c r="CH389" i="2"/>
  <c r="CF389" i="2"/>
  <c r="CD389" i="2"/>
  <c r="CB389" i="2"/>
  <c r="BZ389" i="2"/>
  <c r="BX389" i="2"/>
  <c r="BU389" i="2"/>
  <c r="BT389" i="2"/>
  <c r="BS389" i="2"/>
  <c r="BM389" i="2"/>
  <c r="BL389" i="2"/>
  <c r="BK389" i="2"/>
  <c r="BE389" i="2"/>
  <c r="BB389" i="2"/>
  <c r="AY389" i="2"/>
  <c r="AM389" i="2"/>
  <c r="AD389" i="2"/>
  <c r="AA389" i="2"/>
  <c r="U389" i="2"/>
  <c r="O389" i="2"/>
  <c r="R389" i="2" s="1"/>
  <c r="L389" i="2"/>
  <c r="I389" i="2"/>
  <c r="G389" i="2"/>
  <c r="F389" i="2"/>
  <c r="E389" i="2"/>
  <c r="BW389" i="2" s="1"/>
  <c r="C389" i="2"/>
  <c r="B389" i="2"/>
  <c r="DJ388" i="2"/>
  <c r="DF388" i="2"/>
  <c r="DD388" i="2"/>
  <c r="CZ388" i="2"/>
  <c r="CV388" i="2"/>
  <c r="CR388" i="2"/>
  <c r="CP388" i="2"/>
  <c r="CN388" i="2"/>
  <c r="CH388" i="2"/>
  <c r="CF388" i="2"/>
  <c r="CD388" i="2"/>
  <c r="CB388" i="2"/>
  <c r="BZ388" i="2"/>
  <c r="BX388" i="2"/>
  <c r="BU388" i="2"/>
  <c r="BT388" i="2"/>
  <c r="BS388" i="2"/>
  <c r="BM388" i="2"/>
  <c r="BL388" i="2"/>
  <c r="BK388" i="2"/>
  <c r="BE388" i="2"/>
  <c r="BB388" i="2"/>
  <c r="AY388" i="2"/>
  <c r="AM388" i="2"/>
  <c r="AD388" i="2"/>
  <c r="AA388" i="2"/>
  <c r="U388" i="2"/>
  <c r="O388" i="2"/>
  <c r="L388" i="2"/>
  <c r="I388" i="2"/>
  <c r="G388" i="2"/>
  <c r="F388" i="2"/>
  <c r="E388" i="2"/>
  <c r="BW388" i="2" s="1"/>
  <c r="C388" i="2"/>
  <c r="B388" i="2"/>
  <c r="DJ387" i="2"/>
  <c r="DF387" i="2"/>
  <c r="DD387" i="2"/>
  <c r="CZ387" i="2"/>
  <c r="CV387" i="2"/>
  <c r="CR387" i="2"/>
  <c r="CP387" i="2"/>
  <c r="CN387" i="2"/>
  <c r="CH387" i="2"/>
  <c r="CF387" i="2"/>
  <c r="CD387" i="2"/>
  <c r="CB387" i="2"/>
  <c r="BZ387" i="2"/>
  <c r="BX387" i="2"/>
  <c r="BU387" i="2"/>
  <c r="BT387" i="2"/>
  <c r="BS387" i="2"/>
  <c r="BM387" i="2"/>
  <c r="BL387" i="2"/>
  <c r="BK387" i="2"/>
  <c r="BE387" i="2"/>
  <c r="BB387" i="2"/>
  <c r="AY387" i="2"/>
  <c r="AM387" i="2"/>
  <c r="AD387" i="2"/>
  <c r="AA387" i="2"/>
  <c r="U387" i="2"/>
  <c r="O387" i="2"/>
  <c r="L387" i="2"/>
  <c r="I387" i="2"/>
  <c r="G387" i="2"/>
  <c r="F387" i="2"/>
  <c r="E387" i="2"/>
  <c r="BW387" i="2" s="1"/>
  <c r="C387" i="2"/>
  <c r="B387" i="2"/>
  <c r="DJ386" i="2"/>
  <c r="DF386" i="2"/>
  <c r="DD386" i="2"/>
  <c r="CZ386" i="2"/>
  <c r="CV386" i="2"/>
  <c r="CR386" i="2"/>
  <c r="CP386" i="2"/>
  <c r="CN386" i="2"/>
  <c r="CH386" i="2"/>
  <c r="CF386" i="2"/>
  <c r="CD386" i="2"/>
  <c r="CB386" i="2"/>
  <c r="BZ386" i="2"/>
  <c r="BX386" i="2"/>
  <c r="BU386" i="2"/>
  <c r="BT386" i="2"/>
  <c r="BS386" i="2"/>
  <c r="BM386" i="2"/>
  <c r="BL386" i="2"/>
  <c r="BK386" i="2"/>
  <c r="BE386" i="2"/>
  <c r="BB386" i="2"/>
  <c r="AY386" i="2"/>
  <c r="AM386" i="2"/>
  <c r="AD386" i="2"/>
  <c r="AA386" i="2"/>
  <c r="U386" i="2"/>
  <c r="O386" i="2"/>
  <c r="L386" i="2"/>
  <c r="I386" i="2"/>
  <c r="G386" i="2"/>
  <c r="F386" i="2"/>
  <c r="E386" i="2"/>
  <c r="C386" i="2"/>
  <c r="B386" i="2"/>
  <c r="DJ385" i="2"/>
  <c r="DF385" i="2"/>
  <c r="DD385" i="2"/>
  <c r="CZ385" i="2"/>
  <c r="CV385" i="2"/>
  <c r="CR385" i="2"/>
  <c r="CP385" i="2"/>
  <c r="CN385" i="2"/>
  <c r="CH385" i="2"/>
  <c r="CF385" i="2"/>
  <c r="CD385" i="2"/>
  <c r="CB385" i="2"/>
  <c r="BZ385" i="2"/>
  <c r="BX385" i="2"/>
  <c r="BU385" i="2"/>
  <c r="BT385" i="2"/>
  <c r="BS385" i="2"/>
  <c r="BM385" i="2"/>
  <c r="BL385" i="2"/>
  <c r="BK385" i="2"/>
  <c r="BE385" i="2"/>
  <c r="BB385" i="2"/>
  <c r="AY385" i="2"/>
  <c r="AM385" i="2"/>
  <c r="AD385" i="2"/>
  <c r="AA385" i="2"/>
  <c r="U385" i="2"/>
  <c r="O385" i="2"/>
  <c r="L385" i="2"/>
  <c r="I385" i="2"/>
  <c r="G385" i="2"/>
  <c r="F385" i="2"/>
  <c r="E385" i="2"/>
  <c r="BW385" i="2" s="1"/>
  <c r="C385" i="2"/>
  <c r="B385" i="2"/>
  <c r="DJ384" i="2"/>
  <c r="DF384" i="2"/>
  <c r="DD384" i="2"/>
  <c r="CZ384" i="2"/>
  <c r="CV384" i="2"/>
  <c r="CR384" i="2"/>
  <c r="CP384" i="2"/>
  <c r="CN384" i="2"/>
  <c r="CH384" i="2"/>
  <c r="CF384" i="2"/>
  <c r="CD384" i="2"/>
  <c r="CB384" i="2"/>
  <c r="BZ384" i="2"/>
  <c r="BX384" i="2"/>
  <c r="BU384" i="2"/>
  <c r="BT384" i="2"/>
  <c r="BS384" i="2"/>
  <c r="BM384" i="2"/>
  <c r="BL384" i="2"/>
  <c r="BK384" i="2"/>
  <c r="BE384" i="2"/>
  <c r="BB384" i="2"/>
  <c r="AY384" i="2"/>
  <c r="AM384" i="2"/>
  <c r="AD384" i="2"/>
  <c r="AA384" i="2"/>
  <c r="U384" i="2"/>
  <c r="O384" i="2"/>
  <c r="L384" i="2"/>
  <c r="I384" i="2"/>
  <c r="G384" i="2"/>
  <c r="F384" i="2"/>
  <c r="E384" i="2"/>
  <c r="BW384" i="2" s="1"/>
  <c r="C384" i="2"/>
  <c r="B384" i="2"/>
  <c r="DJ383" i="2"/>
  <c r="DF383" i="2"/>
  <c r="DD383" i="2"/>
  <c r="CZ383" i="2"/>
  <c r="CV383" i="2"/>
  <c r="CR383" i="2"/>
  <c r="CP383" i="2"/>
  <c r="CN383" i="2"/>
  <c r="CH383" i="2"/>
  <c r="CF383" i="2"/>
  <c r="CD383" i="2"/>
  <c r="CB383" i="2"/>
  <c r="BZ383" i="2"/>
  <c r="BX383" i="2"/>
  <c r="BU383" i="2"/>
  <c r="BT383" i="2"/>
  <c r="BS383" i="2"/>
  <c r="BM383" i="2"/>
  <c r="BL383" i="2"/>
  <c r="BK383" i="2"/>
  <c r="BE383" i="2"/>
  <c r="BB383" i="2"/>
  <c r="AY383" i="2"/>
  <c r="AM383" i="2"/>
  <c r="AD383" i="2"/>
  <c r="AA383" i="2"/>
  <c r="U383" i="2"/>
  <c r="O383" i="2"/>
  <c r="L383" i="2"/>
  <c r="I383" i="2"/>
  <c r="G383" i="2"/>
  <c r="F383" i="2"/>
  <c r="E383" i="2"/>
  <c r="C383" i="2"/>
  <c r="B383" i="2"/>
  <c r="DJ382" i="2"/>
  <c r="DF382" i="2"/>
  <c r="DD382" i="2"/>
  <c r="CZ382" i="2"/>
  <c r="CV382" i="2"/>
  <c r="CR382" i="2"/>
  <c r="CP382" i="2"/>
  <c r="CN382" i="2"/>
  <c r="CH382" i="2"/>
  <c r="CF382" i="2"/>
  <c r="CD382" i="2"/>
  <c r="CB382" i="2"/>
  <c r="BZ382" i="2"/>
  <c r="BX382" i="2"/>
  <c r="BU382" i="2"/>
  <c r="BT382" i="2"/>
  <c r="BS382" i="2"/>
  <c r="BM382" i="2"/>
  <c r="BL382" i="2"/>
  <c r="BK382" i="2"/>
  <c r="BE382" i="2"/>
  <c r="BB382" i="2"/>
  <c r="AY382" i="2"/>
  <c r="AM382" i="2"/>
  <c r="AD382" i="2"/>
  <c r="AA382" i="2"/>
  <c r="U382" i="2"/>
  <c r="O382" i="2"/>
  <c r="L382" i="2"/>
  <c r="I382" i="2"/>
  <c r="G382" i="2"/>
  <c r="F382" i="2"/>
  <c r="E382" i="2"/>
  <c r="BW382" i="2" s="1"/>
  <c r="C382" i="2"/>
  <c r="B382" i="2"/>
  <c r="DJ381" i="2"/>
  <c r="DF381" i="2"/>
  <c r="DD381" i="2"/>
  <c r="CZ381" i="2"/>
  <c r="CV381" i="2"/>
  <c r="CR381" i="2"/>
  <c r="CP381" i="2"/>
  <c r="CN381" i="2"/>
  <c r="CH381" i="2"/>
  <c r="CF381" i="2"/>
  <c r="CD381" i="2"/>
  <c r="CB381" i="2"/>
  <c r="BZ381" i="2"/>
  <c r="BX381" i="2"/>
  <c r="BU381" i="2"/>
  <c r="BT381" i="2"/>
  <c r="BS381" i="2"/>
  <c r="BM381" i="2"/>
  <c r="BL381" i="2"/>
  <c r="BK381" i="2"/>
  <c r="BE381" i="2"/>
  <c r="BB381" i="2"/>
  <c r="AY381" i="2"/>
  <c r="AM381" i="2"/>
  <c r="AD381" i="2"/>
  <c r="AA381" i="2"/>
  <c r="U381" i="2"/>
  <c r="O381" i="2"/>
  <c r="L381" i="2"/>
  <c r="I381" i="2"/>
  <c r="G381" i="2"/>
  <c r="F381" i="2"/>
  <c r="E381" i="2"/>
  <c r="BW381" i="2" s="1"/>
  <c r="C381" i="2"/>
  <c r="B381" i="2"/>
  <c r="DJ380" i="2"/>
  <c r="DF380" i="2"/>
  <c r="DD380" i="2"/>
  <c r="CZ380" i="2"/>
  <c r="CV380" i="2"/>
  <c r="CR380" i="2"/>
  <c r="CP380" i="2"/>
  <c r="CN380" i="2"/>
  <c r="CH380" i="2"/>
  <c r="CF380" i="2"/>
  <c r="CD380" i="2"/>
  <c r="CB380" i="2"/>
  <c r="BZ380" i="2"/>
  <c r="BX380" i="2"/>
  <c r="BU380" i="2"/>
  <c r="BT380" i="2"/>
  <c r="BS380" i="2"/>
  <c r="BM380" i="2"/>
  <c r="BL380" i="2"/>
  <c r="BK380" i="2"/>
  <c r="BE380" i="2"/>
  <c r="BB380" i="2"/>
  <c r="AY380" i="2"/>
  <c r="AM380" i="2"/>
  <c r="AD380" i="2"/>
  <c r="AA380" i="2"/>
  <c r="U380" i="2"/>
  <c r="O380" i="2"/>
  <c r="L380" i="2"/>
  <c r="I380" i="2"/>
  <c r="G380" i="2"/>
  <c r="F380" i="2"/>
  <c r="E380" i="2"/>
  <c r="BW380" i="2" s="1"/>
  <c r="C380" i="2"/>
  <c r="B380" i="2"/>
  <c r="DJ379" i="2"/>
  <c r="DF379" i="2"/>
  <c r="DD379" i="2"/>
  <c r="CZ379" i="2"/>
  <c r="CV379" i="2"/>
  <c r="CR379" i="2"/>
  <c r="CP379" i="2"/>
  <c r="CN379" i="2"/>
  <c r="CH379" i="2"/>
  <c r="CF379" i="2"/>
  <c r="CD379" i="2"/>
  <c r="CB379" i="2"/>
  <c r="BZ379" i="2"/>
  <c r="BX379" i="2"/>
  <c r="BU379" i="2"/>
  <c r="BT379" i="2"/>
  <c r="BS379" i="2"/>
  <c r="BM379" i="2"/>
  <c r="BL379" i="2"/>
  <c r="BK379" i="2"/>
  <c r="BE379" i="2"/>
  <c r="BB379" i="2"/>
  <c r="AY379" i="2"/>
  <c r="AM379" i="2"/>
  <c r="AD379" i="2"/>
  <c r="AA379" i="2"/>
  <c r="U379" i="2"/>
  <c r="O379" i="2"/>
  <c r="L379" i="2"/>
  <c r="I379" i="2"/>
  <c r="G379" i="2"/>
  <c r="F379" i="2"/>
  <c r="E379" i="2"/>
  <c r="BW379" i="2" s="1"/>
  <c r="C379" i="2"/>
  <c r="B379" i="2"/>
  <c r="DJ378" i="2"/>
  <c r="DF378" i="2"/>
  <c r="DD378" i="2"/>
  <c r="CZ378" i="2"/>
  <c r="CV378" i="2"/>
  <c r="CR378" i="2"/>
  <c r="CP378" i="2"/>
  <c r="CN378" i="2"/>
  <c r="CH378" i="2"/>
  <c r="CF378" i="2"/>
  <c r="CD378" i="2"/>
  <c r="CB378" i="2"/>
  <c r="BZ378" i="2"/>
  <c r="BX378" i="2"/>
  <c r="BU378" i="2"/>
  <c r="BT378" i="2"/>
  <c r="BS378" i="2"/>
  <c r="BM378" i="2"/>
  <c r="BL378" i="2"/>
  <c r="BK378" i="2"/>
  <c r="BE378" i="2"/>
  <c r="BB378" i="2"/>
  <c r="AY378" i="2"/>
  <c r="AM378" i="2"/>
  <c r="AD378" i="2"/>
  <c r="AA378" i="2"/>
  <c r="U378" i="2"/>
  <c r="O378" i="2"/>
  <c r="L378" i="2"/>
  <c r="I378" i="2"/>
  <c r="G378" i="2"/>
  <c r="F378" i="2"/>
  <c r="E378" i="2"/>
  <c r="BW378" i="2" s="1"/>
  <c r="C378" i="2"/>
  <c r="B378" i="2"/>
  <c r="DJ377" i="2"/>
  <c r="DF377" i="2"/>
  <c r="DD377" i="2"/>
  <c r="CZ377" i="2"/>
  <c r="CV377" i="2"/>
  <c r="CR377" i="2"/>
  <c r="CP377" i="2"/>
  <c r="CN377" i="2"/>
  <c r="CH377" i="2"/>
  <c r="CF377" i="2"/>
  <c r="CD377" i="2"/>
  <c r="CB377" i="2"/>
  <c r="BZ377" i="2"/>
  <c r="BX377" i="2"/>
  <c r="BU377" i="2"/>
  <c r="BT377" i="2"/>
  <c r="BS377" i="2"/>
  <c r="BM377" i="2"/>
  <c r="BL377" i="2"/>
  <c r="BK377" i="2"/>
  <c r="BE377" i="2"/>
  <c r="BB377" i="2"/>
  <c r="AY377" i="2"/>
  <c r="AM377" i="2"/>
  <c r="AD377" i="2"/>
  <c r="AA377" i="2"/>
  <c r="U377" i="2"/>
  <c r="O377" i="2"/>
  <c r="L377" i="2"/>
  <c r="I377" i="2"/>
  <c r="G377" i="2"/>
  <c r="F377" i="2"/>
  <c r="E377" i="2"/>
  <c r="C377" i="2"/>
  <c r="B377" i="2"/>
  <c r="DJ376" i="2"/>
  <c r="DF376" i="2"/>
  <c r="DD376" i="2"/>
  <c r="CZ376" i="2"/>
  <c r="CV376" i="2"/>
  <c r="CR376" i="2"/>
  <c r="CP376" i="2"/>
  <c r="CN376" i="2"/>
  <c r="CH376" i="2"/>
  <c r="CF376" i="2"/>
  <c r="CD376" i="2"/>
  <c r="CB376" i="2"/>
  <c r="BZ376" i="2"/>
  <c r="BX376" i="2"/>
  <c r="BU376" i="2"/>
  <c r="BT376" i="2"/>
  <c r="BS376" i="2"/>
  <c r="BM376" i="2"/>
  <c r="BL376" i="2"/>
  <c r="BK376" i="2"/>
  <c r="BE376" i="2"/>
  <c r="BB376" i="2"/>
  <c r="AY376" i="2"/>
  <c r="AM376" i="2"/>
  <c r="AD376" i="2"/>
  <c r="AA376" i="2"/>
  <c r="U376" i="2"/>
  <c r="O376" i="2"/>
  <c r="L376" i="2"/>
  <c r="I376" i="2"/>
  <c r="G376" i="2"/>
  <c r="F376" i="2"/>
  <c r="E376" i="2"/>
  <c r="C376" i="2"/>
  <c r="B376" i="2"/>
  <c r="DJ375" i="2"/>
  <c r="DF375" i="2"/>
  <c r="DD375" i="2"/>
  <c r="CZ375" i="2"/>
  <c r="CV375" i="2"/>
  <c r="CR375" i="2"/>
  <c r="CP375" i="2"/>
  <c r="CN375" i="2"/>
  <c r="CH375" i="2"/>
  <c r="CF375" i="2"/>
  <c r="CD375" i="2"/>
  <c r="CB375" i="2"/>
  <c r="BZ375" i="2"/>
  <c r="BX375" i="2"/>
  <c r="BU375" i="2"/>
  <c r="BT375" i="2"/>
  <c r="BS375" i="2"/>
  <c r="BM375" i="2"/>
  <c r="BL375" i="2"/>
  <c r="BK375" i="2"/>
  <c r="BE375" i="2"/>
  <c r="BB375" i="2"/>
  <c r="AY375" i="2"/>
  <c r="AM375" i="2"/>
  <c r="AD375" i="2"/>
  <c r="AA375" i="2"/>
  <c r="U375" i="2"/>
  <c r="O375" i="2"/>
  <c r="L375" i="2"/>
  <c r="I375" i="2"/>
  <c r="G375" i="2"/>
  <c r="F375" i="2"/>
  <c r="E375" i="2"/>
  <c r="BW375" i="2" s="1"/>
  <c r="C375" i="2"/>
  <c r="B375" i="2"/>
  <c r="DJ374" i="2"/>
  <c r="DF374" i="2"/>
  <c r="DD374" i="2"/>
  <c r="CZ374" i="2"/>
  <c r="CV374" i="2"/>
  <c r="CR374" i="2"/>
  <c r="CP374" i="2"/>
  <c r="CN374" i="2"/>
  <c r="CH374" i="2"/>
  <c r="CF374" i="2"/>
  <c r="CD374" i="2"/>
  <c r="CB374" i="2"/>
  <c r="BZ374" i="2"/>
  <c r="BX374" i="2"/>
  <c r="BU374" i="2"/>
  <c r="BT374" i="2"/>
  <c r="BS374" i="2"/>
  <c r="BM374" i="2"/>
  <c r="BL374" i="2"/>
  <c r="BK374" i="2"/>
  <c r="BE374" i="2"/>
  <c r="BB374" i="2"/>
  <c r="AY374" i="2"/>
  <c r="AM374" i="2"/>
  <c r="AD374" i="2"/>
  <c r="AA374" i="2"/>
  <c r="U374" i="2"/>
  <c r="O374" i="2"/>
  <c r="L374" i="2"/>
  <c r="I374" i="2"/>
  <c r="G374" i="2"/>
  <c r="F374" i="2"/>
  <c r="E374" i="2"/>
  <c r="C374" i="2"/>
  <c r="B374" i="2"/>
  <c r="DJ373" i="2"/>
  <c r="DF373" i="2"/>
  <c r="DD373" i="2"/>
  <c r="CZ373" i="2"/>
  <c r="CV373" i="2"/>
  <c r="CR373" i="2"/>
  <c r="CP373" i="2"/>
  <c r="CN373" i="2"/>
  <c r="CH373" i="2"/>
  <c r="CF373" i="2"/>
  <c r="CD373" i="2"/>
  <c r="CB373" i="2"/>
  <c r="BZ373" i="2"/>
  <c r="BX373" i="2"/>
  <c r="BU373" i="2"/>
  <c r="BT373" i="2"/>
  <c r="BS373" i="2"/>
  <c r="BM373" i="2"/>
  <c r="BL373" i="2"/>
  <c r="BK373" i="2"/>
  <c r="BE373" i="2"/>
  <c r="BB373" i="2"/>
  <c r="AY373" i="2"/>
  <c r="AM373" i="2"/>
  <c r="AD373" i="2"/>
  <c r="AA373" i="2"/>
  <c r="U373" i="2"/>
  <c r="O373" i="2"/>
  <c r="L373" i="2"/>
  <c r="I373" i="2"/>
  <c r="G373" i="2"/>
  <c r="F373" i="2"/>
  <c r="E373" i="2"/>
  <c r="BW373" i="2" s="1"/>
  <c r="C373" i="2"/>
  <c r="B373" i="2"/>
  <c r="DJ372" i="2"/>
  <c r="DF372" i="2"/>
  <c r="DD372" i="2"/>
  <c r="CZ372" i="2"/>
  <c r="CV372" i="2"/>
  <c r="CR372" i="2"/>
  <c r="CP372" i="2"/>
  <c r="CN372" i="2"/>
  <c r="CH372" i="2"/>
  <c r="CF372" i="2"/>
  <c r="CD372" i="2"/>
  <c r="CB372" i="2"/>
  <c r="BZ372" i="2"/>
  <c r="BX372" i="2"/>
  <c r="BU372" i="2"/>
  <c r="BT372" i="2"/>
  <c r="BS372" i="2"/>
  <c r="BM372" i="2"/>
  <c r="BL372" i="2"/>
  <c r="BK372" i="2"/>
  <c r="BE372" i="2"/>
  <c r="BB372" i="2"/>
  <c r="AY372" i="2"/>
  <c r="AM372" i="2"/>
  <c r="AD372" i="2"/>
  <c r="AA372" i="2"/>
  <c r="U372" i="2"/>
  <c r="O372" i="2"/>
  <c r="L372" i="2"/>
  <c r="I372" i="2"/>
  <c r="G372" i="2"/>
  <c r="F372" i="2"/>
  <c r="E372" i="2"/>
  <c r="BW372" i="2" s="1"/>
  <c r="C372" i="2"/>
  <c r="B372" i="2"/>
  <c r="DJ371" i="2"/>
  <c r="DF371" i="2"/>
  <c r="DD371" i="2"/>
  <c r="CZ371" i="2"/>
  <c r="CV371" i="2"/>
  <c r="CR371" i="2"/>
  <c r="CP371" i="2"/>
  <c r="CN371" i="2"/>
  <c r="CH371" i="2"/>
  <c r="CF371" i="2"/>
  <c r="CD371" i="2"/>
  <c r="CB371" i="2"/>
  <c r="BZ371" i="2"/>
  <c r="BX371" i="2"/>
  <c r="BU371" i="2"/>
  <c r="BT371" i="2"/>
  <c r="BS371" i="2"/>
  <c r="BM371" i="2"/>
  <c r="BL371" i="2"/>
  <c r="BK371" i="2"/>
  <c r="BE371" i="2"/>
  <c r="BB371" i="2"/>
  <c r="AY371" i="2"/>
  <c r="AM371" i="2"/>
  <c r="AD371" i="2"/>
  <c r="AA371" i="2"/>
  <c r="U371" i="2"/>
  <c r="O371" i="2"/>
  <c r="L371" i="2"/>
  <c r="I371" i="2"/>
  <c r="G371" i="2"/>
  <c r="F371" i="2"/>
  <c r="E371" i="2"/>
  <c r="BW371" i="2" s="1"/>
  <c r="C371" i="2"/>
  <c r="B371" i="2"/>
  <c r="DJ370" i="2"/>
  <c r="DF370" i="2"/>
  <c r="DD370" i="2"/>
  <c r="CZ370" i="2"/>
  <c r="CV370" i="2"/>
  <c r="CR370" i="2"/>
  <c r="CP370" i="2"/>
  <c r="CN370" i="2"/>
  <c r="CH370" i="2"/>
  <c r="CF370" i="2"/>
  <c r="CD370" i="2"/>
  <c r="CB370" i="2"/>
  <c r="BZ370" i="2"/>
  <c r="BX370" i="2"/>
  <c r="BU370" i="2"/>
  <c r="BT370" i="2"/>
  <c r="BS370" i="2"/>
  <c r="BM370" i="2"/>
  <c r="BL370" i="2"/>
  <c r="BK370" i="2"/>
  <c r="BE370" i="2"/>
  <c r="BB370" i="2"/>
  <c r="AY370" i="2"/>
  <c r="AM370" i="2"/>
  <c r="AD370" i="2"/>
  <c r="AA370" i="2"/>
  <c r="U370" i="2"/>
  <c r="O370" i="2"/>
  <c r="L370" i="2"/>
  <c r="I370" i="2"/>
  <c r="G370" i="2"/>
  <c r="F370" i="2"/>
  <c r="E370" i="2"/>
  <c r="BW370" i="2" s="1"/>
  <c r="C370" i="2"/>
  <c r="B370" i="2"/>
  <c r="DJ369" i="2"/>
  <c r="DF369" i="2"/>
  <c r="DD369" i="2"/>
  <c r="CZ369" i="2"/>
  <c r="CV369" i="2"/>
  <c r="CR369" i="2"/>
  <c r="CP369" i="2"/>
  <c r="CN369" i="2"/>
  <c r="CH369" i="2"/>
  <c r="CF369" i="2"/>
  <c r="CD369" i="2"/>
  <c r="CB369" i="2"/>
  <c r="BZ369" i="2"/>
  <c r="BX369" i="2"/>
  <c r="BU369" i="2"/>
  <c r="BT369" i="2"/>
  <c r="BS369" i="2"/>
  <c r="BM369" i="2"/>
  <c r="BL369" i="2"/>
  <c r="BK369" i="2"/>
  <c r="BE369" i="2"/>
  <c r="BB369" i="2"/>
  <c r="AY369" i="2"/>
  <c r="AM369" i="2"/>
  <c r="AD369" i="2"/>
  <c r="AA369" i="2"/>
  <c r="U369" i="2"/>
  <c r="O369" i="2"/>
  <c r="L369" i="2"/>
  <c r="I369" i="2"/>
  <c r="G369" i="2"/>
  <c r="F369" i="2"/>
  <c r="E369" i="2"/>
  <c r="C369" i="2"/>
  <c r="B369" i="2"/>
  <c r="DJ368" i="2"/>
  <c r="DF368" i="2"/>
  <c r="DD368" i="2"/>
  <c r="CZ368" i="2"/>
  <c r="CV368" i="2"/>
  <c r="CR368" i="2"/>
  <c r="CP368" i="2"/>
  <c r="CN368" i="2"/>
  <c r="CH368" i="2"/>
  <c r="CF368" i="2"/>
  <c r="CD368" i="2"/>
  <c r="CB368" i="2"/>
  <c r="BZ368" i="2"/>
  <c r="BX368" i="2"/>
  <c r="BU368" i="2"/>
  <c r="BT368" i="2"/>
  <c r="BS368" i="2"/>
  <c r="BM368" i="2"/>
  <c r="BL368" i="2"/>
  <c r="BK368" i="2"/>
  <c r="BE368" i="2"/>
  <c r="BB368" i="2"/>
  <c r="AY368" i="2"/>
  <c r="AM368" i="2"/>
  <c r="AD368" i="2"/>
  <c r="AA368" i="2"/>
  <c r="U368" i="2"/>
  <c r="O368" i="2"/>
  <c r="L368" i="2"/>
  <c r="I368" i="2"/>
  <c r="G368" i="2"/>
  <c r="F368" i="2"/>
  <c r="E368" i="2"/>
  <c r="C368" i="2"/>
  <c r="B368" i="2"/>
  <c r="DJ367" i="2"/>
  <c r="DF367" i="2"/>
  <c r="DD367" i="2"/>
  <c r="CZ367" i="2"/>
  <c r="CV367" i="2"/>
  <c r="CR367" i="2"/>
  <c r="CP367" i="2"/>
  <c r="CN367" i="2"/>
  <c r="CH367" i="2"/>
  <c r="CF367" i="2"/>
  <c r="CD367" i="2"/>
  <c r="CB367" i="2"/>
  <c r="BZ367" i="2"/>
  <c r="BX367" i="2"/>
  <c r="BU367" i="2"/>
  <c r="BT367" i="2"/>
  <c r="BS367" i="2"/>
  <c r="BM367" i="2"/>
  <c r="BL367" i="2"/>
  <c r="BK367" i="2"/>
  <c r="BE367" i="2"/>
  <c r="BB367" i="2"/>
  <c r="AY367" i="2"/>
  <c r="AM367" i="2"/>
  <c r="AD367" i="2"/>
  <c r="AA367" i="2"/>
  <c r="U367" i="2"/>
  <c r="O367" i="2"/>
  <c r="L367" i="2"/>
  <c r="I367" i="2"/>
  <c r="G367" i="2"/>
  <c r="F367" i="2"/>
  <c r="E367" i="2"/>
  <c r="BW367" i="2" s="1"/>
  <c r="C367" i="2"/>
  <c r="B367" i="2"/>
  <c r="DJ366" i="2"/>
  <c r="DF366" i="2"/>
  <c r="DD366" i="2"/>
  <c r="CZ366" i="2"/>
  <c r="CV366" i="2"/>
  <c r="CR366" i="2"/>
  <c r="CP366" i="2"/>
  <c r="CN366" i="2"/>
  <c r="CH366" i="2"/>
  <c r="CF366" i="2"/>
  <c r="CD366" i="2"/>
  <c r="CB366" i="2"/>
  <c r="BZ366" i="2"/>
  <c r="BX366" i="2"/>
  <c r="BU366" i="2"/>
  <c r="BT366" i="2"/>
  <c r="BS366" i="2"/>
  <c r="BM366" i="2"/>
  <c r="BL366" i="2"/>
  <c r="BK366" i="2"/>
  <c r="BE366" i="2"/>
  <c r="BB366" i="2"/>
  <c r="AY366" i="2"/>
  <c r="AM366" i="2"/>
  <c r="AD366" i="2"/>
  <c r="AA366" i="2"/>
  <c r="U366" i="2"/>
  <c r="O366" i="2"/>
  <c r="L366" i="2"/>
  <c r="I366" i="2"/>
  <c r="G366" i="2"/>
  <c r="F366" i="2"/>
  <c r="E366" i="2"/>
  <c r="BW366" i="2" s="1"/>
  <c r="C366" i="2"/>
  <c r="B366" i="2"/>
  <c r="DJ365" i="2"/>
  <c r="DF365" i="2"/>
  <c r="DD365" i="2"/>
  <c r="CZ365" i="2"/>
  <c r="CV365" i="2"/>
  <c r="CR365" i="2"/>
  <c r="CP365" i="2"/>
  <c r="CN365" i="2"/>
  <c r="CH365" i="2"/>
  <c r="CF365" i="2"/>
  <c r="CD365" i="2"/>
  <c r="CB365" i="2"/>
  <c r="BZ365" i="2"/>
  <c r="BX365" i="2"/>
  <c r="BU365" i="2"/>
  <c r="BT365" i="2"/>
  <c r="BS365" i="2"/>
  <c r="BM365" i="2"/>
  <c r="BL365" i="2"/>
  <c r="BK365" i="2"/>
  <c r="BE365" i="2"/>
  <c r="BB365" i="2"/>
  <c r="AY365" i="2"/>
  <c r="AM365" i="2"/>
  <c r="AD365" i="2"/>
  <c r="AA365" i="2"/>
  <c r="U365" i="2"/>
  <c r="O365" i="2"/>
  <c r="L365" i="2"/>
  <c r="I365" i="2"/>
  <c r="G365" i="2"/>
  <c r="F365" i="2"/>
  <c r="E365" i="2"/>
  <c r="C365" i="2"/>
  <c r="B365" i="2"/>
  <c r="DJ364" i="2"/>
  <c r="DF364" i="2"/>
  <c r="DD364" i="2"/>
  <c r="CZ364" i="2"/>
  <c r="CV364" i="2"/>
  <c r="CR364" i="2"/>
  <c r="CP364" i="2"/>
  <c r="CN364" i="2"/>
  <c r="CH364" i="2"/>
  <c r="CF364" i="2"/>
  <c r="CD364" i="2"/>
  <c r="CB364" i="2"/>
  <c r="BZ364" i="2"/>
  <c r="BX364" i="2"/>
  <c r="BU364" i="2"/>
  <c r="BT364" i="2"/>
  <c r="BS364" i="2"/>
  <c r="BM364" i="2"/>
  <c r="BL364" i="2"/>
  <c r="BK364" i="2"/>
  <c r="BE364" i="2"/>
  <c r="BB364" i="2"/>
  <c r="AY364" i="2"/>
  <c r="AM364" i="2"/>
  <c r="AD364" i="2"/>
  <c r="AA364" i="2"/>
  <c r="U364" i="2"/>
  <c r="O364" i="2"/>
  <c r="L364" i="2"/>
  <c r="I364" i="2"/>
  <c r="G364" i="2"/>
  <c r="F364" i="2"/>
  <c r="E364" i="2"/>
  <c r="C364" i="2"/>
  <c r="B364" i="2"/>
  <c r="DJ363" i="2"/>
  <c r="DF363" i="2"/>
  <c r="DD363" i="2"/>
  <c r="CZ363" i="2"/>
  <c r="CV363" i="2"/>
  <c r="CR363" i="2"/>
  <c r="CP363" i="2"/>
  <c r="CN363" i="2"/>
  <c r="CH363" i="2"/>
  <c r="CF363" i="2"/>
  <c r="CD363" i="2"/>
  <c r="CB363" i="2"/>
  <c r="BZ363" i="2"/>
  <c r="BX363" i="2"/>
  <c r="BU363" i="2"/>
  <c r="BT363" i="2"/>
  <c r="BS363" i="2"/>
  <c r="BM363" i="2"/>
  <c r="BL363" i="2"/>
  <c r="BK363" i="2"/>
  <c r="BE363" i="2"/>
  <c r="BB363" i="2"/>
  <c r="AY363" i="2"/>
  <c r="AM363" i="2"/>
  <c r="AD363" i="2"/>
  <c r="AA363" i="2"/>
  <c r="U363" i="2"/>
  <c r="O363" i="2"/>
  <c r="L363" i="2"/>
  <c r="I363" i="2"/>
  <c r="G363" i="2"/>
  <c r="F363" i="2"/>
  <c r="E363" i="2"/>
  <c r="C363" i="2"/>
  <c r="B363" i="2"/>
  <c r="DJ362" i="2"/>
  <c r="DF362" i="2"/>
  <c r="DD362" i="2"/>
  <c r="CZ362" i="2"/>
  <c r="CV362" i="2"/>
  <c r="CR362" i="2"/>
  <c r="CP362" i="2"/>
  <c r="CN362" i="2"/>
  <c r="CH362" i="2"/>
  <c r="CF362" i="2"/>
  <c r="CD362" i="2"/>
  <c r="CB362" i="2"/>
  <c r="BZ362" i="2"/>
  <c r="BX362" i="2"/>
  <c r="BU362" i="2"/>
  <c r="BT362" i="2"/>
  <c r="BS362" i="2"/>
  <c r="BM362" i="2"/>
  <c r="BL362" i="2"/>
  <c r="BK362" i="2"/>
  <c r="BE362" i="2"/>
  <c r="BB362" i="2"/>
  <c r="AY362" i="2"/>
  <c r="AM362" i="2"/>
  <c r="AD362" i="2"/>
  <c r="AA362" i="2"/>
  <c r="U362" i="2"/>
  <c r="O362" i="2"/>
  <c r="L362" i="2"/>
  <c r="I362" i="2"/>
  <c r="G362" i="2"/>
  <c r="F362" i="2"/>
  <c r="E362" i="2"/>
  <c r="BW362" i="2" s="1"/>
  <c r="C362" i="2"/>
  <c r="B362" i="2"/>
  <c r="DJ361" i="2"/>
  <c r="DF361" i="2"/>
  <c r="DD361" i="2"/>
  <c r="CZ361" i="2"/>
  <c r="CV361" i="2"/>
  <c r="CR361" i="2"/>
  <c r="CP361" i="2"/>
  <c r="CN361" i="2"/>
  <c r="CH361" i="2"/>
  <c r="CF361" i="2"/>
  <c r="CD361" i="2"/>
  <c r="CB361" i="2"/>
  <c r="BZ361" i="2"/>
  <c r="BX361" i="2"/>
  <c r="BU361" i="2"/>
  <c r="BT361" i="2"/>
  <c r="BS361" i="2"/>
  <c r="BM361" i="2"/>
  <c r="BL361" i="2"/>
  <c r="BK361" i="2"/>
  <c r="BE361" i="2"/>
  <c r="BB361" i="2"/>
  <c r="AY361" i="2"/>
  <c r="AM361" i="2"/>
  <c r="AD361" i="2"/>
  <c r="AA361" i="2"/>
  <c r="U361" i="2"/>
  <c r="O361" i="2"/>
  <c r="L361" i="2"/>
  <c r="I361" i="2"/>
  <c r="G361" i="2"/>
  <c r="F361" i="2"/>
  <c r="E361" i="2"/>
  <c r="BV361" i="2" s="1"/>
  <c r="C361" i="2"/>
  <c r="B361" i="2"/>
  <c r="DJ360" i="2"/>
  <c r="DF360" i="2"/>
  <c r="DD360" i="2"/>
  <c r="CZ360" i="2"/>
  <c r="CV360" i="2"/>
  <c r="CR360" i="2"/>
  <c r="CP360" i="2"/>
  <c r="CN360" i="2"/>
  <c r="CH360" i="2"/>
  <c r="CF360" i="2"/>
  <c r="CD360" i="2"/>
  <c r="CB360" i="2"/>
  <c r="BZ360" i="2"/>
  <c r="BX360" i="2"/>
  <c r="BU360" i="2"/>
  <c r="BT360" i="2"/>
  <c r="BS360" i="2"/>
  <c r="BM360" i="2"/>
  <c r="BL360" i="2"/>
  <c r="BK360" i="2"/>
  <c r="BE360" i="2"/>
  <c r="BB360" i="2"/>
  <c r="AY360" i="2"/>
  <c r="AM360" i="2"/>
  <c r="AD360" i="2"/>
  <c r="AA360" i="2"/>
  <c r="U360" i="2"/>
  <c r="O360" i="2"/>
  <c r="L360" i="2"/>
  <c r="I360" i="2"/>
  <c r="G360" i="2"/>
  <c r="F360" i="2"/>
  <c r="E360" i="2"/>
  <c r="C360" i="2"/>
  <c r="B360" i="2"/>
  <c r="DJ359" i="2"/>
  <c r="DF359" i="2"/>
  <c r="DD359" i="2"/>
  <c r="CZ359" i="2"/>
  <c r="CV359" i="2"/>
  <c r="CR359" i="2"/>
  <c r="CP359" i="2"/>
  <c r="CN359" i="2"/>
  <c r="CH359" i="2"/>
  <c r="CF359" i="2"/>
  <c r="CD359" i="2"/>
  <c r="CB359" i="2"/>
  <c r="BZ359" i="2"/>
  <c r="BX359" i="2"/>
  <c r="BU359" i="2"/>
  <c r="BT359" i="2"/>
  <c r="BS359" i="2"/>
  <c r="BM359" i="2"/>
  <c r="BL359" i="2"/>
  <c r="BK359" i="2"/>
  <c r="BE359" i="2"/>
  <c r="BB359" i="2"/>
  <c r="AY359" i="2"/>
  <c r="AM359" i="2"/>
  <c r="AD359" i="2"/>
  <c r="AA359" i="2"/>
  <c r="U359" i="2"/>
  <c r="O359" i="2"/>
  <c r="L359" i="2"/>
  <c r="I359" i="2"/>
  <c r="G359" i="2"/>
  <c r="F359" i="2"/>
  <c r="E359" i="2"/>
  <c r="BV359" i="2" s="1"/>
  <c r="C359" i="2"/>
  <c r="B359" i="2"/>
  <c r="DJ358" i="2"/>
  <c r="DF358" i="2"/>
  <c r="DD358" i="2"/>
  <c r="CZ358" i="2"/>
  <c r="CV358" i="2"/>
  <c r="CR358" i="2"/>
  <c r="CP358" i="2"/>
  <c r="CN358" i="2"/>
  <c r="CH358" i="2"/>
  <c r="CF358" i="2"/>
  <c r="CD358" i="2"/>
  <c r="CB358" i="2"/>
  <c r="BZ358" i="2"/>
  <c r="BX358" i="2"/>
  <c r="BU358" i="2"/>
  <c r="BT358" i="2"/>
  <c r="BS358" i="2"/>
  <c r="BM358" i="2"/>
  <c r="BL358" i="2"/>
  <c r="BK358" i="2"/>
  <c r="BE358" i="2"/>
  <c r="BB358" i="2"/>
  <c r="AY358" i="2"/>
  <c r="AM358" i="2"/>
  <c r="AD358" i="2"/>
  <c r="AA358" i="2"/>
  <c r="U358" i="2"/>
  <c r="O358" i="2"/>
  <c r="L358" i="2"/>
  <c r="I358" i="2"/>
  <c r="G358" i="2"/>
  <c r="F358" i="2"/>
  <c r="E358" i="2"/>
  <c r="BV358" i="2" s="1"/>
  <c r="C358" i="2"/>
  <c r="B358" i="2"/>
  <c r="DJ357" i="2"/>
  <c r="DF357" i="2"/>
  <c r="DD357" i="2"/>
  <c r="CZ357" i="2"/>
  <c r="CV357" i="2"/>
  <c r="CR357" i="2"/>
  <c r="CP357" i="2"/>
  <c r="CN357" i="2"/>
  <c r="CH357" i="2"/>
  <c r="CF357" i="2"/>
  <c r="CD357" i="2"/>
  <c r="CB357" i="2"/>
  <c r="BZ357" i="2"/>
  <c r="BX357" i="2"/>
  <c r="BU357" i="2"/>
  <c r="BT357" i="2"/>
  <c r="BS357" i="2"/>
  <c r="BM357" i="2"/>
  <c r="BL357" i="2"/>
  <c r="BK357" i="2"/>
  <c r="BE357" i="2"/>
  <c r="BB357" i="2"/>
  <c r="AY357" i="2"/>
  <c r="AM357" i="2"/>
  <c r="AD357" i="2"/>
  <c r="AA357" i="2"/>
  <c r="U357" i="2"/>
  <c r="O357" i="2"/>
  <c r="L357" i="2"/>
  <c r="I357" i="2"/>
  <c r="G357" i="2"/>
  <c r="F357" i="2"/>
  <c r="E357" i="2"/>
  <c r="C357" i="2"/>
  <c r="B357" i="2"/>
  <c r="DJ356" i="2"/>
  <c r="DF356" i="2"/>
  <c r="DD356" i="2"/>
  <c r="CZ356" i="2"/>
  <c r="CV356" i="2"/>
  <c r="CR356" i="2"/>
  <c r="CP356" i="2"/>
  <c r="CN356" i="2"/>
  <c r="CH356" i="2"/>
  <c r="CF356" i="2"/>
  <c r="CD356" i="2"/>
  <c r="CB356" i="2"/>
  <c r="BZ356" i="2"/>
  <c r="BX356" i="2"/>
  <c r="BU356" i="2"/>
  <c r="BT356" i="2"/>
  <c r="BS356" i="2"/>
  <c r="BM356" i="2"/>
  <c r="BL356" i="2"/>
  <c r="BK356" i="2"/>
  <c r="BE356" i="2"/>
  <c r="BB356" i="2"/>
  <c r="AY356" i="2"/>
  <c r="AM356" i="2"/>
  <c r="AD356" i="2"/>
  <c r="AA356" i="2"/>
  <c r="U356" i="2"/>
  <c r="O356" i="2"/>
  <c r="L356" i="2"/>
  <c r="I356" i="2"/>
  <c r="G356" i="2"/>
  <c r="F356" i="2"/>
  <c r="E356" i="2"/>
  <c r="BV356" i="2" s="1"/>
  <c r="C356" i="2"/>
  <c r="B356" i="2"/>
  <c r="DJ355" i="2"/>
  <c r="DF355" i="2"/>
  <c r="DD355" i="2"/>
  <c r="CZ355" i="2"/>
  <c r="CV355" i="2"/>
  <c r="CR355" i="2"/>
  <c r="CP355" i="2"/>
  <c r="CN355" i="2"/>
  <c r="CH355" i="2"/>
  <c r="CF355" i="2"/>
  <c r="CD355" i="2"/>
  <c r="CB355" i="2"/>
  <c r="BZ355" i="2"/>
  <c r="BX355" i="2"/>
  <c r="BU355" i="2"/>
  <c r="BT355" i="2"/>
  <c r="BS355" i="2"/>
  <c r="BM355" i="2"/>
  <c r="BL355" i="2"/>
  <c r="BK355" i="2"/>
  <c r="BE355" i="2"/>
  <c r="BB355" i="2"/>
  <c r="AY355" i="2"/>
  <c r="AM355" i="2"/>
  <c r="AD355" i="2"/>
  <c r="AA355" i="2"/>
  <c r="U355" i="2"/>
  <c r="O355" i="2"/>
  <c r="L355" i="2"/>
  <c r="I355" i="2"/>
  <c r="G355" i="2"/>
  <c r="F355" i="2"/>
  <c r="E355" i="2"/>
  <c r="BV355" i="2" s="1"/>
  <c r="C355" i="2"/>
  <c r="B355" i="2"/>
  <c r="DJ354" i="2"/>
  <c r="DF354" i="2"/>
  <c r="DD354" i="2"/>
  <c r="CZ354" i="2"/>
  <c r="CV354" i="2"/>
  <c r="CR354" i="2"/>
  <c r="CP354" i="2"/>
  <c r="CN354" i="2"/>
  <c r="CH354" i="2"/>
  <c r="CF354" i="2"/>
  <c r="CD354" i="2"/>
  <c r="CB354" i="2"/>
  <c r="BZ354" i="2"/>
  <c r="BX354" i="2"/>
  <c r="BU354" i="2"/>
  <c r="BT354" i="2"/>
  <c r="BS354" i="2"/>
  <c r="BM354" i="2"/>
  <c r="BL354" i="2"/>
  <c r="BK354" i="2"/>
  <c r="BE354" i="2"/>
  <c r="BB354" i="2"/>
  <c r="AY354" i="2"/>
  <c r="AM354" i="2"/>
  <c r="AD354" i="2"/>
  <c r="AA354" i="2"/>
  <c r="U354" i="2"/>
  <c r="O354" i="2"/>
  <c r="L354" i="2"/>
  <c r="I354" i="2"/>
  <c r="G354" i="2"/>
  <c r="F354" i="2"/>
  <c r="E354" i="2"/>
  <c r="BV354" i="2" s="1"/>
  <c r="C354" i="2"/>
  <c r="B354" i="2"/>
  <c r="DJ353" i="2"/>
  <c r="DF353" i="2"/>
  <c r="DD353" i="2"/>
  <c r="CZ353" i="2"/>
  <c r="CV353" i="2"/>
  <c r="CR353" i="2"/>
  <c r="CP353" i="2"/>
  <c r="CN353" i="2"/>
  <c r="CH353" i="2"/>
  <c r="CF353" i="2"/>
  <c r="CD353" i="2"/>
  <c r="CB353" i="2"/>
  <c r="BZ353" i="2"/>
  <c r="BX353" i="2"/>
  <c r="BU353" i="2"/>
  <c r="BT353" i="2"/>
  <c r="BS353" i="2"/>
  <c r="BM353" i="2"/>
  <c r="BL353" i="2"/>
  <c r="BK353" i="2"/>
  <c r="BE353" i="2"/>
  <c r="BB353" i="2"/>
  <c r="AY353" i="2"/>
  <c r="AM353" i="2"/>
  <c r="AD353" i="2"/>
  <c r="AA353" i="2"/>
  <c r="U353" i="2"/>
  <c r="O353" i="2"/>
  <c r="L353" i="2"/>
  <c r="I353" i="2"/>
  <c r="G353" i="2"/>
  <c r="F353" i="2"/>
  <c r="E353" i="2"/>
  <c r="C353" i="2"/>
  <c r="B353" i="2"/>
  <c r="DJ352" i="2"/>
  <c r="DF352" i="2"/>
  <c r="DD352" i="2"/>
  <c r="CZ352" i="2"/>
  <c r="CV352" i="2"/>
  <c r="CR352" i="2"/>
  <c r="CP352" i="2"/>
  <c r="CN352" i="2"/>
  <c r="CH352" i="2"/>
  <c r="CF352" i="2"/>
  <c r="CD352" i="2"/>
  <c r="CB352" i="2"/>
  <c r="BZ352" i="2"/>
  <c r="BX352" i="2"/>
  <c r="BU352" i="2"/>
  <c r="BT352" i="2"/>
  <c r="BS352" i="2"/>
  <c r="BM352" i="2"/>
  <c r="BL352" i="2"/>
  <c r="BK352" i="2"/>
  <c r="BE352" i="2"/>
  <c r="BB352" i="2"/>
  <c r="AY352" i="2"/>
  <c r="AM352" i="2"/>
  <c r="AD352" i="2"/>
  <c r="AA352" i="2"/>
  <c r="U352" i="2"/>
  <c r="O352" i="2"/>
  <c r="L352" i="2"/>
  <c r="I352" i="2"/>
  <c r="G352" i="2"/>
  <c r="F352" i="2"/>
  <c r="E352" i="2"/>
  <c r="BV352" i="2" s="1"/>
  <c r="C352" i="2"/>
  <c r="B352" i="2"/>
  <c r="DJ351" i="2"/>
  <c r="DF351" i="2"/>
  <c r="DD351" i="2"/>
  <c r="CZ351" i="2"/>
  <c r="CV351" i="2"/>
  <c r="CR351" i="2"/>
  <c r="CP351" i="2"/>
  <c r="CN351" i="2"/>
  <c r="CH351" i="2"/>
  <c r="CF351" i="2"/>
  <c r="CD351" i="2"/>
  <c r="CB351" i="2"/>
  <c r="BZ351" i="2"/>
  <c r="BX351" i="2"/>
  <c r="BU351" i="2"/>
  <c r="BT351" i="2"/>
  <c r="BS351" i="2"/>
  <c r="BM351" i="2"/>
  <c r="BL351" i="2"/>
  <c r="BK351" i="2"/>
  <c r="BE351" i="2"/>
  <c r="BB351" i="2"/>
  <c r="AY351" i="2"/>
  <c r="AM351" i="2"/>
  <c r="AD351" i="2"/>
  <c r="AA351" i="2"/>
  <c r="U351" i="2"/>
  <c r="O351" i="2"/>
  <c r="L351" i="2"/>
  <c r="I351" i="2"/>
  <c r="G351" i="2"/>
  <c r="F351" i="2"/>
  <c r="E351" i="2"/>
  <c r="BY351" i="2" s="1"/>
  <c r="C351" i="2"/>
  <c r="B351" i="2"/>
  <c r="DJ350" i="2"/>
  <c r="DF350" i="2"/>
  <c r="DD350" i="2"/>
  <c r="CZ350" i="2"/>
  <c r="CV350" i="2"/>
  <c r="CR350" i="2"/>
  <c r="CP350" i="2"/>
  <c r="CN350" i="2"/>
  <c r="CH350" i="2"/>
  <c r="CF350" i="2"/>
  <c r="CD350" i="2"/>
  <c r="CB350" i="2"/>
  <c r="BZ350" i="2"/>
  <c r="BX350" i="2"/>
  <c r="BU350" i="2"/>
  <c r="BT350" i="2"/>
  <c r="BS350" i="2"/>
  <c r="BM350" i="2"/>
  <c r="BL350" i="2"/>
  <c r="BK350" i="2"/>
  <c r="BE350" i="2"/>
  <c r="BB350" i="2"/>
  <c r="AY350" i="2"/>
  <c r="AM350" i="2"/>
  <c r="AD350" i="2"/>
  <c r="AA350" i="2"/>
  <c r="U350" i="2"/>
  <c r="O350" i="2"/>
  <c r="L350" i="2"/>
  <c r="I350" i="2"/>
  <c r="G350" i="2"/>
  <c r="F350" i="2"/>
  <c r="E350" i="2"/>
  <c r="BV350" i="2" s="1"/>
  <c r="C350" i="2"/>
  <c r="B350" i="2"/>
  <c r="DJ349" i="2"/>
  <c r="DF349" i="2"/>
  <c r="DD349" i="2"/>
  <c r="CZ349" i="2"/>
  <c r="CV349" i="2"/>
  <c r="CR349" i="2"/>
  <c r="CP349" i="2"/>
  <c r="CN349" i="2"/>
  <c r="CH349" i="2"/>
  <c r="CF349" i="2"/>
  <c r="CD349" i="2"/>
  <c r="CB349" i="2"/>
  <c r="BZ349" i="2"/>
  <c r="BX349" i="2"/>
  <c r="BU349" i="2"/>
  <c r="BT349" i="2"/>
  <c r="BS349" i="2"/>
  <c r="BM349" i="2"/>
  <c r="BL349" i="2"/>
  <c r="BK349" i="2"/>
  <c r="BE349" i="2"/>
  <c r="BB349" i="2"/>
  <c r="AY349" i="2"/>
  <c r="AM349" i="2"/>
  <c r="AD349" i="2"/>
  <c r="AA349" i="2"/>
  <c r="U349" i="2"/>
  <c r="O349" i="2"/>
  <c r="L349" i="2"/>
  <c r="I349" i="2"/>
  <c r="G349" i="2"/>
  <c r="F349" i="2"/>
  <c r="E349" i="2"/>
  <c r="BV349" i="2" s="1"/>
  <c r="C349" i="2"/>
  <c r="B349" i="2"/>
  <c r="DJ348" i="2"/>
  <c r="DF348" i="2"/>
  <c r="DD348" i="2"/>
  <c r="CZ348" i="2"/>
  <c r="CV348" i="2"/>
  <c r="CR348" i="2"/>
  <c r="CP348" i="2"/>
  <c r="CN348" i="2"/>
  <c r="CH348" i="2"/>
  <c r="CF348" i="2"/>
  <c r="CD348" i="2"/>
  <c r="CB348" i="2"/>
  <c r="BZ348" i="2"/>
  <c r="BX348" i="2"/>
  <c r="BU348" i="2"/>
  <c r="BT348" i="2"/>
  <c r="BS348" i="2"/>
  <c r="BM348" i="2"/>
  <c r="BL348" i="2"/>
  <c r="BK348" i="2"/>
  <c r="BE348" i="2"/>
  <c r="BB348" i="2"/>
  <c r="AY348" i="2"/>
  <c r="AM348" i="2"/>
  <c r="AD348" i="2"/>
  <c r="AA348" i="2"/>
  <c r="U348" i="2"/>
  <c r="O348" i="2"/>
  <c r="L348" i="2"/>
  <c r="I348" i="2"/>
  <c r="G348" i="2"/>
  <c r="F348" i="2"/>
  <c r="E348" i="2"/>
  <c r="C348" i="2"/>
  <c r="B348" i="2"/>
  <c r="DJ347" i="2"/>
  <c r="DF347" i="2"/>
  <c r="DD347" i="2"/>
  <c r="CZ347" i="2"/>
  <c r="CV347" i="2"/>
  <c r="CR347" i="2"/>
  <c r="CP347" i="2"/>
  <c r="CN347" i="2"/>
  <c r="CH347" i="2"/>
  <c r="CF347" i="2"/>
  <c r="CD347" i="2"/>
  <c r="CB347" i="2"/>
  <c r="BZ347" i="2"/>
  <c r="BX347" i="2"/>
  <c r="BU347" i="2"/>
  <c r="BT347" i="2"/>
  <c r="BS347" i="2"/>
  <c r="BM347" i="2"/>
  <c r="BL347" i="2"/>
  <c r="BK347" i="2"/>
  <c r="BE347" i="2"/>
  <c r="BB347" i="2"/>
  <c r="AY347" i="2"/>
  <c r="AM347" i="2"/>
  <c r="AD347" i="2"/>
  <c r="AA347" i="2"/>
  <c r="U347" i="2"/>
  <c r="O347" i="2"/>
  <c r="L347" i="2"/>
  <c r="I347" i="2"/>
  <c r="G347" i="2"/>
  <c r="F347" i="2"/>
  <c r="E347" i="2"/>
  <c r="BV347" i="2" s="1"/>
  <c r="C347" i="2"/>
  <c r="B347" i="2"/>
  <c r="DJ346" i="2"/>
  <c r="DF346" i="2"/>
  <c r="DD346" i="2"/>
  <c r="CZ346" i="2"/>
  <c r="CV346" i="2"/>
  <c r="CR346" i="2"/>
  <c r="CP346" i="2"/>
  <c r="CN346" i="2"/>
  <c r="CH346" i="2"/>
  <c r="CF346" i="2"/>
  <c r="CD346" i="2"/>
  <c r="CB346" i="2"/>
  <c r="BZ346" i="2"/>
  <c r="BX346" i="2"/>
  <c r="BU346" i="2"/>
  <c r="BT346" i="2"/>
  <c r="BS346" i="2"/>
  <c r="BM346" i="2"/>
  <c r="BL346" i="2"/>
  <c r="BK346" i="2"/>
  <c r="BE346" i="2"/>
  <c r="BB346" i="2"/>
  <c r="AY346" i="2"/>
  <c r="AM346" i="2"/>
  <c r="AD346" i="2"/>
  <c r="AA346" i="2"/>
  <c r="U346" i="2"/>
  <c r="O346" i="2"/>
  <c r="L346" i="2"/>
  <c r="I346" i="2"/>
  <c r="G346" i="2"/>
  <c r="F346" i="2"/>
  <c r="E346" i="2"/>
  <c r="C346" i="2"/>
  <c r="B346" i="2"/>
  <c r="DJ345" i="2"/>
  <c r="DF345" i="2"/>
  <c r="DD345" i="2"/>
  <c r="CZ345" i="2"/>
  <c r="CV345" i="2"/>
  <c r="CR345" i="2"/>
  <c r="CP345" i="2"/>
  <c r="CN345" i="2"/>
  <c r="CH345" i="2"/>
  <c r="CF345" i="2"/>
  <c r="CD345" i="2"/>
  <c r="CB345" i="2"/>
  <c r="BZ345" i="2"/>
  <c r="BX345" i="2"/>
  <c r="BU345" i="2"/>
  <c r="BT345" i="2"/>
  <c r="BS345" i="2"/>
  <c r="BM345" i="2"/>
  <c r="BL345" i="2"/>
  <c r="BK345" i="2"/>
  <c r="BE345" i="2"/>
  <c r="BB345" i="2"/>
  <c r="AY345" i="2"/>
  <c r="AM345" i="2"/>
  <c r="AD345" i="2"/>
  <c r="AA345" i="2"/>
  <c r="U345" i="2"/>
  <c r="O345" i="2"/>
  <c r="L345" i="2"/>
  <c r="I345" i="2"/>
  <c r="G345" i="2"/>
  <c r="F345" i="2"/>
  <c r="E345" i="2"/>
  <c r="BV345" i="2" s="1"/>
  <c r="C345" i="2"/>
  <c r="B345" i="2"/>
  <c r="DJ344" i="2"/>
  <c r="DF344" i="2"/>
  <c r="DD344" i="2"/>
  <c r="CZ344" i="2"/>
  <c r="CV344" i="2"/>
  <c r="CR344" i="2"/>
  <c r="CP344" i="2"/>
  <c r="CN344" i="2"/>
  <c r="CH344" i="2"/>
  <c r="CF344" i="2"/>
  <c r="CD344" i="2"/>
  <c r="CB344" i="2"/>
  <c r="BZ344" i="2"/>
  <c r="BX344" i="2"/>
  <c r="BU344" i="2"/>
  <c r="BT344" i="2"/>
  <c r="BS344" i="2"/>
  <c r="BM344" i="2"/>
  <c r="BL344" i="2"/>
  <c r="BK344" i="2"/>
  <c r="BE344" i="2"/>
  <c r="BB344" i="2"/>
  <c r="AY344" i="2"/>
  <c r="AM344" i="2"/>
  <c r="AD344" i="2"/>
  <c r="AA344" i="2"/>
  <c r="U344" i="2"/>
  <c r="O344" i="2"/>
  <c r="L344" i="2"/>
  <c r="I344" i="2"/>
  <c r="G344" i="2"/>
  <c r="F344" i="2"/>
  <c r="E344" i="2"/>
  <c r="BV344" i="2" s="1"/>
  <c r="C344" i="2"/>
  <c r="B344" i="2"/>
  <c r="DJ343" i="2"/>
  <c r="DF343" i="2"/>
  <c r="DD343" i="2"/>
  <c r="CZ343" i="2"/>
  <c r="CV343" i="2"/>
  <c r="CR343" i="2"/>
  <c r="CP343" i="2"/>
  <c r="CN343" i="2"/>
  <c r="CH343" i="2"/>
  <c r="CF343" i="2"/>
  <c r="CD343" i="2"/>
  <c r="CB343" i="2"/>
  <c r="BZ343" i="2"/>
  <c r="BX343" i="2"/>
  <c r="BU343" i="2"/>
  <c r="BT343" i="2"/>
  <c r="BS343" i="2"/>
  <c r="BM343" i="2"/>
  <c r="BL343" i="2"/>
  <c r="BK343" i="2"/>
  <c r="BE343" i="2"/>
  <c r="BB343" i="2"/>
  <c r="AY343" i="2"/>
  <c r="AM343" i="2"/>
  <c r="AD343" i="2"/>
  <c r="AA343" i="2"/>
  <c r="U343" i="2"/>
  <c r="O343" i="2"/>
  <c r="L343" i="2"/>
  <c r="I343" i="2"/>
  <c r="G343" i="2"/>
  <c r="F343" i="2"/>
  <c r="E343" i="2"/>
  <c r="BY343" i="2" s="1"/>
  <c r="C343" i="2"/>
  <c r="B343" i="2"/>
  <c r="DJ342" i="2"/>
  <c r="DF342" i="2"/>
  <c r="DD342" i="2"/>
  <c r="CZ342" i="2"/>
  <c r="CV342" i="2"/>
  <c r="CR342" i="2"/>
  <c r="CP342" i="2"/>
  <c r="CN342" i="2"/>
  <c r="CH342" i="2"/>
  <c r="CF342" i="2"/>
  <c r="CD342" i="2"/>
  <c r="CB342" i="2"/>
  <c r="BZ342" i="2"/>
  <c r="BX342" i="2"/>
  <c r="BU342" i="2"/>
  <c r="BT342" i="2"/>
  <c r="BS342" i="2"/>
  <c r="BM342" i="2"/>
  <c r="BL342" i="2"/>
  <c r="BK342" i="2"/>
  <c r="BE342" i="2"/>
  <c r="BB342" i="2"/>
  <c r="AY342" i="2"/>
  <c r="AM342" i="2"/>
  <c r="AD342" i="2"/>
  <c r="AA342" i="2"/>
  <c r="U342" i="2"/>
  <c r="O342" i="2"/>
  <c r="L342" i="2"/>
  <c r="I342" i="2"/>
  <c r="G342" i="2"/>
  <c r="F342" i="2"/>
  <c r="E342" i="2"/>
  <c r="C342" i="2"/>
  <c r="B342" i="2"/>
  <c r="DJ341" i="2"/>
  <c r="DF341" i="2"/>
  <c r="DD341" i="2"/>
  <c r="CZ341" i="2"/>
  <c r="CV341" i="2"/>
  <c r="CR341" i="2"/>
  <c r="CP341" i="2"/>
  <c r="CN341" i="2"/>
  <c r="CH341" i="2"/>
  <c r="CF341" i="2"/>
  <c r="CD341" i="2"/>
  <c r="CB341" i="2"/>
  <c r="BZ341" i="2"/>
  <c r="BX341" i="2"/>
  <c r="BU341" i="2"/>
  <c r="BT341" i="2"/>
  <c r="BS341" i="2"/>
  <c r="BM341" i="2"/>
  <c r="BL341" i="2"/>
  <c r="BK341" i="2"/>
  <c r="BE341" i="2"/>
  <c r="BB341" i="2"/>
  <c r="AY341" i="2"/>
  <c r="AM341" i="2"/>
  <c r="AD341" i="2"/>
  <c r="AA341" i="2"/>
  <c r="U341" i="2"/>
  <c r="O341" i="2"/>
  <c r="L341" i="2"/>
  <c r="I341" i="2"/>
  <c r="G341" i="2"/>
  <c r="F341" i="2"/>
  <c r="E341" i="2"/>
  <c r="BY341" i="2" s="1"/>
  <c r="C341" i="2"/>
  <c r="B341" i="2"/>
  <c r="DJ340" i="2"/>
  <c r="DF340" i="2"/>
  <c r="DD340" i="2"/>
  <c r="CZ340" i="2"/>
  <c r="CV340" i="2"/>
  <c r="CR340" i="2"/>
  <c r="CP340" i="2"/>
  <c r="CN340" i="2"/>
  <c r="CH340" i="2"/>
  <c r="CF340" i="2"/>
  <c r="CD340" i="2"/>
  <c r="CB340" i="2"/>
  <c r="BZ340" i="2"/>
  <c r="BX340" i="2"/>
  <c r="BU340" i="2"/>
  <c r="BT340" i="2"/>
  <c r="BS340" i="2"/>
  <c r="BM340" i="2"/>
  <c r="BL340" i="2"/>
  <c r="BK340" i="2"/>
  <c r="BE340" i="2"/>
  <c r="BB340" i="2"/>
  <c r="AY340" i="2"/>
  <c r="AM340" i="2"/>
  <c r="AD340" i="2"/>
  <c r="AA340" i="2"/>
  <c r="U340" i="2"/>
  <c r="O340" i="2"/>
  <c r="L340" i="2"/>
  <c r="I340" i="2"/>
  <c r="G340" i="2"/>
  <c r="F340" i="2"/>
  <c r="E340" i="2"/>
  <c r="BY340" i="2" s="1"/>
  <c r="C340" i="2"/>
  <c r="B340" i="2"/>
  <c r="DJ339" i="2"/>
  <c r="DF339" i="2"/>
  <c r="DD339" i="2"/>
  <c r="CZ339" i="2"/>
  <c r="CV339" i="2"/>
  <c r="CR339" i="2"/>
  <c r="CP339" i="2"/>
  <c r="CN339" i="2"/>
  <c r="CH339" i="2"/>
  <c r="CF339" i="2"/>
  <c r="CD339" i="2"/>
  <c r="CB339" i="2"/>
  <c r="BZ339" i="2"/>
  <c r="BX339" i="2"/>
  <c r="BU339" i="2"/>
  <c r="BT339" i="2"/>
  <c r="BS339" i="2"/>
  <c r="BM339" i="2"/>
  <c r="BL339" i="2"/>
  <c r="BK339" i="2"/>
  <c r="BE339" i="2"/>
  <c r="BB339" i="2"/>
  <c r="AY339" i="2"/>
  <c r="AM339" i="2"/>
  <c r="AD339" i="2"/>
  <c r="AA339" i="2"/>
  <c r="U339" i="2"/>
  <c r="O339" i="2"/>
  <c r="L339" i="2"/>
  <c r="I339" i="2"/>
  <c r="G339" i="2"/>
  <c r="F339" i="2"/>
  <c r="E339" i="2"/>
  <c r="BV339" i="2" s="1"/>
  <c r="C339" i="2"/>
  <c r="B339" i="2"/>
  <c r="DJ338" i="2"/>
  <c r="DF338" i="2"/>
  <c r="DD338" i="2"/>
  <c r="CZ338" i="2"/>
  <c r="CV338" i="2"/>
  <c r="CR338" i="2"/>
  <c r="CP338" i="2"/>
  <c r="CN338" i="2"/>
  <c r="CH338" i="2"/>
  <c r="CF338" i="2"/>
  <c r="CD338" i="2"/>
  <c r="CB338" i="2"/>
  <c r="BZ338" i="2"/>
  <c r="BX338" i="2"/>
  <c r="BU338" i="2"/>
  <c r="BT338" i="2"/>
  <c r="BS338" i="2"/>
  <c r="BM338" i="2"/>
  <c r="BL338" i="2"/>
  <c r="BK338" i="2"/>
  <c r="BE338" i="2"/>
  <c r="BB338" i="2"/>
  <c r="AY338" i="2"/>
  <c r="AM338" i="2"/>
  <c r="AD338" i="2"/>
  <c r="AA338" i="2"/>
  <c r="U338" i="2"/>
  <c r="O338" i="2"/>
  <c r="L338" i="2"/>
  <c r="I338" i="2"/>
  <c r="G338" i="2"/>
  <c r="F338" i="2"/>
  <c r="E338" i="2"/>
  <c r="C338" i="2"/>
  <c r="B338" i="2"/>
  <c r="DJ337" i="2"/>
  <c r="DF337" i="2"/>
  <c r="DD337" i="2"/>
  <c r="CZ337" i="2"/>
  <c r="CV337" i="2"/>
  <c r="CR337" i="2"/>
  <c r="CP337" i="2"/>
  <c r="CN337" i="2"/>
  <c r="CH337" i="2"/>
  <c r="CF337" i="2"/>
  <c r="CD337" i="2"/>
  <c r="CB337" i="2"/>
  <c r="BZ337" i="2"/>
  <c r="BX337" i="2"/>
  <c r="BU337" i="2"/>
  <c r="BT337" i="2"/>
  <c r="BS337" i="2"/>
  <c r="BM337" i="2"/>
  <c r="BL337" i="2"/>
  <c r="BK337" i="2"/>
  <c r="BE337" i="2"/>
  <c r="BB337" i="2"/>
  <c r="AY337" i="2"/>
  <c r="AM337" i="2"/>
  <c r="AD337" i="2"/>
  <c r="AA337" i="2"/>
  <c r="U337" i="2"/>
  <c r="O337" i="2"/>
  <c r="L337" i="2"/>
  <c r="I337" i="2"/>
  <c r="G337" i="2"/>
  <c r="F337" i="2"/>
  <c r="E337" i="2"/>
  <c r="BV337" i="2" s="1"/>
  <c r="C337" i="2"/>
  <c r="B337" i="2"/>
  <c r="DJ336" i="2"/>
  <c r="DF336" i="2"/>
  <c r="DD336" i="2"/>
  <c r="CZ336" i="2"/>
  <c r="CV336" i="2"/>
  <c r="CR336" i="2"/>
  <c r="CP336" i="2"/>
  <c r="CN336" i="2"/>
  <c r="CH336" i="2"/>
  <c r="CF336" i="2"/>
  <c r="CD336" i="2"/>
  <c r="CB336" i="2"/>
  <c r="BZ336" i="2"/>
  <c r="BX336" i="2"/>
  <c r="BU336" i="2"/>
  <c r="BT336" i="2"/>
  <c r="BS336" i="2"/>
  <c r="BM336" i="2"/>
  <c r="BL336" i="2"/>
  <c r="BK336" i="2"/>
  <c r="BE336" i="2"/>
  <c r="BB336" i="2"/>
  <c r="AY336" i="2"/>
  <c r="AM336" i="2"/>
  <c r="AD336" i="2"/>
  <c r="AA336" i="2"/>
  <c r="U336" i="2"/>
  <c r="O336" i="2"/>
  <c r="L336" i="2"/>
  <c r="I336" i="2"/>
  <c r="G336" i="2"/>
  <c r="F336" i="2"/>
  <c r="E336" i="2"/>
  <c r="BV336" i="2" s="1"/>
  <c r="C336" i="2"/>
  <c r="B336" i="2"/>
  <c r="DJ335" i="2"/>
  <c r="DF335" i="2"/>
  <c r="DD335" i="2"/>
  <c r="CZ335" i="2"/>
  <c r="CV335" i="2"/>
  <c r="CR335" i="2"/>
  <c r="CP335" i="2"/>
  <c r="CN335" i="2"/>
  <c r="CH335" i="2"/>
  <c r="CF335" i="2"/>
  <c r="CD335" i="2"/>
  <c r="CB335" i="2"/>
  <c r="BZ335" i="2"/>
  <c r="BX335" i="2"/>
  <c r="BU335" i="2"/>
  <c r="BT335" i="2"/>
  <c r="BS335" i="2"/>
  <c r="BM335" i="2"/>
  <c r="BL335" i="2"/>
  <c r="BK335" i="2"/>
  <c r="BE335" i="2"/>
  <c r="BB335" i="2"/>
  <c r="AY335" i="2"/>
  <c r="AM335" i="2"/>
  <c r="AD335" i="2"/>
  <c r="AA335" i="2"/>
  <c r="U335" i="2"/>
  <c r="O335" i="2"/>
  <c r="L335" i="2"/>
  <c r="I335" i="2"/>
  <c r="G335" i="2"/>
  <c r="F335" i="2"/>
  <c r="E335" i="2"/>
  <c r="BV335" i="2" s="1"/>
  <c r="C335" i="2"/>
  <c r="B335" i="2"/>
  <c r="DJ334" i="2"/>
  <c r="DF334" i="2"/>
  <c r="DD334" i="2"/>
  <c r="CZ334" i="2"/>
  <c r="CV334" i="2"/>
  <c r="CR334" i="2"/>
  <c r="CP334" i="2"/>
  <c r="CN334" i="2"/>
  <c r="CH334" i="2"/>
  <c r="CF334" i="2"/>
  <c r="CD334" i="2"/>
  <c r="CB334" i="2"/>
  <c r="BZ334" i="2"/>
  <c r="BX334" i="2"/>
  <c r="BU334" i="2"/>
  <c r="BT334" i="2"/>
  <c r="BS334" i="2"/>
  <c r="BM334" i="2"/>
  <c r="BL334" i="2"/>
  <c r="BK334" i="2"/>
  <c r="BE334" i="2"/>
  <c r="BB334" i="2"/>
  <c r="AY334" i="2"/>
  <c r="AM334" i="2"/>
  <c r="AD334" i="2"/>
  <c r="AA334" i="2"/>
  <c r="U334" i="2"/>
  <c r="O334" i="2"/>
  <c r="L334" i="2"/>
  <c r="I334" i="2"/>
  <c r="G334" i="2"/>
  <c r="F334" i="2"/>
  <c r="E334" i="2"/>
  <c r="BW334" i="2" s="1"/>
  <c r="C334" i="2"/>
  <c r="B334" i="2"/>
  <c r="DJ333" i="2"/>
  <c r="DF333" i="2"/>
  <c r="DD333" i="2"/>
  <c r="CZ333" i="2"/>
  <c r="CV333" i="2"/>
  <c r="CR333" i="2"/>
  <c r="CP333" i="2"/>
  <c r="CN333" i="2"/>
  <c r="CH333" i="2"/>
  <c r="CF333" i="2"/>
  <c r="CD333" i="2"/>
  <c r="CB333" i="2"/>
  <c r="BZ333" i="2"/>
  <c r="BX333" i="2"/>
  <c r="BU333" i="2"/>
  <c r="BT333" i="2"/>
  <c r="BS333" i="2"/>
  <c r="BM333" i="2"/>
  <c r="BL333" i="2"/>
  <c r="BK333" i="2"/>
  <c r="BE333" i="2"/>
  <c r="BB333" i="2"/>
  <c r="AY333" i="2"/>
  <c r="AM333" i="2"/>
  <c r="AD333" i="2"/>
  <c r="AA333" i="2"/>
  <c r="U333" i="2"/>
  <c r="O333" i="2"/>
  <c r="L333" i="2"/>
  <c r="I333" i="2"/>
  <c r="G333" i="2"/>
  <c r="F333" i="2"/>
  <c r="E333" i="2"/>
  <c r="BV333" i="2" s="1"/>
  <c r="C333" i="2"/>
  <c r="B333" i="2"/>
  <c r="DJ332" i="2"/>
  <c r="DF332" i="2"/>
  <c r="DD332" i="2"/>
  <c r="CZ332" i="2"/>
  <c r="CV332" i="2"/>
  <c r="CR332" i="2"/>
  <c r="CP332" i="2"/>
  <c r="CN332" i="2"/>
  <c r="CH332" i="2"/>
  <c r="CF332" i="2"/>
  <c r="CD332" i="2"/>
  <c r="CB332" i="2"/>
  <c r="BZ332" i="2"/>
  <c r="BX332" i="2"/>
  <c r="BU332" i="2"/>
  <c r="BT332" i="2"/>
  <c r="BS332" i="2"/>
  <c r="BM332" i="2"/>
  <c r="BL332" i="2"/>
  <c r="BK332" i="2"/>
  <c r="BE332" i="2"/>
  <c r="BB332" i="2"/>
  <c r="AY332" i="2"/>
  <c r="AM332" i="2"/>
  <c r="AD332" i="2"/>
  <c r="AA332" i="2"/>
  <c r="U332" i="2"/>
  <c r="O332" i="2"/>
  <c r="L332" i="2"/>
  <c r="I332" i="2"/>
  <c r="G332" i="2"/>
  <c r="F332" i="2"/>
  <c r="E332" i="2"/>
  <c r="BV332" i="2" s="1"/>
  <c r="C332" i="2"/>
  <c r="B332" i="2"/>
  <c r="DJ331" i="2"/>
  <c r="DF331" i="2"/>
  <c r="DD331" i="2"/>
  <c r="CZ331" i="2"/>
  <c r="CV331" i="2"/>
  <c r="CR331" i="2"/>
  <c r="CP331" i="2"/>
  <c r="CN331" i="2"/>
  <c r="CH331" i="2"/>
  <c r="CF331" i="2"/>
  <c r="CD331" i="2"/>
  <c r="CB331" i="2"/>
  <c r="BZ331" i="2"/>
  <c r="BX331" i="2"/>
  <c r="BU331" i="2"/>
  <c r="BT331" i="2"/>
  <c r="BS331" i="2"/>
  <c r="BM331" i="2"/>
  <c r="BL331" i="2"/>
  <c r="BK331" i="2"/>
  <c r="BE331" i="2"/>
  <c r="BB331" i="2"/>
  <c r="AY331" i="2"/>
  <c r="AM331" i="2"/>
  <c r="AD331" i="2"/>
  <c r="AA331" i="2"/>
  <c r="U331" i="2"/>
  <c r="O331" i="2"/>
  <c r="L331" i="2"/>
  <c r="I331" i="2"/>
  <c r="G331" i="2"/>
  <c r="F331" i="2"/>
  <c r="E331" i="2"/>
  <c r="C331" i="2"/>
  <c r="B331" i="2"/>
  <c r="DJ330" i="2"/>
  <c r="DF330" i="2"/>
  <c r="DD330" i="2"/>
  <c r="CZ330" i="2"/>
  <c r="CV330" i="2"/>
  <c r="CR330" i="2"/>
  <c r="CP330" i="2"/>
  <c r="CN330" i="2"/>
  <c r="CH330" i="2"/>
  <c r="CF330" i="2"/>
  <c r="CD330" i="2"/>
  <c r="CB330" i="2"/>
  <c r="BZ330" i="2"/>
  <c r="BX330" i="2"/>
  <c r="BU330" i="2"/>
  <c r="BT330" i="2"/>
  <c r="BS330" i="2"/>
  <c r="BM330" i="2"/>
  <c r="BL330" i="2"/>
  <c r="BK330" i="2"/>
  <c r="BE330" i="2"/>
  <c r="BB330" i="2"/>
  <c r="AY330" i="2"/>
  <c r="AM330" i="2"/>
  <c r="AD330" i="2"/>
  <c r="AA330" i="2"/>
  <c r="U330" i="2"/>
  <c r="O330" i="2"/>
  <c r="L330" i="2"/>
  <c r="I330" i="2"/>
  <c r="G330" i="2"/>
  <c r="F330" i="2"/>
  <c r="E330" i="2"/>
  <c r="BY330" i="2" s="1"/>
  <c r="C330" i="2"/>
  <c r="B330" i="2"/>
  <c r="DJ329" i="2"/>
  <c r="DF329" i="2"/>
  <c r="DD329" i="2"/>
  <c r="CZ329" i="2"/>
  <c r="CV329" i="2"/>
  <c r="CR329" i="2"/>
  <c r="CP329" i="2"/>
  <c r="CN329" i="2"/>
  <c r="CH329" i="2"/>
  <c r="CF329" i="2"/>
  <c r="CD329" i="2"/>
  <c r="CB329" i="2"/>
  <c r="BZ329" i="2"/>
  <c r="BX329" i="2"/>
  <c r="BU329" i="2"/>
  <c r="BT329" i="2"/>
  <c r="BS329" i="2"/>
  <c r="BM329" i="2"/>
  <c r="BL329" i="2"/>
  <c r="BK329" i="2"/>
  <c r="BE329" i="2"/>
  <c r="BB329" i="2"/>
  <c r="AY329" i="2"/>
  <c r="AM329" i="2"/>
  <c r="AD329" i="2"/>
  <c r="AA329" i="2"/>
  <c r="U329" i="2"/>
  <c r="O329" i="2"/>
  <c r="L329" i="2"/>
  <c r="I329" i="2"/>
  <c r="G329" i="2"/>
  <c r="F329" i="2"/>
  <c r="E329" i="2"/>
  <c r="BV329" i="2" s="1"/>
  <c r="C329" i="2"/>
  <c r="B329" i="2"/>
  <c r="DJ328" i="2"/>
  <c r="DF328" i="2"/>
  <c r="DD328" i="2"/>
  <c r="CZ328" i="2"/>
  <c r="CV328" i="2"/>
  <c r="CR328" i="2"/>
  <c r="CP328" i="2"/>
  <c r="CN328" i="2"/>
  <c r="CH328" i="2"/>
  <c r="CF328" i="2"/>
  <c r="CD328" i="2"/>
  <c r="CB328" i="2"/>
  <c r="BZ328" i="2"/>
  <c r="BX328" i="2"/>
  <c r="BU328" i="2"/>
  <c r="BT328" i="2"/>
  <c r="BS328" i="2"/>
  <c r="BM328" i="2"/>
  <c r="BL328" i="2"/>
  <c r="BK328" i="2"/>
  <c r="BE328" i="2"/>
  <c r="BB328" i="2"/>
  <c r="AY328" i="2"/>
  <c r="AM328" i="2"/>
  <c r="AD328" i="2"/>
  <c r="AA328" i="2"/>
  <c r="U328" i="2"/>
  <c r="O328" i="2"/>
  <c r="L328" i="2"/>
  <c r="I328" i="2"/>
  <c r="G328" i="2"/>
  <c r="F328" i="2"/>
  <c r="E328" i="2"/>
  <c r="C328" i="2"/>
  <c r="B328" i="2"/>
  <c r="DJ327" i="2"/>
  <c r="DF327" i="2"/>
  <c r="DD327" i="2"/>
  <c r="CZ327" i="2"/>
  <c r="CV327" i="2"/>
  <c r="CR327" i="2"/>
  <c r="CP327" i="2"/>
  <c r="CN327" i="2"/>
  <c r="CH327" i="2"/>
  <c r="CF327" i="2"/>
  <c r="CD327" i="2"/>
  <c r="CB327" i="2"/>
  <c r="BZ327" i="2"/>
  <c r="BX327" i="2"/>
  <c r="BU327" i="2"/>
  <c r="BT327" i="2"/>
  <c r="BS327" i="2"/>
  <c r="BM327" i="2"/>
  <c r="BL327" i="2"/>
  <c r="BK327" i="2"/>
  <c r="BE327" i="2"/>
  <c r="BB327" i="2"/>
  <c r="AY327" i="2"/>
  <c r="AM327" i="2"/>
  <c r="AD327" i="2"/>
  <c r="AA327" i="2"/>
  <c r="U327" i="2"/>
  <c r="O327" i="2"/>
  <c r="L327" i="2"/>
  <c r="I327" i="2"/>
  <c r="G327" i="2"/>
  <c r="F327" i="2"/>
  <c r="E327" i="2"/>
  <c r="BV327" i="2" s="1"/>
  <c r="C327" i="2"/>
  <c r="B327" i="2"/>
  <c r="DJ326" i="2"/>
  <c r="DF326" i="2"/>
  <c r="DD326" i="2"/>
  <c r="CZ326" i="2"/>
  <c r="CV326" i="2"/>
  <c r="CR326" i="2"/>
  <c r="CP326" i="2"/>
  <c r="CN326" i="2"/>
  <c r="CH326" i="2"/>
  <c r="CF326" i="2"/>
  <c r="CD326" i="2"/>
  <c r="CB326" i="2"/>
  <c r="BZ326" i="2"/>
  <c r="BX326" i="2"/>
  <c r="BU326" i="2"/>
  <c r="BT326" i="2"/>
  <c r="BS326" i="2"/>
  <c r="BM326" i="2"/>
  <c r="BL326" i="2"/>
  <c r="BK326" i="2"/>
  <c r="BE326" i="2"/>
  <c r="BB326" i="2"/>
  <c r="AY326" i="2"/>
  <c r="AM326" i="2"/>
  <c r="AD326" i="2"/>
  <c r="AA326" i="2"/>
  <c r="U326" i="2"/>
  <c r="O326" i="2"/>
  <c r="L326" i="2"/>
  <c r="I326" i="2"/>
  <c r="G326" i="2"/>
  <c r="F326" i="2"/>
  <c r="E326" i="2"/>
  <c r="C326" i="2"/>
  <c r="B326" i="2"/>
  <c r="DJ325" i="2"/>
  <c r="DF325" i="2"/>
  <c r="DD325" i="2"/>
  <c r="CZ325" i="2"/>
  <c r="CV325" i="2"/>
  <c r="CR325" i="2"/>
  <c r="CP325" i="2"/>
  <c r="CN325" i="2"/>
  <c r="CH325" i="2"/>
  <c r="CF325" i="2"/>
  <c r="CD325" i="2"/>
  <c r="CB325" i="2"/>
  <c r="BZ325" i="2"/>
  <c r="BX325" i="2"/>
  <c r="BU325" i="2"/>
  <c r="BT325" i="2"/>
  <c r="BS325" i="2"/>
  <c r="BM325" i="2"/>
  <c r="BL325" i="2"/>
  <c r="BK325" i="2"/>
  <c r="BE325" i="2"/>
  <c r="BB325" i="2"/>
  <c r="AY325" i="2"/>
  <c r="AM325" i="2"/>
  <c r="AD325" i="2"/>
  <c r="AA325" i="2"/>
  <c r="U325" i="2"/>
  <c r="O325" i="2"/>
  <c r="L325" i="2"/>
  <c r="I325" i="2"/>
  <c r="G325" i="2"/>
  <c r="F325" i="2"/>
  <c r="E325" i="2"/>
  <c r="BV325" i="2" s="1"/>
  <c r="C325" i="2"/>
  <c r="B325" i="2"/>
  <c r="DJ324" i="2"/>
  <c r="DF324" i="2"/>
  <c r="DD324" i="2"/>
  <c r="CZ324" i="2"/>
  <c r="CV324" i="2"/>
  <c r="CR324" i="2"/>
  <c r="CP324" i="2"/>
  <c r="CN324" i="2"/>
  <c r="CH324" i="2"/>
  <c r="CF324" i="2"/>
  <c r="CD324" i="2"/>
  <c r="CB324" i="2"/>
  <c r="BZ324" i="2"/>
  <c r="BX324" i="2"/>
  <c r="BU324" i="2"/>
  <c r="BT324" i="2"/>
  <c r="BS324" i="2"/>
  <c r="BM324" i="2"/>
  <c r="BL324" i="2"/>
  <c r="BK324" i="2"/>
  <c r="BE324" i="2"/>
  <c r="BB324" i="2"/>
  <c r="AY324" i="2"/>
  <c r="AM324" i="2"/>
  <c r="AD324" i="2"/>
  <c r="AA324" i="2"/>
  <c r="U324" i="2"/>
  <c r="O324" i="2"/>
  <c r="L324" i="2"/>
  <c r="I324" i="2"/>
  <c r="G324" i="2"/>
  <c r="F324" i="2"/>
  <c r="E324" i="2"/>
  <c r="BV324" i="2" s="1"/>
  <c r="C324" i="2"/>
  <c r="B324" i="2"/>
  <c r="DJ323" i="2"/>
  <c r="DF323" i="2"/>
  <c r="DD323" i="2"/>
  <c r="CZ323" i="2"/>
  <c r="CV323" i="2"/>
  <c r="CR323" i="2"/>
  <c r="CP323" i="2"/>
  <c r="CN323" i="2"/>
  <c r="CH323" i="2"/>
  <c r="CF323" i="2"/>
  <c r="CD323" i="2"/>
  <c r="CB323" i="2"/>
  <c r="BZ323" i="2"/>
  <c r="BX323" i="2"/>
  <c r="BU323" i="2"/>
  <c r="BT323" i="2"/>
  <c r="BS323" i="2"/>
  <c r="BM323" i="2"/>
  <c r="BL323" i="2"/>
  <c r="BK323" i="2"/>
  <c r="BE323" i="2"/>
  <c r="BB323" i="2"/>
  <c r="AY323" i="2"/>
  <c r="AM323" i="2"/>
  <c r="AD323" i="2"/>
  <c r="AA323" i="2"/>
  <c r="U323" i="2"/>
  <c r="O323" i="2"/>
  <c r="L323" i="2"/>
  <c r="I323" i="2"/>
  <c r="G323" i="2"/>
  <c r="F323" i="2"/>
  <c r="E323" i="2"/>
  <c r="C323" i="2"/>
  <c r="B323" i="2"/>
  <c r="DJ322" i="2"/>
  <c r="DF322" i="2"/>
  <c r="DD322" i="2"/>
  <c r="CZ322" i="2"/>
  <c r="CV322" i="2"/>
  <c r="CR322" i="2"/>
  <c r="CP322" i="2"/>
  <c r="CN322" i="2"/>
  <c r="CH322" i="2"/>
  <c r="CF322" i="2"/>
  <c r="CD322" i="2"/>
  <c r="CB322" i="2"/>
  <c r="BZ322" i="2"/>
  <c r="BX322" i="2"/>
  <c r="BU322" i="2"/>
  <c r="BT322" i="2"/>
  <c r="BS322" i="2"/>
  <c r="BM322" i="2"/>
  <c r="BL322" i="2"/>
  <c r="BK322" i="2"/>
  <c r="BE322" i="2"/>
  <c r="BB322" i="2"/>
  <c r="AY322" i="2"/>
  <c r="AM322" i="2"/>
  <c r="AD322" i="2"/>
  <c r="AA322" i="2"/>
  <c r="U322" i="2"/>
  <c r="O322" i="2"/>
  <c r="L322" i="2"/>
  <c r="I322" i="2"/>
  <c r="G322" i="2"/>
  <c r="F322" i="2"/>
  <c r="E322" i="2"/>
  <c r="BV322" i="2" s="1"/>
  <c r="C322" i="2"/>
  <c r="B322" i="2"/>
  <c r="DJ321" i="2"/>
  <c r="DF321" i="2"/>
  <c r="DD321" i="2"/>
  <c r="CZ321" i="2"/>
  <c r="CV321" i="2"/>
  <c r="CR321" i="2"/>
  <c r="CP321" i="2"/>
  <c r="CN321" i="2"/>
  <c r="CH321" i="2"/>
  <c r="CF321" i="2"/>
  <c r="CD321" i="2"/>
  <c r="CB321" i="2"/>
  <c r="BZ321" i="2"/>
  <c r="BX321" i="2"/>
  <c r="BU321" i="2"/>
  <c r="BT321" i="2"/>
  <c r="BS321" i="2"/>
  <c r="BM321" i="2"/>
  <c r="BL321" i="2"/>
  <c r="BK321" i="2"/>
  <c r="BE321" i="2"/>
  <c r="BB321" i="2"/>
  <c r="AY321" i="2"/>
  <c r="AM321" i="2"/>
  <c r="AD321" i="2"/>
  <c r="AA321" i="2"/>
  <c r="U321" i="2"/>
  <c r="O321" i="2"/>
  <c r="L321" i="2"/>
  <c r="I321" i="2"/>
  <c r="G321" i="2"/>
  <c r="F321" i="2"/>
  <c r="E321" i="2"/>
  <c r="C321" i="2"/>
  <c r="B321" i="2"/>
  <c r="DJ320" i="2"/>
  <c r="DF320" i="2"/>
  <c r="DD320" i="2"/>
  <c r="CZ320" i="2"/>
  <c r="CV320" i="2"/>
  <c r="CR320" i="2"/>
  <c r="CP320" i="2"/>
  <c r="CN320" i="2"/>
  <c r="CH320" i="2"/>
  <c r="CF320" i="2"/>
  <c r="CD320" i="2"/>
  <c r="CB320" i="2"/>
  <c r="BZ320" i="2"/>
  <c r="BX320" i="2"/>
  <c r="BU320" i="2"/>
  <c r="BT320" i="2"/>
  <c r="BS320" i="2"/>
  <c r="BM320" i="2"/>
  <c r="BL320" i="2"/>
  <c r="BK320" i="2"/>
  <c r="BE320" i="2"/>
  <c r="BB320" i="2"/>
  <c r="AY320" i="2"/>
  <c r="AM320" i="2"/>
  <c r="AD320" i="2"/>
  <c r="AA320" i="2"/>
  <c r="U320" i="2"/>
  <c r="O320" i="2"/>
  <c r="L320" i="2"/>
  <c r="I320" i="2"/>
  <c r="G320" i="2"/>
  <c r="F320" i="2"/>
  <c r="E320" i="2"/>
  <c r="BV320" i="2" s="1"/>
  <c r="C320" i="2"/>
  <c r="B320" i="2"/>
  <c r="DJ319" i="2"/>
  <c r="DF319" i="2"/>
  <c r="DD319" i="2"/>
  <c r="CZ319" i="2"/>
  <c r="CV319" i="2"/>
  <c r="CR319" i="2"/>
  <c r="CP319" i="2"/>
  <c r="CN319" i="2"/>
  <c r="CH319" i="2"/>
  <c r="CF319" i="2"/>
  <c r="CD319" i="2"/>
  <c r="CB319" i="2"/>
  <c r="BZ319" i="2"/>
  <c r="BX319" i="2"/>
  <c r="BU319" i="2"/>
  <c r="BT319" i="2"/>
  <c r="BS319" i="2"/>
  <c r="BM319" i="2"/>
  <c r="BL319" i="2"/>
  <c r="BK319" i="2"/>
  <c r="BE319" i="2"/>
  <c r="BB319" i="2"/>
  <c r="AY319" i="2"/>
  <c r="AM319" i="2"/>
  <c r="AD319" i="2"/>
  <c r="AA319" i="2"/>
  <c r="U319" i="2"/>
  <c r="O319" i="2"/>
  <c r="L319" i="2"/>
  <c r="I319" i="2"/>
  <c r="G319" i="2"/>
  <c r="F319" i="2"/>
  <c r="E319" i="2"/>
  <c r="C319" i="2"/>
  <c r="B319" i="2"/>
  <c r="DJ318" i="2"/>
  <c r="DF318" i="2"/>
  <c r="DD318" i="2"/>
  <c r="CZ318" i="2"/>
  <c r="CV318" i="2"/>
  <c r="CR318" i="2"/>
  <c r="CP318" i="2"/>
  <c r="CN318" i="2"/>
  <c r="CH318" i="2"/>
  <c r="CF318" i="2"/>
  <c r="CD318" i="2"/>
  <c r="CB318" i="2"/>
  <c r="BZ318" i="2"/>
  <c r="BX318" i="2"/>
  <c r="BU318" i="2"/>
  <c r="BT318" i="2"/>
  <c r="BS318" i="2"/>
  <c r="BM318" i="2"/>
  <c r="BL318" i="2"/>
  <c r="BK318" i="2"/>
  <c r="BE318" i="2"/>
  <c r="BB318" i="2"/>
  <c r="AY318" i="2"/>
  <c r="AM318" i="2"/>
  <c r="AD318" i="2"/>
  <c r="AA318" i="2"/>
  <c r="U318" i="2"/>
  <c r="O318" i="2"/>
  <c r="L318" i="2"/>
  <c r="I318" i="2"/>
  <c r="G318" i="2"/>
  <c r="F318" i="2"/>
  <c r="E318" i="2"/>
  <c r="BY318" i="2" s="1"/>
  <c r="C318" i="2"/>
  <c r="B318" i="2"/>
  <c r="DJ317" i="2"/>
  <c r="DF317" i="2"/>
  <c r="DD317" i="2"/>
  <c r="CZ317" i="2"/>
  <c r="CV317" i="2"/>
  <c r="CR317" i="2"/>
  <c r="CP317" i="2"/>
  <c r="CN317" i="2"/>
  <c r="CH317" i="2"/>
  <c r="CF317" i="2"/>
  <c r="CD317" i="2"/>
  <c r="CB317" i="2"/>
  <c r="BZ317" i="2"/>
  <c r="BX317" i="2"/>
  <c r="BU317" i="2"/>
  <c r="BT317" i="2"/>
  <c r="BS317" i="2"/>
  <c r="BM317" i="2"/>
  <c r="BL317" i="2"/>
  <c r="BK317" i="2"/>
  <c r="BE317" i="2"/>
  <c r="BB317" i="2"/>
  <c r="AY317" i="2"/>
  <c r="AM317" i="2"/>
  <c r="AD317" i="2"/>
  <c r="AA317" i="2"/>
  <c r="U317" i="2"/>
  <c r="O317" i="2"/>
  <c r="L317" i="2"/>
  <c r="I317" i="2"/>
  <c r="G317" i="2"/>
  <c r="F317" i="2"/>
  <c r="E317" i="2"/>
  <c r="BW317" i="2" s="1"/>
  <c r="C317" i="2"/>
  <c r="B317" i="2"/>
  <c r="DJ316" i="2"/>
  <c r="DF316" i="2"/>
  <c r="DD316" i="2"/>
  <c r="CZ316" i="2"/>
  <c r="CV316" i="2"/>
  <c r="CR316" i="2"/>
  <c r="CP316" i="2"/>
  <c r="CN316" i="2"/>
  <c r="CH316" i="2"/>
  <c r="CF316" i="2"/>
  <c r="CD316" i="2"/>
  <c r="CB316" i="2"/>
  <c r="BZ316" i="2"/>
  <c r="BX316" i="2"/>
  <c r="BU316" i="2"/>
  <c r="BT316" i="2"/>
  <c r="BS316" i="2"/>
  <c r="BM316" i="2"/>
  <c r="BL316" i="2"/>
  <c r="BK316" i="2"/>
  <c r="BE316" i="2"/>
  <c r="BB316" i="2"/>
  <c r="AY316" i="2"/>
  <c r="AM316" i="2"/>
  <c r="AD316" i="2"/>
  <c r="AA316" i="2"/>
  <c r="U316" i="2"/>
  <c r="O316" i="2"/>
  <c r="L316" i="2"/>
  <c r="I316" i="2"/>
  <c r="G316" i="2"/>
  <c r="F316" i="2"/>
  <c r="E316" i="2"/>
  <c r="BW316" i="2" s="1"/>
  <c r="C316" i="2"/>
  <c r="B316" i="2"/>
  <c r="DJ315" i="2"/>
  <c r="DF315" i="2"/>
  <c r="DD315" i="2"/>
  <c r="CZ315" i="2"/>
  <c r="CV315" i="2"/>
  <c r="CR315" i="2"/>
  <c r="CP315" i="2"/>
  <c r="CN315" i="2"/>
  <c r="CH315" i="2"/>
  <c r="CF315" i="2"/>
  <c r="CD315" i="2"/>
  <c r="CB315" i="2"/>
  <c r="BZ315" i="2"/>
  <c r="BX315" i="2"/>
  <c r="BU315" i="2"/>
  <c r="BT315" i="2"/>
  <c r="BS315" i="2"/>
  <c r="BM315" i="2"/>
  <c r="BL315" i="2"/>
  <c r="BK315" i="2"/>
  <c r="BE315" i="2"/>
  <c r="BB315" i="2"/>
  <c r="AY315" i="2"/>
  <c r="AM315" i="2"/>
  <c r="AD315" i="2"/>
  <c r="AA315" i="2"/>
  <c r="U315" i="2"/>
  <c r="O315" i="2"/>
  <c r="L315" i="2"/>
  <c r="I315" i="2"/>
  <c r="G315" i="2"/>
  <c r="F315" i="2"/>
  <c r="E315" i="2"/>
  <c r="BW315" i="2" s="1"/>
  <c r="C315" i="2"/>
  <c r="B315" i="2"/>
  <c r="DJ314" i="2"/>
  <c r="DF314" i="2"/>
  <c r="DD314" i="2"/>
  <c r="CZ314" i="2"/>
  <c r="CV314" i="2"/>
  <c r="CR314" i="2"/>
  <c r="CP314" i="2"/>
  <c r="CN314" i="2"/>
  <c r="CH314" i="2"/>
  <c r="CF314" i="2"/>
  <c r="CD314" i="2"/>
  <c r="CB314" i="2"/>
  <c r="BZ314" i="2"/>
  <c r="BX314" i="2"/>
  <c r="BU314" i="2"/>
  <c r="BT314" i="2"/>
  <c r="BS314" i="2"/>
  <c r="BM314" i="2"/>
  <c r="BL314" i="2"/>
  <c r="BK314" i="2"/>
  <c r="BE314" i="2"/>
  <c r="BB314" i="2"/>
  <c r="AY314" i="2"/>
  <c r="AM314" i="2"/>
  <c r="AD314" i="2"/>
  <c r="AA314" i="2"/>
  <c r="U314" i="2"/>
  <c r="O314" i="2"/>
  <c r="L314" i="2"/>
  <c r="I314" i="2"/>
  <c r="G314" i="2"/>
  <c r="F314" i="2"/>
  <c r="E314" i="2"/>
  <c r="C314" i="2"/>
  <c r="B314" i="2"/>
  <c r="DJ313" i="2"/>
  <c r="DF313" i="2"/>
  <c r="DD313" i="2"/>
  <c r="CZ313" i="2"/>
  <c r="CV313" i="2"/>
  <c r="CR313" i="2"/>
  <c r="CP313" i="2"/>
  <c r="CN313" i="2"/>
  <c r="CH313" i="2"/>
  <c r="CF313" i="2"/>
  <c r="CD313" i="2"/>
  <c r="CB313" i="2"/>
  <c r="BZ313" i="2"/>
  <c r="BX313" i="2"/>
  <c r="BU313" i="2"/>
  <c r="BT313" i="2"/>
  <c r="BS313" i="2"/>
  <c r="BM313" i="2"/>
  <c r="BL313" i="2"/>
  <c r="BK313" i="2"/>
  <c r="BE313" i="2"/>
  <c r="BB313" i="2"/>
  <c r="AY313" i="2"/>
  <c r="AM313" i="2"/>
  <c r="AD313" i="2"/>
  <c r="AA313" i="2"/>
  <c r="U313" i="2"/>
  <c r="O313" i="2"/>
  <c r="L313" i="2"/>
  <c r="I313" i="2"/>
  <c r="G313" i="2"/>
  <c r="F313" i="2"/>
  <c r="E313" i="2"/>
  <c r="C313" i="2"/>
  <c r="B313" i="2"/>
  <c r="DJ312" i="2"/>
  <c r="DF312" i="2"/>
  <c r="DD312" i="2"/>
  <c r="CZ312" i="2"/>
  <c r="CV312" i="2"/>
  <c r="CR312" i="2"/>
  <c r="CP312" i="2"/>
  <c r="CN312" i="2"/>
  <c r="CH312" i="2"/>
  <c r="CF312" i="2"/>
  <c r="CD312" i="2"/>
  <c r="CB312" i="2"/>
  <c r="BZ312" i="2"/>
  <c r="BX312" i="2"/>
  <c r="BU312" i="2"/>
  <c r="BT312" i="2"/>
  <c r="BS312" i="2"/>
  <c r="BM312" i="2"/>
  <c r="BL312" i="2"/>
  <c r="BK312" i="2"/>
  <c r="BE312" i="2"/>
  <c r="BB312" i="2"/>
  <c r="AY312" i="2"/>
  <c r="AM312" i="2"/>
  <c r="AD312" i="2"/>
  <c r="AA312" i="2"/>
  <c r="U312" i="2"/>
  <c r="O312" i="2"/>
  <c r="L312" i="2"/>
  <c r="I312" i="2"/>
  <c r="G312" i="2"/>
  <c r="F312" i="2"/>
  <c r="E312" i="2"/>
  <c r="C312" i="2"/>
  <c r="B312" i="2"/>
  <c r="DJ311" i="2"/>
  <c r="DF311" i="2"/>
  <c r="DD311" i="2"/>
  <c r="CZ311" i="2"/>
  <c r="CV311" i="2"/>
  <c r="CR311" i="2"/>
  <c r="CP311" i="2"/>
  <c r="CN311" i="2"/>
  <c r="CH311" i="2"/>
  <c r="CF311" i="2"/>
  <c r="CD311" i="2"/>
  <c r="CB311" i="2"/>
  <c r="BZ311" i="2"/>
  <c r="BX311" i="2"/>
  <c r="BU311" i="2"/>
  <c r="BT311" i="2"/>
  <c r="BS311" i="2"/>
  <c r="BM311" i="2"/>
  <c r="BL311" i="2"/>
  <c r="BK311" i="2"/>
  <c r="BE311" i="2"/>
  <c r="BB311" i="2"/>
  <c r="AY311" i="2"/>
  <c r="AM311" i="2"/>
  <c r="AD311" i="2"/>
  <c r="AA311" i="2"/>
  <c r="U311" i="2"/>
  <c r="O311" i="2"/>
  <c r="L311" i="2"/>
  <c r="I311" i="2"/>
  <c r="G311" i="2"/>
  <c r="F311" i="2"/>
  <c r="E311" i="2"/>
  <c r="BW311" i="2" s="1"/>
  <c r="C311" i="2"/>
  <c r="B311" i="2"/>
  <c r="DJ310" i="2"/>
  <c r="DF310" i="2"/>
  <c r="DD310" i="2"/>
  <c r="CZ310" i="2"/>
  <c r="CV310" i="2"/>
  <c r="CR310" i="2"/>
  <c r="CP310" i="2"/>
  <c r="CN310" i="2"/>
  <c r="CH310" i="2"/>
  <c r="CF310" i="2"/>
  <c r="CD310" i="2"/>
  <c r="CB310" i="2"/>
  <c r="BZ310" i="2"/>
  <c r="BX310" i="2"/>
  <c r="BU310" i="2"/>
  <c r="BT310" i="2"/>
  <c r="BS310" i="2"/>
  <c r="BM310" i="2"/>
  <c r="BL310" i="2"/>
  <c r="BK310" i="2"/>
  <c r="BE310" i="2"/>
  <c r="BB310" i="2"/>
  <c r="AY310" i="2"/>
  <c r="AM310" i="2"/>
  <c r="AD310" i="2"/>
  <c r="AA310" i="2"/>
  <c r="U310" i="2"/>
  <c r="O310" i="2"/>
  <c r="L310" i="2"/>
  <c r="I310" i="2"/>
  <c r="G310" i="2"/>
  <c r="F310" i="2"/>
  <c r="E310" i="2"/>
  <c r="BV310" i="2" s="1"/>
  <c r="C310" i="2"/>
  <c r="B310" i="2"/>
  <c r="DJ309" i="2"/>
  <c r="DF309" i="2"/>
  <c r="DD309" i="2"/>
  <c r="CZ309" i="2"/>
  <c r="CV309" i="2"/>
  <c r="CR309" i="2"/>
  <c r="CP309" i="2"/>
  <c r="CN309" i="2"/>
  <c r="CH309" i="2"/>
  <c r="CF309" i="2"/>
  <c r="CD309" i="2"/>
  <c r="CB309" i="2"/>
  <c r="BZ309" i="2"/>
  <c r="BX309" i="2"/>
  <c r="BU309" i="2"/>
  <c r="BT309" i="2"/>
  <c r="BS309" i="2"/>
  <c r="BM309" i="2"/>
  <c r="BL309" i="2"/>
  <c r="BK309" i="2"/>
  <c r="BE309" i="2"/>
  <c r="BB309" i="2"/>
  <c r="AY309" i="2"/>
  <c r="AM309" i="2"/>
  <c r="AD309" i="2"/>
  <c r="AA309" i="2"/>
  <c r="U309" i="2"/>
  <c r="O309" i="2"/>
  <c r="L309" i="2"/>
  <c r="I309" i="2"/>
  <c r="G309" i="2"/>
  <c r="F309" i="2"/>
  <c r="E309" i="2"/>
  <c r="C309" i="2"/>
  <c r="B309" i="2"/>
  <c r="DJ308" i="2"/>
  <c r="DF308" i="2"/>
  <c r="DD308" i="2"/>
  <c r="CZ308" i="2"/>
  <c r="CV308" i="2"/>
  <c r="CR308" i="2"/>
  <c r="CP308" i="2"/>
  <c r="CN308" i="2"/>
  <c r="CH308" i="2"/>
  <c r="CF308" i="2"/>
  <c r="CD308" i="2"/>
  <c r="CB308" i="2"/>
  <c r="BZ308" i="2"/>
  <c r="BX308" i="2"/>
  <c r="BU308" i="2"/>
  <c r="BT308" i="2"/>
  <c r="BS308" i="2"/>
  <c r="BM308" i="2"/>
  <c r="BL308" i="2"/>
  <c r="BK308" i="2"/>
  <c r="BE308" i="2"/>
  <c r="BB308" i="2"/>
  <c r="AY308" i="2"/>
  <c r="AM308" i="2"/>
  <c r="AD308" i="2"/>
  <c r="AA308" i="2"/>
  <c r="U308" i="2"/>
  <c r="O308" i="2"/>
  <c r="L308" i="2"/>
  <c r="I308" i="2"/>
  <c r="G308" i="2"/>
  <c r="F308" i="2"/>
  <c r="E308" i="2"/>
  <c r="BW308" i="2" s="1"/>
  <c r="C308" i="2"/>
  <c r="B308" i="2"/>
  <c r="DJ307" i="2"/>
  <c r="DF307" i="2"/>
  <c r="DD307" i="2"/>
  <c r="CZ307" i="2"/>
  <c r="CV307" i="2"/>
  <c r="CR307" i="2"/>
  <c r="CP307" i="2"/>
  <c r="CN307" i="2"/>
  <c r="CH307" i="2"/>
  <c r="CF307" i="2"/>
  <c r="CD307" i="2"/>
  <c r="CB307" i="2"/>
  <c r="BZ307" i="2"/>
  <c r="BX307" i="2"/>
  <c r="BU307" i="2"/>
  <c r="BT307" i="2"/>
  <c r="BS307" i="2"/>
  <c r="BM307" i="2"/>
  <c r="BL307" i="2"/>
  <c r="BK307" i="2"/>
  <c r="BE307" i="2"/>
  <c r="BB307" i="2"/>
  <c r="AY307" i="2"/>
  <c r="AM307" i="2"/>
  <c r="AD307" i="2"/>
  <c r="AA307" i="2"/>
  <c r="U307" i="2"/>
  <c r="O307" i="2"/>
  <c r="L307" i="2"/>
  <c r="I307" i="2"/>
  <c r="G307" i="2"/>
  <c r="F307" i="2"/>
  <c r="E307" i="2"/>
  <c r="BW307" i="2" s="1"/>
  <c r="C307" i="2"/>
  <c r="B307" i="2"/>
  <c r="DJ306" i="2"/>
  <c r="DF306" i="2"/>
  <c r="DD306" i="2"/>
  <c r="CZ306" i="2"/>
  <c r="CV306" i="2"/>
  <c r="CR306" i="2"/>
  <c r="CP306" i="2"/>
  <c r="CN306" i="2"/>
  <c r="CH306" i="2"/>
  <c r="CF306" i="2"/>
  <c r="CD306" i="2"/>
  <c r="CB306" i="2"/>
  <c r="BZ306" i="2"/>
  <c r="BX306" i="2"/>
  <c r="BU306" i="2"/>
  <c r="BT306" i="2"/>
  <c r="BS306" i="2"/>
  <c r="BM306" i="2"/>
  <c r="BL306" i="2"/>
  <c r="BK306" i="2"/>
  <c r="BE306" i="2"/>
  <c r="BB306" i="2"/>
  <c r="AY306" i="2"/>
  <c r="AM306" i="2"/>
  <c r="AD306" i="2"/>
  <c r="AA306" i="2"/>
  <c r="U306" i="2"/>
  <c r="O306" i="2"/>
  <c r="L306" i="2"/>
  <c r="I306" i="2"/>
  <c r="G306" i="2"/>
  <c r="F306" i="2"/>
  <c r="E306" i="2"/>
  <c r="BY306" i="2" s="1"/>
  <c r="C306" i="2"/>
  <c r="B306" i="2"/>
  <c r="DJ305" i="2"/>
  <c r="DF305" i="2"/>
  <c r="DD305" i="2"/>
  <c r="CZ305" i="2"/>
  <c r="CV305" i="2"/>
  <c r="CR305" i="2"/>
  <c r="CP305" i="2"/>
  <c r="CN305" i="2"/>
  <c r="CH305" i="2"/>
  <c r="CF305" i="2"/>
  <c r="CD305" i="2"/>
  <c r="CB305" i="2"/>
  <c r="BZ305" i="2"/>
  <c r="BX305" i="2"/>
  <c r="BU305" i="2"/>
  <c r="BT305" i="2"/>
  <c r="BS305" i="2"/>
  <c r="BM305" i="2"/>
  <c r="BL305" i="2"/>
  <c r="BK305" i="2"/>
  <c r="BE305" i="2"/>
  <c r="BB305" i="2"/>
  <c r="AY305" i="2"/>
  <c r="AM305" i="2"/>
  <c r="AD305" i="2"/>
  <c r="AA305" i="2"/>
  <c r="U305" i="2"/>
  <c r="O305" i="2"/>
  <c r="L305" i="2"/>
  <c r="I305" i="2"/>
  <c r="G305" i="2"/>
  <c r="F305" i="2"/>
  <c r="E305" i="2"/>
  <c r="BV305" i="2" s="1"/>
  <c r="C305" i="2"/>
  <c r="B305" i="2"/>
  <c r="DJ304" i="2"/>
  <c r="DF304" i="2"/>
  <c r="DD304" i="2"/>
  <c r="CZ304" i="2"/>
  <c r="CV304" i="2"/>
  <c r="CR304" i="2"/>
  <c r="CP304" i="2"/>
  <c r="CN304" i="2"/>
  <c r="CH304" i="2"/>
  <c r="CF304" i="2"/>
  <c r="CD304" i="2"/>
  <c r="CB304" i="2"/>
  <c r="BZ304" i="2"/>
  <c r="BX304" i="2"/>
  <c r="BU304" i="2"/>
  <c r="BT304" i="2"/>
  <c r="BS304" i="2"/>
  <c r="BM304" i="2"/>
  <c r="BL304" i="2"/>
  <c r="BK304" i="2"/>
  <c r="BE304" i="2"/>
  <c r="BB304" i="2"/>
  <c r="AY304" i="2"/>
  <c r="AM304" i="2"/>
  <c r="AD304" i="2"/>
  <c r="AA304" i="2"/>
  <c r="U304" i="2"/>
  <c r="O304" i="2"/>
  <c r="L304" i="2"/>
  <c r="I304" i="2"/>
  <c r="G304" i="2"/>
  <c r="F304" i="2"/>
  <c r="E304" i="2"/>
  <c r="BY304" i="2" s="1"/>
  <c r="C304" i="2"/>
  <c r="B304" i="2"/>
  <c r="DJ303" i="2"/>
  <c r="DF303" i="2"/>
  <c r="DD303" i="2"/>
  <c r="CZ303" i="2"/>
  <c r="CV303" i="2"/>
  <c r="CR303" i="2"/>
  <c r="CP303" i="2"/>
  <c r="CN303" i="2"/>
  <c r="CH303" i="2"/>
  <c r="CF303" i="2"/>
  <c r="CD303" i="2"/>
  <c r="CB303" i="2"/>
  <c r="BZ303" i="2"/>
  <c r="BX303" i="2"/>
  <c r="BU303" i="2"/>
  <c r="BT303" i="2"/>
  <c r="BS303" i="2"/>
  <c r="BM303" i="2"/>
  <c r="BL303" i="2"/>
  <c r="BK303" i="2"/>
  <c r="BE303" i="2"/>
  <c r="BB303" i="2"/>
  <c r="AY303" i="2"/>
  <c r="AM303" i="2"/>
  <c r="AD303" i="2"/>
  <c r="AA303" i="2"/>
  <c r="U303" i="2"/>
  <c r="O303" i="2"/>
  <c r="L303" i="2"/>
  <c r="I303" i="2"/>
  <c r="G303" i="2"/>
  <c r="F303" i="2"/>
  <c r="E303" i="2"/>
  <c r="BY303" i="2" s="1"/>
  <c r="C303" i="2"/>
  <c r="B303" i="2"/>
  <c r="DJ302" i="2"/>
  <c r="DF302" i="2"/>
  <c r="DD302" i="2"/>
  <c r="CZ302" i="2"/>
  <c r="CV302" i="2"/>
  <c r="CR302" i="2"/>
  <c r="CP302" i="2"/>
  <c r="CN302" i="2"/>
  <c r="CH302" i="2"/>
  <c r="CF302" i="2"/>
  <c r="CD302" i="2"/>
  <c r="CB302" i="2"/>
  <c r="BZ302" i="2"/>
  <c r="BX302" i="2"/>
  <c r="BU302" i="2"/>
  <c r="BT302" i="2"/>
  <c r="BS302" i="2"/>
  <c r="BM302" i="2"/>
  <c r="BL302" i="2"/>
  <c r="BK302" i="2"/>
  <c r="BE302" i="2"/>
  <c r="BB302" i="2"/>
  <c r="AY302" i="2"/>
  <c r="AM302" i="2"/>
  <c r="AD302" i="2"/>
  <c r="AA302" i="2"/>
  <c r="U302" i="2"/>
  <c r="O302" i="2"/>
  <c r="L302" i="2"/>
  <c r="I302" i="2"/>
  <c r="G302" i="2"/>
  <c r="F302" i="2"/>
  <c r="E302" i="2"/>
  <c r="BY302" i="2" s="1"/>
  <c r="C302" i="2"/>
  <c r="B302" i="2"/>
  <c r="DJ301" i="2"/>
  <c r="DF301" i="2"/>
  <c r="DD301" i="2"/>
  <c r="CZ301" i="2"/>
  <c r="CV301" i="2"/>
  <c r="CR301" i="2"/>
  <c r="CP301" i="2"/>
  <c r="CN301" i="2"/>
  <c r="CH301" i="2"/>
  <c r="CF301" i="2"/>
  <c r="CD301" i="2"/>
  <c r="CB301" i="2"/>
  <c r="BZ301" i="2"/>
  <c r="BX301" i="2"/>
  <c r="BU301" i="2"/>
  <c r="BT301" i="2"/>
  <c r="BS301" i="2"/>
  <c r="BM301" i="2"/>
  <c r="BL301" i="2"/>
  <c r="BK301" i="2"/>
  <c r="BE301" i="2"/>
  <c r="BB301" i="2"/>
  <c r="AY301" i="2"/>
  <c r="AM301" i="2"/>
  <c r="AD301" i="2"/>
  <c r="AA301" i="2"/>
  <c r="U301" i="2"/>
  <c r="O301" i="2"/>
  <c r="L301" i="2"/>
  <c r="I301" i="2"/>
  <c r="G301" i="2"/>
  <c r="F301" i="2"/>
  <c r="E301" i="2"/>
  <c r="BV301" i="2" s="1"/>
  <c r="C301" i="2"/>
  <c r="B301" i="2"/>
  <c r="DJ300" i="2"/>
  <c r="DF300" i="2"/>
  <c r="DD300" i="2"/>
  <c r="CZ300" i="2"/>
  <c r="CV300" i="2"/>
  <c r="CR300" i="2"/>
  <c r="CP300" i="2"/>
  <c r="CN300" i="2"/>
  <c r="CH300" i="2"/>
  <c r="CF300" i="2"/>
  <c r="CD300" i="2"/>
  <c r="CB300" i="2"/>
  <c r="BZ300" i="2"/>
  <c r="BX300" i="2"/>
  <c r="BU300" i="2"/>
  <c r="BT300" i="2"/>
  <c r="BS300" i="2"/>
  <c r="BM300" i="2"/>
  <c r="BL300" i="2"/>
  <c r="BK300" i="2"/>
  <c r="BE300" i="2"/>
  <c r="BB300" i="2"/>
  <c r="AY300" i="2"/>
  <c r="AM300" i="2"/>
  <c r="AD300" i="2"/>
  <c r="AA300" i="2"/>
  <c r="U300" i="2"/>
  <c r="O300" i="2"/>
  <c r="L300" i="2"/>
  <c r="I300" i="2"/>
  <c r="G300" i="2"/>
  <c r="F300" i="2"/>
  <c r="E300" i="2"/>
  <c r="BV300" i="2" s="1"/>
  <c r="C300" i="2"/>
  <c r="B300" i="2"/>
  <c r="DJ299" i="2"/>
  <c r="DF299" i="2"/>
  <c r="DD299" i="2"/>
  <c r="CZ299" i="2"/>
  <c r="CV299" i="2"/>
  <c r="CR299" i="2"/>
  <c r="CP299" i="2"/>
  <c r="CN299" i="2"/>
  <c r="CH299" i="2"/>
  <c r="CF299" i="2"/>
  <c r="CD299" i="2"/>
  <c r="CB299" i="2"/>
  <c r="BZ299" i="2"/>
  <c r="BX299" i="2"/>
  <c r="BU299" i="2"/>
  <c r="BT299" i="2"/>
  <c r="BS299" i="2"/>
  <c r="BM299" i="2"/>
  <c r="BL299" i="2"/>
  <c r="BK299" i="2"/>
  <c r="BE299" i="2"/>
  <c r="BB299" i="2"/>
  <c r="AY299" i="2"/>
  <c r="AM299" i="2"/>
  <c r="AD299" i="2"/>
  <c r="AA299" i="2"/>
  <c r="U299" i="2"/>
  <c r="O299" i="2"/>
  <c r="L299" i="2"/>
  <c r="I299" i="2"/>
  <c r="G299" i="2"/>
  <c r="F299" i="2"/>
  <c r="E299" i="2"/>
  <c r="C299" i="2"/>
  <c r="B299" i="2"/>
  <c r="DJ298" i="2"/>
  <c r="DF298" i="2"/>
  <c r="DD298" i="2"/>
  <c r="CZ298" i="2"/>
  <c r="CV298" i="2"/>
  <c r="CR298" i="2"/>
  <c r="CP298" i="2"/>
  <c r="CN298" i="2"/>
  <c r="CH298" i="2"/>
  <c r="CF298" i="2"/>
  <c r="CD298" i="2"/>
  <c r="CB298" i="2"/>
  <c r="BZ298" i="2"/>
  <c r="BX298" i="2"/>
  <c r="BU298" i="2"/>
  <c r="BT298" i="2"/>
  <c r="BS298" i="2"/>
  <c r="BM298" i="2"/>
  <c r="BL298" i="2"/>
  <c r="BK298" i="2"/>
  <c r="BE298" i="2"/>
  <c r="BB298" i="2"/>
  <c r="AY298" i="2"/>
  <c r="AM298" i="2"/>
  <c r="AD298" i="2"/>
  <c r="AA298" i="2"/>
  <c r="U298" i="2"/>
  <c r="O298" i="2"/>
  <c r="L298" i="2"/>
  <c r="I298" i="2"/>
  <c r="G298" i="2"/>
  <c r="F298" i="2"/>
  <c r="E298" i="2"/>
  <c r="BW298" i="2" s="1"/>
  <c r="C298" i="2"/>
  <c r="B298" i="2"/>
  <c r="DJ297" i="2"/>
  <c r="DF297" i="2"/>
  <c r="DD297" i="2"/>
  <c r="CZ297" i="2"/>
  <c r="CV297" i="2"/>
  <c r="CR297" i="2"/>
  <c r="CP297" i="2"/>
  <c r="CN297" i="2"/>
  <c r="CH297" i="2"/>
  <c r="CF297" i="2"/>
  <c r="CD297" i="2"/>
  <c r="CB297" i="2"/>
  <c r="BZ297" i="2"/>
  <c r="BX297" i="2"/>
  <c r="BU297" i="2"/>
  <c r="BT297" i="2"/>
  <c r="BS297" i="2"/>
  <c r="BM297" i="2"/>
  <c r="BL297" i="2"/>
  <c r="BK297" i="2"/>
  <c r="BE297" i="2"/>
  <c r="BB297" i="2"/>
  <c r="AY297" i="2"/>
  <c r="AM297" i="2"/>
  <c r="AD297" i="2"/>
  <c r="AA297" i="2"/>
  <c r="U297" i="2"/>
  <c r="O297" i="2"/>
  <c r="L297" i="2"/>
  <c r="I297" i="2"/>
  <c r="G297" i="2"/>
  <c r="F297" i="2"/>
  <c r="E297" i="2"/>
  <c r="C297" i="2"/>
  <c r="B297" i="2"/>
  <c r="DJ296" i="2"/>
  <c r="DF296" i="2"/>
  <c r="DD296" i="2"/>
  <c r="CZ296" i="2"/>
  <c r="CV296" i="2"/>
  <c r="CR296" i="2"/>
  <c r="CP296" i="2"/>
  <c r="CN296" i="2"/>
  <c r="CH296" i="2"/>
  <c r="CF296" i="2"/>
  <c r="CD296" i="2"/>
  <c r="CB296" i="2"/>
  <c r="BZ296" i="2"/>
  <c r="BX296" i="2"/>
  <c r="BU296" i="2"/>
  <c r="BT296" i="2"/>
  <c r="BS296" i="2"/>
  <c r="BM296" i="2"/>
  <c r="BL296" i="2"/>
  <c r="BK296" i="2"/>
  <c r="BE296" i="2"/>
  <c r="BB296" i="2"/>
  <c r="AY296" i="2"/>
  <c r="AM296" i="2"/>
  <c r="AD296" i="2"/>
  <c r="AA296" i="2"/>
  <c r="U296" i="2"/>
  <c r="O296" i="2"/>
  <c r="L296" i="2"/>
  <c r="I296" i="2"/>
  <c r="G296" i="2"/>
  <c r="F296" i="2"/>
  <c r="E296" i="2"/>
  <c r="BV296" i="2" s="1"/>
  <c r="C296" i="2"/>
  <c r="B296" i="2"/>
  <c r="DJ295" i="2"/>
  <c r="DF295" i="2"/>
  <c r="DD295" i="2"/>
  <c r="CZ295" i="2"/>
  <c r="CV295" i="2"/>
  <c r="CR295" i="2"/>
  <c r="CP295" i="2"/>
  <c r="CN295" i="2"/>
  <c r="CH295" i="2"/>
  <c r="CF295" i="2"/>
  <c r="CD295" i="2"/>
  <c r="CB295" i="2"/>
  <c r="BZ295" i="2"/>
  <c r="BX295" i="2"/>
  <c r="BU295" i="2"/>
  <c r="BT295" i="2"/>
  <c r="BS295" i="2"/>
  <c r="BM295" i="2"/>
  <c r="BL295" i="2"/>
  <c r="BK295" i="2"/>
  <c r="BE295" i="2"/>
  <c r="BB295" i="2"/>
  <c r="AY295" i="2"/>
  <c r="AM295" i="2"/>
  <c r="AD295" i="2"/>
  <c r="AA295" i="2"/>
  <c r="U295" i="2"/>
  <c r="O295" i="2"/>
  <c r="L295" i="2"/>
  <c r="I295" i="2"/>
  <c r="G295" i="2"/>
  <c r="F295" i="2"/>
  <c r="E295" i="2"/>
  <c r="C295" i="2"/>
  <c r="B295" i="2"/>
  <c r="DJ294" i="2"/>
  <c r="DF294" i="2"/>
  <c r="DD294" i="2"/>
  <c r="CZ294" i="2"/>
  <c r="CV294" i="2"/>
  <c r="CR294" i="2"/>
  <c r="CP294" i="2"/>
  <c r="CN294" i="2"/>
  <c r="CH294" i="2"/>
  <c r="CF294" i="2"/>
  <c r="CD294" i="2"/>
  <c r="CB294" i="2"/>
  <c r="BZ294" i="2"/>
  <c r="BX294" i="2"/>
  <c r="BU294" i="2"/>
  <c r="BT294" i="2"/>
  <c r="BS294" i="2"/>
  <c r="BM294" i="2"/>
  <c r="BL294" i="2"/>
  <c r="BK294" i="2"/>
  <c r="BE294" i="2"/>
  <c r="BB294" i="2"/>
  <c r="AY294" i="2"/>
  <c r="AM294" i="2"/>
  <c r="AD294" i="2"/>
  <c r="AA294" i="2"/>
  <c r="U294" i="2"/>
  <c r="O294" i="2"/>
  <c r="L294" i="2"/>
  <c r="I294" i="2"/>
  <c r="G294" i="2"/>
  <c r="F294" i="2"/>
  <c r="E294" i="2"/>
  <c r="BY294" i="2" s="1"/>
  <c r="C294" i="2"/>
  <c r="B294" i="2"/>
  <c r="DJ293" i="2"/>
  <c r="DF293" i="2"/>
  <c r="DD293" i="2"/>
  <c r="CZ293" i="2"/>
  <c r="CV293" i="2"/>
  <c r="CR293" i="2"/>
  <c r="CP293" i="2"/>
  <c r="CN293" i="2"/>
  <c r="CH293" i="2"/>
  <c r="CF293" i="2"/>
  <c r="CD293" i="2"/>
  <c r="CB293" i="2"/>
  <c r="BZ293" i="2"/>
  <c r="BX293" i="2"/>
  <c r="BU293" i="2"/>
  <c r="BT293" i="2"/>
  <c r="BS293" i="2"/>
  <c r="BM293" i="2"/>
  <c r="BL293" i="2"/>
  <c r="BK293" i="2"/>
  <c r="BE293" i="2"/>
  <c r="BB293" i="2"/>
  <c r="AY293" i="2"/>
  <c r="AM293" i="2"/>
  <c r="AD293" i="2"/>
  <c r="AA293" i="2"/>
  <c r="U293" i="2"/>
  <c r="O293" i="2"/>
  <c r="L293" i="2"/>
  <c r="I293" i="2"/>
  <c r="G293" i="2"/>
  <c r="F293" i="2"/>
  <c r="E293" i="2"/>
  <c r="BY293" i="2" s="1"/>
  <c r="C293" i="2"/>
  <c r="B293" i="2"/>
  <c r="DJ292" i="2"/>
  <c r="DF292" i="2"/>
  <c r="DD292" i="2"/>
  <c r="CZ292" i="2"/>
  <c r="CV292" i="2"/>
  <c r="CR292" i="2"/>
  <c r="CP292" i="2"/>
  <c r="CN292" i="2"/>
  <c r="CH292" i="2"/>
  <c r="CF292" i="2"/>
  <c r="CD292" i="2"/>
  <c r="CB292" i="2"/>
  <c r="BZ292" i="2"/>
  <c r="BX292" i="2"/>
  <c r="BU292" i="2"/>
  <c r="BT292" i="2"/>
  <c r="BS292" i="2"/>
  <c r="BM292" i="2"/>
  <c r="BL292" i="2"/>
  <c r="BK292" i="2"/>
  <c r="BE292" i="2"/>
  <c r="BB292" i="2"/>
  <c r="AY292" i="2"/>
  <c r="AM292" i="2"/>
  <c r="AD292" i="2"/>
  <c r="AA292" i="2"/>
  <c r="U292" i="2"/>
  <c r="O292" i="2"/>
  <c r="L292" i="2"/>
  <c r="I292" i="2"/>
  <c r="G292" i="2"/>
  <c r="F292" i="2"/>
  <c r="E292" i="2"/>
  <c r="C292" i="2"/>
  <c r="B292" i="2"/>
  <c r="DJ291" i="2"/>
  <c r="DF291" i="2"/>
  <c r="DD291" i="2"/>
  <c r="CZ291" i="2"/>
  <c r="CV291" i="2"/>
  <c r="CR291" i="2"/>
  <c r="CP291" i="2"/>
  <c r="CN291" i="2"/>
  <c r="CH291" i="2"/>
  <c r="CF291" i="2"/>
  <c r="CD291" i="2"/>
  <c r="CB291" i="2"/>
  <c r="BZ291" i="2"/>
  <c r="BX291" i="2"/>
  <c r="BU291" i="2"/>
  <c r="BT291" i="2"/>
  <c r="BS291" i="2"/>
  <c r="BM291" i="2"/>
  <c r="BL291" i="2"/>
  <c r="BK291" i="2"/>
  <c r="BE291" i="2"/>
  <c r="BB291" i="2"/>
  <c r="AY291" i="2"/>
  <c r="AM291" i="2"/>
  <c r="AD291" i="2"/>
  <c r="AA291" i="2"/>
  <c r="U291" i="2"/>
  <c r="O291" i="2"/>
  <c r="L291" i="2"/>
  <c r="I291" i="2"/>
  <c r="G291" i="2"/>
  <c r="F291" i="2"/>
  <c r="E291" i="2"/>
  <c r="BW291" i="2" s="1"/>
  <c r="C291" i="2"/>
  <c r="B291" i="2"/>
  <c r="DJ290" i="2"/>
  <c r="DF290" i="2"/>
  <c r="DD290" i="2"/>
  <c r="CZ290" i="2"/>
  <c r="CV290" i="2"/>
  <c r="CR290" i="2"/>
  <c r="CP290" i="2"/>
  <c r="CN290" i="2"/>
  <c r="CH290" i="2"/>
  <c r="CF290" i="2"/>
  <c r="CD290" i="2"/>
  <c r="CB290" i="2"/>
  <c r="BZ290" i="2"/>
  <c r="BX290" i="2"/>
  <c r="BU290" i="2"/>
  <c r="BT290" i="2"/>
  <c r="BS290" i="2"/>
  <c r="BM290" i="2"/>
  <c r="BL290" i="2"/>
  <c r="BK290" i="2"/>
  <c r="BE290" i="2"/>
  <c r="BB290" i="2"/>
  <c r="AY290" i="2"/>
  <c r="AM290" i="2"/>
  <c r="AD290" i="2"/>
  <c r="AA290" i="2"/>
  <c r="U290" i="2"/>
  <c r="O290" i="2"/>
  <c r="L290" i="2"/>
  <c r="I290" i="2"/>
  <c r="G290" i="2"/>
  <c r="F290" i="2"/>
  <c r="E290" i="2"/>
  <c r="BV290" i="2" s="1"/>
  <c r="C290" i="2"/>
  <c r="B290" i="2"/>
  <c r="DJ289" i="2"/>
  <c r="DF289" i="2"/>
  <c r="DD289" i="2"/>
  <c r="CZ289" i="2"/>
  <c r="CV289" i="2"/>
  <c r="CR289" i="2"/>
  <c r="CP289" i="2"/>
  <c r="CN289" i="2"/>
  <c r="CH289" i="2"/>
  <c r="CF289" i="2"/>
  <c r="CD289" i="2"/>
  <c r="CB289" i="2"/>
  <c r="BZ289" i="2"/>
  <c r="BX289" i="2"/>
  <c r="BU289" i="2"/>
  <c r="BT289" i="2"/>
  <c r="BS289" i="2"/>
  <c r="BM289" i="2"/>
  <c r="BL289" i="2"/>
  <c r="BK289" i="2"/>
  <c r="BE289" i="2"/>
  <c r="BB289" i="2"/>
  <c r="AY289" i="2"/>
  <c r="AM289" i="2"/>
  <c r="AD289" i="2"/>
  <c r="AA289" i="2"/>
  <c r="U289" i="2"/>
  <c r="O289" i="2"/>
  <c r="L289" i="2"/>
  <c r="I289" i="2"/>
  <c r="G289" i="2"/>
  <c r="F289" i="2"/>
  <c r="E289" i="2"/>
  <c r="BV289" i="2" s="1"/>
  <c r="C289" i="2"/>
  <c r="B289" i="2"/>
  <c r="DJ288" i="2"/>
  <c r="DF288" i="2"/>
  <c r="DD288" i="2"/>
  <c r="CZ288" i="2"/>
  <c r="CV288" i="2"/>
  <c r="CR288" i="2"/>
  <c r="CP288" i="2"/>
  <c r="CN288" i="2"/>
  <c r="CH288" i="2"/>
  <c r="CF288" i="2"/>
  <c r="CD288" i="2"/>
  <c r="CB288" i="2"/>
  <c r="BZ288" i="2"/>
  <c r="BX288" i="2"/>
  <c r="BU288" i="2"/>
  <c r="BT288" i="2"/>
  <c r="BS288" i="2"/>
  <c r="BM288" i="2"/>
  <c r="BL288" i="2"/>
  <c r="BK288" i="2"/>
  <c r="BE288" i="2"/>
  <c r="BB288" i="2"/>
  <c r="AY288" i="2"/>
  <c r="AM288" i="2"/>
  <c r="AD288" i="2"/>
  <c r="AA288" i="2"/>
  <c r="U288" i="2"/>
  <c r="O288" i="2"/>
  <c r="L288" i="2"/>
  <c r="I288" i="2"/>
  <c r="G288" i="2"/>
  <c r="F288" i="2"/>
  <c r="E288" i="2"/>
  <c r="BW288" i="2" s="1"/>
  <c r="C288" i="2"/>
  <c r="B288" i="2"/>
  <c r="DJ287" i="2"/>
  <c r="DF287" i="2"/>
  <c r="DD287" i="2"/>
  <c r="CZ287" i="2"/>
  <c r="CV287" i="2"/>
  <c r="CR287" i="2"/>
  <c r="CP287" i="2"/>
  <c r="CN287" i="2"/>
  <c r="CH287" i="2"/>
  <c r="CF287" i="2"/>
  <c r="CD287" i="2"/>
  <c r="CB287" i="2"/>
  <c r="BZ287" i="2"/>
  <c r="BX287" i="2"/>
  <c r="BU287" i="2"/>
  <c r="BT287" i="2"/>
  <c r="BS287" i="2"/>
  <c r="BM287" i="2"/>
  <c r="BL287" i="2"/>
  <c r="BK287" i="2"/>
  <c r="BE287" i="2"/>
  <c r="BB287" i="2"/>
  <c r="AY287" i="2"/>
  <c r="AM287" i="2"/>
  <c r="AD287" i="2"/>
  <c r="AA287" i="2"/>
  <c r="U287" i="2"/>
  <c r="O287" i="2"/>
  <c r="L287" i="2"/>
  <c r="I287" i="2"/>
  <c r="G287" i="2"/>
  <c r="F287" i="2"/>
  <c r="E287" i="2"/>
  <c r="BW287" i="2" s="1"/>
  <c r="C287" i="2"/>
  <c r="B287" i="2"/>
  <c r="DJ286" i="2"/>
  <c r="DF286" i="2"/>
  <c r="DD286" i="2"/>
  <c r="CZ286" i="2"/>
  <c r="CV286" i="2"/>
  <c r="CR286" i="2"/>
  <c r="CP286" i="2"/>
  <c r="CN286" i="2"/>
  <c r="CH286" i="2"/>
  <c r="CF286" i="2"/>
  <c r="CD286" i="2"/>
  <c r="CB286" i="2"/>
  <c r="BZ286" i="2"/>
  <c r="BX286" i="2"/>
  <c r="BU286" i="2"/>
  <c r="BT286" i="2"/>
  <c r="BS286" i="2"/>
  <c r="BM286" i="2"/>
  <c r="BL286" i="2"/>
  <c r="BK286" i="2"/>
  <c r="BE286" i="2"/>
  <c r="BB286" i="2"/>
  <c r="AY286" i="2"/>
  <c r="AM286" i="2"/>
  <c r="AD286" i="2"/>
  <c r="AA286" i="2"/>
  <c r="U286" i="2"/>
  <c r="O286" i="2"/>
  <c r="L286" i="2"/>
  <c r="I286" i="2"/>
  <c r="G286" i="2"/>
  <c r="F286" i="2"/>
  <c r="E286" i="2"/>
  <c r="BW286" i="2" s="1"/>
  <c r="C286" i="2"/>
  <c r="B286" i="2"/>
  <c r="DJ285" i="2"/>
  <c r="DF285" i="2"/>
  <c r="DD285" i="2"/>
  <c r="CZ285" i="2"/>
  <c r="CV285" i="2"/>
  <c r="CR285" i="2"/>
  <c r="CP285" i="2"/>
  <c r="CN285" i="2"/>
  <c r="CH285" i="2"/>
  <c r="CF285" i="2"/>
  <c r="CD285" i="2"/>
  <c r="CB285" i="2"/>
  <c r="BZ285" i="2"/>
  <c r="BX285" i="2"/>
  <c r="BU285" i="2"/>
  <c r="BT285" i="2"/>
  <c r="BS285" i="2"/>
  <c r="BM285" i="2"/>
  <c r="BL285" i="2"/>
  <c r="BK285" i="2"/>
  <c r="BE285" i="2"/>
  <c r="BB285" i="2"/>
  <c r="AY285" i="2"/>
  <c r="AM285" i="2"/>
  <c r="AD285" i="2"/>
  <c r="AA285" i="2"/>
  <c r="U285" i="2"/>
  <c r="O285" i="2"/>
  <c r="L285" i="2"/>
  <c r="I285" i="2"/>
  <c r="G285" i="2"/>
  <c r="F285" i="2"/>
  <c r="E285" i="2"/>
  <c r="C285" i="2"/>
  <c r="B285" i="2"/>
  <c r="DJ284" i="2"/>
  <c r="DF284" i="2"/>
  <c r="DD284" i="2"/>
  <c r="CZ284" i="2"/>
  <c r="CV284" i="2"/>
  <c r="CR284" i="2"/>
  <c r="CP284" i="2"/>
  <c r="CN284" i="2"/>
  <c r="CH284" i="2"/>
  <c r="CF284" i="2"/>
  <c r="CD284" i="2"/>
  <c r="CB284" i="2"/>
  <c r="BZ284" i="2"/>
  <c r="BX284" i="2"/>
  <c r="BU284" i="2"/>
  <c r="BT284" i="2"/>
  <c r="BS284" i="2"/>
  <c r="BM284" i="2"/>
  <c r="BL284" i="2"/>
  <c r="BK284" i="2"/>
  <c r="BE284" i="2"/>
  <c r="BB284" i="2"/>
  <c r="AY284" i="2"/>
  <c r="AM284" i="2"/>
  <c r="AD284" i="2"/>
  <c r="AA284" i="2"/>
  <c r="U284" i="2"/>
  <c r="O284" i="2"/>
  <c r="L284" i="2"/>
  <c r="I284" i="2"/>
  <c r="G284" i="2"/>
  <c r="F284" i="2"/>
  <c r="E284" i="2"/>
  <c r="C284" i="2"/>
  <c r="B284" i="2"/>
  <c r="DJ283" i="2"/>
  <c r="DF283" i="2"/>
  <c r="DD283" i="2"/>
  <c r="CZ283" i="2"/>
  <c r="CV283" i="2"/>
  <c r="CR283" i="2"/>
  <c r="CP283" i="2"/>
  <c r="CN283" i="2"/>
  <c r="CH283" i="2"/>
  <c r="CF283" i="2"/>
  <c r="CD283" i="2"/>
  <c r="CB283" i="2"/>
  <c r="BZ283" i="2"/>
  <c r="BX283" i="2"/>
  <c r="BU283" i="2"/>
  <c r="BT283" i="2"/>
  <c r="BS283" i="2"/>
  <c r="BM283" i="2"/>
  <c r="BL283" i="2"/>
  <c r="BK283" i="2"/>
  <c r="BE283" i="2"/>
  <c r="BB283" i="2"/>
  <c r="AY283" i="2"/>
  <c r="AM283" i="2"/>
  <c r="AD283" i="2"/>
  <c r="AA283" i="2"/>
  <c r="U283" i="2"/>
  <c r="O283" i="2"/>
  <c r="L283" i="2"/>
  <c r="I283" i="2"/>
  <c r="G283" i="2"/>
  <c r="F283" i="2"/>
  <c r="E283" i="2"/>
  <c r="BV283" i="2" s="1"/>
  <c r="C283" i="2"/>
  <c r="B283" i="2"/>
  <c r="DJ282" i="2"/>
  <c r="DF282" i="2"/>
  <c r="DD282" i="2"/>
  <c r="CZ282" i="2"/>
  <c r="CV282" i="2"/>
  <c r="CR282" i="2"/>
  <c r="CP282" i="2"/>
  <c r="CN282" i="2"/>
  <c r="CH282" i="2"/>
  <c r="CF282" i="2"/>
  <c r="CD282" i="2"/>
  <c r="CB282" i="2"/>
  <c r="BZ282" i="2"/>
  <c r="BX282" i="2"/>
  <c r="BU282" i="2"/>
  <c r="BT282" i="2"/>
  <c r="BS282" i="2"/>
  <c r="BM282" i="2"/>
  <c r="BL282" i="2"/>
  <c r="BK282" i="2"/>
  <c r="BE282" i="2"/>
  <c r="BB282" i="2"/>
  <c r="AY282" i="2"/>
  <c r="AM282" i="2"/>
  <c r="AD282" i="2"/>
  <c r="AA282" i="2"/>
  <c r="U282" i="2"/>
  <c r="O282" i="2"/>
  <c r="L282" i="2"/>
  <c r="I282" i="2"/>
  <c r="G282" i="2"/>
  <c r="F282" i="2"/>
  <c r="E282" i="2"/>
  <c r="BY282" i="2" s="1"/>
  <c r="C282" i="2"/>
  <c r="B282" i="2"/>
  <c r="DJ281" i="2"/>
  <c r="DF281" i="2"/>
  <c r="DD281" i="2"/>
  <c r="CZ281" i="2"/>
  <c r="CV281" i="2"/>
  <c r="CR281" i="2"/>
  <c r="CP281" i="2"/>
  <c r="CN281" i="2"/>
  <c r="CH281" i="2"/>
  <c r="CF281" i="2"/>
  <c r="CD281" i="2"/>
  <c r="CB281" i="2"/>
  <c r="BZ281" i="2"/>
  <c r="BX281" i="2"/>
  <c r="BU281" i="2"/>
  <c r="BT281" i="2"/>
  <c r="BS281" i="2"/>
  <c r="BM281" i="2"/>
  <c r="BL281" i="2"/>
  <c r="BK281" i="2"/>
  <c r="BE281" i="2"/>
  <c r="BB281" i="2"/>
  <c r="AY281" i="2"/>
  <c r="AM281" i="2"/>
  <c r="AD281" i="2"/>
  <c r="AA281" i="2"/>
  <c r="U281" i="2"/>
  <c r="O281" i="2"/>
  <c r="L281" i="2"/>
  <c r="I281" i="2"/>
  <c r="G281" i="2"/>
  <c r="F281" i="2"/>
  <c r="E281" i="2"/>
  <c r="BV281" i="2" s="1"/>
  <c r="C281" i="2"/>
  <c r="B281" i="2"/>
  <c r="DJ280" i="2"/>
  <c r="DF280" i="2"/>
  <c r="DD280" i="2"/>
  <c r="CZ280" i="2"/>
  <c r="CV280" i="2"/>
  <c r="CR280" i="2"/>
  <c r="CP280" i="2"/>
  <c r="CN280" i="2"/>
  <c r="CH280" i="2"/>
  <c r="CF280" i="2"/>
  <c r="CD280" i="2"/>
  <c r="CB280" i="2"/>
  <c r="BZ280" i="2"/>
  <c r="BX280" i="2"/>
  <c r="BU280" i="2"/>
  <c r="BT280" i="2"/>
  <c r="BS280" i="2"/>
  <c r="BM280" i="2"/>
  <c r="BL280" i="2"/>
  <c r="BK280" i="2"/>
  <c r="BE280" i="2"/>
  <c r="BB280" i="2"/>
  <c r="AY280" i="2"/>
  <c r="AM280" i="2"/>
  <c r="AD280" i="2"/>
  <c r="AA280" i="2"/>
  <c r="U280" i="2"/>
  <c r="O280" i="2"/>
  <c r="L280" i="2"/>
  <c r="I280" i="2"/>
  <c r="G280" i="2"/>
  <c r="F280" i="2"/>
  <c r="E280" i="2"/>
  <c r="BY280" i="2" s="1"/>
  <c r="C280" i="2"/>
  <c r="B280" i="2"/>
  <c r="DJ279" i="2"/>
  <c r="DF279" i="2"/>
  <c r="DD279" i="2"/>
  <c r="CZ279" i="2"/>
  <c r="CV279" i="2"/>
  <c r="CR279" i="2"/>
  <c r="CP279" i="2"/>
  <c r="CN279" i="2"/>
  <c r="CH279" i="2"/>
  <c r="CF279" i="2"/>
  <c r="CD279" i="2"/>
  <c r="CB279" i="2"/>
  <c r="BZ279" i="2"/>
  <c r="BX279" i="2"/>
  <c r="BU279" i="2"/>
  <c r="BT279" i="2"/>
  <c r="BS279" i="2"/>
  <c r="BM279" i="2"/>
  <c r="BL279" i="2"/>
  <c r="BK279" i="2"/>
  <c r="BE279" i="2"/>
  <c r="BB279" i="2"/>
  <c r="AY279" i="2"/>
  <c r="AM279" i="2"/>
  <c r="AD279" i="2"/>
  <c r="AA279" i="2"/>
  <c r="U279" i="2"/>
  <c r="O279" i="2"/>
  <c r="L279" i="2"/>
  <c r="I279" i="2"/>
  <c r="G279" i="2"/>
  <c r="F279" i="2"/>
  <c r="E279" i="2"/>
  <c r="BY279" i="2" s="1"/>
  <c r="C279" i="2"/>
  <c r="B279" i="2"/>
  <c r="DJ278" i="2"/>
  <c r="DF278" i="2"/>
  <c r="DD278" i="2"/>
  <c r="CZ278" i="2"/>
  <c r="CV278" i="2"/>
  <c r="CR278" i="2"/>
  <c r="CP278" i="2"/>
  <c r="CN278" i="2"/>
  <c r="CH278" i="2"/>
  <c r="CF278" i="2"/>
  <c r="CD278" i="2"/>
  <c r="CB278" i="2"/>
  <c r="BZ278" i="2"/>
  <c r="BX278" i="2"/>
  <c r="BU278" i="2"/>
  <c r="BT278" i="2"/>
  <c r="BS278" i="2"/>
  <c r="BM278" i="2"/>
  <c r="BL278" i="2"/>
  <c r="BK278" i="2"/>
  <c r="BE278" i="2"/>
  <c r="BB278" i="2"/>
  <c r="AY278" i="2"/>
  <c r="AM278" i="2"/>
  <c r="AD278" i="2"/>
  <c r="AA278" i="2"/>
  <c r="U278" i="2"/>
  <c r="O278" i="2"/>
  <c r="L278" i="2"/>
  <c r="I278" i="2"/>
  <c r="G278" i="2"/>
  <c r="F278" i="2"/>
  <c r="E278" i="2"/>
  <c r="BW278" i="2" s="1"/>
  <c r="C278" i="2"/>
  <c r="B278" i="2"/>
  <c r="DJ277" i="2"/>
  <c r="DF277" i="2"/>
  <c r="DD277" i="2"/>
  <c r="CZ277" i="2"/>
  <c r="CV277" i="2"/>
  <c r="CR277" i="2"/>
  <c r="CP277" i="2"/>
  <c r="CN277" i="2"/>
  <c r="CH277" i="2"/>
  <c r="CF277" i="2"/>
  <c r="CD277" i="2"/>
  <c r="CB277" i="2"/>
  <c r="BZ277" i="2"/>
  <c r="BX277" i="2"/>
  <c r="BU277" i="2"/>
  <c r="BT277" i="2"/>
  <c r="BS277" i="2"/>
  <c r="BM277" i="2"/>
  <c r="BL277" i="2"/>
  <c r="BK277" i="2"/>
  <c r="BE277" i="2"/>
  <c r="BB277" i="2"/>
  <c r="AY277" i="2"/>
  <c r="AM277" i="2"/>
  <c r="AD277" i="2"/>
  <c r="AA277" i="2"/>
  <c r="U277" i="2"/>
  <c r="O277" i="2"/>
  <c r="L277" i="2"/>
  <c r="I277" i="2"/>
  <c r="G277" i="2"/>
  <c r="F277" i="2"/>
  <c r="E277" i="2"/>
  <c r="BV277" i="2" s="1"/>
  <c r="C277" i="2"/>
  <c r="B277" i="2"/>
  <c r="DJ276" i="2"/>
  <c r="DF276" i="2"/>
  <c r="DD276" i="2"/>
  <c r="CZ276" i="2"/>
  <c r="CV276" i="2"/>
  <c r="CR276" i="2"/>
  <c r="CP276" i="2"/>
  <c r="CN276" i="2"/>
  <c r="CH276" i="2"/>
  <c r="CF276" i="2"/>
  <c r="CD276" i="2"/>
  <c r="CB276" i="2"/>
  <c r="BZ276" i="2"/>
  <c r="BX276" i="2"/>
  <c r="BU276" i="2"/>
  <c r="BT276" i="2"/>
  <c r="BS276" i="2"/>
  <c r="BM276" i="2"/>
  <c r="BL276" i="2"/>
  <c r="BK276" i="2"/>
  <c r="BE276" i="2"/>
  <c r="BB276" i="2"/>
  <c r="AY276" i="2"/>
  <c r="AM276" i="2"/>
  <c r="AD276" i="2"/>
  <c r="AA276" i="2"/>
  <c r="U276" i="2"/>
  <c r="O276" i="2"/>
  <c r="L276" i="2"/>
  <c r="I276" i="2"/>
  <c r="G276" i="2"/>
  <c r="F276" i="2"/>
  <c r="E276" i="2"/>
  <c r="BV276" i="2" s="1"/>
  <c r="C276" i="2"/>
  <c r="B276" i="2"/>
  <c r="DJ275" i="2"/>
  <c r="DF275" i="2"/>
  <c r="DD275" i="2"/>
  <c r="CZ275" i="2"/>
  <c r="CV275" i="2"/>
  <c r="CR275" i="2"/>
  <c r="CP275" i="2"/>
  <c r="CN275" i="2"/>
  <c r="CH275" i="2"/>
  <c r="CF275" i="2"/>
  <c r="CD275" i="2"/>
  <c r="CB275" i="2"/>
  <c r="BZ275" i="2"/>
  <c r="BX275" i="2"/>
  <c r="BU275" i="2"/>
  <c r="BT275" i="2"/>
  <c r="BS275" i="2"/>
  <c r="BM275" i="2"/>
  <c r="BL275" i="2"/>
  <c r="BK275" i="2"/>
  <c r="BE275" i="2"/>
  <c r="BB275" i="2"/>
  <c r="AY275" i="2"/>
  <c r="AM275" i="2"/>
  <c r="AD275" i="2"/>
  <c r="AA275" i="2"/>
  <c r="U275" i="2"/>
  <c r="O275" i="2"/>
  <c r="L275" i="2"/>
  <c r="I275" i="2"/>
  <c r="G275" i="2"/>
  <c r="F275" i="2"/>
  <c r="E275" i="2"/>
  <c r="BY275" i="2" s="1"/>
  <c r="C275" i="2"/>
  <c r="B275" i="2"/>
  <c r="DJ274" i="2"/>
  <c r="DF274" i="2"/>
  <c r="DD274" i="2"/>
  <c r="CZ274" i="2"/>
  <c r="CV274" i="2"/>
  <c r="CR274" i="2"/>
  <c r="CP274" i="2"/>
  <c r="CN274" i="2"/>
  <c r="CH274" i="2"/>
  <c r="CF274" i="2"/>
  <c r="CD274" i="2"/>
  <c r="CB274" i="2"/>
  <c r="BZ274" i="2"/>
  <c r="BX274" i="2"/>
  <c r="BU274" i="2"/>
  <c r="BT274" i="2"/>
  <c r="BS274" i="2"/>
  <c r="BM274" i="2"/>
  <c r="BL274" i="2"/>
  <c r="BK274" i="2"/>
  <c r="BE274" i="2"/>
  <c r="BB274" i="2"/>
  <c r="AY274" i="2"/>
  <c r="AM274" i="2"/>
  <c r="AD274" i="2"/>
  <c r="AA274" i="2"/>
  <c r="U274" i="2"/>
  <c r="O274" i="2"/>
  <c r="L274" i="2"/>
  <c r="I274" i="2"/>
  <c r="G274" i="2"/>
  <c r="F274" i="2"/>
  <c r="E274" i="2"/>
  <c r="BY274" i="2" s="1"/>
  <c r="C274" i="2"/>
  <c r="B274" i="2"/>
  <c r="DJ273" i="2"/>
  <c r="DF273" i="2"/>
  <c r="DD273" i="2"/>
  <c r="CZ273" i="2"/>
  <c r="CV273" i="2"/>
  <c r="CR273" i="2"/>
  <c r="CP273" i="2"/>
  <c r="CN273" i="2"/>
  <c r="CH273" i="2"/>
  <c r="CF273" i="2"/>
  <c r="CD273" i="2"/>
  <c r="CB273" i="2"/>
  <c r="BZ273" i="2"/>
  <c r="BX273" i="2"/>
  <c r="BU273" i="2"/>
  <c r="BT273" i="2"/>
  <c r="BS273" i="2"/>
  <c r="BM273" i="2"/>
  <c r="BL273" i="2"/>
  <c r="BK273" i="2"/>
  <c r="BE273" i="2"/>
  <c r="BB273" i="2"/>
  <c r="AY273" i="2"/>
  <c r="AM273" i="2"/>
  <c r="AD273" i="2"/>
  <c r="AA273" i="2"/>
  <c r="U273" i="2"/>
  <c r="O273" i="2"/>
  <c r="L273" i="2"/>
  <c r="I273" i="2"/>
  <c r="G273" i="2"/>
  <c r="F273" i="2"/>
  <c r="E273" i="2"/>
  <c r="C273" i="2"/>
  <c r="B273" i="2"/>
  <c r="DJ272" i="2"/>
  <c r="DF272" i="2"/>
  <c r="DD272" i="2"/>
  <c r="CZ272" i="2"/>
  <c r="CV272" i="2"/>
  <c r="CR272" i="2"/>
  <c r="CP272" i="2"/>
  <c r="CN272" i="2"/>
  <c r="CH272" i="2"/>
  <c r="CF272" i="2"/>
  <c r="CD272" i="2"/>
  <c r="CB272" i="2"/>
  <c r="BZ272" i="2"/>
  <c r="BX272" i="2"/>
  <c r="BU272" i="2"/>
  <c r="BT272" i="2"/>
  <c r="BS272" i="2"/>
  <c r="BM272" i="2"/>
  <c r="BL272" i="2"/>
  <c r="BK272" i="2"/>
  <c r="BE272" i="2"/>
  <c r="BB272" i="2"/>
  <c r="AY272" i="2"/>
  <c r="AM272" i="2"/>
  <c r="AD272" i="2"/>
  <c r="AA272" i="2"/>
  <c r="U272" i="2"/>
  <c r="O272" i="2"/>
  <c r="L272" i="2"/>
  <c r="I272" i="2"/>
  <c r="G272" i="2"/>
  <c r="F272" i="2"/>
  <c r="E272" i="2"/>
  <c r="BY272" i="2" s="1"/>
  <c r="C272" i="2"/>
  <c r="B272" i="2"/>
  <c r="DJ271" i="2"/>
  <c r="DF271" i="2"/>
  <c r="DD271" i="2"/>
  <c r="CZ271" i="2"/>
  <c r="CV271" i="2"/>
  <c r="CR271" i="2"/>
  <c r="CP271" i="2"/>
  <c r="CN271" i="2"/>
  <c r="CH271" i="2"/>
  <c r="CF271" i="2"/>
  <c r="CD271" i="2"/>
  <c r="CB271" i="2"/>
  <c r="BZ271" i="2"/>
  <c r="BX271" i="2"/>
  <c r="BU271" i="2"/>
  <c r="BT271" i="2"/>
  <c r="BS271" i="2"/>
  <c r="BM271" i="2"/>
  <c r="BL271" i="2"/>
  <c r="BK271" i="2"/>
  <c r="BE271" i="2"/>
  <c r="BB271" i="2"/>
  <c r="AY271" i="2"/>
  <c r="AM271" i="2"/>
  <c r="AD271" i="2"/>
  <c r="AA271" i="2"/>
  <c r="U271" i="2"/>
  <c r="O271" i="2"/>
  <c r="L271" i="2"/>
  <c r="I271" i="2"/>
  <c r="G271" i="2"/>
  <c r="F271" i="2"/>
  <c r="E271" i="2"/>
  <c r="C271" i="2"/>
  <c r="B271" i="2"/>
  <c r="DJ270" i="2"/>
  <c r="DF270" i="2"/>
  <c r="DD270" i="2"/>
  <c r="CZ270" i="2"/>
  <c r="CV270" i="2"/>
  <c r="CR270" i="2"/>
  <c r="CP270" i="2"/>
  <c r="CN270" i="2"/>
  <c r="CH270" i="2"/>
  <c r="CF270" i="2"/>
  <c r="CD270" i="2"/>
  <c r="CB270" i="2"/>
  <c r="BZ270" i="2"/>
  <c r="BX270" i="2"/>
  <c r="BU270" i="2"/>
  <c r="BT270" i="2"/>
  <c r="BS270" i="2"/>
  <c r="BM270" i="2"/>
  <c r="BL270" i="2"/>
  <c r="BK270" i="2"/>
  <c r="BE270" i="2"/>
  <c r="BB270" i="2"/>
  <c r="AY270" i="2"/>
  <c r="AM270" i="2"/>
  <c r="AD270" i="2"/>
  <c r="AA270" i="2"/>
  <c r="U270" i="2"/>
  <c r="O270" i="2"/>
  <c r="L270" i="2"/>
  <c r="I270" i="2"/>
  <c r="G270" i="2"/>
  <c r="F270" i="2"/>
  <c r="E270" i="2"/>
  <c r="C270" i="2"/>
  <c r="B270" i="2"/>
  <c r="DJ269" i="2"/>
  <c r="DF269" i="2"/>
  <c r="DD269" i="2"/>
  <c r="CZ269" i="2"/>
  <c r="CV269" i="2"/>
  <c r="CR269" i="2"/>
  <c r="CP269" i="2"/>
  <c r="CN269" i="2"/>
  <c r="CH269" i="2"/>
  <c r="CF269" i="2"/>
  <c r="CD269" i="2"/>
  <c r="CB269" i="2"/>
  <c r="BZ269" i="2"/>
  <c r="BX269" i="2"/>
  <c r="BU269" i="2"/>
  <c r="BT269" i="2"/>
  <c r="BS269" i="2"/>
  <c r="BM269" i="2"/>
  <c r="BL269" i="2"/>
  <c r="BK269" i="2"/>
  <c r="BE269" i="2"/>
  <c r="BB269" i="2"/>
  <c r="AY269" i="2"/>
  <c r="AM269" i="2"/>
  <c r="AD269" i="2"/>
  <c r="AA269" i="2"/>
  <c r="U269" i="2"/>
  <c r="O269" i="2"/>
  <c r="L269" i="2"/>
  <c r="I269" i="2"/>
  <c r="G269" i="2"/>
  <c r="F269" i="2"/>
  <c r="E269" i="2"/>
  <c r="BY269" i="2" s="1"/>
  <c r="C269" i="2"/>
  <c r="B269" i="2"/>
  <c r="DJ268" i="2"/>
  <c r="DF268" i="2"/>
  <c r="DD268" i="2"/>
  <c r="CZ268" i="2"/>
  <c r="CV268" i="2"/>
  <c r="CR268" i="2"/>
  <c r="CP268" i="2"/>
  <c r="CN268" i="2"/>
  <c r="CH268" i="2"/>
  <c r="CF268" i="2"/>
  <c r="CD268" i="2"/>
  <c r="CB268" i="2"/>
  <c r="BZ268" i="2"/>
  <c r="BX268" i="2"/>
  <c r="BU268" i="2"/>
  <c r="BT268" i="2"/>
  <c r="BS268" i="2"/>
  <c r="BM268" i="2"/>
  <c r="BL268" i="2"/>
  <c r="BK268" i="2"/>
  <c r="BE268" i="2"/>
  <c r="BB268" i="2"/>
  <c r="AY268" i="2"/>
  <c r="AM268" i="2"/>
  <c r="AD268" i="2"/>
  <c r="AA268" i="2"/>
  <c r="U268" i="2"/>
  <c r="O268" i="2"/>
  <c r="L268" i="2"/>
  <c r="I268" i="2"/>
  <c r="G268" i="2"/>
  <c r="F268" i="2"/>
  <c r="E268" i="2"/>
  <c r="BV268" i="2" s="1"/>
  <c r="C268" i="2"/>
  <c r="B268" i="2"/>
  <c r="DJ267" i="2"/>
  <c r="DF267" i="2"/>
  <c r="DD267" i="2"/>
  <c r="CZ267" i="2"/>
  <c r="CV267" i="2"/>
  <c r="CR267" i="2"/>
  <c r="CP267" i="2"/>
  <c r="CN267" i="2"/>
  <c r="CH267" i="2"/>
  <c r="CF267" i="2"/>
  <c r="CD267" i="2"/>
  <c r="CB267" i="2"/>
  <c r="BZ267" i="2"/>
  <c r="BX267" i="2"/>
  <c r="BU267" i="2"/>
  <c r="BT267" i="2"/>
  <c r="BS267" i="2"/>
  <c r="BM267" i="2"/>
  <c r="BL267" i="2"/>
  <c r="BK267" i="2"/>
  <c r="BE267" i="2"/>
  <c r="BB267" i="2"/>
  <c r="AY267" i="2"/>
  <c r="AM267" i="2"/>
  <c r="AD267" i="2"/>
  <c r="AA267" i="2"/>
  <c r="U267" i="2"/>
  <c r="O267" i="2"/>
  <c r="L267" i="2"/>
  <c r="I267" i="2"/>
  <c r="G267" i="2"/>
  <c r="F267" i="2"/>
  <c r="E267" i="2"/>
  <c r="BY267" i="2" s="1"/>
  <c r="C267" i="2"/>
  <c r="B267" i="2"/>
  <c r="DJ266" i="2"/>
  <c r="DF266" i="2"/>
  <c r="DD266" i="2"/>
  <c r="CZ266" i="2"/>
  <c r="CV266" i="2"/>
  <c r="CR266" i="2"/>
  <c r="CP266" i="2"/>
  <c r="CN266" i="2"/>
  <c r="CH266" i="2"/>
  <c r="CF266" i="2"/>
  <c r="CD266" i="2"/>
  <c r="CB266" i="2"/>
  <c r="BZ266" i="2"/>
  <c r="BX266" i="2"/>
  <c r="BU266" i="2"/>
  <c r="BT266" i="2"/>
  <c r="BS266" i="2"/>
  <c r="BM266" i="2"/>
  <c r="BL266" i="2"/>
  <c r="BK266" i="2"/>
  <c r="BE266" i="2"/>
  <c r="BB266" i="2"/>
  <c r="AY266" i="2"/>
  <c r="AM266" i="2"/>
  <c r="AD266" i="2"/>
  <c r="AA266" i="2"/>
  <c r="U266" i="2"/>
  <c r="O266" i="2"/>
  <c r="L266" i="2"/>
  <c r="I266" i="2"/>
  <c r="G266" i="2"/>
  <c r="F266" i="2"/>
  <c r="E266" i="2"/>
  <c r="BW266" i="2" s="1"/>
  <c r="C266" i="2"/>
  <c r="B266" i="2"/>
  <c r="DJ265" i="2"/>
  <c r="DF265" i="2"/>
  <c r="DD265" i="2"/>
  <c r="CZ265" i="2"/>
  <c r="CV265" i="2"/>
  <c r="CR265" i="2"/>
  <c r="CP265" i="2"/>
  <c r="CN265" i="2"/>
  <c r="CH265" i="2"/>
  <c r="CF265" i="2"/>
  <c r="CD265" i="2"/>
  <c r="CB265" i="2"/>
  <c r="BZ265" i="2"/>
  <c r="BX265" i="2"/>
  <c r="BU265" i="2"/>
  <c r="BT265" i="2"/>
  <c r="BS265" i="2"/>
  <c r="BM265" i="2"/>
  <c r="BL265" i="2"/>
  <c r="BK265" i="2"/>
  <c r="BE265" i="2"/>
  <c r="BB265" i="2"/>
  <c r="AY265" i="2"/>
  <c r="AM265" i="2"/>
  <c r="AD265" i="2"/>
  <c r="AA265" i="2"/>
  <c r="U265" i="2"/>
  <c r="O265" i="2"/>
  <c r="R265" i="2" s="1"/>
  <c r="L265" i="2"/>
  <c r="I265" i="2"/>
  <c r="G265" i="2"/>
  <c r="F265" i="2"/>
  <c r="E265" i="2"/>
  <c r="C265" i="2"/>
  <c r="B265" i="2"/>
  <c r="DJ264" i="2"/>
  <c r="DF264" i="2"/>
  <c r="DD264" i="2"/>
  <c r="CZ264" i="2"/>
  <c r="CV264" i="2"/>
  <c r="CR264" i="2"/>
  <c r="CP264" i="2"/>
  <c r="CN264" i="2"/>
  <c r="CH264" i="2"/>
  <c r="CF264" i="2"/>
  <c r="CD264" i="2"/>
  <c r="CB264" i="2"/>
  <c r="BZ264" i="2"/>
  <c r="BX264" i="2"/>
  <c r="BU264" i="2"/>
  <c r="BT264" i="2"/>
  <c r="BS264" i="2"/>
  <c r="BM264" i="2"/>
  <c r="BL264" i="2"/>
  <c r="BK264" i="2"/>
  <c r="BE264" i="2"/>
  <c r="BB264" i="2"/>
  <c r="AY264" i="2"/>
  <c r="AM264" i="2"/>
  <c r="AD264" i="2"/>
  <c r="AA264" i="2"/>
  <c r="U264" i="2"/>
  <c r="O264" i="2"/>
  <c r="L264" i="2"/>
  <c r="I264" i="2"/>
  <c r="G264" i="2"/>
  <c r="F264" i="2"/>
  <c r="E264" i="2"/>
  <c r="BV264" i="2" s="1"/>
  <c r="C264" i="2"/>
  <c r="B264" i="2"/>
  <c r="DJ263" i="2"/>
  <c r="DF263" i="2"/>
  <c r="DD263" i="2"/>
  <c r="CZ263" i="2"/>
  <c r="CV263" i="2"/>
  <c r="CR263" i="2"/>
  <c r="CP263" i="2"/>
  <c r="CN263" i="2"/>
  <c r="CH263" i="2"/>
  <c r="CF263" i="2"/>
  <c r="CD263" i="2"/>
  <c r="CB263" i="2"/>
  <c r="BZ263" i="2"/>
  <c r="BX263" i="2"/>
  <c r="BU263" i="2"/>
  <c r="BT263" i="2"/>
  <c r="BS263" i="2"/>
  <c r="BM263" i="2"/>
  <c r="BL263" i="2"/>
  <c r="BK263" i="2"/>
  <c r="BE263" i="2"/>
  <c r="BB263" i="2"/>
  <c r="AY263" i="2"/>
  <c r="AM263" i="2"/>
  <c r="AD263" i="2"/>
  <c r="AA263" i="2"/>
  <c r="U263" i="2"/>
  <c r="O263" i="2"/>
  <c r="L263" i="2"/>
  <c r="I263" i="2"/>
  <c r="G263" i="2"/>
  <c r="F263" i="2"/>
  <c r="E263" i="2"/>
  <c r="BY263" i="2" s="1"/>
  <c r="C263" i="2"/>
  <c r="B263" i="2"/>
  <c r="DJ262" i="2"/>
  <c r="DF262" i="2"/>
  <c r="DD262" i="2"/>
  <c r="CZ262" i="2"/>
  <c r="CV262" i="2"/>
  <c r="CR262" i="2"/>
  <c r="CP262" i="2"/>
  <c r="CN262" i="2"/>
  <c r="CH262" i="2"/>
  <c r="CF262" i="2"/>
  <c r="CD262" i="2"/>
  <c r="CB262" i="2"/>
  <c r="BZ262" i="2"/>
  <c r="BX262" i="2"/>
  <c r="BU262" i="2"/>
  <c r="BT262" i="2"/>
  <c r="BS262" i="2"/>
  <c r="BM262" i="2"/>
  <c r="BL262" i="2"/>
  <c r="BK262" i="2"/>
  <c r="BE262" i="2"/>
  <c r="BB262" i="2"/>
  <c r="AY262" i="2"/>
  <c r="AM262" i="2"/>
  <c r="AD262" i="2"/>
  <c r="AA262" i="2"/>
  <c r="U262" i="2"/>
  <c r="O262" i="2"/>
  <c r="L262" i="2"/>
  <c r="I262" i="2"/>
  <c r="G262" i="2"/>
  <c r="F262" i="2"/>
  <c r="E262" i="2"/>
  <c r="C262" i="2"/>
  <c r="B262" i="2"/>
  <c r="DJ261" i="2"/>
  <c r="DF261" i="2"/>
  <c r="DD261" i="2"/>
  <c r="CZ261" i="2"/>
  <c r="CV261" i="2"/>
  <c r="CR261" i="2"/>
  <c r="CP261" i="2"/>
  <c r="CN261" i="2"/>
  <c r="CH261" i="2"/>
  <c r="CF261" i="2"/>
  <c r="CD261" i="2"/>
  <c r="CB261" i="2"/>
  <c r="BZ261" i="2"/>
  <c r="BX261" i="2"/>
  <c r="BU261" i="2"/>
  <c r="BT261" i="2"/>
  <c r="BS261" i="2"/>
  <c r="BM261" i="2"/>
  <c r="BL261" i="2"/>
  <c r="BK261" i="2"/>
  <c r="BE261" i="2"/>
  <c r="BB261" i="2"/>
  <c r="AY261" i="2"/>
  <c r="AM261" i="2"/>
  <c r="AD261" i="2"/>
  <c r="AA261" i="2"/>
  <c r="U261" i="2"/>
  <c r="O261" i="2"/>
  <c r="L261" i="2"/>
  <c r="I261" i="2"/>
  <c r="G261" i="2"/>
  <c r="F261" i="2"/>
  <c r="E261" i="2"/>
  <c r="C261" i="2"/>
  <c r="B261" i="2"/>
  <c r="DJ260" i="2"/>
  <c r="DF260" i="2"/>
  <c r="DD260" i="2"/>
  <c r="CZ260" i="2"/>
  <c r="CV260" i="2"/>
  <c r="CR260" i="2"/>
  <c r="CP260" i="2"/>
  <c r="CN260" i="2"/>
  <c r="CH260" i="2"/>
  <c r="CF260" i="2"/>
  <c r="CD260" i="2"/>
  <c r="CB260" i="2"/>
  <c r="BZ260" i="2"/>
  <c r="BX260" i="2"/>
  <c r="BU260" i="2"/>
  <c r="BT260" i="2"/>
  <c r="BS260" i="2"/>
  <c r="BM260" i="2"/>
  <c r="BL260" i="2"/>
  <c r="BK260" i="2"/>
  <c r="BE260" i="2"/>
  <c r="BB260" i="2"/>
  <c r="AY260" i="2"/>
  <c r="AM260" i="2"/>
  <c r="AD260" i="2"/>
  <c r="AA260" i="2"/>
  <c r="U260" i="2"/>
  <c r="O260" i="2"/>
  <c r="L260" i="2"/>
  <c r="I260" i="2"/>
  <c r="G260" i="2"/>
  <c r="F260" i="2"/>
  <c r="E260" i="2"/>
  <c r="BV260" i="2" s="1"/>
  <c r="C260" i="2"/>
  <c r="B260" i="2"/>
  <c r="DJ259" i="2"/>
  <c r="DF259" i="2"/>
  <c r="DD259" i="2"/>
  <c r="CZ259" i="2"/>
  <c r="CV259" i="2"/>
  <c r="CR259" i="2"/>
  <c r="CP259" i="2"/>
  <c r="CN259" i="2"/>
  <c r="CH259" i="2"/>
  <c r="CF259" i="2"/>
  <c r="CD259" i="2"/>
  <c r="CB259" i="2"/>
  <c r="BZ259" i="2"/>
  <c r="BX259" i="2"/>
  <c r="BU259" i="2"/>
  <c r="BT259" i="2"/>
  <c r="BS259" i="2"/>
  <c r="BM259" i="2"/>
  <c r="BL259" i="2"/>
  <c r="BK259" i="2"/>
  <c r="BE259" i="2"/>
  <c r="BB259" i="2"/>
  <c r="AY259" i="2"/>
  <c r="AM259" i="2"/>
  <c r="AD259" i="2"/>
  <c r="AA259" i="2"/>
  <c r="U259" i="2"/>
  <c r="O259" i="2"/>
  <c r="L259" i="2"/>
  <c r="I259" i="2"/>
  <c r="G259" i="2"/>
  <c r="F259" i="2"/>
  <c r="E259" i="2"/>
  <c r="C259" i="2"/>
  <c r="B259" i="2"/>
  <c r="DJ258" i="2"/>
  <c r="DF258" i="2"/>
  <c r="DD258" i="2"/>
  <c r="CZ258" i="2"/>
  <c r="CV258" i="2"/>
  <c r="CR258" i="2"/>
  <c r="CP258" i="2"/>
  <c r="CN258" i="2"/>
  <c r="CH258" i="2"/>
  <c r="CF258" i="2"/>
  <c r="CD258" i="2"/>
  <c r="CB258" i="2"/>
  <c r="BZ258" i="2"/>
  <c r="BX258" i="2"/>
  <c r="BU258" i="2"/>
  <c r="BT258" i="2"/>
  <c r="BS258" i="2"/>
  <c r="BM258" i="2"/>
  <c r="BL258" i="2"/>
  <c r="BK258" i="2"/>
  <c r="BE258" i="2"/>
  <c r="BB258" i="2"/>
  <c r="AY258" i="2"/>
  <c r="AM258" i="2"/>
  <c r="AD258" i="2"/>
  <c r="AA258" i="2"/>
  <c r="U258" i="2"/>
  <c r="O258" i="2"/>
  <c r="L258" i="2"/>
  <c r="I258" i="2"/>
  <c r="G258" i="2"/>
  <c r="F258" i="2"/>
  <c r="E258" i="2"/>
  <c r="BV258" i="2" s="1"/>
  <c r="C258" i="2"/>
  <c r="B258" i="2"/>
  <c r="DJ257" i="2"/>
  <c r="DF257" i="2"/>
  <c r="DH257" i="2" s="1"/>
  <c r="DD257" i="2"/>
  <c r="CZ257" i="2"/>
  <c r="CV257" i="2"/>
  <c r="CR257" i="2"/>
  <c r="CP257" i="2"/>
  <c r="CN257" i="2"/>
  <c r="CH257" i="2"/>
  <c r="CF257" i="2"/>
  <c r="CD257" i="2"/>
  <c r="CB257" i="2"/>
  <c r="BZ257" i="2"/>
  <c r="BX257" i="2"/>
  <c r="BU257" i="2"/>
  <c r="BT257" i="2"/>
  <c r="BS257" i="2"/>
  <c r="BM257" i="2"/>
  <c r="BL257" i="2"/>
  <c r="BK257" i="2"/>
  <c r="BE257" i="2"/>
  <c r="BB257" i="2"/>
  <c r="AY257" i="2"/>
  <c r="AM257" i="2"/>
  <c r="AD257" i="2"/>
  <c r="AA257" i="2"/>
  <c r="U257" i="2"/>
  <c r="O257" i="2"/>
  <c r="L257" i="2"/>
  <c r="I257" i="2"/>
  <c r="G257" i="2"/>
  <c r="F257" i="2"/>
  <c r="E257" i="2"/>
  <c r="BV257" i="2" s="1"/>
  <c r="C257" i="2"/>
  <c r="B257" i="2"/>
  <c r="DJ256" i="2"/>
  <c r="DF256" i="2"/>
  <c r="DD256" i="2"/>
  <c r="CZ256" i="2"/>
  <c r="CV256" i="2"/>
  <c r="CR256" i="2"/>
  <c r="CP256" i="2"/>
  <c r="CN256" i="2"/>
  <c r="CH256" i="2"/>
  <c r="CF256" i="2"/>
  <c r="CD256" i="2"/>
  <c r="CB256" i="2"/>
  <c r="BZ256" i="2"/>
  <c r="BX256" i="2"/>
  <c r="BU256" i="2"/>
  <c r="BT256" i="2"/>
  <c r="BS256" i="2"/>
  <c r="BM256" i="2"/>
  <c r="BL256" i="2"/>
  <c r="BK256" i="2"/>
  <c r="BE256" i="2"/>
  <c r="BB256" i="2"/>
  <c r="AY256" i="2"/>
  <c r="AM256" i="2"/>
  <c r="AD256" i="2"/>
  <c r="AA256" i="2"/>
  <c r="U256" i="2"/>
  <c r="O256" i="2"/>
  <c r="L256" i="2"/>
  <c r="I256" i="2"/>
  <c r="G256" i="2"/>
  <c r="F256" i="2"/>
  <c r="E256" i="2"/>
  <c r="BV256" i="2" s="1"/>
  <c r="C256" i="2"/>
  <c r="B256" i="2"/>
  <c r="DJ255" i="2"/>
  <c r="DF255" i="2"/>
  <c r="DD255" i="2"/>
  <c r="CZ255" i="2"/>
  <c r="CV255" i="2"/>
  <c r="CR255" i="2"/>
  <c r="CP255" i="2"/>
  <c r="CN255" i="2"/>
  <c r="CH255" i="2"/>
  <c r="CF255" i="2"/>
  <c r="CD255" i="2"/>
  <c r="CB255" i="2"/>
  <c r="BZ255" i="2"/>
  <c r="BX255" i="2"/>
  <c r="BU255" i="2"/>
  <c r="BT255" i="2"/>
  <c r="BS255" i="2"/>
  <c r="BM255" i="2"/>
  <c r="BL255" i="2"/>
  <c r="BK255" i="2"/>
  <c r="BE255" i="2"/>
  <c r="BB255" i="2"/>
  <c r="AY255" i="2"/>
  <c r="AM255" i="2"/>
  <c r="AD255" i="2"/>
  <c r="AA255" i="2"/>
  <c r="U255" i="2"/>
  <c r="O255" i="2"/>
  <c r="L255" i="2"/>
  <c r="I255" i="2"/>
  <c r="G255" i="2"/>
  <c r="F255" i="2"/>
  <c r="E255" i="2"/>
  <c r="C255" i="2"/>
  <c r="B255" i="2"/>
  <c r="DJ254" i="2"/>
  <c r="DF254" i="2"/>
  <c r="DD254" i="2"/>
  <c r="CZ254" i="2"/>
  <c r="CV254" i="2"/>
  <c r="CR254" i="2"/>
  <c r="CP254" i="2"/>
  <c r="CN254" i="2"/>
  <c r="CH254" i="2"/>
  <c r="CF254" i="2"/>
  <c r="CD254" i="2"/>
  <c r="CB254" i="2"/>
  <c r="BZ254" i="2"/>
  <c r="BX254" i="2"/>
  <c r="BU254" i="2"/>
  <c r="BT254" i="2"/>
  <c r="BS254" i="2"/>
  <c r="BM254" i="2"/>
  <c r="BL254" i="2"/>
  <c r="BK254" i="2"/>
  <c r="BE254" i="2"/>
  <c r="BB254" i="2"/>
  <c r="AY254" i="2"/>
  <c r="AM254" i="2"/>
  <c r="AD254" i="2"/>
  <c r="AA254" i="2"/>
  <c r="U254" i="2"/>
  <c r="O254" i="2"/>
  <c r="L254" i="2"/>
  <c r="I254" i="2"/>
  <c r="G254" i="2"/>
  <c r="F254" i="2"/>
  <c r="E254" i="2"/>
  <c r="BV254" i="2" s="1"/>
  <c r="C254" i="2"/>
  <c r="B254" i="2"/>
  <c r="DJ253" i="2"/>
  <c r="DF253" i="2"/>
  <c r="DD253" i="2"/>
  <c r="CZ253" i="2"/>
  <c r="CV253" i="2"/>
  <c r="CR253" i="2"/>
  <c r="CP253" i="2"/>
  <c r="CN253" i="2"/>
  <c r="CH253" i="2"/>
  <c r="CF253" i="2"/>
  <c r="CD253" i="2"/>
  <c r="CB253" i="2"/>
  <c r="BZ253" i="2"/>
  <c r="BX253" i="2"/>
  <c r="BU253" i="2"/>
  <c r="BT253" i="2"/>
  <c r="BS253" i="2"/>
  <c r="BM253" i="2"/>
  <c r="BL253" i="2"/>
  <c r="BK253" i="2"/>
  <c r="BE253" i="2"/>
  <c r="BB253" i="2"/>
  <c r="AY253" i="2"/>
  <c r="AM253" i="2"/>
  <c r="AD253" i="2"/>
  <c r="AA253" i="2"/>
  <c r="U253" i="2"/>
  <c r="O253" i="2"/>
  <c r="L253" i="2"/>
  <c r="I253" i="2"/>
  <c r="G253" i="2"/>
  <c r="F253" i="2"/>
  <c r="E253" i="2"/>
  <c r="BV253" i="2" s="1"/>
  <c r="C253" i="2"/>
  <c r="B253" i="2"/>
  <c r="DJ252" i="2"/>
  <c r="DF252" i="2"/>
  <c r="DD252" i="2"/>
  <c r="CZ252" i="2"/>
  <c r="CV252" i="2"/>
  <c r="CR252" i="2"/>
  <c r="CP252" i="2"/>
  <c r="CN252" i="2"/>
  <c r="CH252" i="2"/>
  <c r="CF252" i="2"/>
  <c r="CD252" i="2"/>
  <c r="CB252" i="2"/>
  <c r="BZ252" i="2"/>
  <c r="BX252" i="2"/>
  <c r="BU252" i="2"/>
  <c r="BT252" i="2"/>
  <c r="BS252" i="2"/>
  <c r="BM252" i="2"/>
  <c r="BL252" i="2"/>
  <c r="BK252" i="2"/>
  <c r="BE252" i="2"/>
  <c r="BB252" i="2"/>
  <c r="AY252" i="2"/>
  <c r="AM252" i="2"/>
  <c r="AD252" i="2"/>
  <c r="AA252" i="2"/>
  <c r="U252" i="2"/>
  <c r="O252" i="2"/>
  <c r="L252" i="2"/>
  <c r="I252" i="2"/>
  <c r="G252" i="2"/>
  <c r="F252" i="2"/>
  <c r="E252" i="2"/>
  <c r="BV252" i="2" s="1"/>
  <c r="C252" i="2"/>
  <c r="B252" i="2"/>
  <c r="DJ251" i="2"/>
  <c r="DF251" i="2"/>
  <c r="DD251" i="2"/>
  <c r="CZ251" i="2"/>
  <c r="CV251" i="2"/>
  <c r="CR251" i="2"/>
  <c r="CP251" i="2"/>
  <c r="CN251" i="2"/>
  <c r="CH251" i="2"/>
  <c r="CF251" i="2"/>
  <c r="CD251" i="2"/>
  <c r="CB251" i="2"/>
  <c r="BZ251" i="2"/>
  <c r="BX251" i="2"/>
  <c r="BU251" i="2"/>
  <c r="BT251" i="2"/>
  <c r="BS251" i="2"/>
  <c r="BM251" i="2"/>
  <c r="BL251" i="2"/>
  <c r="BK251" i="2"/>
  <c r="BE251" i="2"/>
  <c r="BB251" i="2"/>
  <c r="AY251" i="2"/>
  <c r="AM251" i="2"/>
  <c r="AD251" i="2"/>
  <c r="AA251" i="2"/>
  <c r="U251" i="2"/>
  <c r="O251" i="2"/>
  <c r="L251" i="2"/>
  <c r="I251" i="2"/>
  <c r="G251" i="2"/>
  <c r="F251" i="2"/>
  <c r="E251" i="2"/>
  <c r="C251" i="2"/>
  <c r="B251" i="2"/>
  <c r="DJ250" i="2"/>
  <c r="DF250" i="2"/>
  <c r="DD250" i="2"/>
  <c r="CZ250" i="2"/>
  <c r="CV250" i="2"/>
  <c r="CR250" i="2"/>
  <c r="CP250" i="2"/>
  <c r="CN250" i="2"/>
  <c r="CH250" i="2"/>
  <c r="CF250" i="2"/>
  <c r="CD250" i="2"/>
  <c r="CB250" i="2"/>
  <c r="BZ250" i="2"/>
  <c r="BX250" i="2"/>
  <c r="BU250" i="2"/>
  <c r="BT250" i="2"/>
  <c r="BS250" i="2"/>
  <c r="BM250" i="2"/>
  <c r="BL250" i="2"/>
  <c r="BK250" i="2"/>
  <c r="BE250" i="2"/>
  <c r="BB250" i="2"/>
  <c r="AY250" i="2"/>
  <c r="AM250" i="2"/>
  <c r="AD250" i="2"/>
  <c r="AA250" i="2"/>
  <c r="U250" i="2"/>
  <c r="O250" i="2"/>
  <c r="L250" i="2"/>
  <c r="I250" i="2"/>
  <c r="G250" i="2"/>
  <c r="F250" i="2"/>
  <c r="E250" i="2"/>
  <c r="BV250" i="2" s="1"/>
  <c r="C250" i="2"/>
  <c r="B250" i="2"/>
  <c r="DJ249" i="2"/>
  <c r="DF249" i="2"/>
  <c r="DD249" i="2"/>
  <c r="CZ249" i="2"/>
  <c r="CV249" i="2"/>
  <c r="CR249" i="2"/>
  <c r="CP249" i="2"/>
  <c r="CN249" i="2"/>
  <c r="CH249" i="2"/>
  <c r="CF249" i="2"/>
  <c r="CD249" i="2"/>
  <c r="CB249" i="2"/>
  <c r="BZ249" i="2"/>
  <c r="BX249" i="2"/>
  <c r="BU249" i="2"/>
  <c r="BT249" i="2"/>
  <c r="BS249" i="2"/>
  <c r="BM249" i="2"/>
  <c r="BL249" i="2"/>
  <c r="BK249" i="2"/>
  <c r="BE249" i="2"/>
  <c r="BB249" i="2"/>
  <c r="AY249" i="2"/>
  <c r="AM249" i="2"/>
  <c r="AD249" i="2"/>
  <c r="AA249" i="2"/>
  <c r="U249" i="2"/>
  <c r="O249" i="2"/>
  <c r="L249" i="2"/>
  <c r="I249" i="2"/>
  <c r="G249" i="2"/>
  <c r="F249" i="2"/>
  <c r="E249" i="2"/>
  <c r="BV249" i="2" s="1"/>
  <c r="C249" i="2"/>
  <c r="B249" i="2"/>
  <c r="DJ248" i="2"/>
  <c r="DF248" i="2"/>
  <c r="DD248" i="2"/>
  <c r="CZ248" i="2"/>
  <c r="CV248" i="2"/>
  <c r="CR248" i="2"/>
  <c r="CP248" i="2"/>
  <c r="CN248" i="2"/>
  <c r="CH248" i="2"/>
  <c r="CF248" i="2"/>
  <c r="CD248" i="2"/>
  <c r="CB248" i="2"/>
  <c r="BZ248" i="2"/>
  <c r="BX248" i="2"/>
  <c r="BU248" i="2"/>
  <c r="BT248" i="2"/>
  <c r="BS248" i="2"/>
  <c r="BM248" i="2"/>
  <c r="BL248" i="2"/>
  <c r="BK248" i="2"/>
  <c r="BE248" i="2"/>
  <c r="BB248" i="2"/>
  <c r="AY248" i="2"/>
  <c r="AM248" i="2"/>
  <c r="AD248" i="2"/>
  <c r="AA248" i="2"/>
  <c r="U248" i="2"/>
  <c r="O248" i="2"/>
  <c r="L248" i="2"/>
  <c r="I248" i="2"/>
  <c r="G248" i="2"/>
  <c r="F248" i="2"/>
  <c r="E248" i="2"/>
  <c r="BY248" i="2" s="1"/>
  <c r="C248" i="2"/>
  <c r="B248" i="2"/>
  <c r="DJ247" i="2"/>
  <c r="DF247" i="2"/>
  <c r="DD247" i="2"/>
  <c r="CZ247" i="2"/>
  <c r="CV247" i="2"/>
  <c r="CR247" i="2"/>
  <c r="CP247" i="2"/>
  <c r="CN247" i="2"/>
  <c r="CH247" i="2"/>
  <c r="CF247" i="2"/>
  <c r="CD247" i="2"/>
  <c r="CB247" i="2"/>
  <c r="BZ247" i="2"/>
  <c r="BX247" i="2"/>
  <c r="BU247" i="2"/>
  <c r="BT247" i="2"/>
  <c r="BS247" i="2"/>
  <c r="BM247" i="2"/>
  <c r="BL247" i="2"/>
  <c r="BK247" i="2"/>
  <c r="BE247" i="2"/>
  <c r="BB247" i="2"/>
  <c r="AY247" i="2"/>
  <c r="AM247" i="2"/>
  <c r="AD247" i="2"/>
  <c r="AA247" i="2"/>
  <c r="U247" i="2"/>
  <c r="O247" i="2"/>
  <c r="L247" i="2"/>
  <c r="I247" i="2"/>
  <c r="G247" i="2"/>
  <c r="F247" i="2"/>
  <c r="E247" i="2"/>
  <c r="BV247" i="2" s="1"/>
  <c r="C247" i="2"/>
  <c r="B247" i="2"/>
  <c r="DJ246" i="2"/>
  <c r="DF246" i="2"/>
  <c r="DD246" i="2"/>
  <c r="CZ246" i="2"/>
  <c r="CV246" i="2"/>
  <c r="CR246" i="2"/>
  <c r="CP246" i="2"/>
  <c r="CN246" i="2"/>
  <c r="CH246" i="2"/>
  <c r="CF246" i="2"/>
  <c r="CD246" i="2"/>
  <c r="CB246" i="2"/>
  <c r="BZ246" i="2"/>
  <c r="BX246" i="2"/>
  <c r="BU246" i="2"/>
  <c r="BT246" i="2"/>
  <c r="BS246" i="2"/>
  <c r="BM246" i="2"/>
  <c r="BL246" i="2"/>
  <c r="BK246" i="2"/>
  <c r="BE246" i="2"/>
  <c r="BB246" i="2"/>
  <c r="AY246" i="2"/>
  <c r="AM246" i="2"/>
  <c r="AD246" i="2"/>
  <c r="AA246" i="2"/>
  <c r="U246" i="2"/>
  <c r="O246" i="2"/>
  <c r="L246" i="2"/>
  <c r="I246" i="2"/>
  <c r="G246" i="2"/>
  <c r="F246" i="2"/>
  <c r="E246" i="2"/>
  <c r="BV246" i="2" s="1"/>
  <c r="C246" i="2"/>
  <c r="B246" i="2"/>
  <c r="DJ245" i="2"/>
  <c r="DF245" i="2"/>
  <c r="DH245" i="2" s="1"/>
  <c r="DD245" i="2"/>
  <c r="CZ245" i="2"/>
  <c r="CV245" i="2"/>
  <c r="CR245" i="2"/>
  <c r="CP245" i="2"/>
  <c r="CN245" i="2"/>
  <c r="CH245" i="2"/>
  <c r="CF245" i="2"/>
  <c r="CD245" i="2"/>
  <c r="CB245" i="2"/>
  <c r="BZ245" i="2"/>
  <c r="BX245" i="2"/>
  <c r="BU245" i="2"/>
  <c r="BT245" i="2"/>
  <c r="BS245" i="2"/>
  <c r="BM245" i="2"/>
  <c r="BL245" i="2"/>
  <c r="BK245" i="2"/>
  <c r="BE245" i="2"/>
  <c r="BB245" i="2"/>
  <c r="AY245" i="2"/>
  <c r="AM245" i="2"/>
  <c r="AD245" i="2"/>
  <c r="AA245" i="2"/>
  <c r="U245" i="2"/>
  <c r="O245" i="2"/>
  <c r="L245" i="2"/>
  <c r="I245" i="2"/>
  <c r="G245" i="2"/>
  <c r="F245" i="2"/>
  <c r="E245" i="2"/>
  <c r="BV245" i="2" s="1"/>
  <c r="C245" i="2"/>
  <c r="B245" i="2"/>
  <c r="DJ244" i="2"/>
  <c r="DF244" i="2"/>
  <c r="DD244" i="2"/>
  <c r="CZ244" i="2"/>
  <c r="CV244" i="2"/>
  <c r="CR244" i="2"/>
  <c r="CP244" i="2"/>
  <c r="CN244" i="2"/>
  <c r="CH244" i="2"/>
  <c r="CF244" i="2"/>
  <c r="CD244" i="2"/>
  <c r="CB244" i="2"/>
  <c r="BZ244" i="2"/>
  <c r="BY244" i="2"/>
  <c r="BX244" i="2"/>
  <c r="BU244" i="2"/>
  <c r="BT244" i="2"/>
  <c r="BS244" i="2"/>
  <c r="BM244" i="2"/>
  <c r="BL244" i="2"/>
  <c r="BK244" i="2"/>
  <c r="BE244" i="2"/>
  <c r="BB244" i="2"/>
  <c r="AY244" i="2"/>
  <c r="AM244" i="2"/>
  <c r="AD244" i="2"/>
  <c r="AA244" i="2"/>
  <c r="U244" i="2"/>
  <c r="O244" i="2"/>
  <c r="L244" i="2"/>
  <c r="I244" i="2"/>
  <c r="G244" i="2"/>
  <c r="F244" i="2"/>
  <c r="E244" i="2"/>
  <c r="BV244" i="2" s="1"/>
  <c r="C244" i="2"/>
  <c r="B244" i="2"/>
  <c r="DJ243" i="2"/>
  <c r="DF243" i="2"/>
  <c r="DD243" i="2"/>
  <c r="CZ243" i="2"/>
  <c r="CV243" i="2"/>
  <c r="CR243" i="2"/>
  <c r="CP243" i="2"/>
  <c r="CN243" i="2"/>
  <c r="CH243" i="2"/>
  <c r="CF243" i="2"/>
  <c r="CD243" i="2"/>
  <c r="CB243" i="2"/>
  <c r="BZ243" i="2"/>
  <c r="BX243" i="2"/>
  <c r="BU243" i="2"/>
  <c r="BT243" i="2"/>
  <c r="BS243" i="2"/>
  <c r="BM243" i="2"/>
  <c r="BL243" i="2"/>
  <c r="BK243" i="2"/>
  <c r="BE243" i="2"/>
  <c r="BB243" i="2"/>
  <c r="AY243" i="2"/>
  <c r="AM243" i="2"/>
  <c r="AD243" i="2"/>
  <c r="AA243" i="2"/>
  <c r="U243" i="2"/>
  <c r="O243" i="2"/>
  <c r="L243" i="2"/>
  <c r="I243" i="2"/>
  <c r="G243" i="2"/>
  <c r="F243" i="2"/>
  <c r="E243" i="2"/>
  <c r="BV243" i="2" s="1"/>
  <c r="C243" i="2"/>
  <c r="B243" i="2"/>
  <c r="DJ242" i="2"/>
  <c r="DF242" i="2"/>
  <c r="DD242" i="2"/>
  <c r="CZ242" i="2"/>
  <c r="CV242" i="2"/>
  <c r="CR242" i="2"/>
  <c r="CP242" i="2"/>
  <c r="CN242" i="2"/>
  <c r="CH242" i="2"/>
  <c r="CF242" i="2"/>
  <c r="CD242" i="2"/>
  <c r="CB242" i="2"/>
  <c r="BZ242" i="2"/>
  <c r="BX242" i="2"/>
  <c r="BU242" i="2"/>
  <c r="BT242" i="2"/>
  <c r="BS242" i="2"/>
  <c r="BM242" i="2"/>
  <c r="BL242" i="2"/>
  <c r="BK242" i="2"/>
  <c r="BE242" i="2"/>
  <c r="BB242" i="2"/>
  <c r="AY242" i="2"/>
  <c r="AM242" i="2"/>
  <c r="AD242" i="2"/>
  <c r="AA242" i="2"/>
  <c r="U242" i="2"/>
  <c r="O242" i="2"/>
  <c r="L242" i="2"/>
  <c r="I242" i="2"/>
  <c r="G242" i="2"/>
  <c r="F242" i="2"/>
  <c r="E242" i="2"/>
  <c r="BV242" i="2" s="1"/>
  <c r="C242" i="2"/>
  <c r="B242" i="2"/>
  <c r="DJ241" i="2"/>
  <c r="DF241" i="2"/>
  <c r="DD241" i="2"/>
  <c r="CZ241" i="2"/>
  <c r="CV241" i="2"/>
  <c r="CR241" i="2"/>
  <c r="CP241" i="2"/>
  <c r="CN241" i="2"/>
  <c r="CH241" i="2"/>
  <c r="CF241" i="2"/>
  <c r="CD241" i="2"/>
  <c r="CB241" i="2"/>
  <c r="BZ241" i="2"/>
  <c r="BX241" i="2"/>
  <c r="BU241" i="2"/>
  <c r="BT241" i="2"/>
  <c r="BS241" i="2"/>
  <c r="BM241" i="2"/>
  <c r="BL241" i="2"/>
  <c r="BK241" i="2"/>
  <c r="BE241" i="2"/>
  <c r="BB241" i="2"/>
  <c r="AY241" i="2"/>
  <c r="AM241" i="2"/>
  <c r="AD241" i="2"/>
  <c r="AA241" i="2"/>
  <c r="U241" i="2"/>
  <c r="O241" i="2"/>
  <c r="L241" i="2"/>
  <c r="I241" i="2"/>
  <c r="G241" i="2"/>
  <c r="F241" i="2"/>
  <c r="E241" i="2"/>
  <c r="BV241" i="2" s="1"/>
  <c r="C241" i="2"/>
  <c r="B241" i="2"/>
  <c r="DJ240" i="2"/>
  <c r="DF240" i="2"/>
  <c r="DD240" i="2"/>
  <c r="CZ240" i="2"/>
  <c r="CV240" i="2"/>
  <c r="CR240" i="2"/>
  <c r="CP240" i="2"/>
  <c r="CN240" i="2"/>
  <c r="CH240" i="2"/>
  <c r="CF240" i="2"/>
  <c r="CD240" i="2"/>
  <c r="CB240" i="2"/>
  <c r="BZ240" i="2"/>
  <c r="BX240" i="2"/>
  <c r="BU240" i="2"/>
  <c r="BT240" i="2"/>
  <c r="BS240" i="2"/>
  <c r="BM240" i="2"/>
  <c r="BL240" i="2"/>
  <c r="BK240" i="2"/>
  <c r="BE240" i="2"/>
  <c r="BB240" i="2"/>
  <c r="AY240" i="2"/>
  <c r="AM240" i="2"/>
  <c r="AD240" i="2"/>
  <c r="AA240" i="2"/>
  <c r="U240" i="2"/>
  <c r="O240" i="2"/>
  <c r="L240" i="2"/>
  <c r="I240" i="2"/>
  <c r="G240" i="2"/>
  <c r="F240" i="2"/>
  <c r="E240" i="2"/>
  <c r="BW240" i="2" s="1"/>
  <c r="C240" i="2"/>
  <c r="B240" i="2"/>
  <c r="DJ239" i="2"/>
  <c r="DF239" i="2"/>
  <c r="DD239" i="2"/>
  <c r="CZ239" i="2"/>
  <c r="CV239" i="2"/>
  <c r="CR239" i="2"/>
  <c r="CP239" i="2"/>
  <c r="CN239" i="2"/>
  <c r="CH239" i="2"/>
  <c r="CF239" i="2"/>
  <c r="CD239" i="2"/>
  <c r="CB239" i="2"/>
  <c r="BZ239" i="2"/>
  <c r="BX239" i="2"/>
  <c r="BU239" i="2"/>
  <c r="BT239" i="2"/>
  <c r="BS239" i="2"/>
  <c r="BM239" i="2"/>
  <c r="BL239" i="2"/>
  <c r="BK239" i="2"/>
  <c r="BE239" i="2"/>
  <c r="BB239" i="2"/>
  <c r="AY239" i="2"/>
  <c r="AM239" i="2"/>
  <c r="AD239" i="2"/>
  <c r="AA239" i="2"/>
  <c r="U239" i="2"/>
  <c r="O239" i="2"/>
  <c r="L239" i="2"/>
  <c r="I239" i="2"/>
  <c r="G239" i="2"/>
  <c r="F239" i="2"/>
  <c r="E239" i="2"/>
  <c r="BV239" i="2" s="1"/>
  <c r="C239" i="2"/>
  <c r="B239" i="2"/>
  <c r="DJ238" i="2"/>
  <c r="DF238" i="2"/>
  <c r="DD238" i="2"/>
  <c r="CZ238" i="2"/>
  <c r="CV238" i="2"/>
  <c r="CR238" i="2"/>
  <c r="CP238" i="2"/>
  <c r="CN238" i="2"/>
  <c r="CH238" i="2"/>
  <c r="CF238" i="2"/>
  <c r="CD238" i="2"/>
  <c r="CB238" i="2"/>
  <c r="BZ238" i="2"/>
  <c r="BX238" i="2"/>
  <c r="BU238" i="2"/>
  <c r="BT238" i="2"/>
  <c r="BS238" i="2"/>
  <c r="BM238" i="2"/>
  <c r="BL238" i="2"/>
  <c r="BK238" i="2"/>
  <c r="BE238" i="2"/>
  <c r="BB238" i="2"/>
  <c r="AY238" i="2"/>
  <c r="AM238" i="2"/>
  <c r="AD238" i="2"/>
  <c r="AA238" i="2"/>
  <c r="U238" i="2"/>
  <c r="O238" i="2"/>
  <c r="L238" i="2"/>
  <c r="I238" i="2"/>
  <c r="G238" i="2"/>
  <c r="F238" i="2"/>
  <c r="E238" i="2"/>
  <c r="BY238" i="2" s="1"/>
  <c r="C238" i="2"/>
  <c r="B238" i="2"/>
  <c r="DJ237" i="2"/>
  <c r="DF237" i="2"/>
  <c r="DD237" i="2"/>
  <c r="CZ237" i="2"/>
  <c r="CV237" i="2"/>
  <c r="CR237" i="2"/>
  <c r="CP237" i="2"/>
  <c r="CN237" i="2"/>
  <c r="CH237" i="2"/>
  <c r="CF237" i="2"/>
  <c r="CD237" i="2"/>
  <c r="CB237" i="2"/>
  <c r="BZ237" i="2"/>
  <c r="BX237" i="2"/>
  <c r="BU237" i="2"/>
  <c r="BT237" i="2"/>
  <c r="BS237" i="2"/>
  <c r="BM237" i="2"/>
  <c r="BL237" i="2"/>
  <c r="BK237" i="2"/>
  <c r="BE237" i="2"/>
  <c r="BB237" i="2"/>
  <c r="AY237" i="2"/>
  <c r="AM237" i="2"/>
  <c r="AD237" i="2"/>
  <c r="AA237" i="2"/>
  <c r="U237" i="2"/>
  <c r="O237" i="2"/>
  <c r="L237" i="2"/>
  <c r="I237" i="2"/>
  <c r="G237" i="2"/>
  <c r="F237" i="2"/>
  <c r="E237" i="2"/>
  <c r="BV237" i="2" s="1"/>
  <c r="C237" i="2"/>
  <c r="B237" i="2"/>
  <c r="DJ236" i="2"/>
  <c r="DF236" i="2"/>
  <c r="DD236" i="2"/>
  <c r="CZ236" i="2"/>
  <c r="CV236" i="2"/>
  <c r="CR236" i="2"/>
  <c r="CP236" i="2"/>
  <c r="CN236" i="2"/>
  <c r="CH236" i="2"/>
  <c r="CF236" i="2"/>
  <c r="CD236" i="2"/>
  <c r="CB236" i="2"/>
  <c r="BZ236" i="2"/>
  <c r="BX236" i="2"/>
  <c r="BU236" i="2"/>
  <c r="BT236" i="2"/>
  <c r="BS236" i="2"/>
  <c r="BM236" i="2"/>
  <c r="BL236" i="2"/>
  <c r="BK236" i="2"/>
  <c r="BE236" i="2"/>
  <c r="BB236" i="2"/>
  <c r="AY236" i="2"/>
  <c r="AM236" i="2"/>
  <c r="AD236" i="2"/>
  <c r="AA236" i="2"/>
  <c r="U236" i="2"/>
  <c r="O236" i="2"/>
  <c r="L236" i="2"/>
  <c r="I236" i="2"/>
  <c r="G236" i="2"/>
  <c r="F236" i="2"/>
  <c r="E236" i="2"/>
  <c r="BV236" i="2" s="1"/>
  <c r="C236" i="2"/>
  <c r="B236" i="2"/>
  <c r="DJ235" i="2"/>
  <c r="DF235" i="2"/>
  <c r="DD235" i="2"/>
  <c r="CZ235" i="2"/>
  <c r="CV235" i="2"/>
  <c r="CR235" i="2"/>
  <c r="CP235" i="2"/>
  <c r="CN235" i="2"/>
  <c r="CH235" i="2"/>
  <c r="CF235" i="2"/>
  <c r="CD235" i="2"/>
  <c r="CB235" i="2"/>
  <c r="BZ235" i="2"/>
  <c r="BX235" i="2"/>
  <c r="BU235" i="2"/>
  <c r="BT235" i="2"/>
  <c r="BS235" i="2"/>
  <c r="BM235" i="2"/>
  <c r="BL235" i="2"/>
  <c r="BK235" i="2"/>
  <c r="BE235" i="2"/>
  <c r="BB235" i="2"/>
  <c r="AY235" i="2"/>
  <c r="AM235" i="2"/>
  <c r="AD235" i="2"/>
  <c r="AA235" i="2"/>
  <c r="U235" i="2"/>
  <c r="O235" i="2"/>
  <c r="L235" i="2"/>
  <c r="I235" i="2"/>
  <c r="G235" i="2"/>
  <c r="F235" i="2"/>
  <c r="E235" i="2"/>
  <c r="BV235" i="2" s="1"/>
  <c r="C235" i="2"/>
  <c r="B235" i="2"/>
  <c r="DJ234" i="2"/>
  <c r="DF234" i="2"/>
  <c r="DD234" i="2"/>
  <c r="CZ234" i="2"/>
  <c r="CV234" i="2"/>
  <c r="CR234" i="2"/>
  <c r="CP234" i="2"/>
  <c r="CN234" i="2"/>
  <c r="CH234" i="2"/>
  <c r="CF234" i="2"/>
  <c r="CD234" i="2"/>
  <c r="CB234" i="2"/>
  <c r="BZ234" i="2"/>
  <c r="BX234" i="2"/>
  <c r="BU234" i="2"/>
  <c r="BT234" i="2"/>
  <c r="BS234" i="2"/>
  <c r="BM234" i="2"/>
  <c r="BL234" i="2"/>
  <c r="BK234" i="2"/>
  <c r="BE234" i="2"/>
  <c r="BB234" i="2"/>
  <c r="AY234" i="2"/>
  <c r="AM234" i="2"/>
  <c r="AD234" i="2"/>
  <c r="AA234" i="2"/>
  <c r="U234" i="2"/>
  <c r="O234" i="2"/>
  <c r="L234" i="2"/>
  <c r="I234" i="2"/>
  <c r="G234" i="2"/>
  <c r="F234" i="2"/>
  <c r="E234" i="2"/>
  <c r="BV234" i="2" s="1"/>
  <c r="C234" i="2"/>
  <c r="B234" i="2"/>
  <c r="DJ233" i="2"/>
  <c r="DF233" i="2"/>
  <c r="DD233" i="2"/>
  <c r="CZ233" i="2"/>
  <c r="CV233" i="2"/>
  <c r="CR233" i="2"/>
  <c r="CP233" i="2"/>
  <c r="CN233" i="2"/>
  <c r="CH233" i="2"/>
  <c r="CF233" i="2"/>
  <c r="CD233" i="2"/>
  <c r="CB233" i="2"/>
  <c r="BZ233" i="2"/>
  <c r="BX233" i="2"/>
  <c r="BU233" i="2"/>
  <c r="BT233" i="2"/>
  <c r="BS233" i="2"/>
  <c r="BM233" i="2"/>
  <c r="BL233" i="2"/>
  <c r="BK233" i="2"/>
  <c r="BE233" i="2"/>
  <c r="BB233" i="2"/>
  <c r="AY233" i="2"/>
  <c r="AM233" i="2"/>
  <c r="AD233" i="2"/>
  <c r="AA233" i="2"/>
  <c r="U233" i="2"/>
  <c r="O233" i="2"/>
  <c r="L233" i="2"/>
  <c r="I233" i="2"/>
  <c r="G233" i="2"/>
  <c r="F233" i="2"/>
  <c r="E233" i="2"/>
  <c r="BV233" i="2" s="1"/>
  <c r="C233" i="2"/>
  <c r="B233" i="2"/>
  <c r="DJ232" i="2"/>
  <c r="DF232" i="2"/>
  <c r="DD232" i="2"/>
  <c r="CZ232" i="2"/>
  <c r="CV232" i="2"/>
  <c r="CR232" i="2"/>
  <c r="CP232" i="2"/>
  <c r="CN232" i="2"/>
  <c r="CH232" i="2"/>
  <c r="CF232" i="2"/>
  <c r="CD232" i="2"/>
  <c r="CB232" i="2"/>
  <c r="BZ232" i="2"/>
  <c r="BX232" i="2"/>
  <c r="BU232" i="2"/>
  <c r="BT232" i="2"/>
  <c r="BS232" i="2"/>
  <c r="BM232" i="2"/>
  <c r="BL232" i="2"/>
  <c r="BK232" i="2"/>
  <c r="BE232" i="2"/>
  <c r="BB232" i="2"/>
  <c r="AY232" i="2"/>
  <c r="AM232" i="2"/>
  <c r="AD232" i="2"/>
  <c r="AA232" i="2"/>
  <c r="U232" i="2"/>
  <c r="O232" i="2"/>
  <c r="L232" i="2"/>
  <c r="I232" i="2"/>
  <c r="G232" i="2"/>
  <c r="F232" i="2"/>
  <c r="E232" i="2"/>
  <c r="BV232" i="2" s="1"/>
  <c r="C232" i="2"/>
  <c r="B232" i="2"/>
  <c r="DJ231" i="2"/>
  <c r="DF231" i="2"/>
  <c r="DD231" i="2"/>
  <c r="CZ231" i="2"/>
  <c r="CV231" i="2"/>
  <c r="CR231" i="2"/>
  <c r="CP231" i="2"/>
  <c r="CN231" i="2"/>
  <c r="CH231" i="2"/>
  <c r="CF231" i="2"/>
  <c r="CD231" i="2"/>
  <c r="CB231" i="2"/>
  <c r="BZ231" i="2"/>
  <c r="BX231" i="2"/>
  <c r="BU231" i="2"/>
  <c r="BT231" i="2"/>
  <c r="BS231" i="2"/>
  <c r="BM231" i="2"/>
  <c r="BL231" i="2"/>
  <c r="BK231" i="2"/>
  <c r="BE231" i="2"/>
  <c r="BB231" i="2"/>
  <c r="AY231" i="2"/>
  <c r="AM231" i="2"/>
  <c r="AD231" i="2"/>
  <c r="AA231" i="2"/>
  <c r="U231" i="2"/>
  <c r="O231" i="2"/>
  <c r="L231" i="2"/>
  <c r="I231" i="2"/>
  <c r="G231" i="2"/>
  <c r="F231" i="2"/>
  <c r="E231" i="2"/>
  <c r="BV231" i="2" s="1"/>
  <c r="C231" i="2"/>
  <c r="B231" i="2"/>
  <c r="DJ230" i="2"/>
  <c r="DF230" i="2"/>
  <c r="DD230" i="2"/>
  <c r="CZ230" i="2"/>
  <c r="CV230" i="2"/>
  <c r="CR230" i="2"/>
  <c r="CP230" i="2"/>
  <c r="CN230" i="2"/>
  <c r="CH230" i="2"/>
  <c r="CF230" i="2"/>
  <c r="CD230" i="2"/>
  <c r="CB230" i="2"/>
  <c r="BZ230" i="2"/>
  <c r="BX230" i="2"/>
  <c r="BU230" i="2"/>
  <c r="BT230" i="2"/>
  <c r="BS230" i="2"/>
  <c r="BM230" i="2"/>
  <c r="BL230" i="2"/>
  <c r="BK230" i="2"/>
  <c r="BE230" i="2"/>
  <c r="BB230" i="2"/>
  <c r="AY230" i="2"/>
  <c r="AM230" i="2"/>
  <c r="AD230" i="2"/>
  <c r="AA230" i="2"/>
  <c r="U230" i="2"/>
  <c r="O230" i="2"/>
  <c r="L230" i="2"/>
  <c r="I230" i="2"/>
  <c r="G230" i="2"/>
  <c r="F230" i="2"/>
  <c r="E230" i="2"/>
  <c r="C230" i="2"/>
  <c r="B230" i="2"/>
  <c r="DJ229" i="2"/>
  <c r="DF229" i="2"/>
  <c r="DD229" i="2"/>
  <c r="CZ229" i="2"/>
  <c r="CV229" i="2"/>
  <c r="CR229" i="2"/>
  <c r="CP229" i="2"/>
  <c r="CN229" i="2"/>
  <c r="CH229" i="2"/>
  <c r="CF229" i="2"/>
  <c r="CD229" i="2"/>
  <c r="CB229" i="2"/>
  <c r="BZ229" i="2"/>
  <c r="BX229" i="2"/>
  <c r="BU229" i="2"/>
  <c r="BT229" i="2"/>
  <c r="BS229" i="2"/>
  <c r="BM229" i="2"/>
  <c r="BL229" i="2"/>
  <c r="BK229" i="2"/>
  <c r="BE229" i="2"/>
  <c r="BB229" i="2"/>
  <c r="AY229" i="2"/>
  <c r="AM229" i="2"/>
  <c r="AD229" i="2"/>
  <c r="AA229" i="2"/>
  <c r="U229" i="2"/>
  <c r="O229" i="2"/>
  <c r="L229" i="2"/>
  <c r="I229" i="2"/>
  <c r="G229" i="2"/>
  <c r="F229" i="2"/>
  <c r="E229" i="2"/>
  <c r="BV229" i="2" s="1"/>
  <c r="C229" i="2"/>
  <c r="B229" i="2"/>
  <c r="DJ228" i="2"/>
  <c r="DF228" i="2"/>
  <c r="DD228" i="2"/>
  <c r="CZ228" i="2"/>
  <c r="CV228" i="2"/>
  <c r="CR228" i="2"/>
  <c r="CP228" i="2"/>
  <c r="CN228" i="2"/>
  <c r="CH228" i="2"/>
  <c r="CF228" i="2"/>
  <c r="CD228" i="2"/>
  <c r="CB228" i="2"/>
  <c r="BZ228" i="2"/>
  <c r="BX228" i="2"/>
  <c r="BU228" i="2"/>
  <c r="BT228" i="2"/>
  <c r="BS228" i="2"/>
  <c r="BM228" i="2"/>
  <c r="BL228" i="2"/>
  <c r="BK228" i="2"/>
  <c r="BE228" i="2"/>
  <c r="BB228" i="2"/>
  <c r="AY228" i="2"/>
  <c r="AM228" i="2"/>
  <c r="AD228" i="2"/>
  <c r="AA228" i="2"/>
  <c r="U228" i="2"/>
  <c r="O228" i="2"/>
  <c r="L228" i="2"/>
  <c r="I228" i="2"/>
  <c r="G228" i="2"/>
  <c r="F228" i="2"/>
  <c r="E228" i="2"/>
  <c r="BV228" i="2" s="1"/>
  <c r="C228" i="2"/>
  <c r="B228" i="2"/>
  <c r="DJ227" i="2"/>
  <c r="DF227" i="2"/>
  <c r="DD227" i="2"/>
  <c r="CZ227" i="2"/>
  <c r="CV227" i="2"/>
  <c r="CR227" i="2"/>
  <c r="CP227" i="2"/>
  <c r="CN227" i="2"/>
  <c r="CH227" i="2"/>
  <c r="CF227" i="2"/>
  <c r="CD227" i="2"/>
  <c r="CB227" i="2"/>
  <c r="BZ227" i="2"/>
  <c r="BX227" i="2"/>
  <c r="BU227" i="2"/>
  <c r="BT227" i="2"/>
  <c r="BS227" i="2"/>
  <c r="BM227" i="2"/>
  <c r="BL227" i="2"/>
  <c r="BK227" i="2"/>
  <c r="BE227" i="2"/>
  <c r="BB227" i="2"/>
  <c r="AY227" i="2"/>
  <c r="AM227" i="2"/>
  <c r="AD227" i="2"/>
  <c r="AA227" i="2"/>
  <c r="U227" i="2"/>
  <c r="O227" i="2"/>
  <c r="L227" i="2"/>
  <c r="I227" i="2"/>
  <c r="G227" i="2"/>
  <c r="F227" i="2"/>
  <c r="E227" i="2"/>
  <c r="BV227" i="2" s="1"/>
  <c r="C227" i="2"/>
  <c r="B227" i="2"/>
  <c r="DJ226" i="2"/>
  <c r="DF226" i="2"/>
  <c r="DD226" i="2"/>
  <c r="CZ226" i="2"/>
  <c r="CV226" i="2"/>
  <c r="CR226" i="2"/>
  <c r="CP226" i="2"/>
  <c r="CN226" i="2"/>
  <c r="CH226" i="2"/>
  <c r="CF226" i="2"/>
  <c r="CD226" i="2"/>
  <c r="CB226" i="2"/>
  <c r="BZ226" i="2"/>
  <c r="BX226" i="2"/>
  <c r="BU226" i="2"/>
  <c r="BT226" i="2"/>
  <c r="BS226" i="2"/>
  <c r="BM226" i="2"/>
  <c r="BL226" i="2"/>
  <c r="BK226" i="2"/>
  <c r="BE226" i="2"/>
  <c r="BB226" i="2"/>
  <c r="AY226" i="2"/>
  <c r="AM226" i="2"/>
  <c r="AD226" i="2"/>
  <c r="AA226" i="2"/>
  <c r="U226" i="2"/>
  <c r="O226" i="2"/>
  <c r="L226" i="2"/>
  <c r="I226" i="2"/>
  <c r="G226" i="2"/>
  <c r="F226" i="2"/>
  <c r="E226" i="2"/>
  <c r="C226" i="2"/>
  <c r="B226" i="2"/>
  <c r="DJ225" i="2"/>
  <c r="DF225" i="2"/>
  <c r="DD225" i="2"/>
  <c r="DH225" i="2" s="1"/>
  <c r="CZ225" i="2"/>
  <c r="CV225" i="2"/>
  <c r="CR225" i="2"/>
  <c r="CP225" i="2"/>
  <c r="CN225" i="2"/>
  <c r="CH225" i="2"/>
  <c r="CF225" i="2"/>
  <c r="CD225" i="2"/>
  <c r="CB225" i="2"/>
  <c r="BZ225" i="2"/>
  <c r="BX225" i="2"/>
  <c r="BU225" i="2"/>
  <c r="BT225" i="2"/>
  <c r="BS225" i="2"/>
  <c r="BM225" i="2"/>
  <c r="BL225" i="2"/>
  <c r="BK225" i="2"/>
  <c r="BE225" i="2"/>
  <c r="BB225" i="2"/>
  <c r="AY225" i="2"/>
  <c r="AM225" i="2"/>
  <c r="AD225" i="2"/>
  <c r="AA225" i="2"/>
  <c r="U225" i="2"/>
  <c r="O225" i="2"/>
  <c r="L225" i="2"/>
  <c r="I225" i="2"/>
  <c r="G225" i="2"/>
  <c r="F225" i="2"/>
  <c r="E225" i="2"/>
  <c r="C225" i="2"/>
  <c r="B225" i="2"/>
  <c r="DJ224" i="2"/>
  <c r="DF224" i="2"/>
  <c r="DD224" i="2"/>
  <c r="CZ224" i="2"/>
  <c r="CV224" i="2"/>
  <c r="CR224" i="2"/>
  <c r="CP224" i="2"/>
  <c r="CN224" i="2"/>
  <c r="CH224" i="2"/>
  <c r="CF224" i="2"/>
  <c r="CD224" i="2"/>
  <c r="CB224" i="2"/>
  <c r="BZ224" i="2"/>
  <c r="BX224" i="2"/>
  <c r="BU224" i="2"/>
  <c r="BT224" i="2"/>
  <c r="BS224" i="2"/>
  <c r="BM224" i="2"/>
  <c r="BL224" i="2"/>
  <c r="BK224" i="2"/>
  <c r="BE224" i="2"/>
  <c r="BB224" i="2"/>
  <c r="AY224" i="2"/>
  <c r="AM224" i="2"/>
  <c r="AD224" i="2"/>
  <c r="AA224" i="2"/>
  <c r="U224" i="2"/>
  <c r="O224" i="2"/>
  <c r="L224" i="2"/>
  <c r="I224" i="2"/>
  <c r="G224" i="2"/>
  <c r="F224" i="2"/>
  <c r="E224" i="2"/>
  <c r="BY224" i="2" s="1"/>
  <c r="C224" i="2"/>
  <c r="B224" i="2"/>
  <c r="DJ223" i="2"/>
  <c r="DF223" i="2"/>
  <c r="DD223" i="2"/>
  <c r="CZ223" i="2"/>
  <c r="CV223" i="2"/>
  <c r="CR223" i="2"/>
  <c r="CP223" i="2"/>
  <c r="CN223" i="2"/>
  <c r="CH223" i="2"/>
  <c r="CF223" i="2"/>
  <c r="CD223" i="2"/>
  <c r="CB223" i="2"/>
  <c r="BZ223" i="2"/>
  <c r="BX223" i="2"/>
  <c r="BU223" i="2"/>
  <c r="BT223" i="2"/>
  <c r="BS223" i="2"/>
  <c r="BM223" i="2"/>
  <c r="BL223" i="2"/>
  <c r="BK223" i="2"/>
  <c r="BE223" i="2"/>
  <c r="BB223" i="2"/>
  <c r="AY223" i="2"/>
  <c r="AM223" i="2"/>
  <c r="AD223" i="2"/>
  <c r="AA223" i="2"/>
  <c r="U223" i="2"/>
  <c r="O223" i="2"/>
  <c r="L223" i="2"/>
  <c r="I223" i="2"/>
  <c r="G223" i="2"/>
  <c r="F223" i="2"/>
  <c r="E223" i="2"/>
  <c r="BY223" i="2" s="1"/>
  <c r="C223" i="2"/>
  <c r="B223" i="2"/>
  <c r="DJ222" i="2"/>
  <c r="DF222" i="2"/>
  <c r="DD222" i="2"/>
  <c r="CZ222" i="2"/>
  <c r="CV222" i="2"/>
  <c r="CR222" i="2"/>
  <c r="CP222" i="2"/>
  <c r="CN222" i="2"/>
  <c r="CH222" i="2"/>
  <c r="CF222" i="2"/>
  <c r="CD222" i="2"/>
  <c r="CB222" i="2"/>
  <c r="BZ222" i="2"/>
  <c r="BX222" i="2"/>
  <c r="BU222" i="2"/>
  <c r="BT222" i="2"/>
  <c r="BS222" i="2"/>
  <c r="BM222" i="2"/>
  <c r="BL222" i="2"/>
  <c r="BK222" i="2"/>
  <c r="BE222" i="2"/>
  <c r="BB222" i="2"/>
  <c r="AY222" i="2"/>
  <c r="AM222" i="2"/>
  <c r="AD222" i="2"/>
  <c r="AA222" i="2"/>
  <c r="U222" i="2"/>
  <c r="O222" i="2"/>
  <c r="L222" i="2"/>
  <c r="I222" i="2"/>
  <c r="G222" i="2"/>
  <c r="F222" i="2"/>
  <c r="E222" i="2"/>
  <c r="BW222" i="2" s="1"/>
  <c r="C222" i="2"/>
  <c r="B222" i="2"/>
  <c r="DJ221" i="2"/>
  <c r="DF221" i="2"/>
  <c r="DD221" i="2"/>
  <c r="CZ221" i="2"/>
  <c r="CV221" i="2"/>
  <c r="CR221" i="2"/>
  <c r="CP221" i="2"/>
  <c r="CN221" i="2"/>
  <c r="CH221" i="2"/>
  <c r="CF221" i="2"/>
  <c r="CD221" i="2"/>
  <c r="CB221" i="2"/>
  <c r="BZ221" i="2"/>
  <c r="BX221" i="2"/>
  <c r="BU221" i="2"/>
  <c r="BT221" i="2"/>
  <c r="BS221" i="2"/>
  <c r="BM221" i="2"/>
  <c r="BL221" i="2"/>
  <c r="BK221" i="2"/>
  <c r="BE221" i="2"/>
  <c r="BB221" i="2"/>
  <c r="AY221" i="2"/>
  <c r="AM221" i="2"/>
  <c r="AD221" i="2"/>
  <c r="AA221" i="2"/>
  <c r="U221" i="2"/>
  <c r="O221" i="2"/>
  <c r="L221" i="2"/>
  <c r="I221" i="2"/>
  <c r="G221" i="2"/>
  <c r="F221" i="2"/>
  <c r="E221" i="2"/>
  <c r="BW221" i="2" s="1"/>
  <c r="C221" i="2"/>
  <c r="B221" i="2"/>
  <c r="DJ220" i="2"/>
  <c r="DF220" i="2"/>
  <c r="DD220" i="2"/>
  <c r="CZ220" i="2"/>
  <c r="CV220" i="2"/>
  <c r="CR220" i="2"/>
  <c r="CP220" i="2"/>
  <c r="CN220" i="2"/>
  <c r="CH220" i="2"/>
  <c r="CF220" i="2"/>
  <c r="CD220" i="2"/>
  <c r="CB220" i="2"/>
  <c r="BZ220" i="2"/>
  <c r="BX220" i="2"/>
  <c r="BU220" i="2"/>
  <c r="BT220" i="2"/>
  <c r="BS220" i="2"/>
  <c r="BM220" i="2"/>
  <c r="BL220" i="2"/>
  <c r="BK220" i="2"/>
  <c r="BE220" i="2"/>
  <c r="BB220" i="2"/>
  <c r="AY220" i="2"/>
  <c r="AM220" i="2"/>
  <c r="AD220" i="2"/>
  <c r="AA220" i="2"/>
  <c r="U220" i="2"/>
  <c r="O220" i="2"/>
  <c r="L220" i="2"/>
  <c r="I220" i="2"/>
  <c r="G220" i="2"/>
  <c r="F220" i="2"/>
  <c r="E220" i="2"/>
  <c r="BY220" i="2" s="1"/>
  <c r="C220" i="2"/>
  <c r="B220" i="2"/>
  <c r="DJ219" i="2"/>
  <c r="DF219" i="2"/>
  <c r="DD219" i="2"/>
  <c r="CZ219" i="2"/>
  <c r="CV219" i="2"/>
  <c r="CR219" i="2"/>
  <c r="CP219" i="2"/>
  <c r="CN219" i="2"/>
  <c r="CH219" i="2"/>
  <c r="CF219" i="2"/>
  <c r="CD219" i="2"/>
  <c r="CB219" i="2"/>
  <c r="BZ219" i="2"/>
  <c r="BX219" i="2"/>
  <c r="BU219" i="2"/>
  <c r="BT219" i="2"/>
  <c r="BS219" i="2"/>
  <c r="BM219" i="2"/>
  <c r="BL219" i="2"/>
  <c r="BK219" i="2"/>
  <c r="BE219" i="2"/>
  <c r="BB219" i="2"/>
  <c r="AY219" i="2"/>
  <c r="AM219" i="2"/>
  <c r="AD219" i="2"/>
  <c r="AA219" i="2"/>
  <c r="U219" i="2"/>
  <c r="O219" i="2"/>
  <c r="L219" i="2"/>
  <c r="I219" i="2"/>
  <c r="G219" i="2"/>
  <c r="F219" i="2"/>
  <c r="E219" i="2"/>
  <c r="C219" i="2"/>
  <c r="B219" i="2"/>
  <c r="DJ218" i="2"/>
  <c r="DF218" i="2"/>
  <c r="DD218" i="2"/>
  <c r="CZ218" i="2"/>
  <c r="CV218" i="2"/>
  <c r="CR218" i="2"/>
  <c r="CP218" i="2"/>
  <c r="CN218" i="2"/>
  <c r="CH218" i="2"/>
  <c r="CF218" i="2"/>
  <c r="CD218" i="2"/>
  <c r="CB218" i="2"/>
  <c r="BZ218" i="2"/>
  <c r="BX218" i="2"/>
  <c r="BU218" i="2"/>
  <c r="BT218" i="2"/>
  <c r="BS218" i="2"/>
  <c r="BM218" i="2"/>
  <c r="BL218" i="2"/>
  <c r="BK218" i="2"/>
  <c r="BE218" i="2"/>
  <c r="BB218" i="2"/>
  <c r="AY218" i="2"/>
  <c r="AM218" i="2"/>
  <c r="AD218" i="2"/>
  <c r="AA218" i="2"/>
  <c r="U218" i="2"/>
  <c r="O218" i="2"/>
  <c r="L218" i="2"/>
  <c r="I218" i="2"/>
  <c r="G218" i="2"/>
  <c r="F218" i="2"/>
  <c r="E218" i="2"/>
  <c r="BY218" i="2" s="1"/>
  <c r="C218" i="2"/>
  <c r="B218" i="2"/>
  <c r="DJ217" i="2"/>
  <c r="DF217" i="2"/>
  <c r="DD217" i="2"/>
  <c r="CZ217" i="2"/>
  <c r="CV217" i="2"/>
  <c r="CR217" i="2"/>
  <c r="CP217" i="2"/>
  <c r="CN217" i="2"/>
  <c r="CH217" i="2"/>
  <c r="CF217" i="2"/>
  <c r="CD217" i="2"/>
  <c r="CB217" i="2"/>
  <c r="BZ217" i="2"/>
  <c r="BX217" i="2"/>
  <c r="BU217" i="2"/>
  <c r="BT217" i="2"/>
  <c r="BS217" i="2"/>
  <c r="BM217" i="2"/>
  <c r="BL217" i="2"/>
  <c r="BK217" i="2"/>
  <c r="BE217" i="2"/>
  <c r="BB217" i="2"/>
  <c r="AY217" i="2"/>
  <c r="AM217" i="2"/>
  <c r="AD217" i="2"/>
  <c r="AA217" i="2"/>
  <c r="U217" i="2"/>
  <c r="O217" i="2"/>
  <c r="L217" i="2"/>
  <c r="I217" i="2"/>
  <c r="G217" i="2"/>
  <c r="F217" i="2"/>
  <c r="E217" i="2"/>
  <c r="BY217" i="2" s="1"/>
  <c r="C217" i="2"/>
  <c r="B217" i="2"/>
  <c r="DJ216" i="2"/>
  <c r="DF216" i="2"/>
  <c r="DD216" i="2"/>
  <c r="CZ216" i="2"/>
  <c r="CV216" i="2"/>
  <c r="CR216" i="2"/>
  <c r="CP216" i="2"/>
  <c r="CN216" i="2"/>
  <c r="CH216" i="2"/>
  <c r="CF216" i="2"/>
  <c r="CD216" i="2"/>
  <c r="CB216" i="2"/>
  <c r="BZ216" i="2"/>
  <c r="BX216" i="2"/>
  <c r="BU216" i="2"/>
  <c r="BT216" i="2"/>
  <c r="BS216" i="2"/>
  <c r="BM216" i="2"/>
  <c r="BL216" i="2"/>
  <c r="BK216" i="2"/>
  <c r="BE216" i="2"/>
  <c r="BB216" i="2"/>
  <c r="AY216" i="2"/>
  <c r="AM216" i="2"/>
  <c r="AD216" i="2"/>
  <c r="AA216" i="2"/>
  <c r="U216" i="2"/>
  <c r="O216" i="2"/>
  <c r="L216" i="2"/>
  <c r="I216" i="2"/>
  <c r="G216" i="2"/>
  <c r="F216" i="2"/>
  <c r="E216" i="2"/>
  <c r="BV216" i="2" s="1"/>
  <c r="C216" i="2"/>
  <c r="B216" i="2"/>
  <c r="DJ215" i="2"/>
  <c r="DF215" i="2"/>
  <c r="DD215" i="2"/>
  <c r="CZ215" i="2"/>
  <c r="CV215" i="2"/>
  <c r="CR215" i="2"/>
  <c r="CP215" i="2"/>
  <c r="CN215" i="2"/>
  <c r="CH215" i="2"/>
  <c r="CF215" i="2"/>
  <c r="CD215" i="2"/>
  <c r="CB215" i="2"/>
  <c r="BZ215" i="2"/>
  <c r="BX215" i="2"/>
  <c r="BU215" i="2"/>
  <c r="BT215" i="2"/>
  <c r="BS215" i="2"/>
  <c r="BM215" i="2"/>
  <c r="BL215" i="2"/>
  <c r="BK215" i="2"/>
  <c r="BE215" i="2"/>
  <c r="BB215" i="2"/>
  <c r="AY215" i="2"/>
  <c r="AM215" i="2"/>
  <c r="AD215" i="2"/>
  <c r="AA215" i="2"/>
  <c r="U215" i="2"/>
  <c r="O215" i="2"/>
  <c r="L215" i="2"/>
  <c r="I215" i="2"/>
  <c r="G215" i="2"/>
  <c r="F215" i="2"/>
  <c r="E215" i="2"/>
  <c r="C215" i="2"/>
  <c r="B215" i="2"/>
  <c r="DJ214" i="2"/>
  <c r="DF214" i="2"/>
  <c r="DD214" i="2"/>
  <c r="CZ214" i="2"/>
  <c r="CV214" i="2"/>
  <c r="CR214" i="2"/>
  <c r="CP214" i="2"/>
  <c r="CN214" i="2"/>
  <c r="CH214" i="2"/>
  <c r="CF214" i="2"/>
  <c r="CD214" i="2"/>
  <c r="CB214" i="2"/>
  <c r="BZ214" i="2"/>
  <c r="BX214" i="2"/>
  <c r="BU214" i="2"/>
  <c r="BT214" i="2"/>
  <c r="BS214" i="2"/>
  <c r="BM214" i="2"/>
  <c r="BL214" i="2"/>
  <c r="BK214" i="2"/>
  <c r="BE214" i="2"/>
  <c r="BB214" i="2"/>
  <c r="AY214" i="2"/>
  <c r="AM214" i="2"/>
  <c r="AD214" i="2"/>
  <c r="AA214" i="2"/>
  <c r="U214" i="2"/>
  <c r="O214" i="2"/>
  <c r="L214" i="2"/>
  <c r="I214" i="2"/>
  <c r="G214" i="2"/>
  <c r="F214" i="2"/>
  <c r="E214" i="2"/>
  <c r="BY214" i="2" s="1"/>
  <c r="C214" i="2"/>
  <c r="B214" i="2"/>
  <c r="DJ213" i="2"/>
  <c r="DF213" i="2"/>
  <c r="DD213" i="2"/>
  <c r="CZ213" i="2"/>
  <c r="CV213" i="2"/>
  <c r="CR213" i="2"/>
  <c r="CP213" i="2"/>
  <c r="CN213" i="2"/>
  <c r="CH213" i="2"/>
  <c r="CF213" i="2"/>
  <c r="CD213" i="2"/>
  <c r="CB213" i="2"/>
  <c r="BZ213" i="2"/>
  <c r="BX213" i="2"/>
  <c r="BU213" i="2"/>
  <c r="BT213" i="2"/>
  <c r="BS213" i="2"/>
  <c r="BM213" i="2"/>
  <c r="BL213" i="2"/>
  <c r="BK213" i="2"/>
  <c r="BE213" i="2"/>
  <c r="BB213" i="2"/>
  <c r="AY213" i="2"/>
  <c r="AM213" i="2"/>
  <c r="AD213" i="2"/>
  <c r="AA213" i="2"/>
  <c r="U213" i="2"/>
  <c r="O213" i="2"/>
  <c r="L213" i="2"/>
  <c r="I213" i="2"/>
  <c r="G213" i="2"/>
  <c r="F213" i="2"/>
  <c r="E213" i="2"/>
  <c r="BY213" i="2" s="1"/>
  <c r="C213" i="2"/>
  <c r="B213" i="2"/>
  <c r="DJ212" i="2"/>
  <c r="DF212" i="2"/>
  <c r="DD212" i="2"/>
  <c r="CZ212" i="2"/>
  <c r="CV212" i="2"/>
  <c r="CR212" i="2"/>
  <c r="CP212" i="2"/>
  <c r="CN212" i="2"/>
  <c r="CH212" i="2"/>
  <c r="CF212" i="2"/>
  <c r="CD212" i="2"/>
  <c r="CB212" i="2"/>
  <c r="BZ212" i="2"/>
  <c r="BX212" i="2"/>
  <c r="BU212" i="2"/>
  <c r="BT212" i="2"/>
  <c r="BS212" i="2"/>
  <c r="BM212" i="2"/>
  <c r="BL212" i="2"/>
  <c r="BK212" i="2"/>
  <c r="BE212" i="2"/>
  <c r="BB212" i="2"/>
  <c r="AY212" i="2"/>
  <c r="AM212" i="2"/>
  <c r="AD212" i="2"/>
  <c r="AA212" i="2"/>
  <c r="U212" i="2"/>
  <c r="O212" i="2"/>
  <c r="L212" i="2"/>
  <c r="I212" i="2"/>
  <c r="G212" i="2"/>
  <c r="F212" i="2"/>
  <c r="E212" i="2"/>
  <c r="BV212" i="2" s="1"/>
  <c r="C212" i="2"/>
  <c r="B212" i="2"/>
  <c r="DJ211" i="2"/>
  <c r="DF211" i="2"/>
  <c r="DD211" i="2"/>
  <c r="CZ211" i="2"/>
  <c r="CV211" i="2"/>
  <c r="CR211" i="2"/>
  <c r="CP211" i="2"/>
  <c r="CN211" i="2"/>
  <c r="CH211" i="2"/>
  <c r="CF211" i="2"/>
  <c r="CD211" i="2"/>
  <c r="CB211" i="2"/>
  <c r="BZ211" i="2"/>
  <c r="BX211" i="2"/>
  <c r="BU211" i="2"/>
  <c r="BT211" i="2"/>
  <c r="BS211" i="2"/>
  <c r="BM211" i="2"/>
  <c r="BL211" i="2"/>
  <c r="BK211" i="2"/>
  <c r="BE211" i="2"/>
  <c r="BB211" i="2"/>
  <c r="AY211" i="2"/>
  <c r="AM211" i="2"/>
  <c r="AD211" i="2"/>
  <c r="AA211" i="2"/>
  <c r="U211" i="2"/>
  <c r="O211" i="2"/>
  <c r="L211" i="2"/>
  <c r="I211" i="2"/>
  <c r="G211" i="2"/>
  <c r="F211" i="2"/>
  <c r="E211" i="2"/>
  <c r="C211" i="2"/>
  <c r="B211" i="2"/>
  <c r="DJ210" i="2"/>
  <c r="DF210" i="2"/>
  <c r="DD210" i="2"/>
  <c r="CZ210" i="2"/>
  <c r="CV210" i="2"/>
  <c r="CR210" i="2"/>
  <c r="CP210" i="2"/>
  <c r="CN210" i="2"/>
  <c r="CH210" i="2"/>
  <c r="CF210" i="2"/>
  <c r="CD210" i="2"/>
  <c r="CB210" i="2"/>
  <c r="BZ210" i="2"/>
  <c r="BX210" i="2"/>
  <c r="BU210" i="2"/>
  <c r="BT210" i="2"/>
  <c r="BS210" i="2"/>
  <c r="BM210" i="2"/>
  <c r="BL210" i="2"/>
  <c r="BK210" i="2"/>
  <c r="BE210" i="2"/>
  <c r="BB210" i="2"/>
  <c r="AY210" i="2"/>
  <c r="AM210" i="2"/>
  <c r="AD210" i="2"/>
  <c r="AA210" i="2"/>
  <c r="U210" i="2"/>
  <c r="O210" i="2"/>
  <c r="L210" i="2"/>
  <c r="I210" i="2"/>
  <c r="G210" i="2"/>
  <c r="F210" i="2"/>
  <c r="E210" i="2"/>
  <c r="BW210" i="2" s="1"/>
  <c r="C210" i="2"/>
  <c r="B210" i="2"/>
  <c r="DJ209" i="2"/>
  <c r="DF209" i="2"/>
  <c r="DD209" i="2"/>
  <c r="CZ209" i="2"/>
  <c r="CV209" i="2"/>
  <c r="CR209" i="2"/>
  <c r="CP209" i="2"/>
  <c r="CN209" i="2"/>
  <c r="CH209" i="2"/>
  <c r="CF209" i="2"/>
  <c r="CD209" i="2"/>
  <c r="CB209" i="2"/>
  <c r="BZ209" i="2"/>
  <c r="BX209" i="2"/>
  <c r="BU209" i="2"/>
  <c r="BT209" i="2"/>
  <c r="BS209" i="2"/>
  <c r="BM209" i="2"/>
  <c r="BL209" i="2"/>
  <c r="BK209" i="2"/>
  <c r="BE209" i="2"/>
  <c r="BB209" i="2"/>
  <c r="AY209" i="2"/>
  <c r="AM209" i="2"/>
  <c r="AD209" i="2"/>
  <c r="AA209" i="2"/>
  <c r="U209" i="2"/>
  <c r="O209" i="2"/>
  <c r="L209" i="2"/>
  <c r="I209" i="2"/>
  <c r="G209" i="2"/>
  <c r="F209" i="2"/>
  <c r="E209" i="2"/>
  <c r="BW209" i="2" s="1"/>
  <c r="C209" i="2"/>
  <c r="B209" i="2"/>
  <c r="DJ208" i="2"/>
  <c r="DF208" i="2"/>
  <c r="DD208" i="2"/>
  <c r="CZ208" i="2"/>
  <c r="CV208" i="2"/>
  <c r="CR208" i="2"/>
  <c r="CP208" i="2"/>
  <c r="CN208" i="2"/>
  <c r="CH208" i="2"/>
  <c r="CF208" i="2"/>
  <c r="CD208" i="2"/>
  <c r="CB208" i="2"/>
  <c r="BZ208" i="2"/>
  <c r="BX208" i="2"/>
  <c r="BU208" i="2"/>
  <c r="BT208" i="2"/>
  <c r="BS208" i="2"/>
  <c r="BM208" i="2"/>
  <c r="BL208" i="2"/>
  <c r="BK208" i="2"/>
  <c r="BE208" i="2"/>
  <c r="BB208" i="2"/>
  <c r="AY208" i="2"/>
  <c r="AM208" i="2"/>
  <c r="AD208" i="2"/>
  <c r="AA208" i="2"/>
  <c r="U208" i="2"/>
  <c r="O208" i="2"/>
  <c r="R208" i="2" s="1"/>
  <c r="L208" i="2"/>
  <c r="I208" i="2"/>
  <c r="G208" i="2"/>
  <c r="F208" i="2"/>
  <c r="E208" i="2"/>
  <c r="BY208" i="2" s="1"/>
  <c r="C208" i="2"/>
  <c r="B208" i="2"/>
  <c r="DJ207" i="2"/>
  <c r="DF207" i="2"/>
  <c r="DD207" i="2"/>
  <c r="CZ207" i="2"/>
  <c r="CV207" i="2"/>
  <c r="CR207" i="2"/>
  <c r="CP207" i="2"/>
  <c r="CN207" i="2"/>
  <c r="CH207" i="2"/>
  <c r="CF207" i="2"/>
  <c r="CD207" i="2"/>
  <c r="CB207" i="2"/>
  <c r="BZ207" i="2"/>
  <c r="BX207" i="2"/>
  <c r="BU207" i="2"/>
  <c r="BT207" i="2"/>
  <c r="BS207" i="2"/>
  <c r="BM207" i="2"/>
  <c r="BL207" i="2"/>
  <c r="BK207" i="2"/>
  <c r="BE207" i="2"/>
  <c r="BB207" i="2"/>
  <c r="AY207" i="2"/>
  <c r="AM207" i="2"/>
  <c r="AD207" i="2"/>
  <c r="AA207" i="2"/>
  <c r="U207" i="2"/>
  <c r="O207" i="2"/>
  <c r="L207" i="2"/>
  <c r="I207" i="2"/>
  <c r="G207" i="2"/>
  <c r="F207" i="2"/>
  <c r="E207" i="2"/>
  <c r="BW207" i="2" s="1"/>
  <c r="C207" i="2"/>
  <c r="B207" i="2"/>
  <c r="DJ206" i="2"/>
  <c r="DF206" i="2"/>
  <c r="DD206" i="2"/>
  <c r="CZ206" i="2"/>
  <c r="CV206" i="2"/>
  <c r="CR206" i="2"/>
  <c r="CP206" i="2"/>
  <c r="CN206" i="2"/>
  <c r="CH206" i="2"/>
  <c r="CF206" i="2"/>
  <c r="CD206" i="2"/>
  <c r="CB206" i="2"/>
  <c r="BZ206" i="2"/>
  <c r="BX206" i="2"/>
  <c r="BU206" i="2"/>
  <c r="BT206" i="2"/>
  <c r="BS206" i="2"/>
  <c r="BM206" i="2"/>
  <c r="BL206" i="2"/>
  <c r="BK206" i="2"/>
  <c r="BE206" i="2"/>
  <c r="BB206" i="2"/>
  <c r="AY206" i="2"/>
  <c r="AM206" i="2"/>
  <c r="AD206" i="2"/>
  <c r="AA206" i="2"/>
  <c r="U206" i="2"/>
  <c r="O206" i="2"/>
  <c r="L206" i="2"/>
  <c r="I206" i="2"/>
  <c r="G206" i="2"/>
  <c r="F206" i="2"/>
  <c r="E206" i="2"/>
  <c r="BW206" i="2" s="1"/>
  <c r="C206" i="2"/>
  <c r="B206" i="2"/>
  <c r="DJ205" i="2"/>
  <c r="DF205" i="2"/>
  <c r="DD205" i="2"/>
  <c r="CZ205" i="2"/>
  <c r="CV205" i="2"/>
  <c r="CR205" i="2"/>
  <c r="CP205" i="2"/>
  <c r="CN205" i="2"/>
  <c r="CH205" i="2"/>
  <c r="CF205" i="2"/>
  <c r="CD205" i="2"/>
  <c r="CB205" i="2"/>
  <c r="BZ205" i="2"/>
  <c r="BX205" i="2"/>
  <c r="BU205" i="2"/>
  <c r="BT205" i="2"/>
  <c r="BS205" i="2"/>
  <c r="BM205" i="2"/>
  <c r="BL205" i="2"/>
  <c r="BK205" i="2"/>
  <c r="BE205" i="2"/>
  <c r="BB205" i="2"/>
  <c r="AY205" i="2"/>
  <c r="AM205" i="2"/>
  <c r="AD205" i="2"/>
  <c r="AA205" i="2"/>
  <c r="U205" i="2"/>
  <c r="O205" i="2"/>
  <c r="L205" i="2"/>
  <c r="I205" i="2"/>
  <c r="G205" i="2"/>
  <c r="F205" i="2"/>
  <c r="E205" i="2"/>
  <c r="C205" i="2"/>
  <c r="B205" i="2"/>
  <c r="DJ204" i="2"/>
  <c r="DF204" i="2"/>
  <c r="DD204" i="2"/>
  <c r="CZ204" i="2"/>
  <c r="CV204" i="2"/>
  <c r="CR204" i="2"/>
  <c r="CP204" i="2"/>
  <c r="CN204" i="2"/>
  <c r="CH204" i="2"/>
  <c r="CF204" i="2"/>
  <c r="CD204" i="2"/>
  <c r="CB204" i="2"/>
  <c r="BZ204" i="2"/>
  <c r="BX204" i="2"/>
  <c r="BU204" i="2"/>
  <c r="BT204" i="2"/>
  <c r="BS204" i="2"/>
  <c r="BM204" i="2"/>
  <c r="BL204" i="2"/>
  <c r="BK204" i="2"/>
  <c r="BE204" i="2"/>
  <c r="BB204" i="2"/>
  <c r="AY204" i="2"/>
  <c r="AM204" i="2"/>
  <c r="AD204" i="2"/>
  <c r="AA204" i="2"/>
  <c r="U204" i="2"/>
  <c r="O204" i="2"/>
  <c r="L204" i="2"/>
  <c r="I204" i="2"/>
  <c r="G204" i="2"/>
  <c r="F204" i="2"/>
  <c r="E204" i="2"/>
  <c r="BW204" i="2" s="1"/>
  <c r="C204" i="2"/>
  <c r="B204" i="2"/>
  <c r="DJ203" i="2"/>
  <c r="DF203" i="2"/>
  <c r="DD203" i="2"/>
  <c r="CZ203" i="2"/>
  <c r="CV203" i="2"/>
  <c r="CR203" i="2"/>
  <c r="CP203" i="2"/>
  <c r="CN203" i="2"/>
  <c r="CH203" i="2"/>
  <c r="CF203" i="2"/>
  <c r="CD203" i="2"/>
  <c r="CB203" i="2"/>
  <c r="BZ203" i="2"/>
  <c r="BX203" i="2"/>
  <c r="BU203" i="2"/>
  <c r="BT203" i="2"/>
  <c r="BS203" i="2"/>
  <c r="BM203" i="2"/>
  <c r="BL203" i="2"/>
  <c r="BK203" i="2"/>
  <c r="BE203" i="2"/>
  <c r="BB203" i="2"/>
  <c r="AY203" i="2"/>
  <c r="AM203" i="2"/>
  <c r="AD203" i="2"/>
  <c r="AA203" i="2"/>
  <c r="U203" i="2"/>
  <c r="O203" i="2"/>
  <c r="L203" i="2"/>
  <c r="I203" i="2"/>
  <c r="G203" i="2"/>
  <c r="F203" i="2"/>
  <c r="E203" i="2"/>
  <c r="BW203" i="2" s="1"/>
  <c r="C203" i="2"/>
  <c r="B203" i="2"/>
  <c r="DJ202" i="2"/>
  <c r="DF202" i="2"/>
  <c r="DD202" i="2"/>
  <c r="CZ202" i="2"/>
  <c r="CV202" i="2"/>
  <c r="CR202" i="2"/>
  <c r="CP202" i="2"/>
  <c r="CN202" i="2"/>
  <c r="CH202" i="2"/>
  <c r="CF202" i="2"/>
  <c r="CD202" i="2"/>
  <c r="CB202" i="2"/>
  <c r="BZ202" i="2"/>
  <c r="BX202" i="2"/>
  <c r="BU202" i="2"/>
  <c r="BT202" i="2"/>
  <c r="BS202" i="2"/>
  <c r="BM202" i="2"/>
  <c r="BL202" i="2"/>
  <c r="BK202" i="2"/>
  <c r="BE202" i="2"/>
  <c r="BB202" i="2"/>
  <c r="AY202" i="2"/>
  <c r="AM202" i="2"/>
  <c r="AD202" i="2"/>
  <c r="AA202" i="2"/>
  <c r="U202" i="2"/>
  <c r="O202" i="2"/>
  <c r="L202" i="2"/>
  <c r="I202" i="2"/>
  <c r="G202" i="2"/>
  <c r="F202" i="2"/>
  <c r="E202" i="2"/>
  <c r="BW202" i="2" s="1"/>
  <c r="C202" i="2"/>
  <c r="B202" i="2"/>
  <c r="DJ201" i="2"/>
  <c r="DF201" i="2"/>
  <c r="DD201" i="2"/>
  <c r="CZ201" i="2"/>
  <c r="CV201" i="2"/>
  <c r="CR201" i="2"/>
  <c r="CP201" i="2"/>
  <c r="CN201" i="2"/>
  <c r="CH201" i="2"/>
  <c r="CF201" i="2"/>
  <c r="CD201" i="2"/>
  <c r="CB201" i="2"/>
  <c r="BZ201" i="2"/>
  <c r="BX201" i="2"/>
  <c r="BU201" i="2"/>
  <c r="BT201" i="2"/>
  <c r="BS201" i="2"/>
  <c r="BM201" i="2"/>
  <c r="BL201" i="2"/>
  <c r="BK201" i="2"/>
  <c r="BE201" i="2"/>
  <c r="BB201" i="2"/>
  <c r="AY201" i="2"/>
  <c r="AM201" i="2"/>
  <c r="AD201" i="2"/>
  <c r="AA201" i="2"/>
  <c r="U201" i="2"/>
  <c r="O201" i="2"/>
  <c r="L201" i="2"/>
  <c r="I201" i="2"/>
  <c r="G201" i="2"/>
  <c r="F201" i="2"/>
  <c r="E201" i="2"/>
  <c r="BW201" i="2" s="1"/>
  <c r="C201" i="2"/>
  <c r="B201" i="2"/>
  <c r="DJ200" i="2"/>
  <c r="DF200" i="2"/>
  <c r="DD200" i="2"/>
  <c r="CZ200" i="2"/>
  <c r="CV200" i="2"/>
  <c r="CR200" i="2"/>
  <c r="CP200" i="2"/>
  <c r="CN200" i="2"/>
  <c r="CH200" i="2"/>
  <c r="CF200" i="2"/>
  <c r="CD200" i="2"/>
  <c r="CB200" i="2"/>
  <c r="BZ200" i="2"/>
  <c r="BX200" i="2"/>
  <c r="BU200" i="2"/>
  <c r="BT200" i="2"/>
  <c r="BS200" i="2"/>
  <c r="BM200" i="2"/>
  <c r="BL200" i="2"/>
  <c r="BK200" i="2"/>
  <c r="BE200" i="2"/>
  <c r="BB200" i="2"/>
  <c r="AY200" i="2"/>
  <c r="AM200" i="2"/>
  <c r="AD200" i="2"/>
  <c r="AA200" i="2"/>
  <c r="U200" i="2"/>
  <c r="O200" i="2"/>
  <c r="L200" i="2"/>
  <c r="I200" i="2"/>
  <c r="G200" i="2"/>
  <c r="F200" i="2"/>
  <c r="E200" i="2"/>
  <c r="BW200" i="2" s="1"/>
  <c r="C200" i="2"/>
  <c r="B200" i="2"/>
  <c r="DJ199" i="2"/>
  <c r="DF199" i="2"/>
  <c r="DD199" i="2"/>
  <c r="CZ199" i="2"/>
  <c r="CV199" i="2"/>
  <c r="CR199" i="2"/>
  <c r="CP199" i="2"/>
  <c r="CN199" i="2"/>
  <c r="CH199" i="2"/>
  <c r="CF199" i="2"/>
  <c r="CD199" i="2"/>
  <c r="CB199" i="2"/>
  <c r="BZ199" i="2"/>
  <c r="BX199" i="2"/>
  <c r="BU199" i="2"/>
  <c r="BT199" i="2"/>
  <c r="BS199" i="2"/>
  <c r="BM199" i="2"/>
  <c r="BL199" i="2"/>
  <c r="BK199" i="2"/>
  <c r="BE199" i="2"/>
  <c r="BB199" i="2"/>
  <c r="AY199" i="2"/>
  <c r="AM199" i="2"/>
  <c r="AD199" i="2"/>
  <c r="AA199" i="2"/>
  <c r="U199" i="2"/>
  <c r="O199" i="2"/>
  <c r="L199" i="2"/>
  <c r="I199" i="2"/>
  <c r="G199" i="2"/>
  <c r="F199" i="2"/>
  <c r="E199" i="2"/>
  <c r="BW199" i="2" s="1"/>
  <c r="C199" i="2"/>
  <c r="B199" i="2"/>
  <c r="DJ198" i="2"/>
  <c r="DF198" i="2"/>
  <c r="DD198" i="2"/>
  <c r="CZ198" i="2"/>
  <c r="CV198" i="2"/>
  <c r="CR198" i="2"/>
  <c r="CP198" i="2"/>
  <c r="CN198" i="2"/>
  <c r="CH198" i="2"/>
  <c r="CF198" i="2"/>
  <c r="CD198" i="2"/>
  <c r="CB198" i="2"/>
  <c r="BZ198" i="2"/>
  <c r="BX198" i="2"/>
  <c r="BU198" i="2"/>
  <c r="BT198" i="2"/>
  <c r="BS198" i="2"/>
  <c r="BM198" i="2"/>
  <c r="BL198" i="2"/>
  <c r="BK198" i="2"/>
  <c r="BE198" i="2"/>
  <c r="BB198" i="2"/>
  <c r="AY198" i="2"/>
  <c r="AM198" i="2"/>
  <c r="AD198" i="2"/>
  <c r="AA198" i="2"/>
  <c r="U198" i="2"/>
  <c r="O198" i="2"/>
  <c r="L198" i="2"/>
  <c r="I198" i="2"/>
  <c r="G198" i="2"/>
  <c r="F198" i="2"/>
  <c r="E198" i="2"/>
  <c r="C198" i="2"/>
  <c r="B198" i="2"/>
  <c r="DJ197" i="2"/>
  <c r="DF197" i="2"/>
  <c r="DD197" i="2"/>
  <c r="CZ197" i="2"/>
  <c r="CV197" i="2"/>
  <c r="CR197" i="2"/>
  <c r="CP197" i="2"/>
  <c r="CN197" i="2"/>
  <c r="CH197" i="2"/>
  <c r="CF197" i="2"/>
  <c r="CD197" i="2"/>
  <c r="CB197" i="2"/>
  <c r="BZ197" i="2"/>
  <c r="BX197" i="2"/>
  <c r="BU197" i="2"/>
  <c r="BT197" i="2"/>
  <c r="BS197" i="2"/>
  <c r="BM197" i="2"/>
  <c r="BL197" i="2"/>
  <c r="BK197" i="2"/>
  <c r="BE197" i="2"/>
  <c r="BB197" i="2"/>
  <c r="AY197" i="2"/>
  <c r="AM197" i="2"/>
  <c r="AD197" i="2"/>
  <c r="AA197" i="2"/>
  <c r="U197" i="2"/>
  <c r="O197" i="2"/>
  <c r="L197" i="2"/>
  <c r="I197" i="2"/>
  <c r="G197" i="2"/>
  <c r="F197" i="2"/>
  <c r="E197" i="2"/>
  <c r="BW197" i="2" s="1"/>
  <c r="C197" i="2"/>
  <c r="B197" i="2"/>
  <c r="DJ196" i="2"/>
  <c r="DF196" i="2"/>
  <c r="DD196" i="2"/>
  <c r="CZ196" i="2"/>
  <c r="CV196" i="2"/>
  <c r="CR196" i="2"/>
  <c r="CP196" i="2"/>
  <c r="CN196" i="2"/>
  <c r="CH196" i="2"/>
  <c r="CF196" i="2"/>
  <c r="CD196" i="2"/>
  <c r="CB196" i="2"/>
  <c r="BZ196" i="2"/>
  <c r="BX196" i="2"/>
  <c r="BU196" i="2"/>
  <c r="BT196" i="2"/>
  <c r="BS196" i="2"/>
  <c r="BM196" i="2"/>
  <c r="BL196" i="2"/>
  <c r="BK196" i="2"/>
  <c r="BE196" i="2"/>
  <c r="BB196" i="2"/>
  <c r="AY196" i="2"/>
  <c r="AM196" i="2"/>
  <c r="AD196" i="2"/>
  <c r="AA196" i="2"/>
  <c r="U196" i="2"/>
  <c r="O196" i="2"/>
  <c r="L196" i="2"/>
  <c r="I196" i="2"/>
  <c r="G196" i="2"/>
  <c r="F196" i="2"/>
  <c r="E196" i="2"/>
  <c r="BW196" i="2" s="1"/>
  <c r="C196" i="2"/>
  <c r="B196" i="2"/>
  <c r="DJ195" i="2"/>
  <c r="DF195" i="2"/>
  <c r="DD195" i="2"/>
  <c r="CZ195" i="2"/>
  <c r="CV195" i="2"/>
  <c r="CR195" i="2"/>
  <c r="CP195" i="2"/>
  <c r="CN195" i="2"/>
  <c r="CH195" i="2"/>
  <c r="CF195" i="2"/>
  <c r="CD195" i="2"/>
  <c r="CB195" i="2"/>
  <c r="BZ195" i="2"/>
  <c r="BX195" i="2"/>
  <c r="BU195" i="2"/>
  <c r="BT195" i="2"/>
  <c r="BS195" i="2"/>
  <c r="BM195" i="2"/>
  <c r="BL195" i="2"/>
  <c r="BK195" i="2"/>
  <c r="BE195" i="2"/>
  <c r="BB195" i="2"/>
  <c r="AY195" i="2"/>
  <c r="AM195" i="2"/>
  <c r="AD195" i="2"/>
  <c r="AA195" i="2"/>
  <c r="U195" i="2"/>
  <c r="O195" i="2"/>
  <c r="L195" i="2"/>
  <c r="I195" i="2"/>
  <c r="G195" i="2"/>
  <c r="F195" i="2"/>
  <c r="E195" i="2"/>
  <c r="BW195" i="2" s="1"/>
  <c r="C195" i="2"/>
  <c r="B195" i="2"/>
  <c r="DJ194" i="2"/>
  <c r="DF194" i="2"/>
  <c r="DD194" i="2"/>
  <c r="CZ194" i="2"/>
  <c r="CV194" i="2"/>
  <c r="CR194" i="2"/>
  <c r="CP194" i="2"/>
  <c r="CN194" i="2"/>
  <c r="CH194" i="2"/>
  <c r="CF194" i="2"/>
  <c r="CD194" i="2"/>
  <c r="CB194" i="2"/>
  <c r="BZ194" i="2"/>
  <c r="BX194" i="2"/>
  <c r="BU194" i="2"/>
  <c r="BT194" i="2"/>
  <c r="BS194" i="2"/>
  <c r="BM194" i="2"/>
  <c r="BL194" i="2"/>
  <c r="BK194" i="2"/>
  <c r="BE194" i="2"/>
  <c r="BB194" i="2"/>
  <c r="AY194" i="2"/>
  <c r="AM194" i="2"/>
  <c r="AD194" i="2"/>
  <c r="AA194" i="2"/>
  <c r="U194" i="2"/>
  <c r="O194" i="2"/>
  <c r="L194" i="2"/>
  <c r="I194" i="2"/>
  <c r="G194" i="2"/>
  <c r="F194" i="2"/>
  <c r="E194" i="2"/>
  <c r="BW194" i="2" s="1"/>
  <c r="C194" i="2"/>
  <c r="B194" i="2"/>
  <c r="DJ193" i="2"/>
  <c r="DF193" i="2"/>
  <c r="DD193" i="2"/>
  <c r="CZ193" i="2"/>
  <c r="CV193" i="2"/>
  <c r="CR193" i="2"/>
  <c r="CP193" i="2"/>
  <c r="CN193" i="2"/>
  <c r="CH193" i="2"/>
  <c r="CF193" i="2"/>
  <c r="CD193" i="2"/>
  <c r="CB193" i="2"/>
  <c r="BZ193" i="2"/>
  <c r="BX193" i="2"/>
  <c r="BU193" i="2"/>
  <c r="BT193" i="2"/>
  <c r="BS193" i="2"/>
  <c r="BM193" i="2"/>
  <c r="BL193" i="2"/>
  <c r="BK193" i="2"/>
  <c r="BE193" i="2"/>
  <c r="BB193" i="2"/>
  <c r="AY193" i="2"/>
  <c r="AM193" i="2"/>
  <c r="AD193" i="2"/>
  <c r="AA193" i="2"/>
  <c r="U193" i="2"/>
  <c r="O193" i="2"/>
  <c r="L193" i="2"/>
  <c r="I193" i="2"/>
  <c r="G193" i="2"/>
  <c r="F193" i="2"/>
  <c r="E193" i="2"/>
  <c r="BW193" i="2" s="1"/>
  <c r="C193" i="2"/>
  <c r="B193" i="2"/>
  <c r="DJ192" i="2"/>
  <c r="DF192" i="2"/>
  <c r="DD192" i="2"/>
  <c r="CZ192" i="2"/>
  <c r="CV192" i="2"/>
  <c r="CR192" i="2"/>
  <c r="CP192" i="2"/>
  <c r="CN192" i="2"/>
  <c r="CH192" i="2"/>
  <c r="CF192" i="2"/>
  <c r="CD192" i="2"/>
  <c r="CB192" i="2"/>
  <c r="BZ192" i="2"/>
  <c r="BX192" i="2"/>
  <c r="BU192" i="2"/>
  <c r="BT192" i="2"/>
  <c r="BS192" i="2"/>
  <c r="BM192" i="2"/>
  <c r="BL192" i="2"/>
  <c r="BK192" i="2"/>
  <c r="BE192" i="2"/>
  <c r="BB192" i="2"/>
  <c r="AY192" i="2"/>
  <c r="AM192" i="2"/>
  <c r="AD192" i="2"/>
  <c r="AA192" i="2"/>
  <c r="U192" i="2"/>
  <c r="O192" i="2"/>
  <c r="L192" i="2"/>
  <c r="I192" i="2"/>
  <c r="G192" i="2"/>
  <c r="F192" i="2"/>
  <c r="E192" i="2"/>
  <c r="C192" i="2"/>
  <c r="B192" i="2"/>
  <c r="DJ191" i="2"/>
  <c r="DF191" i="2"/>
  <c r="DD191" i="2"/>
  <c r="CZ191" i="2"/>
  <c r="CV191" i="2"/>
  <c r="CR191" i="2"/>
  <c r="CP191" i="2"/>
  <c r="CN191" i="2"/>
  <c r="CH191" i="2"/>
  <c r="CF191" i="2"/>
  <c r="CD191" i="2"/>
  <c r="CB191" i="2"/>
  <c r="BZ191" i="2"/>
  <c r="BX191" i="2"/>
  <c r="BU191" i="2"/>
  <c r="BT191" i="2"/>
  <c r="BS191" i="2"/>
  <c r="BM191" i="2"/>
  <c r="BL191" i="2"/>
  <c r="BK191" i="2"/>
  <c r="BE191" i="2"/>
  <c r="BB191" i="2"/>
  <c r="AY191" i="2"/>
  <c r="AM191" i="2"/>
  <c r="AD191" i="2"/>
  <c r="AA191" i="2"/>
  <c r="U191" i="2"/>
  <c r="O191" i="2"/>
  <c r="L191" i="2"/>
  <c r="I191" i="2"/>
  <c r="G191" i="2"/>
  <c r="F191" i="2"/>
  <c r="E191" i="2"/>
  <c r="BW191" i="2" s="1"/>
  <c r="C191" i="2"/>
  <c r="B191" i="2"/>
  <c r="DJ190" i="2"/>
  <c r="DF190" i="2"/>
  <c r="DD190" i="2"/>
  <c r="CZ190" i="2"/>
  <c r="CV190" i="2"/>
  <c r="CR190" i="2"/>
  <c r="CP190" i="2"/>
  <c r="CN190" i="2"/>
  <c r="CH190" i="2"/>
  <c r="CF190" i="2"/>
  <c r="CD190" i="2"/>
  <c r="CB190" i="2"/>
  <c r="BZ190" i="2"/>
  <c r="BX190" i="2"/>
  <c r="BU190" i="2"/>
  <c r="BT190" i="2"/>
  <c r="BS190" i="2"/>
  <c r="BM190" i="2"/>
  <c r="BL190" i="2"/>
  <c r="BK190" i="2"/>
  <c r="BE190" i="2"/>
  <c r="BB190" i="2"/>
  <c r="AY190" i="2"/>
  <c r="AM190" i="2"/>
  <c r="AD190" i="2"/>
  <c r="AA190" i="2"/>
  <c r="U190" i="2"/>
  <c r="O190" i="2"/>
  <c r="L190" i="2"/>
  <c r="I190" i="2"/>
  <c r="G190" i="2"/>
  <c r="F190" i="2"/>
  <c r="E190" i="2"/>
  <c r="BW190" i="2" s="1"/>
  <c r="C190" i="2"/>
  <c r="B190" i="2"/>
  <c r="DJ189" i="2"/>
  <c r="DF189" i="2"/>
  <c r="DD189" i="2"/>
  <c r="CZ189" i="2"/>
  <c r="CV189" i="2"/>
  <c r="CR189" i="2"/>
  <c r="CP189" i="2"/>
  <c r="CN189" i="2"/>
  <c r="CH189" i="2"/>
  <c r="CF189" i="2"/>
  <c r="CD189" i="2"/>
  <c r="CB189" i="2"/>
  <c r="BZ189" i="2"/>
  <c r="BX189" i="2"/>
  <c r="BU189" i="2"/>
  <c r="BT189" i="2"/>
  <c r="BS189" i="2"/>
  <c r="BM189" i="2"/>
  <c r="BL189" i="2"/>
  <c r="BK189" i="2"/>
  <c r="BE189" i="2"/>
  <c r="BB189" i="2"/>
  <c r="AY189" i="2"/>
  <c r="AM189" i="2"/>
  <c r="AD189" i="2"/>
  <c r="AA189" i="2"/>
  <c r="U189" i="2"/>
  <c r="O189" i="2"/>
  <c r="L189" i="2"/>
  <c r="I189" i="2"/>
  <c r="G189" i="2"/>
  <c r="F189" i="2"/>
  <c r="E189" i="2"/>
  <c r="C189" i="2"/>
  <c r="B189" i="2"/>
  <c r="DJ188" i="2"/>
  <c r="DF188" i="2"/>
  <c r="DD188" i="2"/>
  <c r="CZ188" i="2"/>
  <c r="CV188" i="2"/>
  <c r="CR188" i="2"/>
  <c r="CP188" i="2"/>
  <c r="CN188" i="2"/>
  <c r="CH188" i="2"/>
  <c r="CF188" i="2"/>
  <c r="CD188" i="2"/>
  <c r="CB188" i="2"/>
  <c r="BZ188" i="2"/>
  <c r="BX188" i="2"/>
  <c r="BU188" i="2"/>
  <c r="BT188" i="2"/>
  <c r="BS188" i="2"/>
  <c r="BM188" i="2"/>
  <c r="BL188" i="2"/>
  <c r="BK188" i="2"/>
  <c r="BE188" i="2"/>
  <c r="BB188" i="2"/>
  <c r="AY188" i="2"/>
  <c r="AM188" i="2"/>
  <c r="AD188" i="2"/>
  <c r="AA188" i="2"/>
  <c r="U188" i="2"/>
  <c r="O188" i="2"/>
  <c r="L188" i="2"/>
  <c r="I188" i="2"/>
  <c r="G188" i="2"/>
  <c r="F188" i="2"/>
  <c r="E188" i="2"/>
  <c r="BW188" i="2" s="1"/>
  <c r="C188" i="2"/>
  <c r="B188" i="2"/>
  <c r="DJ187" i="2"/>
  <c r="DF187" i="2"/>
  <c r="DD187" i="2"/>
  <c r="CZ187" i="2"/>
  <c r="CV187" i="2"/>
  <c r="CR187" i="2"/>
  <c r="CP187" i="2"/>
  <c r="CN187" i="2"/>
  <c r="CH187" i="2"/>
  <c r="CF187" i="2"/>
  <c r="CD187" i="2"/>
  <c r="CB187" i="2"/>
  <c r="BZ187" i="2"/>
  <c r="BX187" i="2"/>
  <c r="BU187" i="2"/>
  <c r="BT187" i="2"/>
  <c r="BS187" i="2"/>
  <c r="BM187" i="2"/>
  <c r="BL187" i="2"/>
  <c r="BK187" i="2"/>
  <c r="BE187" i="2"/>
  <c r="BB187" i="2"/>
  <c r="AY187" i="2"/>
  <c r="AM187" i="2"/>
  <c r="AD187" i="2"/>
  <c r="AA187" i="2"/>
  <c r="U187" i="2"/>
  <c r="O187" i="2"/>
  <c r="L187" i="2"/>
  <c r="I187" i="2"/>
  <c r="G187" i="2"/>
  <c r="F187" i="2"/>
  <c r="E187" i="2"/>
  <c r="BW187" i="2" s="1"/>
  <c r="C187" i="2"/>
  <c r="B187" i="2"/>
  <c r="DJ186" i="2"/>
  <c r="DF186" i="2"/>
  <c r="DD186" i="2"/>
  <c r="CZ186" i="2"/>
  <c r="CV186" i="2"/>
  <c r="CR186" i="2"/>
  <c r="CP186" i="2"/>
  <c r="CN186" i="2"/>
  <c r="CH186" i="2"/>
  <c r="CF186" i="2"/>
  <c r="CD186" i="2"/>
  <c r="CB186" i="2"/>
  <c r="BZ186" i="2"/>
  <c r="BX186" i="2"/>
  <c r="BU186" i="2"/>
  <c r="BT186" i="2"/>
  <c r="BS186" i="2"/>
  <c r="BM186" i="2"/>
  <c r="BL186" i="2"/>
  <c r="BK186" i="2"/>
  <c r="BE186" i="2"/>
  <c r="BB186" i="2"/>
  <c r="AY186" i="2"/>
  <c r="AM186" i="2"/>
  <c r="AD186" i="2"/>
  <c r="AA186" i="2"/>
  <c r="U186" i="2"/>
  <c r="O186" i="2"/>
  <c r="L186" i="2"/>
  <c r="I186" i="2"/>
  <c r="G186" i="2"/>
  <c r="F186" i="2"/>
  <c r="E186" i="2"/>
  <c r="BW186" i="2" s="1"/>
  <c r="C186" i="2"/>
  <c r="B186" i="2"/>
  <c r="DJ185" i="2"/>
  <c r="DF185" i="2"/>
  <c r="DD185" i="2"/>
  <c r="CZ185" i="2"/>
  <c r="CV185" i="2"/>
  <c r="CR185" i="2"/>
  <c r="CP185" i="2"/>
  <c r="CN185" i="2"/>
  <c r="CH185" i="2"/>
  <c r="CF185" i="2"/>
  <c r="CD185" i="2"/>
  <c r="CB185" i="2"/>
  <c r="BZ185" i="2"/>
  <c r="BX185" i="2"/>
  <c r="BU185" i="2"/>
  <c r="BT185" i="2"/>
  <c r="BS185" i="2"/>
  <c r="BM185" i="2"/>
  <c r="BL185" i="2"/>
  <c r="BK185" i="2"/>
  <c r="BE185" i="2"/>
  <c r="BB185" i="2"/>
  <c r="AY185" i="2"/>
  <c r="AM185" i="2"/>
  <c r="AD185" i="2"/>
  <c r="AA185" i="2"/>
  <c r="U185" i="2"/>
  <c r="O185" i="2"/>
  <c r="L185" i="2"/>
  <c r="I185" i="2"/>
  <c r="G185" i="2"/>
  <c r="F185" i="2"/>
  <c r="E185" i="2"/>
  <c r="C185" i="2"/>
  <c r="B185" i="2"/>
  <c r="DJ184" i="2"/>
  <c r="DF184" i="2"/>
  <c r="DD184" i="2"/>
  <c r="CZ184" i="2"/>
  <c r="CV184" i="2"/>
  <c r="CR184" i="2"/>
  <c r="CP184" i="2"/>
  <c r="CN184" i="2"/>
  <c r="CH184" i="2"/>
  <c r="CF184" i="2"/>
  <c r="CD184" i="2"/>
  <c r="CB184" i="2"/>
  <c r="BZ184" i="2"/>
  <c r="BX184" i="2"/>
  <c r="BU184" i="2"/>
  <c r="BT184" i="2"/>
  <c r="BS184" i="2"/>
  <c r="BM184" i="2"/>
  <c r="BL184" i="2"/>
  <c r="BK184" i="2"/>
  <c r="BE184" i="2"/>
  <c r="BB184" i="2"/>
  <c r="AY184" i="2"/>
  <c r="AM184" i="2"/>
  <c r="AD184" i="2"/>
  <c r="AA184" i="2"/>
  <c r="U184" i="2"/>
  <c r="O184" i="2"/>
  <c r="L184" i="2"/>
  <c r="I184" i="2"/>
  <c r="G184" i="2"/>
  <c r="F184" i="2"/>
  <c r="E184" i="2"/>
  <c r="BW184" i="2" s="1"/>
  <c r="C184" i="2"/>
  <c r="B184" i="2"/>
  <c r="DJ183" i="2"/>
  <c r="DF183" i="2"/>
  <c r="DD183" i="2"/>
  <c r="CZ183" i="2"/>
  <c r="CV183" i="2"/>
  <c r="CR183" i="2"/>
  <c r="CP183" i="2"/>
  <c r="CN183" i="2"/>
  <c r="CH183" i="2"/>
  <c r="CF183" i="2"/>
  <c r="CD183" i="2"/>
  <c r="CB183" i="2"/>
  <c r="BZ183" i="2"/>
  <c r="BX183" i="2"/>
  <c r="BU183" i="2"/>
  <c r="BT183" i="2"/>
  <c r="BS183" i="2"/>
  <c r="BM183" i="2"/>
  <c r="BL183" i="2"/>
  <c r="BK183" i="2"/>
  <c r="BE183" i="2"/>
  <c r="BB183" i="2"/>
  <c r="AY183" i="2"/>
  <c r="AM183" i="2"/>
  <c r="AD183" i="2"/>
  <c r="AA183" i="2"/>
  <c r="U183" i="2"/>
  <c r="O183" i="2"/>
  <c r="L183" i="2"/>
  <c r="I183" i="2"/>
  <c r="G183" i="2"/>
  <c r="F183" i="2"/>
  <c r="E183" i="2"/>
  <c r="BW183" i="2" s="1"/>
  <c r="C183" i="2"/>
  <c r="B183" i="2"/>
  <c r="DJ182" i="2"/>
  <c r="DF182" i="2"/>
  <c r="DD182" i="2"/>
  <c r="CZ182" i="2"/>
  <c r="CV182" i="2"/>
  <c r="CR182" i="2"/>
  <c r="CP182" i="2"/>
  <c r="CN182" i="2"/>
  <c r="CH182" i="2"/>
  <c r="CF182" i="2"/>
  <c r="CD182" i="2"/>
  <c r="CB182" i="2"/>
  <c r="BZ182" i="2"/>
  <c r="BX182" i="2"/>
  <c r="BU182" i="2"/>
  <c r="BT182" i="2"/>
  <c r="BS182" i="2"/>
  <c r="BM182" i="2"/>
  <c r="BL182" i="2"/>
  <c r="BK182" i="2"/>
  <c r="BE182" i="2"/>
  <c r="BB182" i="2"/>
  <c r="AY182" i="2"/>
  <c r="AM182" i="2"/>
  <c r="AD182" i="2"/>
  <c r="AA182" i="2"/>
  <c r="U182" i="2"/>
  <c r="O182" i="2"/>
  <c r="L182" i="2"/>
  <c r="I182" i="2"/>
  <c r="G182" i="2"/>
  <c r="F182" i="2"/>
  <c r="E182" i="2"/>
  <c r="BW182" i="2" s="1"/>
  <c r="C182" i="2"/>
  <c r="B182" i="2"/>
  <c r="DJ181" i="2"/>
  <c r="DF181" i="2"/>
  <c r="DD181" i="2"/>
  <c r="CZ181" i="2"/>
  <c r="CV181" i="2"/>
  <c r="CR181" i="2"/>
  <c r="CP181" i="2"/>
  <c r="CN181" i="2"/>
  <c r="CH181" i="2"/>
  <c r="CF181" i="2"/>
  <c r="CD181" i="2"/>
  <c r="CB181" i="2"/>
  <c r="BZ181" i="2"/>
  <c r="BX181" i="2"/>
  <c r="BU181" i="2"/>
  <c r="BT181" i="2"/>
  <c r="BS181" i="2"/>
  <c r="BM181" i="2"/>
  <c r="BL181" i="2"/>
  <c r="BK181" i="2"/>
  <c r="BE181" i="2"/>
  <c r="BB181" i="2"/>
  <c r="AY181" i="2"/>
  <c r="AM181" i="2"/>
  <c r="AD181" i="2"/>
  <c r="AA181" i="2"/>
  <c r="U181" i="2"/>
  <c r="O181" i="2"/>
  <c r="L181" i="2"/>
  <c r="I181" i="2"/>
  <c r="G181" i="2"/>
  <c r="F181" i="2"/>
  <c r="E181" i="2"/>
  <c r="BW181" i="2" s="1"/>
  <c r="C181" i="2"/>
  <c r="B181" i="2"/>
  <c r="DJ180" i="2"/>
  <c r="DF180" i="2"/>
  <c r="DD180" i="2"/>
  <c r="CZ180" i="2"/>
  <c r="CV180" i="2"/>
  <c r="CR180" i="2"/>
  <c r="CP180" i="2"/>
  <c r="CN180" i="2"/>
  <c r="CH180" i="2"/>
  <c r="CF180" i="2"/>
  <c r="CD180" i="2"/>
  <c r="CB180" i="2"/>
  <c r="BZ180" i="2"/>
  <c r="BX180" i="2"/>
  <c r="BU180" i="2"/>
  <c r="BT180" i="2"/>
  <c r="BS180" i="2"/>
  <c r="BM180" i="2"/>
  <c r="BL180" i="2"/>
  <c r="BK180" i="2"/>
  <c r="BE180" i="2"/>
  <c r="BB180" i="2"/>
  <c r="AY180" i="2"/>
  <c r="AM180" i="2"/>
  <c r="AD180" i="2"/>
  <c r="AA180" i="2"/>
  <c r="U180" i="2"/>
  <c r="O180" i="2"/>
  <c r="L180" i="2"/>
  <c r="I180" i="2"/>
  <c r="G180" i="2"/>
  <c r="F180" i="2"/>
  <c r="E180" i="2"/>
  <c r="BW180" i="2" s="1"/>
  <c r="C180" i="2"/>
  <c r="B180" i="2"/>
  <c r="DJ179" i="2"/>
  <c r="DF179" i="2"/>
  <c r="DD179" i="2"/>
  <c r="CZ179" i="2"/>
  <c r="CV179" i="2"/>
  <c r="CR179" i="2"/>
  <c r="CP179" i="2"/>
  <c r="CN179" i="2"/>
  <c r="CH179" i="2"/>
  <c r="CF179" i="2"/>
  <c r="CD179" i="2"/>
  <c r="CB179" i="2"/>
  <c r="BZ179" i="2"/>
  <c r="BX179" i="2"/>
  <c r="BU179" i="2"/>
  <c r="BT179" i="2"/>
  <c r="BS179" i="2"/>
  <c r="BM179" i="2"/>
  <c r="BL179" i="2"/>
  <c r="BK179" i="2"/>
  <c r="BE179" i="2"/>
  <c r="BB179" i="2"/>
  <c r="AY179" i="2"/>
  <c r="AM179" i="2"/>
  <c r="AD179" i="2"/>
  <c r="AA179" i="2"/>
  <c r="U179" i="2"/>
  <c r="O179" i="2"/>
  <c r="L179" i="2"/>
  <c r="I179" i="2"/>
  <c r="G179" i="2"/>
  <c r="F179" i="2"/>
  <c r="E179" i="2"/>
  <c r="C179" i="2"/>
  <c r="B179" i="2"/>
  <c r="DJ178" i="2"/>
  <c r="DF178" i="2"/>
  <c r="DD178" i="2"/>
  <c r="CZ178" i="2"/>
  <c r="CV178" i="2"/>
  <c r="CR178" i="2"/>
  <c r="CP178" i="2"/>
  <c r="CN178" i="2"/>
  <c r="CH178" i="2"/>
  <c r="CF178" i="2"/>
  <c r="CD178" i="2"/>
  <c r="CB178" i="2"/>
  <c r="BZ178" i="2"/>
  <c r="BX178" i="2"/>
  <c r="BU178" i="2"/>
  <c r="BT178" i="2"/>
  <c r="BS178" i="2"/>
  <c r="BM178" i="2"/>
  <c r="BL178" i="2"/>
  <c r="BK178" i="2"/>
  <c r="BE178" i="2"/>
  <c r="BB178" i="2"/>
  <c r="AY178" i="2"/>
  <c r="AM178" i="2"/>
  <c r="AD178" i="2"/>
  <c r="AA178" i="2"/>
  <c r="U178" i="2"/>
  <c r="O178" i="2"/>
  <c r="L178" i="2"/>
  <c r="I178" i="2"/>
  <c r="G178" i="2"/>
  <c r="F178" i="2"/>
  <c r="E178" i="2"/>
  <c r="C178" i="2"/>
  <c r="B178" i="2"/>
  <c r="DJ177" i="2"/>
  <c r="DF177" i="2"/>
  <c r="DD177" i="2"/>
  <c r="CZ177" i="2"/>
  <c r="CV177" i="2"/>
  <c r="CR177" i="2"/>
  <c r="CP177" i="2"/>
  <c r="CN177" i="2"/>
  <c r="CH177" i="2"/>
  <c r="CF177" i="2"/>
  <c r="CD177" i="2"/>
  <c r="CB177" i="2"/>
  <c r="BZ177" i="2"/>
  <c r="BX177" i="2"/>
  <c r="BU177" i="2"/>
  <c r="BT177" i="2"/>
  <c r="BS177" i="2"/>
  <c r="BM177" i="2"/>
  <c r="BL177" i="2"/>
  <c r="BK177" i="2"/>
  <c r="BE177" i="2"/>
  <c r="BB177" i="2"/>
  <c r="AY177" i="2"/>
  <c r="AM177" i="2"/>
  <c r="AD177" i="2"/>
  <c r="AA177" i="2"/>
  <c r="U177" i="2"/>
  <c r="O177" i="2"/>
  <c r="L177" i="2"/>
  <c r="I177" i="2"/>
  <c r="G177" i="2"/>
  <c r="F177" i="2"/>
  <c r="E177" i="2"/>
  <c r="BW177" i="2" s="1"/>
  <c r="C177" i="2"/>
  <c r="B177" i="2"/>
  <c r="DJ176" i="2"/>
  <c r="DF176" i="2"/>
  <c r="DD176" i="2"/>
  <c r="CZ176" i="2"/>
  <c r="CV176" i="2"/>
  <c r="CR176" i="2"/>
  <c r="CP176" i="2"/>
  <c r="CN176" i="2"/>
  <c r="CH176" i="2"/>
  <c r="CF176" i="2"/>
  <c r="CD176" i="2"/>
  <c r="CB176" i="2"/>
  <c r="BZ176" i="2"/>
  <c r="BX176" i="2"/>
  <c r="BU176" i="2"/>
  <c r="BT176" i="2"/>
  <c r="BS176" i="2"/>
  <c r="BM176" i="2"/>
  <c r="BL176" i="2"/>
  <c r="BK176" i="2"/>
  <c r="BE176" i="2"/>
  <c r="BB176" i="2"/>
  <c r="AY176" i="2"/>
  <c r="AM176" i="2"/>
  <c r="AD176" i="2"/>
  <c r="AA176" i="2"/>
  <c r="U176" i="2"/>
  <c r="O176" i="2"/>
  <c r="L176" i="2"/>
  <c r="I176" i="2"/>
  <c r="G176" i="2"/>
  <c r="F176" i="2"/>
  <c r="E176" i="2"/>
  <c r="BW176" i="2" s="1"/>
  <c r="C176" i="2"/>
  <c r="B176" i="2"/>
  <c r="DJ175" i="2"/>
  <c r="DF175" i="2"/>
  <c r="DD175" i="2"/>
  <c r="CZ175" i="2"/>
  <c r="CV175" i="2"/>
  <c r="CR175" i="2"/>
  <c r="CP175" i="2"/>
  <c r="CN175" i="2"/>
  <c r="CH175" i="2"/>
  <c r="CF175" i="2"/>
  <c r="CD175" i="2"/>
  <c r="CB175" i="2"/>
  <c r="BZ175" i="2"/>
  <c r="BX175" i="2"/>
  <c r="BU175" i="2"/>
  <c r="BT175" i="2"/>
  <c r="BS175" i="2"/>
  <c r="BM175" i="2"/>
  <c r="BL175" i="2"/>
  <c r="BK175" i="2"/>
  <c r="BE175" i="2"/>
  <c r="BB175" i="2"/>
  <c r="AY175" i="2"/>
  <c r="AM175" i="2"/>
  <c r="AD175" i="2"/>
  <c r="AA175" i="2"/>
  <c r="U175" i="2"/>
  <c r="O175" i="2"/>
  <c r="L175" i="2"/>
  <c r="I175" i="2"/>
  <c r="G175" i="2"/>
  <c r="F175" i="2"/>
  <c r="E175" i="2"/>
  <c r="BW175" i="2" s="1"/>
  <c r="C175" i="2"/>
  <c r="B175" i="2"/>
  <c r="DJ174" i="2"/>
  <c r="DF174" i="2"/>
  <c r="DD174" i="2"/>
  <c r="CZ174" i="2"/>
  <c r="CV174" i="2"/>
  <c r="CR174" i="2"/>
  <c r="CP174" i="2"/>
  <c r="CN174" i="2"/>
  <c r="CH174" i="2"/>
  <c r="CF174" i="2"/>
  <c r="CD174" i="2"/>
  <c r="CB174" i="2"/>
  <c r="BZ174" i="2"/>
  <c r="BX174" i="2"/>
  <c r="BU174" i="2"/>
  <c r="BT174" i="2"/>
  <c r="BS174" i="2"/>
  <c r="BM174" i="2"/>
  <c r="BL174" i="2"/>
  <c r="BK174" i="2"/>
  <c r="BE174" i="2"/>
  <c r="BB174" i="2"/>
  <c r="AY174" i="2"/>
  <c r="AM174" i="2"/>
  <c r="AD174" i="2"/>
  <c r="AA174" i="2"/>
  <c r="U174" i="2"/>
  <c r="O174" i="2"/>
  <c r="L174" i="2"/>
  <c r="I174" i="2"/>
  <c r="G174" i="2"/>
  <c r="F174" i="2"/>
  <c r="E174" i="2"/>
  <c r="BW174" i="2" s="1"/>
  <c r="C174" i="2"/>
  <c r="B174" i="2"/>
  <c r="DJ173" i="2"/>
  <c r="DF173" i="2"/>
  <c r="DD173" i="2"/>
  <c r="CZ173" i="2"/>
  <c r="CV173" i="2"/>
  <c r="CR173" i="2"/>
  <c r="CP173" i="2"/>
  <c r="CN173" i="2"/>
  <c r="CH173" i="2"/>
  <c r="CF173" i="2"/>
  <c r="CD173" i="2"/>
  <c r="CB173" i="2"/>
  <c r="BZ173" i="2"/>
  <c r="BX173" i="2"/>
  <c r="BU173" i="2"/>
  <c r="BT173" i="2"/>
  <c r="BS173" i="2"/>
  <c r="BM173" i="2"/>
  <c r="BL173" i="2"/>
  <c r="BK173" i="2"/>
  <c r="BE173" i="2"/>
  <c r="BB173" i="2"/>
  <c r="AY173" i="2"/>
  <c r="AM173" i="2"/>
  <c r="AD173" i="2"/>
  <c r="AA173" i="2"/>
  <c r="U173" i="2"/>
  <c r="O173" i="2"/>
  <c r="L173" i="2"/>
  <c r="I173" i="2"/>
  <c r="G173" i="2"/>
  <c r="F173" i="2"/>
  <c r="E173" i="2"/>
  <c r="BW173" i="2" s="1"/>
  <c r="C173" i="2"/>
  <c r="B173" i="2"/>
  <c r="DJ172" i="2"/>
  <c r="DF172" i="2"/>
  <c r="DD172" i="2"/>
  <c r="CZ172" i="2"/>
  <c r="CV172" i="2"/>
  <c r="CR172" i="2"/>
  <c r="CP172" i="2"/>
  <c r="CN172" i="2"/>
  <c r="CH172" i="2"/>
  <c r="CF172" i="2"/>
  <c r="CD172" i="2"/>
  <c r="CB172" i="2"/>
  <c r="BZ172" i="2"/>
  <c r="BX172" i="2"/>
  <c r="BU172" i="2"/>
  <c r="BT172" i="2"/>
  <c r="BS172" i="2"/>
  <c r="BM172" i="2"/>
  <c r="BL172" i="2"/>
  <c r="BK172" i="2"/>
  <c r="BE172" i="2"/>
  <c r="BB172" i="2"/>
  <c r="AY172" i="2"/>
  <c r="AM172" i="2"/>
  <c r="AD172" i="2"/>
  <c r="AA172" i="2"/>
  <c r="U172" i="2"/>
  <c r="O172" i="2"/>
  <c r="L172" i="2"/>
  <c r="I172" i="2"/>
  <c r="G172" i="2"/>
  <c r="F172" i="2"/>
  <c r="E172" i="2"/>
  <c r="C172" i="2"/>
  <c r="B172" i="2"/>
  <c r="DJ171" i="2"/>
  <c r="DF171" i="2"/>
  <c r="DD171" i="2"/>
  <c r="CZ171" i="2"/>
  <c r="CV171" i="2"/>
  <c r="CR171" i="2"/>
  <c r="CP171" i="2"/>
  <c r="CN171" i="2"/>
  <c r="CH171" i="2"/>
  <c r="CF171" i="2"/>
  <c r="CD171" i="2"/>
  <c r="CB171" i="2"/>
  <c r="BZ171" i="2"/>
  <c r="BX171" i="2"/>
  <c r="BU171" i="2"/>
  <c r="BT171" i="2"/>
  <c r="BS171" i="2"/>
  <c r="BM171" i="2"/>
  <c r="BL171" i="2"/>
  <c r="BK171" i="2"/>
  <c r="BE171" i="2"/>
  <c r="BB171" i="2"/>
  <c r="AY171" i="2"/>
  <c r="AM171" i="2"/>
  <c r="AD171" i="2"/>
  <c r="AA171" i="2"/>
  <c r="U171" i="2"/>
  <c r="O171" i="2"/>
  <c r="L171" i="2"/>
  <c r="I171" i="2"/>
  <c r="G171" i="2"/>
  <c r="F171" i="2"/>
  <c r="E171" i="2"/>
  <c r="BW171" i="2" s="1"/>
  <c r="C171" i="2"/>
  <c r="B171" i="2"/>
  <c r="DJ170" i="2"/>
  <c r="DF170" i="2"/>
  <c r="DD170" i="2"/>
  <c r="CZ170" i="2"/>
  <c r="CV170" i="2"/>
  <c r="CR170" i="2"/>
  <c r="CP170" i="2"/>
  <c r="CN170" i="2"/>
  <c r="CH170" i="2"/>
  <c r="CF170" i="2"/>
  <c r="CD170" i="2"/>
  <c r="CB170" i="2"/>
  <c r="BZ170" i="2"/>
  <c r="BX170" i="2"/>
  <c r="BU170" i="2"/>
  <c r="BT170" i="2"/>
  <c r="BS170" i="2"/>
  <c r="BM170" i="2"/>
  <c r="BL170" i="2"/>
  <c r="BK170" i="2"/>
  <c r="BE170" i="2"/>
  <c r="BB170" i="2"/>
  <c r="AY170" i="2"/>
  <c r="AM170" i="2"/>
  <c r="AD170" i="2"/>
  <c r="AA170" i="2"/>
  <c r="U170" i="2"/>
  <c r="O170" i="2"/>
  <c r="L170" i="2"/>
  <c r="I170" i="2"/>
  <c r="G170" i="2"/>
  <c r="F170" i="2"/>
  <c r="E170" i="2"/>
  <c r="BW170" i="2" s="1"/>
  <c r="C170" i="2"/>
  <c r="B170" i="2"/>
  <c r="DJ169" i="2"/>
  <c r="DF169" i="2"/>
  <c r="DD169" i="2"/>
  <c r="CZ169" i="2"/>
  <c r="CV169" i="2"/>
  <c r="CR169" i="2"/>
  <c r="CP169" i="2"/>
  <c r="CN169" i="2"/>
  <c r="CH169" i="2"/>
  <c r="CF169" i="2"/>
  <c r="CD169" i="2"/>
  <c r="CB169" i="2"/>
  <c r="BZ169" i="2"/>
  <c r="BX169" i="2"/>
  <c r="BU169" i="2"/>
  <c r="BT169" i="2"/>
  <c r="BS169" i="2"/>
  <c r="BM169" i="2"/>
  <c r="BL169" i="2"/>
  <c r="BK169" i="2"/>
  <c r="BE169" i="2"/>
  <c r="BB169" i="2"/>
  <c r="AY169" i="2"/>
  <c r="AM169" i="2"/>
  <c r="AD169" i="2"/>
  <c r="AA169" i="2"/>
  <c r="U169" i="2"/>
  <c r="O169" i="2"/>
  <c r="L169" i="2"/>
  <c r="I169" i="2"/>
  <c r="G169" i="2"/>
  <c r="F169" i="2"/>
  <c r="E169" i="2"/>
  <c r="C169" i="2"/>
  <c r="B169" i="2"/>
  <c r="DJ168" i="2"/>
  <c r="DF168" i="2"/>
  <c r="DD168" i="2"/>
  <c r="CZ168" i="2"/>
  <c r="CV168" i="2"/>
  <c r="CR168" i="2"/>
  <c r="CP168" i="2"/>
  <c r="CN168" i="2"/>
  <c r="CH168" i="2"/>
  <c r="CF168" i="2"/>
  <c r="CD168" i="2"/>
  <c r="CB168" i="2"/>
  <c r="BZ168" i="2"/>
  <c r="BX168" i="2"/>
  <c r="BU168" i="2"/>
  <c r="BT168" i="2"/>
  <c r="BS168" i="2"/>
  <c r="BM168" i="2"/>
  <c r="BL168" i="2"/>
  <c r="BK168" i="2"/>
  <c r="BE168" i="2"/>
  <c r="BB168" i="2"/>
  <c r="AY168" i="2"/>
  <c r="AM168" i="2"/>
  <c r="AD168" i="2"/>
  <c r="AA168" i="2"/>
  <c r="U168" i="2"/>
  <c r="O168" i="2"/>
  <c r="L168" i="2"/>
  <c r="I168" i="2"/>
  <c r="G168" i="2"/>
  <c r="F168" i="2"/>
  <c r="E168" i="2"/>
  <c r="C168" i="2"/>
  <c r="B168" i="2"/>
  <c r="DJ167" i="2"/>
  <c r="DF167" i="2"/>
  <c r="DD167" i="2"/>
  <c r="CZ167" i="2"/>
  <c r="CV167" i="2"/>
  <c r="CR167" i="2"/>
  <c r="CP167" i="2"/>
  <c r="CN167" i="2"/>
  <c r="CH167" i="2"/>
  <c r="CF167" i="2"/>
  <c r="CD167" i="2"/>
  <c r="CB167" i="2"/>
  <c r="BZ167" i="2"/>
  <c r="BX167" i="2"/>
  <c r="BU167" i="2"/>
  <c r="BT167" i="2"/>
  <c r="BS167" i="2"/>
  <c r="BM167" i="2"/>
  <c r="BL167" i="2"/>
  <c r="BK167" i="2"/>
  <c r="BE167" i="2"/>
  <c r="BB167" i="2"/>
  <c r="AY167" i="2"/>
  <c r="AM167" i="2"/>
  <c r="AD167" i="2"/>
  <c r="AA167" i="2"/>
  <c r="U167" i="2"/>
  <c r="O167" i="2"/>
  <c r="L167" i="2"/>
  <c r="I167" i="2"/>
  <c r="G167" i="2"/>
  <c r="F167" i="2"/>
  <c r="E167" i="2"/>
  <c r="BW167" i="2" s="1"/>
  <c r="C167" i="2"/>
  <c r="B167" i="2"/>
  <c r="DJ166" i="2"/>
  <c r="DF166" i="2"/>
  <c r="DD166" i="2"/>
  <c r="CZ166" i="2"/>
  <c r="CV166" i="2"/>
  <c r="CR166" i="2"/>
  <c r="CP166" i="2"/>
  <c r="CN166" i="2"/>
  <c r="CH166" i="2"/>
  <c r="CF166" i="2"/>
  <c r="CD166" i="2"/>
  <c r="CB166" i="2"/>
  <c r="BZ166" i="2"/>
  <c r="BX166" i="2"/>
  <c r="BU166" i="2"/>
  <c r="BT166" i="2"/>
  <c r="BS166" i="2"/>
  <c r="BM166" i="2"/>
  <c r="BL166" i="2"/>
  <c r="BK166" i="2"/>
  <c r="BE166" i="2"/>
  <c r="BB166" i="2"/>
  <c r="AY166" i="2"/>
  <c r="AM166" i="2"/>
  <c r="AD166" i="2"/>
  <c r="AA166" i="2"/>
  <c r="U166" i="2"/>
  <c r="O166" i="2"/>
  <c r="L166" i="2"/>
  <c r="I166" i="2"/>
  <c r="G166" i="2"/>
  <c r="F166" i="2"/>
  <c r="E166" i="2"/>
  <c r="BW166" i="2" s="1"/>
  <c r="C166" i="2"/>
  <c r="B166" i="2"/>
  <c r="DJ165" i="2"/>
  <c r="DF165" i="2"/>
  <c r="DD165" i="2"/>
  <c r="CZ165" i="2"/>
  <c r="CV165" i="2"/>
  <c r="CR165" i="2"/>
  <c r="CP165" i="2"/>
  <c r="CN165" i="2"/>
  <c r="CH165" i="2"/>
  <c r="CF165" i="2"/>
  <c r="CD165" i="2"/>
  <c r="CB165" i="2"/>
  <c r="BZ165" i="2"/>
  <c r="BX165" i="2"/>
  <c r="BU165" i="2"/>
  <c r="BT165" i="2"/>
  <c r="BS165" i="2"/>
  <c r="BM165" i="2"/>
  <c r="BL165" i="2"/>
  <c r="BK165" i="2"/>
  <c r="BE165" i="2"/>
  <c r="BB165" i="2"/>
  <c r="AY165" i="2"/>
  <c r="AM165" i="2"/>
  <c r="AD165" i="2"/>
  <c r="AA165" i="2"/>
  <c r="U165" i="2"/>
  <c r="O165" i="2"/>
  <c r="L165" i="2"/>
  <c r="I165" i="2"/>
  <c r="G165" i="2"/>
  <c r="F165" i="2"/>
  <c r="E165" i="2"/>
  <c r="C165" i="2"/>
  <c r="B165" i="2"/>
  <c r="DJ164" i="2"/>
  <c r="DF164" i="2"/>
  <c r="DD164" i="2"/>
  <c r="CZ164" i="2"/>
  <c r="CV164" i="2"/>
  <c r="CR164" i="2"/>
  <c r="CP164" i="2"/>
  <c r="CN164" i="2"/>
  <c r="CH164" i="2"/>
  <c r="CF164" i="2"/>
  <c r="CD164" i="2"/>
  <c r="CB164" i="2"/>
  <c r="BZ164" i="2"/>
  <c r="BX164" i="2"/>
  <c r="BU164" i="2"/>
  <c r="BT164" i="2"/>
  <c r="BS164" i="2"/>
  <c r="BM164" i="2"/>
  <c r="BL164" i="2"/>
  <c r="BK164" i="2"/>
  <c r="BE164" i="2"/>
  <c r="BB164" i="2"/>
  <c r="AY164" i="2"/>
  <c r="AM164" i="2"/>
  <c r="AD164" i="2"/>
  <c r="AA164" i="2"/>
  <c r="U164" i="2"/>
  <c r="O164" i="2"/>
  <c r="L164" i="2"/>
  <c r="I164" i="2"/>
  <c r="G164" i="2"/>
  <c r="F164" i="2"/>
  <c r="E164" i="2"/>
  <c r="BW164" i="2" s="1"/>
  <c r="C164" i="2"/>
  <c r="B164" i="2"/>
  <c r="DJ163" i="2"/>
  <c r="DF163" i="2"/>
  <c r="DD163" i="2"/>
  <c r="CZ163" i="2"/>
  <c r="CV163" i="2"/>
  <c r="CR163" i="2"/>
  <c r="CP163" i="2"/>
  <c r="CN163" i="2"/>
  <c r="CH163" i="2"/>
  <c r="CF163" i="2"/>
  <c r="CD163" i="2"/>
  <c r="CB163" i="2"/>
  <c r="BZ163" i="2"/>
  <c r="BX163" i="2"/>
  <c r="BU163" i="2"/>
  <c r="BT163" i="2"/>
  <c r="BS163" i="2"/>
  <c r="BM163" i="2"/>
  <c r="BL163" i="2"/>
  <c r="BK163" i="2"/>
  <c r="BE163" i="2"/>
  <c r="BB163" i="2"/>
  <c r="AY163" i="2"/>
  <c r="AM163" i="2"/>
  <c r="AD163" i="2"/>
  <c r="AA163" i="2"/>
  <c r="U163" i="2"/>
  <c r="O163" i="2"/>
  <c r="L163" i="2"/>
  <c r="I163" i="2"/>
  <c r="G163" i="2"/>
  <c r="F163" i="2"/>
  <c r="E163" i="2"/>
  <c r="BW163" i="2" s="1"/>
  <c r="C163" i="2"/>
  <c r="B163" i="2"/>
  <c r="DJ162" i="2"/>
  <c r="DF162" i="2"/>
  <c r="DD162" i="2"/>
  <c r="CZ162" i="2"/>
  <c r="CV162" i="2"/>
  <c r="CR162" i="2"/>
  <c r="CP162" i="2"/>
  <c r="CN162" i="2"/>
  <c r="CH162" i="2"/>
  <c r="CF162" i="2"/>
  <c r="CD162" i="2"/>
  <c r="CB162" i="2"/>
  <c r="BZ162" i="2"/>
  <c r="BX162" i="2"/>
  <c r="BU162" i="2"/>
  <c r="BT162" i="2"/>
  <c r="BS162" i="2"/>
  <c r="BM162" i="2"/>
  <c r="BL162" i="2"/>
  <c r="BK162" i="2"/>
  <c r="BE162" i="2"/>
  <c r="BB162" i="2"/>
  <c r="AY162" i="2"/>
  <c r="AM162" i="2"/>
  <c r="AD162" i="2"/>
  <c r="AA162" i="2"/>
  <c r="U162" i="2"/>
  <c r="O162" i="2"/>
  <c r="L162" i="2"/>
  <c r="I162" i="2"/>
  <c r="G162" i="2"/>
  <c r="F162" i="2"/>
  <c r="E162" i="2"/>
  <c r="C162" i="2"/>
  <c r="B162" i="2"/>
  <c r="DJ161" i="2"/>
  <c r="DF161" i="2"/>
  <c r="DD161" i="2"/>
  <c r="CZ161" i="2"/>
  <c r="CV161" i="2"/>
  <c r="CR161" i="2"/>
  <c r="CP161" i="2"/>
  <c r="CN161" i="2"/>
  <c r="CH161" i="2"/>
  <c r="CF161" i="2"/>
  <c r="CD161" i="2"/>
  <c r="CB161" i="2"/>
  <c r="BZ161" i="2"/>
  <c r="BX161" i="2"/>
  <c r="BU161" i="2"/>
  <c r="BT161" i="2"/>
  <c r="BS161" i="2"/>
  <c r="BM161" i="2"/>
  <c r="BL161" i="2"/>
  <c r="BK161" i="2"/>
  <c r="BE161" i="2"/>
  <c r="BB161" i="2"/>
  <c r="AY161" i="2"/>
  <c r="AM161" i="2"/>
  <c r="AD161" i="2"/>
  <c r="AA161" i="2"/>
  <c r="U161" i="2"/>
  <c r="O161" i="2"/>
  <c r="L161" i="2"/>
  <c r="I161" i="2"/>
  <c r="G161" i="2"/>
  <c r="F161" i="2"/>
  <c r="E161" i="2"/>
  <c r="BW161" i="2" s="1"/>
  <c r="C161" i="2"/>
  <c r="B161" i="2"/>
  <c r="DJ160" i="2"/>
  <c r="DF160" i="2"/>
  <c r="DD160" i="2"/>
  <c r="CZ160" i="2"/>
  <c r="CV160" i="2"/>
  <c r="CR160" i="2"/>
  <c r="CP160" i="2"/>
  <c r="CN160" i="2"/>
  <c r="CH160" i="2"/>
  <c r="CF160" i="2"/>
  <c r="CD160" i="2"/>
  <c r="CB160" i="2"/>
  <c r="BZ160" i="2"/>
  <c r="BX160" i="2"/>
  <c r="BU160" i="2"/>
  <c r="BT160" i="2"/>
  <c r="BS160" i="2"/>
  <c r="BM160" i="2"/>
  <c r="BL160" i="2"/>
  <c r="BK160" i="2"/>
  <c r="BE160" i="2"/>
  <c r="BB160" i="2"/>
  <c r="AY160" i="2"/>
  <c r="AM160" i="2"/>
  <c r="AD160" i="2"/>
  <c r="AA160" i="2"/>
  <c r="U160" i="2"/>
  <c r="O160" i="2"/>
  <c r="L160" i="2"/>
  <c r="I160" i="2"/>
  <c r="G160" i="2"/>
  <c r="F160" i="2"/>
  <c r="E160" i="2"/>
  <c r="BW160" i="2" s="1"/>
  <c r="C160" i="2"/>
  <c r="B160" i="2"/>
  <c r="DJ159" i="2"/>
  <c r="DF159" i="2"/>
  <c r="DD159" i="2"/>
  <c r="CZ159" i="2"/>
  <c r="CV159" i="2"/>
  <c r="CR159" i="2"/>
  <c r="CP159" i="2"/>
  <c r="CN159" i="2"/>
  <c r="CH159" i="2"/>
  <c r="CF159" i="2"/>
  <c r="CD159" i="2"/>
  <c r="CB159" i="2"/>
  <c r="BZ159" i="2"/>
  <c r="BX159" i="2"/>
  <c r="BU159" i="2"/>
  <c r="BT159" i="2"/>
  <c r="BS159" i="2"/>
  <c r="BM159" i="2"/>
  <c r="BL159" i="2"/>
  <c r="BK159" i="2"/>
  <c r="BE159" i="2"/>
  <c r="BB159" i="2"/>
  <c r="AY159" i="2"/>
  <c r="AM159" i="2"/>
  <c r="AD159" i="2"/>
  <c r="AA159" i="2"/>
  <c r="U159" i="2"/>
  <c r="O159" i="2"/>
  <c r="L159" i="2"/>
  <c r="I159" i="2"/>
  <c r="G159" i="2"/>
  <c r="F159" i="2"/>
  <c r="E159" i="2"/>
  <c r="C159" i="2"/>
  <c r="B159" i="2"/>
  <c r="DJ158" i="2"/>
  <c r="DF158" i="2"/>
  <c r="DD158" i="2"/>
  <c r="CZ158" i="2"/>
  <c r="CV158" i="2"/>
  <c r="CR158" i="2"/>
  <c r="CP158" i="2"/>
  <c r="CN158" i="2"/>
  <c r="CH158" i="2"/>
  <c r="CF158" i="2"/>
  <c r="CD158" i="2"/>
  <c r="CB158" i="2"/>
  <c r="BZ158" i="2"/>
  <c r="BX158" i="2"/>
  <c r="BU158" i="2"/>
  <c r="BT158" i="2"/>
  <c r="BS158" i="2"/>
  <c r="BM158" i="2"/>
  <c r="BL158" i="2"/>
  <c r="BK158" i="2"/>
  <c r="BE158" i="2"/>
  <c r="BB158" i="2"/>
  <c r="AY158" i="2"/>
  <c r="AM158" i="2"/>
  <c r="AD158" i="2"/>
  <c r="AA158" i="2"/>
  <c r="U158" i="2"/>
  <c r="O158" i="2"/>
  <c r="L158" i="2"/>
  <c r="I158" i="2"/>
  <c r="G158" i="2"/>
  <c r="F158" i="2"/>
  <c r="E158" i="2"/>
  <c r="C158" i="2"/>
  <c r="B158" i="2"/>
  <c r="DJ157" i="2"/>
  <c r="DF157" i="2"/>
  <c r="DD157" i="2"/>
  <c r="CZ157" i="2"/>
  <c r="CV157" i="2"/>
  <c r="CR157" i="2"/>
  <c r="CP157" i="2"/>
  <c r="CN157" i="2"/>
  <c r="CH157" i="2"/>
  <c r="CF157" i="2"/>
  <c r="CD157" i="2"/>
  <c r="CB157" i="2"/>
  <c r="BZ157" i="2"/>
  <c r="BX157" i="2"/>
  <c r="BU157" i="2"/>
  <c r="BT157" i="2"/>
  <c r="BS157" i="2"/>
  <c r="BM157" i="2"/>
  <c r="BL157" i="2"/>
  <c r="BK157" i="2"/>
  <c r="BE157" i="2"/>
  <c r="BB157" i="2"/>
  <c r="AY157" i="2"/>
  <c r="AM157" i="2"/>
  <c r="AD157" i="2"/>
  <c r="AA157" i="2"/>
  <c r="U157" i="2"/>
  <c r="O157" i="2"/>
  <c r="L157" i="2"/>
  <c r="I157" i="2"/>
  <c r="G157" i="2"/>
  <c r="F157" i="2"/>
  <c r="E157" i="2"/>
  <c r="BW157" i="2" s="1"/>
  <c r="C157" i="2"/>
  <c r="B157" i="2"/>
  <c r="DJ156" i="2"/>
  <c r="DF156" i="2"/>
  <c r="DD156" i="2"/>
  <c r="CZ156" i="2"/>
  <c r="CV156" i="2"/>
  <c r="CR156" i="2"/>
  <c r="CP156" i="2"/>
  <c r="CN156" i="2"/>
  <c r="CH156" i="2"/>
  <c r="CF156" i="2"/>
  <c r="CD156" i="2"/>
  <c r="CB156" i="2"/>
  <c r="BZ156" i="2"/>
  <c r="BX156" i="2"/>
  <c r="BU156" i="2"/>
  <c r="BT156" i="2"/>
  <c r="BS156" i="2"/>
  <c r="BM156" i="2"/>
  <c r="BL156" i="2"/>
  <c r="BK156" i="2"/>
  <c r="BE156" i="2"/>
  <c r="BB156" i="2"/>
  <c r="AY156" i="2"/>
  <c r="AM156" i="2"/>
  <c r="AD156" i="2"/>
  <c r="AA156" i="2"/>
  <c r="U156" i="2"/>
  <c r="O156" i="2"/>
  <c r="L156" i="2"/>
  <c r="I156" i="2"/>
  <c r="G156" i="2"/>
  <c r="F156" i="2"/>
  <c r="E156" i="2"/>
  <c r="BW156" i="2" s="1"/>
  <c r="C156" i="2"/>
  <c r="B156" i="2"/>
  <c r="DJ155" i="2"/>
  <c r="DF155" i="2"/>
  <c r="DD155" i="2"/>
  <c r="CZ155" i="2"/>
  <c r="CV155" i="2"/>
  <c r="CR155" i="2"/>
  <c r="CP155" i="2"/>
  <c r="CN155" i="2"/>
  <c r="CH155" i="2"/>
  <c r="CF155" i="2"/>
  <c r="CD155" i="2"/>
  <c r="CB155" i="2"/>
  <c r="BZ155" i="2"/>
  <c r="BX155" i="2"/>
  <c r="BU155" i="2"/>
  <c r="BT155" i="2"/>
  <c r="BS155" i="2"/>
  <c r="BM155" i="2"/>
  <c r="BL155" i="2"/>
  <c r="BK155" i="2"/>
  <c r="BE155" i="2"/>
  <c r="BB155" i="2"/>
  <c r="AY155" i="2"/>
  <c r="AM155" i="2"/>
  <c r="AD155" i="2"/>
  <c r="AA155" i="2"/>
  <c r="U155" i="2"/>
  <c r="O155" i="2"/>
  <c r="L155" i="2"/>
  <c r="I155" i="2"/>
  <c r="G155" i="2"/>
  <c r="F155" i="2"/>
  <c r="E155" i="2"/>
  <c r="BW155" i="2" s="1"/>
  <c r="C155" i="2"/>
  <c r="B155" i="2"/>
  <c r="DJ154" i="2"/>
  <c r="DF154" i="2"/>
  <c r="DD154" i="2"/>
  <c r="CZ154" i="2"/>
  <c r="CV154" i="2"/>
  <c r="CR154" i="2"/>
  <c r="CP154" i="2"/>
  <c r="CN154" i="2"/>
  <c r="CH154" i="2"/>
  <c r="CF154" i="2"/>
  <c r="CD154" i="2"/>
  <c r="CB154" i="2"/>
  <c r="BZ154" i="2"/>
  <c r="BX154" i="2"/>
  <c r="BU154" i="2"/>
  <c r="BT154" i="2"/>
  <c r="BS154" i="2"/>
  <c r="BM154" i="2"/>
  <c r="BL154" i="2"/>
  <c r="BK154" i="2"/>
  <c r="BE154" i="2"/>
  <c r="BB154" i="2"/>
  <c r="AY154" i="2"/>
  <c r="AM154" i="2"/>
  <c r="AD154" i="2"/>
  <c r="AA154" i="2"/>
  <c r="U154" i="2"/>
  <c r="O154" i="2"/>
  <c r="R154" i="2" s="1"/>
  <c r="L154" i="2"/>
  <c r="I154" i="2"/>
  <c r="G154" i="2"/>
  <c r="F154" i="2"/>
  <c r="E154" i="2"/>
  <c r="BW154" i="2" s="1"/>
  <c r="C154" i="2"/>
  <c r="B154" i="2"/>
  <c r="DJ153" i="2"/>
  <c r="DF153" i="2"/>
  <c r="DD153" i="2"/>
  <c r="CZ153" i="2"/>
  <c r="CV153" i="2"/>
  <c r="CR153" i="2"/>
  <c r="CP153" i="2"/>
  <c r="CN153" i="2"/>
  <c r="CH153" i="2"/>
  <c r="CF153" i="2"/>
  <c r="CD153" i="2"/>
  <c r="CB153" i="2"/>
  <c r="BZ153" i="2"/>
  <c r="BX153" i="2"/>
  <c r="BU153" i="2"/>
  <c r="BT153" i="2"/>
  <c r="BS153" i="2"/>
  <c r="BM153" i="2"/>
  <c r="BL153" i="2"/>
  <c r="BK153" i="2"/>
  <c r="BE153" i="2"/>
  <c r="BB153" i="2"/>
  <c r="AY153" i="2"/>
  <c r="AM153" i="2"/>
  <c r="AD153" i="2"/>
  <c r="AA153" i="2"/>
  <c r="U153" i="2"/>
  <c r="O153" i="2"/>
  <c r="L153" i="2"/>
  <c r="I153" i="2"/>
  <c r="G153" i="2"/>
  <c r="F153" i="2"/>
  <c r="E153" i="2"/>
  <c r="BW153" i="2" s="1"/>
  <c r="C153" i="2"/>
  <c r="B153" i="2"/>
  <c r="DJ152" i="2"/>
  <c r="DF152" i="2"/>
  <c r="DD152" i="2"/>
  <c r="CZ152" i="2"/>
  <c r="CV152" i="2"/>
  <c r="CR152" i="2"/>
  <c r="CP152" i="2"/>
  <c r="CN152" i="2"/>
  <c r="CH152" i="2"/>
  <c r="CF152" i="2"/>
  <c r="CD152" i="2"/>
  <c r="CB152" i="2"/>
  <c r="BZ152" i="2"/>
  <c r="BX152" i="2"/>
  <c r="BU152" i="2"/>
  <c r="BT152" i="2"/>
  <c r="BS152" i="2"/>
  <c r="BM152" i="2"/>
  <c r="BL152" i="2"/>
  <c r="BK152" i="2"/>
  <c r="BE152" i="2"/>
  <c r="BB152" i="2"/>
  <c r="AY152" i="2"/>
  <c r="AM152" i="2"/>
  <c r="AD152" i="2"/>
  <c r="AA152" i="2"/>
  <c r="U152" i="2"/>
  <c r="O152" i="2"/>
  <c r="L152" i="2"/>
  <c r="I152" i="2"/>
  <c r="G152" i="2"/>
  <c r="F152" i="2"/>
  <c r="E152" i="2"/>
  <c r="C152" i="2"/>
  <c r="B152" i="2"/>
  <c r="DJ151" i="2"/>
  <c r="DF151" i="2"/>
  <c r="DD151" i="2"/>
  <c r="CZ151" i="2"/>
  <c r="CV151" i="2"/>
  <c r="CR151" i="2"/>
  <c r="CP151" i="2"/>
  <c r="CN151" i="2"/>
  <c r="CH151" i="2"/>
  <c r="CF151" i="2"/>
  <c r="CD151" i="2"/>
  <c r="CB151" i="2"/>
  <c r="BZ151" i="2"/>
  <c r="BX151" i="2"/>
  <c r="BU151" i="2"/>
  <c r="BT151" i="2"/>
  <c r="BS151" i="2"/>
  <c r="BM151" i="2"/>
  <c r="BL151" i="2"/>
  <c r="BK151" i="2"/>
  <c r="BE151" i="2"/>
  <c r="BB151" i="2"/>
  <c r="AY151" i="2"/>
  <c r="AM151" i="2"/>
  <c r="AD151" i="2"/>
  <c r="AA151" i="2"/>
  <c r="U151" i="2"/>
  <c r="O151" i="2"/>
  <c r="L151" i="2"/>
  <c r="I151" i="2"/>
  <c r="G151" i="2"/>
  <c r="F151" i="2"/>
  <c r="E151" i="2"/>
  <c r="BW151" i="2" s="1"/>
  <c r="C151" i="2"/>
  <c r="B151" i="2"/>
  <c r="DJ150" i="2"/>
  <c r="DF150" i="2"/>
  <c r="DD150" i="2"/>
  <c r="CZ150" i="2"/>
  <c r="CV150" i="2"/>
  <c r="CR150" i="2"/>
  <c r="CP150" i="2"/>
  <c r="CN150" i="2"/>
  <c r="CH150" i="2"/>
  <c r="CF150" i="2"/>
  <c r="CD150" i="2"/>
  <c r="CB150" i="2"/>
  <c r="BZ150" i="2"/>
  <c r="BX150" i="2"/>
  <c r="BU150" i="2"/>
  <c r="BT150" i="2"/>
  <c r="BS150" i="2"/>
  <c r="BM150" i="2"/>
  <c r="BL150" i="2"/>
  <c r="BK150" i="2"/>
  <c r="BE150" i="2"/>
  <c r="BB150" i="2"/>
  <c r="AY150" i="2"/>
  <c r="AM150" i="2"/>
  <c r="AD150" i="2"/>
  <c r="AA150" i="2"/>
  <c r="U150" i="2"/>
  <c r="O150" i="2"/>
  <c r="L150" i="2"/>
  <c r="I150" i="2"/>
  <c r="G150" i="2"/>
  <c r="F150" i="2"/>
  <c r="E150" i="2"/>
  <c r="BW150" i="2" s="1"/>
  <c r="C150" i="2"/>
  <c r="B150" i="2"/>
  <c r="DJ149" i="2"/>
  <c r="DF149" i="2"/>
  <c r="DD149" i="2"/>
  <c r="CZ149" i="2"/>
  <c r="CV149" i="2"/>
  <c r="CR149" i="2"/>
  <c r="CP149" i="2"/>
  <c r="CN149" i="2"/>
  <c r="CH149" i="2"/>
  <c r="CF149" i="2"/>
  <c r="CD149" i="2"/>
  <c r="CB149" i="2"/>
  <c r="BZ149" i="2"/>
  <c r="BX149" i="2"/>
  <c r="BU149" i="2"/>
  <c r="BT149" i="2"/>
  <c r="BS149" i="2"/>
  <c r="BM149" i="2"/>
  <c r="BL149" i="2"/>
  <c r="BK149" i="2"/>
  <c r="BE149" i="2"/>
  <c r="BB149" i="2"/>
  <c r="AY149" i="2"/>
  <c r="AM149" i="2"/>
  <c r="AD149" i="2"/>
  <c r="AA149" i="2"/>
  <c r="U149" i="2"/>
  <c r="O149" i="2"/>
  <c r="L149" i="2"/>
  <c r="I149" i="2"/>
  <c r="G149" i="2"/>
  <c r="F149" i="2"/>
  <c r="E149" i="2"/>
  <c r="C149" i="2"/>
  <c r="B149" i="2"/>
  <c r="DJ148" i="2"/>
  <c r="DF148" i="2"/>
  <c r="DD148" i="2"/>
  <c r="CZ148" i="2"/>
  <c r="CV148" i="2"/>
  <c r="CR148" i="2"/>
  <c r="CP148" i="2"/>
  <c r="CN148" i="2"/>
  <c r="CH148" i="2"/>
  <c r="CF148" i="2"/>
  <c r="CD148" i="2"/>
  <c r="CB148" i="2"/>
  <c r="BZ148" i="2"/>
  <c r="BX148" i="2"/>
  <c r="BU148" i="2"/>
  <c r="BT148" i="2"/>
  <c r="BS148" i="2"/>
  <c r="BM148" i="2"/>
  <c r="BL148" i="2"/>
  <c r="BK148" i="2"/>
  <c r="BE148" i="2"/>
  <c r="BB148" i="2"/>
  <c r="AY148" i="2"/>
  <c r="AM148" i="2"/>
  <c r="AD148" i="2"/>
  <c r="AA148" i="2"/>
  <c r="U148" i="2"/>
  <c r="O148" i="2"/>
  <c r="L148" i="2"/>
  <c r="I148" i="2"/>
  <c r="G148" i="2"/>
  <c r="F148" i="2"/>
  <c r="E148" i="2"/>
  <c r="C148" i="2"/>
  <c r="B148" i="2"/>
  <c r="DJ147" i="2"/>
  <c r="DF147" i="2"/>
  <c r="DD147" i="2"/>
  <c r="CZ147" i="2"/>
  <c r="CV147" i="2"/>
  <c r="CR147" i="2"/>
  <c r="CP147" i="2"/>
  <c r="CN147" i="2"/>
  <c r="CH147" i="2"/>
  <c r="CF147" i="2"/>
  <c r="CD147" i="2"/>
  <c r="CB147" i="2"/>
  <c r="BZ147" i="2"/>
  <c r="BX147" i="2"/>
  <c r="BU147" i="2"/>
  <c r="BT147" i="2"/>
  <c r="BS147" i="2"/>
  <c r="BM147" i="2"/>
  <c r="BL147" i="2"/>
  <c r="BK147" i="2"/>
  <c r="BE147" i="2"/>
  <c r="BB147" i="2"/>
  <c r="AY147" i="2"/>
  <c r="AM147" i="2"/>
  <c r="AD147" i="2"/>
  <c r="AA147" i="2"/>
  <c r="U147" i="2"/>
  <c r="O147" i="2"/>
  <c r="L147" i="2"/>
  <c r="I147" i="2"/>
  <c r="G147" i="2"/>
  <c r="F147" i="2"/>
  <c r="E147" i="2"/>
  <c r="BW147" i="2" s="1"/>
  <c r="C147" i="2"/>
  <c r="B147" i="2"/>
  <c r="DJ146" i="2"/>
  <c r="DF146" i="2"/>
  <c r="DD146" i="2"/>
  <c r="CZ146" i="2"/>
  <c r="CV146" i="2"/>
  <c r="CR146" i="2"/>
  <c r="CP146" i="2"/>
  <c r="CN146" i="2"/>
  <c r="CH146" i="2"/>
  <c r="CF146" i="2"/>
  <c r="CD146" i="2"/>
  <c r="CB146" i="2"/>
  <c r="BZ146" i="2"/>
  <c r="BX146" i="2"/>
  <c r="BU146" i="2"/>
  <c r="BT146" i="2"/>
  <c r="BS146" i="2"/>
  <c r="BM146" i="2"/>
  <c r="BL146" i="2"/>
  <c r="BK146" i="2"/>
  <c r="BE146" i="2"/>
  <c r="BB146" i="2"/>
  <c r="AY146" i="2"/>
  <c r="AM146" i="2"/>
  <c r="AD146" i="2"/>
  <c r="AA146" i="2"/>
  <c r="U146" i="2"/>
  <c r="O146" i="2"/>
  <c r="L146" i="2"/>
  <c r="I146" i="2"/>
  <c r="G146" i="2"/>
  <c r="F146" i="2"/>
  <c r="E146" i="2"/>
  <c r="BW146" i="2" s="1"/>
  <c r="C146" i="2"/>
  <c r="B146" i="2"/>
  <c r="DJ145" i="2"/>
  <c r="DF145" i="2"/>
  <c r="DD145" i="2"/>
  <c r="CZ145" i="2"/>
  <c r="CV145" i="2"/>
  <c r="CR145" i="2"/>
  <c r="CP145" i="2"/>
  <c r="CN145" i="2"/>
  <c r="CH145" i="2"/>
  <c r="CF145" i="2"/>
  <c r="CD145" i="2"/>
  <c r="CB145" i="2"/>
  <c r="BZ145" i="2"/>
  <c r="BX145" i="2"/>
  <c r="BU145" i="2"/>
  <c r="BT145" i="2"/>
  <c r="BS145" i="2"/>
  <c r="BM145" i="2"/>
  <c r="BL145" i="2"/>
  <c r="BK145" i="2"/>
  <c r="BE145" i="2"/>
  <c r="BB145" i="2"/>
  <c r="AY145" i="2"/>
  <c r="AM145" i="2"/>
  <c r="AD145" i="2"/>
  <c r="AA145" i="2"/>
  <c r="U145" i="2"/>
  <c r="O145" i="2"/>
  <c r="L145" i="2"/>
  <c r="I145" i="2"/>
  <c r="G145" i="2"/>
  <c r="F145" i="2"/>
  <c r="E145" i="2"/>
  <c r="C145" i="2"/>
  <c r="B145" i="2"/>
  <c r="DJ144" i="2"/>
  <c r="DF144" i="2"/>
  <c r="DD144" i="2"/>
  <c r="CZ144" i="2"/>
  <c r="CV144" i="2"/>
  <c r="CR144" i="2"/>
  <c r="CP144" i="2"/>
  <c r="CN144" i="2"/>
  <c r="CH144" i="2"/>
  <c r="CF144" i="2"/>
  <c r="CD144" i="2"/>
  <c r="CB144" i="2"/>
  <c r="BZ144" i="2"/>
  <c r="BX144" i="2"/>
  <c r="BU144" i="2"/>
  <c r="BT144" i="2"/>
  <c r="BS144" i="2"/>
  <c r="BM144" i="2"/>
  <c r="BL144" i="2"/>
  <c r="BK144" i="2"/>
  <c r="BE144" i="2"/>
  <c r="BB144" i="2"/>
  <c r="AY144" i="2"/>
  <c r="AM144" i="2"/>
  <c r="AD144" i="2"/>
  <c r="AA144" i="2"/>
  <c r="U144" i="2"/>
  <c r="O144" i="2"/>
  <c r="L144" i="2"/>
  <c r="I144" i="2"/>
  <c r="G144" i="2"/>
  <c r="F144" i="2"/>
  <c r="E144" i="2"/>
  <c r="BW144" i="2" s="1"/>
  <c r="C144" i="2"/>
  <c r="B144" i="2"/>
  <c r="DJ143" i="2"/>
  <c r="DF143" i="2"/>
  <c r="DD143" i="2"/>
  <c r="CZ143" i="2"/>
  <c r="CV143" i="2"/>
  <c r="CR143" i="2"/>
  <c r="CP143" i="2"/>
  <c r="CN143" i="2"/>
  <c r="CH143" i="2"/>
  <c r="CF143" i="2"/>
  <c r="CD143" i="2"/>
  <c r="CB143" i="2"/>
  <c r="BZ143" i="2"/>
  <c r="BX143" i="2"/>
  <c r="BU143" i="2"/>
  <c r="BT143" i="2"/>
  <c r="BS143" i="2"/>
  <c r="BM143" i="2"/>
  <c r="BL143" i="2"/>
  <c r="BK143" i="2"/>
  <c r="BE143" i="2"/>
  <c r="BB143" i="2"/>
  <c r="AY143" i="2"/>
  <c r="AM143" i="2"/>
  <c r="AD143" i="2"/>
  <c r="AA143" i="2"/>
  <c r="U143" i="2"/>
  <c r="O143" i="2"/>
  <c r="L143" i="2"/>
  <c r="I143" i="2"/>
  <c r="G143" i="2"/>
  <c r="F143" i="2"/>
  <c r="E143" i="2"/>
  <c r="BW143" i="2" s="1"/>
  <c r="C143" i="2"/>
  <c r="B143" i="2"/>
  <c r="DJ142" i="2"/>
  <c r="DF142" i="2"/>
  <c r="DD142" i="2"/>
  <c r="CZ142" i="2"/>
  <c r="CV142" i="2"/>
  <c r="CR142" i="2"/>
  <c r="CP142" i="2"/>
  <c r="CN142" i="2"/>
  <c r="CH142" i="2"/>
  <c r="CF142" i="2"/>
  <c r="CD142" i="2"/>
  <c r="CB142" i="2"/>
  <c r="BZ142" i="2"/>
  <c r="BX142" i="2"/>
  <c r="BU142" i="2"/>
  <c r="BT142" i="2"/>
  <c r="BS142" i="2"/>
  <c r="BM142" i="2"/>
  <c r="BL142" i="2"/>
  <c r="BK142" i="2"/>
  <c r="BE142" i="2"/>
  <c r="BB142" i="2"/>
  <c r="AY142" i="2"/>
  <c r="AM142" i="2"/>
  <c r="AD142" i="2"/>
  <c r="AA142" i="2"/>
  <c r="U142" i="2"/>
  <c r="O142" i="2"/>
  <c r="L142" i="2"/>
  <c r="I142" i="2"/>
  <c r="G142" i="2"/>
  <c r="F142" i="2"/>
  <c r="E142" i="2"/>
  <c r="BV142" i="2" s="1"/>
  <c r="C142" i="2"/>
  <c r="B142" i="2"/>
  <c r="DJ141" i="2"/>
  <c r="DF141" i="2"/>
  <c r="DD141" i="2"/>
  <c r="CZ141" i="2"/>
  <c r="CV141" i="2"/>
  <c r="CR141" i="2"/>
  <c r="CP141" i="2"/>
  <c r="CN141" i="2"/>
  <c r="CH141" i="2"/>
  <c r="CF141" i="2"/>
  <c r="CD141" i="2"/>
  <c r="CB141" i="2"/>
  <c r="BZ141" i="2"/>
  <c r="BX141" i="2"/>
  <c r="BU141" i="2"/>
  <c r="BT141" i="2"/>
  <c r="BS141" i="2"/>
  <c r="BM141" i="2"/>
  <c r="BL141" i="2"/>
  <c r="BK141" i="2"/>
  <c r="BE141" i="2"/>
  <c r="BB141" i="2"/>
  <c r="AY141" i="2"/>
  <c r="AM141" i="2"/>
  <c r="AD141" i="2"/>
  <c r="AA141" i="2"/>
  <c r="U141" i="2"/>
  <c r="O141" i="2"/>
  <c r="L141" i="2"/>
  <c r="I141" i="2"/>
  <c r="G141" i="2"/>
  <c r="F141" i="2"/>
  <c r="E141" i="2"/>
  <c r="BV141" i="2" s="1"/>
  <c r="C141" i="2"/>
  <c r="B141" i="2"/>
  <c r="DJ140" i="2"/>
  <c r="DF140" i="2"/>
  <c r="DD140" i="2"/>
  <c r="CZ140" i="2"/>
  <c r="CV140" i="2"/>
  <c r="CR140" i="2"/>
  <c r="CP140" i="2"/>
  <c r="CN140" i="2"/>
  <c r="CH140" i="2"/>
  <c r="CF140" i="2"/>
  <c r="CD140" i="2"/>
  <c r="CB140" i="2"/>
  <c r="BZ140" i="2"/>
  <c r="BX140" i="2"/>
  <c r="BU140" i="2"/>
  <c r="BT140" i="2"/>
  <c r="BS140" i="2"/>
  <c r="BM140" i="2"/>
  <c r="BL140" i="2"/>
  <c r="BK140" i="2"/>
  <c r="BE140" i="2"/>
  <c r="BB140" i="2"/>
  <c r="AY140" i="2"/>
  <c r="AM140" i="2"/>
  <c r="AD140" i="2"/>
  <c r="AA140" i="2"/>
  <c r="U140" i="2"/>
  <c r="O140" i="2"/>
  <c r="L140" i="2"/>
  <c r="I140" i="2"/>
  <c r="G140" i="2"/>
  <c r="F140" i="2"/>
  <c r="E140" i="2"/>
  <c r="C140" i="2"/>
  <c r="B140" i="2"/>
  <c r="DJ139" i="2"/>
  <c r="DF139" i="2"/>
  <c r="DD139" i="2"/>
  <c r="CZ139" i="2"/>
  <c r="CV139" i="2"/>
  <c r="CR139" i="2"/>
  <c r="CP139" i="2"/>
  <c r="CN139" i="2"/>
  <c r="CH139" i="2"/>
  <c r="CF139" i="2"/>
  <c r="CD139" i="2"/>
  <c r="CB139" i="2"/>
  <c r="BZ139" i="2"/>
  <c r="BX139" i="2"/>
  <c r="BU139" i="2"/>
  <c r="BT139" i="2"/>
  <c r="BS139" i="2"/>
  <c r="BM139" i="2"/>
  <c r="BL139" i="2"/>
  <c r="BK139" i="2"/>
  <c r="BE139" i="2"/>
  <c r="BB139" i="2"/>
  <c r="AY139" i="2"/>
  <c r="AM139" i="2"/>
  <c r="AD139" i="2"/>
  <c r="AA139" i="2"/>
  <c r="U139" i="2"/>
  <c r="O139" i="2"/>
  <c r="L139" i="2"/>
  <c r="I139" i="2"/>
  <c r="G139" i="2"/>
  <c r="F139" i="2"/>
  <c r="E139" i="2"/>
  <c r="C139" i="2"/>
  <c r="B139" i="2"/>
  <c r="DJ138" i="2"/>
  <c r="DF138" i="2"/>
  <c r="DD138" i="2"/>
  <c r="CZ138" i="2"/>
  <c r="CV138" i="2"/>
  <c r="CR138" i="2"/>
  <c r="CP138" i="2"/>
  <c r="CN138" i="2"/>
  <c r="CH138" i="2"/>
  <c r="CF138" i="2"/>
  <c r="CD138" i="2"/>
  <c r="CB138" i="2"/>
  <c r="BZ138" i="2"/>
  <c r="BX138" i="2"/>
  <c r="BU138" i="2"/>
  <c r="BT138" i="2"/>
  <c r="BS138" i="2"/>
  <c r="BM138" i="2"/>
  <c r="BL138" i="2"/>
  <c r="BK138" i="2"/>
  <c r="BE138" i="2"/>
  <c r="BB138" i="2"/>
  <c r="AY138" i="2"/>
  <c r="AM138" i="2"/>
  <c r="AD138" i="2"/>
  <c r="AA138" i="2"/>
  <c r="U138" i="2"/>
  <c r="O138" i="2"/>
  <c r="L138" i="2"/>
  <c r="I138" i="2"/>
  <c r="G138" i="2"/>
  <c r="F138" i="2"/>
  <c r="E138" i="2"/>
  <c r="BV138" i="2" s="1"/>
  <c r="C138" i="2"/>
  <c r="B138" i="2"/>
  <c r="DJ137" i="2"/>
  <c r="DF137" i="2"/>
  <c r="DD137" i="2"/>
  <c r="CZ137" i="2"/>
  <c r="CV137" i="2"/>
  <c r="CR137" i="2"/>
  <c r="CP137" i="2"/>
  <c r="CN137" i="2"/>
  <c r="CH137" i="2"/>
  <c r="CF137" i="2"/>
  <c r="CD137" i="2"/>
  <c r="CB137" i="2"/>
  <c r="BZ137" i="2"/>
  <c r="BX137" i="2"/>
  <c r="BU137" i="2"/>
  <c r="BT137" i="2"/>
  <c r="BS137" i="2"/>
  <c r="BM137" i="2"/>
  <c r="BL137" i="2"/>
  <c r="BK137" i="2"/>
  <c r="BE137" i="2"/>
  <c r="BB137" i="2"/>
  <c r="AY137" i="2"/>
  <c r="AM137" i="2"/>
  <c r="AD137" i="2"/>
  <c r="AA137" i="2"/>
  <c r="U137" i="2"/>
  <c r="O137" i="2"/>
  <c r="L137" i="2"/>
  <c r="I137" i="2"/>
  <c r="G137" i="2"/>
  <c r="F137" i="2"/>
  <c r="E137" i="2"/>
  <c r="BV137" i="2" s="1"/>
  <c r="C137" i="2"/>
  <c r="B137" i="2"/>
  <c r="DJ136" i="2"/>
  <c r="DF136" i="2"/>
  <c r="DD136" i="2"/>
  <c r="CZ136" i="2"/>
  <c r="CV136" i="2"/>
  <c r="CR136" i="2"/>
  <c r="CP136" i="2"/>
  <c r="CN136" i="2"/>
  <c r="CH136" i="2"/>
  <c r="CF136" i="2"/>
  <c r="CD136" i="2"/>
  <c r="CB136" i="2"/>
  <c r="BZ136" i="2"/>
  <c r="BX136" i="2"/>
  <c r="BU136" i="2"/>
  <c r="BT136" i="2"/>
  <c r="BS136" i="2"/>
  <c r="BM136" i="2"/>
  <c r="BL136" i="2"/>
  <c r="BK136" i="2"/>
  <c r="BE136" i="2"/>
  <c r="BB136" i="2"/>
  <c r="AY136" i="2"/>
  <c r="AM136" i="2"/>
  <c r="AD136" i="2"/>
  <c r="AA136" i="2"/>
  <c r="U136" i="2"/>
  <c r="O136" i="2"/>
  <c r="L136" i="2"/>
  <c r="I136" i="2"/>
  <c r="G136" i="2"/>
  <c r="F136" i="2"/>
  <c r="E136" i="2"/>
  <c r="BV136" i="2" s="1"/>
  <c r="C136" i="2"/>
  <c r="B136" i="2"/>
  <c r="DJ135" i="2"/>
  <c r="DF135" i="2"/>
  <c r="DD135" i="2"/>
  <c r="CZ135" i="2"/>
  <c r="CV135" i="2"/>
  <c r="CR135" i="2"/>
  <c r="CP135" i="2"/>
  <c r="CN135" i="2"/>
  <c r="CH135" i="2"/>
  <c r="CF135" i="2"/>
  <c r="CD135" i="2"/>
  <c r="CB135" i="2"/>
  <c r="BZ135" i="2"/>
  <c r="BX135" i="2"/>
  <c r="BU135" i="2"/>
  <c r="BT135" i="2"/>
  <c r="BS135" i="2"/>
  <c r="BM135" i="2"/>
  <c r="BL135" i="2"/>
  <c r="BK135" i="2"/>
  <c r="BE135" i="2"/>
  <c r="BB135" i="2"/>
  <c r="AY135" i="2"/>
  <c r="AM135" i="2"/>
  <c r="AD135" i="2"/>
  <c r="AA135" i="2"/>
  <c r="U135" i="2"/>
  <c r="O135" i="2"/>
  <c r="L135" i="2"/>
  <c r="I135" i="2"/>
  <c r="G135" i="2"/>
  <c r="F135" i="2"/>
  <c r="E135" i="2"/>
  <c r="BV135" i="2" s="1"/>
  <c r="C135" i="2"/>
  <c r="B135" i="2"/>
  <c r="DJ134" i="2"/>
  <c r="DF134" i="2"/>
  <c r="DD134" i="2"/>
  <c r="CZ134" i="2"/>
  <c r="CV134" i="2"/>
  <c r="CR134" i="2"/>
  <c r="CP134" i="2"/>
  <c r="CN134" i="2"/>
  <c r="CH134" i="2"/>
  <c r="CF134" i="2"/>
  <c r="CD134" i="2"/>
  <c r="CB134" i="2"/>
  <c r="BZ134" i="2"/>
  <c r="BX134" i="2"/>
  <c r="BU134" i="2"/>
  <c r="BT134" i="2"/>
  <c r="BS134" i="2"/>
  <c r="BM134" i="2"/>
  <c r="BL134" i="2"/>
  <c r="BK134" i="2"/>
  <c r="BE134" i="2"/>
  <c r="BB134" i="2"/>
  <c r="AY134" i="2"/>
  <c r="AM134" i="2"/>
  <c r="AD134" i="2"/>
  <c r="AA134" i="2"/>
  <c r="U134" i="2"/>
  <c r="O134" i="2"/>
  <c r="L134" i="2"/>
  <c r="I134" i="2"/>
  <c r="G134" i="2"/>
  <c r="F134" i="2"/>
  <c r="E134" i="2"/>
  <c r="C134" i="2"/>
  <c r="B134" i="2"/>
  <c r="DJ133" i="2"/>
  <c r="DF133" i="2"/>
  <c r="DD133" i="2"/>
  <c r="CZ133" i="2"/>
  <c r="CV133" i="2"/>
  <c r="CR133" i="2"/>
  <c r="CP133" i="2"/>
  <c r="CN133" i="2"/>
  <c r="CH133" i="2"/>
  <c r="CF133" i="2"/>
  <c r="CD133" i="2"/>
  <c r="CB133" i="2"/>
  <c r="BZ133" i="2"/>
  <c r="BX133" i="2"/>
  <c r="BU133" i="2"/>
  <c r="BT133" i="2"/>
  <c r="BS133" i="2"/>
  <c r="BM133" i="2"/>
  <c r="BL133" i="2"/>
  <c r="BK133" i="2"/>
  <c r="BE133" i="2"/>
  <c r="BB133" i="2"/>
  <c r="AY133" i="2"/>
  <c r="AM133" i="2"/>
  <c r="AD133" i="2"/>
  <c r="AA133" i="2"/>
  <c r="U133" i="2"/>
  <c r="O133" i="2"/>
  <c r="L133" i="2"/>
  <c r="I133" i="2"/>
  <c r="G133" i="2"/>
  <c r="F133" i="2"/>
  <c r="E133" i="2"/>
  <c r="BV133" i="2" s="1"/>
  <c r="C133" i="2"/>
  <c r="B133" i="2"/>
  <c r="DJ132" i="2"/>
  <c r="DF132" i="2"/>
  <c r="DD132" i="2"/>
  <c r="CZ132" i="2"/>
  <c r="CV132" i="2"/>
  <c r="CR132" i="2"/>
  <c r="CP132" i="2"/>
  <c r="CN132" i="2"/>
  <c r="CH132" i="2"/>
  <c r="CF132" i="2"/>
  <c r="CD132" i="2"/>
  <c r="CB132" i="2"/>
  <c r="BZ132" i="2"/>
  <c r="BX132" i="2"/>
  <c r="BU132" i="2"/>
  <c r="BT132" i="2"/>
  <c r="BS132" i="2"/>
  <c r="BM132" i="2"/>
  <c r="BL132" i="2"/>
  <c r="BK132" i="2"/>
  <c r="BE132" i="2"/>
  <c r="BB132" i="2"/>
  <c r="AY132" i="2"/>
  <c r="AM132" i="2"/>
  <c r="AD132" i="2"/>
  <c r="AA132" i="2"/>
  <c r="U132" i="2"/>
  <c r="O132" i="2"/>
  <c r="L132" i="2"/>
  <c r="I132" i="2"/>
  <c r="G132" i="2"/>
  <c r="F132" i="2"/>
  <c r="E132" i="2"/>
  <c r="BW132" i="2" s="1"/>
  <c r="C132" i="2"/>
  <c r="B132" i="2"/>
  <c r="DJ131" i="2"/>
  <c r="DF131" i="2"/>
  <c r="DD131" i="2"/>
  <c r="CZ131" i="2"/>
  <c r="CV131" i="2"/>
  <c r="CR131" i="2"/>
  <c r="CP131" i="2"/>
  <c r="CN131" i="2"/>
  <c r="CH131" i="2"/>
  <c r="CF131" i="2"/>
  <c r="CD131" i="2"/>
  <c r="CB131" i="2"/>
  <c r="BZ131" i="2"/>
  <c r="BX131" i="2"/>
  <c r="BU131" i="2"/>
  <c r="BT131" i="2"/>
  <c r="BS131" i="2"/>
  <c r="BM131" i="2"/>
  <c r="BL131" i="2"/>
  <c r="BK131" i="2"/>
  <c r="BE131" i="2"/>
  <c r="BB131" i="2"/>
  <c r="AY131" i="2"/>
  <c r="AM131" i="2"/>
  <c r="AD131" i="2"/>
  <c r="AA131" i="2"/>
  <c r="U131" i="2"/>
  <c r="O131" i="2"/>
  <c r="L131" i="2"/>
  <c r="I131" i="2"/>
  <c r="G131" i="2"/>
  <c r="F131" i="2"/>
  <c r="E131" i="2"/>
  <c r="BW131" i="2" s="1"/>
  <c r="C131" i="2"/>
  <c r="B131" i="2"/>
  <c r="DJ130" i="2"/>
  <c r="DF130" i="2"/>
  <c r="DD130" i="2"/>
  <c r="CZ130" i="2"/>
  <c r="CV130" i="2"/>
  <c r="CR130" i="2"/>
  <c r="CP130" i="2"/>
  <c r="CN130" i="2"/>
  <c r="CH130" i="2"/>
  <c r="CF130" i="2"/>
  <c r="CD130" i="2"/>
  <c r="CB130" i="2"/>
  <c r="BZ130" i="2"/>
  <c r="BX130" i="2"/>
  <c r="BU130" i="2"/>
  <c r="BT130" i="2"/>
  <c r="BS130" i="2"/>
  <c r="BM130" i="2"/>
  <c r="BL130" i="2"/>
  <c r="BK130" i="2"/>
  <c r="BE130" i="2"/>
  <c r="BB130" i="2"/>
  <c r="AY130" i="2"/>
  <c r="AM130" i="2"/>
  <c r="AD130" i="2"/>
  <c r="AA130" i="2"/>
  <c r="U130" i="2"/>
  <c r="O130" i="2"/>
  <c r="L130" i="2"/>
  <c r="I130" i="2"/>
  <c r="G130" i="2"/>
  <c r="F130" i="2"/>
  <c r="E130" i="2"/>
  <c r="BW130" i="2" s="1"/>
  <c r="C130" i="2"/>
  <c r="B130" i="2"/>
  <c r="DJ129" i="2"/>
  <c r="DF129" i="2"/>
  <c r="DD129" i="2"/>
  <c r="CZ129" i="2"/>
  <c r="CV129" i="2"/>
  <c r="CR129" i="2"/>
  <c r="CP129" i="2"/>
  <c r="CN129" i="2"/>
  <c r="CH129" i="2"/>
  <c r="CF129" i="2"/>
  <c r="CD129" i="2"/>
  <c r="CB129" i="2"/>
  <c r="BZ129" i="2"/>
  <c r="BX129" i="2"/>
  <c r="BU129" i="2"/>
  <c r="BT129" i="2"/>
  <c r="BS129" i="2"/>
  <c r="BM129" i="2"/>
  <c r="BL129" i="2"/>
  <c r="BK129" i="2"/>
  <c r="BE129" i="2"/>
  <c r="BB129" i="2"/>
  <c r="AY129" i="2"/>
  <c r="AM129" i="2"/>
  <c r="AD129" i="2"/>
  <c r="AA129" i="2"/>
  <c r="U129" i="2"/>
  <c r="O129" i="2"/>
  <c r="L129" i="2"/>
  <c r="I129" i="2"/>
  <c r="G129" i="2"/>
  <c r="F129" i="2"/>
  <c r="E129" i="2"/>
  <c r="BW129" i="2" s="1"/>
  <c r="C129" i="2"/>
  <c r="B129" i="2"/>
  <c r="DJ128" i="2"/>
  <c r="DF128" i="2"/>
  <c r="DD128" i="2"/>
  <c r="CZ128" i="2"/>
  <c r="CV128" i="2"/>
  <c r="CR128" i="2"/>
  <c r="CP128" i="2"/>
  <c r="CN128" i="2"/>
  <c r="CH128" i="2"/>
  <c r="CF128" i="2"/>
  <c r="CD128" i="2"/>
  <c r="CB128" i="2"/>
  <c r="BZ128" i="2"/>
  <c r="BX128" i="2"/>
  <c r="BU128" i="2"/>
  <c r="BT128" i="2"/>
  <c r="BS128" i="2"/>
  <c r="BM128" i="2"/>
  <c r="BL128" i="2"/>
  <c r="BK128" i="2"/>
  <c r="BE128" i="2"/>
  <c r="BB128" i="2"/>
  <c r="AY128" i="2"/>
  <c r="AM128" i="2"/>
  <c r="AD128" i="2"/>
  <c r="AA128" i="2"/>
  <c r="U128" i="2"/>
  <c r="O128" i="2"/>
  <c r="L128" i="2"/>
  <c r="I128" i="2"/>
  <c r="G128" i="2"/>
  <c r="F128" i="2"/>
  <c r="E128" i="2"/>
  <c r="BW128" i="2" s="1"/>
  <c r="C128" i="2"/>
  <c r="B128" i="2"/>
  <c r="DJ127" i="2"/>
  <c r="DF127" i="2"/>
  <c r="DD127" i="2"/>
  <c r="CZ127" i="2"/>
  <c r="CV127" i="2"/>
  <c r="CR127" i="2"/>
  <c r="CP127" i="2"/>
  <c r="CN127" i="2"/>
  <c r="CH127" i="2"/>
  <c r="CF127" i="2"/>
  <c r="CD127" i="2"/>
  <c r="CB127" i="2"/>
  <c r="BZ127" i="2"/>
  <c r="BX127" i="2"/>
  <c r="BU127" i="2"/>
  <c r="BT127" i="2"/>
  <c r="BS127" i="2"/>
  <c r="BM127" i="2"/>
  <c r="BL127" i="2"/>
  <c r="BK127" i="2"/>
  <c r="BE127" i="2"/>
  <c r="BB127" i="2"/>
  <c r="AY127" i="2"/>
  <c r="AM127" i="2"/>
  <c r="AD127" i="2"/>
  <c r="AA127" i="2"/>
  <c r="U127" i="2"/>
  <c r="O127" i="2"/>
  <c r="L127" i="2"/>
  <c r="I127" i="2"/>
  <c r="G127" i="2"/>
  <c r="F127" i="2"/>
  <c r="E127" i="2"/>
  <c r="BW127" i="2" s="1"/>
  <c r="C127" i="2"/>
  <c r="B127" i="2"/>
  <c r="DJ126" i="2"/>
  <c r="DF126" i="2"/>
  <c r="DD126" i="2"/>
  <c r="CZ126" i="2"/>
  <c r="CV126" i="2"/>
  <c r="CR126" i="2"/>
  <c r="CP126" i="2"/>
  <c r="CN126" i="2"/>
  <c r="CH126" i="2"/>
  <c r="CF126" i="2"/>
  <c r="CD126" i="2"/>
  <c r="CB126" i="2"/>
  <c r="BZ126" i="2"/>
  <c r="BX126" i="2"/>
  <c r="BU126" i="2"/>
  <c r="BT126" i="2"/>
  <c r="BS126" i="2"/>
  <c r="BM126" i="2"/>
  <c r="BL126" i="2"/>
  <c r="BK126" i="2"/>
  <c r="BE126" i="2"/>
  <c r="BB126" i="2"/>
  <c r="AY126" i="2"/>
  <c r="AM126" i="2"/>
  <c r="AD126" i="2"/>
  <c r="AA126" i="2"/>
  <c r="U126" i="2"/>
  <c r="O126" i="2"/>
  <c r="L126" i="2"/>
  <c r="I126" i="2"/>
  <c r="G126" i="2"/>
  <c r="F126" i="2"/>
  <c r="E126" i="2"/>
  <c r="BW126" i="2" s="1"/>
  <c r="C126" i="2"/>
  <c r="B126" i="2"/>
  <c r="DJ125" i="2"/>
  <c r="DF125" i="2"/>
  <c r="DD125" i="2"/>
  <c r="CZ125" i="2"/>
  <c r="CV125" i="2"/>
  <c r="CR125" i="2"/>
  <c r="CP125" i="2"/>
  <c r="CN125" i="2"/>
  <c r="CH125" i="2"/>
  <c r="CF125" i="2"/>
  <c r="CD125" i="2"/>
  <c r="CB125" i="2"/>
  <c r="BZ125" i="2"/>
  <c r="BX125" i="2"/>
  <c r="BU125" i="2"/>
  <c r="BT125" i="2"/>
  <c r="BS125" i="2"/>
  <c r="BM125" i="2"/>
  <c r="BL125" i="2"/>
  <c r="BK125" i="2"/>
  <c r="BE125" i="2"/>
  <c r="BB125" i="2"/>
  <c r="AY125" i="2"/>
  <c r="AM125" i="2"/>
  <c r="AD125" i="2"/>
  <c r="AA125" i="2"/>
  <c r="U125" i="2"/>
  <c r="O125" i="2"/>
  <c r="L125" i="2"/>
  <c r="I125" i="2"/>
  <c r="G125" i="2"/>
  <c r="F125" i="2"/>
  <c r="E125" i="2"/>
  <c r="BW125" i="2" s="1"/>
  <c r="C125" i="2"/>
  <c r="B125" i="2"/>
  <c r="DJ124" i="2"/>
  <c r="DF124" i="2"/>
  <c r="DD124" i="2"/>
  <c r="CZ124" i="2"/>
  <c r="CV124" i="2"/>
  <c r="CR124" i="2"/>
  <c r="CP124" i="2"/>
  <c r="CN124" i="2"/>
  <c r="CH124" i="2"/>
  <c r="CF124" i="2"/>
  <c r="CD124" i="2"/>
  <c r="CB124" i="2"/>
  <c r="BZ124" i="2"/>
  <c r="BX124" i="2"/>
  <c r="BU124" i="2"/>
  <c r="BT124" i="2"/>
  <c r="BS124" i="2"/>
  <c r="BM124" i="2"/>
  <c r="BL124" i="2"/>
  <c r="BK124" i="2"/>
  <c r="BE124" i="2"/>
  <c r="BB124" i="2"/>
  <c r="AY124" i="2"/>
  <c r="AM124" i="2"/>
  <c r="AD124" i="2"/>
  <c r="AA124" i="2"/>
  <c r="U124" i="2"/>
  <c r="O124" i="2"/>
  <c r="L124" i="2"/>
  <c r="I124" i="2"/>
  <c r="G124" i="2"/>
  <c r="F124" i="2"/>
  <c r="E124" i="2"/>
  <c r="BW124" i="2" s="1"/>
  <c r="C124" i="2"/>
  <c r="B124" i="2"/>
  <c r="DJ123" i="2"/>
  <c r="DF123" i="2"/>
  <c r="DD123" i="2"/>
  <c r="CZ123" i="2"/>
  <c r="CV123" i="2"/>
  <c r="CR123" i="2"/>
  <c r="CP123" i="2"/>
  <c r="CN123" i="2"/>
  <c r="CH123" i="2"/>
  <c r="CF123" i="2"/>
  <c r="CD123" i="2"/>
  <c r="CB123" i="2"/>
  <c r="BZ123" i="2"/>
  <c r="BX123" i="2"/>
  <c r="BU123" i="2"/>
  <c r="BT123" i="2"/>
  <c r="BS123" i="2"/>
  <c r="BM123" i="2"/>
  <c r="BL123" i="2"/>
  <c r="BK123" i="2"/>
  <c r="BE123" i="2"/>
  <c r="BB123" i="2"/>
  <c r="AY123" i="2"/>
  <c r="AM123" i="2"/>
  <c r="AD123" i="2"/>
  <c r="AA123" i="2"/>
  <c r="U123" i="2"/>
  <c r="O123" i="2"/>
  <c r="L123" i="2"/>
  <c r="I123" i="2"/>
  <c r="G123" i="2"/>
  <c r="F123" i="2"/>
  <c r="E123" i="2"/>
  <c r="BW123" i="2" s="1"/>
  <c r="C123" i="2"/>
  <c r="B123" i="2"/>
  <c r="DJ122" i="2"/>
  <c r="DF122" i="2"/>
  <c r="DD122" i="2"/>
  <c r="CZ122" i="2"/>
  <c r="CV122" i="2"/>
  <c r="CR122" i="2"/>
  <c r="CP122" i="2"/>
  <c r="CN122" i="2"/>
  <c r="CH122" i="2"/>
  <c r="CF122" i="2"/>
  <c r="CD122" i="2"/>
  <c r="CB122" i="2"/>
  <c r="BZ122" i="2"/>
  <c r="BX122" i="2"/>
  <c r="BU122" i="2"/>
  <c r="BT122" i="2"/>
  <c r="BS122" i="2"/>
  <c r="BM122" i="2"/>
  <c r="BL122" i="2"/>
  <c r="BK122" i="2"/>
  <c r="BE122" i="2"/>
  <c r="BB122" i="2"/>
  <c r="AY122" i="2"/>
  <c r="AM122" i="2"/>
  <c r="AD122" i="2"/>
  <c r="AA122" i="2"/>
  <c r="U122" i="2"/>
  <c r="O122" i="2"/>
  <c r="L122" i="2"/>
  <c r="I122" i="2"/>
  <c r="G122" i="2"/>
  <c r="F122" i="2"/>
  <c r="E122" i="2"/>
  <c r="BW122" i="2" s="1"/>
  <c r="C122" i="2"/>
  <c r="B122" i="2"/>
  <c r="DJ121" i="2"/>
  <c r="DF121" i="2"/>
  <c r="DD121" i="2"/>
  <c r="CZ121" i="2"/>
  <c r="CV121" i="2"/>
  <c r="CR121" i="2"/>
  <c r="CP121" i="2"/>
  <c r="CN121" i="2"/>
  <c r="CH121" i="2"/>
  <c r="CF121" i="2"/>
  <c r="CD121" i="2"/>
  <c r="CB121" i="2"/>
  <c r="BZ121" i="2"/>
  <c r="BX121" i="2"/>
  <c r="BU121" i="2"/>
  <c r="BT121" i="2"/>
  <c r="BS121" i="2"/>
  <c r="BM121" i="2"/>
  <c r="BL121" i="2"/>
  <c r="BK121" i="2"/>
  <c r="BE121" i="2"/>
  <c r="BB121" i="2"/>
  <c r="AY121" i="2"/>
  <c r="AM121" i="2"/>
  <c r="AD121" i="2"/>
  <c r="AA121" i="2"/>
  <c r="U121" i="2"/>
  <c r="O121" i="2"/>
  <c r="L121" i="2"/>
  <c r="I121" i="2"/>
  <c r="G121" i="2"/>
  <c r="F121" i="2"/>
  <c r="E121" i="2"/>
  <c r="BW121" i="2" s="1"/>
  <c r="C121" i="2"/>
  <c r="B121" i="2"/>
  <c r="DJ120" i="2"/>
  <c r="DF120" i="2"/>
  <c r="DD120" i="2"/>
  <c r="CZ120" i="2"/>
  <c r="CV120" i="2"/>
  <c r="CR120" i="2"/>
  <c r="CP120" i="2"/>
  <c r="CN120" i="2"/>
  <c r="CH120" i="2"/>
  <c r="CF120" i="2"/>
  <c r="CD120" i="2"/>
  <c r="CB120" i="2"/>
  <c r="BZ120" i="2"/>
  <c r="BX120" i="2"/>
  <c r="BU120" i="2"/>
  <c r="BT120" i="2"/>
  <c r="BS120" i="2"/>
  <c r="BM120" i="2"/>
  <c r="BL120" i="2"/>
  <c r="BK120" i="2"/>
  <c r="BE120" i="2"/>
  <c r="BB120" i="2"/>
  <c r="AY120" i="2"/>
  <c r="AM120" i="2"/>
  <c r="AD120" i="2"/>
  <c r="AA120" i="2"/>
  <c r="U120" i="2"/>
  <c r="O120" i="2"/>
  <c r="L120" i="2"/>
  <c r="I120" i="2"/>
  <c r="G120" i="2"/>
  <c r="F120" i="2"/>
  <c r="E120" i="2"/>
  <c r="BW120" i="2" s="1"/>
  <c r="C120" i="2"/>
  <c r="B120" i="2"/>
  <c r="DJ119" i="2"/>
  <c r="DF119" i="2"/>
  <c r="DD119" i="2"/>
  <c r="CZ119" i="2"/>
  <c r="CV119" i="2"/>
  <c r="CR119" i="2"/>
  <c r="CP119" i="2"/>
  <c r="CN119" i="2"/>
  <c r="CH119" i="2"/>
  <c r="CF119" i="2"/>
  <c r="CD119" i="2"/>
  <c r="CB119" i="2"/>
  <c r="BZ119" i="2"/>
  <c r="BX119" i="2"/>
  <c r="BU119" i="2"/>
  <c r="BT119" i="2"/>
  <c r="BS119" i="2"/>
  <c r="BM119" i="2"/>
  <c r="BL119" i="2"/>
  <c r="BK119" i="2"/>
  <c r="BE119" i="2"/>
  <c r="BB119" i="2"/>
  <c r="AY119" i="2"/>
  <c r="AM119" i="2"/>
  <c r="AD119" i="2"/>
  <c r="AA119" i="2"/>
  <c r="U119" i="2"/>
  <c r="O119" i="2"/>
  <c r="L119" i="2"/>
  <c r="I119" i="2"/>
  <c r="G119" i="2"/>
  <c r="F119" i="2"/>
  <c r="E119" i="2"/>
  <c r="BW119" i="2" s="1"/>
  <c r="C119" i="2"/>
  <c r="B119" i="2"/>
  <c r="DJ118" i="2"/>
  <c r="DF118" i="2"/>
  <c r="DD118" i="2"/>
  <c r="CZ118" i="2"/>
  <c r="CV118" i="2"/>
  <c r="CR118" i="2"/>
  <c r="CP118" i="2"/>
  <c r="CN118" i="2"/>
  <c r="CH118" i="2"/>
  <c r="CF118" i="2"/>
  <c r="CD118" i="2"/>
  <c r="CB118" i="2"/>
  <c r="BZ118" i="2"/>
  <c r="BX118" i="2"/>
  <c r="BU118" i="2"/>
  <c r="BT118" i="2"/>
  <c r="BS118" i="2"/>
  <c r="BM118" i="2"/>
  <c r="BL118" i="2"/>
  <c r="BK118" i="2"/>
  <c r="BE118" i="2"/>
  <c r="BB118" i="2"/>
  <c r="AY118" i="2"/>
  <c r="AM118" i="2"/>
  <c r="AD118" i="2"/>
  <c r="AA118" i="2"/>
  <c r="U118" i="2"/>
  <c r="O118" i="2"/>
  <c r="L118" i="2"/>
  <c r="I118" i="2"/>
  <c r="G118" i="2"/>
  <c r="F118" i="2"/>
  <c r="E118" i="2"/>
  <c r="BW118" i="2" s="1"/>
  <c r="C118" i="2"/>
  <c r="B118" i="2"/>
  <c r="DJ117" i="2"/>
  <c r="DF117" i="2"/>
  <c r="DD117" i="2"/>
  <c r="CZ117" i="2"/>
  <c r="CV117" i="2"/>
  <c r="CR117" i="2"/>
  <c r="CP117" i="2"/>
  <c r="CN117" i="2"/>
  <c r="CH117" i="2"/>
  <c r="CF117" i="2"/>
  <c r="CD117" i="2"/>
  <c r="CB117" i="2"/>
  <c r="BZ117" i="2"/>
  <c r="BX117" i="2"/>
  <c r="BU117" i="2"/>
  <c r="BT117" i="2"/>
  <c r="BS117" i="2"/>
  <c r="BM117" i="2"/>
  <c r="BL117" i="2"/>
  <c r="BK117" i="2"/>
  <c r="BE117" i="2"/>
  <c r="BB117" i="2"/>
  <c r="AY117" i="2"/>
  <c r="AM117" i="2"/>
  <c r="AD117" i="2"/>
  <c r="AA117" i="2"/>
  <c r="U117" i="2"/>
  <c r="O117" i="2"/>
  <c r="L117" i="2"/>
  <c r="I117" i="2"/>
  <c r="G117" i="2"/>
  <c r="F117" i="2"/>
  <c r="E117" i="2"/>
  <c r="BW117" i="2" s="1"/>
  <c r="C117" i="2"/>
  <c r="B117" i="2"/>
  <c r="DJ116" i="2"/>
  <c r="DF116" i="2"/>
  <c r="DD116" i="2"/>
  <c r="CZ116" i="2"/>
  <c r="CV116" i="2"/>
  <c r="CR116" i="2"/>
  <c r="CP116" i="2"/>
  <c r="CN116" i="2"/>
  <c r="CH116" i="2"/>
  <c r="CF116" i="2"/>
  <c r="CD116" i="2"/>
  <c r="CB116" i="2"/>
  <c r="BZ116" i="2"/>
  <c r="BX116" i="2"/>
  <c r="BU116" i="2"/>
  <c r="BT116" i="2"/>
  <c r="BS116" i="2"/>
  <c r="BM116" i="2"/>
  <c r="BL116" i="2"/>
  <c r="BK116" i="2"/>
  <c r="BE116" i="2"/>
  <c r="BB116" i="2"/>
  <c r="AY116" i="2"/>
  <c r="AM116" i="2"/>
  <c r="AD116" i="2"/>
  <c r="AA116" i="2"/>
  <c r="U116" i="2"/>
  <c r="O116" i="2"/>
  <c r="L116" i="2"/>
  <c r="I116" i="2"/>
  <c r="G116" i="2"/>
  <c r="F116" i="2"/>
  <c r="E116" i="2"/>
  <c r="BW116" i="2" s="1"/>
  <c r="C116" i="2"/>
  <c r="B116" i="2"/>
  <c r="DJ115" i="2"/>
  <c r="DF115" i="2"/>
  <c r="DD115" i="2"/>
  <c r="CZ115" i="2"/>
  <c r="CV115" i="2"/>
  <c r="CR115" i="2"/>
  <c r="CP115" i="2"/>
  <c r="CN115" i="2"/>
  <c r="CH115" i="2"/>
  <c r="CF115" i="2"/>
  <c r="CD115" i="2"/>
  <c r="CB115" i="2"/>
  <c r="BZ115" i="2"/>
  <c r="BX115" i="2"/>
  <c r="BU115" i="2"/>
  <c r="BT115" i="2"/>
  <c r="BS115" i="2"/>
  <c r="BM115" i="2"/>
  <c r="BL115" i="2"/>
  <c r="BK115" i="2"/>
  <c r="BE115" i="2"/>
  <c r="BB115" i="2"/>
  <c r="AY115" i="2"/>
  <c r="AM115" i="2"/>
  <c r="AD115" i="2"/>
  <c r="AA115" i="2"/>
  <c r="U115" i="2"/>
  <c r="O115" i="2"/>
  <c r="L115" i="2"/>
  <c r="I115" i="2"/>
  <c r="G115" i="2"/>
  <c r="F115" i="2"/>
  <c r="E115" i="2"/>
  <c r="BW115" i="2" s="1"/>
  <c r="C115" i="2"/>
  <c r="B115" i="2"/>
  <c r="DJ114" i="2"/>
  <c r="DF114" i="2"/>
  <c r="DD114" i="2"/>
  <c r="CZ114" i="2"/>
  <c r="CV114" i="2"/>
  <c r="CR114" i="2"/>
  <c r="CP114" i="2"/>
  <c r="CN114" i="2"/>
  <c r="CH114" i="2"/>
  <c r="CF114" i="2"/>
  <c r="CD114" i="2"/>
  <c r="CB114" i="2"/>
  <c r="BZ114" i="2"/>
  <c r="BX114" i="2"/>
  <c r="BU114" i="2"/>
  <c r="BT114" i="2"/>
  <c r="BS114" i="2"/>
  <c r="BM114" i="2"/>
  <c r="BL114" i="2"/>
  <c r="BK114" i="2"/>
  <c r="BE114" i="2"/>
  <c r="BB114" i="2"/>
  <c r="AY114" i="2"/>
  <c r="AM114" i="2"/>
  <c r="AD114" i="2"/>
  <c r="AA114" i="2"/>
  <c r="U114" i="2"/>
  <c r="O114" i="2"/>
  <c r="L114" i="2"/>
  <c r="I114" i="2"/>
  <c r="G114" i="2"/>
  <c r="F114" i="2"/>
  <c r="E114" i="2"/>
  <c r="BW114" i="2" s="1"/>
  <c r="C114" i="2"/>
  <c r="B114" i="2"/>
  <c r="DJ113" i="2"/>
  <c r="DF113" i="2"/>
  <c r="DD113" i="2"/>
  <c r="CZ113" i="2"/>
  <c r="CV113" i="2"/>
  <c r="CR113" i="2"/>
  <c r="CP113" i="2"/>
  <c r="CN113" i="2"/>
  <c r="CH113" i="2"/>
  <c r="CF113" i="2"/>
  <c r="CD113" i="2"/>
  <c r="CB113" i="2"/>
  <c r="BZ113" i="2"/>
  <c r="BX113" i="2"/>
  <c r="BU113" i="2"/>
  <c r="BT113" i="2"/>
  <c r="BS113" i="2"/>
  <c r="BM113" i="2"/>
  <c r="BL113" i="2"/>
  <c r="BK113" i="2"/>
  <c r="BE113" i="2"/>
  <c r="BB113" i="2"/>
  <c r="AY113" i="2"/>
  <c r="AM113" i="2"/>
  <c r="AD113" i="2"/>
  <c r="AA113" i="2"/>
  <c r="U113" i="2"/>
  <c r="O113" i="2"/>
  <c r="L113" i="2"/>
  <c r="I113" i="2"/>
  <c r="G113" i="2"/>
  <c r="F113" i="2"/>
  <c r="E113" i="2"/>
  <c r="BW113" i="2" s="1"/>
  <c r="C113" i="2"/>
  <c r="B113" i="2"/>
  <c r="DJ112" i="2"/>
  <c r="DF112" i="2"/>
  <c r="DD112" i="2"/>
  <c r="CZ112" i="2"/>
  <c r="CV112" i="2"/>
  <c r="CR112" i="2"/>
  <c r="CP112" i="2"/>
  <c r="CN112" i="2"/>
  <c r="CH112" i="2"/>
  <c r="CF112" i="2"/>
  <c r="CD112" i="2"/>
  <c r="CB112" i="2"/>
  <c r="BZ112" i="2"/>
  <c r="BX112" i="2"/>
  <c r="BU112" i="2"/>
  <c r="BT112" i="2"/>
  <c r="BS112" i="2"/>
  <c r="BM112" i="2"/>
  <c r="BL112" i="2"/>
  <c r="BK112" i="2"/>
  <c r="BE112" i="2"/>
  <c r="BB112" i="2"/>
  <c r="AY112" i="2"/>
  <c r="AM112" i="2"/>
  <c r="AD112" i="2"/>
  <c r="AA112" i="2"/>
  <c r="U112" i="2"/>
  <c r="O112" i="2"/>
  <c r="L112" i="2"/>
  <c r="I112" i="2"/>
  <c r="G112" i="2"/>
  <c r="F112" i="2"/>
  <c r="E112" i="2"/>
  <c r="BW112" i="2" s="1"/>
  <c r="C112" i="2"/>
  <c r="B112" i="2"/>
  <c r="DJ111" i="2"/>
  <c r="DF111" i="2"/>
  <c r="DD111" i="2"/>
  <c r="CZ111" i="2"/>
  <c r="CV111" i="2"/>
  <c r="CR111" i="2"/>
  <c r="CP111" i="2"/>
  <c r="CN111" i="2"/>
  <c r="CH111" i="2"/>
  <c r="CF111" i="2"/>
  <c r="CD111" i="2"/>
  <c r="CB111" i="2"/>
  <c r="BZ111" i="2"/>
  <c r="BX111" i="2"/>
  <c r="BU111" i="2"/>
  <c r="BT111" i="2"/>
  <c r="BS111" i="2"/>
  <c r="BM111" i="2"/>
  <c r="BL111" i="2"/>
  <c r="BK111" i="2"/>
  <c r="BE111" i="2"/>
  <c r="BB111" i="2"/>
  <c r="AY111" i="2"/>
  <c r="AM111" i="2"/>
  <c r="AD111" i="2"/>
  <c r="AA111" i="2"/>
  <c r="U111" i="2"/>
  <c r="O111" i="2"/>
  <c r="L111" i="2"/>
  <c r="I111" i="2"/>
  <c r="G111" i="2"/>
  <c r="F111" i="2"/>
  <c r="E111" i="2"/>
  <c r="BW111" i="2" s="1"/>
  <c r="C111" i="2"/>
  <c r="B111" i="2"/>
  <c r="DJ110" i="2"/>
  <c r="DF110" i="2"/>
  <c r="DD110" i="2"/>
  <c r="CZ110" i="2"/>
  <c r="CV110" i="2"/>
  <c r="CR110" i="2"/>
  <c r="CP110" i="2"/>
  <c r="CN110" i="2"/>
  <c r="CH110" i="2"/>
  <c r="CF110" i="2"/>
  <c r="CD110" i="2"/>
  <c r="CB110" i="2"/>
  <c r="BZ110" i="2"/>
  <c r="BX110" i="2"/>
  <c r="BU110" i="2"/>
  <c r="BT110" i="2"/>
  <c r="BS110" i="2"/>
  <c r="BM110" i="2"/>
  <c r="BL110" i="2"/>
  <c r="BK110" i="2"/>
  <c r="BE110" i="2"/>
  <c r="BB110" i="2"/>
  <c r="AY110" i="2"/>
  <c r="AM110" i="2"/>
  <c r="AD110" i="2"/>
  <c r="AA110" i="2"/>
  <c r="U110" i="2"/>
  <c r="O110" i="2"/>
  <c r="L110" i="2"/>
  <c r="I110" i="2"/>
  <c r="G110" i="2"/>
  <c r="F110" i="2"/>
  <c r="E110" i="2"/>
  <c r="C110" i="2"/>
  <c r="B110" i="2"/>
  <c r="DJ109" i="2"/>
  <c r="DF109" i="2"/>
  <c r="DD109" i="2"/>
  <c r="CZ109" i="2"/>
  <c r="CV109" i="2"/>
  <c r="CR109" i="2"/>
  <c r="CP109" i="2"/>
  <c r="CN109" i="2"/>
  <c r="CH109" i="2"/>
  <c r="CF109" i="2"/>
  <c r="CD109" i="2"/>
  <c r="CB109" i="2"/>
  <c r="BZ109" i="2"/>
  <c r="BX109" i="2"/>
  <c r="BU109" i="2"/>
  <c r="BT109" i="2"/>
  <c r="BS109" i="2"/>
  <c r="BM109" i="2"/>
  <c r="BL109" i="2"/>
  <c r="BK109" i="2"/>
  <c r="BE109" i="2"/>
  <c r="BB109" i="2"/>
  <c r="AY109" i="2"/>
  <c r="AM109" i="2"/>
  <c r="AD109" i="2"/>
  <c r="AA109" i="2"/>
  <c r="U109" i="2"/>
  <c r="O109" i="2"/>
  <c r="L109" i="2"/>
  <c r="I109" i="2"/>
  <c r="G109" i="2"/>
  <c r="F109" i="2"/>
  <c r="E109" i="2"/>
  <c r="C109" i="2"/>
  <c r="B109" i="2"/>
  <c r="DJ108" i="2"/>
  <c r="DF108" i="2"/>
  <c r="DD108" i="2"/>
  <c r="CZ108" i="2"/>
  <c r="CV108" i="2"/>
  <c r="CR108" i="2"/>
  <c r="CP108" i="2"/>
  <c r="CN108" i="2"/>
  <c r="CH108" i="2"/>
  <c r="CF108" i="2"/>
  <c r="CD108" i="2"/>
  <c r="CB108" i="2"/>
  <c r="BZ108" i="2"/>
  <c r="BX108" i="2"/>
  <c r="BU108" i="2"/>
  <c r="BT108" i="2"/>
  <c r="BS108" i="2"/>
  <c r="BM108" i="2"/>
  <c r="BL108" i="2"/>
  <c r="BK108" i="2"/>
  <c r="BE108" i="2"/>
  <c r="BB108" i="2"/>
  <c r="AY108" i="2"/>
  <c r="AM108" i="2"/>
  <c r="AD108" i="2"/>
  <c r="AA108" i="2"/>
  <c r="U108" i="2"/>
  <c r="O108" i="2"/>
  <c r="L108" i="2"/>
  <c r="I108" i="2"/>
  <c r="G108" i="2"/>
  <c r="F108" i="2"/>
  <c r="E108" i="2"/>
  <c r="C108" i="2"/>
  <c r="B108" i="2"/>
  <c r="DJ107" i="2"/>
  <c r="DF107" i="2"/>
  <c r="DD107" i="2"/>
  <c r="CZ107" i="2"/>
  <c r="CV107" i="2"/>
  <c r="CR107" i="2"/>
  <c r="CP107" i="2"/>
  <c r="CN107" i="2"/>
  <c r="CH107" i="2"/>
  <c r="CF107" i="2"/>
  <c r="CD107" i="2"/>
  <c r="CB107" i="2"/>
  <c r="BZ107" i="2"/>
  <c r="BX107" i="2"/>
  <c r="BU107" i="2"/>
  <c r="BT107" i="2"/>
  <c r="BS107" i="2"/>
  <c r="BM107" i="2"/>
  <c r="BL107" i="2"/>
  <c r="BK107" i="2"/>
  <c r="BE107" i="2"/>
  <c r="BB107" i="2"/>
  <c r="AY107" i="2"/>
  <c r="AM107" i="2"/>
  <c r="AD107" i="2"/>
  <c r="AA107" i="2"/>
  <c r="U107" i="2"/>
  <c r="O107" i="2"/>
  <c r="L107" i="2"/>
  <c r="I107" i="2"/>
  <c r="G107" i="2"/>
  <c r="F107" i="2"/>
  <c r="E107" i="2"/>
  <c r="C107" i="2"/>
  <c r="B107" i="2"/>
  <c r="DJ106" i="2"/>
  <c r="DF106" i="2"/>
  <c r="DD106" i="2"/>
  <c r="CZ106" i="2"/>
  <c r="CV106" i="2"/>
  <c r="CR106" i="2"/>
  <c r="CP106" i="2"/>
  <c r="CN106" i="2"/>
  <c r="CH106" i="2"/>
  <c r="CF106" i="2"/>
  <c r="CD106" i="2"/>
  <c r="CB106" i="2"/>
  <c r="BZ106" i="2"/>
  <c r="BX106" i="2"/>
  <c r="BU106" i="2"/>
  <c r="BT106" i="2"/>
  <c r="BS106" i="2"/>
  <c r="BM106" i="2"/>
  <c r="BL106" i="2"/>
  <c r="BK106" i="2"/>
  <c r="BE106" i="2"/>
  <c r="BB106" i="2"/>
  <c r="AY106" i="2"/>
  <c r="AM106" i="2"/>
  <c r="AD106" i="2"/>
  <c r="AA106" i="2"/>
  <c r="U106" i="2"/>
  <c r="O106" i="2"/>
  <c r="L106" i="2"/>
  <c r="I106" i="2"/>
  <c r="G106" i="2"/>
  <c r="F106" i="2"/>
  <c r="E106" i="2"/>
  <c r="C106" i="2"/>
  <c r="B106" i="2"/>
  <c r="DJ105" i="2"/>
  <c r="DF105" i="2"/>
  <c r="DD105" i="2"/>
  <c r="CZ105" i="2"/>
  <c r="CV105" i="2"/>
  <c r="CR105" i="2"/>
  <c r="CP105" i="2"/>
  <c r="CN105" i="2"/>
  <c r="CH105" i="2"/>
  <c r="CF105" i="2"/>
  <c r="CD105" i="2"/>
  <c r="CB105" i="2"/>
  <c r="BZ105" i="2"/>
  <c r="BX105" i="2"/>
  <c r="BU105" i="2"/>
  <c r="BT105" i="2"/>
  <c r="BS105" i="2"/>
  <c r="BM105" i="2"/>
  <c r="BL105" i="2"/>
  <c r="BK105" i="2"/>
  <c r="BE105" i="2"/>
  <c r="BB105" i="2"/>
  <c r="AY105" i="2"/>
  <c r="AM105" i="2"/>
  <c r="AD105" i="2"/>
  <c r="AA105" i="2"/>
  <c r="U105" i="2"/>
  <c r="O105" i="2"/>
  <c r="L105" i="2"/>
  <c r="I105" i="2"/>
  <c r="G105" i="2"/>
  <c r="F105" i="2"/>
  <c r="E105" i="2"/>
  <c r="C105" i="2"/>
  <c r="B105" i="2"/>
  <c r="DJ104" i="2"/>
  <c r="DF104" i="2"/>
  <c r="DD104" i="2"/>
  <c r="CZ104" i="2"/>
  <c r="CV104" i="2"/>
  <c r="CR104" i="2"/>
  <c r="CP104" i="2"/>
  <c r="CN104" i="2"/>
  <c r="CH104" i="2"/>
  <c r="CF104" i="2"/>
  <c r="CD104" i="2"/>
  <c r="CB104" i="2"/>
  <c r="BZ104" i="2"/>
  <c r="BX104" i="2"/>
  <c r="BU104" i="2"/>
  <c r="BT104" i="2"/>
  <c r="BS104" i="2"/>
  <c r="BM104" i="2"/>
  <c r="BL104" i="2"/>
  <c r="BK104" i="2"/>
  <c r="BE104" i="2"/>
  <c r="BB104" i="2"/>
  <c r="AY104" i="2"/>
  <c r="AM104" i="2"/>
  <c r="AD104" i="2"/>
  <c r="AA104" i="2"/>
  <c r="U104" i="2"/>
  <c r="O104" i="2"/>
  <c r="L104" i="2"/>
  <c r="I104" i="2"/>
  <c r="G104" i="2"/>
  <c r="F104" i="2"/>
  <c r="E104" i="2"/>
  <c r="C104" i="2"/>
  <c r="B104" i="2"/>
  <c r="DJ103" i="2"/>
  <c r="DF103" i="2"/>
  <c r="DD103" i="2"/>
  <c r="CZ103" i="2"/>
  <c r="CV103" i="2"/>
  <c r="CR103" i="2"/>
  <c r="CP103" i="2"/>
  <c r="CN103" i="2"/>
  <c r="CH103" i="2"/>
  <c r="CF103" i="2"/>
  <c r="CD103" i="2"/>
  <c r="CB103" i="2"/>
  <c r="BZ103" i="2"/>
  <c r="BX103" i="2"/>
  <c r="BU103" i="2"/>
  <c r="BT103" i="2"/>
  <c r="BS103" i="2"/>
  <c r="BM103" i="2"/>
  <c r="BL103" i="2"/>
  <c r="BK103" i="2"/>
  <c r="BE103" i="2"/>
  <c r="BB103" i="2"/>
  <c r="AY103" i="2"/>
  <c r="AM103" i="2"/>
  <c r="AD103" i="2"/>
  <c r="AA103" i="2"/>
  <c r="U103" i="2"/>
  <c r="O103" i="2"/>
  <c r="L103" i="2"/>
  <c r="I103" i="2"/>
  <c r="G103" i="2"/>
  <c r="F103" i="2"/>
  <c r="E103" i="2"/>
  <c r="C103" i="2"/>
  <c r="B103" i="2"/>
  <c r="DJ102" i="2"/>
  <c r="DF102" i="2"/>
  <c r="DD102" i="2"/>
  <c r="CZ102" i="2"/>
  <c r="CV102" i="2"/>
  <c r="CR102" i="2"/>
  <c r="CP102" i="2"/>
  <c r="CN102" i="2"/>
  <c r="CH102" i="2"/>
  <c r="CF102" i="2"/>
  <c r="CD102" i="2"/>
  <c r="CB102" i="2"/>
  <c r="BZ102" i="2"/>
  <c r="BX102" i="2"/>
  <c r="BU102" i="2"/>
  <c r="BT102" i="2"/>
  <c r="BS102" i="2"/>
  <c r="BM102" i="2"/>
  <c r="BL102" i="2"/>
  <c r="BK102" i="2"/>
  <c r="BE102" i="2"/>
  <c r="BB102" i="2"/>
  <c r="AY102" i="2"/>
  <c r="AM102" i="2"/>
  <c r="AD102" i="2"/>
  <c r="AA102" i="2"/>
  <c r="U102" i="2"/>
  <c r="O102" i="2"/>
  <c r="L102" i="2"/>
  <c r="I102" i="2"/>
  <c r="G102" i="2"/>
  <c r="F102" i="2"/>
  <c r="E102" i="2"/>
  <c r="C102" i="2"/>
  <c r="B102" i="2"/>
  <c r="DJ101" i="2"/>
  <c r="DF101" i="2"/>
  <c r="DD101" i="2"/>
  <c r="CZ101" i="2"/>
  <c r="CV101" i="2"/>
  <c r="CR101" i="2"/>
  <c r="CP101" i="2"/>
  <c r="CN101" i="2"/>
  <c r="CH101" i="2"/>
  <c r="CF101" i="2"/>
  <c r="CD101" i="2"/>
  <c r="CB101" i="2"/>
  <c r="BZ101" i="2"/>
  <c r="BX101" i="2"/>
  <c r="BU101" i="2"/>
  <c r="BT101" i="2"/>
  <c r="BS101" i="2"/>
  <c r="BM101" i="2"/>
  <c r="BL101" i="2"/>
  <c r="BK101" i="2"/>
  <c r="BE101" i="2"/>
  <c r="BB101" i="2"/>
  <c r="AY101" i="2"/>
  <c r="AM101" i="2"/>
  <c r="AD101" i="2"/>
  <c r="AA101" i="2"/>
  <c r="U101" i="2"/>
  <c r="O101" i="2"/>
  <c r="L101" i="2"/>
  <c r="I101" i="2"/>
  <c r="G101" i="2"/>
  <c r="F101" i="2"/>
  <c r="E101" i="2"/>
  <c r="C101" i="2"/>
  <c r="B101" i="2"/>
  <c r="DJ100" i="2"/>
  <c r="DF100" i="2"/>
  <c r="DD100" i="2"/>
  <c r="CZ100" i="2"/>
  <c r="CV100" i="2"/>
  <c r="CR100" i="2"/>
  <c r="CP100" i="2"/>
  <c r="CN100" i="2"/>
  <c r="CH100" i="2"/>
  <c r="CF100" i="2"/>
  <c r="CD100" i="2"/>
  <c r="CB100" i="2"/>
  <c r="BZ100" i="2"/>
  <c r="BX100" i="2"/>
  <c r="BU100" i="2"/>
  <c r="BT100" i="2"/>
  <c r="BS100" i="2"/>
  <c r="BM100" i="2"/>
  <c r="BL100" i="2"/>
  <c r="BK100" i="2"/>
  <c r="BE100" i="2"/>
  <c r="BB100" i="2"/>
  <c r="AY100" i="2"/>
  <c r="AM100" i="2"/>
  <c r="AD100" i="2"/>
  <c r="AA100" i="2"/>
  <c r="U100" i="2"/>
  <c r="O100" i="2"/>
  <c r="L100" i="2"/>
  <c r="I100" i="2"/>
  <c r="G100" i="2"/>
  <c r="F100" i="2"/>
  <c r="E100" i="2"/>
  <c r="C100" i="2"/>
  <c r="B100" i="2"/>
  <c r="DJ99" i="2"/>
  <c r="DF99" i="2"/>
  <c r="DD99" i="2"/>
  <c r="CZ99" i="2"/>
  <c r="CV99" i="2"/>
  <c r="CR99" i="2"/>
  <c r="CP99" i="2"/>
  <c r="CN99" i="2"/>
  <c r="CH99" i="2"/>
  <c r="CF99" i="2"/>
  <c r="CD99" i="2"/>
  <c r="CB99" i="2"/>
  <c r="BZ99" i="2"/>
  <c r="BX99" i="2"/>
  <c r="BU99" i="2"/>
  <c r="BT99" i="2"/>
  <c r="BS99" i="2"/>
  <c r="BM99" i="2"/>
  <c r="BL99" i="2"/>
  <c r="BK99" i="2"/>
  <c r="BE99" i="2"/>
  <c r="BB99" i="2"/>
  <c r="AY99" i="2"/>
  <c r="AM99" i="2"/>
  <c r="AD99" i="2"/>
  <c r="AA99" i="2"/>
  <c r="U99" i="2"/>
  <c r="O99" i="2"/>
  <c r="L99" i="2"/>
  <c r="I99" i="2"/>
  <c r="G99" i="2"/>
  <c r="F99" i="2"/>
  <c r="E99" i="2"/>
  <c r="C99" i="2"/>
  <c r="B99" i="2"/>
  <c r="DJ98" i="2"/>
  <c r="DF98" i="2"/>
  <c r="DD98" i="2"/>
  <c r="CZ98" i="2"/>
  <c r="CV98" i="2"/>
  <c r="CR98" i="2"/>
  <c r="CP98" i="2"/>
  <c r="CN98" i="2"/>
  <c r="CH98" i="2"/>
  <c r="CF98" i="2"/>
  <c r="CD98" i="2"/>
  <c r="CB98" i="2"/>
  <c r="BZ98" i="2"/>
  <c r="BX98" i="2"/>
  <c r="BU98" i="2"/>
  <c r="BT98" i="2"/>
  <c r="BS98" i="2"/>
  <c r="BM98" i="2"/>
  <c r="BL98" i="2"/>
  <c r="BK98" i="2"/>
  <c r="BE98" i="2"/>
  <c r="BB98" i="2"/>
  <c r="AY98" i="2"/>
  <c r="AM98" i="2"/>
  <c r="AD98" i="2"/>
  <c r="AA98" i="2"/>
  <c r="U98" i="2"/>
  <c r="O98" i="2"/>
  <c r="L98" i="2"/>
  <c r="I98" i="2"/>
  <c r="G98" i="2"/>
  <c r="F98" i="2"/>
  <c r="E98" i="2"/>
  <c r="C98" i="2"/>
  <c r="B98" i="2"/>
  <c r="DJ97" i="2"/>
  <c r="DF97" i="2"/>
  <c r="DD97" i="2"/>
  <c r="CZ97" i="2"/>
  <c r="CV97" i="2"/>
  <c r="CR97" i="2"/>
  <c r="CP97" i="2"/>
  <c r="CN97" i="2"/>
  <c r="CH97" i="2"/>
  <c r="CF97" i="2"/>
  <c r="CD97" i="2"/>
  <c r="CB97" i="2"/>
  <c r="BZ97" i="2"/>
  <c r="BX97" i="2"/>
  <c r="BU97" i="2"/>
  <c r="BT97" i="2"/>
  <c r="BS97" i="2"/>
  <c r="BM97" i="2"/>
  <c r="BL97" i="2"/>
  <c r="BK97" i="2"/>
  <c r="BE97" i="2"/>
  <c r="BB97" i="2"/>
  <c r="AY97" i="2"/>
  <c r="AM97" i="2"/>
  <c r="AD97" i="2"/>
  <c r="AA97" i="2"/>
  <c r="U97" i="2"/>
  <c r="O97" i="2"/>
  <c r="L97" i="2"/>
  <c r="I97" i="2"/>
  <c r="G97" i="2"/>
  <c r="F97" i="2"/>
  <c r="E97" i="2"/>
  <c r="C97" i="2"/>
  <c r="B97" i="2"/>
  <c r="DJ96" i="2"/>
  <c r="DF96" i="2"/>
  <c r="DD96" i="2"/>
  <c r="CZ96" i="2"/>
  <c r="CV96" i="2"/>
  <c r="CR96" i="2"/>
  <c r="CP96" i="2"/>
  <c r="CN96" i="2"/>
  <c r="CH96" i="2"/>
  <c r="CF96" i="2"/>
  <c r="CD96" i="2"/>
  <c r="CB96" i="2"/>
  <c r="BZ96" i="2"/>
  <c r="BX96" i="2"/>
  <c r="BU96" i="2"/>
  <c r="BT96" i="2"/>
  <c r="BS96" i="2"/>
  <c r="BM96" i="2"/>
  <c r="BL96" i="2"/>
  <c r="BK96" i="2"/>
  <c r="BE96" i="2"/>
  <c r="BB96" i="2"/>
  <c r="AY96" i="2"/>
  <c r="AM96" i="2"/>
  <c r="AD96" i="2"/>
  <c r="AA96" i="2"/>
  <c r="U96" i="2"/>
  <c r="O96" i="2"/>
  <c r="L96" i="2"/>
  <c r="I96" i="2"/>
  <c r="G96" i="2"/>
  <c r="F96" i="2"/>
  <c r="E96" i="2"/>
  <c r="C96" i="2"/>
  <c r="B96" i="2"/>
  <c r="DJ95" i="2"/>
  <c r="DF95" i="2"/>
  <c r="DD95" i="2"/>
  <c r="CZ95" i="2"/>
  <c r="CV95" i="2"/>
  <c r="CR95" i="2"/>
  <c r="CP95" i="2"/>
  <c r="CN95" i="2"/>
  <c r="CH95" i="2"/>
  <c r="CF95" i="2"/>
  <c r="CD95" i="2"/>
  <c r="CB95" i="2"/>
  <c r="BZ95" i="2"/>
  <c r="BX95" i="2"/>
  <c r="BU95" i="2"/>
  <c r="BT95" i="2"/>
  <c r="BS95" i="2"/>
  <c r="BM95" i="2"/>
  <c r="BL95" i="2"/>
  <c r="BK95" i="2"/>
  <c r="BE95" i="2"/>
  <c r="BB95" i="2"/>
  <c r="AY95" i="2"/>
  <c r="AM95" i="2"/>
  <c r="AD95" i="2"/>
  <c r="AA95" i="2"/>
  <c r="U95" i="2"/>
  <c r="O95" i="2"/>
  <c r="L95" i="2"/>
  <c r="I95" i="2"/>
  <c r="G95" i="2"/>
  <c r="F95" i="2"/>
  <c r="E95" i="2"/>
  <c r="C95" i="2"/>
  <c r="B95" i="2"/>
  <c r="DJ94" i="2"/>
  <c r="DF94" i="2"/>
  <c r="DD94" i="2"/>
  <c r="CZ94" i="2"/>
  <c r="CV94" i="2"/>
  <c r="CR94" i="2"/>
  <c r="CP94" i="2"/>
  <c r="CN94" i="2"/>
  <c r="CH94" i="2"/>
  <c r="CF94" i="2"/>
  <c r="CD94" i="2"/>
  <c r="CB94" i="2"/>
  <c r="BZ94" i="2"/>
  <c r="BX94" i="2"/>
  <c r="BU94" i="2"/>
  <c r="BT94" i="2"/>
  <c r="BS94" i="2"/>
  <c r="BM94" i="2"/>
  <c r="BL94" i="2"/>
  <c r="BK94" i="2"/>
  <c r="BE94" i="2"/>
  <c r="BB94" i="2"/>
  <c r="AY94" i="2"/>
  <c r="AM94" i="2"/>
  <c r="AD94" i="2"/>
  <c r="AA94" i="2"/>
  <c r="U94" i="2"/>
  <c r="O94" i="2"/>
  <c r="L94" i="2"/>
  <c r="I94" i="2"/>
  <c r="G94" i="2"/>
  <c r="F94" i="2"/>
  <c r="E94" i="2"/>
  <c r="C94" i="2"/>
  <c r="B94" i="2"/>
  <c r="DJ93" i="2"/>
  <c r="DF93" i="2"/>
  <c r="DD93" i="2"/>
  <c r="CZ93" i="2"/>
  <c r="CV93" i="2"/>
  <c r="CR93" i="2"/>
  <c r="CP93" i="2"/>
  <c r="CN93" i="2"/>
  <c r="CH93" i="2"/>
  <c r="CF93" i="2"/>
  <c r="CD93" i="2"/>
  <c r="CB93" i="2"/>
  <c r="BZ93" i="2"/>
  <c r="BX93" i="2"/>
  <c r="BU93" i="2"/>
  <c r="BT93" i="2"/>
  <c r="BS93" i="2"/>
  <c r="BM93" i="2"/>
  <c r="BL93" i="2"/>
  <c r="BK93" i="2"/>
  <c r="BE93" i="2"/>
  <c r="BB93" i="2"/>
  <c r="AY93" i="2"/>
  <c r="AM93" i="2"/>
  <c r="AD93" i="2"/>
  <c r="AA93" i="2"/>
  <c r="U93" i="2"/>
  <c r="O93" i="2"/>
  <c r="L93" i="2"/>
  <c r="I93" i="2"/>
  <c r="G93" i="2"/>
  <c r="F93" i="2"/>
  <c r="E93" i="2"/>
  <c r="C93" i="2"/>
  <c r="B93" i="2"/>
  <c r="DJ92" i="2"/>
  <c r="DF92" i="2"/>
  <c r="DD92" i="2"/>
  <c r="CZ92" i="2"/>
  <c r="CV92" i="2"/>
  <c r="CR92" i="2"/>
  <c r="CP92" i="2"/>
  <c r="CN92" i="2"/>
  <c r="CH92" i="2"/>
  <c r="CF92" i="2"/>
  <c r="CD92" i="2"/>
  <c r="CB92" i="2"/>
  <c r="BZ92" i="2"/>
  <c r="BX92" i="2"/>
  <c r="BU92" i="2"/>
  <c r="BT92" i="2"/>
  <c r="BS92" i="2"/>
  <c r="BM92" i="2"/>
  <c r="BL92" i="2"/>
  <c r="BK92" i="2"/>
  <c r="BE92" i="2"/>
  <c r="BB92" i="2"/>
  <c r="AY92" i="2"/>
  <c r="AM92" i="2"/>
  <c r="AD92" i="2"/>
  <c r="AA92" i="2"/>
  <c r="U92" i="2"/>
  <c r="O92" i="2"/>
  <c r="L92" i="2"/>
  <c r="I92" i="2"/>
  <c r="G92" i="2"/>
  <c r="F92" i="2"/>
  <c r="E92" i="2"/>
  <c r="C92" i="2"/>
  <c r="B92" i="2"/>
  <c r="DJ91" i="2"/>
  <c r="DF91" i="2"/>
  <c r="DD91" i="2"/>
  <c r="CZ91" i="2"/>
  <c r="CV91" i="2"/>
  <c r="CR91" i="2"/>
  <c r="CP91" i="2"/>
  <c r="CN91" i="2"/>
  <c r="CH91" i="2"/>
  <c r="CF91" i="2"/>
  <c r="CD91" i="2"/>
  <c r="CB91" i="2"/>
  <c r="BZ91" i="2"/>
  <c r="BX91" i="2"/>
  <c r="BU91" i="2"/>
  <c r="BT91" i="2"/>
  <c r="BS91" i="2"/>
  <c r="BM91" i="2"/>
  <c r="BL91" i="2"/>
  <c r="BK91" i="2"/>
  <c r="BE91" i="2"/>
  <c r="BB91" i="2"/>
  <c r="AY91" i="2"/>
  <c r="AM91" i="2"/>
  <c r="AD91" i="2"/>
  <c r="AA91" i="2"/>
  <c r="U91" i="2"/>
  <c r="O91" i="2"/>
  <c r="L91" i="2"/>
  <c r="I91" i="2"/>
  <c r="G91" i="2"/>
  <c r="F91" i="2"/>
  <c r="E91" i="2"/>
  <c r="C91" i="2"/>
  <c r="B91" i="2"/>
  <c r="DJ90" i="2"/>
  <c r="DF90" i="2"/>
  <c r="DD90" i="2"/>
  <c r="CZ90" i="2"/>
  <c r="CV90" i="2"/>
  <c r="CR90" i="2"/>
  <c r="CP90" i="2"/>
  <c r="CN90" i="2"/>
  <c r="CH90" i="2"/>
  <c r="CF90" i="2"/>
  <c r="CD90" i="2"/>
  <c r="CB90" i="2"/>
  <c r="BZ90" i="2"/>
  <c r="BX90" i="2"/>
  <c r="BU90" i="2"/>
  <c r="BT90" i="2"/>
  <c r="BS90" i="2"/>
  <c r="BM90" i="2"/>
  <c r="BL90" i="2"/>
  <c r="BK90" i="2"/>
  <c r="BE90" i="2"/>
  <c r="BB90" i="2"/>
  <c r="AY90" i="2"/>
  <c r="AM90" i="2"/>
  <c r="AD90" i="2"/>
  <c r="AA90" i="2"/>
  <c r="U90" i="2"/>
  <c r="O90" i="2"/>
  <c r="L90" i="2"/>
  <c r="I90" i="2"/>
  <c r="G90" i="2"/>
  <c r="F90" i="2"/>
  <c r="E90" i="2"/>
  <c r="C90" i="2"/>
  <c r="B90" i="2"/>
  <c r="DJ89" i="2"/>
  <c r="DF89" i="2"/>
  <c r="DD89" i="2"/>
  <c r="CZ89" i="2"/>
  <c r="CV89" i="2"/>
  <c r="CR89" i="2"/>
  <c r="CP89" i="2"/>
  <c r="CN89" i="2"/>
  <c r="CH89" i="2"/>
  <c r="CF89" i="2"/>
  <c r="CD89" i="2"/>
  <c r="CB89" i="2"/>
  <c r="BZ89" i="2"/>
  <c r="BX89" i="2"/>
  <c r="BU89" i="2"/>
  <c r="BT89" i="2"/>
  <c r="BS89" i="2"/>
  <c r="BM89" i="2"/>
  <c r="BL89" i="2"/>
  <c r="BK89" i="2"/>
  <c r="BE89" i="2"/>
  <c r="BB89" i="2"/>
  <c r="AY89" i="2"/>
  <c r="AM89" i="2"/>
  <c r="AD89" i="2"/>
  <c r="AA89" i="2"/>
  <c r="U89" i="2"/>
  <c r="O89" i="2"/>
  <c r="L89" i="2"/>
  <c r="I89" i="2"/>
  <c r="G89" i="2"/>
  <c r="F89" i="2"/>
  <c r="E89" i="2"/>
  <c r="C89" i="2"/>
  <c r="B89" i="2"/>
  <c r="DJ88" i="2"/>
  <c r="DF88" i="2"/>
  <c r="DD88" i="2"/>
  <c r="CZ88" i="2"/>
  <c r="CV88" i="2"/>
  <c r="CR88" i="2"/>
  <c r="CP88" i="2"/>
  <c r="CN88" i="2"/>
  <c r="CH88" i="2"/>
  <c r="CF88" i="2"/>
  <c r="CD88" i="2"/>
  <c r="CB88" i="2"/>
  <c r="BZ88" i="2"/>
  <c r="BX88" i="2"/>
  <c r="BU88" i="2"/>
  <c r="BT88" i="2"/>
  <c r="BS88" i="2"/>
  <c r="BM88" i="2"/>
  <c r="BL88" i="2"/>
  <c r="BK88" i="2"/>
  <c r="BE88" i="2"/>
  <c r="BB88" i="2"/>
  <c r="AY88" i="2"/>
  <c r="AM88" i="2"/>
  <c r="AD88" i="2"/>
  <c r="AA88" i="2"/>
  <c r="U88" i="2"/>
  <c r="O88" i="2"/>
  <c r="L88" i="2"/>
  <c r="I88" i="2"/>
  <c r="G88" i="2"/>
  <c r="F88" i="2"/>
  <c r="E88" i="2"/>
  <c r="C88" i="2"/>
  <c r="B88" i="2"/>
  <c r="DJ87" i="2"/>
  <c r="DF87" i="2"/>
  <c r="DD87" i="2"/>
  <c r="CZ87" i="2"/>
  <c r="CV87" i="2"/>
  <c r="CR87" i="2"/>
  <c r="CP87" i="2"/>
  <c r="CN87" i="2"/>
  <c r="CH87" i="2"/>
  <c r="CF87" i="2"/>
  <c r="CD87" i="2"/>
  <c r="CB87" i="2"/>
  <c r="BZ87" i="2"/>
  <c r="BX87" i="2"/>
  <c r="BU87" i="2"/>
  <c r="BT87" i="2"/>
  <c r="BS87" i="2"/>
  <c r="BM87" i="2"/>
  <c r="BL87" i="2"/>
  <c r="BK87" i="2"/>
  <c r="BE87" i="2"/>
  <c r="BB87" i="2"/>
  <c r="AY87" i="2"/>
  <c r="AM87" i="2"/>
  <c r="AD87" i="2"/>
  <c r="AA87" i="2"/>
  <c r="U87" i="2"/>
  <c r="O87" i="2"/>
  <c r="L87" i="2"/>
  <c r="I87" i="2"/>
  <c r="G87" i="2"/>
  <c r="F87" i="2"/>
  <c r="E87" i="2"/>
  <c r="C87" i="2"/>
  <c r="B87" i="2"/>
  <c r="DJ86" i="2"/>
  <c r="DF86" i="2"/>
  <c r="DD86" i="2"/>
  <c r="CZ86" i="2"/>
  <c r="CV86" i="2"/>
  <c r="CR86" i="2"/>
  <c r="CP86" i="2"/>
  <c r="CN86" i="2"/>
  <c r="CH86" i="2"/>
  <c r="CF86" i="2"/>
  <c r="CD86" i="2"/>
  <c r="CB86" i="2"/>
  <c r="BZ86" i="2"/>
  <c r="BX86" i="2"/>
  <c r="BU86" i="2"/>
  <c r="BT86" i="2"/>
  <c r="BS86" i="2"/>
  <c r="BM86" i="2"/>
  <c r="BL86" i="2"/>
  <c r="BK86" i="2"/>
  <c r="BE86" i="2"/>
  <c r="BB86" i="2"/>
  <c r="AY86" i="2"/>
  <c r="AM86" i="2"/>
  <c r="AD86" i="2"/>
  <c r="AA86" i="2"/>
  <c r="U86" i="2"/>
  <c r="O86" i="2"/>
  <c r="L86" i="2"/>
  <c r="I86" i="2"/>
  <c r="G86" i="2"/>
  <c r="F86" i="2"/>
  <c r="E86" i="2"/>
  <c r="C86" i="2"/>
  <c r="B86" i="2"/>
  <c r="DJ85" i="2"/>
  <c r="DF85" i="2"/>
  <c r="DD85" i="2"/>
  <c r="CZ85" i="2"/>
  <c r="CV85" i="2"/>
  <c r="CR85" i="2"/>
  <c r="CP85" i="2"/>
  <c r="CN85" i="2"/>
  <c r="CH85" i="2"/>
  <c r="CF85" i="2"/>
  <c r="CD85" i="2"/>
  <c r="CB85" i="2"/>
  <c r="BZ85" i="2"/>
  <c r="BX85" i="2"/>
  <c r="BU85" i="2"/>
  <c r="BT85" i="2"/>
  <c r="BS85" i="2"/>
  <c r="BM85" i="2"/>
  <c r="BL85" i="2"/>
  <c r="BK85" i="2"/>
  <c r="BE85" i="2"/>
  <c r="BB85" i="2"/>
  <c r="AY85" i="2"/>
  <c r="AM85" i="2"/>
  <c r="AD85" i="2"/>
  <c r="AA85" i="2"/>
  <c r="U85" i="2"/>
  <c r="O85" i="2"/>
  <c r="L85" i="2"/>
  <c r="I85" i="2"/>
  <c r="G85" i="2"/>
  <c r="F85" i="2"/>
  <c r="E85" i="2"/>
  <c r="C85" i="2"/>
  <c r="B85" i="2"/>
  <c r="DJ84" i="2"/>
  <c r="DF84" i="2"/>
  <c r="DD84" i="2"/>
  <c r="CZ84" i="2"/>
  <c r="CV84" i="2"/>
  <c r="CR84" i="2"/>
  <c r="CP84" i="2"/>
  <c r="CN84" i="2"/>
  <c r="CH84" i="2"/>
  <c r="CF84" i="2"/>
  <c r="CD84" i="2"/>
  <c r="CB84" i="2"/>
  <c r="BZ84" i="2"/>
  <c r="BX84" i="2"/>
  <c r="BU84" i="2"/>
  <c r="BT84" i="2"/>
  <c r="BS84" i="2"/>
  <c r="BM84" i="2"/>
  <c r="BL84" i="2"/>
  <c r="BK84" i="2"/>
  <c r="BE84" i="2"/>
  <c r="BB84" i="2"/>
  <c r="AY84" i="2"/>
  <c r="AM84" i="2"/>
  <c r="AD84" i="2"/>
  <c r="AA84" i="2"/>
  <c r="U84" i="2"/>
  <c r="O84" i="2"/>
  <c r="L84" i="2"/>
  <c r="I84" i="2"/>
  <c r="G84" i="2"/>
  <c r="F84" i="2"/>
  <c r="E84" i="2"/>
  <c r="C84" i="2"/>
  <c r="B84" i="2"/>
  <c r="DJ83" i="2"/>
  <c r="DF83" i="2"/>
  <c r="DD83" i="2"/>
  <c r="CZ83" i="2"/>
  <c r="CV83" i="2"/>
  <c r="CR83" i="2"/>
  <c r="CP83" i="2"/>
  <c r="CN83" i="2"/>
  <c r="CH83" i="2"/>
  <c r="CF83" i="2"/>
  <c r="CD83" i="2"/>
  <c r="CB83" i="2"/>
  <c r="BZ83" i="2"/>
  <c r="BX83" i="2"/>
  <c r="BU83" i="2"/>
  <c r="BT83" i="2"/>
  <c r="BS83" i="2"/>
  <c r="BM83" i="2"/>
  <c r="BL83" i="2"/>
  <c r="BK83" i="2"/>
  <c r="BE83" i="2"/>
  <c r="BB83" i="2"/>
  <c r="AY83" i="2"/>
  <c r="AM83" i="2"/>
  <c r="AD83" i="2"/>
  <c r="AA83" i="2"/>
  <c r="U83" i="2"/>
  <c r="O83" i="2"/>
  <c r="L83" i="2"/>
  <c r="I83" i="2"/>
  <c r="G83" i="2"/>
  <c r="F83" i="2"/>
  <c r="E83" i="2"/>
  <c r="C83" i="2"/>
  <c r="B83" i="2"/>
  <c r="DJ82" i="2"/>
  <c r="DF82" i="2"/>
  <c r="DD82" i="2"/>
  <c r="CZ82" i="2"/>
  <c r="CV82" i="2"/>
  <c r="CR82" i="2"/>
  <c r="CP82" i="2"/>
  <c r="CN82" i="2"/>
  <c r="CH82" i="2"/>
  <c r="CF82" i="2"/>
  <c r="CD82" i="2"/>
  <c r="CB82" i="2"/>
  <c r="BZ82" i="2"/>
  <c r="BX82" i="2"/>
  <c r="BU82" i="2"/>
  <c r="BT82" i="2"/>
  <c r="BS82" i="2"/>
  <c r="BM82" i="2"/>
  <c r="BL82" i="2"/>
  <c r="BK82" i="2"/>
  <c r="BE82" i="2"/>
  <c r="BB82" i="2"/>
  <c r="AY82" i="2"/>
  <c r="AM82" i="2"/>
  <c r="AD82" i="2"/>
  <c r="AA82" i="2"/>
  <c r="U82" i="2"/>
  <c r="O82" i="2"/>
  <c r="L82" i="2"/>
  <c r="I82" i="2"/>
  <c r="G82" i="2"/>
  <c r="F82" i="2"/>
  <c r="E82" i="2"/>
  <c r="C82" i="2"/>
  <c r="B82" i="2"/>
  <c r="DJ81" i="2"/>
  <c r="DF81" i="2"/>
  <c r="DD81" i="2"/>
  <c r="CZ81" i="2"/>
  <c r="CV81" i="2"/>
  <c r="CR81" i="2"/>
  <c r="CP81" i="2"/>
  <c r="CN81" i="2"/>
  <c r="CH81" i="2"/>
  <c r="CF81" i="2"/>
  <c r="CD81" i="2"/>
  <c r="CB81" i="2"/>
  <c r="BZ81" i="2"/>
  <c r="BX81" i="2"/>
  <c r="BU81" i="2"/>
  <c r="BT81" i="2"/>
  <c r="BS81" i="2"/>
  <c r="BM81" i="2"/>
  <c r="BL81" i="2"/>
  <c r="BK81" i="2"/>
  <c r="BE81" i="2"/>
  <c r="BB81" i="2"/>
  <c r="AY81" i="2"/>
  <c r="AM81" i="2"/>
  <c r="AD81" i="2"/>
  <c r="AA81" i="2"/>
  <c r="U81" i="2"/>
  <c r="O81" i="2"/>
  <c r="L81" i="2"/>
  <c r="I81" i="2"/>
  <c r="G81" i="2"/>
  <c r="F81" i="2"/>
  <c r="E81" i="2"/>
  <c r="C81" i="2"/>
  <c r="B81" i="2"/>
  <c r="DJ80" i="2"/>
  <c r="DF80" i="2"/>
  <c r="DD80" i="2"/>
  <c r="CZ80" i="2"/>
  <c r="CV80" i="2"/>
  <c r="CR80" i="2"/>
  <c r="CP80" i="2"/>
  <c r="CN80" i="2"/>
  <c r="CH80" i="2"/>
  <c r="CF80" i="2"/>
  <c r="CD80" i="2"/>
  <c r="CB80" i="2"/>
  <c r="BZ80" i="2"/>
  <c r="BX80" i="2"/>
  <c r="BU80" i="2"/>
  <c r="BT80" i="2"/>
  <c r="BS80" i="2"/>
  <c r="BM80" i="2"/>
  <c r="BL80" i="2"/>
  <c r="BK80" i="2"/>
  <c r="BE80" i="2"/>
  <c r="BB80" i="2"/>
  <c r="AY80" i="2"/>
  <c r="AM80" i="2"/>
  <c r="AD80" i="2"/>
  <c r="AA80" i="2"/>
  <c r="U80" i="2"/>
  <c r="O80" i="2"/>
  <c r="L80" i="2"/>
  <c r="I80" i="2"/>
  <c r="G80" i="2"/>
  <c r="F80" i="2"/>
  <c r="E80" i="2"/>
  <c r="C80" i="2"/>
  <c r="B80" i="2"/>
  <c r="DJ79" i="2"/>
  <c r="DF79" i="2"/>
  <c r="DD79" i="2"/>
  <c r="CZ79" i="2"/>
  <c r="CV79" i="2"/>
  <c r="CR79" i="2"/>
  <c r="CP79" i="2"/>
  <c r="CN79" i="2"/>
  <c r="CH79" i="2"/>
  <c r="CF79" i="2"/>
  <c r="CD79" i="2"/>
  <c r="CB79" i="2"/>
  <c r="BZ79" i="2"/>
  <c r="BX79" i="2"/>
  <c r="BU79" i="2"/>
  <c r="BT79" i="2"/>
  <c r="BS79" i="2"/>
  <c r="BM79" i="2"/>
  <c r="BL79" i="2"/>
  <c r="BK79" i="2"/>
  <c r="BE79" i="2"/>
  <c r="BB79" i="2"/>
  <c r="AY79" i="2"/>
  <c r="AM79" i="2"/>
  <c r="AD79" i="2"/>
  <c r="AA79" i="2"/>
  <c r="U79" i="2"/>
  <c r="O79" i="2"/>
  <c r="L79" i="2"/>
  <c r="I79" i="2"/>
  <c r="G79" i="2"/>
  <c r="F79" i="2"/>
  <c r="E79" i="2"/>
  <c r="C79" i="2"/>
  <c r="B79" i="2"/>
  <c r="DJ78" i="2"/>
  <c r="DF78" i="2"/>
  <c r="DD78" i="2"/>
  <c r="CZ78" i="2"/>
  <c r="CV78" i="2"/>
  <c r="CR78" i="2"/>
  <c r="CP78" i="2"/>
  <c r="CN78" i="2"/>
  <c r="CH78" i="2"/>
  <c r="CF78" i="2"/>
  <c r="CD78" i="2"/>
  <c r="CB78" i="2"/>
  <c r="BZ78" i="2"/>
  <c r="BX78" i="2"/>
  <c r="BU78" i="2"/>
  <c r="BT78" i="2"/>
  <c r="BS78" i="2"/>
  <c r="BM78" i="2"/>
  <c r="BL78" i="2"/>
  <c r="BK78" i="2"/>
  <c r="BE78" i="2"/>
  <c r="BB78" i="2"/>
  <c r="AY78" i="2"/>
  <c r="AM78" i="2"/>
  <c r="AD78" i="2"/>
  <c r="AA78" i="2"/>
  <c r="U78" i="2"/>
  <c r="O78" i="2"/>
  <c r="L78" i="2"/>
  <c r="I78" i="2"/>
  <c r="G78" i="2"/>
  <c r="F78" i="2"/>
  <c r="E78" i="2"/>
  <c r="C78" i="2"/>
  <c r="B78" i="2"/>
  <c r="DJ77" i="2"/>
  <c r="DF77" i="2"/>
  <c r="DD77" i="2"/>
  <c r="CZ77" i="2"/>
  <c r="CV77" i="2"/>
  <c r="CR77" i="2"/>
  <c r="CP77" i="2"/>
  <c r="CN77" i="2"/>
  <c r="CH77" i="2"/>
  <c r="CF77" i="2"/>
  <c r="CD77" i="2"/>
  <c r="CB77" i="2"/>
  <c r="BZ77" i="2"/>
  <c r="BX77" i="2"/>
  <c r="BU77" i="2"/>
  <c r="BT77" i="2"/>
  <c r="BS77" i="2"/>
  <c r="BM77" i="2"/>
  <c r="BL77" i="2"/>
  <c r="BK77" i="2"/>
  <c r="BE77" i="2"/>
  <c r="BB77" i="2"/>
  <c r="AY77" i="2"/>
  <c r="AM77" i="2"/>
  <c r="AD77" i="2"/>
  <c r="AA77" i="2"/>
  <c r="U77" i="2"/>
  <c r="O77" i="2"/>
  <c r="L77" i="2"/>
  <c r="I77" i="2"/>
  <c r="G77" i="2"/>
  <c r="F77" i="2"/>
  <c r="E77" i="2"/>
  <c r="C77" i="2"/>
  <c r="B77" i="2"/>
  <c r="DJ76" i="2"/>
  <c r="DF76" i="2"/>
  <c r="DD76" i="2"/>
  <c r="CZ76" i="2"/>
  <c r="CV76" i="2"/>
  <c r="CR76" i="2"/>
  <c r="CP76" i="2"/>
  <c r="CN76" i="2"/>
  <c r="CH76" i="2"/>
  <c r="CF76" i="2"/>
  <c r="CD76" i="2"/>
  <c r="CB76" i="2"/>
  <c r="BZ76" i="2"/>
  <c r="BX76" i="2"/>
  <c r="BU76" i="2"/>
  <c r="BT76" i="2"/>
  <c r="BS76" i="2"/>
  <c r="BM76" i="2"/>
  <c r="BL76" i="2"/>
  <c r="BK76" i="2"/>
  <c r="BE76" i="2"/>
  <c r="BB76" i="2"/>
  <c r="AY76" i="2"/>
  <c r="AM76" i="2"/>
  <c r="AD76" i="2"/>
  <c r="AA76" i="2"/>
  <c r="U76" i="2"/>
  <c r="O76" i="2"/>
  <c r="L76" i="2"/>
  <c r="I76" i="2"/>
  <c r="G76" i="2"/>
  <c r="F76" i="2"/>
  <c r="E76" i="2"/>
  <c r="C76" i="2"/>
  <c r="B76" i="2"/>
  <c r="DJ75" i="2"/>
  <c r="DF75" i="2"/>
  <c r="DD75" i="2"/>
  <c r="CZ75" i="2"/>
  <c r="CV75" i="2"/>
  <c r="CR75" i="2"/>
  <c r="CP75" i="2"/>
  <c r="CN75" i="2"/>
  <c r="CH75" i="2"/>
  <c r="CF75" i="2"/>
  <c r="CD75" i="2"/>
  <c r="CB75" i="2"/>
  <c r="BZ75" i="2"/>
  <c r="BX75" i="2"/>
  <c r="BU75" i="2"/>
  <c r="BT75" i="2"/>
  <c r="BS75" i="2"/>
  <c r="BM75" i="2"/>
  <c r="BL75" i="2"/>
  <c r="BK75" i="2"/>
  <c r="BE75" i="2"/>
  <c r="BB75" i="2"/>
  <c r="AY75" i="2"/>
  <c r="AM75" i="2"/>
  <c r="AD75" i="2"/>
  <c r="AA75" i="2"/>
  <c r="U75" i="2"/>
  <c r="O75" i="2"/>
  <c r="L75" i="2"/>
  <c r="I75" i="2"/>
  <c r="G75" i="2"/>
  <c r="F75" i="2"/>
  <c r="E75" i="2"/>
  <c r="C75" i="2"/>
  <c r="B75" i="2"/>
  <c r="DJ74" i="2"/>
  <c r="DF74" i="2"/>
  <c r="DD74" i="2"/>
  <c r="CZ74" i="2"/>
  <c r="CV74" i="2"/>
  <c r="CR74" i="2"/>
  <c r="CP74" i="2"/>
  <c r="CN74" i="2"/>
  <c r="CH74" i="2"/>
  <c r="CF74" i="2"/>
  <c r="CD74" i="2"/>
  <c r="CB74" i="2"/>
  <c r="BZ74" i="2"/>
  <c r="BX74" i="2"/>
  <c r="BU74" i="2"/>
  <c r="BT74" i="2"/>
  <c r="BS74" i="2"/>
  <c r="BM74" i="2"/>
  <c r="BL74" i="2"/>
  <c r="BK74" i="2"/>
  <c r="BE74" i="2"/>
  <c r="BB74" i="2"/>
  <c r="AY74" i="2"/>
  <c r="AM74" i="2"/>
  <c r="AD74" i="2"/>
  <c r="AA74" i="2"/>
  <c r="U74" i="2"/>
  <c r="O74" i="2"/>
  <c r="L74" i="2"/>
  <c r="I74" i="2"/>
  <c r="G74" i="2"/>
  <c r="F74" i="2"/>
  <c r="E74" i="2"/>
  <c r="C74" i="2"/>
  <c r="B74" i="2"/>
  <c r="DJ73" i="2"/>
  <c r="DF73" i="2"/>
  <c r="DD73" i="2"/>
  <c r="CZ73" i="2"/>
  <c r="CV73" i="2"/>
  <c r="CR73" i="2"/>
  <c r="CP73" i="2"/>
  <c r="CN73" i="2"/>
  <c r="CH73" i="2"/>
  <c r="CF73" i="2"/>
  <c r="CD73" i="2"/>
  <c r="CB73" i="2"/>
  <c r="BZ73" i="2"/>
  <c r="BX73" i="2"/>
  <c r="BU73" i="2"/>
  <c r="BT73" i="2"/>
  <c r="BS73" i="2"/>
  <c r="BM73" i="2"/>
  <c r="BL73" i="2"/>
  <c r="BK73" i="2"/>
  <c r="BE73" i="2"/>
  <c r="BB73" i="2"/>
  <c r="AY73" i="2"/>
  <c r="AM73" i="2"/>
  <c r="AD73" i="2"/>
  <c r="AA73" i="2"/>
  <c r="U73" i="2"/>
  <c r="O73" i="2"/>
  <c r="L73" i="2"/>
  <c r="I73" i="2"/>
  <c r="G73" i="2"/>
  <c r="F73" i="2"/>
  <c r="E73" i="2"/>
  <c r="C73" i="2"/>
  <c r="B73" i="2"/>
  <c r="DJ72" i="2"/>
  <c r="DF72" i="2"/>
  <c r="DD72" i="2"/>
  <c r="CZ72" i="2"/>
  <c r="CV72" i="2"/>
  <c r="CR72" i="2"/>
  <c r="CP72" i="2"/>
  <c r="CN72" i="2"/>
  <c r="CH72" i="2"/>
  <c r="CF72" i="2"/>
  <c r="CD72" i="2"/>
  <c r="CB72" i="2"/>
  <c r="BZ72" i="2"/>
  <c r="BX72" i="2"/>
  <c r="BU72" i="2"/>
  <c r="BT72" i="2"/>
  <c r="BS72" i="2"/>
  <c r="BM72" i="2"/>
  <c r="BL72" i="2"/>
  <c r="BK72" i="2"/>
  <c r="BE72" i="2"/>
  <c r="BB72" i="2"/>
  <c r="AY72" i="2"/>
  <c r="AM72" i="2"/>
  <c r="AD72" i="2"/>
  <c r="AA72" i="2"/>
  <c r="U72" i="2"/>
  <c r="O72" i="2"/>
  <c r="L72" i="2"/>
  <c r="I72" i="2"/>
  <c r="G72" i="2"/>
  <c r="F72" i="2"/>
  <c r="E72" i="2"/>
  <c r="C72" i="2"/>
  <c r="B72" i="2"/>
  <c r="DJ71" i="2"/>
  <c r="DF71" i="2"/>
  <c r="DD71" i="2"/>
  <c r="CZ71" i="2"/>
  <c r="CV71" i="2"/>
  <c r="CR71" i="2"/>
  <c r="CP71" i="2"/>
  <c r="CN71" i="2"/>
  <c r="CH71" i="2"/>
  <c r="CF71" i="2"/>
  <c r="CD71" i="2"/>
  <c r="CB71" i="2"/>
  <c r="BZ71" i="2"/>
  <c r="BX71" i="2"/>
  <c r="BU71" i="2"/>
  <c r="BT71" i="2"/>
  <c r="BS71" i="2"/>
  <c r="BM71" i="2"/>
  <c r="BL71" i="2"/>
  <c r="BK71" i="2"/>
  <c r="BE71" i="2"/>
  <c r="BB71" i="2"/>
  <c r="AY71" i="2"/>
  <c r="AM71" i="2"/>
  <c r="AD71" i="2"/>
  <c r="AA71" i="2"/>
  <c r="U71" i="2"/>
  <c r="O71" i="2"/>
  <c r="L71" i="2"/>
  <c r="I71" i="2"/>
  <c r="G71" i="2"/>
  <c r="F71" i="2"/>
  <c r="E71" i="2"/>
  <c r="C71" i="2"/>
  <c r="B71" i="2"/>
  <c r="DJ70" i="2"/>
  <c r="DF70" i="2"/>
  <c r="DD70" i="2"/>
  <c r="CZ70" i="2"/>
  <c r="CV70" i="2"/>
  <c r="CR70" i="2"/>
  <c r="CP70" i="2"/>
  <c r="CN70" i="2"/>
  <c r="CH70" i="2"/>
  <c r="CF70" i="2"/>
  <c r="CD70" i="2"/>
  <c r="CB70" i="2"/>
  <c r="BZ70" i="2"/>
  <c r="BX70" i="2"/>
  <c r="BU70" i="2"/>
  <c r="BT70" i="2"/>
  <c r="BS70" i="2"/>
  <c r="BM70" i="2"/>
  <c r="BL70" i="2"/>
  <c r="BK70" i="2"/>
  <c r="BE70" i="2"/>
  <c r="BB70" i="2"/>
  <c r="AY70" i="2"/>
  <c r="AM70" i="2"/>
  <c r="AD70" i="2"/>
  <c r="AA70" i="2"/>
  <c r="U70" i="2"/>
  <c r="O70" i="2"/>
  <c r="L70" i="2"/>
  <c r="I70" i="2"/>
  <c r="G70" i="2"/>
  <c r="F70" i="2"/>
  <c r="E70" i="2"/>
  <c r="C70" i="2"/>
  <c r="B70" i="2"/>
  <c r="DJ69" i="2"/>
  <c r="DF69" i="2"/>
  <c r="DD69" i="2"/>
  <c r="CZ69" i="2"/>
  <c r="CV69" i="2"/>
  <c r="CR69" i="2"/>
  <c r="CP69" i="2"/>
  <c r="CN69" i="2"/>
  <c r="CH69" i="2"/>
  <c r="CF69" i="2"/>
  <c r="CD69" i="2"/>
  <c r="CB69" i="2"/>
  <c r="BZ69" i="2"/>
  <c r="BX69" i="2"/>
  <c r="BU69" i="2"/>
  <c r="BT69" i="2"/>
  <c r="BS69" i="2"/>
  <c r="BM69" i="2"/>
  <c r="BL69" i="2"/>
  <c r="BK69" i="2"/>
  <c r="BE69" i="2"/>
  <c r="BB69" i="2"/>
  <c r="AY69" i="2"/>
  <c r="AM69" i="2"/>
  <c r="AD69" i="2"/>
  <c r="AA69" i="2"/>
  <c r="U69" i="2"/>
  <c r="O69" i="2"/>
  <c r="L69" i="2"/>
  <c r="I69" i="2"/>
  <c r="G69" i="2"/>
  <c r="F69" i="2"/>
  <c r="E69" i="2"/>
  <c r="C69" i="2"/>
  <c r="B69" i="2"/>
  <c r="DJ68" i="2"/>
  <c r="DF68" i="2"/>
  <c r="DD68" i="2"/>
  <c r="CZ68" i="2"/>
  <c r="CV68" i="2"/>
  <c r="CR68" i="2"/>
  <c r="CP68" i="2"/>
  <c r="CN68" i="2"/>
  <c r="CH68" i="2"/>
  <c r="CF68" i="2"/>
  <c r="CD68" i="2"/>
  <c r="CB68" i="2"/>
  <c r="BZ68" i="2"/>
  <c r="BX68" i="2"/>
  <c r="BU68" i="2"/>
  <c r="BT68" i="2"/>
  <c r="BS68" i="2"/>
  <c r="BM68" i="2"/>
  <c r="BL68" i="2"/>
  <c r="BK68" i="2"/>
  <c r="BE68" i="2"/>
  <c r="BB68" i="2"/>
  <c r="AY68" i="2"/>
  <c r="AM68" i="2"/>
  <c r="AD68" i="2"/>
  <c r="AA68" i="2"/>
  <c r="U68" i="2"/>
  <c r="O68" i="2"/>
  <c r="L68" i="2"/>
  <c r="I68" i="2"/>
  <c r="G68" i="2"/>
  <c r="F68" i="2"/>
  <c r="E68" i="2"/>
  <c r="C68" i="2"/>
  <c r="B68" i="2"/>
  <c r="DJ67" i="2"/>
  <c r="DF67" i="2"/>
  <c r="DD67" i="2"/>
  <c r="CZ67" i="2"/>
  <c r="CV67" i="2"/>
  <c r="CR67" i="2"/>
  <c r="CP67" i="2"/>
  <c r="CN67" i="2"/>
  <c r="CH67" i="2"/>
  <c r="CF67" i="2"/>
  <c r="CD67" i="2"/>
  <c r="CB67" i="2"/>
  <c r="BZ67" i="2"/>
  <c r="BX67" i="2"/>
  <c r="BU67" i="2"/>
  <c r="BT67" i="2"/>
  <c r="BS67" i="2"/>
  <c r="BM67" i="2"/>
  <c r="BL67" i="2"/>
  <c r="BK67" i="2"/>
  <c r="BE67" i="2"/>
  <c r="BB67" i="2"/>
  <c r="AY67" i="2"/>
  <c r="AM67" i="2"/>
  <c r="AD67" i="2"/>
  <c r="AA67" i="2"/>
  <c r="U67" i="2"/>
  <c r="O67" i="2"/>
  <c r="L67" i="2"/>
  <c r="I67" i="2"/>
  <c r="G67" i="2"/>
  <c r="F67" i="2"/>
  <c r="E67" i="2"/>
  <c r="C67" i="2"/>
  <c r="B67" i="2"/>
  <c r="DJ66" i="2"/>
  <c r="DF66" i="2"/>
  <c r="DD66" i="2"/>
  <c r="CZ66" i="2"/>
  <c r="CV66" i="2"/>
  <c r="CR66" i="2"/>
  <c r="CP66" i="2"/>
  <c r="CN66" i="2"/>
  <c r="CH66" i="2"/>
  <c r="CF66" i="2"/>
  <c r="CD66" i="2"/>
  <c r="CB66" i="2"/>
  <c r="BZ66" i="2"/>
  <c r="BX66" i="2"/>
  <c r="BU66" i="2"/>
  <c r="BT66" i="2"/>
  <c r="BS66" i="2"/>
  <c r="BM66" i="2"/>
  <c r="BL66" i="2"/>
  <c r="BK66" i="2"/>
  <c r="BE66" i="2"/>
  <c r="BB66" i="2"/>
  <c r="AY66" i="2"/>
  <c r="AM66" i="2"/>
  <c r="AD66" i="2"/>
  <c r="AA66" i="2"/>
  <c r="U66" i="2"/>
  <c r="O66" i="2"/>
  <c r="L66" i="2"/>
  <c r="I66" i="2"/>
  <c r="G66" i="2"/>
  <c r="F66" i="2"/>
  <c r="E66" i="2"/>
  <c r="C66" i="2"/>
  <c r="B66" i="2"/>
  <c r="DJ65" i="2"/>
  <c r="DF65" i="2"/>
  <c r="DD65" i="2"/>
  <c r="CZ65" i="2"/>
  <c r="CV65" i="2"/>
  <c r="CR65" i="2"/>
  <c r="CP65" i="2"/>
  <c r="CN65" i="2"/>
  <c r="CH65" i="2"/>
  <c r="CF65" i="2"/>
  <c r="CD65" i="2"/>
  <c r="CB65" i="2"/>
  <c r="BZ65" i="2"/>
  <c r="BX65" i="2"/>
  <c r="BU65" i="2"/>
  <c r="BT65" i="2"/>
  <c r="BS65" i="2"/>
  <c r="BM65" i="2"/>
  <c r="BL65" i="2"/>
  <c r="BK65" i="2"/>
  <c r="BE65" i="2"/>
  <c r="BB65" i="2"/>
  <c r="AY65" i="2"/>
  <c r="AM65" i="2"/>
  <c r="AD65" i="2"/>
  <c r="AA65" i="2"/>
  <c r="U65" i="2"/>
  <c r="O65" i="2"/>
  <c r="L65" i="2"/>
  <c r="I65" i="2"/>
  <c r="G65" i="2"/>
  <c r="F65" i="2"/>
  <c r="E65" i="2"/>
  <c r="C65" i="2"/>
  <c r="B65" i="2"/>
  <c r="DJ64" i="2"/>
  <c r="DF64" i="2"/>
  <c r="DD64" i="2"/>
  <c r="CZ64" i="2"/>
  <c r="CV64" i="2"/>
  <c r="CR64" i="2"/>
  <c r="CP64" i="2"/>
  <c r="CN64" i="2"/>
  <c r="CH64" i="2"/>
  <c r="CF64" i="2"/>
  <c r="CD64" i="2"/>
  <c r="CB64" i="2"/>
  <c r="BZ64" i="2"/>
  <c r="BX64" i="2"/>
  <c r="BU64" i="2"/>
  <c r="BT64" i="2"/>
  <c r="BS64" i="2"/>
  <c r="BM64" i="2"/>
  <c r="BL64" i="2"/>
  <c r="BK64" i="2"/>
  <c r="BE64" i="2"/>
  <c r="BB64" i="2"/>
  <c r="AY64" i="2"/>
  <c r="AM64" i="2"/>
  <c r="AD64" i="2"/>
  <c r="AA64" i="2"/>
  <c r="U64" i="2"/>
  <c r="O64" i="2"/>
  <c r="L64" i="2"/>
  <c r="I64" i="2"/>
  <c r="G64" i="2"/>
  <c r="F64" i="2"/>
  <c r="E64" i="2"/>
  <c r="C64" i="2"/>
  <c r="B64" i="2"/>
  <c r="DJ63" i="2"/>
  <c r="DF63" i="2"/>
  <c r="DD63" i="2"/>
  <c r="CZ63" i="2"/>
  <c r="CV63" i="2"/>
  <c r="CR63" i="2"/>
  <c r="CP63" i="2"/>
  <c r="CN63" i="2"/>
  <c r="CH63" i="2"/>
  <c r="CF63" i="2"/>
  <c r="CD63" i="2"/>
  <c r="CB63" i="2"/>
  <c r="BZ63" i="2"/>
  <c r="BX63" i="2"/>
  <c r="BU63" i="2"/>
  <c r="BT63" i="2"/>
  <c r="BS63" i="2"/>
  <c r="BM63" i="2"/>
  <c r="BL63" i="2"/>
  <c r="BK63" i="2"/>
  <c r="BE63" i="2"/>
  <c r="BB63" i="2"/>
  <c r="AY63" i="2"/>
  <c r="AM63" i="2"/>
  <c r="AD63" i="2"/>
  <c r="AA63" i="2"/>
  <c r="U63" i="2"/>
  <c r="O63" i="2"/>
  <c r="L63" i="2"/>
  <c r="I63" i="2"/>
  <c r="G63" i="2"/>
  <c r="F63" i="2"/>
  <c r="E63" i="2"/>
  <c r="C63" i="2"/>
  <c r="B63" i="2"/>
  <c r="DJ62" i="2"/>
  <c r="DF62" i="2"/>
  <c r="DD62" i="2"/>
  <c r="CZ62" i="2"/>
  <c r="CV62" i="2"/>
  <c r="CR62" i="2"/>
  <c r="CP62" i="2"/>
  <c r="CN62" i="2"/>
  <c r="CH62" i="2"/>
  <c r="CF62" i="2"/>
  <c r="CD62" i="2"/>
  <c r="CB62" i="2"/>
  <c r="BZ62" i="2"/>
  <c r="BX62" i="2"/>
  <c r="BU62" i="2"/>
  <c r="BT62" i="2"/>
  <c r="BS62" i="2"/>
  <c r="BM62" i="2"/>
  <c r="BL62" i="2"/>
  <c r="BK62" i="2"/>
  <c r="BE62" i="2"/>
  <c r="BB62" i="2"/>
  <c r="AY62" i="2"/>
  <c r="AM62" i="2"/>
  <c r="AD62" i="2"/>
  <c r="AA62" i="2"/>
  <c r="U62" i="2"/>
  <c r="O62" i="2"/>
  <c r="L62" i="2"/>
  <c r="I62" i="2"/>
  <c r="G62" i="2"/>
  <c r="F62" i="2"/>
  <c r="E62" i="2"/>
  <c r="C62" i="2"/>
  <c r="B62" i="2"/>
  <c r="DJ61" i="2"/>
  <c r="DF61" i="2"/>
  <c r="DD61" i="2"/>
  <c r="CZ61" i="2"/>
  <c r="CV61" i="2"/>
  <c r="CR61" i="2"/>
  <c r="CP61" i="2"/>
  <c r="CN61" i="2"/>
  <c r="CH61" i="2"/>
  <c r="CF61" i="2"/>
  <c r="CD61" i="2"/>
  <c r="CB61" i="2"/>
  <c r="BZ61" i="2"/>
  <c r="BX61" i="2"/>
  <c r="BU61" i="2"/>
  <c r="BT61" i="2"/>
  <c r="BS61" i="2"/>
  <c r="BM61" i="2"/>
  <c r="BL61" i="2"/>
  <c r="BK61" i="2"/>
  <c r="BE61" i="2"/>
  <c r="BB61" i="2"/>
  <c r="AY61" i="2"/>
  <c r="AM61" i="2"/>
  <c r="AD61" i="2"/>
  <c r="AA61" i="2"/>
  <c r="U61" i="2"/>
  <c r="O61" i="2"/>
  <c r="L61" i="2"/>
  <c r="I61" i="2"/>
  <c r="G61" i="2"/>
  <c r="F61" i="2"/>
  <c r="E61" i="2"/>
  <c r="C61" i="2"/>
  <c r="B61" i="2"/>
  <c r="DJ60" i="2"/>
  <c r="DF60" i="2"/>
  <c r="DD60" i="2"/>
  <c r="CZ60" i="2"/>
  <c r="CV60" i="2"/>
  <c r="CR60" i="2"/>
  <c r="CP60" i="2"/>
  <c r="CN60" i="2"/>
  <c r="CH60" i="2"/>
  <c r="CF60" i="2"/>
  <c r="CD60" i="2"/>
  <c r="CB60" i="2"/>
  <c r="BZ60" i="2"/>
  <c r="BX60" i="2"/>
  <c r="BU60" i="2"/>
  <c r="BT60" i="2"/>
  <c r="BS60" i="2"/>
  <c r="BM60" i="2"/>
  <c r="BL60" i="2"/>
  <c r="BK60" i="2"/>
  <c r="BE60" i="2"/>
  <c r="BB60" i="2"/>
  <c r="AY60" i="2"/>
  <c r="AM60" i="2"/>
  <c r="AD60" i="2"/>
  <c r="AA60" i="2"/>
  <c r="U60" i="2"/>
  <c r="O60" i="2"/>
  <c r="L60" i="2"/>
  <c r="I60" i="2"/>
  <c r="G60" i="2"/>
  <c r="F60" i="2"/>
  <c r="E60" i="2"/>
  <c r="C60" i="2"/>
  <c r="B60" i="2"/>
  <c r="DJ59" i="2"/>
  <c r="DF59" i="2"/>
  <c r="DD59" i="2"/>
  <c r="CZ59" i="2"/>
  <c r="CV59" i="2"/>
  <c r="CR59" i="2"/>
  <c r="CP59" i="2"/>
  <c r="CN59" i="2"/>
  <c r="CH59" i="2"/>
  <c r="CF59" i="2"/>
  <c r="CD59" i="2"/>
  <c r="CB59" i="2"/>
  <c r="BZ59" i="2"/>
  <c r="BX59" i="2"/>
  <c r="BU59" i="2"/>
  <c r="BT59" i="2"/>
  <c r="BS59" i="2"/>
  <c r="BM59" i="2"/>
  <c r="BL59" i="2"/>
  <c r="BK59" i="2"/>
  <c r="BE59" i="2"/>
  <c r="BB59" i="2"/>
  <c r="AY59" i="2"/>
  <c r="AM59" i="2"/>
  <c r="AD59" i="2"/>
  <c r="AA59" i="2"/>
  <c r="U59" i="2"/>
  <c r="O59" i="2"/>
  <c r="L59" i="2"/>
  <c r="I59" i="2"/>
  <c r="G59" i="2"/>
  <c r="F59" i="2"/>
  <c r="E59" i="2"/>
  <c r="C59" i="2"/>
  <c r="B59" i="2"/>
  <c r="DJ58" i="2"/>
  <c r="DF58" i="2"/>
  <c r="DD58" i="2"/>
  <c r="CZ58" i="2"/>
  <c r="CV58" i="2"/>
  <c r="CR58" i="2"/>
  <c r="CP58" i="2"/>
  <c r="CN58" i="2"/>
  <c r="CH58" i="2"/>
  <c r="CF58" i="2"/>
  <c r="CD58" i="2"/>
  <c r="CB58" i="2"/>
  <c r="BZ58" i="2"/>
  <c r="BX58" i="2"/>
  <c r="BU58" i="2"/>
  <c r="BT58" i="2"/>
  <c r="BS58" i="2"/>
  <c r="BM58" i="2"/>
  <c r="BL58" i="2"/>
  <c r="BK58" i="2"/>
  <c r="BE58" i="2"/>
  <c r="BB58" i="2"/>
  <c r="AY58" i="2"/>
  <c r="AM58" i="2"/>
  <c r="AD58" i="2"/>
  <c r="AA58" i="2"/>
  <c r="U58" i="2"/>
  <c r="O58" i="2"/>
  <c r="L58" i="2"/>
  <c r="I58" i="2"/>
  <c r="G58" i="2"/>
  <c r="F58" i="2"/>
  <c r="E58" i="2"/>
  <c r="C58" i="2"/>
  <c r="B58" i="2"/>
  <c r="DJ57" i="2"/>
  <c r="DF57" i="2"/>
  <c r="DD57" i="2"/>
  <c r="CZ57" i="2"/>
  <c r="CV57" i="2"/>
  <c r="CR57" i="2"/>
  <c r="CP57" i="2"/>
  <c r="CN57" i="2"/>
  <c r="CH57" i="2"/>
  <c r="CF57" i="2"/>
  <c r="CD57" i="2"/>
  <c r="CB57" i="2"/>
  <c r="BZ57" i="2"/>
  <c r="BX57" i="2"/>
  <c r="BU57" i="2"/>
  <c r="BT57" i="2"/>
  <c r="BS57" i="2"/>
  <c r="BM57" i="2"/>
  <c r="BL57" i="2"/>
  <c r="BK57" i="2"/>
  <c r="BE57" i="2"/>
  <c r="BB57" i="2"/>
  <c r="AY57" i="2"/>
  <c r="AM57" i="2"/>
  <c r="AD57" i="2"/>
  <c r="AA57" i="2"/>
  <c r="U57" i="2"/>
  <c r="O57" i="2"/>
  <c r="L57" i="2"/>
  <c r="I57" i="2"/>
  <c r="G57" i="2"/>
  <c r="F57" i="2"/>
  <c r="E57" i="2"/>
  <c r="C57" i="2"/>
  <c r="B57" i="2"/>
  <c r="DJ56" i="2"/>
  <c r="DF56" i="2"/>
  <c r="DD56" i="2"/>
  <c r="CZ56" i="2"/>
  <c r="CV56" i="2"/>
  <c r="CR56" i="2"/>
  <c r="CP56" i="2"/>
  <c r="CN56" i="2"/>
  <c r="CH56" i="2"/>
  <c r="CF56" i="2"/>
  <c r="CD56" i="2"/>
  <c r="CB56" i="2"/>
  <c r="BZ56" i="2"/>
  <c r="BX56" i="2"/>
  <c r="BU56" i="2"/>
  <c r="BT56" i="2"/>
  <c r="BS56" i="2"/>
  <c r="BM56" i="2"/>
  <c r="BL56" i="2"/>
  <c r="BK56" i="2"/>
  <c r="BE56" i="2"/>
  <c r="BB56" i="2"/>
  <c r="AY56" i="2"/>
  <c r="AM56" i="2"/>
  <c r="AD56" i="2"/>
  <c r="AA56" i="2"/>
  <c r="U56" i="2"/>
  <c r="O56" i="2"/>
  <c r="L56" i="2"/>
  <c r="I56" i="2"/>
  <c r="G56" i="2"/>
  <c r="F56" i="2"/>
  <c r="E56" i="2"/>
  <c r="C56" i="2"/>
  <c r="B56" i="2"/>
  <c r="DJ55" i="2"/>
  <c r="DF55" i="2"/>
  <c r="DD55" i="2"/>
  <c r="CZ55" i="2"/>
  <c r="CV55" i="2"/>
  <c r="CR55" i="2"/>
  <c r="CP55" i="2"/>
  <c r="CN55" i="2"/>
  <c r="CH55" i="2"/>
  <c r="CF55" i="2"/>
  <c r="CD55" i="2"/>
  <c r="CB55" i="2"/>
  <c r="BZ55" i="2"/>
  <c r="BX55" i="2"/>
  <c r="BU55" i="2"/>
  <c r="BT55" i="2"/>
  <c r="BS55" i="2"/>
  <c r="BM55" i="2"/>
  <c r="BL55" i="2"/>
  <c r="BK55" i="2"/>
  <c r="BE55" i="2"/>
  <c r="BB55" i="2"/>
  <c r="AY55" i="2"/>
  <c r="AM55" i="2"/>
  <c r="AD55" i="2"/>
  <c r="AA55" i="2"/>
  <c r="U55" i="2"/>
  <c r="O55" i="2"/>
  <c r="L55" i="2"/>
  <c r="I55" i="2"/>
  <c r="G55" i="2"/>
  <c r="F55" i="2"/>
  <c r="E55" i="2"/>
  <c r="C55" i="2"/>
  <c r="B55" i="2"/>
  <c r="DJ54" i="2"/>
  <c r="DF54" i="2"/>
  <c r="DD54" i="2"/>
  <c r="CZ54" i="2"/>
  <c r="CV54" i="2"/>
  <c r="CR54" i="2"/>
  <c r="CP54" i="2"/>
  <c r="CN54" i="2"/>
  <c r="CH54" i="2"/>
  <c r="CF54" i="2"/>
  <c r="CD54" i="2"/>
  <c r="CB54" i="2"/>
  <c r="BZ54" i="2"/>
  <c r="BX54" i="2"/>
  <c r="BU54" i="2"/>
  <c r="BT54" i="2"/>
  <c r="BS54" i="2"/>
  <c r="BM54" i="2"/>
  <c r="BL54" i="2"/>
  <c r="BK54" i="2"/>
  <c r="BE54" i="2"/>
  <c r="BB54" i="2"/>
  <c r="AY54" i="2"/>
  <c r="AM54" i="2"/>
  <c r="AD54" i="2"/>
  <c r="AA54" i="2"/>
  <c r="U54" i="2"/>
  <c r="O54" i="2"/>
  <c r="L54" i="2"/>
  <c r="I54" i="2"/>
  <c r="G54" i="2"/>
  <c r="F54" i="2"/>
  <c r="E54" i="2"/>
  <c r="C54" i="2"/>
  <c r="B54" i="2"/>
  <c r="DJ53" i="2"/>
  <c r="DF53" i="2"/>
  <c r="DD53" i="2"/>
  <c r="CZ53" i="2"/>
  <c r="CV53" i="2"/>
  <c r="CR53" i="2"/>
  <c r="CP53" i="2"/>
  <c r="CN53" i="2"/>
  <c r="CH53" i="2"/>
  <c r="CF53" i="2"/>
  <c r="CD53" i="2"/>
  <c r="CB53" i="2"/>
  <c r="BZ53" i="2"/>
  <c r="BX53" i="2"/>
  <c r="BU53" i="2"/>
  <c r="BT53" i="2"/>
  <c r="BS53" i="2"/>
  <c r="BM53" i="2"/>
  <c r="BL53" i="2"/>
  <c r="BK53" i="2"/>
  <c r="BE53" i="2"/>
  <c r="BB53" i="2"/>
  <c r="AY53" i="2"/>
  <c r="AM53" i="2"/>
  <c r="AD53" i="2"/>
  <c r="AA53" i="2"/>
  <c r="U53" i="2"/>
  <c r="O53" i="2"/>
  <c r="L53" i="2"/>
  <c r="I53" i="2"/>
  <c r="G53" i="2"/>
  <c r="F53" i="2"/>
  <c r="E53" i="2"/>
  <c r="C53" i="2"/>
  <c r="B53" i="2"/>
  <c r="DJ52" i="2"/>
  <c r="DF52" i="2"/>
  <c r="DD52" i="2"/>
  <c r="CZ52" i="2"/>
  <c r="CV52" i="2"/>
  <c r="CR52" i="2"/>
  <c r="CP52" i="2"/>
  <c r="CN52" i="2"/>
  <c r="CH52" i="2"/>
  <c r="CF52" i="2"/>
  <c r="CD52" i="2"/>
  <c r="CB52" i="2"/>
  <c r="BZ52" i="2"/>
  <c r="BX52" i="2"/>
  <c r="BU52" i="2"/>
  <c r="BT52" i="2"/>
  <c r="BS52" i="2"/>
  <c r="BM52" i="2"/>
  <c r="BL52" i="2"/>
  <c r="BK52" i="2"/>
  <c r="BE52" i="2"/>
  <c r="BB52" i="2"/>
  <c r="AY52" i="2"/>
  <c r="AM52" i="2"/>
  <c r="AD52" i="2"/>
  <c r="AA52" i="2"/>
  <c r="U52" i="2"/>
  <c r="O52" i="2"/>
  <c r="L52" i="2"/>
  <c r="I52" i="2"/>
  <c r="G52" i="2"/>
  <c r="F52" i="2"/>
  <c r="E52" i="2"/>
  <c r="C52" i="2"/>
  <c r="B52" i="2"/>
  <c r="DJ51" i="2"/>
  <c r="DF51" i="2"/>
  <c r="DD51" i="2"/>
  <c r="CZ51" i="2"/>
  <c r="CV51" i="2"/>
  <c r="CR51" i="2"/>
  <c r="CP51" i="2"/>
  <c r="CN51" i="2"/>
  <c r="CH51" i="2"/>
  <c r="CF51" i="2"/>
  <c r="CD51" i="2"/>
  <c r="CB51" i="2"/>
  <c r="BZ51" i="2"/>
  <c r="BX51" i="2"/>
  <c r="BU51" i="2"/>
  <c r="BT51" i="2"/>
  <c r="BS51" i="2"/>
  <c r="BM51" i="2"/>
  <c r="BL51" i="2"/>
  <c r="BK51" i="2"/>
  <c r="BE51" i="2"/>
  <c r="BB51" i="2"/>
  <c r="AY51" i="2"/>
  <c r="AM51" i="2"/>
  <c r="AD51" i="2"/>
  <c r="AA51" i="2"/>
  <c r="U51" i="2"/>
  <c r="O51" i="2"/>
  <c r="L51" i="2"/>
  <c r="I51" i="2"/>
  <c r="G51" i="2"/>
  <c r="F51" i="2"/>
  <c r="E51" i="2"/>
  <c r="C51" i="2"/>
  <c r="B51" i="2"/>
  <c r="DJ50" i="2"/>
  <c r="DF50" i="2"/>
  <c r="DD50" i="2"/>
  <c r="CZ50" i="2"/>
  <c r="CV50" i="2"/>
  <c r="CR50" i="2"/>
  <c r="CP50" i="2"/>
  <c r="CN50" i="2"/>
  <c r="CH50" i="2"/>
  <c r="CF50" i="2"/>
  <c r="CD50" i="2"/>
  <c r="CB50" i="2"/>
  <c r="BZ50" i="2"/>
  <c r="BX50" i="2"/>
  <c r="BU50" i="2"/>
  <c r="BT50" i="2"/>
  <c r="BS50" i="2"/>
  <c r="BM50" i="2"/>
  <c r="BL50" i="2"/>
  <c r="BK50" i="2"/>
  <c r="BE50" i="2"/>
  <c r="BB50" i="2"/>
  <c r="AY50" i="2"/>
  <c r="AM50" i="2"/>
  <c r="AD50" i="2"/>
  <c r="AA50" i="2"/>
  <c r="U50" i="2"/>
  <c r="O50" i="2"/>
  <c r="L50" i="2"/>
  <c r="I50" i="2"/>
  <c r="G50" i="2"/>
  <c r="F50" i="2"/>
  <c r="E50" i="2"/>
  <c r="C50" i="2"/>
  <c r="B50" i="2"/>
  <c r="DJ49" i="2"/>
  <c r="DF49" i="2"/>
  <c r="DD49" i="2"/>
  <c r="CZ49" i="2"/>
  <c r="CV49" i="2"/>
  <c r="CR49" i="2"/>
  <c r="CP49" i="2"/>
  <c r="CN49" i="2"/>
  <c r="CH49" i="2"/>
  <c r="CF49" i="2"/>
  <c r="CD49" i="2"/>
  <c r="CB49" i="2"/>
  <c r="BZ49" i="2"/>
  <c r="BX49" i="2"/>
  <c r="BU49" i="2"/>
  <c r="BT49" i="2"/>
  <c r="BS49" i="2"/>
  <c r="BM49" i="2"/>
  <c r="BL49" i="2"/>
  <c r="BK49" i="2"/>
  <c r="BE49" i="2"/>
  <c r="BB49" i="2"/>
  <c r="AY49" i="2"/>
  <c r="AM49" i="2"/>
  <c r="AD49" i="2"/>
  <c r="AA49" i="2"/>
  <c r="U49" i="2"/>
  <c r="O49" i="2"/>
  <c r="L49" i="2"/>
  <c r="I49" i="2"/>
  <c r="G49" i="2"/>
  <c r="F49" i="2"/>
  <c r="E49" i="2"/>
  <c r="C49" i="2"/>
  <c r="B49" i="2"/>
  <c r="DJ48" i="2"/>
  <c r="DF48" i="2"/>
  <c r="DD48" i="2"/>
  <c r="CZ48" i="2"/>
  <c r="CV48" i="2"/>
  <c r="CR48" i="2"/>
  <c r="CP48" i="2"/>
  <c r="CN48" i="2"/>
  <c r="CH48" i="2"/>
  <c r="CF48" i="2"/>
  <c r="CD48" i="2"/>
  <c r="CB48" i="2"/>
  <c r="BZ48" i="2"/>
  <c r="BX48" i="2"/>
  <c r="BU48" i="2"/>
  <c r="BT48" i="2"/>
  <c r="BS48" i="2"/>
  <c r="BM48" i="2"/>
  <c r="BL48" i="2"/>
  <c r="BK48" i="2"/>
  <c r="BE48" i="2"/>
  <c r="BB48" i="2"/>
  <c r="AY48" i="2"/>
  <c r="AM48" i="2"/>
  <c r="AD48" i="2"/>
  <c r="AA48" i="2"/>
  <c r="U48" i="2"/>
  <c r="O48" i="2"/>
  <c r="L48" i="2"/>
  <c r="I48" i="2"/>
  <c r="G48" i="2"/>
  <c r="F48" i="2"/>
  <c r="E48" i="2"/>
  <c r="C48" i="2"/>
  <c r="B48" i="2"/>
  <c r="DJ47" i="2"/>
  <c r="DF47" i="2"/>
  <c r="DD47" i="2"/>
  <c r="CZ47" i="2"/>
  <c r="CV47" i="2"/>
  <c r="CR47" i="2"/>
  <c r="CP47" i="2"/>
  <c r="CN47" i="2"/>
  <c r="CH47" i="2"/>
  <c r="CF47" i="2"/>
  <c r="CD47" i="2"/>
  <c r="CB47" i="2"/>
  <c r="BZ47" i="2"/>
  <c r="BX47" i="2"/>
  <c r="BU47" i="2"/>
  <c r="BT47" i="2"/>
  <c r="BS47" i="2"/>
  <c r="BM47" i="2"/>
  <c r="BL47" i="2"/>
  <c r="BK47" i="2"/>
  <c r="BE47" i="2"/>
  <c r="BB47" i="2"/>
  <c r="AY47" i="2"/>
  <c r="AM47" i="2"/>
  <c r="AD47" i="2"/>
  <c r="AA47" i="2"/>
  <c r="U47" i="2"/>
  <c r="O47" i="2"/>
  <c r="L47" i="2"/>
  <c r="I47" i="2"/>
  <c r="G47" i="2"/>
  <c r="F47" i="2"/>
  <c r="E47" i="2"/>
  <c r="C47" i="2"/>
  <c r="B47" i="2"/>
  <c r="DJ46" i="2"/>
  <c r="DF46" i="2"/>
  <c r="DD46" i="2"/>
  <c r="CZ46" i="2"/>
  <c r="CV46" i="2"/>
  <c r="CR46" i="2"/>
  <c r="CP46" i="2"/>
  <c r="CN46" i="2"/>
  <c r="CH46" i="2"/>
  <c r="CF46" i="2"/>
  <c r="CD46" i="2"/>
  <c r="CB46" i="2"/>
  <c r="BZ46" i="2"/>
  <c r="BX46" i="2"/>
  <c r="BU46" i="2"/>
  <c r="BT46" i="2"/>
  <c r="BS46" i="2"/>
  <c r="BM46" i="2"/>
  <c r="BL46" i="2"/>
  <c r="BK46" i="2"/>
  <c r="BE46" i="2"/>
  <c r="BB46" i="2"/>
  <c r="AY46" i="2"/>
  <c r="AM46" i="2"/>
  <c r="AD46" i="2"/>
  <c r="AA46" i="2"/>
  <c r="U46" i="2"/>
  <c r="O46" i="2"/>
  <c r="L46" i="2"/>
  <c r="I46" i="2"/>
  <c r="G46" i="2"/>
  <c r="F46" i="2"/>
  <c r="E46" i="2"/>
  <c r="C46" i="2"/>
  <c r="B46" i="2"/>
  <c r="DJ45" i="2"/>
  <c r="DF45" i="2"/>
  <c r="DD45" i="2"/>
  <c r="CZ45" i="2"/>
  <c r="CV45" i="2"/>
  <c r="CR45" i="2"/>
  <c r="CP45" i="2"/>
  <c r="CN45" i="2"/>
  <c r="CH45" i="2"/>
  <c r="CF45" i="2"/>
  <c r="CD45" i="2"/>
  <c r="CB45" i="2"/>
  <c r="BZ45" i="2"/>
  <c r="BX45" i="2"/>
  <c r="BU45" i="2"/>
  <c r="BT45" i="2"/>
  <c r="BS45" i="2"/>
  <c r="BM45" i="2"/>
  <c r="BL45" i="2"/>
  <c r="BK45" i="2"/>
  <c r="BE45" i="2"/>
  <c r="BB45" i="2"/>
  <c r="AY45" i="2"/>
  <c r="AM45" i="2"/>
  <c r="AD45" i="2"/>
  <c r="AA45" i="2"/>
  <c r="U45" i="2"/>
  <c r="O45" i="2"/>
  <c r="L45" i="2"/>
  <c r="I45" i="2"/>
  <c r="G45" i="2"/>
  <c r="F45" i="2"/>
  <c r="E45" i="2"/>
  <c r="C45" i="2"/>
  <c r="B45" i="2"/>
  <c r="DJ44" i="2"/>
  <c r="DF44" i="2"/>
  <c r="DD44" i="2"/>
  <c r="CZ44" i="2"/>
  <c r="CV44" i="2"/>
  <c r="CR44" i="2"/>
  <c r="CP44" i="2"/>
  <c r="CN44" i="2"/>
  <c r="CH44" i="2"/>
  <c r="CF44" i="2"/>
  <c r="CD44" i="2"/>
  <c r="CB44" i="2"/>
  <c r="BZ44" i="2"/>
  <c r="BX44" i="2"/>
  <c r="BU44" i="2"/>
  <c r="BT44" i="2"/>
  <c r="BS44" i="2"/>
  <c r="BM44" i="2"/>
  <c r="BL44" i="2"/>
  <c r="BK44" i="2"/>
  <c r="BE44" i="2"/>
  <c r="BB44" i="2"/>
  <c r="AY44" i="2"/>
  <c r="AM44" i="2"/>
  <c r="AD44" i="2"/>
  <c r="AA44" i="2"/>
  <c r="U44" i="2"/>
  <c r="O44" i="2"/>
  <c r="L44" i="2"/>
  <c r="I44" i="2"/>
  <c r="G44" i="2"/>
  <c r="F44" i="2"/>
  <c r="E44" i="2"/>
  <c r="C44" i="2"/>
  <c r="B44" i="2"/>
  <c r="DJ43" i="2"/>
  <c r="DF43" i="2"/>
  <c r="DD43" i="2"/>
  <c r="CZ43" i="2"/>
  <c r="CV43" i="2"/>
  <c r="CR43" i="2"/>
  <c r="CP43" i="2"/>
  <c r="CN43" i="2"/>
  <c r="CH43" i="2"/>
  <c r="CF43" i="2"/>
  <c r="CD43" i="2"/>
  <c r="CB43" i="2"/>
  <c r="BZ43" i="2"/>
  <c r="BX43" i="2"/>
  <c r="BU43" i="2"/>
  <c r="BT43" i="2"/>
  <c r="BS43" i="2"/>
  <c r="BM43" i="2"/>
  <c r="BL43" i="2"/>
  <c r="BK43" i="2"/>
  <c r="BE43" i="2"/>
  <c r="BB43" i="2"/>
  <c r="AY43" i="2"/>
  <c r="AM43" i="2"/>
  <c r="AD43" i="2"/>
  <c r="AA43" i="2"/>
  <c r="U43" i="2"/>
  <c r="O43" i="2"/>
  <c r="L43" i="2"/>
  <c r="I43" i="2"/>
  <c r="G43" i="2"/>
  <c r="F43" i="2"/>
  <c r="E43" i="2"/>
  <c r="C43" i="2"/>
  <c r="B43" i="2"/>
  <c r="DJ42" i="2"/>
  <c r="DF42" i="2"/>
  <c r="DD42" i="2"/>
  <c r="CZ42" i="2"/>
  <c r="CV42" i="2"/>
  <c r="CR42" i="2"/>
  <c r="CP42" i="2"/>
  <c r="CN42" i="2"/>
  <c r="CH42" i="2"/>
  <c r="CF42" i="2"/>
  <c r="CD42" i="2"/>
  <c r="CB42" i="2"/>
  <c r="BZ42" i="2"/>
  <c r="BX42" i="2"/>
  <c r="BU42" i="2"/>
  <c r="BT42" i="2"/>
  <c r="BS42" i="2"/>
  <c r="BM42" i="2"/>
  <c r="BL42" i="2"/>
  <c r="BK42" i="2"/>
  <c r="BE42" i="2"/>
  <c r="BB42" i="2"/>
  <c r="AY42" i="2"/>
  <c r="AM42" i="2"/>
  <c r="AD42" i="2"/>
  <c r="AA42" i="2"/>
  <c r="U42" i="2"/>
  <c r="O42" i="2"/>
  <c r="L42" i="2"/>
  <c r="I42" i="2"/>
  <c r="G42" i="2"/>
  <c r="F42" i="2"/>
  <c r="E42" i="2"/>
  <c r="C42" i="2"/>
  <c r="B42" i="2"/>
  <c r="DJ41" i="2"/>
  <c r="DF41" i="2"/>
  <c r="DD41" i="2"/>
  <c r="CZ41" i="2"/>
  <c r="CV41" i="2"/>
  <c r="CR41" i="2"/>
  <c r="CP41" i="2"/>
  <c r="CN41" i="2"/>
  <c r="CH41" i="2"/>
  <c r="CF41" i="2"/>
  <c r="CD41" i="2"/>
  <c r="CB41" i="2"/>
  <c r="BZ41" i="2"/>
  <c r="BX41" i="2"/>
  <c r="BU41" i="2"/>
  <c r="BT41" i="2"/>
  <c r="BS41" i="2"/>
  <c r="BM41" i="2"/>
  <c r="BL41" i="2"/>
  <c r="BK41" i="2"/>
  <c r="BE41" i="2"/>
  <c r="BB41" i="2"/>
  <c r="AY41" i="2"/>
  <c r="AM41" i="2"/>
  <c r="AD41" i="2"/>
  <c r="AA41" i="2"/>
  <c r="U41" i="2"/>
  <c r="O41" i="2"/>
  <c r="L41" i="2"/>
  <c r="I41" i="2"/>
  <c r="G41" i="2"/>
  <c r="F41" i="2"/>
  <c r="E41" i="2"/>
  <c r="C41" i="2"/>
  <c r="B41" i="2"/>
  <c r="DJ40" i="2"/>
  <c r="DF40" i="2"/>
  <c r="DD40" i="2"/>
  <c r="CZ40" i="2"/>
  <c r="CV40" i="2"/>
  <c r="CR40" i="2"/>
  <c r="CP40" i="2"/>
  <c r="CN40" i="2"/>
  <c r="CH40" i="2"/>
  <c r="CF40" i="2"/>
  <c r="CD40" i="2"/>
  <c r="CB40" i="2"/>
  <c r="BZ40" i="2"/>
  <c r="BX40" i="2"/>
  <c r="BU40" i="2"/>
  <c r="BT40" i="2"/>
  <c r="BS40" i="2"/>
  <c r="BM40" i="2"/>
  <c r="BL40" i="2"/>
  <c r="BK40" i="2"/>
  <c r="BE40" i="2"/>
  <c r="BB40" i="2"/>
  <c r="AY40" i="2"/>
  <c r="AM40" i="2"/>
  <c r="AD40" i="2"/>
  <c r="AA40" i="2"/>
  <c r="U40" i="2"/>
  <c r="O40" i="2"/>
  <c r="L40" i="2"/>
  <c r="I40" i="2"/>
  <c r="G40" i="2"/>
  <c r="F40" i="2"/>
  <c r="E40" i="2"/>
  <c r="C40" i="2"/>
  <c r="B40" i="2"/>
  <c r="DJ39" i="2"/>
  <c r="DF39" i="2"/>
  <c r="DD39" i="2"/>
  <c r="CZ39" i="2"/>
  <c r="CV39" i="2"/>
  <c r="CR39" i="2"/>
  <c r="CP39" i="2"/>
  <c r="CN39" i="2"/>
  <c r="CH39" i="2"/>
  <c r="CF39" i="2"/>
  <c r="CD39" i="2"/>
  <c r="CB39" i="2"/>
  <c r="BZ39" i="2"/>
  <c r="BX39" i="2"/>
  <c r="BU39" i="2"/>
  <c r="BT39" i="2"/>
  <c r="BS39" i="2"/>
  <c r="BM39" i="2"/>
  <c r="BL39" i="2"/>
  <c r="BK39" i="2"/>
  <c r="BE39" i="2"/>
  <c r="BB39" i="2"/>
  <c r="AY39" i="2"/>
  <c r="AM39" i="2"/>
  <c r="AD39" i="2"/>
  <c r="AA39" i="2"/>
  <c r="U39" i="2"/>
  <c r="O39" i="2"/>
  <c r="L39" i="2"/>
  <c r="I39" i="2"/>
  <c r="G39" i="2"/>
  <c r="F39" i="2"/>
  <c r="E39" i="2"/>
  <c r="C39" i="2"/>
  <c r="B39" i="2"/>
  <c r="DJ38" i="2"/>
  <c r="DF38" i="2"/>
  <c r="DD38" i="2"/>
  <c r="CZ38" i="2"/>
  <c r="CV38" i="2"/>
  <c r="CR38" i="2"/>
  <c r="CP38" i="2"/>
  <c r="CN38" i="2"/>
  <c r="CH38" i="2"/>
  <c r="CF38" i="2"/>
  <c r="CD38" i="2"/>
  <c r="CB38" i="2"/>
  <c r="BZ38" i="2"/>
  <c r="BX38" i="2"/>
  <c r="BU38" i="2"/>
  <c r="BT38" i="2"/>
  <c r="BS38" i="2"/>
  <c r="BM38" i="2"/>
  <c r="BL38" i="2"/>
  <c r="BK38" i="2"/>
  <c r="BE38" i="2"/>
  <c r="BB38" i="2"/>
  <c r="AY38" i="2"/>
  <c r="AM38" i="2"/>
  <c r="AD38" i="2"/>
  <c r="AA38" i="2"/>
  <c r="U38" i="2"/>
  <c r="O38" i="2"/>
  <c r="L38" i="2"/>
  <c r="I38" i="2"/>
  <c r="G38" i="2"/>
  <c r="F38" i="2"/>
  <c r="E38" i="2"/>
  <c r="C38" i="2"/>
  <c r="B38" i="2"/>
  <c r="DJ37" i="2"/>
  <c r="DF37" i="2"/>
  <c r="DD37" i="2"/>
  <c r="CZ37" i="2"/>
  <c r="CV37" i="2"/>
  <c r="CR37" i="2"/>
  <c r="CP37" i="2"/>
  <c r="CN37" i="2"/>
  <c r="CH37" i="2"/>
  <c r="CF37" i="2"/>
  <c r="CD37" i="2"/>
  <c r="CB37" i="2"/>
  <c r="BZ37" i="2"/>
  <c r="BX37" i="2"/>
  <c r="BU37" i="2"/>
  <c r="BT37" i="2"/>
  <c r="BS37" i="2"/>
  <c r="BM37" i="2"/>
  <c r="BL37" i="2"/>
  <c r="BK37" i="2"/>
  <c r="BE37" i="2"/>
  <c r="BB37" i="2"/>
  <c r="AY37" i="2"/>
  <c r="AM37" i="2"/>
  <c r="AD37" i="2"/>
  <c r="AA37" i="2"/>
  <c r="U37" i="2"/>
  <c r="O37" i="2"/>
  <c r="L37" i="2"/>
  <c r="I37" i="2"/>
  <c r="G37" i="2"/>
  <c r="F37" i="2"/>
  <c r="E37" i="2"/>
  <c r="C37" i="2"/>
  <c r="B37" i="2"/>
  <c r="DJ36" i="2"/>
  <c r="DF36" i="2"/>
  <c r="DD36" i="2"/>
  <c r="CZ36" i="2"/>
  <c r="CV36" i="2"/>
  <c r="CR36" i="2"/>
  <c r="CP36" i="2"/>
  <c r="CN36" i="2"/>
  <c r="CH36" i="2"/>
  <c r="CF36" i="2"/>
  <c r="CD36" i="2"/>
  <c r="CB36" i="2"/>
  <c r="BZ36" i="2"/>
  <c r="BX36" i="2"/>
  <c r="BU36" i="2"/>
  <c r="BT36" i="2"/>
  <c r="BS36" i="2"/>
  <c r="BM36" i="2"/>
  <c r="BL36" i="2"/>
  <c r="BK36" i="2"/>
  <c r="BE36" i="2"/>
  <c r="BB36" i="2"/>
  <c r="AY36" i="2"/>
  <c r="AM36" i="2"/>
  <c r="AD36" i="2"/>
  <c r="AA36" i="2"/>
  <c r="U36" i="2"/>
  <c r="O36" i="2"/>
  <c r="L36" i="2"/>
  <c r="I36" i="2"/>
  <c r="G36" i="2"/>
  <c r="F36" i="2"/>
  <c r="E36" i="2"/>
  <c r="C36" i="2"/>
  <c r="B36" i="2"/>
  <c r="DJ35" i="2"/>
  <c r="DF35" i="2"/>
  <c r="DD35" i="2"/>
  <c r="CZ35" i="2"/>
  <c r="CV35" i="2"/>
  <c r="CR35" i="2"/>
  <c r="CP35" i="2"/>
  <c r="CN35" i="2"/>
  <c r="CH35" i="2"/>
  <c r="CF35" i="2"/>
  <c r="CD35" i="2"/>
  <c r="CB35" i="2"/>
  <c r="BZ35" i="2"/>
  <c r="BX35" i="2"/>
  <c r="BU35" i="2"/>
  <c r="BT35" i="2"/>
  <c r="BS35" i="2"/>
  <c r="BM35" i="2"/>
  <c r="BL35" i="2"/>
  <c r="BK35" i="2"/>
  <c r="BE35" i="2"/>
  <c r="BB35" i="2"/>
  <c r="AY35" i="2"/>
  <c r="AM35" i="2"/>
  <c r="AD35" i="2"/>
  <c r="AA35" i="2"/>
  <c r="U35" i="2"/>
  <c r="O35" i="2"/>
  <c r="L35" i="2"/>
  <c r="I35" i="2"/>
  <c r="G35" i="2"/>
  <c r="F35" i="2"/>
  <c r="E35" i="2"/>
  <c r="C35" i="2"/>
  <c r="B35" i="2"/>
  <c r="DJ34" i="2"/>
  <c r="DF34" i="2"/>
  <c r="DD34" i="2"/>
  <c r="CZ34" i="2"/>
  <c r="CV34" i="2"/>
  <c r="CR34" i="2"/>
  <c r="CP34" i="2"/>
  <c r="CN34" i="2"/>
  <c r="CH34" i="2"/>
  <c r="CF34" i="2"/>
  <c r="CD34" i="2"/>
  <c r="CB34" i="2"/>
  <c r="BZ34" i="2"/>
  <c r="BX34" i="2"/>
  <c r="BU34" i="2"/>
  <c r="BT34" i="2"/>
  <c r="BS34" i="2"/>
  <c r="BM34" i="2"/>
  <c r="BL34" i="2"/>
  <c r="BK34" i="2"/>
  <c r="BE34" i="2"/>
  <c r="BB34" i="2"/>
  <c r="AY34" i="2"/>
  <c r="AM34" i="2"/>
  <c r="AD34" i="2"/>
  <c r="AA34" i="2"/>
  <c r="U34" i="2"/>
  <c r="O34" i="2"/>
  <c r="L34" i="2"/>
  <c r="I34" i="2"/>
  <c r="G34" i="2"/>
  <c r="F34" i="2"/>
  <c r="E34" i="2"/>
  <c r="C34" i="2"/>
  <c r="B34" i="2"/>
  <c r="DJ33" i="2"/>
  <c r="DF33" i="2"/>
  <c r="DD33" i="2"/>
  <c r="CZ33" i="2"/>
  <c r="CV33" i="2"/>
  <c r="CR33" i="2"/>
  <c r="CP33" i="2"/>
  <c r="CN33" i="2"/>
  <c r="CH33" i="2"/>
  <c r="CF33" i="2"/>
  <c r="CD33" i="2"/>
  <c r="CB33" i="2"/>
  <c r="BZ33" i="2"/>
  <c r="BX33" i="2"/>
  <c r="BU33" i="2"/>
  <c r="BT33" i="2"/>
  <c r="BS33" i="2"/>
  <c r="BM33" i="2"/>
  <c r="BL33" i="2"/>
  <c r="BK33" i="2"/>
  <c r="BE33" i="2"/>
  <c r="BB33" i="2"/>
  <c r="AY33" i="2"/>
  <c r="AM33" i="2"/>
  <c r="AD33" i="2"/>
  <c r="AA33" i="2"/>
  <c r="U33" i="2"/>
  <c r="O33" i="2"/>
  <c r="L33" i="2"/>
  <c r="I33" i="2"/>
  <c r="G33" i="2"/>
  <c r="F33" i="2"/>
  <c r="E33" i="2"/>
  <c r="C33" i="2"/>
  <c r="B33" i="2"/>
  <c r="DJ32" i="2"/>
  <c r="DF32" i="2"/>
  <c r="DD32" i="2"/>
  <c r="CZ32" i="2"/>
  <c r="CV32" i="2"/>
  <c r="CR32" i="2"/>
  <c r="CP32" i="2"/>
  <c r="CN32" i="2"/>
  <c r="CH32" i="2"/>
  <c r="CF32" i="2"/>
  <c r="CD32" i="2"/>
  <c r="CB32" i="2"/>
  <c r="BZ32" i="2"/>
  <c r="BX32" i="2"/>
  <c r="BU32" i="2"/>
  <c r="BT32" i="2"/>
  <c r="BS32" i="2"/>
  <c r="BM32" i="2"/>
  <c r="BL32" i="2"/>
  <c r="BK32" i="2"/>
  <c r="BE32" i="2"/>
  <c r="BB32" i="2"/>
  <c r="AY32" i="2"/>
  <c r="AM32" i="2"/>
  <c r="AD32" i="2"/>
  <c r="AA32" i="2"/>
  <c r="U32" i="2"/>
  <c r="O32" i="2"/>
  <c r="L32" i="2"/>
  <c r="I32" i="2"/>
  <c r="G32" i="2"/>
  <c r="F32" i="2"/>
  <c r="E32" i="2"/>
  <c r="C32" i="2"/>
  <c r="B32" i="2"/>
  <c r="DJ31" i="2"/>
  <c r="DF31" i="2"/>
  <c r="DD31" i="2"/>
  <c r="CZ31" i="2"/>
  <c r="CV31" i="2"/>
  <c r="CR31" i="2"/>
  <c r="CP31" i="2"/>
  <c r="CN31" i="2"/>
  <c r="CH31" i="2"/>
  <c r="CF31" i="2"/>
  <c r="CD31" i="2"/>
  <c r="CB31" i="2"/>
  <c r="BZ31" i="2"/>
  <c r="BX31" i="2"/>
  <c r="BU31" i="2"/>
  <c r="BT31" i="2"/>
  <c r="BS31" i="2"/>
  <c r="BM31" i="2"/>
  <c r="BL31" i="2"/>
  <c r="BK31" i="2"/>
  <c r="BE31" i="2"/>
  <c r="BB31" i="2"/>
  <c r="AY31" i="2"/>
  <c r="AM31" i="2"/>
  <c r="AD31" i="2"/>
  <c r="AA31" i="2"/>
  <c r="U31" i="2"/>
  <c r="O31" i="2"/>
  <c r="L31" i="2"/>
  <c r="I31" i="2"/>
  <c r="G31" i="2"/>
  <c r="F31" i="2"/>
  <c r="E31" i="2"/>
  <c r="C31" i="2"/>
  <c r="B31" i="2"/>
  <c r="DJ30" i="2"/>
  <c r="DF30" i="2"/>
  <c r="DD30" i="2"/>
  <c r="CZ30" i="2"/>
  <c r="CV30" i="2"/>
  <c r="CR30" i="2"/>
  <c r="CP30" i="2"/>
  <c r="CN30" i="2"/>
  <c r="CH30" i="2"/>
  <c r="CF30" i="2"/>
  <c r="CD30" i="2"/>
  <c r="CB30" i="2"/>
  <c r="BZ30" i="2"/>
  <c r="BX30" i="2"/>
  <c r="BU30" i="2"/>
  <c r="BT30" i="2"/>
  <c r="BS30" i="2"/>
  <c r="BM30" i="2"/>
  <c r="BL30" i="2"/>
  <c r="BK30" i="2"/>
  <c r="BE30" i="2"/>
  <c r="BB30" i="2"/>
  <c r="AY30" i="2"/>
  <c r="AM30" i="2"/>
  <c r="AD30" i="2"/>
  <c r="AA30" i="2"/>
  <c r="U30" i="2"/>
  <c r="O30" i="2"/>
  <c r="L30" i="2"/>
  <c r="I30" i="2"/>
  <c r="G30" i="2"/>
  <c r="F30" i="2"/>
  <c r="E30" i="2"/>
  <c r="C30" i="2"/>
  <c r="B30" i="2"/>
  <c r="DJ29" i="2"/>
  <c r="DF29" i="2"/>
  <c r="DD29" i="2"/>
  <c r="CZ29" i="2"/>
  <c r="CV29" i="2"/>
  <c r="CR29" i="2"/>
  <c r="CP29" i="2"/>
  <c r="CN29" i="2"/>
  <c r="CH29" i="2"/>
  <c r="CF29" i="2"/>
  <c r="CD29" i="2"/>
  <c r="CB29" i="2"/>
  <c r="BZ29" i="2"/>
  <c r="BX29" i="2"/>
  <c r="BU29" i="2"/>
  <c r="BT29" i="2"/>
  <c r="BS29" i="2"/>
  <c r="BM29" i="2"/>
  <c r="BL29" i="2"/>
  <c r="BK29" i="2"/>
  <c r="BE29" i="2"/>
  <c r="BB29" i="2"/>
  <c r="AY29" i="2"/>
  <c r="AM29" i="2"/>
  <c r="AD29" i="2"/>
  <c r="AA29" i="2"/>
  <c r="U29" i="2"/>
  <c r="O29" i="2"/>
  <c r="L29" i="2"/>
  <c r="I29" i="2"/>
  <c r="G29" i="2"/>
  <c r="F29" i="2"/>
  <c r="E29" i="2"/>
  <c r="C29" i="2"/>
  <c r="B29" i="2"/>
  <c r="DJ28" i="2"/>
  <c r="DF28" i="2"/>
  <c r="DD28" i="2"/>
  <c r="CZ28" i="2"/>
  <c r="CV28" i="2"/>
  <c r="CR28" i="2"/>
  <c r="CP28" i="2"/>
  <c r="CN28" i="2"/>
  <c r="CH28" i="2"/>
  <c r="CF28" i="2"/>
  <c r="CD28" i="2"/>
  <c r="CB28" i="2"/>
  <c r="BZ28" i="2"/>
  <c r="BX28" i="2"/>
  <c r="BU28" i="2"/>
  <c r="BT28" i="2"/>
  <c r="BS28" i="2"/>
  <c r="BM28" i="2"/>
  <c r="BL28" i="2"/>
  <c r="BK28" i="2"/>
  <c r="BE28" i="2"/>
  <c r="BB28" i="2"/>
  <c r="AY28" i="2"/>
  <c r="AM28" i="2"/>
  <c r="AD28" i="2"/>
  <c r="AA28" i="2"/>
  <c r="U28" i="2"/>
  <c r="O28" i="2"/>
  <c r="L28" i="2"/>
  <c r="I28" i="2"/>
  <c r="G28" i="2"/>
  <c r="F28" i="2"/>
  <c r="E28" i="2"/>
  <c r="C28" i="2"/>
  <c r="B28" i="2"/>
  <c r="DJ27" i="2"/>
  <c r="DF27" i="2"/>
  <c r="DD27" i="2"/>
  <c r="CZ27" i="2"/>
  <c r="CV27" i="2"/>
  <c r="CR27" i="2"/>
  <c r="CP27" i="2"/>
  <c r="CN27" i="2"/>
  <c r="CH27" i="2"/>
  <c r="CF27" i="2"/>
  <c r="CD27" i="2"/>
  <c r="CB27" i="2"/>
  <c r="BZ27" i="2"/>
  <c r="BX27" i="2"/>
  <c r="BU27" i="2"/>
  <c r="BT27" i="2"/>
  <c r="BS27" i="2"/>
  <c r="BM27" i="2"/>
  <c r="BL27" i="2"/>
  <c r="BK27" i="2"/>
  <c r="BE27" i="2"/>
  <c r="BB27" i="2"/>
  <c r="AY27" i="2"/>
  <c r="AM27" i="2"/>
  <c r="AD27" i="2"/>
  <c r="AA27" i="2"/>
  <c r="U27" i="2"/>
  <c r="O27" i="2"/>
  <c r="L27" i="2"/>
  <c r="I27" i="2"/>
  <c r="G27" i="2"/>
  <c r="F27" i="2"/>
  <c r="E27" i="2"/>
  <c r="C27" i="2"/>
  <c r="B27" i="2"/>
  <c r="DJ26" i="2"/>
  <c r="DF26" i="2"/>
  <c r="DD26" i="2"/>
  <c r="CZ26" i="2"/>
  <c r="CV26" i="2"/>
  <c r="CR26" i="2"/>
  <c r="CP26" i="2"/>
  <c r="CN26" i="2"/>
  <c r="CH26" i="2"/>
  <c r="CF26" i="2"/>
  <c r="CD26" i="2"/>
  <c r="CB26" i="2"/>
  <c r="BZ26" i="2"/>
  <c r="BX26" i="2"/>
  <c r="BU26" i="2"/>
  <c r="BT26" i="2"/>
  <c r="BS26" i="2"/>
  <c r="BM26" i="2"/>
  <c r="BL26" i="2"/>
  <c r="BK26" i="2"/>
  <c r="BE26" i="2"/>
  <c r="BB26" i="2"/>
  <c r="AY26" i="2"/>
  <c r="AM26" i="2"/>
  <c r="AD26" i="2"/>
  <c r="AA26" i="2"/>
  <c r="U26" i="2"/>
  <c r="O26" i="2"/>
  <c r="L26" i="2"/>
  <c r="I26" i="2"/>
  <c r="G26" i="2"/>
  <c r="F26" i="2"/>
  <c r="E26" i="2"/>
  <c r="C26" i="2"/>
  <c r="B26" i="2"/>
  <c r="CJ61" i="2" l="1"/>
  <c r="DH227" i="2"/>
  <c r="DH243" i="2"/>
  <c r="R167" i="2"/>
  <c r="R489" i="2"/>
  <c r="DH223" i="2"/>
  <c r="R173" i="2"/>
  <c r="X173" i="2" s="1"/>
  <c r="AJ173" i="2" s="1"/>
  <c r="AP173" i="2" s="1"/>
  <c r="R229" i="2"/>
  <c r="R187" i="2"/>
  <c r="R384" i="2"/>
  <c r="CJ207" i="2"/>
  <c r="DH466" i="2"/>
  <c r="CJ470" i="2"/>
  <c r="DH388" i="2"/>
  <c r="DH400" i="2"/>
  <c r="CJ234" i="2"/>
  <c r="BY485" i="2"/>
  <c r="DH353" i="2"/>
  <c r="CJ469" i="2"/>
  <c r="DH326" i="2"/>
  <c r="R402" i="2"/>
  <c r="BY402" i="2"/>
  <c r="BY349" i="2"/>
  <c r="DH299" i="2"/>
  <c r="DH301" i="2"/>
  <c r="DH313" i="2"/>
  <c r="X208" i="2"/>
  <c r="AJ208" i="2" s="1"/>
  <c r="AK208" i="2" s="1"/>
  <c r="DH148" i="2"/>
  <c r="DH166" i="2"/>
  <c r="DH172" i="2"/>
  <c r="DH186" i="2"/>
  <c r="DH200" i="2"/>
  <c r="DH202" i="2"/>
  <c r="DH237" i="2"/>
  <c r="DH277" i="2"/>
  <c r="CT454" i="2"/>
  <c r="CJ116" i="2"/>
  <c r="CJ118" i="2"/>
  <c r="CJ120" i="2"/>
  <c r="CX120" i="2" s="1"/>
  <c r="CC120" i="2" s="1"/>
  <c r="CJ122" i="2"/>
  <c r="CJ124" i="2"/>
  <c r="CT153" i="2"/>
  <c r="BV207" i="2"/>
  <c r="CT256" i="2"/>
  <c r="DH493" i="2"/>
  <c r="DH354" i="2"/>
  <c r="CJ360" i="2"/>
  <c r="R488" i="2"/>
  <c r="BW227" i="2"/>
  <c r="DH35" i="2"/>
  <c r="DH39" i="2"/>
  <c r="DH41" i="2"/>
  <c r="DH55" i="2"/>
  <c r="DH153" i="2"/>
  <c r="DH167" i="2"/>
  <c r="DH171" i="2"/>
  <c r="DH246" i="2"/>
  <c r="DH248" i="2"/>
  <c r="DH266" i="2"/>
  <c r="CT453" i="2"/>
  <c r="CT152" i="2"/>
  <c r="CT182" i="2"/>
  <c r="CJ236" i="2"/>
  <c r="CJ240" i="2"/>
  <c r="CJ242" i="2"/>
  <c r="BW352" i="2"/>
  <c r="DH500" i="2"/>
  <c r="CJ276" i="2"/>
  <c r="BY289" i="2"/>
  <c r="R214" i="2"/>
  <c r="X214" i="2" s="1"/>
  <c r="AJ214" i="2" s="1"/>
  <c r="AP214" i="2" s="1"/>
  <c r="CJ215" i="2"/>
  <c r="BY222" i="2"/>
  <c r="BY317" i="2"/>
  <c r="BY370" i="2"/>
  <c r="CT36" i="2"/>
  <c r="BY177" i="2"/>
  <c r="CT179" i="2"/>
  <c r="BW216" i="2"/>
  <c r="DH217" i="2"/>
  <c r="DH219" i="2"/>
  <c r="X229" i="2"/>
  <c r="AJ229" i="2" s="1"/>
  <c r="BY229" i="2"/>
  <c r="CT231" i="2"/>
  <c r="DH263" i="2"/>
  <c r="DH296" i="2"/>
  <c r="CJ334" i="2"/>
  <c r="CJ355" i="2"/>
  <c r="BY256" i="2"/>
  <c r="BY320" i="2"/>
  <c r="BY345" i="2"/>
  <c r="R445" i="2"/>
  <c r="X445" i="2" s="1"/>
  <c r="AJ445" i="2" s="1"/>
  <c r="AP445" i="2" s="1"/>
  <c r="BY461" i="2"/>
  <c r="BY187" i="2"/>
  <c r="CT195" i="2"/>
  <c r="R220" i="2"/>
  <c r="DH281" i="2"/>
  <c r="DH337" i="2"/>
  <c r="CJ361" i="2"/>
  <c r="CJ369" i="2"/>
  <c r="DH381" i="2"/>
  <c r="DH383" i="2"/>
  <c r="DH393" i="2"/>
  <c r="CJ462" i="2"/>
  <c r="BY498" i="2"/>
  <c r="DH28" i="2"/>
  <c r="DH30" i="2"/>
  <c r="DH38" i="2"/>
  <c r="DH40" i="2"/>
  <c r="DH44" i="2"/>
  <c r="CT139" i="2"/>
  <c r="X154" i="2"/>
  <c r="AJ154" i="2" s="1"/>
  <c r="AP154" i="2" s="1"/>
  <c r="CT164" i="2"/>
  <c r="DH183" i="2"/>
  <c r="BY203" i="2"/>
  <c r="CT205" i="2"/>
  <c r="DH212" i="2"/>
  <c r="DH231" i="2"/>
  <c r="CT275" i="2"/>
  <c r="CX275" i="2" s="1"/>
  <c r="CE275" i="2" s="1"/>
  <c r="BY278" i="2"/>
  <c r="CT278" i="2"/>
  <c r="DH295" i="2"/>
  <c r="DH318" i="2"/>
  <c r="CT325" i="2"/>
  <c r="BY332" i="2"/>
  <c r="DH356" i="2"/>
  <c r="DH425" i="2"/>
  <c r="DH427" i="2"/>
  <c r="DH429" i="2"/>
  <c r="DH433" i="2"/>
  <c r="X477" i="2"/>
  <c r="AJ477" i="2" s="1"/>
  <c r="CJ46" i="2"/>
  <c r="CJ58" i="2"/>
  <c r="CJ62" i="2"/>
  <c r="CJ88" i="2"/>
  <c r="CX88" i="2" s="1"/>
  <c r="DL88" i="2" s="1"/>
  <c r="BY141" i="2"/>
  <c r="CJ235" i="2"/>
  <c r="DH249" i="2"/>
  <c r="CT281" i="2"/>
  <c r="BY296" i="2"/>
  <c r="BW306" i="2"/>
  <c r="DH309" i="2"/>
  <c r="CJ343" i="2"/>
  <c r="R367" i="2"/>
  <c r="X367" i="2" s="1"/>
  <c r="CJ427" i="2"/>
  <c r="CJ443" i="2"/>
  <c r="DH479" i="2"/>
  <c r="X489" i="2"/>
  <c r="AJ489" i="2" s="1"/>
  <c r="BY489" i="2"/>
  <c r="CT192" i="2"/>
  <c r="CJ243" i="2"/>
  <c r="BY327" i="2"/>
  <c r="CT327" i="2"/>
  <c r="BY163" i="2"/>
  <c r="CT165" i="2"/>
  <c r="CT175" i="2"/>
  <c r="CJ213" i="2"/>
  <c r="DH232" i="2"/>
  <c r="DH240" i="2"/>
  <c r="BY250" i="2"/>
  <c r="BW252" i="2"/>
  <c r="R277" i="2"/>
  <c r="X277" i="2" s="1"/>
  <c r="Y277" i="2" s="1"/>
  <c r="DH284" i="2"/>
  <c r="BY310" i="2"/>
  <c r="CT326" i="2"/>
  <c r="DH342" i="2"/>
  <c r="DH344" i="2"/>
  <c r="DH359" i="2"/>
  <c r="BY373" i="2"/>
  <c r="DH420" i="2"/>
  <c r="DH422" i="2"/>
  <c r="DH424" i="2"/>
  <c r="DH426" i="2"/>
  <c r="DH430" i="2"/>
  <c r="DH432" i="2"/>
  <c r="DH434" i="2"/>
  <c r="DH436" i="2"/>
  <c r="DH448" i="2"/>
  <c r="R478" i="2"/>
  <c r="X478" i="2" s="1"/>
  <c r="AJ478" i="2" s="1"/>
  <c r="R480" i="2"/>
  <c r="X480" i="2" s="1"/>
  <c r="BF138" i="2"/>
  <c r="BC138" i="2"/>
  <c r="AZ138" i="2"/>
  <c r="AN138" i="2"/>
  <c r="AH138" i="2"/>
  <c r="AT138" i="2"/>
  <c r="AB138" i="2"/>
  <c r="V138" i="2"/>
  <c r="AE138" i="2"/>
  <c r="P138" i="2"/>
  <c r="J138" i="2"/>
  <c r="M138" i="2"/>
  <c r="BF140" i="2"/>
  <c r="BC140" i="2"/>
  <c r="AT140" i="2"/>
  <c r="AZ140" i="2"/>
  <c r="AB140" i="2"/>
  <c r="AN140" i="2"/>
  <c r="AH140" i="2"/>
  <c r="J140" i="2"/>
  <c r="AE140" i="2"/>
  <c r="V140" i="2"/>
  <c r="P140" i="2"/>
  <c r="M140" i="2"/>
  <c r="R153" i="2"/>
  <c r="BF155" i="2"/>
  <c r="BC155" i="2"/>
  <c r="AZ155" i="2"/>
  <c r="AT155" i="2"/>
  <c r="AN155" i="2"/>
  <c r="AE155" i="2"/>
  <c r="AH155" i="2"/>
  <c r="V155" i="2"/>
  <c r="AB155" i="2"/>
  <c r="M155" i="2"/>
  <c r="P155" i="2"/>
  <c r="J155" i="2"/>
  <c r="CT155" i="2"/>
  <c r="BF157" i="2"/>
  <c r="BC157" i="2"/>
  <c r="AZ157" i="2"/>
  <c r="AT157" i="2"/>
  <c r="AE157" i="2"/>
  <c r="AB157" i="2"/>
  <c r="M157" i="2"/>
  <c r="J157" i="2"/>
  <c r="V157" i="2"/>
  <c r="AN157" i="2"/>
  <c r="AH157" i="2"/>
  <c r="P157" i="2"/>
  <c r="AZ159" i="2"/>
  <c r="BF159" i="2"/>
  <c r="AT159" i="2"/>
  <c r="BC159" i="2"/>
  <c r="AH159" i="2"/>
  <c r="AE159" i="2"/>
  <c r="AB159" i="2"/>
  <c r="P159" i="2"/>
  <c r="M159" i="2"/>
  <c r="J159" i="2"/>
  <c r="AN159" i="2"/>
  <c r="V159" i="2"/>
  <c r="R161" i="2"/>
  <c r="X161" i="2" s="1"/>
  <c r="AJ161" i="2" s="1"/>
  <c r="AP161" i="2" s="1"/>
  <c r="AZ161" i="2"/>
  <c r="BF161" i="2"/>
  <c r="BC161" i="2"/>
  <c r="AT161" i="2"/>
  <c r="AN161" i="2"/>
  <c r="AH161" i="2"/>
  <c r="AE161" i="2"/>
  <c r="V161" i="2"/>
  <c r="S161" i="2"/>
  <c r="AB161" i="2"/>
  <c r="P161" i="2"/>
  <c r="M161" i="2"/>
  <c r="J161" i="2"/>
  <c r="R163" i="2"/>
  <c r="BF163" i="2"/>
  <c r="BC163" i="2"/>
  <c r="AZ163" i="2"/>
  <c r="AT163" i="2"/>
  <c r="AN163" i="2"/>
  <c r="AE163" i="2"/>
  <c r="V163" i="2"/>
  <c r="AH163" i="2"/>
  <c r="AB163" i="2"/>
  <c r="M163" i="2"/>
  <c r="P163" i="2"/>
  <c r="J163" i="2"/>
  <c r="BY176" i="2"/>
  <c r="DH177" i="2"/>
  <c r="DH188" i="2"/>
  <c r="DH192" i="2"/>
  <c r="BF198" i="2"/>
  <c r="BC198" i="2"/>
  <c r="AZ198" i="2"/>
  <c r="AT198" i="2"/>
  <c r="AH198" i="2"/>
  <c r="AE198" i="2"/>
  <c r="AB198" i="2"/>
  <c r="AN198" i="2"/>
  <c r="P198" i="2"/>
  <c r="M198" i="2"/>
  <c r="J198" i="2"/>
  <c r="V198" i="2"/>
  <c r="R200" i="2"/>
  <c r="S200" i="2" s="1"/>
  <c r="AZ200" i="2"/>
  <c r="BC200" i="2"/>
  <c r="BF200" i="2"/>
  <c r="AN200" i="2"/>
  <c r="AH200" i="2"/>
  <c r="AE200" i="2"/>
  <c r="AB200" i="2"/>
  <c r="V200" i="2"/>
  <c r="P200" i="2"/>
  <c r="M200" i="2"/>
  <c r="AT200" i="2"/>
  <c r="J200" i="2"/>
  <c r="R202" i="2"/>
  <c r="S202" i="2" s="1"/>
  <c r="BC202" i="2"/>
  <c r="AZ202" i="2"/>
  <c r="BF202" i="2"/>
  <c r="AN202" i="2"/>
  <c r="AH202" i="2"/>
  <c r="AT202" i="2"/>
  <c r="AB202" i="2"/>
  <c r="V202" i="2"/>
  <c r="AE202" i="2"/>
  <c r="P202" i="2"/>
  <c r="J202" i="2"/>
  <c r="M202" i="2"/>
  <c r="CT202" i="2"/>
  <c r="DH203" i="2"/>
  <c r="BY207" i="2"/>
  <c r="DH208" i="2"/>
  <c r="AZ216" i="2"/>
  <c r="BF216" i="2"/>
  <c r="BC216" i="2"/>
  <c r="AN216" i="2"/>
  <c r="AT216" i="2"/>
  <c r="AH216" i="2"/>
  <c r="AE216" i="2"/>
  <c r="AB216" i="2"/>
  <c r="V216" i="2"/>
  <c r="P216" i="2"/>
  <c r="M216" i="2"/>
  <c r="J216" i="2"/>
  <c r="BF228" i="2"/>
  <c r="BC228" i="2"/>
  <c r="AZ228" i="2"/>
  <c r="AT228" i="2"/>
  <c r="AB228" i="2"/>
  <c r="AN228" i="2"/>
  <c r="AH228" i="2"/>
  <c r="J228" i="2"/>
  <c r="AE228" i="2"/>
  <c r="V228" i="2"/>
  <c r="P228" i="2"/>
  <c r="M228" i="2"/>
  <c r="CT230" i="2"/>
  <c r="CJ232" i="2"/>
  <c r="BF233" i="2"/>
  <c r="AZ233" i="2"/>
  <c r="BC233" i="2"/>
  <c r="AT233" i="2"/>
  <c r="AN233" i="2"/>
  <c r="AH233" i="2"/>
  <c r="AE233" i="2"/>
  <c r="V233" i="2"/>
  <c r="P233" i="2"/>
  <c r="M233" i="2"/>
  <c r="AB233" i="2"/>
  <c r="J233" i="2"/>
  <c r="BF235" i="2"/>
  <c r="BC235" i="2"/>
  <c r="AZ235" i="2"/>
  <c r="AT235" i="2"/>
  <c r="AN235" i="2"/>
  <c r="AE235" i="2"/>
  <c r="AB235" i="2"/>
  <c r="V235" i="2"/>
  <c r="M235" i="2"/>
  <c r="AH235" i="2"/>
  <c r="P235" i="2"/>
  <c r="J235" i="2"/>
  <c r="DH236" i="2"/>
  <c r="BF244" i="2"/>
  <c r="BC244" i="2"/>
  <c r="AT244" i="2"/>
  <c r="AB244" i="2"/>
  <c r="AN244" i="2"/>
  <c r="AH244" i="2"/>
  <c r="J244" i="2"/>
  <c r="AZ244" i="2"/>
  <c r="V244" i="2"/>
  <c r="AE244" i="2"/>
  <c r="P244" i="2"/>
  <c r="M244" i="2"/>
  <c r="BF254" i="2"/>
  <c r="BC254" i="2"/>
  <c r="AZ254" i="2"/>
  <c r="AT254" i="2"/>
  <c r="AH254" i="2"/>
  <c r="AE254" i="2"/>
  <c r="AN254" i="2"/>
  <c r="P254" i="2"/>
  <c r="M254" i="2"/>
  <c r="J254" i="2"/>
  <c r="AB254" i="2"/>
  <c r="V254" i="2"/>
  <c r="CJ255" i="2"/>
  <c r="BF256" i="2"/>
  <c r="AZ256" i="2"/>
  <c r="BC256" i="2"/>
  <c r="AN256" i="2"/>
  <c r="AH256" i="2"/>
  <c r="AT256" i="2"/>
  <c r="AE256" i="2"/>
  <c r="V256" i="2"/>
  <c r="P256" i="2"/>
  <c r="M256" i="2"/>
  <c r="J256" i="2"/>
  <c r="AB256" i="2"/>
  <c r="CJ257" i="2"/>
  <c r="AZ265" i="2"/>
  <c r="BC265" i="2"/>
  <c r="AT265" i="2"/>
  <c r="BF265" i="2"/>
  <c r="AN265" i="2"/>
  <c r="AH265" i="2"/>
  <c r="AE265" i="2"/>
  <c r="V265" i="2"/>
  <c r="S265" i="2"/>
  <c r="P265" i="2"/>
  <c r="M265" i="2"/>
  <c r="AB265" i="2"/>
  <c r="J265" i="2"/>
  <c r="BF278" i="2"/>
  <c r="BC278" i="2"/>
  <c r="AT278" i="2"/>
  <c r="AZ278" i="2"/>
  <c r="AH278" i="2"/>
  <c r="AE278" i="2"/>
  <c r="AN278" i="2"/>
  <c r="P278" i="2"/>
  <c r="M278" i="2"/>
  <c r="J278" i="2"/>
  <c r="AB278" i="2"/>
  <c r="V278" i="2"/>
  <c r="DH279" i="2"/>
  <c r="BF283" i="2"/>
  <c r="BC283" i="2"/>
  <c r="AZ283" i="2"/>
  <c r="AT283" i="2"/>
  <c r="AN283" i="2"/>
  <c r="AE283" i="2"/>
  <c r="AB283" i="2"/>
  <c r="AH283" i="2"/>
  <c r="V283" i="2"/>
  <c r="M283" i="2"/>
  <c r="P283" i="2"/>
  <c r="J283" i="2"/>
  <c r="BF285" i="2"/>
  <c r="BC285" i="2"/>
  <c r="AZ285" i="2"/>
  <c r="AT285" i="2"/>
  <c r="AE285" i="2"/>
  <c r="M285" i="2"/>
  <c r="J285" i="2"/>
  <c r="V285" i="2"/>
  <c r="AN285" i="2"/>
  <c r="AB285" i="2"/>
  <c r="AH285" i="2"/>
  <c r="P285" i="2"/>
  <c r="BF287" i="2"/>
  <c r="AZ287" i="2"/>
  <c r="BC287" i="2"/>
  <c r="AT287" i="2"/>
  <c r="AH287" i="2"/>
  <c r="AE287" i="2"/>
  <c r="P287" i="2"/>
  <c r="M287" i="2"/>
  <c r="J287" i="2"/>
  <c r="AB287" i="2"/>
  <c r="AN287" i="2"/>
  <c r="V287" i="2"/>
  <c r="AZ289" i="2"/>
  <c r="BC289" i="2"/>
  <c r="BF289" i="2"/>
  <c r="AT289" i="2"/>
  <c r="AN289" i="2"/>
  <c r="AH289" i="2"/>
  <c r="AE289" i="2"/>
  <c r="V289" i="2"/>
  <c r="P289" i="2"/>
  <c r="M289" i="2"/>
  <c r="AB289" i="2"/>
  <c r="J289" i="2"/>
  <c r="BF296" i="2"/>
  <c r="AZ296" i="2"/>
  <c r="BC296" i="2"/>
  <c r="AN296" i="2"/>
  <c r="AH296" i="2"/>
  <c r="AE296" i="2"/>
  <c r="V296" i="2"/>
  <c r="P296" i="2"/>
  <c r="AT296" i="2"/>
  <c r="M296" i="2"/>
  <c r="J296" i="2"/>
  <c r="AB296" i="2"/>
  <c r="BW296" i="2"/>
  <c r="BY315" i="2"/>
  <c r="BF317" i="2"/>
  <c r="BC317" i="2"/>
  <c r="AZ317" i="2"/>
  <c r="AT317" i="2"/>
  <c r="AE317" i="2"/>
  <c r="M317" i="2"/>
  <c r="J317" i="2"/>
  <c r="AN317" i="2"/>
  <c r="AB317" i="2"/>
  <c r="AH317" i="2"/>
  <c r="V317" i="2"/>
  <c r="P317" i="2"/>
  <c r="BV317" i="2"/>
  <c r="BF341" i="2"/>
  <c r="BC341" i="2"/>
  <c r="AZ341" i="2"/>
  <c r="AT341" i="2"/>
  <c r="AE341" i="2"/>
  <c r="M341" i="2"/>
  <c r="AN341" i="2"/>
  <c r="J341" i="2"/>
  <c r="V341" i="2"/>
  <c r="AH341" i="2"/>
  <c r="AB341" i="2"/>
  <c r="P341" i="2"/>
  <c r="BF343" i="2"/>
  <c r="AZ343" i="2"/>
  <c r="BC343" i="2"/>
  <c r="AT343" i="2"/>
  <c r="AH343" i="2"/>
  <c r="AE343" i="2"/>
  <c r="P343" i="2"/>
  <c r="AN343" i="2"/>
  <c r="M343" i="2"/>
  <c r="J343" i="2"/>
  <c r="AB343" i="2"/>
  <c r="V343" i="2"/>
  <c r="AZ345" i="2"/>
  <c r="BF345" i="2"/>
  <c r="BC345" i="2"/>
  <c r="AT345" i="2"/>
  <c r="AN345" i="2"/>
  <c r="AH345" i="2"/>
  <c r="AE345" i="2"/>
  <c r="V345" i="2"/>
  <c r="P345" i="2"/>
  <c r="M345" i="2"/>
  <c r="AB345" i="2"/>
  <c r="J345" i="2"/>
  <c r="BW345" i="2"/>
  <c r="BF348" i="2"/>
  <c r="BC348" i="2"/>
  <c r="AT348" i="2"/>
  <c r="AN348" i="2"/>
  <c r="AZ348" i="2"/>
  <c r="AH348" i="2"/>
  <c r="AE348" i="2"/>
  <c r="J348" i="2"/>
  <c r="AB348" i="2"/>
  <c r="V348" i="2"/>
  <c r="P348" i="2"/>
  <c r="M348" i="2"/>
  <c r="AZ353" i="2"/>
  <c r="BC353" i="2"/>
  <c r="BF353" i="2"/>
  <c r="AT353" i="2"/>
  <c r="AN353" i="2"/>
  <c r="AH353" i="2"/>
  <c r="AE353" i="2"/>
  <c r="V353" i="2"/>
  <c r="P353" i="2"/>
  <c r="M353" i="2"/>
  <c r="AB353" i="2"/>
  <c r="J353" i="2"/>
  <c r="DH361" i="2"/>
  <c r="DH365" i="2"/>
  <c r="BY367" i="2"/>
  <c r="AZ369" i="2"/>
  <c r="BF369" i="2"/>
  <c r="BC369" i="2"/>
  <c r="AT369" i="2"/>
  <c r="AN369" i="2"/>
  <c r="AH369" i="2"/>
  <c r="AE369" i="2"/>
  <c r="V369" i="2"/>
  <c r="P369" i="2"/>
  <c r="M369" i="2"/>
  <c r="AB369" i="2"/>
  <c r="J369" i="2"/>
  <c r="CT374" i="2"/>
  <c r="CT376" i="2"/>
  <c r="X389" i="2"/>
  <c r="AJ389" i="2" s="1"/>
  <c r="AP389" i="2" s="1"/>
  <c r="BF399" i="2"/>
  <c r="AZ399" i="2"/>
  <c r="BC399" i="2"/>
  <c r="AT399" i="2"/>
  <c r="AH399" i="2"/>
  <c r="AE399" i="2"/>
  <c r="AN399" i="2"/>
  <c r="P399" i="2"/>
  <c r="M399" i="2"/>
  <c r="AB399" i="2"/>
  <c r="J399" i="2"/>
  <c r="V399" i="2"/>
  <c r="R401" i="2"/>
  <c r="S401" i="2" s="1"/>
  <c r="BF401" i="2"/>
  <c r="AZ401" i="2"/>
  <c r="BC401" i="2"/>
  <c r="AT401" i="2"/>
  <c r="AN401" i="2"/>
  <c r="AH401" i="2"/>
  <c r="AE401" i="2"/>
  <c r="V401" i="2"/>
  <c r="P401" i="2"/>
  <c r="M401" i="2"/>
  <c r="AB401" i="2"/>
  <c r="J401" i="2"/>
  <c r="BF406" i="2"/>
  <c r="BC406" i="2"/>
  <c r="AT406" i="2"/>
  <c r="AZ406" i="2"/>
  <c r="AH406" i="2"/>
  <c r="AE406" i="2"/>
  <c r="AN406" i="2"/>
  <c r="P406" i="2"/>
  <c r="M406" i="2"/>
  <c r="J406" i="2"/>
  <c r="AB406" i="2"/>
  <c r="V406" i="2"/>
  <c r="BC408" i="2"/>
  <c r="AZ408" i="2"/>
  <c r="BF408" i="2"/>
  <c r="AN408" i="2"/>
  <c r="AT408" i="2"/>
  <c r="AH408" i="2"/>
  <c r="AE408" i="2"/>
  <c r="V408" i="2"/>
  <c r="P408" i="2"/>
  <c r="M408" i="2"/>
  <c r="J408" i="2"/>
  <c r="AB408" i="2"/>
  <c r="BC410" i="2"/>
  <c r="AZ410" i="2"/>
  <c r="BF410" i="2"/>
  <c r="AT410" i="2"/>
  <c r="AN410" i="2"/>
  <c r="AH410" i="2"/>
  <c r="AB410" i="2"/>
  <c r="V410" i="2"/>
  <c r="P410" i="2"/>
  <c r="J410" i="2"/>
  <c r="AE410" i="2"/>
  <c r="M410" i="2"/>
  <c r="BF412" i="2"/>
  <c r="BC412" i="2"/>
  <c r="AT412" i="2"/>
  <c r="AZ412" i="2"/>
  <c r="AN412" i="2"/>
  <c r="AH412" i="2"/>
  <c r="AE412" i="2"/>
  <c r="J412" i="2"/>
  <c r="AB412" i="2"/>
  <c r="V412" i="2"/>
  <c r="P412" i="2"/>
  <c r="M412" i="2"/>
  <c r="BF414" i="2"/>
  <c r="BC414" i="2"/>
  <c r="AZ414" i="2"/>
  <c r="AT414" i="2"/>
  <c r="AH414" i="2"/>
  <c r="AE414" i="2"/>
  <c r="AN414" i="2"/>
  <c r="P414" i="2"/>
  <c r="M414" i="2"/>
  <c r="J414" i="2"/>
  <c r="AB414" i="2"/>
  <c r="V414" i="2"/>
  <c r="BC416" i="2"/>
  <c r="AZ416" i="2"/>
  <c r="AN416" i="2"/>
  <c r="AH416" i="2"/>
  <c r="BF416" i="2"/>
  <c r="AT416" i="2"/>
  <c r="AE416" i="2"/>
  <c r="V416" i="2"/>
  <c r="P416" i="2"/>
  <c r="M416" i="2"/>
  <c r="J416" i="2"/>
  <c r="AB416" i="2"/>
  <c r="BC418" i="2"/>
  <c r="AZ418" i="2"/>
  <c r="BF418" i="2"/>
  <c r="AN418" i="2"/>
  <c r="AT418" i="2"/>
  <c r="AH418" i="2"/>
  <c r="AB418" i="2"/>
  <c r="AE418" i="2"/>
  <c r="V418" i="2"/>
  <c r="P418" i="2"/>
  <c r="J418" i="2"/>
  <c r="M418" i="2"/>
  <c r="BF420" i="2"/>
  <c r="BC420" i="2"/>
  <c r="AZ420" i="2"/>
  <c r="AT420" i="2"/>
  <c r="AN420" i="2"/>
  <c r="AH420" i="2"/>
  <c r="J420" i="2"/>
  <c r="AE420" i="2"/>
  <c r="AB420" i="2"/>
  <c r="V420" i="2"/>
  <c r="P420" i="2"/>
  <c r="M420" i="2"/>
  <c r="BF422" i="2"/>
  <c r="BC422" i="2"/>
  <c r="AZ422" i="2"/>
  <c r="AT422" i="2"/>
  <c r="AH422" i="2"/>
  <c r="AE422" i="2"/>
  <c r="AN422" i="2"/>
  <c r="P422" i="2"/>
  <c r="M422" i="2"/>
  <c r="J422" i="2"/>
  <c r="AB422" i="2"/>
  <c r="V422" i="2"/>
  <c r="BF424" i="2"/>
  <c r="BC424" i="2"/>
  <c r="AZ424" i="2"/>
  <c r="AN424" i="2"/>
  <c r="AH424" i="2"/>
  <c r="AE424" i="2"/>
  <c r="V424" i="2"/>
  <c r="P424" i="2"/>
  <c r="AT424" i="2"/>
  <c r="M424" i="2"/>
  <c r="J424" i="2"/>
  <c r="AB424" i="2"/>
  <c r="BF426" i="2"/>
  <c r="BC426" i="2"/>
  <c r="AZ426" i="2"/>
  <c r="AN426" i="2"/>
  <c r="AH426" i="2"/>
  <c r="AT426" i="2"/>
  <c r="AB426" i="2"/>
  <c r="V426" i="2"/>
  <c r="AE426" i="2"/>
  <c r="P426" i="2"/>
  <c r="J426" i="2"/>
  <c r="M426" i="2"/>
  <c r="BF428" i="2"/>
  <c r="BC428" i="2"/>
  <c r="AT428" i="2"/>
  <c r="AZ428" i="2"/>
  <c r="AN428" i="2"/>
  <c r="AH428" i="2"/>
  <c r="J428" i="2"/>
  <c r="AB428" i="2"/>
  <c r="AE428" i="2"/>
  <c r="V428" i="2"/>
  <c r="P428" i="2"/>
  <c r="M428" i="2"/>
  <c r="BF430" i="2"/>
  <c r="BC430" i="2"/>
  <c r="AT430" i="2"/>
  <c r="AZ430" i="2"/>
  <c r="AH430" i="2"/>
  <c r="AE430" i="2"/>
  <c r="AN430" i="2"/>
  <c r="P430" i="2"/>
  <c r="M430" i="2"/>
  <c r="J430" i="2"/>
  <c r="AB430" i="2"/>
  <c r="V430" i="2"/>
  <c r="BC432" i="2"/>
  <c r="AZ432" i="2"/>
  <c r="BF432" i="2"/>
  <c r="AN432" i="2"/>
  <c r="AH432" i="2"/>
  <c r="AE432" i="2"/>
  <c r="V432" i="2"/>
  <c r="P432" i="2"/>
  <c r="M432" i="2"/>
  <c r="AT432" i="2"/>
  <c r="J432" i="2"/>
  <c r="AB432" i="2"/>
  <c r="BC434" i="2"/>
  <c r="AZ434" i="2"/>
  <c r="AT434" i="2"/>
  <c r="AN434" i="2"/>
  <c r="BF434" i="2"/>
  <c r="AH434" i="2"/>
  <c r="AB434" i="2"/>
  <c r="V434" i="2"/>
  <c r="AE434" i="2"/>
  <c r="P434" i="2"/>
  <c r="J434" i="2"/>
  <c r="M434" i="2"/>
  <c r="BF436" i="2"/>
  <c r="BC436" i="2"/>
  <c r="AT436" i="2"/>
  <c r="AZ436" i="2"/>
  <c r="AN436" i="2"/>
  <c r="AH436" i="2"/>
  <c r="J436" i="2"/>
  <c r="AB436" i="2"/>
  <c r="V436" i="2"/>
  <c r="AE436" i="2"/>
  <c r="P436" i="2"/>
  <c r="M436" i="2"/>
  <c r="BF438" i="2"/>
  <c r="BC438" i="2"/>
  <c r="AT438" i="2"/>
  <c r="AZ438" i="2"/>
  <c r="AH438" i="2"/>
  <c r="AE438" i="2"/>
  <c r="AN438" i="2"/>
  <c r="P438" i="2"/>
  <c r="M438" i="2"/>
  <c r="J438" i="2"/>
  <c r="AB438" i="2"/>
  <c r="V438" i="2"/>
  <c r="BC440" i="2"/>
  <c r="AZ440" i="2"/>
  <c r="BF440" i="2"/>
  <c r="AN440" i="2"/>
  <c r="AT440" i="2"/>
  <c r="AH440" i="2"/>
  <c r="AE440" i="2"/>
  <c r="V440" i="2"/>
  <c r="P440" i="2"/>
  <c r="M440" i="2"/>
  <c r="J440" i="2"/>
  <c r="AB440" i="2"/>
  <c r="BF442" i="2"/>
  <c r="BC442" i="2"/>
  <c r="AZ442" i="2"/>
  <c r="AT442" i="2"/>
  <c r="AN442" i="2"/>
  <c r="AH442" i="2"/>
  <c r="AB442" i="2"/>
  <c r="V442" i="2"/>
  <c r="P442" i="2"/>
  <c r="J442" i="2"/>
  <c r="AE442" i="2"/>
  <c r="M442" i="2"/>
  <c r="BF444" i="2"/>
  <c r="BC444" i="2"/>
  <c r="AT444" i="2"/>
  <c r="AZ444" i="2"/>
  <c r="AN444" i="2"/>
  <c r="AH444" i="2"/>
  <c r="AE444" i="2"/>
  <c r="J444" i="2"/>
  <c r="AB444" i="2"/>
  <c r="V444" i="2"/>
  <c r="P444" i="2"/>
  <c r="M444" i="2"/>
  <c r="R446" i="2"/>
  <c r="X446" i="2" s="1"/>
  <c r="Y446" i="2" s="1"/>
  <c r="BF446" i="2"/>
  <c r="BC446" i="2"/>
  <c r="AZ446" i="2"/>
  <c r="AT446" i="2"/>
  <c r="AH446" i="2"/>
  <c r="AE446" i="2"/>
  <c r="AN446" i="2"/>
  <c r="P446" i="2"/>
  <c r="M446" i="2"/>
  <c r="J446" i="2"/>
  <c r="AB446" i="2"/>
  <c r="V446" i="2"/>
  <c r="BC448" i="2"/>
  <c r="BF448" i="2"/>
  <c r="AZ448" i="2"/>
  <c r="AN448" i="2"/>
  <c r="AH448" i="2"/>
  <c r="AT448" i="2"/>
  <c r="AE448" i="2"/>
  <c r="V448" i="2"/>
  <c r="P448" i="2"/>
  <c r="M448" i="2"/>
  <c r="J448" i="2"/>
  <c r="AB448" i="2"/>
  <c r="BC450" i="2"/>
  <c r="BF450" i="2"/>
  <c r="AZ450" i="2"/>
  <c r="AN450" i="2"/>
  <c r="AT450" i="2"/>
  <c r="AH450" i="2"/>
  <c r="AB450" i="2"/>
  <c r="AE450" i="2"/>
  <c r="V450" i="2"/>
  <c r="P450" i="2"/>
  <c r="J450" i="2"/>
  <c r="M450" i="2"/>
  <c r="DH453" i="2"/>
  <c r="DH462" i="2"/>
  <c r="BF478" i="2"/>
  <c r="BC478" i="2"/>
  <c r="AZ478" i="2"/>
  <c r="AT478" i="2"/>
  <c r="AH478" i="2"/>
  <c r="AE478" i="2"/>
  <c r="AN478" i="2"/>
  <c r="P478" i="2"/>
  <c r="M478" i="2"/>
  <c r="J478" i="2"/>
  <c r="Y478" i="2"/>
  <c r="AB478" i="2"/>
  <c r="V478" i="2"/>
  <c r="S478" i="2"/>
  <c r="BC480" i="2"/>
  <c r="AZ480" i="2"/>
  <c r="BF480" i="2"/>
  <c r="AN480" i="2"/>
  <c r="AH480" i="2"/>
  <c r="AT480" i="2"/>
  <c r="AE480" i="2"/>
  <c r="V480" i="2"/>
  <c r="S480" i="2"/>
  <c r="P480" i="2"/>
  <c r="M480" i="2"/>
  <c r="J480" i="2"/>
  <c r="AB480" i="2"/>
  <c r="Y480" i="2"/>
  <c r="BC482" i="2"/>
  <c r="AZ482" i="2"/>
  <c r="BF482" i="2"/>
  <c r="AN482" i="2"/>
  <c r="AT482" i="2"/>
  <c r="AH482" i="2"/>
  <c r="AB482" i="2"/>
  <c r="AE482" i="2"/>
  <c r="V482" i="2"/>
  <c r="P482" i="2"/>
  <c r="J482" i="2"/>
  <c r="M482" i="2"/>
  <c r="BF484" i="2"/>
  <c r="BC484" i="2"/>
  <c r="AZ484" i="2"/>
  <c r="AT484" i="2"/>
  <c r="AN484" i="2"/>
  <c r="AH484" i="2"/>
  <c r="J484" i="2"/>
  <c r="AE484" i="2"/>
  <c r="AB484" i="2"/>
  <c r="V484" i="2"/>
  <c r="P484" i="2"/>
  <c r="M484" i="2"/>
  <c r="R487" i="2"/>
  <c r="X487" i="2" s="1"/>
  <c r="BF489" i="2"/>
  <c r="BC489" i="2"/>
  <c r="AZ489" i="2"/>
  <c r="AT489" i="2"/>
  <c r="AN489" i="2"/>
  <c r="AK489" i="2"/>
  <c r="AH489" i="2"/>
  <c r="AE489" i="2"/>
  <c r="Y489" i="2"/>
  <c r="V489" i="2"/>
  <c r="S489" i="2"/>
  <c r="P489" i="2"/>
  <c r="M489" i="2"/>
  <c r="AB489" i="2"/>
  <c r="J489" i="2"/>
  <c r="CT489" i="2"/>
  <c r="BC498" i="2"/>
  <c r="AZ498" i="2"/>
  <c r="AT498" i="2"/>
  <c r="AN498" i="2"/>
  <c r="AH498" i="2"/>
  <c r="AB498" i="2"/>
  <c r="V498" i="2"/>
  <c r="BF498" i="2"/>
  <c r="AE498" i="2"/>
  <c r="P498" i="2"/>
  <c r="J498" i="2"/>
  <c r="M498" i="2"/>
  <c r="CT498" i="2"/>
  <c r="R142" i="2"/>
  <c r="S142" i="2" s="1"/>
  <c r="BF142" i="2"/>
  <c r="BC142" i="2"/>
  <c r="AT142" i="2"/>
  <c r="AZ142" i="2"/>
  <c r="AH142" i="2"/>
  <c r="AE142" i="2"/>
  <c r="AB142" i="2"/>
  <c r="AN142" i="2"/>
  <c r="P142" i="2"/>
  <c r="M142" i="2"/>
  <c r="J142" i="2"/>
  <c r="V142" i="2"/>
  <c r="R144" i="2"/>
  <c r="X144" i="2" s="1"/>
  <c r="AJ144" i="2" s="1"/>
  <c r="AP144" i="2" s="1"/>
  <c r="BF144" i="2"/>
  <c r="AZ144" i="2"/>
  <c r="BC144" i="2"/>
  <c r="AN144" i="2"/>
  <c r="AH144" i="2"/>
  <c r="AE144" i="2"/>
  <c r="AB144" i="2"/>
  <c r="V144" i="2"/>
  <c r="AT144" i="2"/>
  <c r="P144" i="2"/>
  <c r="M144" i="2"/>
  <c r="J144" i="2"/>
  <c r="BF146" i="2"/>
  <c r="BC146" i="2"/>
  <c r="AZ146" i="2"/>
  <c r="AT146" i="2"/>
  <c r="AN146" i="2"/>
  <c r="AH146" i="2"/>
  <c r="AB146" i="2"/>
  <c r="V146" i="2"/>
  <c r="AE146" i="2"/>
  <c r="P146" i="2"/>
  <c r="J146" i="2"/>
  <c r="M146" i="2"/>
  <c r="R165" i="2"/>
  <c r="X165" i="2" s="1"/>
  <c r="Y165" i="2" s="1"/>
  <c r="BF165" i="2"/>
  <c r="BC165" i="2"/>
  <c r="AZ165" i="2"/>
  <c r="AT165" i="2"/>
  <c r="AE165" i="2"/>
  <c r="AB165" i="2"/>
  <c r="M165" i="2"/>
  <c r="V165" i="2"/>
  <c r="J165" i="2"/>
  <c r="AN165" i="2"/>
  <c r="AH165" i="2"/>
  <c r="P165" i="2"/>
  <c r="BF178" i="2"/>
  <c r="BC178" i="2"/>
  <c r="AZ178" i="2"/>
  <c r="AT178" i="2"/>
  <c r="AN178" i="2"/>
  <c r="AH178" i="2"/>
  <c r="AB178" i="2"/>
  <c r="V178" i="2"/>
  <c r="AE178" i="2"/>
  <c r="P178" i="2"/>
  <c r="J178" i="2"/>
  <c r="M178" i="2"/>
  <c r="R180" i="2"/>
  <c r="S180" i="2" s="1"/>
  <c r="BF180" i="2"/>
  <c r="BC180" i="2"/>
  <c r="AT180" i="2"/>
  <c r="AB180" i="2"/>
  <c r="AZ180" i="2"/>
  <c r="AN180" i="2"/>
  <c r="AH180" i="2"/>
  <c r="J180" i="2"/>
  <c r="V180" i="2"/>
  <c r="AE180" i="2"/>
  <c r="P180" i="2"/>
  <c r="M180" i="2"/>
  <c r="R182" i="2"/>
  <c r="X182" i="2" s="1"/>
  <c r="Y182" i="2" s="1"/>
  <c r="BC182" i="2"/>
  <c r="BF182" i="2"/>
  <c r="AT182" i="2"/>
  <c r="AZ182" i="2"/>
  <c r="AH182" i="2"/>
  <c r="AE182" i="2"/>
  <c r="AB182" i="2"/>
  <c r="AN182" i="2"/>
  <c r="P182" i="2"/>
  <c r="M182" i="2"/>
  <c r="J182" i="2"/>
  <c r="V182" i="2"/>
  <c r="R189" i="2"/>
  <c r="S189" i="2" s="1"/>
  <c r="BF189" i="2"/>
  <c r="BC189" i="2"/>
  <c r="AZ189" i="2"/>
  <c r="AT189" i="2"/>
  <c r="AE189" i="2"/>
  <c r="AB189" i="2"/>
  <c r="M189" i="2"/>
  <c r="J189" i="2"/>
  <c r="AN189" i="2"/>
  <c r="V189" i="2"/>
  <c r="AH189" i="2"/>
  <c r="P189" i="2"/>
  <c r="R191" i="2"/>
  <c r="X191" i="2" s="1"/>
  <c r="AJ191" i="2" s="1"/>
  <c r="AP191" i="2" s="1"/>
  <c r="BF191" i="2"/>
  <c r="AZ191" i="2"/>
  <c r="BC191" i="2"/>
  <c r="AT191" i="2"/>
  <c r="AH191" i="2"/>
  <c r="AE191" i="2"/>
  <c r="AB191" i="2"/>
  <c r="P191" i="2"/>
  <c r="M191" i="2"/>
  <c r="J191" i="2"/>
  <c r="AN191" i="2"/>
  <c r="V191" i="2"/>
  <c r="BF193" i="2"/>
  <c r="AZ193" i="2"/>
  <c r="BC193" i="2"/>
  <c r="AT193" i="2"/>
  <c r="AN193" i="2"/>
  <c r="AH193" i="2"/>
  <c r="AE193" i="2"/>
  <c r="V193" i="2"/>
  <c r="P193" i="2"/>
  <c r="AB193" i="2"/>
  <c r="M193" i="2"/>
  <c r="J193" i="2"/>
  <c r="R195" i="2"/>
  <c r="X195" i="2" s="1"/>
  <c r="Y195" i="2" s="1"/>
  <c r="BF195" i="2"/>
  <c r="BC195" i="2"/>
  <c r="AZ195" i="2"/>
  <c r="AT195" i="2"/>
  <c r="AN195" i="2"/>
  <c r="AE195" i="2"/>
  <c r="V195" i="2"/>
  <c r="AH195" i="2"/>
  <c r="AB195" i="2"/>
  <c r="M195" i="2"/>
  <c r="P195" i="2"/>
  <c r="J195" i="2"/>
  <c r="BF204" i="2"/>
  <c r="BC204" i="2"/>
  <c r="AT204" i="2"/>
  <c r="AZ204" i="2"/>
  <c r="AB204" i="2"/>
  <c r="AN204" i="2"/>
  <c r="AH204" i="2"/>
  <c r="J204" i="2"/>
  <c r="AE204" i="2"/>
  <c r="V204" i="2"/>
  <c r="P204" i="2"/>
  <c r="M204" i="2"/>
  <c r="BF206" i="2"/>
  <c r="BC206" i="2"/>
  <c r="AT206" i="2"/>
  <c r="AZ206" i="2"/>
  <c r="AH206" i="2"/>
  <c r="AE206" i="2"/>
  <c r="AB206" i="2"/>
  <c r="AN206" i="2"/>
  <c r="P206" i="2"/>
  <c r="M206" i="2"/>
  <c r="J206" i="2"/>
  <c r="V206" i="2"/>
  <c r="BF209" i="2"/>
  <c r="AZ209" i="2"/>
  <c r="BC209" i="2"/>
  <c r="AT209" i="2"/>
  <c r="AN209" i="2"/>
  <c r="AH209" i="2"/>
  <c r="AE209" i="2"/>
  <c r="AB209" i="2"/>
  <c r="V209" i="2"/>
  <c r="P209" i="2"/>
  <c r="M209" i="2"/>
  <c r="J209" i="2"/>
  <c r="BF211" i="2"/>
  <c r="BC211" i="2"/>
  <c r="AZ211" i="2"/>
  <c r="AT211" i="2"/>
  <c r="AN211" i="2"/>
  <c r="AE211" i="2"/>
  <c r="AH211" i="2"/>
  <c r="AB211" i="2"/>
  <c r="V211" i="2"/>
  <c r="M211" i="2"/>
  <c r="J211" i="2"/>
  <c r="P211" i="2"/>
  <c r="BF223" i="2"/>
  <c r="AZ223" i="2"/>
  <c r="AT223" i="2"/>
  <c r="AH223" i="2"/>
  <c r="AE223" i="2"/>
  <c r="BC223" i="2"/>
  <c r="AB223" i="2"/>
  <c r="P223" i="2"/>
  <c r="M223" i="2"/>
  <c r="J223" i="2"/>
  <c r="AN223" i="2"/>
  <c r="V223" i="2"/>
  <c r="BV223" i="2"/>
  <c r="BF237" i="2"/>
  <c r="BC237" i="2"/>
  <c r="AZ237" i="2"/>
  <c r="AT237" i="2"/>
  <c r="AE237" i="2"/>
  <c r="AB237" i="2"/>
  <c r="AH237" i="2"/>
  <c r="M237" i="2"/>
  <c r="J237" i="2"/>
  <c r="V237" i="2"/>
  <c r="AN237" i="2"/>
  <c r="P237" i="2"/>
  <c r="BF239" i="2"/>
  <c r="AZ239" i="2"/>
  <c r="AT239" i="2"/>
  <c r="AH239" i="2"/>
  <c r="AE239" i="2"/>
  <c r="AB239" i="2"/>
  <c r="BC239" i="2"/>
  <c r="AN239" i="2"/>
  <c r="P239" i="2"/>
  <c r="M239" i="2"/>
  <c r="J239" i="2"/>
  <c r="V239" i="2"/>
  <c r="BF246" i="2"/>
  <c r="BC246" i="2"/>
  <c r="AT246" i="2"/>
  <c r="AZ246" i="2"/>
  <c r="AH246" i="2"/>
  <c r="AE246" i="2"/>
  <c r="AN246" i="2"/>
  <c r="P246" i="2"/>
  <c r="M246" i="2"/>
  <c r="J246" i="2"/>
  <c r="AB246" i="2"/>
  <c r="V246" i="2"/>
  <c r="BF251" i="2"/>
  <c r="BC251" i="2"/>
  <c r="AZ251" i="2"/>
  <c r="AT251" i="2"/>
  <c r="AN251" i="2"/>
  <c r="AE251" i="2"/>
  <c r="AB251" i="2"/>
  <c r="AH251" i="2"/>
  <c r="V251" i="2"/>
  <c r="M251" i="2"/>
  <c r="P251" i="2"/>
  <c r="J251" i="2"/>
  <c r="BC258" i="2"/>
  <c r="BF258" i="2"/>
  <c r="AZ258" i="2"/>
  <c r="AN258" i="2"/>
  <c r="AT258" i="2"/>
  <c r="AH258" i="2"/>
  <c r="AB258" i="2"/>
  <c r="AE258" i="2"/>
  <c r="V258" i="2"/>
  <c r="P258" i="2"/>
  <c r="J258" i="2"/>
  <c r="M258" i="2"/>
  <c r="BF260" i="2"/>
  <c r="BC260" i="2"/>
  <c r="AZ260" i="2"/>
  <c r="AT260" i="2"/>
  <c r="AN260" i="2"/>
  <c r="AH260" i="2"/>
  <c r="J260" i="2"/>
  <c r="AE260" i="2"/>
  <c r="AB260" i="2"/>
  <c r="V260" i="2"/>
  <c r="P260" i="2"/>
  <c r="M260" i="2"/>
  <c r="AZ280" i="2"/>
  <c r="BF280" i="2"/>
  <c r="AN280" i="2"/>
  <c r="AT280" i="2"/>
  <c r="AH280" i="2"/>
  <c r="AE280" i="2"/>
  <c r="V280" i="2"/>
  <c r="P280" i="2"/>
  <c r="M280" i="2"/>
  <c r="J280" i="2"/>
  <c r="BC280" i="2"/>
  <c r="AB280" i="2"/>
  <c r="BV280" i="2"/>
  <c r="BF291" i="2"/>
  <c r="BC291" i="2"/>
  <c r="AZ291" i="2"/>
  <c r="AT291" i="2"/>
  <c r="AN291" i="2"/>
  <c r="AE291" i="2"/>
  <c r="AB291" i="2"/>
  <c r="V291" i="2"/>
  <c r="AH291" i="2"/>
  <c r="M291" i="2"/>
  <c r="P291" i="2"/>
  <c r="J291" i="2"/>
  <c r="BF303" i="2"/>
  <c r="AZ303" i="2"/>
  <c r="BC303" i="2"/>
  <c r="AT303" i="2"/>
  <c r="AH303" i="2"/>
  <c r="AE303" i="2"/>
  <c r="AN303" i="2"/>
  <c r="P303" i="2"/>
  <c r="M303" i="2"/>
  <c r="J303" i="2"/>
  <c r="AB303" i="2"/>
  <c r="V303" i="2"/>
  <c r="AZ305" i="2"/>
  <c r="BF305" i="2"/>
  <c r="BC305" i="2"/>
  <c r="AT305" i="2"/>
  <c r="AN305" i="2"/>
  <c r="AH305" i="2"/>
  <c r="AE305" i="2"/>
  <c r="V305" i="2"/>
  <c r="P305" i="2"/>
  <c r="M305" i="2"/>
  <c r="AB305" i="2"/>
  <c r="J305" i="2"/>
  <c r="BC322" i="2"/>
  <c r="BF322" i="2"/>
  <c r="AZ322" i="2"/>
  <c r="AN322" i="2"/>
  <c r="AT322" i="2"/>
  <c r="AH322" i="2"/>
  <c r="AB322" i="2"/>
  <c r="AE322" i="2"/>
  <c r="V322" i="2"/>
  <c r="P322" i="2"/>
  <c r="J322" i="2"/>
  <c r="M322" i="2"/>
  <c r="AZ329" i="2"/>
  <c r="BC329" i="2"/>
  <c r="AT329" i="2"/>
  <c r="BF329" i="2"/>
  <c r="AN329" i="2"/>
  <c r="AH329" i="2"/>
  <c r="AE329" i="2"/>
  <c r="V329" i="2"/>
  <c r="P329" i="2"/>
  <c r="M329" i="2"/>
  <c r="AB329" i="2"/>
  <c r="J329" i="2"/>
  <c r="BW329" i="2"/>
  <c r="BF334" i="2"/>
  <c r="BC334" i="2"/>
  <c r="AT334" i="2"/>
  <c r="AZ334" i="2"/>
  <c r="AH334" i="2"/>
  <c r="AE334" i="2"/>
  <c r="AN334" i="2"/>
  <c r="P334" i="2"/>
  <c r="M334" i="2"/>
  <c r="J334" i="2"/>
  <c r="AB334" i="2"/>
  <c r="V334" i="2"/>
  <c r="BF355" i="2"/>
  <c r="BC355" i="2"/>
  <c r="AZ355" i="2"/>
  <c r="AT355" i="2"/>
  <c r="AN355" i="2"/>
  <c r="AE355" i="2"/>
  <c r="AB355" i="2"/>
  <c r="V355" i="2"/>
  <c r="AH355" i="2"/>
  <c r="M355" i="2"/>
  <c r="P355" i="2"/>
  <c r="J355" i="2"/>
  <c r="BC362" i="2"/>
  <c r="BF362" i="2"/>
  <c r="AZ362" i="2"/>
  <c r="AN362" i="2"/>
  <c r="AH362" i="2"/>
  <c r="AT362" i="2"/>
  <c r="AB362" i="2"/>
  <c r="V362" i="2"/>
  <c r="AE362" i="2"/>
  <c r="P362" i="2"/>
  <c r="J362" i="2"/>
  <c r="M362" i="2"/>
  <c r="BF364" i="2"/>
  <c r="BC364" i="2"/>
  <c r="AT364" i="2"/>
  <c r="AZ364" i="2"/>
  <c r="AN364" i="2"/>
  <c r="AH364" i="2"/>
  <c r="J364" i="2"/>
  <c r="AB364" i="2"/>
  <c r="AE364" i="2"/>
  <c r="V364" i="2"/>
  <c r="P364" i="2"/>
  <c r="M364" i="2"/>
  <c r="BF366" i="2"/>
  <c r="BC366" i="2"/>
  <c r="AT366" i="2"/>
  <c r="AZ366" i="2"/>
  <c r="AH366" i="2"/>
  <c r="AE366" i="2"/>
  <c r="AN366" i="2"/>
  <c r="P366" i="2"/>
  <c r="M366" i="2"/>
  <c r="J366" i="2"/>
  <c r="AB366" i="2"/>
  <c r="V366" i="2"/>
  <c r="BF374" i="2"/>
  <c r="AT374" i="2"/>
  <c r="BC374" i="2"/>
  <c r="AZ374" i="2"/>
  <c r="AH374" i="2"/>
  <c r="AE374" i="2"/>
  <c r="AN374" i="2"/>
  <c r="P374" i="2"/>
  <c r="M374" i="2"/>
  <c r="J374" i="2"/>
  <c r="AB374" i="2"/>
  <c r="V374" i="2"/>
  <c r="R376" i="2"/>
  <c r="X376" i="2" s="1"/>
  <c r="AJ376" i="2" s="1"/>
  <c r="AP376" i="2" s="1"/>
  <c r="BC376" i="2"/>
  <c r="AZ376" i="2"/>
  <c r="BF376" i="2"/>
  <c r="AN376" i="2"/>
  <c r="AT376" i="2"/>
  <c r="AH376" i="2"/>
  <c r="AE376" i="2"/>
  <c r="V376" i="2"/>
  <c r="P376" i="2"/>
  <c r="M376" i="2"/>
  <c r="J376" i="2"/>
  <c r="AB376" i="2"/>
  <c r="BC378" i="2"/>
  <c r="BF378" i="2"/>
  <c r="AZ378" i="2"/>
  <c r="AT378" i="2"/>
  <c r="AN378" i="2"/>
  <c r="AH378" i="2"/>
  <c r="AB378" i="2"/>
  <c r="V378" i="2"/>
  <c r="P378" i="2"/>
  <c r="J378" i="2"/>
  <c r="AE378" i="2"/>
  <c r="M378" i="2"/>
  <c r="BF403" i="2"/>
  <c r="BC403" i="2"/>
  <c r="AZ403" i="2"/>
  <c r="AT403" i="2"/>
  <c r="AN403" i="2"/>
  <c r="AE403" i="2"/>
  <c r="AH403" i="2"/>
  <c r="AB403" i="2"/>
  <c r="V403" i="2"/>
  <c r="M403" i="2"/>
  <c r="J403" i="2"/>
  <c r="P403" i="2"/>
  <c r="BF452" i="2"/>
  <c r="BC452" i="2"/>
  <c r="AZ452" i="2"/>
  <c r="AT452" i="2"/>
  <c r="AN452" i="2"/>
  <c r="AH452" i="2"/>
  <c r="J452" i="2"/>
  <c r="AE452" i="2"/>
  <c r="AB452" i="2"/>
  <c r="V452" i="2"/>
  <c r="P452" i="2"/>
  <c r="M452" i="2"/>
  <c r="BF454" i="2"/>
  <c r="BC454" i="2"/>
  <c r="AZ454" i="2"/>
  <c r="AT454" i="2"/>
  <c r="AH454" i="2"/>
  <c r="AE454" i="2"/>
  <c r="AN454" i="2"/>
  <c r="P454" i="2"/>
  <c r="M454" i="2"/>
  <c r="J454" i="2"/>
  <c r="AB454" i="2"/>
  <c r="V454" i="2"/>
  <c r="BC456" i="2"/>
  <c r="AZ456" i="2"/>
  <c r="BF456" i="2"/>
  <c r="AN456" i="2"/>
  <c r="AH456" i="2"/>
  <c r="AE456" i="2"/>
  <c r="V456" i="2"/>
  <c r="P456" i="2"/>
  <c r="M456" i="2"/>
  <c r="AT456" i="2"/>
  <c r="J456" i="2"/>
  <c r="AB456" i="2"/>
  <c r="BC458" i="2"/>
  <c r="AZ458" i="2"/>
  <c r="BF458" i="2"/>
  <c r="AN458" i="2"/>
  <c r="AH458" i="2"/>
  <c r="AT458" i="2"/>
  <c r="AB458" i="2"/>
  <c r="V458" i="2"/>
  <c r="AE458" i="2"/>
  <c r="P458" i="2"/>
  <c r="J458" i="2"/>
  <c r="M458" i="2"/>
  <c r="BF463" i="2"/>
  <c r="AZ463" i="2"/>
  <c r="BC463" i="2"/>
  <c r="AT463" i="2"/>
  <c r="AH463" i="2"/>
  <c r="AE463" i="2"/>
  <c r="AN463" i="2"/>
  <c r="P463" i="2"/>
  <c r="M463" i="2"/>
  <c r="J463" i="2"/>
  <c r="AB463" i="2"/>
  <c r="V463" i="2"/>
  <c r="BF491" i="2"/>
  <c r="BC491" i="2"/>
  <c r="AZ491" i="2"/>
  <c r="AT491" i="2"/>
  <c r="AN491" i="2"/>
  <c r="AE491" i="2"/>
  <c r="AB491" i="2"/>
  <c r="V491" i="2"/>
  <c r="M491" i="2"/>
  <c r="AH491" i="2"/>
  <c r="P491" i="2"/>
  <c r="J491" i="2"/>
  <c r="BF493" i="2"/>
  <c r="AZ493" i="2"/>
  <c r="AT493" i="2"/>
  <c r="BC493" i="2"/>
  <c r="AE493" i="2"/>
  <c r="AH493" i="2"/>
  <c r="M493" i="2"/>
  <c r="J493" i="2"/>
  <c r="AB493" i="2"/>
  <c r="V493" i="2"/>
  <c r="AN493" i="2"/>
  <c r="P493" i="2"/>
  <c r="BV493" i="2"/>
  <c r="BF27" i="2"/>
  <c r="BC27" i="2"/>
  <c r="AZ27" i="2"/>
  <c r="AT27" i="2"/>
  <c r="AN27" i="2"/>
  <c r="AE27" i="2"/>
  <c r="AH27" i="2"/>
  <c r="V27" i="2"/>
  <c r="AB27" i="2"/>
  <c r="M27" i="2"/>
  <c r="P27" i="2"/>
  <c r="J27" i="2"/>
  <c r="BF29" i="2"/>
  <c r="BC29" i="2"/>
  <c r="AZ29" i="2"/>
  <c r="AT29" i="2"/>
  <c r="AE29" i="2"/>
  <c r="AB29" i="2"/>
  <c r="M29" i="2"/>
  <c r="J29" i="2"/>
  <c r="AN29" i="2"/>
  <c r="AH29" i="2"/>
  <c r="V29" i="2"/>
  <c r="P29" i="2"/>
  <c r="AZ31" i="2"/>
  <c r="BF31" i="2"/>
  <c r="BC31" i="2"/>
  <c r="AT31" i="2"/>
  <c r="AH31" i="2"/>
  <c r="AE31" i="2"/>
  <c r="AB31" i="2"/>
  <c r="P31" i="2"/>
  <c r="M31" i="2"/>
  <c r="J31" i="2"/>
  <c r="AN31" i="2"/>
  <c r="V31" i="2"/>
  <c r="BC33" i="2"/>
  <c r="BF33" i="2"/>
  <c r="AZ33" i="2"/>
  <c r="AT33" i="2"/>
  <c r="AN33" i="2"/>
  <c r="AH33" i="2"/>
  <c r="AE33" i="2"/>
  <c r="V33" i="2"/>
  <c r="P33" i="2"/>
  <c r="AB33" i="2"/>
  <c r="M33" i="2"/>
  <c r="J33" i="2"/>
  <c r="BF35" i="2"/>
  <c r="BC35" i="2"/>
  <c r="AZ35" i="2"/>
  <c r="AT35" i="2"/>
  <c r="AN35" i="2"/>
  <c r="AE35" i="2"/>
  <c r="V35" i="2"/>
  <c r="AH35" i="2"/>
  <c r="AB35" i="2"/>
  <c r="M35" i="2"/>
  <c r="P35" i="2"/>
  <c r="J35" i="2"/>
  <c r="CT41" i="2"/>
  <c r="CT49" i="2"/>
  <c r="DH128" i="2"/>
  <c r="DH130" i="2"/>
  <c r="DH132" i="2"/>
  <c r="R148" i="2"/>
  <c r="BF148" i="2"/>
  <c r="BC148" i="2"/>
  <c r="AT148" i="2"/>
  <c r="AB148" i="2"/>
  <c r="AZ148" i="2"/>
  <c r="AN148" i="2"/>
  <c r="AH148" i="2"/>
  <c r="J148" i="2"/>
  <c r="S148" i="2"/>
  <c r="V148" i="2"/>
  <c r="AE148" i="2"/>
  <c r="P148" i="2"/>
  <c r="M148" i="2"/>
  <c r="R150" i="2"/>
  <c r="S150" i="2" s="1"/>
  <c r="BF150" i="2"/>
  <c r="BC150" i="2"/>
  <c r="AT150" i="2"/>
  <c r="AZ150" i="2"/>
  <c r="AH150" i="2"/>
  <c r="AE150" i="2"/>
  <c r="AB150" i="2"/>
  <c r="AN150" i="2"/>
  <c r="P150" i="2"/>
  <c r="M150" i="2"/>
  <c r="J150" i="2"/>
  <c r="V150" i="2"/>
  <c r="R152" i="2"/>
  <c r="X152" i="2" s="1"/>
  <c r="Y152" i="2" s="1"/>
  <c r="BF152" i="2"/>
  <c r="AZ152" i="2"/>
  <c r="BC152" i="2"/>
  <c r="AN152" i="2"/>
  <c r="AT152" i="2"/>
  <c r="AH152" i="2"/>
  <c r="AE152" i="2"/>
  <c r="AB152" i="2"/>
  <c r="V152" i="2"/>
  <c r="P152" i="2"/>
  <c r="M152" i="2"/>
  <c r="J152" i="2"/>
  <c r="BF167" i="2"/>
  <c r="AZ167" i="2"/>
  <c r="BC167" i="2"/>
  <c r="AT167" i="2"/>
  <c r="AH167" i="2"/>
  <c r="AE167" i="2"/>
  <c r="AB167" i="2"/>
  <c r="S167" i="2"/>
  <c r="P167" i="2"/>
  <c r="M167" i="2"/>
  <c r="J167" i="2"/>
  <c r="AN167" i="2"/>
  <c r="V167" i="2"/>
  <c r="R169" i="2"/>
  <c r="X169" i="2" s="1"/>
  <c r="AJ169" i="2" s="1"/>
  <c r="AP169" i="2" s="1"/>
  <c r="BF169" i="2"/>
  <c r="AZ169" i="2"/>
  <c r="BC169" i="2"/>
  <c r="AT169" i="2"/>
  <c r="AN169" i="2"/>
  <c r="AH169" i="2"/>
  <c r="AE169" i="2"/>
  <c r="V169" i="2"/>
  <c r="S169" i="2"/>
  <c r="P169" i="2"/>
  <c r="M169" i="2"/>
  <c r="AB169" i="2"/>
  <c r="J169" i="2"/>
  <c r="BF171" i="2"/>
  <c r="BC171" i="2"/>
  <c r="AZ171" i="2"/>
  <c r="AT171" i="2"/>
  <c r="AN171" i="2"/>
  <c r="AE171" i="2"/>
  <c r="AB171" i="2"/>
  <c r="V171" i="2"/>
  <c r="M171" i="2"/>
  <c r="AH171" i="2"/>
  <c r="P171" i="2"/>
  <c r="J171" i="2"/>
  <c r="BF173" i="2"/>
  <c r="BC173" i="2"/>
  <c r="AZ173" i="2"/>
  <c r="AT173" i="2"/>
  <c r="AE173" i="2"/>
  <c r="AB173" i="2"/>
  <c r="AH173" i="2"/>
  <c r="M173" i="2"/>
  <c r="J173" i="2"/>
  <c r="Y173" i="2"/>
  <c r="V173" i="2"/>
  <c r="S173" i="2"/>
  <c r="AN173" i="2"/>
  <c r="P173" i="2"/>
  <c r="R175" i="2"/>
  <c r="S175" i="2" s="1"/>
  <c r="BF175" i="2"/>
  <c r="AZ175" i="2"/>
  <c r="AT175" i="2"/>
  <c r="AH175" i="2"/>
  <c r="BC175" i="2"/>
  <c r="AE175" i="2"/>
  <c r="AB175" i="2"/>
  <c r="AN175" i="2"/>
  <c r="P175" i="2"/>
  <c r="M175" i="2"/>
  <c r="J175" i="2"/>
  <c r="V175" i="2"/>
  <c r="R184" i="2"/>
  <c r="X184" i="2" s="1"/>
  <c r="BF184" i="2"/>
  <c r="AZ184" i="2"/>
  <c r="BC184" i="2"/>
  <c r="AN184" i="2"/>
  <c r="AT184" i="2"/>
  <c r="AH184" i="2"/>
  <c r="AE184" i="2"/>
  <c r="AB184" i="2"/>
  <c r="V184" i="2"/>
  <c r="S184" i="2"/>
  <c r="P184" i="2"/>
  <c r="M184" i="2"/>
  <c r="J184" i="2"/>
  <c r="R186" i="2"/>
  <c r="X186" i="2" s="1"/>
  <c r="AJ186" i="2" s="1"/>
  <c r="BF186" i="2"/>
  <c r="BC186" i="2"/>
  <c r="AZ186" i="2"/>
  <c r="AT186" i="2"/>
  <c r="AN186" i="2"/>
  <c r="AH186" i="2"/>
  <c r="AB186" i="2"/>
  <c r="Y186" i="2"/>
  <c r="V186" i="2"/>
  <c r="P186" i="2"/>
  <c r="J186" i="2"/>
  <c r="AE186" i="2"/>
  <c r="M186" i="2"/>
  <c r="BF213" i="2"/>
  <c r="BC213" i="2"/>
  <c r="AZ213" i="2"/>
  <c r="AT213" i="2"/>
  <c r="AE213" i="2"/>
  <c r="AB213" i="2"/>
  <c r="M213" i="2"/>
  <c r="AN213" i="2"/>
  <c r="J213" i="2"/>
  <c r="AH213" i="2"/>
  <c r="V213" i="2"/>
  <c r="P213" i="2"/>
  <c r="R216" i="2"/>
  <c r="S216" i="2" s="1"/>
  <c r="AZ225" i="2"/>
  <c r="BF225" i="2"/>
  <c r="BC225" i="2"/>
  <c r="AT225" i="2"/>
  <c r="AN225" i="2"/>
  <c r="AH225" i="2"/>
  <c r="AE225" i="2"/>
  <c r="V225" i="2"/>
  <c r="P225" i="2"/>
  <c r="M225" i="2"/>
  <c r="AB225" i="2"/>
  <c r="J225" i="2"/>
  <c r="CJ226" i="2"/>
  <c r="BF227" i="2"/>
  <c r="BC227" i="2"/>
  <c r="AZ227" i="2"/>
  <c r="AT227" i="2"/>
  <c r="AN227" i="2"/>
  <c r="AE227" i="2"/>
  <c r="V227" i="2"/>
  <c r="AH227" i="2"/>
  <c r="AB227" i="2"/>
  <c r="M227" i="2"/>
  <c r="P227" i="2"/>
  <c r="J227" i="2"/>
  <c r="BF230" i="2"/>
  <c r="BC230" i="2"/>
  <c r="AZ230" i="2"/>
  <c r="AT230" i="2"/>
  <c r="AH230" i="2"/>
  <c r="AE230" i="2"/>
  <c r="AB230" i="2"/>
  <c r="AN230" i="2"/>
  <c r="P230" i="2"/>
  <c r="M230" i="2"/>
  <c r="J230" i="2"/>
  <c r="V230" i="2"/>
  <c r="AZ241" i="2"/>
  <c r="BF241" i="2"/>
  <c r="BC241" i="2"/>
  <c r="AT241" i="2"/>
  <c r="AN241" i="2"/>
  <c r="AH241" i="2"/>
  <c r="AE241" i="2"/>
  <c r="AB241" i="2"/>
  <c r="V241" i="2"/>
  <c r="P241" i="2"/>
  <c r="M241" i="2"/>
  <c r="J241" i="2"/>
  <c r="BY246" i="2"/>
  <c r="AZ248" i="2"/>
  <c r="BC248" i="2"/>
  <c r="BF248" i="2"/>
  <c r="AN248" i="2"/>
  <c r="AT248" i="2"/>
  <c r="AH248" i="2"/>
  <c r="AE248" i="2"/>
  <c r="V248" i="2"/>
  <c r="P248" i="2"/>
  <c r="M248" i="2"/>
  <c r="J248" i="2"/>
  <c r="AB248" i="2"/>
  <c r="CJ250" i="2"/>
  <c r="BY260" i="2"/>
  <c r="BF262" i="2"/>
  <c r="BC262" i="2"/>
  <c r="AZ262" i="2"/>
  <c r="AT262" i="2"/>
  <c r="AH262" i="2"/>
  <c r="AE262" i="2"/>
  <c r="AN262" i="2"/>
  <c r="P262" i="2"/>
  <c r="M262" i="2"/>
  <c r="J262" i="2"/>
  <c r="AB262" i="2"/>
  <c r="V262" i="2"/>
  <c r="CT262" i="2"/>
  <c r="AZ264" i="2"/>
  <c r="BC264" i="2"/>
  <c r="BF264" i="2"/>
  <c r="AN264" i="2"/>
  <c r="AH264" i="2"/>
  <c r="AE264" i="2"/>
  <c r="V264" i="2"/>
  <c r="AT264" i="2"/>
  <c r="P264" i="2"/>
  <c r="M264" i="2"/>
  <c r="J264" i="2"/>
  <c r="AB264" i="2"/>
  <c r="BW264" i="2"/>
  <c r="BF267" i="2"/>
  <c r="BC267" i="2"/>
  <c r="AZ267" i="2"/>
  <c r="AT267" i="2"/>
  <c r="AN267" i="2"/>
  <c r="AE267" i="2"/>
  <c r="AB267" i="2"/>
  <c r="V267" i="2"/>
  <c r="M267" i="2"/>
  <c r="AH267" i="2"/>
  <c r="P267" i="2"/>
  <c r="J267" i="2"/>
  <c r="BY291" i="2"/>
  <c r="BF293" i="2"/>
  <c r="BC293" i="2"/>
  <c r="AZ293" i="2"/>
  <c r="AT293" i="2"/>
  <c r="AE293" i="2"/>
  <c r="M293" i="2"/>
  <c r="J293" i="2"/>
  <c r="AB293" i="2"/>
  <c r="AN293" i="2"/>
  <c r="V293" i="2"/>
  <c r="AH293" i="2"/>
  <c r="P293" i="2"/>
  <c r="CJ297" i="2"/>
  <c r="BC298" i="2"/>
  <c r="BF298" i="2"/>
  <c r="AZ298" i="2"/>
  <c r="AN298" i="2"/>
  <c r="AH298" i="2"/>
  <c r="AT298" i="2"/>
  <c r="AB298" i="2"/>
  <c r="V298" i="2"/>
  <c r="AE298" i="2"/>
  <c r="P298" i="2"/>
  <c r="J298" i="2"/>
  <c r="M298" i="2"/>
  <c r="CT298" i="2"/>
  <c r="BF300" i="2"/>
  <c r="BC300" i="2"/>
  <c r="AT300" i="2"/>
  <c r="AZ300" i="2"/>
  <c r="AN300" i="2"/>
  <c r="AH300" i="2"/>
  <c r="J300" i="2"/>
  <c r="AB300" i="2"/>
  <c r="AE300" i="2"/>
  <c r="V300" i="2"/>
  <c r="P300" i="2"/>
  <c r="M300" i="2"/>
  <c r="BF307" i="2"/>
  <c r="BC307" i="2"/>
  <c r="AZ307" i="2"/>
  <c r="AT307" i="2"/>
  <c r="AN307" i="2"/>
  <c r="AE307" i="2"/>
  <c r="AH307" i="2"/>
  <c r="AB307" i="2"/>
  <c r="V307" i="2"/>
  <c r="M307" i="2"/>
  <c r="P307" i="2"/>
  <c r="J307" i="2"/>
  <c r="BC312" i="2"/>
  <c r="AZ312" i="2"/>
  <c r="BF312" i="2"/>
  <c r="AN312" i="2"/>
  <c r="AT312" i="2"/>
  <c r="AH312" i="2"/>
  <c r="AE312" i="2"/>
  <c r="V312" i="2"/>
  <c r="P312" i="2"/>
  <c r="M312" i="2"/>
  <c r="J312" i="2"/>
  <c r="AB312" i="2"/>
  <c r="BC314" i="2"/>
  <c r="BF314" i="2"/>
  <c r="AZ314" i="2"/>
  <c r="AT314" i="2"/>
  <c r="AN314" i="2"/>
  <c r="AH314" i="2"/>
  <c r="AB314" i="2"/>
  <c r="V314" i="2"/>
  <c r="P314" i="2"/>
  <c r="J314" i="2"/>
  <c r="AE314" i="2"/>
  <c r="M314" i="2"/>
  <c r="BY322" i="2"/>
  <c r="BF324" i="2"/>
  <c r="BC324" i="2"/>
  <c r="AZ324" i="2"/>
  <c r="AT324" i="2"/>
  <c r="AN324" i="2"/>
  <c r="AH324" i="2"/>
  <c r="J324" i="2"/>
  <c r="AE324" i="2"/>
  <c r="AB324" i="2"/>
  <c r="V324" i="2"/>
  <c r="P324" i="2"/>
  <c r="M324" i="2"/>
  <c r="BF347" i="2"/>
  <c r="BC347" i="2"/>
  <c r="AZ347" i="2"/>
  <c r="AT347" i="2"/>
  <c r="AN347" i="2"/>
  <c r="AE347" i="2"/>
  <c r="AB347" i="2"/>
  <c r="AH347" i="2"/>
  <c r="V347" i="2"/>
  <c r="M347" i="2"/>
  <c r="P347" i="2"/>
  <c r="J347" i="2"/>
  <c r="BW347" i="2"/>
  <c r="BF350" i="2"/>
  <c r="BC350" i="2"/>
  <c r="AZ350" i="2"/>
  <c r="AT350" i="2"/>
  <c r="AH350" i="2"/>
  <c r="AE350" i="2"/>
  <c r="AN350" i="2"/>
  <c r="P350" i="2"/>
  <c r="M350" i="2"/>
  <c r="J350" i="2"/>
  <c r="AB350" i="2"/>
  <c r="V350" i="2"/>
  <c r="AZ352" i="2"/>
  <c r="BC352" i="2"/>
  <c r="AN352" i="2"/>
  <c r="BF352" i="2"/>
  <c r="AH352" i="2"/>
  <c r="AT352" i="2"/>
  <c r="AE352" i="2"/>
  <c r="V352" i="2"/>
  <c r="P352" i="2"/>
  <c r="M352" i="2"/>
  <c r="J352" i="2"/>
  <c r="AB352" i="2"/>
  <c r="BF357" i="2"/>
  <c r="BC357" i="2"/>
  <c r="AZ357" i="2"/>
  <c r="AT357" i="2"/>
  <c r="AE357" i="2"/>
  <c r="M357" i="2"/>
  <c r="V357" i="2"/>
  <c r="J357" i="2"/>
  <c r="AB357" i="2"/>
  <c r="AN357" i="2"/>
  <c r="AH357" i="2"/>
  <c r="P357" i="2"/>
  <c r="CT357" i="2"/>
  <c r="BF359" i="2"/>
  <c r="AZ359" i="2"/>
  <c r="BC359" i="2"/>
  <c r="AT359" i="2"/>
  <c r="AH359" i="2"/>
  <c r="AE359" i="2"/>
  <c r="P359" i="2"/>
  <c r="M359" i="2"/>
  <c r="J359" i="2"/>
  <c r="AB359" i="2"/>
  <c r="AN359" i="2"/>
  <c r="V359" i="2"/>
  <c r="R364" i="2"/>
  <c r="S364" i="2" s="1"/>
  <c r="BY366" i="2"/>
  <c r="R371" i="2"/>
  <c r="BF371" i="2"/>
  <c r="BC371" i="2"/>
  <c r="AZ371" i="2"/>
  <c r="AT371" i="2"/>
  <c r="AN371" i="2"/>
  <c r="AE371" i="2"/>
  <c r="AH371" i="2"/>
  <c r="AB371" i="2"/>
  <c r="V371" i="2"/>
  <c r="S371" i="2"/>
  <c r="M371" i="2"/>
  <c r="P371" i="2"/>
  <c r="J371" i="2"/>
  <c r="R380" i="2"/>
  <c r="X380" i="2" s="1"/>
  <c r="Y380" i="2" s="1"/>
  <c r="BF380" i="2"/>
  <c r="BC380" i="2"/>
  <c r="AT380" i="2"/>
  <c r="AZ380" i="2"/>
  <c r="AN380" i="2"/>
  <c r="AH380" i="2"/>
  <c r="AE380" i="2"/>
  <c r="J380" i="2"/>
  <c r="AB380" i="2"/>
  <c r="V380" i="2"/>
  <c r="P380" i="2"/>
  <c r="M380" i="2"/>
  <c r="BF405" i="2"/>
  <c r="BC405" i="2"/>
  <c r="AZ405" i="2"/>
  <c r="AT405" i="2"/>
  <c r="AE405" i="2"/>
  <c r="M405" i="2"/>
  <c r="AN405" i="2"/>
  <c r="J405" i="2"/>
  <c r="AH405" i="2"/>
  <c r="AB405" i="2"/>
  <c r="V405" i="2"/>
  <c r="P405" i="2"/>
  <c r="BW405" i="2"/>
  <c r="R452" i="2"/>
  <c r="CJ457" i="2"/>
  <c r="BF460" i="2"/>
  <c r="BC460" i="2"/>
  <c r="AT460" i="2"/>
  <c r="AZ460" i="2"/>
  <c r="AN460" i="2"/>
  <c r="AH460" i="2"/>
  <c r="J460" i="2"/>
  <c r="AB460" i="2"/>
  <c r="AE460" i="2"/>
  <c r="V460" i="2"/>
  <c r="P460" i="2"/>
  <c r="M460" i="2"/>
  <c r="BV460" i="2"/>
  <c r="BF465" i="2"/>
  <c r="BC465" i="2"/>
  <c r="AZ465" i="2"/>
  <c r="AT465" i="2"/>
  <c r="AN465" i="2"/>
  <c r="AH465" i="2"/>
  <c r="AE465" i="2"/>
  <c r="V465" i="2"/>
  <c r="P465" i="2"/>
  <c r="M465" i="2"/>
  <c r="AB465" i="2"/>
  <c r="J465" i="2"/>
  <c r="BF467" i="2"/>
  <c r="BC467" i="2"/>
  <c r="AZ467" i="2"/>
  <c r="AT467" i="2"/>
  <c r="AN467" i="2"/>
  <c r="AE467" i="2"/>
  <c r="AH467" i="2"/>
  <c r="AB467" i="2"/>
  <c r="V467" i="2"/>
  <c r="M467" i="2"/>
  <c r="P467" i="2"/>
  <c r="J467" i="2"/>
  <c r="BF486" i="2"/>
  <c r="BC486" i="2"/>
  <c r="AZ486" i="2"/>
  <c r="AT486" i="2"/>
  <c r="AH486" i="2"/>
  <c r="AE486" i="2"/>
  <c r="AN486" i="2"/>
  <c r="P486" i="2"/>
  <c r="M486" i="2"/>
  <c r="J486" i="2"/>
  <c r="AB486" i="2"/>
  <c r="V486" i="2"/>
  <c r="BV486" i="2"/>
  <c r="BF495" i="2"/>
  <c r="AZ495" i="2"/>
  <c r="BC495" i="2"/>
  <c r="AT495" i="2"/>
  <c r="AH495" i="2"/>
  <c r="AE495" i="2"/>
  <c r="AN495" i="2"/>
  <c r="P495" i="2"/>
  <c r="M495" i="2"/>
  <c r="J495" i="2"/>
  <c r="AB495" i="2"/>
  <c r="V495" i="2"/>
  <c r="CJ496" i="2"/>
  <c r="DH496" i="2"/>
  <c r="BC497" i="2"/>
  <c r="AZ497" i="2"/>
  <c r="BF497" i="2"/>
  <c r="AT497" i="2"/>
  <c r="AN497" i="2"/>
  <c r="AH497" i="2"/>
  <c r="AE497" i="2"/>
  <c r="V497" i="2"/>
  <c r="P497" i="2"/>
  <c r="M497" i="2"/>
  <c r="AB497" i="2"/>
  <c r="J497" i="2"/>
  <c r="R500" i="2"/>
  <c r="BF500" i="2"/>
  <c r="BC500" i="2"/>
  <c r="AT500" i="2"/>
  <c r="AN500" i="2"/>
  <c r="AH500" i="2"/>
  <c r="AZ500" i="2"/>
  <c r="J500" i="2"/>
  <c r="AB500" i="2"/>
  <c r="V500" i="2"/>
  <c r="AE500" i="2"/>
  <c r="P500" i="2"/>
  <c r="S500" i="2"/>
  <c r="M500" i="2"/>
  <c r="CT500" i="2"/>
  <c r="BF37" i="2"/>
  <c r="BC37" i="2"/>
  <c r="AZ37" i="2"/>
  <c r="AT37" i="2"/>
  <c r="AE37" i="2"/>
  <c r="AB37" i="2"/>
  <c r="M37" i="2"/>
  <c r="J37" i="2"/>
  <c r="V37" i="2"/>
  <c r="AN37" i="2"/>
  <c r="AH37" i="2"/>
  <c r="P37" i="2"/>
  <c r="BF39" i="2"/>
  <c r="AZ39" i="2"/>
  <c r="BC39" i="2"/>
  <c r="AT39" i="2"/>
  <c r="AH39" i="2"/>
  <c r="AE39" i="2"/>
  <c r="AB39" i="2"/>
  <c r="P39" i="2"/>
  <c r="M39" i="2"/>
  <c r="J39" i="2"/>
  <c r="AN39" i="2"/>
  <c r="V39" i="2"/>
  <c r="BF41" i="2"/>
  <c r="AZ41" i="2"/>
  <c r="BC41" i="2"/>
  <c r="AT41" i="2"/>
  <c r="AN41" i="2"/>
  <c r="AH41" i="2"/>
  <c r="AE41" i="2"/>
  <c r="V41" i="2"/>
  <c r="P41" i="2"/>
  <c r="M41" i="2"/>
  <c r="AB41" i="2"/>
  <c r="J41" i="2"/>
  <c r="BF43" i="2"/>
  <c r="BC43" i="2"/>
  <c r="AZ43" i="2"/>
  <c r="AT43" i="2"/>
  <c r="AN43" i="2"/>
  <c r="AE43" i="2"/>
  <c r="AB43" i="2"/>
  <c r="V43" i="2"/>
  <c r="M43" i="2"/>
  <c r="AH43" i="2"/>
  <c r="P43" i="2"/>
  <c r="J43" i="2"/>
  <c r="BF45" i="2"/>
  <c r="BC45" i="2"/>
  <c r="AZ45" i="2"/>
  <c r="AT45" i="2"/>
  <c r="AE45" i="2"/>
  <c r="AB45" i="2"/>
  <c r="AH45" i="2"/>
  <c r="M45" i="2"/>
  <c r="J45" i="2"/>
  <c r="V45" i="2"/>
  <c r="AN45" i="2"/>
  <c r="P45" i="2"/>
  <c r="BF47" i="2"/>
  <c r="AZ47" i="2"/>
  <c r="BC47" i="2"/>
  <c r="AT47" i="2"/>
  <c r="AH47" i="2"/>
  <c r="AE47" i="2"/>
  <c r="AB47" i="2"/>
  <c r="AN47" i="2"/>
  <c r="P47" i="2"/>
  <c r="M47" i="2"/>
  <c r="J47" i="2"/>
  <c r="V47" i="2"/>
  <c r="CT47" i="2"/>
  <c r="BF49" i="2"/>
  <c r="AZ49" i="2"/>
  <c r="BC49" i="2"/>
  <c r="AT49" i="2"/>
  <c r="AN49" i="2"/>
  <c r="AH49" i="2"/>
  <c r="AE49" i="2"/>
  <c r="AB49" i="2"/>
  <c r="V49" i="2"/>
  <c r="P49" i="2"/>
  <c r="M49" i="2"/>
  <c r="J49" i="2"/>
  <c r="BF51" i="2"/>
  <c r="BC51" i="2"/>
  <c r="AZ51" i="2"/>
  <c r="AT51" i="2"/>
  <c r="AN51" i="2"/>
  <c r="AE51" i="2"/>
  <c r="AH51" i="2"/>
  <c r="AB51" i="2"/>
  <c r="V51" i="2"/>
  <c r="M51" i="2"/>
  <c r="P51" i="2"/>
  <c r="J51" i="2"/>
  <c r="BF53" i="2"/>
  <c r="BC53" i="2"/>
  <c r="AZ53" i="2"/>
  <c r="AT53" i="2"/>
  <c r="AE53" i="2"/>
  <c r="AB53" i="2"/>
  <c r="M53" i="2"/>
  <c r="V53" i="2"/>
  <c r="AN53" i="2"/>
  <c r="J53" i="2"/>
  <c r="AH53" i="2"/>
  <c r="P53" i="2"/>
  <c r="BC55" i="2"/>
  <c r="AZ55" i="2"/>
  <c r="BF55" i="2"/>
  <c r="AT55" i="2"/>
  <c r="AH55" i="2"/>
  <c r="AE55" i="2"/>
  <c r="AB55" i="2"/>
  <c r="P55" i="2"/>
  <c r="AN55" i="2"/>
  <c r="M55" i="2"/>
  <c r="J55" i="2"/>
  <c r="V55" i="2"/>
  <c r="BC57" i="2"/>
  <c r="AZ57" i="2"/>
  <c r="BF57" i="2"/>
  <c r="AT57" i="2"/>
  <c r="AN57" i="2"/>
  <c r="AH57" i="2"/>
  <c r="AE57" i="2"/>
  <c r="V57" i="2"/>
  <c r="AB57" i="2"/>
  <c r="P57" i="2"/>
  <c r="M57" i="2"/>
  <c r="J57" i="2"/>
  <c r="BF59" i="2"/>
  <c r="BC59" i="2"/>
  <c r="AZ59" i="2"/>
  <c r="AT59" i="2"/>
  <c r="AN59" i="2"/>
  <c r="AE59" i="2"/>
  <c r="AH59" i="2"/>
  <c r="V59" i="2"/>
  <c r="AB59" i="2"/>
  <c r="M59" i="2"/>
  <c r="P59" i="2"/>
  <c r="J59" i="2"/>
  <c r="BF61" i="2"/>
  <c r="BC61" i="2"/>
  <c r="AZ61" i="2"/>
  <c r="AT61" i="2"/>
  <c r="AE61" i="2"/>
  <c r="AB61" i="2"/>
  <c r="M61" i="2"/>
  <c r="J61" i="2"/>
  <c r="AN61" i="2"/>
  <c r="AH61" i="2"/>
  <c r="V61" i="2"/>
  <c r="P61" i="2"/>
  <c r="BF63" i="2"/>
  <c r="AZ63" i="2"/>
  <c r="BC63" i="2"/>
  <c r="AT63" i="2"/>
  <c r="AH63" i="2"/>
  <c r="AE63" i="2"/>
  <c r="AB63" i="2"/>
  <c r="P63" i="2"/>
  <c r="M63" i="2"/>
  <c r="J63" i="2"/>
  <c r="AN63" i="2"/>
  <c r="V63" i="2"/>
  <c r="BF65" i="2"/>
  <c r="AZ65" i="2"/>
  <c r="BC65" i="2"/>
  <c r="AT65" i="2"/>
  <c r="AN65" i="2"/>
  <c r="AH65" i="2"/>
  <c r="AE65" i="2"/>
  <c r="V65" i="2"/>
  <c r="AB65" i="2"/>
  <c r="P65" i="2"/>
  <c r="M65" i="2"/>
  <c r="J65" i="2"/>
  <c r="BF67" i="2"/>
  <c r="BC67" i="2"/>
  <c r="AZ67" i="2"/>
  <c r="AT67" i="2"/>
  <c r="AN67" i="2"/>
  <c r="AE67" i="2"/>
  <c r="V67" i="2"/>
  <c r="AH67" i="2"/>
  <c r="AB67" i="2"/>
  <c r="M67" i="2"/>
  <c r="P67" i="2"/>
  <c r="J67" i="2"/>
  <c r="BF69" i="2"/>
  <c r="BC69" i="2"/>
  <c r="AZ69" i="2"/>
  <c r="AT69" i="2"/>
  <c r="AE69" i="2"/>
  <c r="AB69" i="2"/>
  <c r="M69" i="2"/>
  <c r="J69" i="2"/>
  <c r="AN69" i="2"/>
  <c r="V69" i="2"/>
  <c r="AH69" i="2"/>
  <c r="P69" i="2"/>
  <c r="BF71" i="2"/>
  <c r="AZ71" i="2"/>
  <c r="BC71" i="2"/>
  <c r="AT71" i="2"/>
  <c r="AH71" i="2"/>
  <c r="AE71" i="2"/>
  <c r="AB71" i="2"/>
  <c r="P71" i="2"/>
  <c r="M71" i="2"/>
  <c r="J71" i="2"/>
  <c r="AN71" i="2"/>
  <c r="V71" i="2"/>
  <c r="BC73" i="2"/>
  <c r="AZ73" i="2"/>
  <c r="BF73" i="2"/>
  <c r="AT73" i="2"/>
  <c r="AN73" i="2"/>
  <c r="AH73" i="2"/>
  <c r="AE73" i="2"/>
  <c r="V73" i="2"/>
  <c r="P73" i="2"/>
  <c r="M73" i="2"/>
  <c r="AB73" i="2"/>
  <c r="J73" i="2"/>
  <c r="BF75" i="2"/>
  <c r="BC75" i="2"/>
  <c r="AZ75" i="2"/>
  <c r="AT75" i="2"/>
  <c r="AN75" i="2"/>
  <c r="AE75" i="2"/>
  <c r="AB75" i="2"/>
  <c r="V75" i="2"/>
  <c r="M75" i="2"/>
  <c r="AH75" i="2"/>
  <c r="P75" i="2"/>
  <c r="J75" i="2"/>
  <c r="BF77" i="2"/>
  <c r="BC77" i="2"/>
  <c r="AZ77" i="2"/>
  <c r="AT77" i="2"/>
  <c r="AE77" i="2"/>
  <c r="AB77" i="2"/>
  <c r="AH77" i="2"/>
  <c r="M77" i="2"/>
  <c r="V77" i="2"/>
  <c r="J77" i="2"/>
  <c r="AN77" i="2"/>
  <c r="P77" i="2"/>
  <c r="AZ79" i="2"/>
  <c r="BF79" i="2"/>
  <c r="BC79" i="2"/>
  <c r="AT79" i="2"/>
  <c r="AH79" i="2"/>
  <c r="AE79" i="2"/>
  <c r="AB79" i="2"/>
  <c r="AN79" i="2"/>
  <c r="P79" i="2"/>
  <c r="M79" i="2"/>
  <c r="J79" i="2"/>
  <c r="V79" i="2"/>
  <c r="BF81" i="2"/>
  <c r="AZ81" i="2"/>
  <c r="BC81" i="2"/>
  <c r="AT81" i="2"/>
  <c r="AN81" i="2"/>
  <c r="AH81" i="2"/>
  <c r="AE81" i="2"/>
  <c r="AB81" i="2"/>
  <c r="V81" i="2"/>
  <c r="P81" i="2"/>
  <c r="M81" i="2"/>
  <c r="J81" i="2"/>
  <c r="BF83" i="2"/>
  <c r="BC83" i="2"/>
  <c r="AZ83" i="2"/>
  <c r="AT83" i="2"/>
  <c r="AN83" i="2"/>
  <c r="AE83" i="2"/>
  <c r="AH83" i="2"/>
  <c r="AB83" i="2"/>
  <c r="V83" i="2"/>
  <c r="M83" i="2"/>
  <c r="J83" i="2"/>
  <c r="P83" i="2"/>
  <c r="BF85" i="2"/>
  <c r="BC85" i="2"/>
  <c r="AZ85" i="2"/>
  <c r="AT85" i="2"/>
  <c r="AE85" i="2"/>
  <c r="AB85" i="2"/>
  <c r="M85" i="2"/>
  <c r="AN85" i="2"/>
  <c r="J85" i="2"/>
  <c r="AH85" i="2"/>
  <c r="V85" i="2"/>
  <c r="P85" i="2"/>
  <c r="BF87" i="2"/>
  <c r="AZ87" i="2"/>
  <c r="BC87" i="2"/>
  <c r="AT87" i="2"/>
  <c r="AH87" i="2"/>
  <c r="AE87" i="2"/>
  <c r="AB87" i="2"/>
  <c r="P87" i="2"/>
  <c r="AN87" i="2"/>
  <c r="M87" i="2"/>
  <c r="J87" i="2"/>
  <c r="V87" i="2"/>
  <c r="BF89" i="2"/>
  <c r="AZ89" i="2"/>
  <c r="BC89" i="2"/>
  <c r="AT89" i="2"/>
  <c r="AN89" i="2"/>
  <c r="AH89" i="2"/>
  <c r="AE89" i="2"/>
  <c r="V89" i="2"/>
  <c r="AB89" i="2"/>
  <c r="P89" i="2"/>
  <c r="M89" i="2"/>
  <c r="J89" i="2"/>
  <c r="BF91" i="2"/>
  <c r="BC91" i="2"/>
  <c r="AZ91" i="2"/>
  <c r="AT91" i="2"/>
  <c r="AN91" i="2"/>
  <c r="AE91" i="2"/>
  <c r="AH91" i="2"/>
  <c r="V91" i="2"/>
  <c r="AB91" i="2"/>
  <c r="M91" i="2"/>
  <c r="P91" i="2"/>
  <c r="J91" i="2"/>
  <c r="BF93" i="2"/>
  <c r="BC93" i="2"/>
  <c r="AZ93" i="2"/>
  <c r="AT93" i="2"/>
  <c r="AE93" i="2"/>
  <c r="AB93" i="2"/>
  <c r="M93" i="2"/>
  <c r="J93" i="2"/>
  <c r="V93" i="2"/>
  <c r="AN93" i="2"/>
  <c r="AH93" i="2"/>
  <c r="P93" i="2"/>
  <c r="AZ95" i="2"/>
  <c r="BF95" i="2"/>
  <c r="AT95" i="2"/>
  <c r="BC95" i="2"/>
  <c r="AH95" i="2"/>
  <c r="AE95" i="2"/>
  <c r="AB95" i="2"/>
  <c r="P95" i="2"/>
  <c r="M95" i="2"/>
  <c r="J95" i="2"/>
  <c r="AN95" i="2"/>
  <c r="V95" i="2"/>
  <c r="BC97" i="2"/>
  <c r="AZ97" i="2"/>
  <c r="BF97" i="2"/>
  <c r="AT97" i="2"/>
  <c r="AN97" i="2"/>
  <c r="AH97" i="2"/>
  <c r="AE97" i="2"/>
  <c r="AB97" i="2"/>
  <c r="V97" i="2"/>
  <c r="P97" i="2"/>
  <c r="M97" i="2"/>
  <c r="J97" i="2"/>
  <c r="BF99" i="2"/>
  <c r="BC99" i="2"/>
  <c r="AZ99" i="2"/>
  <c r="AT99" i="2"/>
  <c r="AN99" i="2"/>
  <c r="AE99" i="2"/>
  <c r="V99" i="2"/>
  <c r="AH99" i="2"/>
  <c r="AB99" i="2"/>
  <c r="M99" i="2"/>
  <c r="P99" i="2"/>
  <c r="J99" i="2"/>
  <c r="BF101" i="2"/>
  <c r="BC101" i="2"/>
  <c r="AZ101" i="2"/>
  <c r="AT101" i="2"/>
  <c r="AE101" i="2"/>
  <c r="AB101" i="2"/>
  <c r="M101" i="2"/>
  <c r="J101" i="2"/>
  <c r="V101" i="2"/>
  <c r="AN101" i="2"/>
  <c r="AH101" i="2"/>
  <c r="P101" i="2"/>
  <c r="BF103" i="2"/>
  <c r="AZ103" i="2"/>
  <c r="BC103" i="2"/>
  <c r="AT103" i="2"/>
  <c r="AH103" i="2"/>
  <c r="AE103" i="2"/>
  <c r="AB103" i="2"/>
  <c r="P103" i="2"/>
  <c r="M103" i="2"/>
  <c r="J103" i="2"/>
  <c r="AN103" i="2"/>
  <c r="V103" i="2"/>
  <c r="BF105" i="2"/>
  <c r="AZ105" i="2"/>
  <c r="BC105" i="2"/>
  <c r="AT105" i="2"/>
  <c r="AN105" i="2"/>
  <c r="AH105" i="2"/>
  <c r="AE105" i="2"/>
  <c r="V105" i="2"/>
  <c r="P105" i="2"/>
  <c r="M105" i="2"/>
  <c r="AB105" i="2"/>
  <c r="J105" i="2"/>
  <c r="BF107" i="2"/>
  <c r="BC107" i="2"/>
  <c r="AZ107" i="2"/>
  <c r="AT107" i="2"/>
  <c r="AN107" i="2"/>
  <c r="AE107" i="2"/>
  <c r="AB107" i="2"/>
  <c r="V107" i="2"/>
  <c r="M107" i="2"/>
  <c r="AH107" i="2"/>
  <c r="P107" i="2"/>
  <c r="J107" i="2"/>
  <c r="CJ108" i="2"/>
  <c r="BF109" i="2"/>
  <c r="BC109" i="2"/>
  <c r="AZ109" i="2"/>
  <c r="AT109" i="2"/>
  <c r="AE109" i="2"/>
  <c r="AB109" i="2"/>
  <c r="AH109" i="2"/>
  <c r="M109" i="2"/>
  <c r="V109" i="2"/>
  <c r="J109" i="2"/>
  <c r="AN109" i="2"/>
  <c r="P109" i="2"/>
  <c r="BF111" i="2"/>
  <c r="AZ111" i="2"/>
  <c r="AT111" i="2"/>
  <c r="BC111" i="2"/>
  <c r="AH111" i="2"/>
  <c r="AE111" i="2"/>
  <c r="AB111" i="2"/>
  <c r="AN111" i="2"/>
  <c r="P111" i="2"/>
  <c r="M111" i="2"/>
  <c r="J111" i="2"/>
  <c r="V111" i="2"/>
  <c r="BF113" i="2"/>
  <c r="AZ113" i="2"/>
  <c r="BC113" i="2"/>
  <c r="AT113" i="2"/>
  <c r="AN113" i="2"/>
  <c r="AH113" i="2"/>
  <c r="AE113" i="2"/>
  <c r="AB113" i="2"/>
  <c r="V113" i="2"/>
  <c r="P113" i="2"/>
  <c r="M113" i="2"/>
  <c r="J113" i="2"/>
  <c r="BF115" i="2"/>
  <c r="BC115" i="2"/>
  <c r="AZ115" i="2"/>
  <c r="AT115" i="2"/>
  <c r="AN115" i="2"/>
  <c r="AE115" i="2"/>
  <c r="AH115" i="2"/>
  <c r="AB115" i="2"/>
  <c r="V115" i="2"/>
  <c r="M115" i="2"/>
  <c r="P115" i="2"/>
  <c r="J115" i="2"/>
  <c r="BF117" i="2"/>
  <c r="BC117" i="2"/>
  <c r="AZ117" i="2"/>
  <c r="AT117" i="2"/>
  <c r="AE117" i="2"/>
  <c r="AB117" i="2"/>
  <c r="M117" i="2"/>
  <c r="AN117" i="2"/>
  <c r="J117" i="2"/>
  <c r="AH117" i="2"/>
  <c r="V117" i="2"/>
  <c r="P117" i="2"/>
  <c r="CT117" i="2"/>
  <c r="AZ119" i="2"/>
  <c r="BC119" i="2"/>
  <c r="BF119" i="2"/>
  <c r="AT119" i="2"/>
  <c r="AH119" i="2"/>
  <c r="AE119" i="2"/>
  <c r="AB119" i="2"/>
  <c r="P119" i="2"/>
  <c r="AN119" i="2"/>
  <c r="M119" i="2"/>
  <c r="J119" i="2"/>
  <c r="V119" i="2"/>
  <c r="AZ121" i="2"/>
  <c r="BC121" i="2"/>
  <c r="BF121" i="2"/>
  <c r="AT121" i="2"/>
  <c r="AN121" i="2"/>
  <c r="AH121" i="2"/>
  <c r="AE121" i="2"/>
  <c r="V121" i="2"/>
  <c r="AB121" i="2"/>
  <c r="P121" i="2"/>
  <c r="M121" i="2"/>
  <c r="J121" i="2"/>
  <c r="BF123" i="2"/>
  <c r="BC123" i="2"/>
  <c r="AZ123" i="2"/>
  <c r="AT123" i="2"/>
  <c r="AN123" i="2"/>
  <c r="AE123" i="2"/>
  <c r="AH123" i="2"/>
  <c r="V123" i="2"/>
  <c r="AB123" i="2"/>
  <c r="M123" i="2"/>
  <c r="P123" i="2"/>
  <c r="J123" i="2"/>
  <c r="BF125" i="2"/>
  <c r="BC125" i="2"/>
  <c r="AZ125" i="2"/>
  <c r="AT125" i="2"/>
  <c r="AE125" i="2"/>
  <c r="AB125" i="2"/>
  <c r="M125" i="2"/>
  <c r="J125" i="2"/>
  <c r="AN125" i="2"/>
  <c r="V125" i="2"/>
  <c r="AH125" i="2"/>
  <c r="P125" i="2"/>
  <c r="BF127" i="2"/>
  <c r="AZ127" i="2"/>
  <c r="BC127" i="2"/>
  <c r="AT127" i="2"/>
  <c r="AH127" i="2"/>
  <c r="AE127" i="2"/>
  <c r="AB127" i="2"/>
  <c r="P127" i="2"/>
  <c r="M127" i="2"/>
  <c r="J127" i="2"/>
  <c r="AN127" i="2"/>
  <c r="V127" i="2"/>
  <c r="BF129" i="2"/>
  <c r="AZ129" i="2"/>
  <c r="BC129" i="2"/>
  <c r="AT129" i="2"/>
  <c r="AN129" i="2"/>
  <c r="AH129" i="2"/>
  <c r="AE129" i="2"/>
  <c r="V129" i="2"/>
  <c r="P129" i="2"/>
  <c r="AB129" i="2"/>
  <c r="M129" i="2"/>
  <c r="J129" i="2"/>
  <c r="BF131" i="2"/>
  <c r="BC131" i="2"/>
  <c r="AZ131" i="2"/>
  <c r="AT131" i="2"/>
  <c r="AN131" i="2"/>
  <c r="AE131" i="2"/>
  <c r="V131" i="2"/>
  <c r="AH131" i="2"/>
  <c r="AB131" i="2"/>
  <c r="M131" i="2"/>
  <c r="P131" i="2"/>
  <c r="J131" i="2"/>
  <c r="BF133" i="2"/>
  <c r="BC133" i="2"/>
  <c r="AZ133" i="2"/>
  <c r="AT133" i="2"/>
  <c r="AE133" i="2"/>
  <c r="AB133" i="2"/>
  <c r="M133" i="2"/>
  <c r="V133" i="2"/>
  <c r="J133" i="2"/>
  <c r="AN133" i="2"/>
  <c r="AH133" i="2"/>
  <c r="P133" i="2"/>
  <c r="BF135" i="2"/>
  <c r="AZ135" i="2"/>
  <c r="BC135" i="2"/>
  <c r="AT135" i="2"/>
  <c r="AH135" i="2"/>
  <c r="AE135" i="2"/>
  <c r="AB135" i="2"/>
  <c r="P135" i="2"/>
  <c r="M135" i="2"/>
  <c r="J135" i="2"/>
  <c r="AN135" i="2"/>
  <c r="V135" i="2"/>
  <c r="BF137" i="2"/>
  <c r="AZ137" i="2"/>
  <c r="BC137" i="2"/>
  <c r="AT137" i="2"/>
  <c r="AN137" i="2"/>
  <c r="AH137" i="2"/>
  <c r="AE137" i="2"/>
  <c r="V137" i="2"/>
  <c r="P137" i="2"/>
  <c r="M137" i="2"/>
  <c r="AB137" i="2"/>
  <c r="J137" i="2"/>
  <c r="BY186" i="2"/>
  <c r="BF197" i="2"/>
  <c r="BC197" i="2"/>
  <c r="AZ197" i="2"/>
  <c r="AT197" i="2"/>
  <c r="AE197" i="2"/>
  <c r="AB197" i="2"/>
  <c r="M197" i="2"/>
  <c r="V197" i="2"/>
  <c r="J197" i="2"/>
  <c r="AN197" i="2"/>
  <c r="AH197" i="2"/>
  <c r="P197" i="2"/>
  <c r="DH198" i="2"/>
  <c r="R206" i="2"/>
  <c r="BY216" i="2"/>
  <c r="BC218" i="2"/>
  <c r="AZ218" i="2"/>
  <c r="BF218" i="2"/>
  <c r="AT218" i="2"/>
  <c r="AN218" i="2"/>
  <c r="AH218" i="2"/>
  <c r="AB218" i="2"/>
  <c r="V218" i="2"/>
  <c r="P218" i="2"/>
  <c r="J218" i="2"/>
  <c r="AE218" i="2"/>
  <c r="M218" i="2"/>
  <c r="BF220" i="2"/>
  <c r="BC220" i="2"/>
  <c r="AT220" i="2"/>
  <c r="AB220" i="2"/>
  <c r="AN220" i="2"/>
  <c r="AZ220" i="2"/>
  <c r="AH220" i="2"/>
  <c r="AE220" i="2"/>
  <c r="J220" i="2"/>
  <c r="S220" i="2"/>
  <c r="V220" i="2"/>
  <c r="P220" i="2"/>
  <c r="M220" i="2"/>
  <c r="BF222" i="2"/>
  <c r="BC222" i="2"/>
  <c r="AZ222" i="2"/>
  <c r="AT222" i="2"/>
  <c r="AH222" i="2"/>
  <c r="AE222" i="2"/>
  <c r="AB222" i="2"/>
  <c r="AN222" i="2"/>
  <c r="P222" i="2"/>
  <c r="M222" i="2"/>
  <c r="J222" i="2"/>
  <c r="V222" i="2"/>
  <c r="BV222" i="2"/>
  <c r="BF232" i="2"/>
  <c r="AZ232" i="2"/>
  <c r="BC232" i="2"/>
  <c r="AN232" i="2"/>
  <c r="AH232" i="2"/>
  <c r="AE232" i="2"/>
  <c r="AB232" i="2"/>
  <c r="V232" i="2"/>
  <c r="P232" i="2"/>
  <c r="M232" i="2"/>
  <c r="J232" i="2"/>
  <c r="AT232" i="2"/>
  <c r="BC250" i="2"/>
  <c r="BF250" i="2"/>
  <c r="AZ250" i="2"/>
  <c r="AT250" i="2"/>
  <c r="AN250" i="2"/>
  <c r="AH250" i="2"/>
  <c r="AB250" i="2"/>
  <c r="V250" i="2"/>
  <c r="P250" i="2"/>
  <c r="J250" i="2"/>
  <c r="AE250" i="2"/>
  <c r="M250" i="2"/>
  <c r="BW250" i="2"/>
  <c r="DH252" i="2"/>
  <c r="BF253" i="2"/>
  <c r="BC253" i="2"/>
  <c r="AZ253" i="2"/>
  <c r="AT253" i="2"/>
  <c r="AE253" i="2"/>
  <c r="M253" i="2"/>
  <c r="J253" i="2"/>
  <c r="AN253" i="2"/>
  <c r="AB253" i="2"/>
  <c r="V253" i="2"/>
  <c r="AH253" i="2"/>
  <c r="P253" i="2"/>
  <c r="DH254" i="2"/>
  <c r="DH268" i="2"/>
  <c r="BF269" i="2"/>
  <c r="BC269" i="2"/>
  <c r="AZ269" i="2"/>
  <c r="AT269" i="2"/>
  <c r="AE269" i="2"/>
  <c r="AH269" i="2"/>
  <c r="M269" i="2"/>
  <c r="J269" i="2"/>
  <c r="V269" i="2"/>
  <c r="AB269" i="2"/>
  <c r="AN269" i="2"/>
  <c r="P269" i="2"/>
  <c r="BF271" i="2"/>
  <c r="AZ271" i="2"/>
  <c r="BC271" i="2"/>
  <c r="AT271" i="2"/>
  <c r="AH271" i="2"/>
  <c r="AE271" i="2"/>
  <c r="AN271" i="2"/>
  <c r="P271" i="2"/>
  <c r="M271" i="2"/>
  <c r="J271" i="2"/>
  <c r="AB271" i="2"/>
  <c r="V271" i="2"/>
  <c r="BF273" i="2"/>
  <c r="BC273" i="2"/>
  <c r="AZ273" i="2"/>
  <c r="AT273" i="2"/>
  <c r="AN273" i="2"/>
  <c r="AH273" i="2"/>
  <c r="AE273" i="2"/>
  <c r="V273" i="2"/>
  <c r="P273" i="2"/>
  <c r="M273" i="2"/>
  <c r="AB273" i="2"/>
  <c r="J273" i="2"/>
  <c r="BF275" i="2"/>
  <c r="BC275" i="2"/>
  <c r="AZ275" i="2"/>
  <c r="AT275" i="2"/>
  <c r="AN275" i="2"/>
  <c r="AE275" i="2"/>
  <c r="AH275" i="2"/>
  <c r="AB275" i="2"/>
  <c r="V275" i="2"/>
  <c r="M275" i="2"/>
  <c r="J275" i="2"/>
  <c r="P275" i="2"/>
  <c r="BC282" i="2"/>
  <c r="AZ282" i="2"/>
  <c r="BF282" i="2"/>
  <c r="AT282" i="2"/>
  <c r="AN282" i="2"/>
  <c r="AH282" i="2"/>
  <c r="AB282" i="2"/>
  <c r="V282" i="2"/>
  <c r="P282" i="2"/>
  <c r="J282" i="2"/>
  <c r="AE282" i="2"/>
  <c r="M282" i="2"/>
  <c r="BW282" i="2"/>
  <c r="DH283" i="2"/>
  <c r="BY300" i="2"/>
  <c r="BY307" i="2"/>
  <c r="BF309" i="2"/>
  <c r="BC309" i="2"/>
  <c r="AZ309" i="2"/>
  <c r="AT309" i="2"/>
  <c r="AE309" i="2"/>
  <c r="M309" i="2"/>
  <c r="AN309" i="2"/>
  <c r="J309" i="2"/>
  <c r="AH309" i="2"/>
  <c r="AB309" i="2"/>
  <c r="V309" i="2"/>
  <c r="P309" i="2"/>
  <c r="BF319" i="2"/>
  <c r="AZ319" i="2"/>
  <c r="BC319" i="2"/>
  <c r="AT319" i="2"/>
  <c r="AH319" i="2"/>
  <c r="AE319" i="2"/>
  <c r="P319" i="2"/>
  <c r="M319" i="2"/>
  <c r="J319" i="2"/>
  <c r="AB319" i="2"/>
  <c r="AN319" i="2"/>
  <c r="V319" i="2"/>
  <c r="BY324" i="2"/>
  <c r="BF326" i="2"/>
  <c r="BC326" i="2"/>
  <c r="AZ326" i="2"/>
  <c r="AT326" i="2"/>
  <c r="AH326" i="2"/>
  <c r="AE326" i="2"/>
  <c r="AN326" i="2"/>
  <c r="P326" i="2"/>
  <c r="M326" i="2"/>
  <c r="J326" i="2"/>
  <c r="AB326" i="2"/>
  <c r="V326" i="2"/>
  <c r="BY329" i="2"/>
  <c r="DH330" i="2"/>
  <c r="R331" i="2"/>
  <c r="S331" i="2" s="1"/>
  <c r="BF331" i="2"/>
  <c r="BC331" i="2"/>
  <c r="AZ331" i="2"/>
  <c r="AT331" i="2"/>
  <c r="AN331" i="2"/>
  <c r="AE331" i="2"/>
  <c r="AB331" i="2"/>
  <c r="V331" i="2"/>
  <c r="M331" i="2"/>
  <c r="AH331" i="2"/>
  <c r="P331" i="2"/>
  <c r="J331" i="2"/>
  <c r="BC336" i="2"/>
  <c r="AZ336" i="2"/>
  <c r="BF336" i="2"/>
  <c r="AN336" i="2"/>
  <c r="AH336" i="2"/>
  <c r="AE336" i="2"/>
  <c r="V336" i="2"/>
  <c r="P336" i="2"/>
  <c r="M336" i="2"/>
  <c r="J336" i="2"/>
  <c r="AT336" i="2"/>
  <c r="AB336" i="2"/>
  <c r="BC338" i="2"/>
  <c r="BF338" i="2"/>
  <c r="AZ338" i="2"/>
  <c r="AT338" i="2"/>
  <c r="AN338" i="2"/>
  <c r="AH338" i="2"/>
  <c r="AB338" i="2"/>
  <c r="V338" i="2"/>
  <c r="AE338" i="2"/>
  <c r="P338" i="2"/>
  <c r="J338" i="2"/>
  <c r="M338" i="2"/>
  <c r="DH339" i="2"/>
  <c r="BF340" i="2"/>
  <c r="BC340" i="2"/>
  <c r="AT340" i="2"/>
  <c r="AN340" i="2"/>
  <c r="AH340" i="2"/>
  <c r="J340" i="2"/>
  <c r="AB340" i="2"/>
  <c r="AZ340" i="2"/>
  <c r="V340" i="2"/>
  <c r="AE340" i="2"/>
  <c r="P340" i="2"/>
  <c r="M340" i="2"/>
  <c r="CJ351" i="2"/>
  <c r="BY371" i="2"/>
  <c r="BF373" i="2"/>
  <c r="BC373" i="2"/>
  <c r="AZ373" i="2"/>
  <c r="AT373" i="2"/>
  <c r="AE373" i="2"/>
  <c r="M373" i="2"/>
  <c r="AN373" i="2"/>
  <c r="J373" i="2"/>
  <c r="AH373" i="2"/>
  <c r="AB373" i="2"/>
  <c r="V373" i="2"/>
  <c r="P373" i="2"/>
  <c r="BV373" i="2"/>
  <c r="BF382" i="2"/>
  <c r="BC382" i="2"/>
  <c r="AZ382" i="2"/>
  <c r="AT382" i="2"/>
  <c r="AH382" i="2"/>
  <c r="AE382" i="2"/>
  <c r="AN382" i="2"/>
  <c r="P382" i="2"/>
  <c r="M382" i="2"/>
  <c r="J382" i="2"/>
  <c r="AB382" i="2"/>
  <c r="V382" i="2"/>
  <c r="BF384" i="2"/>
  <c r="AZ384" i="2"/>
  <c r="BC384" i="2"/>
  <c r="AN384" i="2"/>
  <c r="AH384" i="2"/>
  <c r="AT384" i="2"/>
  <c r="AE384" i="2"/>
  <c r="V384" i="2"/>
  <c r="S384" i="2"/>
  <c r="P384" i="2"/>
  <c r="M384" i="2"/>
  <c r="J384" i="2"/>
  <c r="AB384" i="2"/>
  <c r="BC386" i="2"/>
  <c r="BF386" i="2"/>
  <c r="AZ386" i="2"/>
  <c r="AN386" i="2"/>
  <c r="AT386" i="2"/>
  <c r="AH386" i="2"/>
  <c r="AB386" i="2"/>
  <c r="AE386" i="2"/>
  <c r="V386" i="2"/>
  <c r="P386" i="2"/>
  <c r="J386" i="2"/>
  <c r="M386" i="2"/>
  <c r="R388" i="2"/>
  <c r="X388" i="2" s="1"/>
  <c r="Y388" i="2" s="1"/>
  <c r="BF388" i="2"/>
  <c r="BC388" i="2"/>
  <c r="AZ388" i="2"/>
  <c r="AT388" i="2"/>
  <c r="AN388" i="2"/>
  <c r="AH388" i="2"/>
  <c r="J388" i="2"/>
  <c r="AE388" i="2"/>
  <c r="AB388" i="2"/>
  <c r="V388" i="2"/>
  <c r="S388" i="2"/>
  <c r="P388" i="2"/>
  <c r="M388" i="2"/>
  <c r="BF390" i="2"/>
  <c r="BC390" i="2"/>
  <c r="AZ390" i="2"/>
  <c r="AT390" i="2"/>
  <c r="AH390" i="2"/>
  <c r="AE390" i="2"/>
  <c r="AN390" i="2"/>
  <c r="P390" i="2"/>
  <c r="M390" i="2"/>
  <c r="J390" i="2"/>
  <c r="AB390" i="2"/>
  <c r="V390" i="2"/>
  <c r="CT390" i="2"/>
  <c r="R392" i="2"/>
  <c r="X392" i="2" s="1"/>
  <c r="Y392" i="2" s="1"/>
  <c r="AZ392" i="2"/>
  <c r="BF392" i="2"/>
  <c r="BC392" i="2"/>
  <c r="AN392" i="2"/>
  <c r="AH392" i="2"/>
  <c r="AE392" i="2"/>
  <c r="V392" i="2"/>
  <c r="AT392" i="2"/>
  <c r="P392" i="2"/>
  <c r="M392" i="2"/>
  <c r="J392" i="2"/>
  <c r="AB392" i="2"/>
  <c r="AZ394" i="2"/>
  <c r="BF394" i="2"/>
  <c r="BC394" i="2"/>
  <c r="AN394" i="2"/>
  <c r="AH394" i="2"/>
  <c r="AT394" i="2"/>
  <c r="AB394" i="2"/>
  <c r="V394" i="2"/>
  <c r="AE394" i="2"/>
  <c r="P394" i="2"/>
  <c r="J394" i="2"/>
  <c r="M394" i="2"/>
  <c r="R396" i="2"/>
  <c r="S396" i="2" s="1"/>
  <c r="BF396" i="2"/>
  <c r="BC396" i="2"/>
  <c r="AT396" i="2"/>
  <c r="AZ396" i="2"/>
  <c r="AN396" i="2"/>
  <c r="AH396" i="2"/>
  <c r="J396" i="2"/>
  <c r="AB396" i="2"/>
  <c r="AE396" i="2"/>
  <c r="V396" i="2"/>
  <c r="P396" i="2"/>
  <c r="M396" i="2"/>
  <c r="DH397" i="2"/>
  <c r="BF398" i="2"/>
  <c r="BC398" i="2"/>
  <c r="AT398" i="2"/>
  <c r="AZ398" i="2"/>
  <c r="AH398" i="2"/>
  <c r="AE398" i="2"/>
  <c r="AN398" i="2"/>
  <c r="P398" i="2"/>
  <c r="M398" i="2"/>
  <c r="J398" i="2"/>
  <c r="AB398" i="2"/>
  <c r="V398" i="2"/>
  <c r="CT409" i="2"/>
  <c r="DH440" i="2"/>
  <c r="BY467" i="2"/>
  <c r="CT467" i="2"/>
  <c r="BF469" i="2"/>
  <c r="AZ469" i="2"/>
  <c r="BC469" i="2"/>
  <c r="AT469" i="2"/>
  <c r="AE469" i="2"/>
  <c r="M469" i="2"/>
  <c r="V469" i="2"/>
  <c r="AN469" i="2"/>
  <c r="J469" i="2"/>
  <c r="AH469" i="2"/>
  <c r="AB469" i="2"/>
  <c r="P469" i="2"/>
  <c r="BF471" i="2"/>
  <c r="AZ471" i="2"/>
  <c r="BC471" i="2"/>
  <c r="AT471" i="2"/>
  <c r="AH471" i="2"/>
  <c r="AE471" i="2"/>
  <c r="P471" i="2"/>
  <c r="AN471" i="2"/>
  <c r="M471" i="2"/>
  <c r="J471" i="2"/>
  <c r="AB471" i="2"/>
  <c r="V471" i="2"/>
  <c r="BC473" i="2"/>
  <c r="AZ473" i="2"/>
  <c r="BF473" i="2"/>
  <c r="AT473" i="2"/>
  <c r="AN473" i="2"/>
  <c r="AH473" i="2"/>
  <c r="AE473" i="2"/>
  <c r="V473" i="2"/>
  <c r="P473" i="2"/>
  <c r="M473" i="2"/>
  <c r="AB473" i="2"/>
  <c r="J473" i="2"/>
  <c r="BF475" i="2"/>
  <c r="BC475" i="2"/>
  <c r="AZ475" i="2"/>
  <c r="AT475" i="2"/>
  <c r="AN475" i="2"/>
  <c r="AE475" i="2"/>
  <c r="AB475" i="2"/>
  <c r="AH475" i="2"/>
  <c r="V475" i="2"/>
  <c r="M475" i="2"/>
  <c r="P475" i="2"/>
  <c r="J475" i="2"/>
  <c r="BF477" i="2"/>
  <c r="AZ477" i="2"/>
  <c r="AT477" i="2"/>
  <c r="BC477" i="2"/>
  <c r="AE477" i="2"/>
  <c r="M477" i="2"/>
  <c r="J477" i="2"/>
  <c r="AN477" i="2"/>
  <c r="AB477" i="2"/>
  <c r="V477" i="2"/>
  <c r="AH477" i="2"/>
  <c r="Y477" i="2"/>
  <c r="S477" i="2"/>
  <c r="P477" i="2"/>
  <c r="CT477" i="2"/>
  <c r="BF488" i="2"/>
  <c r="BC488" i="2"/>
  <c r="AZ488" i="2"/>
  <c r="AN488" i="2"/>
  <c r="AH488" i="2"/>
  <c r="AE488" i="2"/>
  <c r="V488" i="2"/>
  <c r="S488" i="2"/>
  <c r="P488" i="2"/>
  <c r="M488" i="2"/>
  <c r="J488" i="2"/>
  <c r="AB488" i="2"/>
  <c r="AT488" i="2"/>
  <c r="CJ494" i="2"/>
  <c r="BY137" i="2"/>
  <c r="BF139" i="2"/>
  <c r="BC139" i="2"/>
  <c r="AZ139" i="2"/>
  <c r="AT139" i="2"/>
  <c r="AN139" i="2"/>
  <c r="AE139" i="2"/>
  <c r="AB139" i="2"/>
  <c r="V139" i="2"/>
  <c r="M139" i="2"/>
  <c r="AH139" i="2"/>
  <c r="P139" i="2"/>
  <c r="J139" i="2"/>
  <c r="BF141" i="2"/>
  <c r="BC141" i="2"/>
  <c r="AZ141" i="2"/>
  <c r="AT141" i="2"/>
  <c r="AE141" i="2"/>
  <c r="AB141" i="2"/>
  <c r="AH141" i="2"/>
  <c r="M141" i="2"/>
  <c r="J141" i="2"/>
  <c r="V141" i="2"/>
  <c r="AN141" i="2"/>
  <c r="P141" i="2"/>
  <c r="DH146" i="2"/>
  <c r="BF154" i="2"/>
  <c r="BC154" i="2"/>
  <c r="AZ154" i="2"/>
  <c r="AQ154" i="2"/>
  <c r="AT154" i="2"/>
  <c r="AN154" i="2"/>
  <c r="AK154" i="2"/>
  <c r="AH154" i="2"/>
  <c r="AB154" i="2"/>
  <c r="Y154" i="2"/>
  <c r="V154" i="2"/>
  <c r="S154" i="2"/>
  <c r="P154" i="2"/>
  <c r="J154" i="2"/>
  <c r="AE154" i="2"/>
  <c r="M154" i="2"/>
  <c r="R156" i="2"/>
  <c r="S156" i="2" s="1"/>
  <c r="BF156" i="2"/>
  <c r="BC156" i="2"/>
  <c r="AT156" i="2"/>
  <c r="AB156" i="2"/>
  <c r="AZ156" i="2"/>
  <c r="AN156" i="2"/>
  <c r="AH156" i="2"/>
  <c r="AE156" i="2"/>
  <c r="J156" i="2"/>
  <c r="V156" i="2"/>
  <c r="P156" i="2"/>
  <c r="M156" i="2"/>
  <c r="R158" i="2"/>
  <c r="X158" i="2" s="1"/>
  <c r="AJ158" i="2" s="1"/>
  <c r="AP158" i="2" s="1"/>
  <c r="BF158" i="2"/>
  <c r="BC158" i="2"/>
  <c r="AZ158" i="2"/>
  <c r="AT158" i="2"/>
  <c r="AH158" i="2"/>
  <c r="AE158" i="2"/>
  <c r="AB158" i="2"/>
  <c r="AN158" i="2"/>
  <c r="P158" i="2"/>
  <c r="M158" i="2"/>
  <c r="J158" i="2"/>
  <c r="V158" i="2"/>
  <c r="S158" i="2"/>
  <c r="R160" i="2"/>
  <c r="X160" i="2" s="1"/>
  <c r="AJ160" i="2" s="1"/>
  <c r="AP160" i="2" s="1"/>
  <c r="BF160" i="2"/>
  <c r="AZ160" i="2"/>
  <c r="BC160" i="2"/>
  <c r="AN160" i="2"/>
  <c r="AH160" i="2"/>
  <c r="AT160" i="2"/>
  <c r="AE160" i="2"/>
  <c r="AB160" i="2"/>
  <c r="V160" i="2"/>
  <c r="P160" i="2"/>
  <c r="M160" i="2"/>
  <c r="J160" i="2"/>
  <c r="Y160" i="2"/>
  <c r="BF162" i="2"/>
  <c r="BC162" i="2"/>
  <c r="AZ162" i="2"/>
  <c r="AN162" i="2"/>
  <c r="AT162" i="2"/>
  <c r="AH162" i="2"/>
  <c r="AB162" i="2"/>
  <c r="AE162" i="2"/>
  <c r="V162" i="2"/>
  <c r="P162" i="2"/>
  <c r="J162" i="2"/>
  <c r="M162" i="2"/>
  <c r="CT162" i="2"/>
  <c r="DH163" i="2"/>
  <c r="R177" i="2"/>
  <c r="X177" i="2" s="1"/>
  <c r="AJ177" i="2" s="1"/>
  <c r="BF177" i="2"/>
  <c r="AZ177" i="2"/>
  <c r="BC177" i="2"/>
  <c r="AT177" i="2"/>
  <c r="AN177" i="2"/>
  <c r="AK177" i="2"/>
  <c r="AH177" i="2"/>
  <c r="AE177" i="2"/>
  <c r="Y177" i="2"/>
  <c r="AB177" i="2"/>
  <c r="V177" i="2"/>
  <c r="S177" i="2"/>
  <c r="P177" i="2"/>
  <c r="M177" i="2"/>
  <c r="J177" i="2"/>
  <c r="DH187" i="2"/>
  <c r="BY197" i="2"/>
  <c r="R199" i="2"/>
  <c r="S199" i="2" s="1"/>
  <c r="BF199" i="2"/>
  <c r="AZ199" i="2"/>
  <c r="BC199" i="2"/>
  <c r="AT199" i="2"/>
  <c r="AH199" i="2"/>
  <c r="AE199" i="2"/>
  <c r="AB199" i="2"/>
  <c r="P199" i="2"/>
  <c r="M199" i="2"/>
  <c r="J199" i="2"/>
  <c r="AN199" i="2"/>
  <c r="V199" i="2"/>
  <c r="CT199" i="2"/>
  <c r="R201" i="2"/>
  <c r="AZ201" i="2"/>
  <c r="BC201" i="2"/>
  <c r="BF201" i="2"/>
  <c r="AT201" i="2"/>
  <c r="AN201" i="2"/>
  <c r="AH201" i="2"/>
  <c r="AE201" i="2"/>
  <c r="V201" i="2"/>
  <c r="S201" i="2"/>
  <c r="P201" i="2"/>
  <c r="M201" i="2"/>
  <c r="AB201" i="2"/>
  <c r="J201" i="2"/>
  <c r="R203" i="2"/>
  <c r="X203" i="2" s="1"/>
  <c r="AJ203" i="2" s="1"/>
  <c r="AP203" i="2" s="1"/>
  <c r="BF203" i="2"/>
  <c r="BC203" i="2"/>
  <c r="AZ203" i="2"/>
  <c r="AT203" i="2"/>
  <c r="AN203" i="2"/>
  <c r="AE203" i="2"/>
  <c r="AB203" i="2"/>
  <c r="V203" i="2"/>
  <c r="M203" i="2"/>
  <c r="AH203" i="2"/>
  <c r="P203" i="2"/>
  <c r="J203" i="2"/>
  <c r="AZ208" i="2"/>
  <c r="BC208" i="2"/>
  <c r="BF208" i="2"/>
  <c r="AN208" i="2"/>
  <c r="AH208" i="2"/>
  <c r="AE208" i="2"/>
  <c r="AB208" i="2"/>
  <c r="V208" i="2"/>
  <c r="S208" i="2"/>
  <c r="P208" i="2"/>
  <c r="M208" i="2"/>
  <c r="J208" i="2"/>
  <c r="AT208" i="2"/>
  <c r="Y208" i="2"/>
  <c r="CT208" i="2"/>
  <c r="DH211" i="2"/>
  <c r="BF215" i="2"/>
  <c r="AZ215" i="2"/>
  <c r="BC215" i="2"/>
  <c r="AT215" i="2"/>
  <c r="AH215" i="2"/>
  <c r="AE215" i="2"/>
  <c r="AB215" i="2"/>
  <c r="P215" i="2"/>
  <c r="AN215" i="2"/>
  <c r="M215" i="2"/>
  <c r="J215" i="2"/>
  <c r="V215" i="2"/>
  <c r="BY227" i="2"/>
  <c r="BF229" i="2"/>
  <c r="BC229" i="2"/>
  <c r="AZ229" i="2"/>
  <c r="AT229" i="2"/>
  <c r="AE229" i="2"/>
  <c r="AB229" i="2"/>
  <c r="M229" i="2"/>
  <c r="J229" i="2"/>
  <c r="AN229" i="2"/>
  <c r="Y229" i="2"/>
  <c r="V229" i="2"/>
  <c r="AH229" i="2"/>
  <c r="S229" i="2"/>
  <c r="P229" i="2"/>
  <c r="R232" i="2"/>
  <c r="S232" i="2" s="1"/>
  <c r="BY232" i="2"/>
  <c r="BC234" i="2"/>
  <c r="BF234" i="2"/>
  <c r="AZ234" i="2"/>
  <c r="AN234" i="2"/>
  <c r="AH234" i="2"/>
  <c r="AT234" i="2"/>
  <c r="AB234" i="2"/>
  <c r="V234" i="2"/>
  <c r="AE234" i="2"/>
  <c r="P234" i="2"/>
  <c r="J234" i="2"/>
  <c r="M234" i="2"/>
  <c r="BF236" i="2"/>
  <c r="BC236" i="2"/>
  <c r="AT236" i="2"/>
  <c r="AZ236" i="2"/>
  <c r="AB236" i="2"/>
  <c r="AN236" i="2"/>
  <c r="AH236" i="2"/>
  <c r="J236" i="2"/>
  <c r="AE236" i="2"/>
  <c r="V236" i="2"/>
  <c r="P236" i="2"/>
  <c r="M236" i="2"/>
  <c r="DH239" i="2"/>
  <c r="BF243" i="2"/>
  <c r="BC243" i="2"/>
  <c r="AZ243" i="2"/>
  <c r="AT243" i="2"/>
  <c r="AN243" i="2"/>
  <c r="AE243" i="2"/>
  <c r="AH243" i="2"/>
  <c r="AB243" i="2"/>
  <c r="V243" i="2"/>
  <c r="M243" i="2"/>
  <c r="P243" i="2"/>
  <c r="J243" i="2"/>
  <c r="DH251" i="2"/>
  <c r="BY253" i="2"/>
  <c r="BF255" i="2"/>
  <c r="AZ255" i="2"/>
  <c r="BC255" i="2"/>
  <c r="AT255" i="2"/>
  <c r="AH255" i="2"/>
  <c r="AE255" i="2"/>
  <c r="P255" i="2"/>
  <c r="M255" i="2"/>
  <c r="J255" i="2"/>
  <c r="AB255" i="2"/>
  <c r="AN255" i="2"/>
  <c r="V255" i="2"/>
  <c r="BY264" i="2"/>
  <c r="BF277" i="2"/>
  <c r="BC277" i="2"/>
  <c r="AZ277" i="2"/>
  <c r="AT277" i="2"/>
  <c r="AE277" i="2"/>
  <c r="M277" i="2"/>
  <c r="V277" i="2"/>
  <c r="AN277" i="2"/>
  <c r="J277" i="2"/>
  <c r="AH277" i="2"/>
  <c r="AB277" i="2"/>
  <c r="S277" i="2"/>
  <c r="P277" i="2"/>
  <c r="DH278" i="2"/>
  <c r="BF284" i="2"/>
  <c r="AT284" i="2"/>
  <c r="BC284" i="2"/>
  <c r="AZ284" i="2"/>
  <c r="AN284" i="2"/>
  <c r="AH284" i="2"/>
  <c r="AE284" i="2"/>
  <c r="J284" i="2"/>
  <c r="AB284" i="2"/>
  <c r="V284" i="2"/>
  <c r="P284" i="2"/>
  <c r="M284" i="2"/>
  <c r="BF286" i="2"/>
  <c r="BC286" i="2"/>
  <c r="AZ286" i="2"/>
  <c r="AT286" i="2"/>
  <c r="AH286" i="2"/>
  <c r="AE286" i="2"/>
  <c r="AN286" i="2"/>
  <c r="P286" i="2"/>
  <c r="M286" i="2"/>
  <c r="J286" i="2"/>
  <c r="AB286" i="2"/>
  <c r="V286" i="2"/>
  <c r="CJ287" i="2"/>
  <c r="AZ288" i="2"/>
  <c r="BC288" i="2"/>
  <c r="BF288" i="2"/>
  <c r="AN288" i="2"/>
  <c r="AH288" i="2"/>
  <c r="AT288" i="2"/>
  <c r="AE288" i="2"/>
  <c r="V288" i="2"/>
  <c r="P288" i="2"/>
  <c r="M288" i="2"/>
  <c r="J288" i="2"/>
  <c r="AB288" i="2"/>
  <c r="CT288" i="2"/>
  <c r="DH289" i="2"/>
  <c r="BF295" i="2"/>
  <c r="AZ295" i="2"/>
  <c r="BC295" i="2"/>
  <c r="AT295" i="2"/>
  <c r="AH295" i="2"/>
  <c r="AE295" i="2"/>
  <c r="P295" i="2"/>
  <c r="M295" i="2"/>
  <c r="J295" i="2"/>
  <c r="AB295" i="2"/>
  <c r="AN295" i="2"/>
  <c r="V295" i="2"/>
  <c r="BF302" i="2"/>
  <c r="BC302" i="2"/>
  <c r="AT302" i="2"/>
  <c r="AZ302" i="2"/>
  <c r="AH302" i="2"/>
  <c r="AE302" i="2"/>
  <c r="AN302" i="2"/>
  <c r="P302" i="2"/>
  <c r="M302" i="2"/>
  <c r="J302" i="2"/>
  <c r="AB302" i="2"/>
  <c r="V302" i="2"/>
  <c r="BW302" i="2"/>
  <c r="BF316" i="2"/>
  <c r="BC316" i="2"/>
  <c r="AT316" i="2"/>
  <c r="AZ316" i="2"/>
  <c r="AN316" i="2"/>
  <c r="AH316" i="2"/>
  <c r="AE316" i="2"/>
  <c r="J316" i="2"/>
  <c r="AB316" i="2"/>
  <c r="V316" i="2"/>
  <c r="P316" i="2"/>
  <c r="M316" i="2"/>
  <c r="BF342" i="2"/>
  <c r="BC342" i="2"/>
  <c r="AT342" i="2"/>
  <c r="AZ342" i="2"/>
  <c r="AH342" i="2"/>
  <c r="AE342" i="2"/>
  <c r="AN342" i="2"/>
  <c r="P342" i="2"/>
  <c r="M342" i="2"/>
  <c r="J342" i="2"/>
  <c r="AB342" i="2"/>
  <c r="V342" i="2"/>
  <c r="AZ344" i="2"/>
  <c r="BF344" i="2"/>
  <c r="BC344" i="2"/>
  <c r="AN344" i="2"/>
  <c r="AT344" i="2"/>
  <c r="AH344" i="2"/>
  <c r="AE344" i="2"/>
  <c r="V344" i="2"/>
  <c r="P344" i="2"/>
  <c r="M344" i="2"/>
  <c r="J344" i="2"/>
  <c r="AB344" i="2"/>
  <c r="BY347" i="2"/>
  <c r="BF349" i="2"/>
  <c r="BC349" i="2"/>
  <c r="AZ349" i="2"/>
  <c r="AT349" i="2"/>
  <c r="AE349" i="2"/>
  <c r="M349" i="2"/>
  <c r="J349" i="2"/>
  <c r="AN349" i="2"/>
  <c r="AB349" i="2"/>
  <c r="AH349" i="2"/>
  <c r="V349" i="2"/>
  <c r="P349" i="2"/>
  <c r="BW349" i="2"/>
  <c r="BY352" i="2"/>
  <c r="CT352" i="2"/>
  <c r="BC361" i="2"/>
  <c r="BF361" i="2"/>
  <c r="AZ361" i="2"/>
  <c r="AT361" i="2"/>
  <c r="AN361" i="2"/>
  <c r="AH361" i="2"/>
  <c r="AE361" i="2"/>
  <c r="V361" i="2"/>
  <c r="P361" i="2"/>
  <c r="M361" i="2"/>
  <c r="AB361" i="2"/>
  <c r="J361" i="2"/>
  <c r="CT363" i="2"/>
  <c r="R368" i="2"/>
  <c r="X368" i="2" s="1"/>
  <c r="Y368" i="2" s="1"/>
  <c r="AZ368" i="2"/>
  <c r="BF368" i="2"/>
  <c r="BC368" i="2"/>
  <c r="AN368" i="2"/>
  <c r="AH368" i="2"/>
  <c r="AE368" i="2"/>
  <c r="AT368" i="2"/>
  <c r="V368" i="2"/>
  <c r="P368" i="2"/>
  <c r="M368" i="2"/>
  <c r="J368" i="2"/>
  <c r="AB368" i="2"/>
  <c r="BC370" i="2"/>
  <c r="AZ370" i="2"/>
  <c r="BF370" i="2"/>
  <c r="AT370" i="2"/>
  <c r="AN370" i="2"/>
  <c r="AH370" i="2"/>
  <c r="AB370" i="2"/>
  <c r="V370" i="2"/>
  <c r="AE370" i="2"/>
  <c r="P370" i="2"/>
  <c r="J370" i="2"/>
  <c r="M370" i="2"/>
  <c r="BV370" i="2"/>
  <c r="DH374" i="2"/>
  <c r="X384" i="2"/>
  <c r="Y384" i="2" s="1"/>
  <c r="AZ400" i="2"/>
  <c r="BC400" i="2"/>
  <c r="BF400" i="2"/>
  <c r="AN400" i="2"/>
  <c r="AH400" i="2"/>
  <c r="AE400" i="2"/>
  <c r="V400" i="2"/>
  <c r="AT400" i="2"/>
  <c r="P400" i="2"/>
  <c r="M400" i="2"/>
  <c r="J400" i="2"/>
  <c r="AB400" i="2"/>
  <c r="BF402" i="2"/>
  <c r="AZ402" i="2"/>
  <c r="BC402" i="2"/>
  <c r="AT402" i="2"/>
  <c r="AN402" i="2"/>
  <c r="AH402" i="2"/>
  <c r="AB402" i="2"/>
  <c r="V402" i="2"/>
  <c r="S402" i="2"/>
  <c r="AE402" i="2"/>
  <c r="P402" i="2"/>
  <c r="J402" i="2"/>
  <c r="M402" i="2"/>
  <c r="BY405" i="2"/>
  <c r="BF407" i="2"/>
  <c r="AZ407" i="2"/>
  <c r="BC407" i="2"/>
  <c r="AT407" i="2"/>
  <c r="AH407" i="2"/>
  <c r="AE407" i="2"/>
  <c r="P407" i="2"/>
  <c r="AN407" i="2"/>
  <c r="M407" i="2"/>
  <c r="J407" i="2"/>
  <c r="AB407" i="2"/>
  <c r="V407" i="2"/>
  <c r="BC409" i="2"/>
  <c r="AZ409" i="2"/>
  <c r="BF409" i="2"/>
  <c r="AT409" i="2"/>
  <c r="AN409" i="2"/>
  <c r="AH409" i="2"/>
  <c r="AE409" i="2"/>
  <c r="V409" i="2"/>
  <c r="P409" i="2"/>
  <c r="M409" i="2"/>
  <c r="AB409" i="2"/>
  <c r="J409" i="2"/>
  <c r="BF411" i="2"/>
  <c r="BC411" i="2"/>
  <c r="AZ411" i="2"/>
  <c r="AT411" i="2"/>
  <c r="AN411" i="2"/>
  <c r="AE411" i="2"/>
  <c r="AB411" i="2"/>
  <c r="AH411" i="2"/>
  <c r="V411" i="2"/>
  <c r="M411" i="2"/>
  <c r="P411" i="2"/>
  <c r="J411" i="2"/>
  <c r="BF413" i="2"/>
  <c r="AZ413" i="2"/>
  <c r="AT413" i="2"/>
  <c r="BC413" i="2"/>
  <c r="AE413" i="2"/>
  <c r="M413" i="2"/>
  <c r="V413" i="2"/>
  <c r="J413" i="2"/>
  <c r="AN413" i="2"/>
  <c r="AB413" i="2"/>
  <c r="AH413" i="2"/>
  <c r="P413" i="2"/>
  <c r="BF415" i="2"/>
  <c r="AZ415" i="2"/>
  <c r="BC415" i="2"/>
  <c r="AT415" i="2"/>
  <c r="AH415" i="2"/>
  <c r="AE415" i="2"/>
  <c r="P415" i="2"/>
  <c r="M415" i="2"/>
  <c r="J415" i="2"/>
  <c r="AB415" i="2"/>
  <c r="AN415" i="2"/>
  <c r="V415" i="2"/>
  <c r="CT415" i="2"/>
  <c r="BC417" i="2"/>
  <c r="AZ417" i="2"/>
  <c r="BF417" i="2"/>
  <c r="AT417" i="2"/>
  <c r="AN417" i="2"/>
  <c r="AH417" i="2"/>
  <c r="AE417" i="2"/>
  <c r="V417" i="2"/>
  <c r="P417" i="2"/>
  <c r="M417" i="2"/>
  <c r="AB417" i="2"/>
  <c r="J417" i="2"/>
  <c r="BF419" i="2"/>
  <c r="BC419" i="2"/>
  <c r="AZ419" i="2"/>
  <c r="AT419" i="2"/>
  <c r="AN419" i="2"/>
  <c r="AE419" i="2"/>
  <c r="AB419" i="2"/>
  <c r="V419" i="2"/>
  <c r="AH419" i="2"/>
  <c r="M419" i="2"/>
  <c r="P419" i="2"/>
  <c r="J419" i="2"/>
  <c r="BF421" i="2"/>
  <c r="AZ421" i="2"/>
  <c r="AT421" i="2"/>
  <c r="AE421" i="2"/>
  <c r="BC421" i="2"/>
  <c r="M421" i="2"/>
  <c r="J421" i="2"/>
  <c r="AB421" i="2"/>
  <c r="AN421" i="2"/>
  <c r="V421" i="2"/>
  <c r="AH421" i="2"/>
  <c r="P421" i="2"/>
  <c r="BF423" i="2"/>
  <c r="AZ423" i="2"/>
  <c r="AT423" i="2"/>
  <c r="BC423" i="2"/>
  <c r="AH423" i="2"/>
  <c r="AE423" i="2"/>
  <c r="P423" i="2"/>
  <c r="M423" i="2"/>
  <c r="J423" i="2"/>
  <c r="AB423" i="2"/>
  <c r="AN423" i="2"/>
  <c r="V423" i="2"/>
  <c r="BF425" i="2"/>
  <c r="BC425" i="2"/>
  <c r="AZ425" i="2"/>
  <c r="AT425" i="2"/>
  <c r="AN425" i="2"/>
  <c r="AH425" i="2"/>
  <c r="AE425" i="2"/>
  <c r="V425" i="2"/>
  <c r="P425" i="2"/>
  <c r="M425" i="2"/>
  <c r="AB425" i="2"/>
  <c r="J425" i="2"/>
  <c r="BF427" i="2"/>
  <c r="BC427" i="2"/>
  <c r="AZ427" i="2"/>
  <c r="AT427" i="2"/>
  <c r="AN427" i="2"/>
  <c r="AE427" i="2"/>
  <c r="AB427" i="2"/>
  <c r="V427" i="2"/>
  <c r="M427" i="2"/>
  <c r="AH427" i="2"/>
  <c r="P427" i="2"/>
  <c r="J427" i="2"/>
  <c r="BF429" i="2"/>
  <c r="AZ429" i="2"/>
  <c r="AT429" i="2"/>
  <c r="AE429" i="2"/>
  <c r="BC429" i="2"/>
  <c r="AH429" i="2"/>
  <c r="M429" i="2"/>
  <c r="J429" i="2"/>
  <c r="AB429" i="2"/>
  <c r="V429" i="2"/>
  <c r="AN429" i="2"/>
  <c r="P429" i="2"/>
  <c r="BF431" i="2"/>
  <c r="AZ431" i="2"/>
  <c r="BC431" i="2"/>
  <c r="AT431" i="2"/>
  <c r="AH431" i="2"/>
  <c r="AE431" i="2"/>
  <c r="AN431" i="2"/>
  <c r="P431" i="2"/>
  <c r="M431" i="2"/>
  <c r="J431" i="2"/>
  <c r="AB431" i="2"/>
  <c r="V431" i="2"/>
  <c r="BC433" i="2"/>
  <c r="AZ433" i="2"/>
  <c r="BF433" i="2"/>
  <c r="AT433" i="2"/>
  <c r="AN433" i="2"/>
  <c r="AH433" i="2"/>
  <c r="AE433" i="2"/>
  <c r="V433" i="2"/>
  <c r="P433" i="2"/>
  <c r="M433" i="2"/>
  <c r="AB433" i="2"/>
  <c r="J433" i="2"/>
  <c r="BF435" i="2"/>
  <c r="BC435" i="2"/>
  <c r="AZ435" i="2"/>
  <c r="AT435" i="2"/>
  <c r="AN435" i="2"/>
  <c r="AE435" i="2"/>
  <c r="AH435" i="2"/>
  <c r="AB435" i="2"/>
  <c r="V435" i="2"/>
  <c r="M435" i="2"/>
  <c r="P435" i="2"/>
  <c r="J435" i="2"/>
  <c r="BF437" i="2"/>
  <c r="AZ437" i="2"/>
  <c r="BC437" i="2"/>
  <c r="AT437" i="2"/>
  <c r="AE437" i="2"/>
  <c r="M437" i="2"/>
  <c r="AN437" i="2"/>
  <c r="J437" i="2"/>
  <c r="V437" i="2"/>
  <c r="AH437" i="2"/>
  <c r="AB437" i="2"/>
  <c r="P437" i="2"/>
  <c r="BF439" i="2"/>
  <c r="AZ439" i="2"/>
  <c r="BC439" i="2"/>
  <c r="AT439" i="2"/>
  <c r="AH439" i="2"/>
  <c r="AE439" i="2"/>
  <c r="P439" i="2"/>
  <c r="AN439" i="2"/>
  <c r="M439" i="2"/>
  <c r="J439" i="2"/>
  <c r="AB439" i="2"/>
  <c r="V439" i="2"/>
  <c r="BC441" i="2"/>
  <c r="AZ441" i="2"/>
  <c r="BF441" i="2"/>
  <c r="AT441" i="2"/>
  <c r="AN441" i="2"/>
  <c r="AH441" i="2"/>
  <c r="AE441" i="2"/>
  <c r="V441" i="2"/>
  <c r="P441" i="2"/>
  <c r="M441" i="2"/>
  <c r="AB441" i="2"/>
  <c r="J441" i="2"/>
  <c r="BF443" i="2"/>
  <c r="BC443" i="2"/>
  <c r="AZ443" i="2"/>
  <c r="AT443" i="2"/>
  <c r="AN443" i="2"/>
  <c r="AE443" i="2"/>
  <c r="AB443" i="2"/>
  <c r="AH443" i="2"/>
  <c r="V443" i="2"/>
  <c r="M443" i="2"/>
  <c r="P443" i="2"/>
  <c r="J443" i="2"/>
  <c r="BF445" i="2"/>
  <c r="AZ445" i="2"/>
  <c r="AT445" i="2"/>
  <c r="BC445" i="2"/>
  <c r="AE445" i="2"/>
  <c r="AQ445" i="2"/>
  <c r="AK445" i="2"/>
  <c r="M445" i="2"/>
  <c r="V445" i="2"/>
  <c r="J445" i="2"/>
  <c r="AN445" i="2"/>
  <c r="AB445" i="2"/>
  <c r="AH445" i="2"/>
  <c r="Y445" i="2"/>
  <c r="S445" i="2"/>
  <c r="P445" i="2"/>
  <c r="CT445" i="2"/>
  <c r="R447" i="2"/>
  <c r="S447" i="2" s="1"/>
  <c r="BF447" i="2"/>
  <c r="AZ447" i="2"/>
  <c r="BC447" i="2"/>
  <c r="AT447" i="2"/>
  <c r="AH447" i="2"/>
  <c r="AE447" i="2"/>
  <c r="P447" i="2"/>
  <c r="M447" i="2"/>
  <c r="J447" i="2"/>
  <c r="AB447" i="2"/>
  <c r="AN447" i="2"/>
  <c r="V447" i="2"/>
  <c r="BC449" i="2"/>
  <c r="BF449" i="2"/>
  <c r="AZ449" i="2"/>
  <c r="AT449" i="2"/>
  <c r="AN449" i="2"/>
  <c r="AH449" i="2"/>
  <c r="AE449" i="2"/>
  <c r="V449" i="2"/>
  <c r="P449" i="2"/>
  <c r="M449" i="2"/>
  <c r="AB449" i="2"/>
  <c r="J449" i="2"/>
  <c r="BF451" i="2"/>
  <c r="BC451" i="2"/>
  <c r="AZ451" i="2"/>
  <c r="AT451" i="2"/>
  <c r="AN451" i="2"/>
  <c r="AE451" i="2"/>
  <c r="AB451" i="2"/>
  <c r="V451" i="2"/>
  <c r="AH451" i="2"/>
  <c r="M451" i="2"/>
  <c r="P451" i="2"/>
  <c r="J451" i="2"/>
  <c r="BV451" i="2"/>
  <c r="DH456" i="2"/>
  <c r="BF462" i="2"/>
  <c r="BC462" i="2"/>
  <c r="AT462" i="2"/>
  <c r="AZ462" i="2"/>
  <c r="AH462" i="2"/>
  <c r="AE462" i="2"/>
  <c r="AN462" i="2"/>
  <c r="P462" i="2"/>
  <c r="M462" i="2"/>
  <c r="J462" i="2"/>
  <c r="AB462" i="2"/>
  <c r="V462" i="2"/>
  <c r="BF479" i="2"/>
  <c r="AZ479" i="2"/>
  <c r="BC479" i="2"/>
  <c r="AT479" i="2"/>
  <c r="AH479" i="2"/>
  <c r="AE479" i="2"/>
  <c r="P479" i="2"/>
  <c r="AB479" i="2"/>
  <c r="M479" i="2"/>
  <c r="J479" i="2"/>
  <c r="AN479" i="2"/>
  <c r="V479" i="2"/>
  <c r="BC481" i="2"/>
  <c r="AZ481" i="2"/>
  <c r="BF481" i="2"/>
  <c r="AT481" i="2"/>
  <c r="AN481" i="2"/>
  <c r="AH481" i="2"/>
  <c r="AE481" i="2"/>
  <c r="V481" i="2"/>
  <c r="P481" i="2"/>
  <c r="M481" i="2"/>
  <c r="AB481" i="2"/>
  <c r="J481" i="2"/>
  <c r="BF483" i="2"/>
  <c r="BC483" i="2"/>
  <c r="AZ483" i="2"/>
  <c r="AT483" i="2"/>
  <c r="AN483" i="2"/>
  <c r="AE483" i="2"/>
  <c r="AB483" i="2"/>
  <c r="V483" i="2"/>
  <c r="AH483" i="2"/>
  <c r="M483" i="2"/>
  <c r="P483" i="2"/>
  <c r="J483" i="2"/>
  <c r="BF485" i="2"/>
  <c r="AZ485" i="2"/>
  <c r="AT485" i="2"/>
  <c r="AE485" i="2"/>
  <c r="BC485" i="2"/>
  <c r="M485" i="2"/>
  <c r="J485" i="2"/>
  <c r="V485" i="2"/>
  <c r="AB485" i="2"/>
  <c r="AN485" i="2"/>
  <c r="AH485" i="2"/>
  <c r="P485" i="2"/>
  <c r="BV485" i="2"/>
  <c r="R497" i="2"/>
  <c r="S497" i="2" s="1"/>
  <c r="BY497" i="2"/>
  <c r="R143" i="2"/>
  <c r="X143" i="2" s="1"/>
  <c r="AZ143" i="2"/>
  <c r="BF143" i="2"/>
  <c r="BC143" i="2"/>
  <c r="AT143" i="2"/>
  <c r="AH143" i="2"/>
  <c r="AE143" i="2"/>
  <c r="AB143" i="2"/>
  <c r="AN143" i="2"/>
  <c r="S143" i="2"/>
  <c r="P143" i="2"/>
  <c r="M143" i="2"/>
  <c r="J143" i="2"/>
  <c r="V143" i="2"/>
  <c r="R145" i="2"/>
  <c r="X145" i="2" s="1"/>
  <c r="BF145" i="2"/>
  <c r="AZ145" i="2"/>
  <c r="BC145" i="2"/>
  <c r="AT145" i="2"/>
  <c r="AN145" i="2"/>
  <c r="AH145" i="2"/>
  <c r="AE145" i="2"/>
  <c r="AB145" i="2"/>
  <c r="V145" i="2"/>
  <c r="S145" i="2"/>
  <c r="P145" i="2"/>
  <c r="M145" i="2"/>
  <c r="J145" i="2"/>
  <c r="BF147" i="2"/>
  <c r="BC147" i="2"/>
  <c r="AZ147" i="2"/>
  <c r="AT147" i="2"/>
  <c r="AN147" i="2"/>
  <c r="AE147" i="2"/>
  <c r="AH147" i="2"/>
  <c r="AB147" i="2"/>
  <c r="V147" i="2"/>
  <c r="M147" i="2"/>
  <c r="J147" i="2"/>
  <c r="P147" i="2"/>
  <c r="BF164" i="2"/>
  <c r="BC164" i="2"/>
  <c r="AZ164" i="2"/>
  <c r="AT164" i="2"/>
  <c r="AB164" i="2"/>
  <c r="AN164" i="2"/>
  <c r="AH164" i="2"/>
  <c r="J164" i="2"/>
  <c r="AE164" i="2"/>
  <c r="V164" i="2"/>
  <c r="P164" i="2"/>
  <c r="M164" i="2"/>
  <c r="R166" i="2"/>
  <c r="X166" i="2" s="1"/>
  <c r="Y166" i="2" s="1"/>
  <c r="BC166" i="2"/>
  <c r="AZ166" i="2"/>
  <c r="AT166" i="2"/>
  <c r="AH166" i="2"/>
  <c r="AE166" i="2"/>
  <c r="AB166" i="2"/>
  <c r="BF166" i="2"/>
  <c r="AN166" i="2"/>
  <c r="P166" i="2"/>
  <c r="M166" i="2"/>
  <c r="J166" i="2"/>
  <c r="V166" i="2"/>
  <c r="R179" i="2"/>
  <c r="X179" i="2" s="1"/>
  <c r="AJ179" i="2" s="1"/>
  <c r="AK179" i="2" s="1"/>
  <c r="BF179" i="2"/>
  <c r="BC179" i="2"/>
  <c r="AZ179" i="2"/>
  <c r="AT179" i="2"/>
  <c r="AN179" i="2"/>
  <c r="AE179" i="2"/>
  <c r="AH179" i="2"/>
  <c r="AB179" i="2"/>
  <c r="V179" i="2"/>
  <c r="S179" i="2"/>
  <c r="M179" i="2"/>
  <c r="P179" i="2"/>
  <c r="J179" i="2"/>
  <c r="R181" i="2"/>
  <c r="X181" i="2" s="1"/>
  <c r="AJ181" i="2" s="1"/>
  <c r="AK181" i="2" s="1"/>
  <c r="BF181" i="2"/>
  <c r="BC181" i="2"/>
  <c r="AZ181" i="2"/>
  <c r="AT181" i="2"/>
  <c r="AE181" i="2"/>
  <c r="AB181" i="2"/>
  <c r="M181" i="2"/>
  <c r="AN181" i="2"/>
  <c r="J181" i="2"/>
  <c r="V181" i="2"/>
  <c r="AH181" i="2"/>
  <c r="S181" i="2"/>
  <c r="P181" i="2"/>
  <c r="R183" i="2"/>
  <c r="AZ183" i="2"/>
  <c r="BC183" i="2"/>
  <c r="BF183" i="2"/>
  <c r="AT183" i="2"/>
  <c r="AH183" i="2"/>
  <c r="AE183" i="2"/>
  <c r="AB183" i="2"/>
  <c r="P183" i="2"/>
  <c r="AN183" i="2"/>
  <c r="M183" i="2"/>
  <c r="J183" i="2"/>
  <c r="V183" i="2"/>
  <c r="BF188" i="2"/>
  <c r="BC188" i="2"/>
  <c r="AT188" i="2"/>
  <c r="AB188" i="2"/>
  <c r="AZ188" i="2"/>
  <c r="AN188" i="2"/>
  <c r="AH188" i="2"/>
  <c r="AE188" i="2"/>
  <c r="J188" i="2"/>
  <c r="V188" i="2"/>
  <c r="P188" i="2"/>
  <c r="M188" i="2"/>
  <c r="R190" i="2"/>
  <c r="X190" i="2" s="1"/>
  <c r="AJ190" i="2" s="1"/>
  <c r="AP190" i="2" s="1"/>
  <c r="BF190" i="2"/>
  <c r="BC190" i="2"/>
  <c r="AZ190" i="2"/>
  <c r="AT190" i="2"/>
  <c r="AH190" i="2"/>
  <c r="AE190" i="2"/>
  <c r="AB190" i="2"/>
  <c r="AN190" i="2"/>
  <c r="P190" i="2"/>
  <c r="M190" i="2"/>
  <c r="J190" i="2"/>
  <c r="V190" i="2"/>
  <c r="S190" i="2"/>
  <c r="R192" i="2"/>
  <c r="X192" i="2" s="1"/>
  <c r="Y192" i="2" s="1"/>
  <c r="BF192" i="2"/>
  <c r="AZ192" i="2"/>
  <c r="BC192" i="2"/>
  <c r="AN192" i="2"/>
  <c r="AH192" i="2"/>
  <c r="AT192" i="2"/>
  <c r="AE192" i="2"/>
  <c r="AB192" i="2"/>
  <c r="V192" i="2"/>
  <c r="P192" i="2"/>
  <c r="M192" i="2"/>
  <c r="J192" i="2"/>
  <c r="BC194" i="2"/>
  <c r="BF194" i="2"/>
  <c r="AZ194" i="2"/>
  <c r="AN194" i="2"/>
  <c r="AT194" i="2"/>
  <c r="AH194" i="2"/>
  <c r="AB194" i="2"/>
  <c r="AE194" i="2"/>
  <c r="V194" i="2"/>
  <c r="P194" i="2"/>
  <c r="J194" i="2"/>
  <c r="M194" i="2"/>
  <c r="BF196" i="2"/>
  <c r="BC196" i="2"/>
  <c r="AZ196" i="2"/>
  <c r="AT196" i="2"/>
  <c r="AB196" i="2"/>
  <c r="AN196" i="2"/>
  <c r="AH196" i="2"/>
  <c r="J196" i="2"/>
  <c r="AE196" i="2"/>
  <c r="V196" i="2"/>
  <c r="P196" i="2"/>
  <c r="M196" i="2"/>
  <c r="BF205" i="2"/>
  <c r="BC205" i="2"/>
  <c r="AZ205" i="2"/>
  <c r="AT205" i="2"/>
  <c r="AE205" i="2"/>
  <c r="AB205" i="2"/>
  <c r="AH205" i="2"/>
  <c r="M205" i="2"/>
  <c r="J205" i="2"/>
  <c r="V205" i="2"/>
  <c r="AN205" i="2"/>
  <c r="P205" i="2"/>
  <c r="R210" i="2"/>
  <c r="S210" i="2" s="1"/>
  <c r="BC210" i="2"/>
  <c r="BF210" i="2"/>
  <c r="AZ210" i="2"/>
  <c r="AT210" i="2"/>
  <c r="AN210" i="2"/>
  <c r="AH210" i="2"/>
  <c r="AB210" i="2"/>
  <c r="V210" i="2"/>
  <c r="AE210" i="2"/>
  <c r="P210" i="2"/>
  <c r="J210" i="2"/>
  <c r="M210" i="2"/>
  <c r="BF212" i="2"/>
  <c r="BC212" i="2"/>
  <c r="AT212" i="2"/>
  <c r="AB212" i="2"/>
  <c r="AN212" i="2"/>
  <c r="AH212" i="2"/>
  <c r="J212" i="2"/>
  <c r="AZ212" i="2"/>
  <c r="Y212" i="2"/>
  <c r="V212" i="2"/>
  <c r="AE212" i="2"/>
  <c r="P212" i="2"/>
  <c r="M212" i="2"/>
  <c r="BF238" i="2"/>
  <c r="BC238" i="2"/>
  <c r="AT238" i="2"/>
  <c r="AZ238" i="2"/>
  <c r="AH238" i="2"/>
  <c r="AE238" i="2"/>
  <c r="AB238" i="2"/>
  <c r="AN238" i="2"/>
  <c r="P238" i="2"/>
  <c r="M238" i="2"/>
  <c r="J238" i="2"/>
  <c r="V238" i="2"/>
  <c r="AZ240" i="2"/>
  <c r="BF240" i="2"/>
  <c r="BC240" i="2"/>
  <c r="AN240" i="2"/>
  <c r="AH240" i="2"/>
  <c r="AE240" i="2"/>
  <c r="AB240" i="2"/>
  <c r="AT240" i="2"/>
  <c r="V240" i="2"/>
  <c r="P240" i="2"/>
  <c r="M240" i="2"/>
  <c r="J240" i="2"/>
  <c r="BF245" i="2"/>
  <c r="BC245" i="2"/>
  <c r="AZ245" i="2"/>
  <c r="AT245" i="2"/>
  <c r="AE245" i="2"/>
  <c r="M245" i="2"/>
  <c r="V245" i="2"/>
  <c r="AN245" i="2"/>
  <c r="J245" i="2"/>
  <c r="AH245" i="2"/>
  <c r="AB245" i="2"/>
  <c r="P245" i="2"/>
  <c r="BF252" i="2"/>
  <c r="BC252" i="2"/>
  <c r="AT252" i="2"/>
  <c r="AZ252" i="2"/>
  <c r="AN252" i="2"/>
  <c r="AH252" i="2"/>
  <c r="AE252" i="2"/>
  <c r="J252" i="2"/>
  <c r="AB252" i="2"/>
  <c r="V252" i="2"/>
  <c r="P252" i="2"/>
  <c r="M252" i="2"/>
  <c r="BF257" i="2"/>
  <c r="AZ257" i="2"/>
  <c r="BC257" i="2"/>
  <c r="AT257" i="2"/>
  <c r="AN257" i="2"/>
  <c r="AH257" i="2"/>
  <c r="AE257" i="2"/>
  <c r="V257" i="2"/>
  <c r="P257" i="2"/>
  <c r="M257" i="2"/>
  <c r="AB257" i="2"/>
  <c r="J257" i="2"/>
  <c r="BF259" i="2"/>
  <c r="BC259" i="2"/>
  <c r="AZ259" i="2"/>
  <c r="AT259" i="2"/>
  <c r="AN259" i="2"/>
  <c r="AE259" i="2"/>
  <c r="AB259" i="2"/>
  <c r="V259" i="2"/>
  <c r="AH259" i="2"/>
  <c r="M259" i="2"/>
  <c r="P259" i="2"/>
  <c r="J259" i="2"/>
  <c r="BC266" i="2"/>
  <c r="AZ266" i="2"/>
  <c r="BF266" i="2"/>
  <c r="AN266" i="2"/>
  <c r="AH266" i="2"/>
  <c r="AT266" i="2"/>
  <c r="AB266" i="2"/>
  <c r="V266" i="2"/>
  <c r="AE266" i="2"/>
  <c r="P266" i="2"/>
  <c r="J266" i="2"/>
  <c r="M266" i="2"/>
  <c r="BF279" i="2"/>
  <c r="AZ279" i="2"/>
  <c r="BC279" i="2"/>
  <c r="AT279" i="2"/>
  <c r="AH279" i="2"/>
  <c r="AE279" i="2"/>
  <c r="P279" i="2"/>
  <c r="AN279" i="2"/>
  <c r="M279" i="2"/>
  <c r="J279" i="2"/>
  <c r="AB279" i="2"/>
  <c r="V279" i="2"/>
  <c r="BC290" i="2"/>
  <c r="AZ290" i="2"/>
  <c r="BF290" i="2"/>
  <c r="AN290" i="2"/>
  <c r="AT290" i="2"/>
  <c r="AH290" i="2"/>
  <c r="AB290" i="2"/>
  <c r="AE290" i="2"/>
  <c r="V290" i="2"/>
  <c r="P290" i="2"/>
  <c r="J290" i="2"/>
  <c r="M290" i="2"/>
  <c r="AZ304" i="2"/>
  <c r="BF304" i="2"/>
  <c r="BC304" i="2"/>
  <c r="AN304" i="2"/>
  <c r="AH304" i="2"/>
  <c r="AE304" i="2"/>
  <c r="V304" i="2"/>
  <c r="P304" i="2"/>
  <c r="M304" i="2"/>
  <c r="AT304" i="2"/>
  <c r="J304" i="2"/>
  <c r="AB304" i="2"/>
  <c r="BC306" i="2"/>
  <c r="AZ306" i="2"/>
  <c r="BF306" i="2"/>
  <c r="AT306" i="2"/>
  <c r="AN306" i="2"/>
  <c r="AH306" i="2"/>
  <c r="AB306" i="2"/>
  <c r="V306" i="2"/>
  <c r="AE306" i="2"/>
  <c r="P306" i="2"/>
  <c r="J306" i="2"/>
  <c r="M306" i="2"/>
  <c r="BF311" i="2"/>
  <c r="BC311" i="2"/>
  <c r="AZ311" i="2"/>
  <c r="AT311" i="2"/>
  <c r="AH311" i="2"/>
  <c r="AE311" i="2"/>
  <c r="P311" i="2"/>
  <c r="AN311" i="2"/>
  <c r="M311" i="2"/>
  <c r="J311" i="2"/>
  <c r="AB311" i="2"/>
  <c r="V311" i="2"/>
  <c r="BF321" i="2"/>
  <c r="AZ321" i="2"/>
  <c r="BC321" i="2"/>
  <c r="AT321" i="2"/>
  <c r="AN321" i="2"/>
  <c r="AH321" i="2"/>
  <c r="AE321" i="2"/>
  <c r="V321" i="2"/>
  <c r="P321" i="2"/>
  <c r="M321" i="2"/>
  <c r="AB321" i="2"/>
  <c r="J321" i="2"/>
  <c r="AZ328" i="2"/>
  <c r="BC328" i="2"/>
  <c r="BF328" i="2"/>
  <c r="AN328" i="2"/>
  <c r="AH328" i="2"/>
  <c r="AE328" i="2"/>
  <c r="V328" i="2"/>
  <c r="P328" i="2"/>
  <c r="M328" i="2"/>
  <c r="AT328" i="2"/>
  <c r="J328" i="2"/>
  <c r="AB328" i="2"/>
  <c r="BF333" i="2"/>
  <c r="BC333" i="2"/>
  <c r="AZ333" i="2"/>
  <c r="AT333" i="2"/>
  <c r="AE333" i="2"/>
  <c r="AH333" i="2"/>
  <c r="M333" i="2"/>
  <c r="V333" i="2"/>
  <c r="J333" i="2"/>
  <c r="AB333" i="2"/>
  <c r="AN333" i="2"/>
  <c r="P333" i="2"/>
  <c r="BC354" i="2"/>
  <c r="AZ354" i="2"/>
  <c r="BF354" i="2"/>
  <c r="AN354" i="2"/>
  <c r="AT354" i="2"/>
  <c r="AH354" i="2"/>
  <c r="AB354" i="2"/>
  <c r="AE354" i="2"/>
  <c r="V354" i="2"/>
  <c r="P354" i="2"/>
  <c r="J354" i="2"/>
  <c r="M354" i="2"/>
  <c r="BF356" i="2"/>
  <c r="BC356" i="2"/>
  <c r="AZ356" i="2"/>
  <c r="AT356" i="2"/>
  <c r="AN356" i="2"/>
  <c r="AH356" i="2"/>
  <c r="J356" i="2"/>
  <c r="AE356" i="2"/>
  <c r="AB356" i="2"/>
  <c r="V356" i="2"/>
  <c r="P356" i="2"/>
  <c r="M356" i="2"/>
  <c r="BW356" i="2"/>
  <c r="BF363" i="2"/>
  <c r="BC363" i="2"/>
  <c r="AZ363" i="2"/>
  <c r="AT363" i="2"/>
  <c r="AN363" i="2"/>
  <c r="AE363" i="2"/>
  <c r="AB363" i="2"/>
  <c r="V363" i="2"/>
  <c r="M363" i="2"/>
  <c r="AH363" i="2"/>
  <c r="P363" i="2"/>
  <c r="J363" i="2"/>
  <c r="BF365" i="2"/>
  <c r="BC365" i="2"/>
  <c r="AZ365" i="2"/>
  <c r="AT365" i="2"/>
  <c r="AE365" i="2"/>
  <c r="AH365" i="2"/>
  <c r="M365" i="2"/>
  <c r="J365" i="2"/>
  <c r="AB365" i="2"/>
  <c r="V365" i="2"/>
  <c r="AN365" i="2"/>
  <c r="P365" i="2"/>
  <c r="BF375" i="2"/>
  <c r="BC375" i="2"/>
  <c r="AZ375" i="2"/>
  <c r="AT375" i="2"/>
  <c r="AH375" i="2"/>
  <c r="AE375" i="2"/>
  <c r="P375" i="2"/>
  <c r="AB375" i="2"/>
  <c r="AN375" i="2"/>
  <c r="M375" i="2"/>
  <c r="J375" i="2"/>
  <c r="V375" i="2"/>
  <c r="BC377" i="2"/>
  <c r="AZ377" i="2"/>
  <c r="BF377" i="2"/>
  <c r="AT377" i="2"/>
  <c r="AN377" i="2"/>
  <c r="AH377" i="2"/>
  <c r="AE377" i="2"/>
  <c r="V377" i="2"/>
  <c r="P377" i="2"/>
  <c r="M377" i="2"/>
  <c r="AB377" i="2"/>
  <c r="J377" i="2"/>
  <c r="BF379" i="2"/>
  <c r="BC379" i="2"/>
  <c r="AZ379" i="2"/>
  <c r="AT379" i="2"/>
  <c r="AN379" i="2"/>
  <c r="AE379" i="2"/>
  <c r="AB379" i="2"/>
  <c r="AH379" i="2"/>
  <c r="V379" i="2"/>
  <c r="M379" i="2"/>
  <c r="P379" i="2"/>
  <c r="J379" i="2"/>
  <c r="BV379" i="2"/>
  <c r="BF404" i="2"/>
  <c r="BC404" i="2"/>
  <c r="AT404" i="2"/>
  <c r="AZ404" i="2"/>
  <c r="AN404" i="2"/>
  <c r="AH404" i="2"/>
  <c r="J404" i="2"/>
  <c r="AB404" i="2"/>
  <c r="V404" i="2"/>
  <c r="AE404" i="2"/>
  <c r="P404" i="2"/>
  <c r="M404" i="2"/>
  <c r="BF453" i="2"/>
  <c r="AZ453" i="2"/>
  <c r="AT453" i="2"/>
  <c r="AE453" i="2"/>
  <c r="M453" i="2"/>
  <c r="J453" i="2"/>
  <c r="V453" i="2"/>
  <c r="AB453" i="2"/>
  <c r="AN453" i="2"/>
  <c r="AH453" i="2"/>
  <c r="BC453" i="2"/>
  <c r="P453" i="2"/>
  <c r="BF455" i="2"/>
  <c r="AZ455" i="2"/>
  <c r="AT455" i="2"/>
  <c r="BC455" i="2"/>
  <c r="AH455" i="2"/>
  <c r="AE455" i="2"/>
  <c r="P455" i="2"/>
  <c r="M455" i="2"/>
  <c r="J455" i="2"/>
  <c r="AB455" i="2"/>
  <c r="AN455" i="2"/>
  <c r="V455" i="2"/>
  <c r="BC457" i="2"/>
  <c r="AZ457" i="2"/>
  <c r="BF457" i="2"/>
  <c r="AT457" i="2"/>
  <c r="AN457" i="2"/>
  <c r="AH457" i="2"/>
  <c r="AE457" i="2"/>
  <c r="V457" i="2"/>
  <c r="P457" i="2"/>
  <c r="M457" i="2"/>
  <c r="AB457" i="2"/>
  <c r="J457" i="2"/>
  <c r="BF459" i="2"/>
  <c r="BC459" i="2"/>
  <c r="AZ459" i="2"/>
  <c r="AT459" i="2"/>
  <c r="AN459" i="2"/>
  <c r="AE459" i="2"/>
  <c r="AB459" i="2"/>
  <c r="V459" i="2"/>
  <c r="M459" i="2"/>
  <c r="AH459" i="2"/>
  <c r="P459" i="2"/>
  <c r="J459" i="2"/>
  <c r="BC464" i="2"/>
  <c r="AZ464" i="2"/>
  <c r="BF464" i="2"/>
  <c r="AN464" i="2"/>
  <c r="AH464" i="2"/>
  <c r="AE464" i="2"/>
  <c r="V464" i="2"/>
  <c r="P464" i="2"/>
  <c r="M464" i="2"/>
  <c r="J464" i="2"/>
  <c r="AT464" i="2"/>
  <c r="AB464" i="2"/>
  <c r="BF490" i="2"/>
  <c r="BC490" i="2"/>
  <c r="AZ490" i="2"/>
  <c r="AN490" i="2"/>
  <c r="AH490" i="2"/>
  <c r="AT490" i="2"/>
  <c r="AB490" i="2"/>
  <c r="V490" i="2"/>
  <c r="AE490" i="2"/>
  <c r="P490" i="2"/>
  <c r="J490" i="2"/>
  <c r="M490" i="2"/>
  <c r="BF492" i="2"/>
  <c r="BC492" i="2"/>
  <c r="AT492" i="2"/>
  <c r="AZ492" i="2"/>
  <c r="AN492" i="2"/>
  <c r="AH492" i="2"/>
  <c r="J492" i="2"/>
  <c r="AB492" i="2"/>
  <c r="AE492" i="2"/>
  <c r="V492" i="2"/>
  <c r="P492" i="2"/>
  <c r="M492" i="2"/>
  <c r="R499" i="2"/>
  <c r="X499" i="2" s="1"/>
  <c r="BF499" i="2"/>
  <c r="BC499" i="2"/>
  <c r="AZ499" i="2"/>
  <c r="AT499" i="2"/>
  <c r="AN499" i="2"/>
  <c r="AE499" i="2"/>
  <c r="AH499" i="2"/>
  <c r="AB499" i="2"/>
  <c r="V499" i="2"/>
  <c r="M499" i="2"/>
  <c r="J499" i="2"/>
  <c r="P499" i="2"/>
  <c r="BV499" i="2"/>
  <c r="R26" i="2"/>
  <c r="S26" i="2" s="1"/>
  <c r="BF26" i="2"/>
  <c r="BC26" i="2"/>
  <c r="AZ26" i="2"/>
  <c r="AT26" i="2"/>
  <c r="AN26" i="2"/>
  <c r="AH26" i="2"/>
  <c r="AB26" i="2"/>
  <c r="V26" i="2"/>
  <c r="P26" i="2"/>
  <c r="J26" i="2"/>
  <c r="AE26" i="2"/>
  <c r="M26" i="2"/>
  <c r="BF28" i="2"/>
  <c r="BC28" i="2"/>
  <c r="AT28" i="2"/>
  <c r="AB28" i="2"/>
  <c r="AZ28" i="2"/>
  <c r="AN28" i="2"/>
  <c r="AH28" i="2"/>
  <c r="AE28" i="2"/>
  <c r="J28" i="2"/>
  <c r="V28" i="2"/>
  <c r="P28" i="2"/>
  <c r="M28" i="2"/>
  <c r="BF30" i="2"/>
  <c r="BC30" i="2"/>
  <c r="AZ30" i="2"/>
  <c r="AT30" i="2"/>
  <c r="AH30" i="2"/>
  <c r="AE30" i="2"/>
  <c r="AB30" i="2"/>
  <c r="AN30" i="2"/>
  <c r="P30" i="2"/>
  <c r="M30" i="2"/>
  <c r="J30" i="2"/>
  <c r="V30" i="2"/>
  <c r="BF32" i="2"/>
  <c r="BC32" i="2"/>
  <c r="AZ32" i="2"/>
  <c r="AN32" i="2"/>
  <c r="AH32" i="2"/>
  <c r="AT32" i="2"/>
  <c r="AE32" i="2"/>
  <c r="AB32" i="2"/>
  <c r="V32" i="2"/>
  <c r="P32" i="2"/>
  <c r="M32" i="2"/>
  <c r="J32" i="2"/>
  <c r="BF34" i="2"/>
  <c r="BC34" i="2"/>
  <c r="AZ34" i="2"/>
  <c r="AN34" i="2"/>
  <c r="AT34" i="2"/>
  <c r="AH34" i="2"/>
  <c r="AB34" i="2"/>
  <c r="AE34" i="2"/>
  <c r="V34" i="2"/>
  <c r="P34" i="2"/>
  <c r="J34" i="2"/>
  <c r="M34" i="2"/>
  <c r="BF36" i="2"/>
  <c r="BC36" i="2"/>
  <c r="AZ36" i="2"/>
  <c r="AT36" i="2"/>
  <c r="AB36" i="2"/>
  <c r="AN36" i="2"/>
  <c r="AH36" i="2"/>
  <c r="J36" i="2"/>
  <c r="AE36" i="2"/>
  <c r="V36" i="2"/>
  <c r="P36" i="2"/>
  <c r="M36" i="2"/>
  <c r="CT40" i="2"/>
  <c r="CT48" i="2"/>
  <c r="CT50" i="2"/>
  <c r="DH115" i="2"/>
  <c r="DH117" i="2"/>
  <c r="DH119" i="2"/>
  <c r="R147" i="2"/>
  <c r="S147" i="2" s="1"/>
  <c r="BY147" i="2"/>
  <c r="BF149" i="2"/>
  <c r="BC149" i="2"/>
  <c r="AZ149" i="2"/>
  <c r="AT149" i="2"/>
  <c r="AE149" i="2"/>
  <c r="AB149" i="2"/>
  <c r="M149" i="2"/>
  <c r="AN149" i="2"/>
  <c r="J149" i="2"/>
  <c r="AH149" i="2"/>
  <c r="V149" i="2"/>
  <c r="P149" i="2"/>
  <c r="R151" i="2"/>
  <c r="X151" i="2" s="1"/>
  <c r="AJ151" i="2" s="1"/>
  <c r="AK151" i="2" s="1"/>
  <c r="BF151" i="2"/>
  <c r="AZ151" i="2"/>
  <c r="BC151" i="2"/>
  <c r="AT151" i="2"/>
  <c r="AH151" i="2"/>
  <c r="AE151" i="2"/>
  <c r="AB151" i="2"/>
  <c r="P151" i="2"/>
  <c r="AN151" i="2"/>
  <c r="M151" i="2"/>
  <c r="J151" i="2"/>
  <c r="V151" i="2"/>
  <c r="BY166" i="2"/>
  <c r="BF168" i="2"/>
  <c r="AZ168" i="2"/>
  <c r="BC168" i="2"/>
  <c r="AN168" i="2"/>
  <c r="AH168" i="2"/>
  <c r="AE168" i="2"/>
  <c r="AB168" i="2"/>
  <c r="V168" i="2"/>
  <c r="P168" i="2"/>
  <c r="AT168" i="2"/>
  <c r="M168" i="2"/>
  <c r="J168" i="2"/>
  <c r="BF170" i="2"/>
  <c r="BC170" i="2"/>
  <c r="AZ170" i="2"/>
  <c r="AN170" i="2"/>
  <c r="AH170" i="2"/>
  <c r="AT170" i="2"/>
  <c r="AB170" i="2"/>
  <c r="V170" i="2"/>
  <c r="AE170" i="2"/>
  <c r="P170" i="2"/>
  <c r="J170" i="2"/>
  <c r="M170" i="2"/>
  <c r="R172" i="2"/>
  <c r="X172" i="2" s="1"/>
  <c r="Y172" i="2" s="1"/>
  <c r="BF172" i="2"/>
  <c r="BC172" i="2"/>
  <c r="AT172" i="2"/>
  <c r="AZ172" i="2"/>
  <c r="AB172" i="2"/>
  <c r="AN172" i="2"/>
  <c r="AH172" i="2"/>
  <c r="J172" i="2"/>
  <c r="S172" i="2"/>
  <c r="AE172" i="2"/>
  <c r="V172" i="2"/>
  <c r="P172" i="2"/>
  <c r="M172" i="2"/>
  <c r="R174" i="2"/>
  <c r="X174" i="2" s="1"/>
  <c r="AJ174" i="2" s="1"/>
  <c r="AP174" i="2" s="1"/>
  <c r="BF174" i="2"/>
  <c r="BC174" i="2"/>
  <c r="AT174" i="2"/>
  <c r="AZ174" i="2"/>
  <c r="AH174" i="2"/>
  <c r="AE174" i="2"/>
  <c r="AB174" i="2"/>
  <c r="AN174" i="2"/>
  <c r="P174" i="2"/>
  <c r="M174" i="2"/>
  <c r="J174" i="2"/>
  <c r="AK174" i="2"/>
  <c r="V174" i="2"/>
  <c r="BY183" i="2"/>
  <c r="R185" i="2"/>
  <c r="S185" i="2" s="1"/>
  <c r="BF185" i="2"/>
  <c r="AZ185" i="2"/>
  <c r="BC185" i="2"/>
  <c r="AT185" i="2"/>
  <c r="AN185" i="2"/>
  <c r="AH185" i="2"/>
  <c r="AE185" i="2"/>
  <c r="V185" i="2"/>
  <c r="AB185" i="2"/>
  <c r="P185" i="2"/>
  <c r="M185" i="2"/>
  <c r="J185" i="2"/>
  <c r="BF207" i="2"/>
  <c r="AZ207" i="2"/>
  <c r="BC207" i="2"/>
  <c r="AT207" i="2"/>
  <c r="AH207" i="2"/>
  <c r="AE207" i="2"/>
  <c r="AB207" i="2"/>
  <c r="AN207" i="2"/>
  <c r="P207" i="2"/>
  <c r="M207" i="2"/>
  <c r="J207" i="2"/>
  <c r="V207" i="2"/>
  <c r="CJ209" i="2"/>
  <c r="R212" i="2"/>
  <c r="X212" i="2" s="1"/>
  <c r="BY212" i="2"/>
  <c r="DH216" i="2"/>
  <c r="AZ224" i="2"/>
  <c r="BC224" i="2"/>
  <c r="BF224" i="2"/>
  <c r="AN224" i="2"/>
  <c r="AH224" i="2"/>
  <c r="AT224" i="2"/>
  <c r="AE224" i="2"/>
  <c r="AB224" i="2"/>
  <c r="V224" i="2"/>
  <c r="P224" i="2"/>
  <c r="M224" i="2"/>
  <c r="J224" i="2"/>
  <c r="BC226" i="2"/>
  <c r="AZ226" i="2"/>
  <c r="BF226" i="2"/>
  <c r="AN226" i="2"/>
  <c r="AT226" i="2"/>
  <c r="AH226" i="2"/>
  <c r="AB226" i="2"/>
  <c r="AE226" i="2"/>
  <c r="V226" i="2"/>
  <c r="P226" i="2"/>
  <c r="J226" i="2"/>
  <c r="M226" i="2"/>
  <c r="BF231" i="2"/>
  <c r="AZ231" i="2"/>
  <c r="BC231" i="2"/>
  <c r="AT231" i="2"/>
  <c r="AH231" i="2"/>
  <c r="AE231" i="2"/>
  <c r="AB231" i="2"/>
  <c r="P231" i="2"/>
  <c r="M231" i="2"/>
  <c r="J231" i="2"/>
  <c r="AN231" i="2"/>
  <c r="V231" i="2"/>
  <c r="CJ239" i="2"/>
  <c r="DH241" i="2"/>
  <c r="BC242" i="2"/>
  <c r="AZ242" i="2"/>
  <c r="AT242" i="2"/>
  <c r="AN242" i="2"/>
  <c r="AH242" i="2"/>
  <c r="AB242" i="2"/>
  <c r="BF242" i="2"/>
  <c r="V242" i="2"/>
  <c r="AE242" i="2"/>
  <c r="P242" i="2"/>
  <c r="J242" i="2"/>
  <c r="M242" i="2"/>
  <c r="BW242" i="2"/>
  <c r="CJ244" i="2"/>
  <c r="BF247" i="2"/>
  <c r="AZ247" i="2"/>
  <c r="BC247" i="2"/>
  <c r="AT247" i="2"/>
  <c r="AH247" i="2"/>
  <c r="AE247" i="2"/>
  <c r="P247" i="2"/>
  <c r="AN247" i="2"/>
  <c r="M247" i="2"/>
  <c r="J247" i="2"/>
  <c r="AB247" i="2"/>
  <c r="V247" i="2"/>
  <c r="CJ251" i="2"/>
  <c r="CJ258" i="2"/>
  <c r="BF261" i="2"/>
  <c r="BC261" i="2"/>
  <c r="AZ261" i="2"/>
  <c r="AT261" i="2"/>
  <c r="AE261" i="2"/>
  <c r="M261" i="2"/>
  <c r="J261" i="2"/>
  <c r="AB261" i="2"/>
  <c r="AN261" i="2"/>
  <c r="V261" i="2"/>
  <c r="AH261" i="2"/>
  <c r="P261" i="2"/>
  <c r="DH262" i="2"/>
  <c r="BF263" i="2"/>
  <c r="AZ263" i="2"/>
  <c r="BC263" i="2"/>
  <c r="AT263" i="2"/>
  <c r="AH263" i="2"/>
  <c r="AE263" i="2"/>
  <c r="P263" i="2"/>
  <c r="M263" i="2"/>
  <c r="J263" i="2"/>
  <c r="AB263" i="2"/>
  <c r="AN263" i="2"/>
  <c r="V263" i="2"/>
  <c r="BY266" i="2"/>
  <c r="BF268" i="2"/>
  <c r="AT268" i="2"/>
  <c r="BC268" i="2"/>
  <c r="AZ268" i="2"/>
  <c r="AN268" i="2"/>
  <c r="AH268" i="2"/>
  <c r="J268" i="2"/>
  <c r="AB268" i="2"/>
  <c r="AE268" i="2"/>
  <c r="V268" i="2"/>
  <c r="P268" i="2"/>
  <c r="M268" i="2"/>
  <c r="AZ281" i="2"/>
  <c r="BF281" i="2"/>
  <c r="BC281" i="2"/>
  <c r="AT281" i="2"/>
  <c r="AN281" i="2"/>
  <c r="AH281" i="2"/>
  <c r="AE281" i="2"/>
  <c r="V281" i="2"/>
  <c r="P281" i="2"/>
  <c r="M281" i="2"/>
  <c r="AB281" i="2"/>
  <c r="J281" i="2"/>
  <c r="BW281" i="2"/>
  <c r="CJ291" i="2"/>
  <c r="BF292" i="2"/>
  <c r="BC292" i="2"/>
  <c r="AZ292" i="2"/>
  <c r="AT292" i="2"/>
  <c r="AN292" i="2"/>
  <c r="AH292" i="2"/>
  <c r="J292" i="2"/>
  <c r="AE292" i="2"/>
  <c r="AB292" i="2"/>
  <c r="V292" i="2"/>
  <c r="P292" i="2"/>
  <c r="M292" i="2"/>
  <c r="BF294" i="2"/>
  <c r="AZ294" i="2"/>
  <c r="AT294" i="2"/>
  <c r="AH294" i="2"/>
  <c r="AE294" i="2"/>
  <c r="BC294" i="2"/>
  <c r="AN294" i="2"/>
  <c r="P294" i="2"/>
  <c r="M294" i="2"/>
  <c r="J294" i="2"/>
  <c r="AB294" i="2"/>
  <c r="V294" i="2"/>
  <c r="BV294" i="2"/>
  <c r="BC297" i="2"/>
  <c r="BF297" i="2"/>
  <c r="AZ297" i="2"/>
  <c r="AT297" i="2"/>
  <c r="AN297" i="2"/>
  <c r="AH297" i="2"/>
  <c r="AE297" i="2"/>
  <c r="V297" i="2"/>
  <c r="P297" i="2"/>
  <c r="M297" i="2"/>
  <c r="AB297" i="2"/>
  <c r="J297" i="2"/>
  <c r="BF299" i="2"/>
  <c r="BC299" i="2"/>
  <c r="AZ299" i="2"/>
  <c r="AT299" i="2"/>
  <c r="AN299" i="2"/>
  <c r="AE299" i="2"/>
  <c r="AB299" i="2"/>
  <c r="V299" i="2"/>
  <c r="M299" i="2"/>
  <c r="AH299" i="2"/>
  <c r="P299" i="2"/>
  <c r="J299" i="2"/>
  <c r="BY311" i="2"/>
  <c r="BC313" i="2"/>
  <c r="AZ313" i="2"/>
  <c r="BF313" i="2"/>
  <c r="AT313" i="2"/>
  <c r="AN313" i="2"/>
  <c r="AH313" i="2"/>
  <c r="AE313" i="2"/>
  <c r="V313" i="2"/>
  <c r="P313" i="2"/>
  <c r="M313" i="2"/>
  <c r="AB313" i="2"/>
  <c r="J313" i="2"/>
  <c r="BF315" i="2"/>
  <c r="BC315" i="2"/>
  <c r="AZ315" i="2"/>
  <c r="AT315" i="2"/>
  <c r="AN315" i="2"/>
  <c r="AE315" i="2"/>
  <c r="AB315" i="2"/>
  <c r="AH315" i="2"/>
  <c r="V315" i="2"/>
  <c r="M315" i="2"/>
  <c r="P315" i="2"/>
  <c r="J315" i="2"/>
  <c r="BV315" i="2"/>
  <c r="BF318" i="2"/>
  <c r="BC318" i="2"/>
  <c r="AZ318" i="2"/>
  <c r="AT318" i="2"/>
  <c r="AH318" i="2"/>
  <c r="AE318" i="2"/>
  <c r="AN318" i="2"/>
  <c r="P318" i="2"/>
  <c r="M318" i="2"/>
  <c r="J318" i="2"/>
  <c r="AB318" i="2"/>
  <c r="V318" i="2"/>
  <c r="BW318" i="2"/>
  <c r="BF323" i="2"/>
  <c r="BC323" i="2"/>
  <c r="AZ323" i="2"/>
  <c r="AT323" i="2"/>
  <c r="AN323" i="2"/>
  <c r="AE323" i="2"/>
  <c r="AB323" i="2"/>
  <c r="V323" i="2"/>
  <c r="AH323" i="2"/>
  <c r="M323" i="2"/>
  <c r="P323" i="2"/>
  <c r="J323" i="2"/>
  <c r="BF335" i="2"/>
  <c r="AZ335" i="2"/>
  <c r="AT335" i="2"/>
  <c r="BC335" i="2"/>
  <c r="AH335" i="2"/>
  <c r="AE335" i="2"/>
  <c r="AN335" i="2"/>
  <c r="P335" i="2"/>
  <c r="M335" i="2"/>
  <c r="J335" i="2"/>
  <c r="AB335" i="2"/>
  <c r="V335" i="2"/>
  <c r="BW335" i="2"/>
  <c r="CJ345" i="2"/>
  <c r="BC346" i="2"/>
  <c r="AZ346" i="2"/>
  <c r="BF346" i="2"/>
  <c r="AT346" i="2"/>
  <c r="AN346" i="2"/>
  <c r="AH346" i="2"/>
  <c r="AB346" i="2"/>
  <c r="V346" i="2"/>
  <c r="P346" i="2"/>
  <c r="J346" i="2"/>
  <c r="AE346" i="2"/>
  <c r="M346" i="2"/>
  <c r="BF351" i="2"/>
  <c r="AZ351" i="2"/>
  <c r="BC351" i="2"/>
  <c r="AT351" i="2"/>
  <c r="AH351" i="2"/>
  <c r="AE351" i="2"/>
  <c r="P351" i="2"/>
  <c r="M351" i="2"/>
  <c r="J351" i="2"/>
  <c r="AB351" i="2"/>
  <c r="AN351" i="2"/>
  <c r="V351" i="2"/>
  <c r="BF358" i="2"/>
  <c r="BC358" i="2"/>
  <c r="AZ358" i="2"/>
  <c r="AT358" i="2"/>
  <c r="AH358" i="2"/>
  <c r="AE358" i="2"/>
  <c r="AN358" i="2"/>
  <c r="P358" i="2"/>
  <c r="M358" i="2"/>
  <c r="J358" i="2"/>
  <c r="AB358" i="2"/>
  <c r="V358" i="2"/>
  <c r="BF367" i="2"/>
  <c r="AZ367" i="2"/>
  <c r="BC367" i="2"/>
  <c r="AT367" i="2"/>
  <c r="AH367" i="2"/>
  <c r="AE367" i="2"/>
  <c r="AN367" i="2"/>
  <c r="S367" i="2"/>
  <c r="P367" i="2"/>
  <c r="M367" i="2"/>
  <c r="J367" i="2"/>
  <c r="AB367" i="2"/>
  <c r="Y367" i="2"/>
  <c r="V367" i="2"/>
  <c r="CT379" i="2"/>
  <c r="R381" i="2"/>
  <c r="X381" i="2" s="1"/>
  <c r="AJ381" i="2" s="1"/>
  <c r="AP381" i="2" s="1"/>
  <c r="BF381" i="2"/>
  <c r="BC381" i="2"/>
  <c r="AZ381" i="2"/>
  <c r="AT381" i="2"/>
  <c r="AE381" i="2"/>
  <c r="M381" i="2"/>
  <c r="V381" i="2"/>
  <c r="J381" i="2"/>
  <c r="AN381" i="2"/>
  <c r="AB381" i="2"/>
  <c r="AH381" i="2"/>
  <c r="P381" i="2"/>
  <c r="R453" i="2"/>
  <c r="BY459" i="2"/>
  <c r="BY464" i="2"/>
  <c r="BF466" i="2"/>
  <c r="BC466" i="2"/>
  <c r="AZ466" i="2"/>
  <c r="AT466" i="2"/>
  <c r="AN466" i="2"/>
  <c r="AH466" i="2"/>
  <c r="AB466" i="2"/>
  <c r="V466" i="2"/>
  <c r="AE466" i="2"/>
  <c r="P466" i="2"/>
  <c r="J466" i="2"/>
  <c r="M466" i="2"/>
  <c r="BF494" i="2"/>
  <c r="BC494" i="2"/>
  <c r="AT494" i="2"/>
  <c r="AZ494" i="2"/>
  <c r="AH494" i="2"/>
  <c r="AE494" i="2"/>
  <c r="AN494" i="2"/>
  <c r="P494" i="2"/>
  <c r="M494" i="2"/>
  <c r="J494" i="2"/>
  <c r="AB494" i="2"/>
  <c r="V494" i="2"/>
  <c r="BC496" i="2"/>
  <c r="AZ496" i="2"/>
  <c r="BF496" i="2"/>
  <c r="AN496" i="2"/>
  <c r="AH496" i="2"/>
  <c r="AE496" i="2"/>
  <c r="AT496" i="2"/>
  <c r="V496" i="2"/>
  <c r="P496" i="2"/>
  <c r="M496" i="2"/>
  <c r="J496" i="2"/>
  <c r="AB496" i="2"/>
  <c r="BC38" i="2"/>
  <c r="BF38" i="2"/>
  <c r="AZ38" i="2"/>
  <c r="AT38" i="2"/>
  <c r="AH38" i="2"/>
  <c r="AE38" i="2"/>
  <c r="AB38" i="2"/>
  <c r="AN38" i="2"/>
  <c r="P38" i="2"/>
  <c r="M38" i="2"/>
  <c r="J38" i="2"/>
  <c r="V38" i="2"/>
  <c r="BF40" i="2"/>
  <c r="AZ40" i="2"/>
  <c r="BC40" i="2"/>
  <c r="AN40" i="2"/>
  <c r="AH40" i="2"/>
  <c r="AE40" i="2"/>
  <c r="AB40" i="2"/>
  <c r="V40" i="2"/>
  <c r="P40" i="2"/>
  <c r="AT40" i="2"/>
  <c r="M40" i="2"/>
  <c r="J40" i="2"/>
  <c r="BF42" i="2"/>
  <c r="BC42" i="2"/>
  <c r="AZ42" i="2"/>
  <c r="AN42" i="2"/>
  <c r="AH42" i="2"/>
  <c r="AT42" i="2"/>
  <c r="AB42" i="2"/>
  <c r="V42" i="2"/>
  <c r="AE42" i="2"/>
  <c r="P42" i="2"/>
  <c r="J42" i="2"/>
  <c r="M42" i="2"/>
  <c r="BF44" i="2"/>
  <c r="BC44" i="2"/>
  <c r="AT44" i="2"/>
  <c r="AZ44" i="2"/>
  <c r="AB44" i="2"/>
  <c r="AN44" i="2"/>
  <c r="AH44" i="2"/>
  <c r="J44" i="2"/>
  <c r="AE44" i="2"/>
  <c r="V44" i="2"/>
  <c r="P44" i="2"/>
  <c r="M44" i="2"/>
  <c r="BF46" i="2"/>
  <c r="BC46" i="2"/>
  <c r="AT46" i="2"/>
  <c r="AZ46" i="2"/>
  <c r="AH46" i="2"/>
  <c r="AE46" i="2"/>
  <c r="AB46" i="2"/>
  <c r="AN46" i="2"/>
  <c r="P46" i="2"/>
  <c r="M46" i="2"/>
  <c r="J46" i="2"/>
  <c r="V46" i="2"/>
  <c r="BF48" i="2"/>
  <c r="AZ48" i="2"/>
  <c r="BC48" i="2"/>
  <c r="AN48" i="2"/>
  <c r="AH48" i="2"/>
  <c r="AE48" i="2"/>
  <c r="AB48" i="2"/>
  <c r="V48" i="2"/>
  <c r="P48" i="2"/>
  <c r="M48" i="2"/>
  <c r="AT48" i="2"/>
  <c r="J48" i="2"/>
  <c r="BF50" i="2"/>
  <c r="BC50" i="2"/>
  <c r="AZ50" i="2"/>
  <c r="AT50" i="2"/>
  <c r="AN50" i="2"/>
  <c r="AH50" i="2"/>
  <c r="AB50" i="2"/>
  <c r="V50" i="2"/>
  <c r="AE50" i="2"/>
  <c r="P50" i="2"/>
  <c r="J50" i="2"/>
  <c r="M50" i="2"/>
  <c r="BF52" i="2"/>
  <c r="BC52" i="2"/>
  <c r="AT52" i="2"/>
  <c r="AB52" i="2"/>
  <c r="AZ52" i="2"/>
  <c r="AN52" i="2"/>
  <c r="AH52" i="2"/>
  <c r="J52" i="2"/>
  <c r="V52" i="2"/>
  <c r="AE52" i="2"/>
  <c r="P52" i="2"/>
  <c r="M52" i="2"/>
  <c r="BC54" i="2"/>
  <c r="BF54" i="2"/>
  <c r="AT54" i="2"/>
  <c r="AZ54" i="2"/>
  <c r="AH54" i="2"/>
  <c r="AE54" i="2"/>
  <c r="AB54" i="2"/>
  <c r="AN54" i="2"/>
  <c r="P54" i="2"/>
  <c r="M54" i="2"/>
  <c r="J54" i="2"/>
  <c r="V54" i="2"/>
  <c r="CT54" i="2"/>
  <c r="BF56" i="2"/>
  <c r="BC56" i="2"/>
  <c r="AZ56" i="2"/>
  <c r="AN56" i="2"/>
  <c r="AT56" i="2"/>
  <c r="AH56" i="2"/>
  <c r="AE56" i="2"/>
  <c r="AB56" i="2"/>
  <c r="V56" i="2"/>
  <c r="P56" i="2"/>
  <c r="M56" i="2"/>
  <c r="J56" i="2"/>
  <c r="BF58" i="2"/>
  <c r="BC58" i="2"/>
  <c r="AZ58" i="2"/>
  <c r="AT58" i="2"/>
  <c r="AN58" i="2"/>
  <c r="AH58" i="2"/>
  <c r="AB58" i="2"/>
  <c r="V58" i="2"/>
  <c r="P58" i="2"/>
  <c r="J58" i="2"/>
  <c r="AE58" i="2"/>
  <c r="M58" i="2"/>
  <c r="BF60" i="2"/>
  <c r="BC60" i="2"/>
  <c r="AT60" i="2"/>
  <c r="AB60" i="2"/>
  <c r="AZ60" i="2"/>
  <c r="AN60" i="2"/>
  <c r="AH60" i="2"/>
  <c r="AE60" i="2"/>
  <c r="J60" i="2"/>
  <c r="V60" i="2"/>
  <c r="P60" i="2"/>
  <c r="M60" i="2"/>
  <c r="BF62" i="2"/>
  <c r="BC62" i="2"/>
  <c r="AZ62" i="2"/>
  <c r="AT62" i="2"/>
  <c r="AH62" i="2"/>
  <c r="AE62" i="2"/>
  <c r="AB62" i="2"/>
  <c r="AN62" i="2"/>
  <c r="P62" i="2"/>
  <c r="M62" i="2"/>
  <c r="J62" i="2"/>
  <c r="V62" i="2"/>
  <c r="BF64" i="2"/>
  <c r="AZ64" i="2"/>
  <c r="BC64" i="2"/>
  <c r="AN64" i="2"/>
  <c r="AH64" i="2"/>
  <c r="AT64" i="2"/>
  <c r="AE64" i="2"/>
  <c r="AB64" i="2"/>
  <c r="V64" i="2"/>
  <c r="P64" i="2"/>
  <c r="M64" i="2"/>
  <c r="J64" i="2"/>
  <c r="BF66" i="2"/>
  <c r="BC66" i="2"/>
  <c r="AZ66" i="2"/>
  <c r="AN66" i="2"/>
  <c r="AT66" i="2"/>
  <c r="AH66" i="2"/>
  <c r="AB66" i="2"/>
  <c r="AE66" i="2"/>
  <c r="V66" i="2"/>
  <c r="P66" i="2"/>
  <c r="J66" i="2"/>
  <c r="M66" i="2"/>
  <c r="BF68" i="2"/>
  <c r="BC68" i="2"/>
  <c r="AZ68" i="2"/>
  <c r="AT68" i="2"/>
  <c r="AB68" i="2"/>
  <c r="AN68" i="2"/>
  <c r="AH68" i="2"/>
  <c r="J68" i="2"/>
  <c r="AE68" i="2"/>
  <c r="V68" i="2"/>
  <c r="P68" i="2"/>
  <c r="M68" i="2"/>
  <c r="BF70" i="2"/>
  <c r="BC70" i="2"/>
  <c r="AZ70" i="2"/>
  <c r="AT70" i="2"/>
  <c r="AH70" i="2"/>
  <c r="AE70" i="2"/>
  <c r="AB70" i="2"/>
  <c r="AN70" i="2"/>
  <c r="P70" i="2"/>
  <c r="M70" i="2"/>
  <c r="J70" i="2"/>
  <c r="V70" i="2"/>
  <c r="BF72" i="2"/>
  <c r="AZ72" i="2"/>
  <c r="BC72" i="2"/>
  <c r="AN72" i="2"/>
  <c r="AH72" i="2"/>
  <c r="AE72" i="2"/>
  <c r="AB72" i="2"/>
  <c r="V72" i="2"/>
  <c r="AT72" i="2"/>
  <c r="P72" i="2"/>
  <c r="M72" i="2"/>
  <c r="J72" i="2"/>
  <c r="BF74" i="2"/>
  <c r="BC74" i="2"/>
  <c r="AZ74" i="2"/>
  <c r="AN74" i="2"/>
  <c r="AH74" i="2"/>
  <c r="AT74" i="2"/>
  <c r="AB74" i="2"/>
  <c r="V74" i="2"/>
  <c r="AE74" i="2"/>
  <c r="P74" i="2"/>
  <c r="J74" i="2"/>
  <c r="M74" i="2"/>
  <c r="BF76" i="2"/>
  <c r="BC76" i="2"/>
  <c r="AT76" i="2"/>
  <c r="AZ76" i="2"/>
  <c r="AB76" i="2"/>
  <c r="AN76" i="2"/>
  <c r="AH76" i="2"/>
  <c r="J76" i="2"/>
  <c r="AE76" i="2"/>
  <c r="V76" i="2"/>
  <c r="P76" i="2"/>
  <c r="M76" i="2"/>
  <c r="BC78" i="2"/>
  <c r="BF78" i="2"/>
  <c r="AT78" i="2"/>
  <c r="AZ78" i="2"/>
  <c r="AH78" i="2"/>
  <c r="AE78" i="2"/>
  <c r="AB78" i="2"/>
  <c r="AN78" i="2"/>
  <c r="P78" i="2"/>
  <c r="M78" i="2"/>
  <c r="J78" i="2"/>
  <c r="V78" i="2"/>
  <c r="BF80" i="2"/>
  <c r="AZ80" i="2"/>
  <c r="BC80" i="2"/>
  <c r="AN80" i="2"/>
  <c r="AH80" i="2"/>
  <c r="AE80" i="2"/>
  <c r="AB80" i="2"/>
  <c r="V80" i="2"/>
  <c r="P80" i="2"/>
  <c r="M80" i="2"/>
  <c r="J80" i="2"/>
  <c r="AT80" i="2"/>
  <c r="BF82" i="2"/>
  <c r="BC82" i="2"/>
  <c r="AZ82" i="2"/>
  <c r="AT82" i="2"/>
  <c r="AN82" i="2"/>
  <c r="AH82" i="2"/>
  <c r="AB82" i="2"/>
  <c r="V82" i="2"/>
  <c r="AE82" i="2"/>
  <c r="P82" i="2"/>
  <c r="J82" i="2"/>
  <c r="M82" i="2"/>
  <c r="BF84" i="2"/>
  <c r="BC84" i="2"/>
  <c r="AT84" i="2"/>
  <c r="AB84" i="2"/>
  <c r="AN84" i="2"/>
  <c r="AH84" i="2"/>
  <c r="J84" i="2"/>
  <c r="AZ84" i="2"/>
  <c r="V84" i="2"/>
  <c r="AE84" i="2"/>
  <c r="P84" i="2"/>
  <c r="M84" i="2"/>
  <c r="BF86" i="2"/>
  <c r="BC86" i="2"/>
  <c r="AT86" i="2"/>
  <c r="AZ86" i="2"/>
  <c r="AH86" i="2"/>
  <c r="AE86" i="2"/>
  <c r="AB86" i="2"/>
  <c r="AN86" i="2"/>
  <c r="P86" i="2"/>
  <c r="M86" i="2"/>
  <c r="J86" i="2"/>
  <c r="V86" i="2"/>
  <c r="BF88" i="2"/>
  <c r="AZ88" i="2"/>
  <c r="AN88" i="2"/>
  <c r="AT88" i="2"/>
  <c r="AH88" i="2"/>
  <c r="AE88" i="2"/>
  <c r="AB88" i="2"/>
  <c r="V88" i="2"/>
  <c r="P88" i="2"/>
  <c r="M88" i="2"/>
  <c r="BC88" i="2"/>
  <c r="J88" i="2"/>
  <c r="BF90" i="2"/>
  <c r="BC90" i="2"/>
  <c r="AZ90" i="2"/>
  <c r="AT90" i="2"/>
  <c r="AN90" i="2"/>
  <c r="AH90" i="2"/>
  <c r="AB90" i="2"/>
  <c r="V90" i="2"/>
  <c r="P90" i="2"/>
  <c r="J90" i="2"/>
  <c r="AE90" i="2"/>
  <c r="M90" i="2"/>
  <c r="BF92" i="2"/>
  <c r="BC92" i="2"/>
  <c r="AT92" i="2"/>
  <c r="AB92" i="2"/>
  <c r="AN92" i="2"/>
  <c r="AZ92" i="2"/>
  <c r="AH92" i="2"/>
  <c r="AE92" i="2"/>
  <c r="J92" i="2"/>
  <c r="V92" i="2"/>
  <c r="P92" i="2"/>
  <c r="M92" i="2"/>
  <c r="BF94" i="2"/>
  <c r="BC94" i="2"/>
  <c r="AZ94" i="2"/>
  <c r="AT94" i="2"/>
  <c r="AH94" i="2"/>
  <c r="AE94" i="2"/>
  <c r="AB94" i="2"/>
  <c r="AN94" i="2"/>
  <c r="P94" i="2"/>
  <c r="M94" i="2"/>
  <c r="J94" i="2"/>
  <c r="V94" i="2"/>
  <c r="BF96" i="2"/>
  <c r="BC96" i="2"/>
  <c r="AZ96" i="2"/>
  <c r="AN96" i="2"/>
  <c r="AH96" i="2"/>
  <c r="AT96" i="2"/>
  <c r="AE96" i="2"/>
  <c r="AB96" i="2"/>
  <c r="V96" i="2"/>
  <c r="P96" i="2"/>
  <c r="M96" i="2"/>
  <c r="J96" i="2"/>
  <c r="BF98" i="2"/>
  <c r="BC98" i="2"/>
  <c r="AZ98" i="2"/>
  <c r="AN98" i="2"/>
  <c r="AT98" i="2"/>
  <c r="AH98" i="2"/>
  <c r="AB98" i="2"/>
  <c r="AE98" i="2"/>
  <c r="V98" i="2"/>
  <c r="P98" i="2"/>
  <c r="J98" i="2"/>
  <c r="M98" i="2"/>
  <c r="BF100" i="2"/>
  <c r="BC100" i="2"/>
  <c r="AZ100" i="2"/>
  <c r="AT100" i="2"/>
  <c r="AB100" i="2"/>
  <c r="AN100" i="2"/>
  <c r="AH100" i="2"/>
  <c r="J100" i="2"/>
  <c r="AE100" i="2"/>
  <c r="V100" i="2"/>
  <c r="P100" i="2"/>
  <c r="M100" i="2"/>
  <c r="BC102" i="2"/>
  <c r="BF102" i="2"/>
  <c r="AZ102" i="2"/>
  <c r="AT102" i="2"/>
  <c r="AH102" i="2"/>
  <c r="AE102" i="2"/>
  <c r="AB102" i="2"/>
  <c r="AN102" i="2"/>
  <c r="P102" i="2"/>
  <c r="M102" i="2"/>
  <c r="J102" i="2"/>
  <c r="V102" i="2"/>
  <c r="BF104" i="2"/>
  <c r="AZ104" i="2"/>
  <c r="BC104" i="2"/>
  <c r="AN104" i="2"/>
  <c r="AH104" i="2"/>
  <c r="AE104" i="2"/>
  <c r="AB104" i="2"/>
  <c r="V104" i="2"/>
  <c r="P104" i="2"/>
  <c r="M104" i="2"/>
  <c r="J104" i="2"/>
  <c r="AT104" i="2"/>
  <c r="CJ105" i="2"/>
  <c r="BF106" i="2"/>
  <c r="BC106" i="2"/>
  <c r="AZ106" i="2"/>
  <c r="AN106" i="2"/>
  <c r="AH106" i="2"/>
  <c r="AT106" i="2"/>
  <c r="AB106" i="2"/>
  <c r="V106" i="2"/>
  <c r="AE106" i="2"/>
  <c r="P106" i="2"/>
  <c r="J106" i="2"/>
  <c r="M106" i="2"/>
  <c r="BF108" i="2"/>
  <c r="BC108" i="2"/>
  <c r="AT108" i="2"/>
  <c r="AZ108" i="2"/>
  <c r="AB108" i="2"/>
  <c r="AN108" i="2"/>
  <c r="AH108" i="2"/>
  <c r="J108" i="2"/>
  <c r="AE108" i="2"/>
  <c r="V108" i="2"/>
  <c r="P108" i="2"/>
  <c r="M108" i="2"/>
  <c r="CJ109" i="2"/>
  <c r="BF110" i="2"/>
  <c r="BC110" i="2"/>
  <c r="AT110" i="2"/>
  <c r="AZ110" i="2"/>
  <c r="AH110" i="2"/>
  <c r="AE110" i="2"/>
  <c r="AB110" i="2"/>
  <c r="AN110" i="2"/>
  <c r="P110" i="2"/>
  <c r="M110" i="2"/>
  <c r="J110" i="2"/>
  <c r="V110" i="2"/>
  <c r="CJ111" i="2"/>
  <c r="BF112" i="2"/>
  <c r="AZ112" i="2"/>
  <c r="BC112" i="2"/>
  <c r="AN112" i="2"/>
  <c r="AH112" i="2"/>
  <c r="AE112" i="2"/>
  <c r="AB112" i="2"/>
  <c r="AT112" i="2"/>
  <c r="V112" i="2"/>
  <c r="P112" i="2"/>
  <c r="M112" i="2"/>
  <c r="J112" i="2"/>
  <c r="CJ113" i="2"/>
  <c r="BF114" i="2"/>
  <c r="BC114" i="2"/>
  <c r="AZ114" i="2"/>
  <c r="AT114" i="2"/>
  <c r="AN114" i="2"/>
  <c r="AH114" i="2"/>
  <c r="AB114" i="2"/>
  <c r="V114" i="2"/>
  <c r="AE114" i="2"/>
  <c r="P114" i="2"/>
  <c r="J114" i="2"/>
  <c r="M114" i="2"/>
  <c r="CT114" i="2"/>
  <c r="R116" i="2"/>
  <c r="S116" i="2" s="1"/>
  <c r="BF116" i="2"/>
  <c r="BC116" i="2"/>
  <c r="AT116" i="2"/>
  <c r="AB116" i="2"/>
  <c r="AN116" i="2"/>
  <c r="AH116" i="2"/>
  <c r="J116" i="2"/>
  <c r="AZ116" i="2"/>
  <c r="V116" i="2"/>
  <c r="AE116" i="2"/>
  <c r="P116" i="2"/>
  <c r="M116" i="2"/>
  <c r="BC118" i="2"/>
  <c r="AT118" i="2"/>
  <c r="AZ118" i="2"/>
  <c r="AH118" i="2"/>
  <c r="AE118" i="2"/>
  <c r="AB118" i="2"/>
  <c r="AN118" i="2"/>
  <c r="P118" i="2"/>
  <c r="BF118" i="2"/>
  <c r="M118" i="2"/>
  <c r="J118" i="2"/>
  <c r="V118" i="2"/>
  <c r="BF120" i="2"/>
  <c r="AZ120" i="2"/>
  <c r="BC120" i="2"/>
  <c r="AN120" i="2"/>
  <c r="AT120" i="2"/>
  <c r="AH120" i="2"/>
  <c r="AE120" i="2"/>
  <c r="AB120" i="2"/>
  <c r="V120" i="2"/>
  <c r="P120" i="2"/>
  <c r="M120" i="2"/>
  <c r="J120" i="2"/>
  <c r="BF122" i="2"/>
  <c r="BC122" i="2"/>
  <c r="AZ122" i="2"/>
  <c r="AT122" i="2"/>
  <c r="AN122" i="2"/>
  <c r="AH122" i="2"/>
  <c r="AB122" i="2"/>
  <c r="V122" i="2"/>
  <c r="P122" i="2"/>
  <c r="J122" i="2"/>
  <c r="AE122" i="2"/>
  <c r="M122" i="2"/>
  <c r="BF124" i="2"/>
  <c r="BC124" i="2"/>
  <c r="AT124" i="2"/>
  <c r="AZ124" i="2"/>
  <c r="AB124" i="2"/>
  <c r="AN124" i="2"/>
  <c r="AH124" i="2"/>
  <c r="AE124" i="2"/>
  <c r="J124" i="2"/>
  <c r="V124" i="2"/>
  <c r="P124" i="2"/>
  <c r="M124" i="2"/>
  <c r="BF126" i="2"/>
  <c r="BC126" i="2"/>
  <c r="AZ126" i="2"/>
  <c r="AT126" i="2"/>
  <c r="AH126" i="2"/>
  <c r="AE126" i="2"/>
  <c r="AB126" i="2"/>
  <c r="AN126" i="2"/>
  <c r="P126" i="2"/>
  <c r="M126" i="2"/>
  <c r="J126" i="2"/>
  <c r="V126" i="2"/>
  <c r="BF128" i="2"/>
  <c r="AZ128" i="2"/>
  <c r="BC128" i="2"/>
  <c r="AN128" i="2"/>
  <c r="AH128" i="2"/>
  <c r="AT128" i="2"/>
  <c r="AE128" i="2"/>
  <c r="AB128" i="2"/>
  <c r="V128" i="2"/>
  <c r="P128" i="2"/>
  <c r="M128" i="2"/>
  <c r="J128" i="2"/>
  <c r="BF130" i="2"/>
  <c r="BC130" i="2"/>
  <c r="AZ130" i="2"/>
  <c r="AN130" i="2"/>
  <c r="AT130" i="2"/>
  <c r="AH130" i="2"/>
  <c r="AB130" i="2"/>
  <c r="AE130" i="2"/>
  <c r="V130" i="2"/>
  <c r="P130" i="2"/>
  <c r="J130" i="2"/>
  <c r="M130" i="2"/>
  <c r="BF132" i="2"/>
  <c r="BC132" i="2"/>
  <c r="AZ132" i="2"/>
  <c r="AT132" i="2"/>
  <c r="AB132" i="2"/>
  <c r="AN132" i="2"/>
  <c r="AH132" i="2"/>
  <c r="J132" i="2"/>
  <c r="AE132" i="2"/>
  <c r="V132" i="2"/>
  <c r="P132" i="2"/>
  <c r="M132" i="2"/>
  <c r="CJ133" i="2"/>
  <c r="BF134" i="2"/>
  <c r="BC134" i="2"/>
  <c r="AZ134" i="2"/>
  <c r="AT134" i="2"/>
  <c r="AH134" i="2"/>
  <c r="AE134" i="2"/>
  <c r="AB134" i="2"/>
  <c r="AN134" i="2"/>
  <c r="P134" i="2"/>
  <c r="M134" i="2"/>
  <c r="J134" i="2"/>
  <c r="V134" i="2"/>
  <c r="CJ135" i="2"/>
  <c r="BF136" i="2"/>
  <c r="AZ136" i="2"/>
  <c r="BC136" i="2"/>
  <c r="AN136" i="2"/>
  <c r="AH136" i="2"/>
  <c r="AE136" i="2"/>
  <c r="AB136" i="2"/>
  <c r="V136" i="2"/>
  <c r="AT136" i="2"/>
  <c r="P136" i="2"/>
  <c r="M136" i="2"/>
  <c r="J136" i="2"/>
  <c r="BF153" i="2"/>
  <c r="AZ153" i="2"/>
  <c r="BC153" i="2"/>
  <c r="AT153" i="2"/>
  <c r="AN153" i="2"/>
  <c r="AH153" i="2"/>
  <c r="AE153" i="2"/>
  <c r="V153" i="2"/>
  <c r="S153" i="2"/>
  <c r="AB153" i="2"/>
  <c r="P153" i="2"/>
  <c r="M153" i="2"/>
  <c r="J153" i="2"/>
  <c r="BF176" i="2"/>
  <c r="AZ176" i="2"/>
  <c r="BC176" i="2"/>
  <c r="AN176" i="2"/>
  <c r="AH176" i="2"/>
  <c r="AE176" i="2"/>
  <c r="AB176" i="2"/>
  <c r="V176" i="2"/>
  <c r="P176" i="2"/>
  <c r="M176" i="2"/>
  <c r="AT176" i="2"/>
  <c r="J176" i="2"/>
  <c r="BF187" i="2"/>
  <c r="BC187" i="2"/>
  <c r="AZ187" i="2"/>
  <c r="AT187" i="2"/>
  <c r="AN187" i="2"/>
  <c r="AE187" i="2"/>
  <c r="AH187" i="2"/>
  <c r="V187" i="2"/>
  <c r="AB187" i="2"/>
  <c r="S187" i="2"/>
  <c r="M187" i="2"/>
  <c r="P187" i="2"/>
  <c r="J187" i="2"/>
  <c r="R196" i="2"/>
  <c r="S196" i="2" s="1"/>
  <c r="BY196" i="2"/>
  <c r="DH197" i="2"/>
  <c r="DH213" i="2"/>
  <c r="BF214" i="2"/>
  <c r="BC214" i="2"/>
  <c r="AT214" i="2"/>
  <c r="AZ214" i="2"/>
  <c r="AH214" i="2"/>
  <c r="AE214" i="2"/>
  <c r="AB214" i="2"/>
  <c r="AN214" i="2"/>
  <c r="P214" i="2"/>
  <c r="M214" i="2"/>
  <c r="Y214" i="2"/>
  <c r="J214" i="2"/>
  <c r="V214" i="2"/>
  <c r="S214" i="2"/>
  <c r="BW214" i="2"/>
  <c r="AZ217" i="2"/>
  <c r="BF217" i="2"/>
  <c r="BC217" i="2"/>
  <c r="AT217" i="2"/>
  <c r="AN217" i="2"/>
  <c r="AH217" i="2"/>
  <c r="AE217" i="2"/>
  <c r="V217" i="2"/>
  <c r="AB217" i="2"/>
  <c r="P217" i="2"/>
  <c r="M217" i="2"/>
  <c r="J217" i="2"/>
  <c r="BF219" i="2"/>
  <c r="BC219" i="2"/>
  <c r="AZ219" i="2"/>
  <c r="AT219" i="2"/>
  <c r="AN219" i="2"/>
  <c r="AE219" i="2"/>
  <c r="AH219" i="2"/>
  <c r="V219" i="2"/>
  <c r="AB219" i="2"/>
  <c r="M219" i="2"/>
  <c r="P219" i="2"/>
  <c r="J219" i="2"/>
  <c r="BF221" i="2"/>
  <c r="BC221" i="2"/>
  <c r="AZ221" i="2"/>
  <c r="AT221" i="2"/>
  <c r="AE221" i="2"/>
  <c r="AB221" i="2"/>
  <c r="M221" i="2"/>
  <c r="V221" i="2"/>
  <c r="J221" i="2"/>
  <c r="AN221" i="2"/>
  <c r="AH221" i="2"/>
  <c r="P221" i="2"/>
  <c r="CJ225" i="2"/>
  <c r="R226" i="2"/>
  <c r="X226" i="2" s="1"/>
  <c r="AZ249" i="2"/>
  <c r="BC249" i="2"/>
  <c r="BF249" i="2"/>
  <c r="AT249" i="2"/>
  <c r="AN249" i="2"/>
  <c r="AH249" i="2"/>
  <c r="AE249" i="2"/>
  <c r="V249" i="2"/>
  <c r="P249" i="2"/>
  <c r="M249" i="2"/>
  <c r="AB249" i="2"/>
  <c r="J249" i="2"/>
  <c r="CT249" i="2"/>
  <c r="BY252" i="2"/>
  <c r="BY268" i="2"/>
  <c r="BF270" i="2"/>
  <c r="BC270" i="2"/>
  <c r="AT270" i="2"/>
  <c r="AZ270" i="2"/>
  <c r="AH270" i="2"/>
  <c r="AE270" i="2"/>
  <c r="AN270" i="2"/>
  <c r="P270" i="2"/>
  <c r="M270" i="2"/>
  <c r="J270" i="2"/>
  <c r="AB270" i="2"/>
  <c r="V270" i="2"/>
  <c r="BC272" i="2"/>
  <c r="AZ272" i="2"/>
  <c r="BF272" i="2"/>
  <c r="AN272" i="2"/>
  <c r="AH272" i="2"/>
  <c r="AE272" i="2"/>
  <c r="V272" i="2"/>
  <c r="AT272" i="2"/>
  <c r="P272" i="2"/>
  <c r="M272" i="2"/>
  <c r="J272" i="2"/>
  <c r="AB272" i="2"/>
  <c r="BC274" i="2"/>
  <c r="BF274" i="2"/>
  <c r="AZ274" i="2"/>
  <c r="AT274" i="2"/>
  <c r="AN274" i="2"/>
  <c r="AH274" i="2"/>
  <c r="AB274" i="2"/>
  <c r="V274" i="2"/>
  <c r="AE274" i="2"/>
  <c r="P274" i="2"/>
  <c r="J274" i="2"/>
  <c r="M274" i="2"/>
  <c r="BF276" i="2"/>
  <c r="BC276" i="2"/>
  <c r="AT276" i="2"/>
  <c r="AZ276" i="2"/>
  <c r="AN276" i="2"/>
  <c r="AH276" i="2"/>
  <c r="J276" i="2"/>
  <c r="AB276" i="2"/>
  <c r="V276" i="2"/>
  <c r="AE276" i="2"/>
  <c r="P276" i="2"/>
  <c r="M276" i="2"/>
  <c r="R281" i="2"/>
  <c r="S281" i="2" s="1"/>
  <c r="DH286" i="2"/>
  <c r="BW294" i="2"/>
  <c r="BF301" i="2"/>
  <c r="BC301" i="2"/>
  <c r="AZ301" i="2"/>
  <c r="AT301" i="2"/>
  <c r="AE301" i="2"/>
  <c r="AH301" i="2"/>
  <c r="M301" i="2"/>
  <c r="V301" i="2"/>
  <c r="J301" i="2"/>
  <c r="AB301" i="2"/>
  <c r="AN301" i="2"/>
  <c r="P301" i="2"/>
  <c r="BW301" i="2"/>
  <c r="BF308" i="2"/>
  <c r="BC308" i="2"/>
  <c r="AT308" i="2"/>
  <c r="AZ308" i="2"/>
  <c r="AN308" i="2"/>
  <c r="AH308" i="2"/>
  <c r="J308" i="2"/>
  <c r="AB308" i="2"/>
  <c r="V308" i="2"/>
  <c r="AE308" i="2"/>
  <c r="P308" i="2"/>
  <c r="M308" i="2"/>
  <c r="BF310" i="2"/>
  <c r="BC310" i="2"/>
  <c r="AT310" i="2"/>
  <c r="AZ310" i="2"/>
  <c r="AH310" i="2"/>
  <c r="AE310" i="2"/>
  <c r="AN310" i="2"/>
  <c r="P310" i="2"/>
  <c r="M310" i="2"/>
  <c r="J310" i="2"/>
  <c r="AB310" i="2"/>
  <c r="V310" i="2"/>
  <c r="BW310" i="2"/>
  <c r="DH316" i="2"/>
  <c r="BF320" i="2"/>
  <c r="AZ320" i="2"/>
  <c r="BC320" i="2"/>
  <c r="AN320" i="2"/>
  <c r="AH320" i="2"/>
  <c r="AT320" i="2"/>
  <c r="AE320" i="2"/>
  <c r="V320" i="2"/>
  <c r="P320" i="2"/>
  <c r="M320" i="2"/>
  <c r="J320" i="2"/>
  <c r="AB320" i="2"/>
  <c r="BW320" i="2"/>
  <c r="BF325" i="2"/>
  <c r="BC325" i="2"/>
  <c r="AZ325" i="2"/>
  <c r="AT325" i="2"/>
  <c r="AE325" i="2"/>
  <c r="M325" i="2"/>
  <c r="J325" i="2"/>
  <c r="V325" i="2"/>
  <c r="AB325" i="2"/>
  <c r="AN325" i="2"/>
  <c r="AH325" i="2"/>
  <c r="P325" i="2"/>
  <c r="BF327" i="2"/>
  <c r="AZ327" i="2"/>
  <c r="BC327" i="2"/>
  <c r="AT327" i="2"/>
  <c r="AH327" i="2"/>
  <c r="AE327" i="2"/>
  <c r="P327" i="2"/>
  <c r="M327" i="2"/>
  <c r="J327" i="2"/>
  <c r="AB327" i="2"/>
  <c r="AN327" i="2"/>
  <c r="V327" i="2"/>
  <c r="BW327" i="2"/>
  <c r="BC330" i="2"/>
  <c r="AZ330" i="2"/>
  <c r="BF330" i="2"/>
  <c r="AN330" i="2"/>
  <c r="AH330" i="2"/>
  <c r="AT330" i="2"/>
  <c r="AB330" i="2"/>
  <c r="V330" i="2"/>
  <c r="AE330" i="2"/>
  <c r="P330" i="2"/>
  <c r="J330" i="2"/>
  <c r="M330" i="2"/>
  <c r="BF332" i="2"/>
  <c r="AT332" i="2"/>
  <c r="AZ332" i="2"/>
  <c r="AN332" i="2"/>
  <c r="AH332" i="2"/>
  <c r="J332" i="2"/>
  <c r="AB332" i="2"/>
  <c r="AE332" i="2"/>
  <c r="V332" i="2"/>
  <c r="BC332" i="2"/>
  <c r="P332" i="2"/>
  <c r="M332" i="2"/>
  <c r="BW332" i="2"/>
  <c r="BF337" i="2"/>
  <c r="BC337" i="2"/>
  <c r="AZ337" i="2"/>
  <c r="AT337" i="2"/>
  <c r="AN337" i="2"/>
  <c r="AH337" i="2"/>
  <c r="AE337" i="2"/>
  <c r="V337" i="2"/>
  <c r="P337" i="2"/>
  <c r="M337" i="2"/>
  <c r="AB337" i="2"/>
  <c r="J337" i="2"/>
  <c r="CJ338" i="2"/>
  <c r="BF339" i="2"/>
  <c r="BC339" i="2"/>
  <c r="AZ339" i="2"/>
  <c r="AT339" i="2"/>
  <c r="AN339" i="2"/>
  <c r="AE339" i="2"/>
  <c r="AH339" i="2"/>
  <c r="AB339" i="2"/>
  <c r="V339" i="2"/>
  <c r="M339" i="2"/>
  <c r="P339" i="2"/>
  <c r="J339" i="2"/>
  <c r="CT339" i="2"/>
  <c r="CJ357" i="2"/>
  <c r="CJ359" i="2"/>
  <c r="BF360" i="2"/>
  <c r="AZ360" i="2"/>
  <c r="BC360" i="2"/>
  <c r="AN360" i="2"/>
  <c r="AH360" i="2"/>
  <c r="AE360" i="2"/>
  <c r="V360" i="2"/>
  <c r="P360" i="2"/>
  <c r="M360" i="2"/>
  <c r="J360" i="2"/>
  <c r="AB360" i="2"/>
  <c r="AT360" i="2"/>
  <c r="BF372" i="2"/>
  <c r="BC372" i="2"/>
  <c r="AT372" i="2"/>
  <c r="AN372" i="2"/>
  <c r="AH372" i="2"/>
  <c r="J372" i="2"/>
  <c r="AB372" i="2"/>
  <c r="V372" i="2"/>
  <c r="AZ372" i="2"/>
  <c r="AE372" i="2"/>
  <c r="P372" i="2"/>
  <c r="M372" i="2"/>
  <c r="BY381" i="2"/>
  <c r="CT381" i="2"/>
  <c r="R383" i="2"/>
  <c r="X383" i="2" s="1"/>
  <c r="AJ383" i="2" s="1"/>
  <c r="AK383" i="2" s="1"/>
  <c r="BF383" i="2"/>
  <c r="AZ383" i="2"/>
  <c r="AT383" i="2"/>
  <c r="BC383" i="2"/>
  <c r="AH383" i="2"/>
  <c r="AE383" i="2"/>
  <c r="S383" i="2"/>
  <c r="AB383" i="2"/>
  <c r="P383" i="2"/>
  <c r="M383" i="2"/>
  <c r="J383" i="2"/>
  <c r="AN383" i="2"/>
  <c r="Y383" i="2"/>
  <c r="V383" i="2"/>
  <c r="CT383" i="2"/>
  <c r="R385" i="2"/>
  <c r="X385" i="2" s="1"/>
  <c r="AJ385" i="2" s="1"/>
  <c r="AK385" i="2" s="1"/>
  <c r="BF385" i="2"/>
  <c r="AZ385" i="2"/>
  <c r="BC385" i="2"/>
  <c r="AT385" i="2"/>
  <c r="AN385" i="2"/>
  <c r="AH385" i="2"/>
  <c r="AE385" i="2"/>
  <c r="V385" i="2"/>
  <c r="P385" i="2"/>
  <c r="M385" i="2"/>
  <c r="AB385" i="2"/>
  <c r="J385" i="2"/>
  <c r="R387" i="2"/>
  <c r="X387" i="2" s="1"/>
  <c r="AJ387" i="2" s="1"/>
  <c r="AP387" i="2" s="1"/>
  <c r="BF387" i="2"/>
  <c r="BC387" i="2"/>
  <c r="AZ387" i="2"/>
  <c r="AT387" i="2"/>
  <c r="AN387" i="2"/>
  <c r="AE387" i="2"/>
  <c r="AB387" i="2"/>
  <c r="Y387" i="2"/>
  <c r="V387" i="2"/>
  <c r="AH387" i="2"/>
  <c r="M387" i="2"/>
  <c r="P387" i="2"/>
  <c r="J387" i="2"/>
  <c r="BF389" i="2"/>
  <c r="BC389" i="2"/>
  <c r="AZ389" i="2"/>
  <c r="AT389" i="2"/>
  <c r="AE389" i="2"/>
  <c r="M389" i="2"/>
  <c r="J389" i="2"/>
  <c r="V389" i="2"/>
  <c r="AB389" i="2"/>
  <c r="AN389" i="2"/>
  <c r="Y389" i="2"/>
  <c r="AH389" i="2"/>
  <c r="S389" i="2"/>
  <c r="P389" i="2"/>
  <c r="CT389" i="2"/>
  <c r="R391" i="2"/>
  <c r="X391" i="2" s="1"/>
  <c r="AJ391" i="2" s="1"/>
  <c r="AP391" i="2" s="1"/>
  <c r="BF391" i="2"/>
  <c r="AZ391" i="2"/>
  <c r="BC391" i="2"/>
  <c r="AT391" i="2"/>
  <c r="AH391" i="2"/>
  <c r="AE391" i="2"/>
  <c r="P391" i="2"/>
  <c r="M391" i="2"/>
  <c r="J391" i="2"/>
  <c r="AB391" i="2"/>
  <c r="AN391" i="2"/>
  <c r="Y391" i="2"/>
  <c r="V391" i="2"/>
  <c r="AZ393" i="2"/>
  <c r="BF393" i="2"/>
  <c r="AT393" i="2"/>
  <c r="AN393" i="2"/>
  <c r="BC393" i="2"/>
  <c r="AH393" i="2"/>
  <c r="AE393" i="2"/>
  <c r="V393" i="2"/>
  <c r="P393" i="2"/>
  <c r="M393" i="2"/>
  <c r="AB393" i="2"/>
  <c r="J393" i="2"/>
  <c r="R395" i="2"/>
  <c r="S395" i="2" s="1"/>
  <c r="BF395" i="2"/>
  <c r="BC395" i="2"/>
  <c r="AZ395" i="2"/>
  <c r="AT395" i="2"/>
  <c r="AN395" i="2"/>
  <c r="AE395" i="2"/>
  <c r="AB395" i="2"/>
  <c r="V395" i="2"/>
  <c r="M395" i="2"/>
  <c r="AH395" i="2"/>
  <c r="P395" i="2"/>
  <c r="J395" i="2"/>
  <c r="BF397" i="2"/>
  <c r="BC397" i="2"/>
  <c r="AZ397" i="2"/>
  <c r="AT397" i="2"/>
  <c r="AE397" i="2"/>
  <c r="AH397" i="2"/>
  <c r="M397" i="2"/>
  <c r="J397" i="2"/>
  <c r="V397" i="2"/>
  <c r="AB397" i="2"/>
  <c r="AN397" i="2"/>
  <c r="P397" i="2"/>
  <c r="CT410" i="2"/>
  <c r="CT428" i="2"/>
  <c r="CT448" i="2"/>
  <c r="BF461" i="2"/>
  <c r="AZ461" i="2"/>
  <c r="AT461" i="2"/>
  <c r="AE461" i="2"/>
  <c r="BC461" i="2"/>
  <c r="AH461" i="2"/>
  <c r="M461" i="2"/>
  <c r="J461" i="2"/>
  <c r="AB461" i="2"/>
  <c r="V461" i="2"/>
  <c r="AN461" i="2"/>
  <c r="P461" i="2"/>
  <c r="BF468" i="2"/>
  <c r="BC468" i="2"/>
  <c r="AT468" i="2"/>
  <c r="AN468" i="2"/>
  <c r="AH468" i="2"/>
  <c r="J468" i="2"/>
  <c r="AB468" i="2"/>
  <c r="V468" i="2"/>
  <c r="AE468" i="2"/>
  <c r="P468" i="2"/>
  <c r="AZ468" i="2"/>
  <c r="M468" i="2"/>
  <c r="BF470" i="2"/>
  <c r="BC470" i="2"/>
  <c r="AT470" i="2"/>
  <c r="AZ470" i="2"/>
  <c r="AH470" i="2"/>
  <c r="AE470" i="2"/>
  <c r="AN470" i="2"/>
  <c r="P470" i="2"/>
  <c r="M470" i="2"/>
  <c r="J470" i="2"/>
  <c r="AB470" i="2"/>
  <c r="V470" i="2"/>
  <c r="CJ471" i="2"/>
  <c r="BC472" i="2"/>
  <c r="AZ472" i="2"/>
  <c r="BF472" i="2"/>
  <c r="AN472" i="2"/>
  <c r="AT472" i="2"/>
  <c r="AH472" i="2"/>
  <c r="AE472" i="2"/>
  <c r="V472" i="2"/>
  <c r="P472" i="2"/>
  <c r="M472" i="2"/>
  <c r="J472" i="2"/>
  <c r="AB472" i="2"/>
  <c r="BC474" i="2"/>
  <c r="AZ474" i="2"/>
  <c r="BF474" i="2"/>
  <c r="AT474" i="2"/>
  <c r="AN474" i="2"/>
  <c r="AH474" i="2"/>
  <c r="AB474" i="2"/>
  <c r="V474" i="2"/>
  <c r="P474" i="2"/>
  <c r="J474" i="2"/>
  <c r="AE474" i="2"/>
  <c r="M474" i="2"/>
  <c r="BF476" i="2"/>
  <c r="BC476" i="2"/>
  <c r="AT476" i="2"/>
  <c r="AN476" i="2"/>
  <c r="AZ476" i="2"/>
  <c r="AH476" i="2"/>
  <c r="AE476" i="2"/>
  <c r="J476" i="2"/>
  <c r="AB476" i="2"/>
  <c r="V476" i="2"/>
  <c r="P476" i="2"/>
  <c r="M476" i="2"/>
  <c r="CT478" i="2"/>
  <c r="CT480" i="2"/>
  <c r="BF487" i="2"/>
  <c r="AZ487" i="2"/>
  <c r="AT487" i="2"/>
  <c r="BC487" i="2"/>
  <c r="AH487" i="2"/>
  <c r="AE487" i="2"/>
  <c r="S487" i="2"/>
  <c r="AB487" i="2"/>
  <c r="P487" i="2"/>
  <c r="M487" i="2"/>
  <c r="J487" i="2"/>
  <c r="AN487" i="2"/>
  <c r="Y487" i="2"/>
  <c r="V487" i="2"/>
  <c r="CJ495" i="2"/>
  <c r="CJ497" i="2"/>
  <c r="CT26" i="2"/>
  <c r="DH31" i="2"/>
  <c r="DH43" i="2"/>
  <c r="CT46" i="2"/>
  <c r="CX46" i="2" s="1"/>
  <c r="CQ46" i="2" s="1"/>
  <c r="CJ56" i="2"/>
  <c r="CJ65" i="2"/>
  <c r="CJ66" i="2"/>
  <c r="CT32" i="2"/>
  <c r="DH37" i="2"/>
  <c r="DH42" i="2"/>
  <c r="CT52" i="2"/>
  <c r="DH53" i="2"/>
  <c r="CJ64" i="2"/>
  <c r="CJ68" i="2"/>
  <c r="X26" i="2"/>
  <c r="AV160" i="2"/>
  <c r="AW160" i="2" s="1"/>
  <c r="DH27" i="2"/>
  <c r="CJ37" i="2"/>
  <c r="CT39" i="2"/>
  <c r="CJ42" i="2"/>
  <c r="CJ53" i="2"/>
  <c r="CJ60" i="2"/>
  <c r="CT27" i="2"/>
  <c r="CJ67" i="2"/>
  <c r="CJ44" i="2"/>
  <c r="CX44" i="2" s="1"/>
  <c r="DL44" i="2" s="1"/>
  <c r="CJ48" i="2"/>
  <c r="DH52" i="2"/>
  <c r="DH32" i="2"/>
  <c r="CT37" i="2"/>
  <c r="DH45" i="2"/>
  <c r="CT53" i="2"/>
  <c r="R114" i="2"/>
  <c r="S114" i="2" s="1"/>
  <c r="CJ94" i="2"/>
  <c r="DH110" i="2"/>
  <c r="CT116" i="2"/>
  <c r="BV134" i="2"/>
  <c r="BY134" i="2"/>
  <c r="X175" i="2"/>
  <c r="Y175" i="2" s="1"/>
  <c r="AV190" i="2"/>
  <c r="AW190" i="2" s="1"/>
  <c r="BY210" i="2"/>
  <c r="BY211" i="2"/>
  <c r="BV211" i="2"/>
  <c r="CJ70" i="2"/>
  <c r="CJ72" i="2"/>
  <c r="CJ74" i="2"/>
  <c r="CJ76" i="2"/>
  <c r="CJ78" i="2"/>
  <c r="CJ80" i="2"/>
  <c r="CJ84" i="2"/>
  <c r="CJ103" i="2"/>
  <c r="CJ110" i="2"/>
  <c r="DH118" i="2"/>
  <c r="DH120" i="2"/>
  <c r="AV203" i="2"/>
  <c r="AW203" i="2" s="1"/>
  <c r="R119" i="2"/>
  <c r="S119" i="2" s="1"/>
  <c r="R121" i="2"/>
  <c r="S121" i="2" s="1"/>
  <c r="CJ96" i="2"/>
  <c r="DH108" i="2"/>
  <c r="CT113" i="2"/>
  <c r="BY138" i="2"/>
  <c r="BV139" i="2"/>
  <c r="BY139" i="2"/>
  <c r="AV158" i="2"/>
  <c r="AW158" i="2" s="1"/>
  <c r="AV174" i="2"/>
  <c r="AW174" i="2" s="1"/>
  <c r="R117" i="2"/>
  <c r="S117" i="2" s="1"/>
  <c r="AV154" i="2"/>
  <c r="BH154" i="2" s="1"/>
  <c r="BV225" i="2"/>
  <c r="BY225" i="2"/>
  <c r="BW225" i="2"/>
  <c r="CJ92" i="2"/>
  <c r="DH112" i="2"/>
  <c r="DH114" i="2"/>
  <c r="CJ119" i="2"/>
  <c r="R120" i="2"/>
  <c r="S120" i="2" s="1"/>
  <c r="CJ121" i="2"/>
  <c r="AV169" i="2"/>
  <c r="AW169" i="2" s="1"/>
  <c r="AP177" i="2"/>
  <c r="BW211" i="2"/>
  <c r="CJ98" i="2"/>
  <c r="CJ101" i="2"/>
  <c r="CJ112" i="2"/>
  <c r="DH113" i="2"/>
  <c r="CJ114" i="2"/>
  <c r="R115" i="2"/>
  <c r="S115" i="2" s="1"/>
  <c r="CT115" i="2"/>
  <c r="CT120" i="2"/>
  <c r="R176" i="2"/>
  <c r="X176" i="2" s="1"/>
  <c r="Y176" i="2" s="1"/>
  <c r="BY292" i="2"/>
  <c r="BW292" i="2"/>
  <c r="BV292" i="2"/>
  <c r="BY204" i="2"/>
  <c r="BW218" i="2"/>
  <c r="BW220" i="2"/>
  <c r="BY233" i="2"/>
  <c r="DH116" i="2"/>
  <c r="CJ117" i="2"/>
  <c r="R118" i="2"/>
  <c r="S118" i="2" s="1"/>
  <c r="CT121" i="2"/>
  <c r="CX121" i="2" s="1"/>
  <c r="DL121" i="2" s="1"/>
  <c r="DH127" i="2"/>
  <c r="DH129" i="2"/>
  <c r="DH135" i="2"/>
  <c r="DH136" i="2"/>
  <c r="DH141" i="2"/>
  <c r="DH143" i="2"/>
  <c r="R146" i="2"/>
  <c r="DH147" i="2"/>
  <c r="R149" i="2"/>
  <c r="S149" i="2" s="1"/>
  <c r="R155" i="2"/>
  <c r="DH157" i="2"/>
  <c r="R159" i="2"/>
  <c r="R164" i="2"/>
  <c r="DH168" i="2"/>
  <c r="R170" i="2"/>
  <c r="R171" i="2"/>
  <c r="DH178" i="2"/>
  <c r="DH179" i="2"/>
  <c r="DH180" i="2"/>
  <c r="DH182" i="2"/>
  <c r="DH190" i="2"/>
  <c r="DH191" i="2"/>
  <c r="DH193" i="2"/>
  <c r="BY206" i="2"/>
  <c r="BY209" i="2"/>
  <c r="CJ211" i="2"/>
  <c r="BV214" i="2"/>
  <c r="BY221" i="2"/>
  <c r="CT221" i="2"/>
  <c r="R228" i="2"/>
  <c r="S228" i="2" s="1"/>
  <c r="CJ230" i="2"/>
  <c r="BY234" i="2"/>
  <c r="CJ238" i="2"/>
  <c r="CJ115" i="2"/>
  <c r="CT119" i="2"/>
  <c r="DH126" i="2"/>
  <c r="CJ132" i="2"/>
  <c r="CJ142" i="2"/>
  <c r="R157" i="2"/>
  <c r="R168" i="2"/>
  <c r="R178" i="2"/>
  <c r="X189" i="2"/>
  <c r="R194" i="2"/>
  <c r="X199" i="2"/>
  <c r="X200" i="2"/>
  <c r="X201" i="2"/>
  <c r="CJ229" i="2"/>
  <c r="BV240" i="2"/>
  <c r="BY240" i="2"/>
  <c r="CJ246" i="2"/>
  <c r="CJ254" i="2"/>
  <c r="CJ272" i="2"/>
  <c r="CT118" i="2"/>
  <c r="DH121" i="2"/>
  <c r="DH124" i="2"/>
  <c r="CJ137" i="2"/>
  <c r="BY150" i="2"/>
  <c r="BY151" i="2"/>
  <c r="BY160" i="2"/>
  <c r="BY161" i="2"/>
  <c r="X167" i="2"/>
  <c r="BY174" i="2"/>
  <c r="BY175" i="2"/>
  <c r="R188" i="2"/>
  <c r="R193" i="2"/>
  <c r="R198" i="2"/>
  <c r="R204" i="2"/>
  <c r="R205" i="2"/>
  <c r="DH206" i="2"/>
  <c r="R218" i="2"/>
  <c r="DH218" i="2"/>
  <c r="DH220" i="2"/>
  <c r="DH221" i="2"/>
  <c r="CT225" i="2"/>
  <c r="BW229" i="2"/>
  <c r="R233" i="2"/>
  <c r="DH244" i="2"/>
  <c r="BV248" i="2"/>
  <c r="BW248" i="2"/>
  <c r="BW271" i="2"/>
  <c r="BY271" i="2"/>
  <c r="CT136" i="2"/>
  <c r="DH138" i="2"/>
  <c r="CT141" i="2"/>
  <c r="BW142" i="2"/>
  <c r="BY146" i="2"/>
  <c r="BY154" i="2"/>
  <c r="BY155" i="2"/>
  <c r="BY164" i="2"/>
  <c r="BY170" i="2"/>
  <c r="BY171" i="2"/>
  <c r="DH209" i="2"/>
  <c r="DH210" i="2"/>
  <c r="BW212" i="2"/>
  <c r="CJ219" i="2"/>
  <c r="X220" i="2"/>
  <c r="Y220" i="2" s="1"/>
  <c r="CJ221" i="2"/>
  <c r="R222" i="2"/>
  <c r="DH224" i="2"/>
  <c r="BW232" i="2"/>
  <c r="BW236" i="2"/>
  <c r="R263" i="2"/>
  <c r="S263" i="2" s="1"/>
  <c r="BY136" i="2"/>
  <c r="BY144" i="2"/>
  <c r="BY157" i="2"/>
  <c r="BY180" i="2"/>
  <c r="BY181" i="2"/>
  <c r="BY190" i="2"/>
  <c r="BY191" i="2"/>
  <c r="BY194" i="2"/>
  <c r="BY195" i="2"/>
  <c r="BV209" i="2"/>
  <c r="X210" i="2"/>
  <c r="BV213" i="2"/>
  <c r="BV217" i="2"/>
  <c r="CJ223" i="2"/>
  <c r="BV238" i="2"/>
  <c r="BW238" i="2"/>
  <c r="BY261" i="2"/>
  <c r="BW261" i="2"/>
  <c r="BV261" i="2"/>
  <c r="R269" i="2"/>
  <c r="S269" i="2" s="1"/>
  <c r="BV286" i="2"/>
  <c r="BY286" i="2"/>
  <c r="CJ140" i="2"/>
  <c r="DH150" i="2"/>
  <c r="DH151" i="2"/>
  <c r="DH159" i="2"/>
  <c r="DH160" i="2"/>
  <c r="DH162" i="2"/>
  <c r="BY167" i="2"/>
  <c r="DH173" i="2"/>
  <c r="BY184" i="2"/>
  <c r="BY200" i="2"/>
  <c r="BY201" i="2"/>
  <c r="DH207" i="2"/>
  <c r="BW213" i="2"/>
  <c r="DH214" i="2"/>
  <c r="DH215" i="2"/>
  <c r="CT217" i="2"/>
  <c r="BV218" i="2"/>
  <c r="BV220" i="2"/>
  <c r="R224" i="2"/>
  <c r="DH228" i="2"/>
  <c r="CT233" i="2"/>
  <c r="BW234" i="2"/>
  <c r="BY236" i="2"/>
  <c r="DH238" i="2"/>
  <c r="CJ262" i="2"/>
  <c r="CT266" i="2"/>
  <c r="CJ268" i="2"/>
  <c r="DH272" i="2"/>
  <c r="CT296" i="2"/>
  <c r="BW365" i="2"/>
  <c r="BV365" i="2"/>
  <c r="BY365" i="2"/>
  <c r="CJ241" i="2"/>
  <c r="DH242" i="2"/>
  <c r="BW253" i="2"/>
  <c r="DH255" i="2"/>
  <c r="DH256" i="2"/>
  <c r="DH258" i="2"/>
  <c r="CJ263" i="2"/>
  <c r="BW268" i="2"/>
  <c r="BV272" i="2"/>
  <c r="DH273" i="2"/>
  <c r="DH274" i="2"/>
  <c r="BV275" i="2"/>
  <c r="BV279" i="2"/>
  <c r="BV282" i="2"/>
  <c r="DH290" i="2"/>
  <c r="BY301" i="2"/>
  <c r="BV304" i="2"/>
  <c r="BV318" i="2"/>
  <c r="BV331" i="2"/>
  <c r="BW331" i="2"/>
  <c r="BY331" i="2"/>
  <c r="BY392" i="2"/>
  <c r="DH247" i="2"/>
  <c r="CT250" i="2"/>
  <c r="CT252" i="2"/>
  <c r="BW254" i="2"/>
  <c r="DH270" i="2"/>
  <c r="BW272" i="2"/>
  <c r="BW279" i="2"/>
  <c r="CJ280" i="2"/>
  <c r="CJ284" i="2"/>
  <c r="DH285" i="2"/>
  <c r="CJ290" i="2"/>
  <c r="BV298" i="2"/>
  <c r="BW283" i="2"/>
  <c r="BV316" i="2"/>
  <c r="DH233" i="2"/>
  <c r="DH235" i="2"/>
  <c r="BW244" i="2"/>
  <c r="CJ247" i="2"/>
  <c r="BY254" i="2"/>
  <c r="BW256" i="2"/>
  <c r="R261" i="2"/>
  <c r="S261" i="2" s="1"/>
  <c r="BV263" i="2"/>
  <c r="DH264" i="2"/>
  <c r="CT265" i="2"/>
  <c r="R275" i="2"/>
  <c r="S275" i="2" s="1"/>
  <c r="BW280" i="2"/>
  <c r="BW290" i="2"/>
  <c r="BV291" i="2"/>
  <c r="BW300" i="2"/>
  <c r="DH305" i="2"/>
  <c r="CT308" i="2"/>
  <c r="BV311" i="2"/>
  <c r="CJ315" i="2"/>
  <c r="DH234" i="2"/>
  <c r="BY242" i="2"/>
  <c r="BW246" i="2"/>
  <c r="DH250" i="2"/>
  <c r="CJ260" i="2"/>
  <c r="CJ264" i="2"/>
  <c r="BV266" i="2"/>
  <c r="BV269" i="2"/>
  <c r="R271" i="2"/>
  <c r="S271" i="2" s="1"/>
  <c r="BW274" i="2"/>
  <c r="DH275" i="2"/>
  <c r="BV278" i="2"/>
  <c r="BY283" i="2"/>
  <c r="CT299" i="2"/>
  <c r="CJ301" i="2"/>
  <c r="BY316" i="2"/>
  <c r="BW322" i="2"/>
  <c r="BV360" i="2"/>
  <c r="BW360" i="2"/>
  <c r="DH253" i="2"/>
  <c r="BY258" i="2"/>
  <c r="BW260" i="2"/>
  <c r="BW269" i="2"/>
  <c r="CJ275" i="2"/>
  <c r="DH282" i="2"/>
  <c r="DH288" i="2"/>
  <c r="BW289" i="2"/>
  <c r="BY290" i="2"/>
  <c r="DH310" i="2"/>
  <c r="BV342" i="2"/>
  <c r="BW342" i="2"/>
  <c r="BY342" i="2"/>
  <c r="CT314" i="2"/>
  <c r="DH320" i="2"/>
  <c r="DH322" i="2"/>
  <c r="DH325" i="2"/>
  <c r="BW333" i="2"/>
  <c r="BW344" i="2"/>
  <c r="CJ347" i="2"/>
  <c r="CJ349" i="2"/>
  <c r="CJ352" i="2"/>
  <c r="CJ354" i="2"/>
  <c r="DH355" i="2"/>
  <c r="DH357" i="2"/>
  <c r="BW358" i="2"/>
  <c r="DH362" i="2"/>
  <c r="CT365" i="2"/>
  <c r="CJ368" i="2"/>
  <c r="DH371" i="2"/>
  <c r="R375" i="2"/>
  <c r="CJ376" i="2"/>
  <c r="DH382" i="2"/>
  <c r="DH384" i="2"/>
  <c r="DH387" i="2"/>
  <c r="DH394" i="2"/>
  <c r="DH396" i="2"/>
  <c r="BY401" i="2"/>
  <c r="BW403" i="2"/>
  <c r="CT407" i="2"/>
  <c r="BY494" i="2"/>
  <c r="BV494" i="2"/>
  <c r="BW494" i="2"/>
  <c r="BV367" i="2"/>
  <c r="CJ372" i="2"/>
  <c r="BW488" i="2"/>
  <c r="BV488" i="2"/>
  <c r="CJ324" i="2"/>
  <c r="CJ325" i="2"/>
  <c r="CX325" i="2" s="1"/>
  <c r="R327" i="2"/>
  <c r="S327" i="2" s="1"/>
  <c r="BY344" i="2"/>
  <c r="CT346" i="2"/>
  <c r="CT353" i="2"/>
  <c r="BW354" i="2"/>
  <c r="CJ362" i="2"/>
  <c r="R372" i="2"/>
  <c r="X372" i="2" s="1"/>
  <c r="AJ372" i="2" s="1"/>
  <c r="AP372" i="2" s="1"/>
  <c r="CJ373" i="2"/>
  <c r="R382" i="2"/>
  <c r="R386" i="2"/>
  <c r="DH392" i="2"/>
  <c r="R398" i="2"/>
  <c r="S398" i="2" s="1"/>
  <c r="BY403" i="2"/>
  <c r="BV371" i="2"/>
  <c r="AJ384" i="2"/>
  <c r="AJ392" i="2"/>
  <c r="R412" i="2"/>
  <c r="CT311" i="2"/>
  <c r="CT312" i="2"/>
  <c r="R328" i="2"/>
  <c r="S328" i="2" s="1"/>
  <c r="CJ329" i="2"/>
  <c r="DH331" i="2"/>
  <c r="DH333" i="2"/>
  <c r="DH336" i="2"/>
  <c r="DH338" i="2"/>
  <c r="R339" i="2"/>
  <c r="S339" i="2" s="1"/>
  <c r="CJ339" i="2"/>
  <c r="R340" i="2"/>
  <c r="S340" i="2" s="1"/>
  <c r="CJ341" i="2"/>
  <c r="CT355" i="2"/>
  <c r="CJ356" i="2"/>
  <c r="DH358" i="2"/>
  <c r="CJ364" i="2"/>
  <c r="BY380" i="2"/>
  <c r="R393" i="2"/>
  <c r="S393" i="2" s="1"/>
  <c r="BV397" i="2"/>
  <c r="DH401" i="2"/>
  <c r="CJ411" i="2"/>
  <c r="BW450" i="2"/>
  <c r="BY450" i="2"/>
  <c r="BV450" i="2"/>
  <c r="BY491" i="2"/>
  <c r="BW491" i="2"/>
  <c r="BV491" i="2"/>
  <c r="CJ342" i="2"/>
  <c r="BY395" i="2"/>
  <c r="BY396" i="2"/>
  <c r="X401" i="2"/>
  <c r="CJ401" i="2"/>
  <c r="R408" i="2"/>
  <c r="AV445" i="2"/>
  <c r="AW445" i="2" s="1"/>
  <c r="CJ323" i="2"/>
  <c r="DH334" i="2"/>
  <c r="R335" i="2"/>
  <c r="S335" i="2" s="1"/>
  <c r="CJ336" i="2"/>
  <c r="DH345" i="2"/>
  <c r="DH347" i="2"/>
  <c r="CJ348" i="2"/>
  <c r="DH349" i="2"/>
  <c r="CJ350" i="2"/>
  <c r="DH352" i="2"/>
  <c r="CJ358" i="2"/>
  <c r="R379" i="2"/>
  <c r="DH379" i="2"/>
  <c r="BY385" i="2"/>
  <c r="BY388" i="2"/>
  <c r="BY389" i="2"/>
  <c r="BY400" i="2"/>
  <c r="BW401" i="2"/>
  <c r="CJ402" i="2"/>
  <c r="DH405" i="2"/>
  <c r="CT451" i="2"/>
  <c r="BV468" i="2"/>
  <c r="BY468" i="2"/>
  <c r="BY470" i="2"/>
  <c r="R474" i="2"/>
  <c r="X474" i="2" s="1"/>
  <c r="AJ474" i="2" s="1"/>
  <c r="AP474" i="2" s="1"/>
  <c r="R410" i="2"/>
  <c r="S410" i="2" s="1"/>
  <c r="DH410" i="2"/>
  <c r="DH417" i="2"/>
  <c r="CJ418" i="2"/>
  <c r="CJ423" i="2"/>
  <c r="CT424" i="2"/>
  <c r="DH438" i="2"/>
  <c r="DH439" i="2"/>
  <c r="R443" i="2"/>
  <c r="R444" i="2"/>
  <c r="BY452" i="2"/>
  <c r="CT452" i="2"/>
  <c r="BV461" i="2"/>
  <c r="CJ468" i="2"/>
  <c r="CT470" i="2"/>
  <c r="CX470" i="2" s="1"/>
  <c r="DL470" i="2" s="1"/>
  <c r="R475" i="2"/>
  <c r="S475" i="2" s="1"/>
  <c r="CJ481" i="2"/>
  <c r="BV489" i="2"/>
  <c r="BW493" i="2"/>
  <c r="CJ437" i="2"/>
  <c r="CJ466" i="2"/>
  <c r="CX466" i="2" s="1"/>
  <c r="AP489" i="2"/>
  <c r="BV495" i="2"/>
  <c r="DH428" i="2"/>
  <c r="CJ436" i="2"/>
  <c r="BY451" i="2"/>
  <c r="DH452" i="2"/>
  <c r="BV459" i="2"/>
  <c r="BY462" i="2"/>
  <c r="BY471" i="2"/>
  <c r="CT471" i="2"/>
  <c r="CT482" i="2"/>
  <c r="CT483" i="2"/>
  <c r="DH492" i="2"/>
  <c r="BW495" i="2"/>
  <c r="DH499" i="2"/>
  <c r="CJ426" i="2"/>
  <c r="CJ432" i="2"/>
  <c r="BY443" i="2"/>
  <c r="BY444" i="2"/>
  <c r="DH454" i="2"/>
  <c r="DH455" i="2"/>
  <c r="CT465" i="2"/>
  <c r="CT491" i="2"/>
  <c r="X500" i="2"/>
  <c r="Y500" i="2" s="1"/>
  <c r="CT436" i="2"/>
  <c r="CT439" i="2"/>
  <c r="BY445" i="2"/>
  <c r="BY465" i="2"/>
  <c r="R491" i="2"/>
  <c r="DH494" i="2"/>
  <c r="BV498" i="2"/>
  <c r="DH416" i="2"/>
  <c r="DH418" i="2"/>
  <c r="CJ422" i="2"/>
  <c r="CJ424" i="2"/>
  <c r="CJ429" i="2"/>
  <c r="CT432" i="2"/>
  <c r="CJ440" i="2"/>
  <c r="BY446" i="2"/>
  <c r="BV452" i="2"/>
  <c r="R455" i="2"/>
  <c r="BY466" i="2"/>
  <c r="CT466" i="2"/>
  <c r="DH471" i="2"/>
  <c r="R481" i="2"/>
  <c r="R486" i="2"/>
  <c r="CJ493" i="2"/>
  <c r="CJ93" i="2"/>
  <c r="CX93" i="2" s="1"/>
  <c r="DL93" i="2" s="1"/>
  <c r="R31" i="2"/>
  <c r="BW152" i="2"/>
  <c r="BY152" i="2"/>
  <c r="BW391" i="2"/>
  <c r="BY391" i="2"/>
  <c r="CT82" i="2"/>
  <c r="CJ85" i="2"/>
  <c r="CT90" i="2"/>
  <c r="DH29" i="2"/>
  <c r="R34" i="2"/>
  <c r="CT44" i="2"/>
  <c r="CJ55" i="2"/>
  <c r="CT78" i="2"/>
  <c r="CX78" i="2" s="1"/>
  <c r="R46" i="2"/>
  <c r="CT80" i="2"/>
  <c r="CJ39" i="2"/>
  <c r="CX39" i="2" s="1"/>
  <c r="DL39" i="2" s="1"/>
  <c r="CT66" i="2"/>
  <c r="CX66" i="2" s="1"/>
  <c r="CJ83" i="2"/>
  <c r="CT88" i="2"/>
  <c r="CJ91" i="2"/>
  <c r="CT96" i="2"/>
  <c r="BY284" i="2"/>
  <c r="BW284" i="2"/>
  <c r="BV284" i="2"/>
  <c r="BY319" i="2"/>
  <c r="BV319" i="2"/>
  <c r="BW319" i="2"/>
  <c r="R54" i="2"/>
  <c r="CT76" i="2"/>
  <c r="CX76" i="2" s="1"/>
  <c r="DL76" i="2" s="1"/>
  <c r="CJ107" i="2"/>
  <c r="CJ28" i="2"/>
  <c r="CT64" i="2"/>
  <c r="CX64" i="2" s="1"/>
  <c r="DL64" i="2" s="1"/>
  <c r="R32" i="2"/>
  <c r="CT62" i="2"/>
  <c r="CJ86" i="2"/>
  <c r="R40" i="2"/>
  <c r="X40" i="2" s="1"/>
  <c r="AJ40" i="2" s="1"/>
  <c r="CT28" i="2"/>
  <c r="CT42" i="2"/>
  <c r="CT45" i="2"/>
  <c r="R47" i="2"/>
  <c r="R52" i="2"/>
  <c r="CT60" i="2"/>
  <c r="CT194" i="2"/>
  <c r="R197" i="2"/>
  <c r="CT30" i="2"/>
  <c r="R44" i="2"/>
  <c r="BW178" i="2"/>
  <c r="BY178" i="2"/>
  <c r="BW189" i="2"/>
  <c r="BY189" i="2"/>
  <c r="BY226" i="2"/>
  <c r="BW226" i="2"/>
  <c r="BV226" i="2"/>
  <c r="R37" i="2"/>
  <c r="CT72" i="2"/>
  <c r="CJ26" i="2"/>
  <c r="CJ31" i="2"/>
  <c r="DH50" i="2"/>
  <c r="CT58" i="2"/>
  <c r="CX58" i="2" s="1"/>
  <c r="CG58" i="2" s="1"/>
  <c r="CJ69" i="2"/>
  <c r="CJ71" i="2"/>
  <c r="CJ73" i="2"/>
  <c r="CJ75" i="2"/>
  <c r="CJ77" i="2"/>
  <c r="CJ79" i="2"/>
  <c r="CJ81" i="2"/>
  <c r="CT86" i="2"/>
  <c r="CJ89" i="2"/>
  <c r="CT94" i="2"/>
  <c r="CX94" i="2" s="1"/>
  <c r="CJ97" i="2"/>
  <c r="CT174" i="2"/>
  <c r="BW179" i="2"/>
  <c r="BY179" i="2"/>
  <c r="CT68" i="2"/>
  <c r="CJ99" i="2"/>
  <c r="R30" i="2"/>
  <c r="DH33" i="2"/>
  <c r="BW169" i="2"/>
  <c r="BY169" i="2"/>
  <c r="CT185" i="2"/>
  <c r="X187" i="2"/>
  <c r="AJ187" i="2" s="1"/>
  <c r="AP187" i="2" s="1"/>
  <c r="DH26" i="2"/>
  <c r="R28" i="2"/>
  <c r="CT31" i="2"/>
  <c r="DH36" i="2"/>
  <c r="DH48" i="2"/>
  <c r="R50" i="2"/>
  <c r="CT56" i="2"/>
  <c r="CX56" i="2" s="1"/>
  <c r="DL56" i="2" s="1"/>
  <c r="CJ63" i="2"/>
  <c r="CT51" i="2"/>
  <c r="CT43" i="2"/>
  <c r="R45" i="2"/>
  <c r="CJ59" i="2"/>
  <c r="CT84" i="2"/>
  <c r="CJ87" i="2"/>
  <c r="CT92" i="2"/>
  <c r="CX92" i="2" s="1"/>
  <c r="DL92" i="2" s="1"/>
  <c r="CJ95" i="2"/>
  <c r="DH152" i="2"/>
  <c r="CJ29" i="2"/>
  <c r="CJ27" i="2"/>
  <c r="CX27" i="2" s="1"/>
  <c r="DL27" i="2" s="1"/>
  <c r="X148" i="2"/>
  <c r="CT70" i="2"/>
  <c r="CT74" i="2"/>
  <c r="CX74" i="2" s="1"/>
  <c r="CJ33" i="2"/>
  <c r="CT29" i="2"/>
  <c r="CX29" i="2" s="1"/>
  <c r="DL29" i="2" s="1"/>
  <c r="CJ82" i="2"/>
  <c r="CJ90" i="2"/>
  <c r="DH34" i="2"/>
  <c r="CJ35" i="2"/>
  <c r="DH46" i="2"/>
  <c r="CJ57" i="2"/>
  <c r="R123" i="2"/>
  <c r="CT306" i="2"/>
  <c r="CT55" i="2"/>
  <c r="CT57" i="2"/>
  <c r="CT59" i="2"/>
  <c r="CX59" i="2" s="1"/>
  <c r="DL59" i="2" s="1"/>
  <c r="CT61" i="2"/>
  <c r="CT63" i="2"/>
  <c r="CT65" i="2"/>
  <c r="CX65" i="2" s="1"/>
  <c r="DL65" i="2" s="1"/>
  <c r="CT67" i="2"/>
  <c r="CT69" i="2"/>
  <c r="CT71" i="2"/>
  <c r="CT73" i="2"/>
  <c r="CX73" i="2" s="1"/>
  <c r="CM73" i="2" s="1"/>
  <c r="CT75" i="2"/>
  <c r="CT77" i="2"/>
  <c r="CT79" i="2"/>
  <c r="CT81" i="2"/>
  <c r="DH123" i="2"/>
  <c r="R125" i="2"/>
  <c r="S125" i="2" s="1"/>
  <c r="BY219" i="2"/>
  <c r="BW219" i="2"/>
  <c r="BV219" i="2"/>
  <c r="CJ224" i="2"/>
  <c r="BV251" i="2"/>
  <c r="BY251" i="2"/>
  <c r="BW251" i="2"/>
  <c r="CT83" i="2"/>
  <c r="CX83" i="2" s="1"/>
  <c r="DL83" i="2" s="1"/>
  <c r="CT85" i="2"/>
  <c r="CT87" i="2"/>
  <c r="CT89" i="2"/>
  <c r="CT91" i="2"/>
  <c r="CT93" i="2"/>
  <c r="CT95" i="2"/>
  <c r="CT97" i="2"/>
  <c r="R122" i="2"/>
  <c r="X122" i="2" s="1"/>
  <c r="AJ122" i="2" s="1"/>
  <c r="AP122" i="2" s="1"/>
  <c r="AP151" i="2"/>
  <c r="AP179" i="2"/>
  <c r="BY259" i="2"/>
  <c r="BV259" i="2"/>
  <c r="BY273" i="2"/>
  <c r="BW273" i="2"/>
  <c r="BV273" i="2"/>
  <c r="CJ30" i="2"/>
  <c r="CJ32" i="2"/>
  <c r="CJ34" i="2"/>
  <c r="CJ36" i="2"/>
  <c r="DH47" i="2"/>
  <c r="R49" i="2"/>
  <c r="DH49" i="2"/>
  <c r="DH51" i="2"/>
  <c r="CT99" i="2"/>
  <c r="CT101" i="2"/>
  <c r="CT103" i="2"/>
  <c r="CX103" i="2" s="1"/>
  <c r="CT105" i="2"/>
  <c r="CX105" i="2" s="1"/>
  <c r="DL105" i="2" s="1"/>
  <c r="CT107" i="2"/>
  <c r="DH125" i="2"/>
  <c r="R127" i="2"/>
  <c r="S127" i="2" s="1"/>
  <c r="R129" i="2"/>
  <c r="R131" i="2"/>
  <c r="DH131" i="2"/>
  <c r="DH134" i="2"/>
  <c r="DH139" i="2"/>
  <c r="CT140" i="2"/>
  <c r="CT148" i="2"/>
  <c r="BW162" i="2"/>
  <c r="BY162" i="2"/>
  <c r="BW172" i="2"/>
  <c r="BY172" i="2"/>
  <c r="X180" i="2"/>
  <c r="BW192" i="2"/>
  <c r="BY192" i="2"/>
  <c r="R267" i="2"/>
  <c r="CJ38" i="2"/>
  <c r="CT109" i="2"/>
  <c r="CT111" i="2"/>
  <c r="CX111" i="2" s="1"/>
  <c r="DL111" i="2" s="1"/>
  <c r="CT135" i="2"/>
  <c r="X281" i="2"/>
  <c r="AJ281" i="2" s="1"/>
  <c r="AK281" i="2" s="1"/>
  <c r="BW299" i="2"/>
  <c r="BV299" i="2"/>
  <c r="BY299" i="2"/>
  <c r="R303" i="2"/>
  <c r="S303" i="2" s="1"/>
  <c r="CJ40" i="2"/>
  <c r="DH57" i="2"/>
  <c r="DH59" i="2"/>
  <c r="DH61" i="2"/>
  <c r="DH63" i="2"/>
  <c r="DH65" i="2"/>
  <c r="DH67" i="2"/>
  <c r="DH69" i="2"/>
  <c r="DH71" i="2"/>
  <c r="DH73" i="2"/>
  <c r="DH75" i="2"/>
  <c r="DH77" i="2"/>
  <c r="DH79" i="2"/>
  <c r="DH81" i="2"/>
  <c r="CT158" i="2"/>
  <c r="CT216" i="2"/>
  <c r="CJ217" i="2"/>
  <c r="CX217" i="2" s="1"/>
  <c r="DL217" i="2" s="1"/>
  <c r="DB217" i="2" s="1"/>
  <c r="DC217" i="2" s="1"/>
  <c r="CT223" i="2"/>
  <c r="CJ249" i="2"/>
  <c r="CT34" i="2"/>
  <c r="CJ50" i="2"/>
  <c r="CX50" i="2" s="1"/>
  <c r="DL50" i="2" s="1"/>
  <c r="CJ52" i="2"/>
  <c r="DH83" i="2"/>
  <c r="DH85" i="2"/>
  <c r="DH87" i="2"/>
  <c r="DH89" i="2"/>
  <c r="DH91" i="2"/>
  <c r="DH93" i="2"/>
  <c r="DH95" i="2"/>
  <c r="DH97" i="2"/>
  <c r="DH99" i="2"/>
  <c r="DH101" i="2"/>
  <c r="DH103" i="2"/>
  <c r="DH105" i="2"/>
  <c r="DH107" i="2"/>
  <c r="CJ126" i="2"/>
  <c r="CJ128" i="2"/>
  <c r="CJ130" i="2"/>
  <c r="BW145" i="2"/>
  <c r="BY145" i="2"/>
  <c r="CT159" i="2"/>
  <c r="CT168" i="2"/>
  <c r="CT188" i="2"/>
  <c r="BW265" i="2"/>
  <c r="BV265" i="2"/>
  <c r="BY265" i="2"/>
  <c r="CT297" i="2"/>
  <c r="CT38" i="2"/>
  <c r="CJ54" i="2"/>
  <c r="DH109" i="2"/>
  <c r="DH111" i="2"/>
  <c r="X116" i="2"/>
  <c r="Y116" i="2" s="1"/>
  <c r="BY143" i="2"/>
  <c r="X153" i="2"/>
  <c r="AJ153" i="2" s="1"/>
  <c r="AP153" i="2" s="1"/>
  <c r="DH156" i="2"/>
  <c r="R162" i="2"/>
  <c r="BW205" i="2"/>
  <c r="BY205" i="2"/>
  <c r="BY215" i="2"/>
  <c r="BW215" i="2"/>
  <c r="BV215" i="2"/>
  <c r="CJ100" i="2"/>
  <c r="CJ102" i="2"/>
  <c r="CJ104" i="2"/>
  <c r="CJ106" i="2"/>
  <c r="BV140" i="2"/>
  <c r="BY140" i="2"/>
  <c r="BV230" i="2"/>
  <c r="BY230" i="2"/>
  <c r="BW230" i="2"/>
  <c r="BW165" i="2"/>
  <c r="BY165" i="2"/>
  <c r="DH176" i="2"/>
  <c r="BW185" i="2"/>
  <c r="BY185" i="2"/>
  <c r="BW297" i="2"/>
  <c r="BY297" i="2"/>
  <c r="BV297" i="2"/>
  <c r="CX117" i="2"/>
  <c r="DL117" i="2" s="1"/>
  <c r="DH122" i="2"/>
  <c r="R124" i="2"/>
  <c r="S124" i="2" s="1"/>
  <c r="CT201" i="2"/>
  <c r="R286" i="2"/>
  <c r="S286" i="2" s="1"/>
  <c r="BV270" i="2"/>
  <c r="BY270" i="2"/>
  <c r="BW270" i="2"/>
  <c r="CT98" i="2"/>
  <c r="R126" i="2"/>
  <c r="S126" i="2" s="1"/>
  <c r="R132" i="2"/>
  <c r="X132" i="2" s="1"/>
  <c r="Y132" i="2" s="1"/>
  <c r="CT161" i="2"/>
  <c r="CT181" i="2"/>
  <c r="AJ195" i="2"/>
  <c r="DH199" i="2"/>
  <c r="CJ220" i="2"/>
  <c r="CJ228" i="2"/>
  <c r="BV255" i="2"/>
  <c r="BY255" i="2"/>
  <c r="BW255" i="2"/>
  <c r="BY295" i="2"/>
  <c r="BW295" i="2"/>
  <c r="BV295" i="2"/>
  <c r="CT100" i="2"/>
  <c r="CT102" i="2"/>
  <c r="CX102" i="2" s="1"/>
  <c r="DL102" i="2" s="1"/>
  <c r="CT104" i="2"/>
  <c r="CX104" i="2" s="1"/>
  <c r="CT106" i="2"/>
  <c r="CJ123" i="2"/>
  <c r="R128" i="2"/>
  <c r="X128" i="2" s="1"/>
  <c r="AJ128" i="2" s="1"/>
  <c r="AP128" i="2" s="1"/>
  <c r="R130" i="2"/>
  <c r="S130" i="2" s="1"/>
  <c r="BW148" i="2"/>
  <c r="BY148" i="2"/>
  <c r="CT108" i="2"/>
  <c r="CX108" i="2" s="1"/>
  <c r="DL108" i="2" s="1"/>
  <c r="CT110" i="2"/>
  <c r="CX110" i="2" s="1"/>
  <c r="DL110" i="2" s="1"/>
  <c r="CT112" i="2"/>
  <c r="BW149" i="2"/>
  <c r="BY149" i="2"/>
  <c r="CT172" i="2"/>
  <c r="CJ41" i="2"/>
  <c r="CJ43" i="2"/>
  <c r="CJ45" i="2"/>
  <c r="CJ47" i="2"/>
  <c r="DH54" i="2"/>
  <c r="DH56" i="2"/>
  <c r="DH58" i="2"/>
  <c r="DH60" i="2"/>
  <c r="DH62" i="2"/>
  <c r="DH64" i="2"/>
  <c r="DH66" i="2"/>
  <c r="DH68" i="2"/>
  <c r="DH70" i="2"/>
  <c r="DH72" i="2"/>
  <c r="DH74" i="2"/>
  <c r="DH76" i="2"/>
  <c r="DH78" i="2"/>
  <c r="DH80" i="2"/>
  <c r="CJ125" i="2"/>
  <c r="CJ131" i="2"/>
  <c r="CJ134" i="2"/>
  <c r="CT144" i="2"/>
  <c r="CT154" i="2"/>
  <c r="BY156" i="2"/>
  <c r="BW158" i="2"/>
  <c r="BY158" i="2"/>
  <c r="BW198" i="2"/>
  <c r="BY198" i="2"/>
  <c r="DH226" i="2"/>
  <c r="CJ237" i="2"/>
  <c r="CJ245" i="2"/>
  <c r="BY262" i="2"/>
  <c r="BW262" i="2"/>
  <c r="BV262" i="2"/>
  <c r="R301" i="2"/>
  <c r="S301" i="2" s="1"/>
  <c r="CT33" i="2"/>
  <c r="CT35" i="2"/>
  <c r="CJ49" i="2"/>
  <c r="CX49" i="2" s="1"/>
  <c r="DL49" i="2" s="1"/>
  <c r="CJ51" i="2"/>
  <c r="DH82" i="2"/>
  <c r="DH84" i="2"/>
  <c r="DH86" i="2"/>
  <c r="DH88" i="2"/>
  <c r="DH90" i="2"/>
  <c r="DH92" i="2"/>
  <c r="DH94" i="2"/>
  <c r="DH96" i="2"/>
  <c r="DH98" i="2"/>
  <c r="DH100" i="2"/>
  <c r="DH102" i="2"/>
  <c r="DH104" i="2"/>
  <c r="DH106" i="2"/>
  <c r="CJ127" i="2"/>
  <c r="CJ129" i="2"/>
  <c r="CT133" i="2"/>
  <c r="DH137" i="2"/>
  <c r="CT138" i="2"/>
  <c r="DH142" i="2"/>
  <c r="CT145" i="2"/>
  <c r="X147" i="2"/>
  <c r="BW159" i="2"/>
  <c r="BY159" i="2"/>
  <c r="BW168" i="2"/>
  <c r="BY168" i="2"/>
  <c r="DH170" i="2"/>
  <c r="X196" i="2"/>
  <c r="CJ253" i="2"/>
  <c r="R292" i="2"/>
  <c r="S292" i="2" s="1"/>
  <c r="CT220" i="2"/>
  <c r="CT248" i="2"/>
  <c r="CJ274" i="2"/>
  <c r="DH276" i="2"/>
  <c r="CJ285" i="2"/>
  <c r="CT293" i="2"/>
  <c r="CT317" i="2"/>
  <c r="BV326" i="2"/>
  <c r="BY326" i="2"/>
  <c r="CJ330" i="2"/>
  <c r="CJ139" i="2"/>
  <c r="CT207" i="2"/>
  <c r="CX207" i="2" s="1"/>
  <c r="DL207" i="2" s="1"/>
  <c r="DB207" i="2" s="1"/>
  <c r="DC207" i="2" s="1"/>
  <c r="CT209" i="2"/>
  <c r="CT232" i="2"/>
  <c r="CT236" i="2"/>
  <c r="CX236" i="2" s="1"/>
  <c r="DL236" i="2" s="1"/>
  <c r="CT240" i="2"/>
  <c r="CX240" i="2" s="1"/>
  <c r="DL240" i="2" s="1"/>
  <c r="CT244" i="2"/>
  <c r="R284" i="2"/>
  <c r="S284" i="2" s="1"/>
  <c r="CT149" i="2"/>
  <c r="CT169" i="2"/>
  <c r="CT189" i="2"/>
  <c r="CJ210" i="2"/>
  <c r="CT224" i="2"/>
  <c r="CX224" i="2" s="1"/>
  <c r="DL224" i="2" s="1"/>
  <c r="CJ233" i="2"/>
  <c r="DH260" i="2"/>
  <c r="CT263" i="2"/>
  <c r="CX263" i="2" s="1"/>
  <c r="DH265" i="2"/>
  <c r="BV267" i="2"/>
  <c r="BW275" i="2"/>
  <c r="CT277" i="2"/>
  <c r="R279" i="2"/>
  <c r="S279" i="2" s="1"/>
  <c r="CT287" i="2"/>
  <c r="CX287" i="2" s="1"/>
  <c r="BW293" i="2"/>
  <c r="BV293" i="2"/>
  <c r="R297" i="2"/>
  <c r="S297" i="2" s="1"/>
  <c r="BY298" i="2"/>
  <c r="CJ302" i="2"/>
  <c r="BW364" i="2"/>
  <c r="BV364" i="2"/>
  <c r="BW383" i="2"/>
  <c r="BY383" i="2"/>
  <c r="CJ136" i="2"/>
  <c r="CT142" i="2"/>
  <c r="CX142" i="2" s="1"/>
  <c r="DL142" i="2" s="1"/>
  <c r="DH154" i="2"/>
  <c r="CT156" i="2"/>
  <c r="DH174" i="2"/>
  <c r="CT176" i="2"/>
  <c r="DH194" i="2"/>
  <c r="CT196" i="2"/>
  <c r="BV208" i="2"/>
  <c r="CT213" i="2"/>
  <c r="CX213" i="2" s="1"/>
  <c r="DL213" i="2" s="1"/>
  <c r="CT257" i="2"/>
  <c r="CX257" i="2" s="1"/>
  <c r="DL257" i="2" s="1"/>
  <c r="BW267" i="2"/>
  <c r="BY281" i="2"/>
  <c r="BV288" i="2"/>
  <c r="CT289" i="2"/>
  <c r="R299" i="2"/>
  <c r="S299" i="2" s="1"/>
  <c r="CT304" i="2"/>
  <c r="CT143" i="2"/>
  <c r="DH161" i="2"/>
  <c r="CT163" i="2"/>
  <c r="DH181" i="2"/>
  <c r="CT183" i="2"/>
  <c r="DH201" i="2"/>
  <c r="CT203" i="2"/>
  <c r="BW208" i="2"/>
  <c r="CJ214" i="2"/>
  <c r="CT228" i="2"/>
  <c r="BW231" i="2"/>
  <c r="BW235" i="2"/>
  <c r="BW239" i="2"/>
  <c r="BW243" i="2"/>
  <c r="BW247" i="2"/>
  <c r="CT253" i="2"/>
  <c r="CT271" i="2"/>
  <c r="CT274" i="2"/>
  <c r="CX274" i="2" s="1"/>
  <c r="DL274" i="2" s="1"/>
  <c r="DB274" i="2" s="1"/>
  <c r="BW276" i="2"/>
  <c r="CJ283" i="2"/>
  <c r="R291" i="2"/>
  <c r="CT309" i="2"/>
  <c r="R311" i="2"/>
  <c r="CT150" i="2"/>
  <c r="AJ152" i="2"/>
  <c r="CT170" i="2"/>
  <c r="AJ172" i="2"/>
  <c r="CT190" i="2"/>
  <c r="CT210" i="2"/>
  <c r="R287" i="2"/>
  <c r="S287" i="2" s="1"/>
  <c r="BY288" i="2"/>
  <c r="BW309" i="2"/>
  <c r="BV309" i="2"/>
  <c r="R315" i="2"/>
  <c r="S315" i="2" s="1"/>
  <c r="DH155" i="2"/>
  <c r="CT157" i="2"/>
  <c r="DH175" i="2"/>
  <c r="CT177" i="2"/>
  <c r="DH195" i="2"/>
  <c r="CT197" i="2"/>
  <c r="BY199" i="2"/>
  <c r="CJ218" i="2"/>
  <c r="BW223" i="2"/>
  <c r="BY231" i="2"/>
  <c r="BY235" i="2"/>
  <c r="CT237" i="2"/>
  <c r="CX237" i="2" s="1"/>
  <c r="BY239" i="2"/>
  <c r="CT241" i="2"/>
  <c r="BY243" i="2"/>
  <c r="CT245" i="2"/>
  <c r="CX245" i="2" s="1"/>
  <c r="DL245" i="2" s="1"/>
  <c r="DB245" i="2" s="1"/>
  <c r="BY247" i="2"/>
  <c r="X265" i="2"/>
  <c r="Y265" i="2" s="1"/>
  <c r="R273" i="2"/>
  <c r="BY276" i="2"/>
  <c r="R289" i="2"/>
  <c r="S289" i="2" s="1"/>
  <c r="R293" i="2"/>
  <c r="S293" i="2" s="1"/>
  <c r="CT300" i="2"/>
  <c r="CT307" i="2"/>
  <c r="BV308" i="2"/>
  <c r="BW323" i="2"/>
  <c r="BV323" i="2"/>
  <c r="BY323" i="2"/>
  <c r="BV328" i="2"/>
  <c r="BW328" i="2"/>
  <c r="BY328" i="2"/>
  <c r="CT340" i="2"/>
  <c r="CT184" i="2"/>
  <c r="CT204" i="2"/>
  <c r="CT214" i="2"/>
  <c r="CX214" i="2" s="1"/>
  <c r="DL214" i="2" s="1"/>
  <c r="CT261" i="2"/>
  <c r="BY285" i="2"/>
  <c r="BW285" i="2"/>
  <c r="BY312" i="2"/>
  <c r="BW312" i="2"/>
  <c r="BV312" i="2"/>
  <c r="DH149" i="2"/>
  <c r="CT151" i="2"/>
  <c r="BY153" i="2"/>
  <c r="DH169" i="2"/>
  <c r="CT171" i="2"/>
  <c r="BY173" i="2"/>
  <c r="DH189" i="2"/>
  <c r="CT191" i="2"/>
  <c r="BY193" i="2"/>
  <c r="CJ222" i="2"/>
  <c r="CT229" i="2"/>
  <c r="CX229" i="2" s="1"/>
  <c r="DL229" i="2" s="1"/>
  <c r="CT258" i="2"/>
  <c r="CX258" i="2" s="1"/>
  <c r="DL258" i="2" s="1"/>
  <c r="CJ267" i="2"/>
  <c r="CT269" i="2"/>
  <c r="DH291" i="2"/>
  <c r="CJ303" i="2"/>
  <c r="BV306" i="2"/>
  <c r="BY308" i="2"/>
  <c r="CT178" i="2"/>
  <c r="DH196" i="2"/>
  <c r="CT198" i="2"/>
  <c r="CT218" i="2"/>
  <c r="CX218" i="2" s="1"/>
  <c r="DL218" i="2" s="1"/>
  <c r="CJ231" i="2"/>
  <c r="CX231" i="2" s="1"/>
  <c r="DL231" i="2" s="1"/>
  <c r="CT254" i="2"/>
  <c r="CX254" i="2" s="1"/>
  <c r="DL254" i="2" s="1"/>
  <c r="CJ259" i="2"/>
  <c r="DH271" i="2"/>
  <c r="CJ292" i="2"/>
  <c r="DH300" i="2"/>
  <c r="R309" i="2"/>
  <c r="S309" i="2" s="1"/>
  <c r="BW336" i="2"/>
  <c r="BV338" i="2"/>
  <c r="BW338" i="2"/>
  <c r="BY338" i="2"/>
  <c r="BW376" i="2"/>
  <c r="BV376" i="2"/>
  <c r="BY376" i="2"/>
  <c r="R300" i="2"/>
  <c r="S300" i="2" s="1"/>
  <c r="R302" i="2"/>
  <c r="S302" i="2" s="1"/>
  <c r="CT222" i="2"/>
  <c r="X232" i="2"/>
  <c r="Y232" i="2" s="1"/>
  <c r="CT234" i="2"/>
  <c r="CX234" i="2" s="1"/>
  <c r="DL234" i="2" s="1"/>
  <c r="CT238" i="2"/>
  <c r="CX238" i="2" s="1"/>
  <c r="DL238" i="2" s="1"/>
  <c r="CT242" i="2"/>
  <c r="CX242" i="2" s="1"/>
  <c r="DL242" i="2" s="1"/>
  <c r="DB242" i="2" s="1"/>
  <c r="DC242" i="2" s="1"/>
  <c r="CT246" i="2"/>
  <c r="CX250" i="2"/>
  <c r="DL250" i="2" s="1"/>
  <c r="DB250" i="2" s="1"/>
  <c r="DC250" i="2" s="1"/>
  <c r="BW257" i="2"/>
  <c r="CT259" i="2"/>
  <c r="CT267" i="2"/>
  <c r="CJ270" i="2"/>
  <c r="R285" i="2"/>
  <c r="S285" i="2" s="1"/>
  <c r="BV287" i="2"/>
  <c r="CT294" i="2"/>
  <c r="BY305" i="2"/>
  <c r="BW305" i="2"/>
  <c r="R307" i="2"/>
  <c r="S307" i="2" s="1"/>
  <c r="R312" i="2"/>
  <c r="S312" i="2" s="1"/>
  <c r="BY313" i="2"/>
  <c r="BW313" i="2"/>
  <c r="BV313" i="2"/>
  <c r="BY336" i="2"/>
  <c r="CT211" i="2"/>
  <c r="CX211" i="2" s="1"/>
  <c r="DL211" i="2" s="1"/>
  <c r="BV224" i="2"/>
  <c r="CJ227" i="2"/>
  <c r="BW228" i="2"/>
  <c r="CJ282" i="2"/>
  <c r="CT290" i="2"/>
  <c r="CT310" i="2"/>
  <c r="DH133" i="2"/>
  <c r="BY135" i="2"/>
  <c r="CT137" i="2"/>
  <c r="CJ141" i="2"/>
  <c r="CX141" i="2" s="1"/>
  <c r="DL141" i="2" s="1"/>
  <c r="BY142" i="2"/>
  <c r="DH144" i="2"/>
  <c r="CT146" i="2"/>
  <c r="DH164" i="2"/>
  <c r="CT166" i="2"/>
  <c r="DH184" i="2"/>
  <c r="CT186" i="2"/>
  <c r="BY188" i="2"/>
  <c r="DH204" i="2"/>
  <c r="CJ212" i="2"/>
  <c r="BW217" i="2"/>
  <c r="BW224" i="2"/>
  <c r="CT226" i="2"/>
  <c r="BW249" i="2"/>
  <c r="BY257" i="2"/>
  <c r="BW263" i="2"/>
  <c r="DH269" i="2"/>
  <c r="BV274" i="2"/>
  <c r="BW277" i="2"/>
  <c r="CT286" i="2"/>
  <c r="BY287" i="2"/>
  <c r="CT303" i="2"/>
  <c r="DH332" i="2"/>
  <c r="CT173" i="2"/>
  <c r="CT193" i="2"/>
  <c r="CT215" i="2"/>
  <c r="BV221" i="2"/>
  <c r="X228" i="2"/>
  <c r="BY228" i="2"/>
  <c r="BW237" i="2"/>
  <c r="BW241" i="2"/>
  <c r="BW245" i="2"/>
  <c r="CT255" i="2"/>
  <c r="CJ256" i="2"/>
  <c r="CX256" i="2" s="1"/>
  <c r="DL256" i="2" s="1"/>
  <c r="BV314" i="2"/>
  <c r="BY314" i="2"/>
  <c r="BW314" i="2"/>
  <c r="BV321" i="2"/>
  <c r="BW321" i="2"/>
  <c r="BY321" i="2"/>
  <c r="CT134" i="2"/>
  <c r="CJ138" i="2"/>
  <c r="DH140" i="2"/>
  <c r="DH158" i="2"/>
  <c r="CT160" i="2"/>
  <c r="CT180" i="2"/>
  <c r="BY182" i="2"/>
  <c r="CT200" i="2"/>
  <c r="BY202" i="2"/>
  <c r="BV210" i="2"/>
  <c r="CJ216" i="2"/>
  <c r="CX216" i="2" s="1"/>
  <c r="DL216" i="2" s="1"/>
  <c r="CT227" i="2"/>
  <c r="DH230" i="2"/>
  <c r="BW233" i="2"/>
  <c r="BY249" i="2"/>
  <c r="CT251" i="2"/>
  <c r="CX251" i="2" s="1"/>
  <c r="CJ252" i="2"/>
  <c r="CT270" i="2"/>
  <c r="CX270" i="2" s="1"/>
  <c r="DL270" i="2" s="1"/>
  <c r="DB270" i="2" s="1"/>
  <c r="BV271" i="2"/>
  <c r="BY277" i="2"/>
  <c r="CT279" i="2"/>
  <c r="BV285" i="2"/>
  <c r="R290" i="2"/>
  <c r="S290" i="2" s="1"/>
  <c r="CJ293" i="2"/>
  <c r="R296" i="2"/>
  <c r="S296" i="2" s="1"/>
  <c r="BW303" i="2"/>
  <c r="BV303" i="2"/>
  <c r="BV307" i="2"/>
  <c r="BY309" i="2"/>
  <c r="R313" i="2"/>
  <c r="S313" i="2" s="1"/>
  <c r="CT364" i="2"/>
  <c r="BW369" i="2"/>
  <c r="BY369" i="2"/>
  <c r="BV369" i="2"/>
  <c r="CT122" i="2"/>
  <c r="CX122" i="2" s="1"/>
  <c r="DL122" i="2" s="1"/>
  <c r="CT123" i="2"/>
  <c r="CX123" i="2" s="1"/>
  <c r="DL123" i="2" s="1"/>
  <c r="CT124" i="2"/>
  <c r="CX124" i="2" s="1"/>
  <c r="CT125" i="2"/>
  <c r="CT126" i="2"/>
  <c r="CT127" i="2"/>
  <c r="CT128" i="2"/>
  <c r="CT129" i="2"/>
  <c r="CX129" i="2" s="1"/>
  <c r="CT130" i="2"/>
  <c r="CX130" i="2" s="1"/>
  <c r="DL130" i="2" s="1"/>
  <c r="CT131" i="2"/>
  <c r="CT132" i="2"/>
  <c r="DH145" i="2"/>
  <c r="CT147" i="2"/>
  <c r="DH165" i="2"/>
  <c r="CT167" i="2"/>
  <c r="DH185" i="2"/>
  <c r="CT187" i="2"/>
  <c r="DH205" i="2"/>
  <c r="CT212" i="2"/>
  <c r="CT219" i="2"/>
  <c r="CX219" i="2" s="1"/>
  <c r="DL219" i="2" s="1"/>
  <c r="DH222" i="2"/>
  <c r="CT235" i="2"/>
  <c r="CX235" i="2" s="1"/>
  <c r="DL235" i="2" s="1"/>
  <c r="BY237" i="2"/>
  <c r="CT239" i="2"/>
  <c r="CX239" i="2" s="1"/>
  <c r="DL239" i="2" s="1"/>
  <c r="BY241" i="2"/>
  <c r="CT243" i="2"/>
  <c r="BY245" i="2"/>
  <c r="CT247" i="2"/>
  <c r="CJ248" i="2"/>
  <c r="BW258" i="2"/>
  <c r="DH259" i="2"/>
  <c r="DH267" i="2"/>
  <c r="BV302" i="2"/>
  <c r="R310" i="2"/>
  <c r="S310" i="2" s="1"/>
  <c r="BV348" i="2"/>
  <c r="BW348" i="2"/>
  <c r="CT394" i="2"/>
  <c r="CT285" i="2"/>
  <c r="R288" i="2"/>
  <c r="S288" i="2" s="1"/>
  <c r="CT295" i="2"/>
  <c r="R298" i="2"/>
  <c r="S298" i="2" s="1"/>
  <c r="CT305" i="2"/>
  <c r="R308" i="2"/>
  <c r="S308" i="2" s="1"/>
  <c r="CJ313" i="2"/>
  <c r="R318" i="2"/>
  <c r="S318" i="2" s="1"/>
  <c r="CT320" i="2"/>
  <c r="BV330" i="2"/>
  <c r="BW330" i="2"/>
  <c r="CJ332" i="2"/>
  <c r="DH360" i="2"/>
  <c r="DH364" i="2"/>
  <c r="BW368" i="2"/>
  <c r="BY368" i="2"/>
  <c r="BV368" i="2"/>
  <c r="CT371" i="2"/>
  <c r="CT385" i="2"/>
  <c r="DH399" i="2"/>
  <c r="BV404" i="2"/>
  <c r="BY404" i="2"/>
  <c r="CT411" i="2"/>
  <c r="CJ417" i="2"/>
  <c r="DH419" i="2"/>
  <c r="CT455" i="2"/>
  <c r="CT461" i="2"/>
  <c r="DH292" i="2"/>
  <c r="CJ294" i="2"/>
  <c r="DH302" i="2"/>
  <c r="CJ304" i="2"/>
  <c r="R320" i="2"/>
  <c r="S320" i="2" s="1"/>
  <c r="R322" i="2"/>
  <c r="S322" i="2" s="1"/>
  <c r="CT344" i="2"/>
  <c r="BW361" i="2"/>
  <c r="CT378" i="2"/>
  <c r="CT386" i="2"/>
  <c r="AJ388" i="2"/>
  <c r="BW390" i="2"/>
  <c r="BY390" i="2"/>
  <c r="CT395" i="2"/>
  <c r="R397" i="2"/>
  <c r="X397" i="2" s="1"/>
  <c r="AJ397" i="2" s="1"/>
  <c r="AP397" i="2" s="1"/>
  <c r="BV398" i="2"/>
  <c r="BY398" i="2"/>
  <c r="CJ420" i="2"/>
  <c r="R450" i="2"/>
  <c r="BW454" i="2"/>
  <c r="BY454" i="2"/>
  <c r="R485" i="2"/>
  <c r="CJ307" i="2"/>
  <c r="BV343" i="2"/>
  <c r="BW343" i="2"/>
  <c r="CJ346" i="2"/>
  <c r="CT351" i="2"/>
  <c r="BV375" i="2"/>
  <c r="BV399" i="2"/>
  <c r="BW399" i="2"/>
  <c r="CT412" i="2"/>
  <c r="CT413" i="2"/>
  <c r="CT417" i="2"/>
  <c r="CT426" i="2"/>
  <c r="CT438" i="2"/>
  <c r="BW475" i="2"/>
  <c r="BY475" i="2"/>
  <c r="BV475" i="2"/>
  <c r="DH280" i="2"/>
  <c r="CT291" i="2"/>
  <c r="R294" i="2"/>
  <c r="S294" i="2" s="1"/>
  <c r="CT301" i="2"/>
  <c r="R304" i="2"/>
  <c r="S304" i="2" s="1"/>
  <c r="CJ319" i="2"/>
  <c r="CJ321" i="2"/>
  <c r="CT333" i="2"/>
  <c r="BY348" i="2"/>
  <c r="DH350" i="2"/>
  <c r="CJ353" i="2"/>
  <c r="CX353" i="2" s="1"/>
  <c r="DL353" i="2" s="1"/>
  <c r="BV357" i="2"/>
  <c r="BW357" i="2"/>
  <c r="CT387" i="2"/>
  <c r="CT396" i="2"/>
  <c r="CT420" i="2"/>
  <c r="CJ433" i="2"/>
  <c r="DH435" i="2"/>
  <c r="CJ452" i="2"/>
  <c r="CX452" i="2" s="1"/>
  <c r="DL452" i="2" s="1"/>
  <c r="DB452" i="2" s="1"/>
  <c r="X488" i="2"/>
  <c r="CT490" i="2"/>
  <c r="DH298" i="2"/>
  <c r="CJ300" i="2"/>
  <c r="DH308" i="2"/>
  <c r="CJ310" i="2"/>
  <c r="DH311" i="2"/>
  <c r="CT313" i="2"/>
  <c r="CT315" i="2"/>
  <c r="BY335" i="2"/>
  <c r="R362" i="2"/>
  <c r="S362" i="2" s="1"/>
  <c r="BY375" i="2"/>
  <c r="BW377" i="2"/>
  <c r="BY377" i="2"/>
  <c r="CT380" i="2"/>
  <c r="BY382" i="2"/>
  <c r="R390" i="2"/>
  <c r="BW455" i="2"/>
  <c r="BY455" i="2"/>
  <c r="BV455" i="2"/>
  <c r="CT462" i="2"/>
  <c r="CX462" i="2" s="1"/>
  <c r="DL462" i="2" s="1"/>
  <c r="CT362" i="2"/>
  <c r="CX362" i="2" s="1"/>
  <c r="DE362" i="2" s="1"/>
  <c r="AJ368" i="2"/>
  <c r="DH385" i="2"/>
  <c r="BV406" i="2"/>
  <c r="BY406" i="2"/>
  <c r="CJ409" i="2"/>
  <c r="CX409" i="2" s="1"/>
  <c r="X410" i="2"/>
  <c r="CJ421" i="2"/>
  <c r="DH423" i="2"/>
  <c r="CJ430" i="2"/>
  <c r="R440" i="2"/>
  <c r="S440" i="2" s="1"/>
  <c r="R454" i="2"/>
  <c r="BV454" i="2"/>
  <c r="BW393" i="2"/>
  <c r="BY393" i="2"/>
  <c r="CJ279" i="2"/>
  <c r="CJ286" i="2"/>
  <c r="DH294" i="2"/>
  <c r="CJ296" i="2"/>
  <c r="DH304" i="2"/>
  <c r="CJ306" i="2"/>
  <c r="CJ312" i="2"/>
  <c r="CX312" i="2" s="1"/>
  <c r="DL312" i="2" s="1"/>
  <c r="R317" i="2"/>
  <c r="S317" i="2" s="1"/>
  <c r="CT319" i="2"/>
  <c r="CT323" i="2"/>
  <c r="BY325" i="2"/>
  <c r="CT329" i="2"/>
  <c r="BW337" i="2"/>
  <c r="BW350" i="2"/>
  <c r="BV351" i="2"/>
  <c r="BW351" i="2"/>
  <c r="R361" i="2"/>
  <c r="S361" i="2" s="1"/>
  <c r="CT367" i="2"/>
  <c r="CT373" i="2"/>
  <c r="BV377" i="2"/>
  <c r="BW394" i="2"/>
  <c r="BY394" i="2"/>
  <c r="CT402" i="2"/>
  <c r="CX402" i="2" s="1"/>
  <c r="DL402" i="2" s="1"/>
  <c r="R416" i="2"/>
  <c r="CT430" i="2"/>
  <c r="CJ439" i="2"/>
  <c r="BW447" i="2"/>
  <c r="BV447" i="2"/>
  <c r="CJ453" i="2"/>
  <c r="CX453" i="2" s="1"/>
  <c r="DL453" i="2" s="1"/>
  <c r="BW487" i="2"/>
  <c r="BY487" i="2"/>
  <c r="BV487" i="2"/>
  <c r="CT334" i="2"/>
  <c r="CJ335" i="2"/>
  <c r="CT463" i="2"/>
  <c r="CJ266" i="2"/>
  <c r="CX266" i="2" s="1"/>
  <c r="DL266" i="2" s="1"/>
  <c r="R283" i="2"/>
  <c r="S283" i="2" s="1"/>
  <c r="DH287" i="2"/>
  <c r="CJ289" i="2"/>
  <c r="DH297" i="2"/>
  <c r="CJ299" i="2"/>
  <c r="CX299" i="2" s="1"/>
  <c r="DH307" i="2"/>
  <c r="CJ309" i="2"/>
  <c r="CX309" i="2" s="1"/>
  <c r="CE309" i="2" s="1"/>
  <c r="DH317" i="2"/>
  <c r="X331" i="2"/>
  <c r="BY337" i="2"/>
  <c r="CT341" i="2"/>
  <c r="CT347" i="2"/>
  <c r="BY350" i="2"/>
  <c r="DH366" i="2"/>
  <c r="CT375" i="2"/>
  <c r="BV378" i="2"/>
  <c r="DH380" i="2"/>
  <c r="CT382" i="2"/>
  <c r="BY384" i="2"/>
  <c r="BW386" i="2"/>
  <c r="BY386" i="2"/>
  <c r="CJ398" i="2"/>
  <c r="CT418" i="2"/>
  <c r="CJ431" i="2"/>
  <c r="CT443" i="2"/>
  <c r="AJ446" i="2"/>
  <c r="BW457" i="2"/>
  <c r="BY457" i="2"/>
  <c r="BV457" i="2"/>
  <c r="CT473" i="2"/>
  <c r="BW483" i="2"/>
  <c r="BY483" i="2"/>
  <c r="R306" i="2"/>
  <c r="S306" i="2" s="1"/>
  <c r="DH319" i="2"/>
  <c r="R321" i="2"/>
  <c r="S321" i="2" s="1"/>
  <c r="DH321" i="2"/>
  <c r="DH323" i="2"/>
  <c r="DH328" i="2"/>
  <c r="DH340" i="2"/>
  <c r="CT361" i="2"/>
  <c r="DH402" i="2"/>
  <c r="CJ425" i="2"/>
  <c r="CJ434" i="2"/>
  <c r="CJ492" i="2"/>
  <c r="CJ318" i="2"/>
  <c r="CT324" i="2"/>
  <c r="CX324" i="2" s="1"/>
  <c r="DL324" i="2" s="1"/>
  <c r="BV346" i="2"/>
  <c r="BW346" i="2"/>
  <c r="X371" i="2"/>
  <c r="Y371" i="2" s="1"/>
  <c r="BY378" i="2"/>
  <c r="X393" i="2"/>
  <c r="AJ393" i="2" s="1"/>
  <c r="AP393" i="2" s="1"/>
  <c r="R394" i="2"/>
  <c r="CJ400" i="2"/>
  <c r="DH409" i="2"/>
  <c r="CJ419" i="2"/>
  <c r="DH421" i="2"/>
  <c r="CJ428" i="2"/>
  <c r="BW458" i="2"/>
  <c r="BY458" i="2"/>
  <c r="DH463" i="2"/>
  <c r="DH472" i="2"/>
  <c r="DH491" i="2"/>
  <c r="BW484" i="2"/>
  <c r="BY484" i="2"/>
  <c r="R490" i="2"/>
  <c r="DH293" i="2"/>
  <c r="CJ295" i="2"/>
  <c r="DH303" i="2"/>
  <c r="BW304" i="2"/>
  <c r="CJ305" i="2"/>
  <c r="CT330" i="2"/>
  <c r="BV334" i="2"/>
  <c r="BY334" i="2"/>
  <c r="BV340" i="2"/>
  <c r="BW340" i="2"/>
  <c r="CT342" i="2"/>
  <c r="BV353" i="2"/>
  <c r="BW353" i="2"/>
  <c r="BW355" i="2"/>
  <c r="DH367" i="2"/>
  <c r="CJ377" i="2"/>
  <c r="CT399" i="2"/>
  <c r="CJ406" i="2"/>
  <c r="CT434" i="2"/>
  <c r="X447" i="2"/>
  <c r="R448" i="2"/>
  <c r="CT336" i="2"/>
  <c r="BW339" i="2"/>
  <c r="CT356" i="2"/>
  <c r="CX356" i="2" s="1"/>
  <c r="DL356" i="2" s="1"/>
  <c r="CT358" i="2"/>
  <c r="CX358" i="2" s="1"/>
  <c r="DL358" i="2" s="1"/>
  <c r="BW359" i="2"/>
  <c r="BV372" i="2"/>
  <c r="BV483" i="2"/>
  <c r="AJ487" i="2"/>
  <c r="AK487" i="2" s="1"/>
  <c r="CX247" i="2"/>
  <c r="DL247" i="2" s="1"/>
  <c r="DB247" i="2" s="1"/>
  <c r="DC247" i="2" s="1"/>
  <c r="DH261" i="2"/>
  <c r="X263" i="2"/>
  <c r="Y263" i="2" s="1"/>
  <c r="CJ271" i="2"/>
  <c r="CJ288" i="2"/>
  <c r="CX288" i="2" s="1"/>
  <c r="DL288" i="2" s="1"/>
  <c r="CJ298" i="2"/>
  <c r="DH306" i="2"/>
  <c r="CJ308" i="2"/>
  <c r="CX308" i="2" s="1"/>
  <c r="CJ311" i="2"/>
  <c r="CX311" i="2" s="1"/>
  <c r="DL311" i="2" s="1"/>
  <c r="R314" i="2"/>
  <c r="S314" i="2" s="1"/>
  <c r="R316" i="2"/>
  <c r="S316" i="2" s="1"/>
  <c r="CJ326" i="2"/>
  <c r="CX326" i="2" s="1"/>
  <c r="DL326" i="2" s="1"/>
  <c r="CJ331" i="2"/>
  <c r="CT337" i="2"/>
  <c r="BV341" i="2"/>
  <c r="BW341" i="2"/>
  <c r="CJ344" i="2"/>
  <c r="CT349" i="2"/>
  <c r="CX349" i="2" s="1"/>
  <c r="DL349" i="2" s="1"/>
  <c r="CT354" i="2"/>
  <c r="CX354" i="2" s="1"/>
  <c r="DL354" i="2" s="1"/>
  <c r="CT360" i="2"/>
  <c r="DH363" i="2"/>
  <c r="BV366" i="2"/>
  <c r="DH368" i="2"/>
  <c r="DH375" i="2"/>
  <c r="CT422" i="2"/>
  <c r="CJ435" i="2"/>
  <c r="DH437" i="2"/>
  <c r="R439" i="2"/>
  <c r="S439" i="2" s="1"/>
  <c r="CT450" i="2"/>
  <c r="CJ451" i="2"/>
  <c r="BW453" i="2"/>
  <c r="BY453" i="2"/>
  <c r="CT273" i="2"/>
  <c r="CJ278" i="2"/>
  <c r="CX278" i="2" s="1"/>
  <c r="CT282" i="2"/>
  <c r="CX282" i="2" s="1"/>
  <c r="CT292" i="2"/>
  <c r="R295" i="2"/>
  <c r="S295" i="2" s="1"/>
  <c r="CT302" i="2"/>
  <c r="CX302" i="2" s="1"/>
  <c r="R305" i="2"/>
  <c r="S305" i="2" s="1"/>
  <c r="CT318" i="2"/>
  <c r="DH324" i="2"/>
  <c r="BY333" i="2"/>
  <c r="DH335" i="2"/>
  <c r="BY339" i="2"/>
  <c r="BY346" i="2"/>
  <c r="BY362" i="2"/>
  <c r="CT370" i="2"/>
  <c r="BY372" i="2"/>
  <c r="BW374" i="2"/>
  <c r="BY374" i="2"/>
  <c r="BV374" i="2"/>
  <c r="CT377" i="2"/>
  <c r="BY387" i="2"/>
  <c r="BW402" i="2"/>
  <c r="DH404" i="2"/>
  <c r="R414" i="2"/>
  <c r="CT416" i="2"/>
  <c r="DH431" i="2"/>
  <c r="CT476" i="2"/>
  <c r="DH480" i="2"/>
  <c r="BY492" i="2"/>
  <c r="BW492" i="2"/>
  <c r="BV492" i="2"/>
  <c r="CJ464" i="2"/>
  <c r="CJ467" i="2"/>
  <c r="CX467" i="2" s="1"/>
  <c r="DL467" i="2" s="1"/>
  <c r="CT485" i="2"/>
  <c r="CT497" i="2"/>
  <c r="BY499" i="2"/>
  <c r="CJ479" i="2"/>
  <c r="BV496" i="2"/>
  <c r="DH312" i="2"/>
  <c r="CJ314" i="2"/>
  <c r="CT321" i="2"/>
  <c r="CJ327" i="2"/>
  <c r="CX327" i="2" s="1"/>
  <c r="DL327" i="2" s="1"/>
  <c r="DH341" i="2"/>
  <c r="DH346" i="2"/>
  <c r="DH351" i="2"/>
  <c r="DH370" i="2"/>
  <c r="BY379" i="2"/>
  <c r="DH395" i="2"/>
  <c r="CJ397" i="2"/>
  <c r="R403" i="2"/>
  <c r="DH413" i="2"/>
  <c r="CT446" i="2"/>
  <c r="DH451" i="2"/>
  <c r="CJ455" i="2"/>
  <c r="BV456" i="2"/>
  <c r="CT464" i="2"/>
  <c r="BV474" i="2"/>
  <c r="CT479" i="2"/>
  <c r="CT481" i="2"/>
  <c r="BW496" i="2"/>
  <c r="CT384" i="2"/>
  <c r="CJ407" i="2"/>
  <c r="CJ438" i="2"/>
  <c r="CT458" i="2"/>
  <c r="CJ465" i="2"/>
  <c r="BY486" i="2"/>
  <c r="CT487" i="2"/>
  <c r="BY500" i="2"/>
  <c r="DH315" i="2"/>
  <c r="CJ317" i="2"/>
  <c r="CJ320" i="2"/>
  <c r="CJ333" i="2"/>
  <c r="CT359" i="2"/>
  <c r="CT366" i="2"/>
  <c r="CT372" i="2"/>
  <c r="DH389" i="2"/>
  <c r="CT391" i="2"/>
  <c r="CT401" i="2"/>
  <c r="R442" i="2"/>
  <c r="BY456" i="2"/>
  <c r="DH473" i="2"/>
  <c r="CT484" i="2"/>
  <c r="CT499" i="2"/>
  <c r="R323" i="2"/>
  <c r="X323" i="2" s="1"/>
  <c r="Y323" i="2" s="1"/>
  <c r="CT338" i="2"/>
  <c r="CT343" i="2"/>
  <c r="CT348" i="2"/>
  <c r="CX348" i="2" s="1"/>
  <c r="DL348" i="2" s="1"/>
  <c r="DH390" i="2"/>
  <c r="CT392" i="2"/>
  <c r="BW400" i="2"/>
  <c r="CJ403" i="2"/>
  <c r="DH406" i="2"/>
  <c r="CT414" i="2"/>
  <c r="CJ415" i="2"/>
  <c r="CT440" i="2"/>
  <c r="CX440" i="2" s="1"/>
  <c r="DE440" i="2" s="1"/>
  <c r="CT447" i="2"/>
  <c r="BY460" i="2"/>
  <c r="BY463" i="2"/>
  <c r="DH467" i="2"/>
  <c r="BY469" i="2"/>
  <c r="DH470" i="2"/>
  <c r="DH476" i="2"/>
  <c r="BY488" i="2"/>
  <c r="BV497" i="2"/>
  <c r="CT419" i="2"/>
  <c r="CT421" i="2"/>
  <c r="CT423" i="2"/>
  <c r="CT425" i="2"/>
  <c r="CT427" i="2"/>
  <c r="CX427" i="2" s="1"/>
  <c r="DL427" i="2" s="1"/>
  <c r="CT429" i="2"/>
  <c r="CX429" i="2" s="1"/>
  <c r="DL429" i="2" s="1"/>
  <c r="CT431" i="2"/>
  <c r="CT433" i="2"/>
  <c r="CT435" i="2"/>
  <c r="CT437" i="2"/>
  <c r="CX437" i="2" s="1"/>
  <c r="DL437" i="2" s="1"/>
  <c r="BV448" i="2"/>
  <c r="CJ456" i="2"/>
  <c r="CT459" i="2"/>
  <c r="CT468" i="2"/>
  <c r="DH482" i="2"/>
  <c r="DH314" i="2"/>
  <c r="CJ316" i="2"/>
  <c r="CJ322" i="2"/>
  <c r="DH327" i="2"/>
  <c r="R336" i="2"/>
  <c r="S336" i="2" s="1"/>
  <c r="DH343" i="2"/>
  <c r="DH348" i="2"/>
  <c r="CT368" i="2"/>
  <c r="CX368" i="2" s="1"/>
  <c r="DL368" i="2" s="1"/>
  <c r="DB368" i="2" s="1"/>
  <c r="DH378" i="2"/>
  <c r="DH391" i="2"/>
  <c r="CT393" i="2"/>
  <c r="CJ442" i="2"/>
  <c r="CT456" i="2"/>
  <c r="BV490" i="2"/>
  <c r="CJ399" i="2"/>
  <c r="CJ404" i="2"/>
  <c r="DH414" i="2"/>
  <c r="CT442" i="2"/>
  <c r="DH447" i="2"/>
  <c r="BY448" i="2"/>
  <c r="CJ463" i="2"/>
  <c r="CT474" i="2"/>
  <c r="CJ480" i="2"/>
  <c r="CT486" i="2"/>
  <c r="CJ472" i="2"/>
  <c r="BY490" i="2"/>
  <c r="CT496" i="2"/>
  <c r="CX496" i="2" s="1"/>
  <c r="DL496" i="2" s="1"/>
  <c r="DH495" i="2"/>
  <c r="CT316" i="2"/>
  <c r="R319" i="2"/>
  <c r="S319" i="2" s="1"/>
  <c r="CT322" i="2"/>
  <c r="DH329" i="2"/>
  <c r="R332" i="2"/>
  <c r="S332" i="2" s="1"/>
  <c r="CT345" i="2"/>
  <c r="CT350" i="2"/>
  <c r="CJ365" i="2"/>
  <c r="CX365" i="2" s="1"/>
  <c r="CG365" i="2" s="1"/>
  <c r="CT369" i="2"/>
  <c r="CX369" i="2" s="1"/>
  <c r="DL369" i="2" s="1"/>
  <c r="DH386" i="2"/>
  <c r="CT388" i="2"/>
  <c r="DH398" i="2"/>
  <c r="CT400" i="2"/>
  <c r="DH403" i="2"/>
  <c r="CJ405" i="2"/>
  <c r="CT408" i="2"/>
  <c r="CJ413" i="2"/>
  <c r="CJ454" i="2"/>
  <c r="CX454" i="2" s="1"/>
  <c r="DL454" i="2" s="1"/>
  <c r="DB454" i="2" s="1"/>
  <c r="DC454" i="2" s="1"/>
  <c r="CT460" i="2"/>
  <c r="CT469" i="2"/>
  <c r="CX469" i="2" s="1"/>
  <c r="DL469" i="2" s="1"/>
  <c r="CT472" i="2"/>
  <c r="CT488" i="2"/>
  <c r="CT444" i="2"/>
  <c r="CJ461" i="2"/>
  <c r="DH450" i="2"/>
  <c r="CT457" i="2"/>
  <c r="R476" i="2"/>
  <c r="S476" i="2" s="1"/>
  <c r="CK58" i="2"/>
  <c r="CX41" i="2"/>
  <c r="CM41" i="2" s="1"/>
  <c r="CX48" i="2"/>
  <c r="DL48" i="2" s="1"/>
  <c r="CX62" i="2"/>
  <c r="CS62" i="2" s="1"/>
  <c r="CX209" i="2"/>
  <c r="DL209" i="2" s="1"/>
  <c r="DB209" i="2" s="1"/>
  <c r="DC209" i="2" s="1"/>
  <c r="CX225" i="2"/>
  <c r="DL225" i="2" s="1"/>
  <c r="DB225" i="2" s="1"/>
  <c r="CX61" i="2"/>
  <c r="CX86" i="2"/>
  <c r="CU86" i="2" s="1"/>
  <c r="CX107" i="2"/>
  <c r="DG107" i="2" s="1"/>
  <c r="CX230" i="2"/>
  <c r="CY230" i="2" s="1"/>
  <c r="CX233" i="2"/>
  <c r="CU233" i="2" s="1"/>
  <c r="CX82" i="2"/>
  <c r="DI82" i="2" s="1"/>
  <c r="CX116" i="2"/>
  <c r="CX128" i="2"/>
  <c r="CX140" i="2"/>
  <c r="CE140" i="2" s="1"/>
  <c r="CX291" i="2"/>
  <c r="DL291" i="2" s="1"/>
  <c r="DB291" i="2" s="1"/>
  <c r="BW53" i="2"/>
  <c r="BV53" i="2"/>
  <c r="BY53" i="2"/>
  <c r="DB83" i="2"/>
  <c r="DC83" i="2" s="1"/>
  <c r="DG83" i="2"/>
  <c r="CY83" i="2"/>
  <c r="CQ83" i="2"/>
  <c r="CM83" i="2"/>
  <c r="CI83" i="2"/>
  <c r="CE83" i="2"/>
  <c r="BW92" i="2"/>
  <c r="BV92" i="2"/>
  <c r="BY92" i="2"/>
  <c r="BW100" i="2"/>
  <c r="BV100" i="2"/>
  <c r="BY100" i="2"/>
  <c r="DB121" i="2"/>
  <c r="DC121" i="2" s="1"/>
  <c r="DM121" i="2"/>
  <c r="DE121" i="2"/>
  <c r="CS121" i="2"/>
  <c r="CK121" i="2"/>
  <c r="DK121" i="2"/>
  <c r="DG121" i="2"/>
  <c r="CY121" i="2"/>
  <c r="CU121" i="2"/>
  <c r="CQ121" i="2"/>
  <c r="CM121" i="2"/>
  <c r="CI121" i="2"/>
  <c r="CE121" i="2"/>
  <c r="DI121" i="2"/>
  <c r="DA121" i="2"/>
  <c r="CO121" i="2"/>
  <c r="CC121" i="2"/>
  <c r="CW121" i="2"/>
  <c r="CG121" i="2"/>
  <c r="BW26" i="2"/>
  <c r="BY26" i="2"/>
  <c r="BV26" i="2"/>
  <c r="BW30" i="2"/>
  <c r="BV30" i="2"/>
  <c r="BY30" i="2"/>
  <c r="BW34" i="2"/>
  <c r="BY34" i="2"/>
  <c r="BV34" i="2"/>
  <c r="BW37" i="2"/>
  <c r="BY37" i="2"/>
  <c r="BV37" i="2"/>
  <c r="BW40" i="2"/>
  <c r="BV40" i="2"/>
  <c r="BY40" i="2"/>
  <c r="BW44" i="2"/>
  <c r="BY44" i="2"/>
  <c r="BV44" i="2"/>
  <c r="BW51" i="2"/>
  <c r="BV51" i="2"/>
  <c r="BY51" i="2"/>
  <c r="CX53" i="2"/>
  <c r="DL53" i="2" s="1"/>
  <c r="BW54" i="2"/>
  <c r="BY54" i="2"/>
  <c r="BV54" i="2"/>
  <c r="BW57" i="2"/>
  <c r="BV57" i="2"/>
  <c r="BY57" i="2"/>
  <c r="DA58" i="2"/>
  <c r="CX60" i="2"/>
  <c r="DL60" i="2" s="1"/>
  <c r="BW61" i="2"/>
  <c r="BV61" i="2"/>
  <c r="BY61" i="2"/>
  <c r="BW65" i="2"/>
  <c r="BV65" i="2"/>
  <c r="BY65" i="2"/>
  <c r="BW69" i="2"/>
  <c r="BV69" i="2"/>
  <c r="BY69" i="2"/>
  <c r="BW73" i="2"/>
  <c r="BV73" i="2"/>
  <c r="BY73" i="2"/>
  <c r="BW77" i="2"/>
  <c r="BV77" i="2"/>
  <c r="BY77" i="2"/>
  <c r="BW81" i="2"/>
  <c r="BV81" i="2"/>
  <c r="BY81" i="2"/>
  <c r="CX84" i="2"/>
  <c r="DL84" i="2" s="1"/>
  <c r="BW85" i="2"/>
  <c r="BV85" i="2"/>
  <c r="BY85" i="2"/>
  <c r="BW89" i="2"/>
  <c r="BV89" i="2"/>
  <c r="BY89" i="2"/>
  <c r="BW93" i="2"/>
  <c r="BV93" i="2"/>
  <c r="BY93" i="2"/>
  <c r="CX96" i="2"/>
  <c r="DL96" i="2" s="1"/>
  <c r="BW97" i="2"/>
  <c r="BV97" i="2"/>
  <c r="BY97" i="2"/>
  <c r="BW101" i="2"/>
  <c r="BV101" i="2"/>
  <c r="BY101" i="2"/>
  <c r="CX101" i="2"/>
  <c r="DL101" i="2" s="1"/>
  <c r="BW105" i="2"/>
  <c r="BV105" i="2"/>
  <c r="BY105" i="2"/>
  <c r="BW109" i="2"/>
  <c r="BV109" i="2"/>
  <c r="BY109" i="2"/>
  <c r="CX109" i="2"/>
  <c r="DL109" i="2" s="1"/>
  <c r="CX114" i="2"/>
  <c r="DL114" i="2" s="1"/>
  <c r="X117" i="2"/>
  <c r="Y117" i="2" s="1"/>
  <c r="CX118" i="2"/>
  <c r="DL118" i="2" s="1"/>
  <c r="BW29" i="2"/>
  <c r="BV29" i="2"/>
  <c r="BY29" i="2"/>
  <c r="CU46" i="2"/>
  <c r="BW50" i="2"/>
  <c r="BY50" i="2"/>
  <c r="BV50" i="2"/>
  <c r="BW60" i="2"/>
  <c r="BV60" i="2"/>
  <c r="BY60" i="2"/>
  <c r="BW68" i="2"/>
  <c r="BV68" i="2"/>
  <c r="BY68" i="2"/>
  <c r="BW80" i="2"/>
  <c r="BV80" i="2"/>
  <c r="BY80" i="2"/>
  <c r="BW108" i="2"/>
  <c r="BV108" i="2"/>
  <c r="BY108" i="2"/>
  <c r="DB117" i="2"/>
  <c r="DC117" i="2" s="1"/>
  <c r="CK117" i="2"/>
  <c r="BW27" i="2"/>
  <c r="BY27" i="2"/>
  <c r="BV27" i="2"/>
  <c r="BW31" i="2"/>
  <c r="BV31" i="2"/>
  <c r="BY31" i="2"/>
  <c r="BW35" i="2"/>
  <c r="BV35" i="2"/>
  <c r="BY35" i="2"/>
  <c r="CX37" i="2"/>
  <c r="DL37" i="2" s="1"/>
  <c r="BW38" i="2"/>
  <c r="BV38" i="2"/>
  <c r="BY38" i="2"/>
  <c r="CX40" i="2"/>
  <c r="DL40" i="2" s="1"/>
  <c r="BW41" i="2"/>
  <c r="BV41" i="2"/>
  <c r="BY41" i="2"/>
  <c r="BW45" i="2"/>
  <c r="BV45" i="2"/>
  <c r="BY45" i="2"/>
  <c r="BW48" i="2"/>
  <c r="BV48" i="2"/>
  <c r="BY48" i="2"/>
  <c r="BW52" i="2"/>
  <c r="BV52" i="2"/>
  <c r="BY52" i="2"/>
  <c r="CX52" i="2"/>
  <c r="DL52" i="2" s="1"/>
  <c r="BW58" i="2"/>
  <c r="BV58" i="2"/>
  <c r="BY58" i="2"/>
  <c r="CC58" i="2"/>
  <c r="BW62" i="2"/>
  <c r="BV62" i="2"/>
  <c r="BY62" i="2"/>
  <c r="BW66" i="2"/>
  <c r="BV66" i="2"/>
  <c r="BY66" i="2"/>
  <c r="BW70" i="2"/>
  <c r="BV70" i="2"/>
  <c r="BY70" i="2"/>
  <c r="BW74" i="2"/>
  <c r="BV74" i="2"/>
  <c r="BY74" i="2"/>
  <c r="BW78" i="2"/>
  <c r="BV78" i="2"/>
  <c r="BY78" i="2"/>
  <c r="BW82" i="2"/>
  <c r="BV82" i="2"/>
  <c r="BY82" i="2"/>
  <c r="CG83" i="2"/>
  <c r="CS83" i="2"/>
  <c r="DA83" i="2"/>
  <c r="DI83" i="2"/>
  <c r="BW86" i="2"/>
  <c r="BV86" i="2"/>
  <c r="BY86" i="2"/>
  <c r="BW90" i="2"/>
  <c r="BV90" i="2"/>
  <c r="BY90" i="2"/>
  <c r="BW94" i="2"/>
  <c r="BV94" i="2"/>
  <c r="BY94" i="2"/>
  <c r="CX97" i="2"/>
  <c r="DL97" i="2" s="1"/>
  <c r="BW98" i="2"/>
  <c r="BV98" i="2"/>
  <c r="BY98" i="2"/>
  <c r="BW102" i="2"/>
  <c r="BV102" i="2"/>
  <c r="BY102" i="2"/>
  <c r="BW106" i="2"/>
  <c r="BV106" i="2"/>
  <c r="BY106" i="2"/>
  <c r="BW110" i="2"/>
  <c r="BV110" i="2"/>
  <c r="BY110" i="2"/>
  <c r="CX115" i="2"/>
  <c r="DL115" i="2" s="1"/>
  <c r="X118" i="2"/>
  <c r="Y118" i="2" s="1"/>
  <c r="X126" i="2"/>
  <c r="Y126" i="2" s="1"/>
  <c r="CX133" i="2"/>
  <c r="DL133" i="2" s="1"/>
  <c r="BW33" i="2"/>
  <c r="BV33" i="2"/>
  <c r="BY33" i="2"/>
  <c r="BW43" i="2"/>
  <c r="BY43" i="2"/>
  <c r="BV43" i="2"/>
  <c r="BW47" i="2"/>
  <c r="BY47" i="2"/>
  <c r="BV47" i="2"/>
  <c r="BW56" i="2"/>
  <c r="BY56" i="2"/>
  <c r="BV56" i="2"/>
  <c r="BW64" i="2"/>
  <c r="BV64" i="2"/>
  <c r="BY64" i="2"/>
  <c r="BW72" i="2"/>
  <c r="BV72" i="2"/>
  <c r="BY72" i="2"/>
  <c r="BW76" i="2"/>
  <c r="BV76" i="2"/>
  <c r="BY76" i="2"/>
  <c r="CK83" i="2"/>
  <c r="DE83" i="2"/>
  <c r="BW84" i="2"/>
  <c r="BV84" i="2"/>
  <c r="BY84" i="2"/>
  <c r="BW88" i="2"/>
  <c r="BV88" i="2"/>
  <c r="BY88" i="2"/>
  <c r="BW96" i="2"/>
  <c r="BV96" i="2"/>
  <c r="BY96" i="2"/>
  <c r="BW104" i="2"/>
  <c r="BV104" i="2"/>
  <c r="BY104" i="2"/>
  <c r="BW28" i="2"/>
  <c r="BV28" i="2"/>
  <c r="BY28" i="2"/>
  <c r="BW32" i="2"/>
  <c r="BV32" i="2"/>
  <c r="BY32" i="2"/>
  <c r="BW36" i="2"/>
  <c r="BV36" i="2"/>
  <c r="BY36" i="2"/>
  <c r="BW39" i="2"/>
  <c r="BV39" i="2"/>
  <c r="BY39" i="2"/>
  <c r="CY41" i="2"/>
  <c r="CU41" i="2"/>
  <c r="CI41" i="2"/>
  <c r="BW42" i="2"/>
  <c r="BY42" i="2"/>
  <c r="BV42" i="2"/>
  <c r="BW46" i="2"/>
  <c r="BV46" i="2"/>
  <c r="BY46" i="2"/>
  <c r="BW49" i="2"/>
  <c r="BV49" i="2"/>
  <c r="BY49" i="2"/>
  <c r="BW55" i="2"/>
  <c r="BV55" i="2"/>
  <c r="BY55" i="2"/>
  <c r="DG58" i="2"/>
  <c r="CY58" i="2"/>
  <c r="CU58" i="2"/>
  <c r="CM58" i="2"/>
  <c r="CI58" i="2"/>
  <c r="CE58" i="2"/>
  <c r="DE58" i="2"/>
  <c r="BW59" i="2"/>
  <c r="BV59" i="2"/>
  <c r="BY59" i="2"/>
  <c r="CY62" i="2"/>
  <c r="BW63" i="2"/>
  <c r="BV63" i="2"/>
  <c r="BY63" i="2"/>
  <c r="BW67" i="2"/>
  <c r="BV67" i="2"/>
  <c r="BY67" i="2"/>
  <c r="BW71" i="2"/>
  <c r="BV71" i="2"/>
  <c r="BY71" i="2"/>
  <c r="BW75" i="2"/>
  <c r="BV75" i="2"/>
  <c r="BY75" i="2"/>
  <c r="BW79" i="2"/>
  <c r="BV79" i="2"/>
  <c r="BY79" i="2"/>
  <c r="DE82" i="2"/>
  <c r="BW83" i="2"/>
  <c r="BV83" i="2"/>
  <c r="BY83" i="2"/>
  <c r="CC83" i="2"/>
  <c r="CO83" i="2"/>
  <c r="BW87" i="2"/>
  <c r="BV87" i="2"/>
  <c r="BY87" i="2"/>
  <c r="BW91" i="2"/>
  <c r="BV91" i="2"/>
  <c r="BY91" i="2"/>
  <c r="BW95" i="2"/>
  <c r="BV95" i="2"/>
  <c r="BY95" i="2"/>
  <c r="BW99" i="2"/>
  <c r="BV99" i="2"/>
  <c r="BY99" i="2"/>
  <c r="BW103" i="2"/>
  <c r="BV103" i="2"/>
  <c r="BY103" i="2"/>
  <c r="BW107" i="2"/>
  <c r="BV107" i="2"/>
  <c r="BY107" i="2"/>
  <c r="CO116" i="2"/>
  <c r="DA229" i="2"/>
  <c r="CK207" i="2"/>
  <c r="R215" i="2"/>
  <c r="DK230" i="2"/>
  <c r="DG230" i="2"/>
  <c r="CO230" i="2"/>
  <c r="X287" i="2"/>
  <c r="Y287" i="2" s="1"/>
  <c r="X299" i="2"/>
  <c r="Y299" i="2" s="1"/>
  <c r="R29" i="2"/>
  <c r="R35" i="2"/>
  <c r="R36" i="2"/>
  <c r="R38" i="2"/>
  <c r="R39" i="2"/>
  <c r="R41" i="2"/>
  <c r="R51" i="2"/>
  <c r="R56" i="2"/>
  <c r="X56" i="2" s="1"/>
  <c r="R58" i="2"/>
  <c r="X58" i="2" s="1"/>
  <c r="AJ58" i="2" s="1"/>
  <c r="AP58" i="2" s="1"/>
  <c r="R61" i="2"/>
  <c r="R63" i="2"/>
  <c r="R64" i="2"/>
  <c r="X64" i="2" s="1"/>
  <c r="R65" i="2"/>
  <c r="R66" i="2"/>
  <c r="X66" i="2" s="1"/>
  <c r="R67" i="2"/>
  <c r="R68" i="2"/>
  <c r="X68" i="2" s="1"/>
  <c r="R69" i="2"/>
  <c r="R70" i="2"/>
  <c r="X70" i="2" s="1"/>
  <c r="AJ70" i="2" s="1"/>
  <c r="AP70" i="2" s="1"/>
  <c r="R71" i="2"/>
  <c r="R72" i="2"/>
  <c r="X72" i="2" s="1"/>
  <c r="R73" i="2"/>
  <c r="R74" i="2"/>
  <c r="X74" i="2" s="1"/>
  <c r="AJ74" i="2" s="1"/>
  <c r="R75" i="2"/>
  <c r="R76" i="2"/>
  <c r="X76" i="2" s="1"/>
  <c r="R77" i="2"/>
  <c r="R78" i="2"/>
  <c r="X78" i="2" s="1"/>
  <c r="AJ78" i="2" s="1"/>
  <c r="AP78" i="2" s="1"/>
  <c r="R79" i="2"/>
  <c r="R80" i="2"/>
  <c r="X80" i="2" s="1"/>
  <c r="R81" i="2"/>
  <c r="R82" i="2"/>
  <c r="X82" i="2" s="1"/>
  <c r="AJ82" i="2" s="1"/>
  <c r="AP82" i="2" s="1"/>
  <c r="R83" i="2"/>
  <c r="R84" i="2"/>
  <c r="R85" i="2"/>
  <c r="R86" i="2"/>
  <c r="X86" i="2" s="1"/>
  <c r="AJ86" i="2" s="1"/>
  <c r="AP86" i="2" s="1"/>
  <c r="R87" i="2"/>
  <c r="R88" i="2"/>
  <c r="X88" i="2" s="1"/>
  <c r="R89" i="2"/>
  <c r="R90" i="2"/>
  <c r="X90" i="2" s="1"/>
  <c r="AJ90" i="2" s="1"/>
  <c r="AP90" i="2" s="1"/>
  <c r="R91" i="2"/>
  <c r="R92" i="2"/>
  <c r="X92" i="2" s="1"/>
  <c r="R93" i="2"/>
  <c r="R94" i="2"/>
  <c r="X94" i="2" s="1"/>
  <c r="AJ94" i="2" s="1"/>
  <c r="R95" i="2"/>
  <c r="R96" i="2"/>
  <c r="X96" i="2" s="1"/>
  <c r="R97" i="2"/>
  <c r="R98" i="2"/>
  <c r="X98" i="2" s="1"/>
  <c r="R99" i="2"/>
  <c r="R100" i="2"/>
  <c r="X100" i="2" s="1"/>
  <c r="R101" i="2"/>
  <c r="R102" i="2"/>
  <c r="X102" i="2" s="1"/>
  <c r="AJ102" i="2" s="1"/>
  <c r="AP102" i="2" s="1"/>
  <c r="R103" i="2"/>
  <c r="R104" i="2"/>
  <c r="X104" i="2" s="1"/>
  <c r="AJ104" i="2" s="1"/>
  <c r="AP104" i="2" s="1"/>
  <c r="R105" i="2"/>
  <c r="R106" i="2"/>
  <c r="X106" i="2" s="1"/>
  <c r="AJ106" i="2" s="1"/>
  <c r="AP106" i="2" s="1"/>
  <c r="R107" i="2"/>
  <c r="R108" i="2"/>
  <c r="S108" i="2" s="1"/>
  <c r="R109" i="2"/>
  <c r="R110" i="2"/>
  <c r="X110" i="2" s="1"/>
  <c r="AJ110" i="2" s="1"/>
  <c r="AP110" i="2" s="1"/>
  <c r="R111" i="2"/>
  <c r="BY111" i="2"/>
  <c r="R112" i="2"/>
  <c r="X112" i="2" s="1"/>
  <c r="AJ112" i="2" s="1"/>
  <c r="AP112" i="2" s="1"/>
  <c r="BY112" i="2"/>
  <c r="R113" i="2"/>
  <c r="S113" i="2" s="1"/>
  <c r="BY113" i="2"/>
  <c r="BY114" i="2"/>
  <c r="BY115" i="2"/>
  <c r="BY116" i="2"/>
  <c r="BY117" i="2"/>
  <c r="BY118" i="2"/>
  <c r="BY119" i="2"/>
  <c r="BY120" i="2"/>
  <c r="BY121" i="2"/>
  <c r="BY122" i="2"/>
  <c r="BY123" i="2"/>
  <c r="BY124" i="2"/>
  <c r="BY125" i="2"/>
  <c r="BY126" i="2"/>
  <c r="BY127" i="2"/>
  <c r="BY128" i="2"/>
  <c r="BY129" i="2"/>
  <c r="BY130" i="2"/>
  <c r="BY131" i="2"/>
  <c r="BY132" i="2"/>
  <c r="R133" i="2"/>
  <c r="S133" i="2" s="1"/>
  <c r="BW133" i="2"/>
  <c r="R134" i="2"/>
  <c r="X134" i="2" s="1"/>
  <c r="AJ134" i="2" s="1"/>
  <c r="AP134" i="2" s="1"/>
  <c r="BW134" i="2"/>
  <c r="R135" i="2"/>
  <c r="BW135" i="2"/>
  <c r="R136" i="2"/>
  <c r="X136" i="2" s="1"/>
  <c r="AJ136" i="2" s="1"/>
  <c r="AP136" i="2" s="1"/>
  <c r="BW136" i="2"/>
  <c r="R137" i="2"/>
  <c r="BW137" i="2"/>
  <c r="R138" i="2"/>
  <c r="BW138" i="2"/>
  <c r="R139" i="2"/>
  <c r="BW139" i="2"/>
  <c r="R140" i="2"/>
  <c r="BW140" i="2"/>
  <c r="R141" i="2"/>
  <c r="BW141" i="2"/>
  <c r="CT206" i="2"/>
  <c r="R213" i="2"/>
  <c r="R221" i="2"/>
  <c r="X221" i="2" s="1"/>
  <c r="AJ221" i="2" s="1"/>
  <c r="AP221" i="2" s="1"/>
  <c r="DH229" i="2"/>
  <c r="R231" i="2"/>
  <c r="CX232" i="2"/>
  <c r="DL232" i="2" s="1"/>
  <c r="DA270" i="2"/>
  <c r="CK270" i="2"/>
  <c r="CQ270" i="2"/>
  <c r="R223" i="2"/>
  <c r="CW242" i="2"/>
  <c r="DG250" i="2"/>
  <c r="DI250" i="2"/>
  <c r="DA250" i="2"/>
  <c r="CC250" i="2"/>
  <c r="CG254" i="2"/>
  <c r="X315" i="2"/>
  <c r="Y315" i="2" s="1"/>
  <c r="X322" i="2"/>
  <c r="Y322" i="2" s="1"/>
  <c r="R27" i="2"/>
  <c r="R33" i="2"/>
  <c r="R42" i="2"/>
  <c r="X42" i="2" s="1"/>
  <c r="AJ42" i="2" s="1"/>
  <c r="AP42" i="2" s="1"/>
  <c r="R43" i="2"/>
  <c r="R48" i="2"/>
  <c r="X48" i="2" s="1"/>
  <c r="AJ48" i="2" s="1"/>
  <c r="R53" i="2"/>
  <c r="R55" i="2"/>
  <c r="R57" i="2"/>
  <c r="R59" i="2"/>
  <c r="R60" i="2"/>
  <c r="X60" i="2" s="1"/>
  <c r="R62" i="2"/>
  <c r="X62" i="2" s="1"/>
  <c r="AJ62" i="2" s="1"/>
  <c r="BV111" i="2"/>
  <c r="BV112" i="2"/>
  <c r="BV113" i="2"/>
  <c r="BV114" i="2"/>
  <c r="BV115" i="2"/>
  <c r="BV116" i="2"/>
  <c r="BV117" i="2"/>
  <c r="BV118" i="2"/>
  <c r="BV119" i="2"/>
  <c r="BV120" i="2"/>
  <c r="BV121" i="2"/>
  <c r="BV122" i="2"/>
  <c r="BV123" i="2"/>
  <c r="BV124" i="2"/>
  <c r="BV125" i="2"/>
  <c r="BV126" i="2"/>
  <c r="BV127" i="2"/>
  <c r="BV128" i="2"/>
  <c r="BV129" i="2"/>
  <c r="BV130" i="2"/>
  <c r="BV131" i="2"/>
  <c r="BV132" i="2"/>
  <c r="CJ143" i="2"/>
  <c r="CX143" i="2" s="1"/>
  <c r="DL143" i="2" s="1"/>
  <c r="CJ144" i="2"/>
  <c r="CJ145" i="2"/>
  <c r="CJ146" i="2"/>
  <c r="CJ147" i="2"/>
  <c r="CJ148" i="2"/>
  <c r="CJ149" i="2"/>
  <c r="CX149" i="2" s="1"/>
  <c r="DL149" i="2" s="1"/>
  <c r="CJ150" i="2"/>
  <c r="CX150" i="2" s="1"/>
  <c r="DL150" i="2" s="1"/>
  <c r="CJ151" i="2"/>
  <c r="CJ152" i="2"/>
  <c r="CX152" i="2" s="1"/>
  <c r="DL152" i="2" s="1"/>
  <c r="CJ153" i="2"/>
  <c r="CX153" i="2" s="1"/>
  <c r="DL153" i="2" s="1"/>
  <c r="CJ154" i="2"/>
  <c r="CJ155" i="2"/>
  <c r="CJ156" i="2"/>
  <c r="CX156" i="2" s="1"/>
  <c r="DL156" i="2" s="1"/>
  <c r="CJ157" i="2"/>
  <c r="CJ158" i="2"/>
  <c r="CX158" i="2" s="1"/>
  <c r="DL158" i="2" s="1"/>
  <c r="CJ159" i="2"/>
  <c r="CX159" i="2" s="1"/>
  <c r="DL159" i="2" s="1"/>
  <c r="CJ160" i="2"/>
  <c r="CJ161" i="2"/>
  <c r="CX161" i="2" s="1"/>
  <c r="DL161" i="2" s="1"/>
  <c r="CJ162" i="2"/>
  <c r="CX162" i="2" s="1"/>
  <c r="DL162" i="2" s="1"/>
  <c r="CJ163" i="2"/>
  <c r="CX163" i="2" s="1"/>
  <c r="DL163" i="2" s="1"/>
  <c r="CJ164" i="2"/>
  <c r="CX164" i="2" s="1"/>
  <c r="DL164" i="2" s="1"/>
  <c r="CJ165" i="2"/>
  <c r="CJ166" i="2"/>
  <c r="CJ167" i="2"/>
  <c r="CX167" i="2" s="1"/>
  <c r="DL167" i="2" s="1"/>
  <c r="CJ168" i="2"/>
  <c r="CJ169" i="2"/>
  <c r="CJ170" i="2"/>
  <c r="CJ171" i="2"/>
  <c r="CX171" i="2" s="1"/>
  <c r="DL171" i="2" s="1"/>
  <c r="CJ172" i="2"/>
  <c r="CX172" i="2" s="1"/>
  <c r="DL172" i="2" s="1"/>
  <c r="CJ173" i="2"/>
  <c r="CJ174" i="2"/>
  <c r="CX174" i="2" s="1"/>
  <c r="DL174" i="2" s="1"/>
  <c r="CJ175" i="2"/>
  <c r="CX175" i="2" s="1"/>
  <c r="DL175" i="2" s="1"/>
  <c r="CJ176" i="2"/>
  <c r="CJ177" i="2"/>
  <c r="CX177" i="2" s="1"/>
  <c r="DL177" i="2" s="1"/>
  <c r="CJ178" i="2"/>
  <c r="CX178" i="2" s="1"/>
  <c r="DL178" i="2" s="1"/>
  <c r="CJ179" i="2"/>
  <c r="CX179" i="2" s="1"/>
  <c r="DL179" i="2" s="1"/>
  <c r="CJ180" i="2"/>
  <c r="CJ181" i="2"/>
  <c r="CX181" i="2" s="1"/>
  <c r="DL181" i="2" s="1"/>
  <c r="CJ182" i="2"/>
  <c r="CX182" i="2" s="1"/>
  <c r="DL182" i="2" s="1"/>
  <c r="CJ183" i="2"/>
  <c r="CJ184" i="2"/>
  <c r="CJ185" i="2"/>
  <c r="CJ186" i="2"/>
  <c r="CJ187" i="2"/>
  <c r="CJ188" i="2"/>
  <c r="CJ189" i="2"/>
  <c r="CJ190" i="2"/>
  <c r="CJ191" i="2"/>
  <c r="CJ192" i="2"/>
  <c r="CX192" i="2" s="1"/>
  <c r="DL192" i="2" s="1"/>
  <c r="CJ193" i="2"/>
  <c r="CJ194" i="2"/>
  <c r="CJ195" i="2"/>
  <c r="CJ196" i="2"/>
  <c r="CX196" i="2" s="1"/>
  <c r="DL196" i="2" s="1"/>
  <c r="CJ197" i="2"/>
  <c r="CX197" i="2" s="1"/>
  <c r="DL197" i="2" s="1"/>
  <c r="CJ198" i="2"/>
  <c r="CX198" i="2" s="1"/>
  <c r="DL198" i="2" s="1"/>
  <c r="CJ199" i="2"/>
  <c r="CX199" i="2" s="1"/>
  <c r="DL199" i="2" s="1"/>
  <c r="CJ200" i="2"/>
  <c r="CJ201" i="2"/>
  <c r="CX201" i="2" s="1"/>
  <c r="DL201" i="2" s="1"/>
  <c r="CJ202" i="2"/>
  <c r="CX202" i="2" s="1"/>
  <c r="DL202" i="2" s="1"/>
  <c r="CJ203" i="2"/>
  <c r="CX203" i="2" s="1"/>
  <c r="DL203" i="2" s="1"/>
  <c r="CJ204" i="2"/>
  <c r="CX204" i="2" s="1"/>
  <c r="DL204" i="2" s="1"/>
  <c r="CJ205" i="2"/>
  <c r="CX205" i="2" s="1"/>
  <c r="DL205" i="2" s="1"/>
  <c r="CJ206" i="2"/>
  <c r="CJ208" i="2"/>
  <c r="R211" i="2"/>
  <c r="R219" i="2"/>
  <c r="X219" i="2" s="1"/>
  <c r="AJ219" i="2" s="1"/>
  <c r="AP219" i="2" s="1"/>
  <c r="R227" i="2"/>
  <c r="CM235" i="2"/>
  <c r="DM235" i="2"/>
  <c r="DI235" i="2"/>
  <c r="CK235" i="2"/>
  <c r="CC235" i="2"/>
  <c r="DB235" i="2"/>
  <c r="CM239" i="2"/>
  <c r="DM239" i="2"/>
  <c r="DI239" i="2"/>
  <c r="DA239" i="2"/>
  <c r="CK239" i="2"/>
  <c r="CG239" i="2"/>
  <c r="DB239" i="2"/>
  <c r="CM245" i="2"/>
  <c r="DM245" i="2"/>
  <c r="DI245" i="2"/>
  <c r="DA245" i="2"/>
  <c r="CW245" i="2"/>
  <c r="CG245" i="2"/>
  <c r="CY247" i="2"/>
  <c r="CU247" i="2"/>
  <c r="CI247" i="2"/>
  <c r="DM247" i="2"/>
  <c r="DE247" i="2"/>
  <c r="CO247" i="2"/>
  <c r="CK247" i="2"/>
  <c r="CG247" i="2"/>
  <c r="DI274" i="2"/>
  <c r="CC274" i="2"/>
  <c r="CI274" i="2"/>
  <c r="CY209" i="2"/>
  <c r="CU209" i="2"/>
  <c r="DM209" i="2"/>
  <c r="CW209" i="2"/>
  <c r="CS209" i="2"/>
  <c r="CK209" i="2"/>
  <c r="CG234" i="2"/>
  <c r="CU240" i="2"/>
  <c r="CI240" i="2"/>
  <c r="CE240" i="2"/>
  <c r="DI240" i="2"/>
  <c r="DE240" i="2"/>
  <c r="CS240" i="2"/>
  <c r="CO240" i="2"/>
  <c r="CK240" i="2"/>
  <c r="CG240" i="2"/>
  <c r="CC240" i="2"/>
  <c r="CU256" i="2"/>
  <c r="CI256" i="2"/>
  <c r="CE256" i="2"/>
  <c r="DI256" i="2"/>
  <c r="DE256" i="2"/>
  <c r="CS256" i="2"/>
  <c r="CO256" i="2"/>
  <c r="CK256" i="2"/>
  <c r="CG256" i="2"/>
  <c r="CC256" i="2"/>
  <c r="BY133" i="2"/>
  <c r="R207" i="2"/>
  <c r="S207" i="2" s="1"/>
  <c r="R209" i="2"/>
  <c r="AJ212" i="2"/>
  <c r="R217" i="2"/>
  <c r="X217" i="2" s="1"/>
  <c r="AJ217" i="2" s="1"/>
  <c r="AP217" i="2" s="1"/>
  <c r="R225" i="2"/>
  <c r="R230" i="2"/>
  <c r="AJ232" i="2"/>
  <c r="CX271" i="2"/>
  <c r="DL271" i="2" s="1"/>
  <c r="DE311" i="2"/>
  <c r="DA311" i="2"/>
  <c r="CS311" i="2"/>
  <c r="CY311" i="2"/>
  <c r="CQ311" i="2"/>
  <c r="CI311" i="2"/>
  <c r="BV143" i="2"/>
  <c r="BV144" i="2"/>
  <c r="BV145" i="2"/>
  <c r="BV146" i="2"/>
  <c r="BV147" i="2"/>
  <c r="BV148" i="2"/>
  <c r="BV149" i="2"/>
  <c r="BV150" i="2"/>
  <c r="BV151" i="2"/>
  <c r="BV152" i="2"/>
  <c r="BV153" i="2"/>
  <c r="BV154" i="2"/>
  <c r="BV155" i="2"/>
  <c r="BV156" i="2"/>
  <c r="BV157" i="2"/>
  <c r="BV158" i="2"/>
  <c r="BV159" i="2"/>
  <c r="BV160" i="2"/>
  <c r="BV161" i="2"/>
  <c r="BV162" i="2"/>
  <c r="BV163" i="2"/>
  <c r="BV164" i="2"/>
  <c r="BV165" i="2"/>
  <c r="BV166" i="2"/>
  <c r="BV167" i="2"/>
  <c r="BV168" i="2"/>
  <c r="BV169" i="2"/>
  <c r="BV170" i="2"/>
  <c r="BV171" i="2"/>
  <c r="BV172" i="2"/>
  <c r="BV173" i="2"/>
  <c r="BV174" i="2"/>
  <c r="BV175" i="2"/>
  <c r="BV176" i="2"/>
  <c r="BV177" i="2"/>
  <c r="BV178" i="2"/>
  <c r="BV179" i="2"/>
  <c r="BV180" i="2"/>
  <c r="BV181" i="2"/>
  <c r="BV182" i="2"/>
  <c r="BV183" i="2"/>
  <c r="BV184" i="2"/>
  <c r="BV185" i="2"/>
  <c r="BV186" i="2"/>
  <c r="BV187" i="2"/>
  <c r="BV188" i="2"/>
  <c r="BV189" i="2"/>
  <c r="BV190" i="2"/>
  <c r="BV191" i="2"/>
  <c r="BV192" i="2"/>
  <c r="BV193" i="2"/>
  <c r="BV194" i="2"/>
  <c r="BV195" i="2"/>
  <c r="BV196" i="2"/>
  <c r="BV197" i="2"/>
  <c r="BV198" i="2"/>
  <c r="BV199" i="2"/>
  <c r="BV200" i="2"/>
  <c r="BV201" i="2"/>
  <c r="BV202" i="2"/>
  <c r="BV203" i="2"/>
  <c r="BV204" i="2"/>
  <c r="BV205" i="2"/>
  <c r="BV206" i="2"/>
  <c r="CT260" i="2"/>
  <c r="CJ261" i="2"/>
  <c r="CX261" i="2" s="1"/>
  <c r="DL261" i="2" s="1"/>
  <c r="CT264" i="2"/>
  <c r="CX264" i="2" s="1"/>
  <c r="DL264" i="2" s="1"/>
  <c r="CJ265" i="2"/>
  <c r="CX265" i="2" s="1"/>
  <c r="DL265" i="2" s="1"/>
  <c r="CT268" i="2"/>
  <c r="CX268" i="2" s="1"/>
  <c r="DL268" i="2" s="1"/>
  <c r="CJ269" i="2"/>
  <c r="CT272" i="2"/>
  <c r="CX272" i="2" s="1"/>
  <c r="DL272" i="2" s="1"/>
  <c r="CJ273" i="2"/>
  <c r="CT276" i="2"/>
  <c r="CX276" i="2" s="1"/>
  <c r="DL276" i="2" s="1"/>
  <c r="CJ277" i="2"/>
  <c r="CT280" i="2"/>
  <c r="CX280" i="2" s="1"/>
  <c r="DL280" i="2" s="1"/>
  <c r="CJ281" i="2"/>
  <c r="X288" i="2"/>
  <c r="Y288" i="2" s="1"/>
  <c r="X296" i="2"/>
  <c r="Y296" i="2" s="1"/>
  <c r="X300" i="2"/>
  <c r="X304" i="2"/>
  <c r="X308" i="2"/>
  <c r="Y308" i="2" s="1"/>
  <c r="X312" i="2"/>
  <c r="Y312" i="2" s="1"/>
  <c r="DG324" i="2"/>
  <c r="CY324" i="2"/>
  <c r="CU324" i="2"/>
  <c r="CQ324" i="2"/>
  <c r="CI324" i="2"/>
  <c r="CE324" i="2"/>
  <c r="CW324" i="2"/>
  <c r="CG324" i="2"/>
  <c r="DB324" i="2"/>
  <c r="DC324" i="2" s="1"/>
  <c r="DA324" i="2"/>
  <c r="DE324" i="2"/>
  <c r="CO324" i="2"/>
  <c r="CC324" i="2"/>
  <c r="DI324" i="2"/>
  <c r="BW363" i="2"/>
  <c r="BY363" i="2"/>
  <c r="BV363" i="2"/>
  <c r="X289" i="2"/>
  <c r="Y289" i="2" s="1"/>
  <c r="X293" i="2"/>
  <c r="Y293" i="2" s="1"/>
  <c r="X297" i="2"/>
  <c r="Y297" i="2" s="1"/>
  <c r="X305" i="2"/>
  <c r="Y305" i="2" s="1"/>
  <c r="X309" i="2"/>
  <c r="Y309" i="2" s="1"/>
  <c r="CM309" i="2"/>
  <c r="CY309" i="2"/>
  <c r="X313" i="2"/>
  <c r="Y313" i="2" s="1"/>
  <c r="X317" i="2"/>
  <c r="Y317" i="2" s="1"/>
  <c r="R260" i="2"/>
  <c r="S260" i="2" s="1"/>
  <c r="R264" i="2"/>
  <c r="S264" i="2" s="1"/>
  <c r="R268" i="2"/>
  <c r="S268" i="2" s="1"/>
  <c r="R272" i="2"/>
  <c r="S272" i="2" s="1"/>
  <c r="R276" i="2"/>
  <c r="S276" i="2" s="1"/>
  <c r="R280" i="2"/>
  <c r="S280" i="2" s="1"/>
  <c r="X286" i="2"/>
  <c r="Y286" i="2" s="1"/>
  <c r="X306" i="2"/>
  <c r="Y306" i="2" s="1"/>
  <c r="R329" i="2"/>
  <c r="BW259" i="2"/>
  <c r="R262" i="2"/>
  <c r="R266" i="2"/>
  <c r="S266" i="2" s="1"/>
  <c r="R270" i="2"/>
  <c r="X270" i="2" s="1"/>
  <c r="AJ270" i="2" s="1"/>
  <c r="AP270" i="2" s="1"/>
  <c r="R274" i="2"/>
  <c r="X274" i="2" s="1"/>
  <c r="AJ274" i="2" s="1"/>
  <c r="AK274" i="2" s="1"/>
  <c r="R278" i="2"/>
  <c r="R282" i="2"/>
  <c r="R326" i="2"/>
  <c r="S326" i="2" s="1"/>
  <c r="CT328" i="2"/>
  <c r="CT331" i="2"/>
  <c r="CX331" i="2" s="1"/>
  <c r="DL331" i="2" s="1"/>
  <c r="X332" i="2"/>
  <c r="AJ332" i="2" s="1"/>
  <c r="AP332" i="2" s="1"/>
  <c r="R333" i="2"/>
  <c r="CX336" i="2"/>
  <c r="DL336" i="2" s="1"/>
  <c r="CJ337" i="2"/>
  <c r="X339" i="2"/>
  <c r="AJ339" i="2" s="1"/>
  <c r="AP339" i="2" s="1"/>
  <c r="CJ340" i="2"/>
  <c r="CX340" i="2" s="1"/>
  <c r="DL340" i="2" s="1"/>
  <c r="CW362" i="2"/>
  <c r="DG362" i="2"/>
  <c r="CM365" i="2"/>
  <c r="CU365" i="2"/>
  <c r="R234" i="2"/>
  <c r="S234" i="2" s="1"/>
  <c r="R235" i="2"/>
  <c r="S235" i="2" s="1"/>
  <c r="R236" i="2"/>
  <c r="R237" i="2"/>
  <c r="R238" i="2"/>
  <c r="S238" i="2" s="1"/>
  <c r="R239" i="2"/>
  <c r="S239" i="2" s="1"/>
  <c r="R240" i="2"/>
  <c r="S240" i="2" s="1"/>
  <c r="R241" i="2"/>
  <c r="S241" i="2" s="1"/>
  <c r="R242" i="2"/>
  <c r="S242" i="2" s="1"/>
  <c r="R243" i="2"/>
  <c r="S243" i="2" s="1"/>
  <c r="R244" i="2"/>
  <c r="R245" i="2"/>
  <c r="R246" i="2"/>
  <c r="S246" i="2" s="1"/>
  <c r="R247" i="2"/>
  <c r="S247" i="2" s="1"/>
  <c r="R248" i="2"/>
  <c r="S248" i="2" s="1"/>
  <c r="R249" i="2"/>
  <c r="S249" i="2" s="1"/>
  <c r="R250" i="2"/>
  <c r="S250" i="2" s="1"/>
  <c r="R251" i="2"/>
  <c r="S251" i="2" s="1"/>
  <c r="R252" i="2"/>
  <c r="R253" i="2"/>
  <c r="R254" i="2"/>
  <c r="S254" i="2" s="1"/>
  <c r="R255" i="2"/>
  <c r="S255" i="2" s="1"/>
  <c r="R256" i="2"/>
  <c r="S256" i="2" s="1"/>
  <c r="R257" i="2"/>
  <c r="S257" i="2" s="1"/>
  <c r="R258" i="2"/>
  <c r="S258" i="2" s="1"/>
  <c r="R259" i="2"/>
  <c r="S259" i="2" s="1"/>
  <c r="R325" i="2"/>
  <c r="X325" i="2" s="1"/>
  <c r="AJ325" i="2" s="1"/>
  <c r="AP325" i="2" s="1"/>
  <c r="CJ328" i="2"/>
  <c r="CT332" i="2"/>
  <c r="CT335" i="2"/>
  <c r="CX335" i="2" s="1"/>
  <c r="DL335" i="2" s="1"/>
  <c r="X336" i="2"/>
  <c r="R337" i="2"/>
  <c r="S337" i="2" s="1"/>
  <c r="X283" i="2"/>
  <c r="Y283" i="2" s="1"/>
  <c r="CT283" i="2"/>
  <c r="X284" i="2"/>
  <c r="Y284" i="2" s="1"/>
  <c r="CT284" i="2"/>
  <c r="CX284" i="2" s="1"/>
  <c r="DL284" i="2" s="1"/>
  <c r="DI368" i="2"/>
  <c r="R369" i="2"/>
  <c r="R377" i="2"/>
  <c r="CX355" i="2"/>
  <c r="DL355" i="2" s="1"/>
  <c r="CX357" i="2"/>
  <c r="DL357" i="2" s="1"/>
  <c r="CX359" i="2"/>
  <c r="DL359" i="2" s="1"/>
  <c r="AJ367" i="2"/>
  <c r="AP367" i="2" s="1"/>
  <c r="DM369" i="2"/>
  <c r="DE369" i="2"/>
  <c r="DA369" i="2"/>
  <c r="CS369" i="2"/>
  <c r="CO369" i="2"/>
  <c r="CK369" i="2"/>
  <c r="CC369" i="2"/>
  <c r="DB369" i="2"/>
  <c r="DC369" i="2" s="1"/>
  <c r="DK369" i="2"/>
  <c r="CY369" i="2"/>
  <c r="CU369" i="2"/>
  <c r="CQ369" i="2"/>
  <c r="CI369" i="2"/>
  <c r="CE369" i="2"/>
  <c r="CX341" i="2"/>
  <c r="DL341" i="2" s="1"/>
  <c r="CX342" i="2"/>
  <c r="DL342" i="2" s="1"/>
  <c r="CX347" i="2"/>
  <c r="DL347" i="2" s="1"/>
  <c r="CX351" i="2"/>
  <c r="DL351" i="2" s="1"/>
  <c r="CX372" i="2"/>
  <c r="DL372" i="2" s="1"/>
  <c r="R373" i="2"/>
  <c r="S373" i="2" s="1"/>
  <c r="R324" i="2"/>
  <c r="BW324" i="2"/>
  <c r="BW325" i="2"/>
  <c r="BW326" i="2"/>
  <c r="R330" i="2"/>
  <c r="X330" i="2" s="1"/>
  <c r="AJ330" i="2" s="1"/>
  <c r="AP330" i="2" s="1"/>
  <c r="R334" i="2"/>
  <c r="R338" i="2"/>
  <c r="R365" i="2"/>
  <c r="S365" i="2" s="1"/>
  <c r="R366" i="2"/>
  <c r="S366" i="2" s="1"/>
  <c r="AJ371" i="2"/>
  <c r="BW417" i="2"/>
  <c r="BV417" i="2"/>
  <c r="BY417" i="2"/>
  <c r="R363" i="2"/>
  <c r="CT398" i="2"/>
  <c r="CX398" i="2" s="1"/>
  <c r="DL398" i="2" s="1"/>
  <c r="R400" i="2"/>
  <c r="R341" i="2"/>
  <c r="R342" i="2"/>
  <c r="R343" i="2"/>
  <c r="R344" i="2"/>
  <c r="R345" i="2"/>
  <c r="R346" i="2"/>
  <c r="X346" i="2" s="1"/>
  <c r="AJ346" i="2" s="1"/>
  <c r="AP346" i="2" s="1"/>
  <c r="R347" i="2"/>
  <c r="R348" i="2"/>
  <c r="S348" i="2" s="1"/>
  <c r="R349" i="2"/>
  <c r="R350" i="2"/>
  <c r="S350" i="2" s="1"/>
  <c r="R351" i="2"/>
  <c r="X351" i="2" s="1"/>
  <c r="AJ351" i="2" s="1"/>
  <c r="AP351" i="2" s="1"/>
  <c r="R352" i="2"/>
  <c r="R353" i="2"/>
  <c r="BY353" i="2"/>
  <c r="R354" i="2"/>
  <c r="BY354" i="2"/>
  <c r="R355" i="2"/>
  <c r="BY355" i="2"/>
  <c r="R356" i="2"/>
  <c r="BY356" i="2"/>
  <c r="R357" i="2"/>
  <c r="BY357" i="2"/>
  <c r="R358" i="2"/>
  <c r="X358" i="2" s="1"/>
  <c r="AJ358" i="2" s="1"/>
  <c r="AP358" i="2" s="1"/>
  <c r="BY358" i="2"/>
  <c r="R359" i="2"/>
  <c r="BY359" i="2"/>
  <c r="R360" i="2"/>
  <c r="X360" i="2" s="1"/>
  <c r="AJ360" i="2" s="1"/>
  <c r="AP360" i="2" s="1"/>
  <c r="BY360" i="2"/>
  <c r="BY361" i="2"/>
  <c r="BV362" i="2"/>
  <c r="BY364" i="2"/>
  <c r="CJ366" i="2"/>
  <c r="CJ370" i="2"/>
  <c r="CX370" i="2" s="1"/>
  <c r="DL370" i="2" s="1"/>
  <c r="DH372" i="2"/>
  <c r="CJ374" i="2"/>
  <c r="CX374" i="2" s="1"/>
  <c r="DL374" i="2" s="1"/>
  <c r="DH376" i="2"/>
  <c r="CJ378" i="2"/>
  <c r="CT397" i="2"/>
  <c r="X402" i="2"/>
  <c r="Y402" i="2" s="1"/>
  <c r="BW408" i="2"/>
  <c r="BV408" i="2"/>
  <c r="CJ363" i="2"/>
  <c r="CX363" i="2" s="1"/>
  <c r="DL363" i="2" s="1"/>
  <c r="CJ367" i="2"/>
  <c r="CX367" i="2" s="1"/>
  <c r="DL367" i="2" s="1"/>
  <c r="DH369" i="2"/>
  <c r="R370" i="2"/>
  <c r="S370" i="2" s="1"/>
  <c r="CJ371" i="2"/>
  <c r="CX371" i="2" s="1"/>
  <c r="DL371" i="2" s="1"/>
  <c r="DH373" i="2"/>
  <c r="R374" i="2"/>
  <c r="CJ375" i="2"/>
  <c r="CX375" i="2" s="1"/>
  <c r="DL375" i="2" s="1"/>
  <c r="DH377" i="2"/>
  <c r="R378" i="2"/>
  <c r="CJ379" i="2"/>
  <c r="CX379" i="2" s="1"/>
  <c r="DL379" i="2" s="1"/>
  <c r="CJ380" i="2"/>
  <c r="CX380" i="2" s="1"/>
  <c r="DL380" i="2" s="1"/>
  <c r="CJ381" i="2"/>
  <c r="CX381" i="2" s="1"/>
  <c r="DL381" i="2" s="1"/>
  <c r="CJ382" i="2"/>
  <c r="CJ383" i="2"/>
  <c r="CX383" i="2" s="1"/>
  <c r="DL383" i="2" s="1"/>
  <c r="CJ384" i="2"/>
  <c r="CJ385" i="2"/>
  <c r="CJ386" i="2"/>
  <c r="CJ387" i="2"/>
  <c r="CJ388" i="2"/>
  <c r="CX388" i="2" s="1"/>
  <c r="DL388" i="2" s="1"/>
  <c r="CJ389" i="2"/>
  <c r="CJ390" i="2"/>
  <c r="CX390" i="2" s="1"/>
  <c r="DL390" i="2" s="1"/>
  <c r="CJ391" i="2"/>
  <c r="CX391" i="2" s="1"/>
  <c r="DL391" i="2" s="1"/>
  <c r="CJ392" i="2"/>
  <c r="CJ393" i="2"/>
  <c r="CJ394" i="2"/>
  <c r="CJ395" i="2"/>
  <c r="CX395" i="2" s="1"/>
  <c r="DL395" i="2" s="1"/>
  <c r="CJ396" i="2"/>
  <c r="R399" i="2"/>
  <c r="R409" i="2"/>
  <c r="BW433" i="2"/>
  <c r="BV433" i="2"/>
  <c r="BY433" i="2"/>
  <c r="BV380" i="2"/>
  <c r="BV381" i="2"/>
  <c r="BV382" i="2"/>
  <c r="BV383" i="2"/>
  <c r="BV384" i="2"/>
  <c r="BV385" i="2"/>
  <c r="BV386" i="2"/>
  <c r="BV387" i="2"/>
  <c r="BV388" i="2"/>
  <c r="BV389" i="2"/>
  <c r="BV390" i="2"/>
  <c r="BV391" i="2"/>
  <c r="BV392" i="2"/>
  <c r="BV393" i="2"/>
  <c r="BV394" i="2"/>
  <c r="BV395" i="2"/>
  <c r="BV396" i="2"/>
  <c r="BW397" i="2"/>
  <c r="BW412" i="2"/>
  <c r="BV412" i="2"/>
  <c r="BY412" i="2"/>
  <c r="R413" i="2"/>
  <c r="BW429" i="2"/>
  <c r="BV429" i="2"/>
  <c r="BY429" i="2"/>
  <c r="CT403" i="2"/>
  <c r="CX403" i="2" s="1"/>
  <c r="DL403" i="2" s="1"/>
  <c r="CT404" i="2"/>
  <c r="CT405" i="2"/>
  <c r="CT406" i="2"/>
  <c r="CX411" i="2"/>
  <c r="DL411" i="2" s="1"/>
  <c r="BW416" i="2"/>
  <c r="BV416" i="2"/>
  <c r="BY416" i="2"/>
  <c r="BW425" i="2"/>
  <c r="BV425" i="2"/>
  <c r="BY425" i="2"/>
  <c r="BW421" i="2"/>
  <c r="BV421" i="2"/>
  <c r="BY421" i="2"/>
  <c r="BW437" i="2"/>
  <c r="BV437" i="2"/>
  <c r="BY437" i="2"/>
  <c r="BW407" i="2"/>
  <c r="BV407" i="2"/>
  <c r="R407" i="2"/>
  <c r="BY407" i="2"/>
  <c r="CJ410" i="2"/>
  <c r="CX410" i="2" s="1"/>
  <c r="DL410" i="2" s="1"/>
  <c r="BW411" i="2"/>
  <c r="BV411" i="2"/>
  <c r="R411" i="2"/>
  <c r="BY411" i="2"/>
  <c r="CJ414" i="2"/>
  <c r="BW415" i="2"/>
  <c r="BV415" i="2"/>
  <c r="R415" i="2"/>
  <c r="BY415" i="2"/>
  <c r="BW418" i="2"/>
  <c r="BV418" i="2"/>
  <c r="BY418" i="2"/>
  <c r="BW422" i="2"/>
  <c r="BV422" i="2"/>
  <c r="BY422" i="2"/>
  <c r="BW426" i="2"/>
  <c r="BV426" i="2"/>
  <c r="BY426" i="2"/>
  <c r="BW430" i="2"/>
  <c r="BV430" i="2"/>
  <c r="BY430" i="2"/>
  <c r="BW434" i="2"/>
  <c r="BV434" i="2"/>
  <c r="BY434" i="2"/>
  <c r="BW438" i="2"/>
  <c r="BV438" i="2"/>
  <c r="BY438" i="2"/>
  <c r="BW439" i="2"/>
  <c r="BV439" i="2"/>
  <c r="BY439" i="2"/>
  <c r="R404" i="2"/>
  <c r="R405" i="2"/>
  <c r="R406" i="2"/>
  <c r="DH408" i="2"/>
  <c r="BW410" i="2"/>
  <c r="BV410" i="2"/>
  <c r="BY410" i="2"/>
  <c r="DH412" i="2"/>
  <c r="BW414" i="2"/>
  <c r="BV414" i="2"/>
  <c r="BY414" i="2"/>
  <c r="BW419" i="2"/>
  <c r="BV419" i="2"/>
  <c r="BY419" i="2"/>
  <c r="BW423" i="2"/>
  <c r="BV423" i="2"/>
  <c r="BY423" i="2"/>
  <c r="BW427" i="2"/>
  <c r="BV427" i="2"/>
  <c r="BY427" i="2"/>
  <c r="BW431" i="2"/>
  <c r="BV431" i="2"/>
  <c r="BY431" i="2"/>
  <c r="BW435" i="2"/>
  <c r="BV435" i="2"/>
  <c r="BY435" i="2"/>
  <c r="CX439" i="2"/>
  <c r="DL439" i="2" s="1"/>
  <c r="DH407" i="2"/>
  <c r="CJ408" i="2"/>
  <c r="CX408" i="2" s="1"/>
  <c r="DL408" i="2" s="1"/>
  <c r="BW409" i="2"/>
  <c r="BV409" i="2"/>
  <c r="BY409" i="2"/>
  <c r="DH411" i="2"/>
  <c r="CJ412" i="2"/>
  <c r="BW413" i="2"/>
  <c r="BV413" i="2"/>
  <c r="BY413" i="2"/>
  <c r="DH415" i="2"/>
  <c r="CJ416" i="2"/>
  <c r="CX416" i="2" s="1"/>
  <c r="DL416" i="2" s="1"/>
  <c r="BW420" i="2"/>
  <c r="BV420" i="2"/>
  <c r="BY420" i="2"/>
  <c r="BW424" i="2"/>
  <c r="BV424" i="2"/>
  <c r="BY424" i="2"/>
  <c r="BW428" i="2"/>
  <c r="BV428" i="2"/>
  <c r="BY428" i="2"/>
  <c r="BW432" i="2"/>
  <c r="BV432" i="2"/>
  <c r="BY432" i="2"/>
  <c r="BW436" i="2"/>
  <c r="BV436" i="2"/>
  <c r="BY436" i="2"/>
  <c r="BW440" i="2"/>
  <c r="BV440" i="2"/>
  <c r="BY440" i="2"/>
  <c r="R441" i="2"/>
  <c r="CT441" i="2"/>
  <c r="R449" i="2"/>
  <c r="R417" i="2"/>
  <c r="R418" i="2"/>
  <c r="R419" i="2"/>
  <c r="R420" i="2"/>
  <c r="R421" i="2"/>
  <c r="R422" i="2"/>
  <c r="R423" i="2"/>
  <c r="S423" i="2" s="1"/>
  <c r="R424" i="2"/>
  <c r="R425" i="2"/>
  <c r="R426" i="2"/>
  <c r="R427" i="2"/>
  <c r="R428" i="2"/>
  <c r="R429" i="2"/>
  <c r="R430" i="2"/>
  <c r="R431" i="2"/>
  <c r="S431" i="2" s="1"/>
  <c r="R432" i="2"/>
  <c r="R433" i="2"/>
  <c r="R434" i="2"/>
  <c r="R435" i="2"/>
  <c r="R436" i="2"/>
  <c r="R437" i="2"/>
  <c r="R438" i="2"/>
  <c r="S438" i="2" s="1"/>
  <c r="DH441" i="2"/>
  <c r="DH442" i="2"/>
  <c r="DH443" i="2"/>
  <c r="DH444" i="2"/>
  <c r="DH445" i="2"/>
  <c r="DH446" i="2"/>
  <c r="DI454" i="2"/>
  <c r="CC454" i="2"/>
  <c r="CE454" i="2"/>
  <c r="CJ441" i="2"/>
  <c r="BW442" i="2"/>
  <c r="BV442" i="2"/>
  <c r="BY442" i="2"/>
  <c r="CT449" i="2"/>
  <c r="BW441" i="2"/>
  <c r="BV441" i="2"/>
  <c r="BY441" i="2"/>
  <c r="CJ444" i="2"/>
  <c r="CJ445" i="2"/>
  <c r="CX445" i="2" s="1"/>
  <c r="DL445" i="2" s="1"/>
  <c r="CJ446" i="2"/>
  <c r="CX446" i="2" s="1"/>
  <c r="DL446" i="2" s="1"/>
  <c r="DA452" i="2"/>
  <c r="CU452" i="2"/>
  <c r="CM452" i="2"/>
  <c r="BV443" i="2"/>
  <c r="BV444" i="2"/>
  <c r="BV445" i="2"/>
  <c r="BV446" i="2"/>
  <c r="DH449" i="2"/>
  <c r="R451" i="2"/>
  <c r="S451" i="2" s="1"/>
  <c r="BY447" i="2"/>
  <c r="CJ447" i="2"/>
  <c r="CX447" i="2" s="1"/>
  <c r="DL447" i="2" s="1"/>
  <c r="CJ448" i="2"/>
  <c r="CX448" i="2" s="1"/>
  <c r="DL448" i="2" s="1"/>
  <c r="BW449" i="2"/>
  <c r="BY449" i="2"/>
  <c r="CJ450" i="2"/>
  <c r="CX450" i="2" s="1"/>
  <c r="DL450" i="2" s="1"/>
  <c r="CJ449" i="2"/>
  <c r="DH457" i="2"/>
  <c r="R457" i="2"/>
  <c r="S457" i="2" s="1"/>
  <c r="R456" i="2"/>
  <c r="S456" i="2" s="1"/>
  <c r="BW481" i="2"/>
  <c r="BV481" i="2"/>
  <c r="BY481" i="2"/>
  <c r="CX463" i="2"/>
  <c r="DL463" i="2" s="1"/>
  <c r="DH464" i="2"/>
  <c r="DH468" i="2"/>
  <c r="CJ476" i="2"/>
  <c r="R458" i="2"/>
  <c r="R459" i="2"/>
  <c r="R460" i="2"/>
  <c r="R461" i="2"/>
  <c r="X461" i="2" s="1"/>
  <c r="AJ461" i="2" s="1"/>
  <c r="AK461" i="2" s="1"/>
  <c r="DH461" i="2"/>
  <c r="CX464" i="2"/>
  <c r="DL464" i="2" s="1"/>
  <c r="DH465" i="2"/>
  <c r="DH469" i="2"/>
  <c r="R482" i="2"/>
  <c r="CJ458" i="2"/>
  <c r="DH458" i="2"/>
  <c r="CJ459" i="2"/>
  <c r="DH459" i="2"/>
  <c r="CJ460" i="2"/>
  <c r="DH460" i="2"/>
  <c r="CX472" i="2"/>
  <c r="DL472" i="2" s="1"/>
  <c r="CT475" i="2"/>
  <c r="BW477" i="2"/>
  <c r="BV477" i="2"/>
  <c r="CX481" i="2"/>
  <c r="DL481" i="2" s="1"/>
  <c r="BW478" i="2"/>
  <c r="BV478" i="2"/>
  <c r="R462" i="2"/>
  <c r="BW462" i="2"/>
  <c r="R463" i="2"/>
  <c r="BW463" i="2"/>
  <c r="R464" i="2"/>
  <c r="BW464" i="2"/>
  <c r="R465" i="2"/>
  <c r="S465" i="2" s="1"/>
  <c r="BW465" i="2"/>
  <c r="R466" i="2"/>
  <c r="X466" i="2" s="1"/>
  <c r="AJ466" i="2" s="1"/>
  <c r="AP466" i="2" s="1"/>
  <c r="BW466" i="2"/>
  <c r="R467" i="2"/>
  <c r="S467" i="2" s="1"/>
  <c r="BW467" i="2"/>
  <c r="R468" i="2"/>
  <c r="X468" i="2" s="1"/>
  <c r="AJ468" i="2" s="1"/>
  <c r="AP468" i="2" s="1"/>
  <c r="BW468" i="2"/>
  <c r="R469" i="2"/>
  <c r="S469" i="2" s="1"/>
  <c r="BW469" i="2"/>
  <c r="R470" i="2"/>
  <c r="X470" i="2" s="1"/>
  <c r="AJ470" i="2" s="1"/>
  <c r="AP470" i="2" s="1"/>
  <c r="BW470" i="2"/>
  <c r="R471" i="2"/>
  <c r="BW471" i="2"/>
  <c r="BW472" i="2"/>
  <c r="BV472" i="2"/>
  <c r="R472" i="2"/>
  <c r="X472" i="2" s="1"/>
  <c r="AJ472" i="2" s="1"/>
  <c r="AP472" i="2" s="1"/>
  <c r="BY472" i="2"/>
  <c r="BW473" i="2"/>
  <c r="BY473" i="2"/>
  <c r="R473" i="2"/>
  <c r="BV473" i="2"/>
  <c r="CJ477" i="2"/>
  <c r="R479" i="2"/>
  <c r="R483" i="2"/>
  <c r="S483" i="2" s="1"/>
  <c r="CJ475" i="2"/>
  <c r="BW476" i="2"/>
  <c r="BV476" i="2"/>
  <c r="BY478" i="2"/>
  <c r="AJ480" i="2"/>
  <c r="BW482" i="2"/>
  <c r="BY482" i="2"/>
  <c r="BY474" i="2"/>
  <c r="CJ474" i="2"/>
  <c r="DH475" i="2"/>
  <c r="DH478" i="2"/>
  <c r="BW480" i="2"/>
  <c r="BV480" i="2"/>
  <c r="BY480" i="2"/>
  <c r="CJ473" i="2"/>
  <c r="CX473" i="2" s="1"/>
  <c r="DL473" i="2" s="1"/>
  <c r="DH474" i="2"/>
  <c r="DH477" i="2"/>
  <c r="CJ478" i="2"/>
  <c r="CX478" i="2" s="1"/>
  <c r="DL478" i="2" s="1"/>
  <c r="BW479" i="2"/>
  <c r="BV479" i="2"/>
  <c r="BY479" i="2"/>
  <c r="DH481" i="2"/>
  <c r="CJ483" i="2"/>
  <c r="CX483" i="2" s="1"/>
  <c r="DL483" i="2" s="1"/>
  <c r="CJ491" i="2"/>
  <c r="CX491" i="2" s="1"/>
  <c r="DL491" i="2" s="1"/>
  <c r="CJ482" i="2"/>
  <c r="CX482" i="2" s="1"/>
  <c r="DL482" i="2" s="1"/>
  <c r="DH483" i="2"/>
  <c r="R484" i="2"/>
  <c r="S484" i="2" s="1"/>
  <c r="BV484" i="2"/>
  <c r="CJ484" i="2"/>
  <c r="DH484" i="2"/>
  <c r="CJ485" i="2"/>
  <c r="DH485" i="2"/>
  <c r="CJ486" i="2"/>
  <c r="DH486" i="2"/>
  <c r="CJ487" i="2"/>
  <c r="CX487" i="2" s="1"/>
  <c r="DL487" i="2" s="1"/>
  <c r="DH487" i="2"/>
  <c r="CJ488" i="2"/>
  <c r="DH488" i="2"/>
  <c r="CJ489" i="2"/>
  <c r="CX489" i="2" s="1"/>
  <c r="DL489" i="2" s="1"/>
  <c r="DH489" i="2"/>
  <c r="CJ490" i="2"/>
  <c r="CX490" i="2" s="1"/>
  <c r="DL490" i="2" s="1"/>
  <c r="DH490" i="2"/>
  <c r="R492" i="2"/>
  <c r="S492" i="2" s="1"/>
  <c r="CT492" i="2"/>
  <c r="CX492" i="2" s="1"/>
  <c r="DL492" i="2" s="1"/>
  <c r="CT493" i="2"/>
  <c r="CX493" i="2" s="1"/>
  <c r="DL493" i="2" s="1"/>
  <c r="CT494" i="2"/>
  <c r="CX494" i="2" s="1"/>
  <c r="DL494" i="2" s="1"/>
  <c r="CT495" i="2"/>
  <c r="CX495" i="2" s="1"/>
  <c r="DL495" i="2" s="1"/>
  <c r="X497" i="2"/>
  <c r="Y497" i="2" s="1"/>
  <c r="R498" i="2"/>
  <c r="DH498" i="2"/>
  <c r="R493" i="2"/>
  <c r="S493" i="2" s="1"/>
  <c r="R494" i="2"/>
  <c r="S494" i="2" s="1"/>
  <c r="R495" i="2"/>
  <c r="S495" i="2" s="1"/>
  <c r="R496" i="2"/>
  <c r="S496" i="2" s="1"/>
  <c r="DH497" i="2"/>
  <c r="CJ498" i="2"/>
  <c r="CX498" i="2" s="1"/>
  <c r="DL498" i="2" s="1"/>
  <c r="CJ499" i="2"/>
  <c r="CX499" i="2" s="1"/>
  <c r="DL499" i="2" s="1"/>
  <c r="CJ500" i="2"/>
  <c r="CX500" i="2" s="1"/>
  <c r="DL500" i="2" s="1"/>
  <c r="BV500" i="2"/>
  <c r="BX3" i="2"/>
  <c r="BX4" i="2"/>
  <c r="BX5" i="2"/>
  <c r="BX6" i="2"/>
  <c r="BX7" i="2"/>
  <c r="BX10" i="2"/>
  <c r="BX11" i="2"/>
  <c r="BX12" i="2"/>
  <c r="BX13" i="2"/>
  <c r="BX14" i="2"/>
  <c r="BX15" i="2"/>
  <c r="BX16" i="2"/>
  <c r="BX17" i="2"/>
  <c r="BX18" i="2"/>
  <c r="BX19" i="2"/>
  <c r="BX20" i="2"/>
  <c r="BX21" i="2"/>
  <c r="BX22" i="2"/>
  <c r="BX23" i="2"/>
  <c r="BX24" i="2"/>
  <c r="BX25" i="2"/>
  <c r="BX9" i="2"/>
  <c r="BX8" i="2"/>
  <c r="BT3" i="2"/>
  <c r="BT4" i="2"/>
  <c r="BT5" i="2"/>
  <c r="BT6" i="2"/>
  <c r="BT7" i="2"/>
  <c r="BT9" i="2"/>
  <c r="BT10" i="2"/>
  <c r="BT11" i="2"/>
  <c r="BT12" i="2"/>
  <c r="BT13" i="2"/>
  <c r="BT14" i="2"/>
  <c r="BT15" i="2"/>
  <c r="BT16" i="2"/>
  <c r="BT17" i="2"/>
  <c r="BT18" i="2"/>
  <c r="BT19" i="2"/>
  <c r="BT20" i="2"/>
  <c r="BT21" i="2"/>
  <c r="BT22" i="2"/>
  <c r="BT23" i="2"/>
  <c r="BT24" i="2"/>
  <c r="BT25" i="2"/>
  <c r="BT8" i="2"/>
  <c r="BS3" i="2"/>
  <c r="BS4" i="2"/>
  <c r="BS5" i="2"/>
  <c r="BS6" i="2"/>
  <c r="BS7" i="2"/>
  <c r="BS10" i="2"/>
  <c r="BS11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5" i="2"/>
  <c r="BS9" i="2"/>
  <c r="BS8" i="2"/>
  <c r="DJ25" i="2"/>
  <c r="DF25" i="2"/>
  <c r="DD25" i="2"/>
  <c r="CZ25" i="2"/>
  <c r="CV25" i="2"/>
  <c r="CR25" i="2"/>
  <c r="CP25" i="2"/>
  <c r="CN25" i="2"/>
  <c r="CH25" i="2"/>
  <c r="CF25" i="2"/>
  <c r="CD25" i="2"/>
  <c r="CB25" i="2"/>
  <c r="BZ25" i="2"/>
  <c r="BU25" i="2"/>
  <c r="BM25" i="2"/>
  <c r="BL25" i="2"/>
  <c r="BK25" i="2"/>
  <c r="BE25" i="2"/>
  <c r="BB25" i="2"/>
  <c r="AY25" i="2"/>
  <c r="AM25" i="2"/>
  <c r="AD25" i="2"/>
  <c r="AA25" i="2"/>
  <c r="U25" i="2"/>
  <c r="O25" i="2"/>
  <c r="L25" i="2"/>
  <c r="I25" i="2"/>
  <c r="G25" i="2"/>
  <c r="F25" i="2"/>
  <c r="E25" i="2"/>
  <c r="BW25" i="2" s="1"/>
  <c r="C25" i="2"/>
  <c r="B25" i="2"/>
  <c r="DJ24" i="2"/>
  <c r="DF24" i="2"/>
  <c r="DD24" i="2"/>
  <c r="CZ24" i="2"/>
  <c r="CV24" i="2"/>
  <c r="CR24" i="2"/>
  <c r="CP24" i="2"/>
  <c r="CN24" i="2"/>
  <c r="CH24" i="2"/>
  <c r="CF24" i="2"/>
  <c r="CD24" i="2"/>
  <c r="CB24" i="2"/>
  <c r="BZ24" i="2"/>
  <c r="BU24" i="2"/>
  <c r="BM24" i="2"/>
  <c r="BL24" i="2"/>
  <c r="BK24" i="2"/>
  <c r="BE24" i="2"/>
  <c r="BB24" i="2"/>
  <c r="AY24" i="2"/>
  <c r="AM24" i="2"/>
  <c r="AD24" i="2"/>
  <c r="AA24" i="2"/>
  <c r="U24" i="2"/>
  <c r="O24" i="2"/>
  <c r="L24" i="2"/>
  <c r="I24" i="2"/>
  <c r="G24" i="2"/>
  <c r="F24" i="2"/>
  <c r="E24" i="2"/>
  <c r="BW24" i="2" s="1"/>
  <c r="C24" i="2"/>
  <c r="B24" i="2"/>
  <c r="DJ23" i="2"/>
  <c r="DF23" i="2"/>
  <c r="DD23" i="2"/>
  <c r="CZ23" i="2"/>
  <c r="CV23" i="2"/>
  <c r="CR23" i="2"/>
  <c r="CP23" i="2"/>
  <c r="CN23" i="2"/>
  <c r="CH23" i="2"/>
  <c r="CF23" i="2"/>
  <c r="CD23" i="2"/>
  <c r="CB23" i="2"/>
  <c r="BZ23" i="2"/>
  <c r="BU23" i="2"/>
  <c r="BM23" i="2"/>
  <c r="BL23" i="2"/>
  <c r="BK23" i="2"/>
  <c r="BE23" i="2"/>
  <c r="BB23" i="2"/>
  <c r="AY23" i="2"/>
  <c r="AM23" i="2"/>
  <c r="AD23" i="2"/>
  <c r="AA23" i="2"/>
  <c r="U23" i="2"/>
  <c r="O23" i="2"/>
  <c r="L23" i="2"/>
  <c r="I23" i="2"/>
  <c r="G23" i="2"/>
  <c r="F23" i="2"/>
  <c r="E23" i="2"/>
  <c r="BV23" i="2" s="1"/>
  <c r="C23" i="2"/>
  <c r="B23" i="2"/>
  <c r="DJ22" i="2"/>
  <c r="DF22" i="2"/>
  <c r="DD22" i="2"/>
  <c r="CZ22" i="2"/>
  <c r="CV22" i="2"/>
  <c r="CR22" i="2"/>
  <c r="CP22" i="2"/>
  <c r="CN22" i="2"/>
  <c r="CH22" i="2"/>
  <c r="CF22" i="2"/>
  <c r="CD22" i="2"/>
  <c r="CB22" i="2"/>
  <c r="BZ22" i="2"/>
  <c r="BU22" i="2"/>
  <c r="BM22" i="2"/>
  <c r="BL22" i="2"/>
  <c r="BK22" i="2"/>
  <c r="BE22" i="2"/>
  <c r="BB22" i="2"/>
  <c r="AY22" i="2"/>
  <c r="AM22" i="2"/>
  <c r="AD22" i="2"/>
  <c r="AA22" i="2"/>
  <c r="U22" i="2"/>
  <c r="O22" i="2"/>
  <c r="L22" i="2"/>
  <c r="I22" i="2"/>
  <c r="G22" i="2"/>
  <c r="F22" i="2"/>
  <c r="E22" i="2"/>
  <c r="BV22" i="2" s="1"/>
  <c r="C22" i="2"/>
  <c r="B22" i="2"/>
  <c r="DJ21" i="2"/>
  <c r="DF21" i="2"/>
  <c r="DD21" i="2"/>
  <c r="CZ21" i="2"/>
  <c r="CV21" i="2"/>
  <c r="CR21" i="2"/>
  <c r="CP21" i="2"/>
  <c r="CN21" i="2"/>
  <c r="CH21" i="2"/>
  <c r="CF21" i="2"/>
  <c r="CD21" i="2"/>
  <c r="CB21" i="2"/>
  <c r="BZ21" i="2"/>
  <c r="BU21" i="2"/>
  <c r="BM21" i="2"/>
  <c r="BL21" i="2"/>
  <c r="BK21" i="2"/>
  <c r="BE21" i="2"/>
  <c r="BB21" i="2"/>
  <c r="AY21" i="2"/>
  <c r="AM21" i="2"/>
  <c r="AD21" i="2"/>
  <c r="AA21" i="2"/>
  <c r="U21" i="2"/>
  <c r="O21" i="2"/>
  <c r="L21" i="2"/>
  <c r="I21" i="2"/>
  <c r="G21" i="2"/>
  <c r="F21" i="2"/>
  <c r="E21" i="2"/>
  <c r="BY21" i="2" s="1"/>
  <c r="C21" i="2"/>
  <c r="B21" i="2"/>
  <c r="DJ20" i="2"/>
  <c r="DF20" i="2"/>
  <c r="DD20" i="2"/>
  <c r="CZ20" i="2"/>
  <c r="CV20" i="2"/>
  <c r="CR20" i="2"/>
  <c r="CP20" i="2"/>
  <c r="CN20" i="2"/>
  <c r="CH20" i="2"/>
  <c r="CF20" i="2"/>
  <c r="CD20" i="2"/>
  <c r="CB20" i="2"/>
  <c r="BZ20" i="2"/>
  <c r="BU20" i="2"/>
  <c r="BM20" i="2"/>
  <c r="BL20" i="2"/>
  <c r="BK20" i="2"/>
  <c r="BE20" i="2"/>
  <c r="BB20" i="2"/>
  <c r="AY20" i="2"/>
  <c r="AM20" i="2"/>
  <c r="AD20" i="2"/>
  <c r="AA20" i="2"/>
  <c r="U20" i="2"/>
  <c r="O20" i="2"/>
  <c r="L20" i="2"/>
  <c r="I20" i="2"/>
  <c r="G20" i="2"/>
  <c r="F20" i="2"/>
  <c r="E20" i="2"/>
  <c r="BY20" i="2" s="1"/>
  <c r="C20" i="2"/>
  <c r="B20" i="2"/>
  <c r="DJ19" i="2"/>
  <c r="DF19" i="2"/>
  <c r="DD19" i="2"/>
  <c r="CZ19" i="2"/>
  <c r="CV19" i="2"/>
  <c r="CR19" i="2"/>
  <c r="CP19" i="2"/>
  <c r="CN19" i="2"/>
  <c r="CH19" i="2"/>
  <c r="CF19" i="2"/>
  <c r="CD19" i="2"/>
  <c r="CB19" i="2"/>
  <c r="BZ19" i="2"/>
  <c r="BU19" i="2"/>
  <c r="BM19" i="2"/>
  <c r="BL19" i="2"/>
  <c r="BK19" i="2"/>
  <c r="BE19" i="2"/>
  <c r="BB19" i="2"/>
  <c r="AY19" i="2"/>
  <c r="AM19" i="2"/>
  <c r="AD19" i="2"/>
  <c r="AA19" i="2"/>
  <c r="U19" i="2"/>
  <c r="O19" i="2"/>
  <c r="L19" i="2"/>
  <c r="I19" i="2"/>
  <c r="G19" i="2"/>
  <c r="F19" i="2"/>
  <c r="E19" i="2"/>
  <c r="BY19" i="2" s="1"/>
  <c r="C19" i="2"/>
  <c r="B19" i="2"/>
  <c r="DJ18" i="2"/>
  <c r="DF18" i="2"/>
  <c r="DD18" i="2"/>
  <c r="CZ18" i="2"/>
  <c r="CV18" i="2"/>
  <c r="CR18" i="2"/>
  <c r="CP18" i="2"/>
  <c r="CN18" i="2"/>
  <c r="CH18" i="2"/>
  <c r="CF18" i="2"/>
  <c r="CD18" i="2"/>
  <c r="CB18" i="2"/>
  <c r="BZ18" i="2"/>
  <c r="BU18" i="2"/>
  <c r="BM18" i="2"/>
  <c r="BL18" i="2"/>
  <c r="BK18" i="2"/>
  <c r="BE18" i="2"/>
  <c r="BB18" i="2"/>
  <c r="AY18" i="2"/>
  <c r="AM18" i="2"/>
  <c r="AD18" i="2"/>
  <c r="AA18" i="2"/>
  <c r="U18" i="2"/>
  <c r="O18" i="2"/>
  <c r="L18" i="2"/>
  <c r="I18" i="2"/>
  <c r="G18" i="2"/>
  <c r="F18" i="2"/>
  <c r="E18" i="2"/>
  <c r="BW18" i="2" s="1"/>
  <c r="C18" i="2"/>
  <c r="B18" i="2"/>
  <c r="DJ17" i="2"/>
  <c r="DF17" i="2"/>
  <c r="DD17" i="2"/>
  <c r="CZ17" i="2"/>
  <c r="CV17" i="2"/>
  <c r="CR17" i="2"/>
  <c r="CP17" i="2"/>
  <c r="CN17" i="2"/>
  <c r="CH17" i="2"/>
  <c r="CF17" i="2"/>
  <c r="CD17" i="2"/>
  <c r="CB17" i="2"/>
  <c r="BZ17" i="2"/>
  <c r="BU17" i="2"/>
  <c r="BM17" i="2"/>
  <c r="BL17" i="2"/>
  <c r="BK17" i="2"/>
  <c r="BE17" i="2"/>
  <c r="BB17" i="2"/>
  <c r="AY17" i="2"/>
  <c r="AM17" i="2"/>
  <c r="AD17" i="2"/>
  <c r="AA17" i="2"/>
  <c r="U17" i="2"/>
  <c r="O17" i="2"/>
  <c r="L17" i="2"/>
  <c r="I17" i="2"/>
  <c r="G17" i="2"/>
  <c r="F17" i="2"/>
  <c r="E17" i="2"/>
  <c r="BY17" i="2" s="1"/>
  <c r="C17" i="2"/>
  <c r="B17" i="2"/>
  <c r="DJ16" i="2"/>
  <c r="DF16" i="2"/>
  <c r="DD16" i="2"/>
  <c r="CZ16" i="2"/>
  <c r="CV16" i="2"/>
  <c r="CR16" i="2"/>
  <c r="CP16" i="2"/>
  <c r="CN16" i="2"/>
  <c r="CH16" i="2"/>
  <c r="CF16" i="2"/>
  <c r="CD16" i="2"/>
  <c r="CB16" i="2"/>
  <c r="BZ16" i="2"/>
  <c r="BU16" i="2"/>
  <c r="BM16" i="2"/>
  <c r="BL16" i="2"/>
  <c r="BK16" i="2"/>
  <c r="BE16" i="2"/>
  <c r="BB16" i="2"/>
  <c r="AY16" i="2"/>
  <c r="AM16" i="2"/>
  <c r="AD16" i="2"/>
  <c r="AA16" i="2"/>
  <c r="U16" i="2"/>
  <c r="O16" i="2"/>
  <c r="L16" i="2"/>
  <c r="I16" i="2"/>
  <c r="G16" i="2"/>
  <c r="F16" i="2"/>
  <c r="E16" i="2"/>
  <c r="BY16" i="2" s="1"/>
  <c r="C16" i="2"/>
  <c r="B16" i="2"/>
  <c r="DJ15" i="2"/>
  <c r="DF15" i="2"/>
  <c r="DD15" i="2"/>
  <c r="CZ15" i="2"/>
  <c r="CV15" i="2"/>
  <c r="CR15" i="2"/>
  <c r="CP15" i="2"/>
  <c r="CN15" i="2"/>
  <c r="CH15" i="2"/>
  <c r="CF15" i="2"/>
  <c r="CD15" i="2"/>
  <c r="CB15" i="2"/>
  <c r="BZ15" i="2"/>
  <c r="BU15" i="2"/>
  <c r="BM15" i="2"/>
  <c r="BL15" i="2"/>
  <c r="BK15" i="2"/>
  <c r="BE15" i="2"/>
  <c r="BB15" i="2"/>
  <c r="AY15" i="2"/>
  <c r="AM15" i="2"/>
  <c r="AD15" i="2"/>
  <c r="AA15" i="2"/>
  <c r="U15" i="2"/>
  <c r="O15" i="2"/>
  <c r="L15" i="2"/>
  <c r="I15" i="2"/>
  <c r="G15" i="2"/>
  <c r="F15" i="2"/>
  <c r="E15" i="2"/>
  <c r="BY15" i="2" s="1"/>
  <c r="C15" i="2"/>
  <c r="B15" i="2"/>
  <c r="DJ14" i="2"/>
  <c r="DF14" i="2"/>
  <c r="DD14" i="2"/>
  <c r="CZ14" i="2"/>
  <c r="CV14" i="2"/>
  <c r="CR14" i="2"/>
  <c r="CP14" i="2"/>
  <c r="CN14" i="2"/>
  <c r="CH14" i="2"/>
  <c r="CF14" i="2"/>
  <c r="CD14" i="2"/>
  <c r="CB14" i="2"/>
  <c r="BZ14" i="2"/>
  <c r="BU14" i="2"/>
  <c r="BM14" i="2"/>
  <c r="BL14" i="2"/>
  <c r="BK14" i="2"/>
  <c r="BE14" i="2"/>
  <c r="BB14" i="2"/>
  <c r="AY14" i="2"/>
  <c r="AM14" i="2"/>
  <c r="AD14" i="2"/>
  <c r="AA14" i="2"/>
  <c r="U14" i="2"/>
  <c r="O14" i="2"/>
  <c r="L14" i="2"/>
  <c r="I14" i="2"/>
  <c r="G14" i="2"/>
  <c r="F14" i="2"/>
  <c r="E14" i="2"/>
  <c r="BV14" i="2" s="1"/>
  <c r="C14" i="2"/>
  <c r="B14" i="2"/>
  <c r="DJ13" i="2"/>
  <c r="DF13" i="2"/>
  <c r="DD13" i="2"/>
  <c r="CZ13" i="2"/>
  <c r="CV13" i="2"/>
  <c r="CR13" i="2"/>
  <c r="CP13" i="2"/>
  <c r="CN13" i="2"/>
  <c r="CH13" i="2"/>
  <c r="CF13" i="2"/>
  <c r="CD13" i="2"/>
  <c r="CB13" i="2"/>
  <c r="BZ13" i="2"/>
  <c r="BU13" i="2"/>
  <c r="BM13" i="2"/>
  <c r="BL13" i="2"/>
  <c r="BK13" i="2"/>
  <c r="BE13" i="2"/>
  <c r="BB13" i="2"/>
  <c r="AY13" i="2"/>
  <c r="AM13" i="2"/>
  <c r="AD13" i="2"/>
  <c r="AA13" i="2"/>
  <c r="U13" i="2"/>
  <c r="O13" i="2"/>
  <c r="L13" i="2"/>
  <c r="I13" i="2"/>
  <c r="G13" i="2"/>
  <c r="F13" i="2"/>
  <c r="E13" i="2"/>
  <c r="BV13" i="2" s="1"/>
  <c r="C13" i="2"/>
  <c r="B13" i="2"/>
  <c r="DJ12" i="2"/>
  <c r="DF12" i="2"/>
  <c r="DD12" i="2"/>
  <c r="CZ12" i="2"/>
  <c r="CV12" i="2"/>
  <c r="CR12" i="2"/>
  <c r="CP12" i="2"/>
  <c r="CN12" i="2"/>
  <c r="CH12" i="2"/>
  <c r="CF12" i="2"/>
  <c r="CD12" i="2"/>
  <c r="CB12" i="2"/>
  <c r="BZ12" i="2"/>
  <c r="BU12" i="2"/>
  <c r="BM12" i="2"/>
  <c r="BL12" i="2"/>
  <c r="BK12" i="2"/>
  <c r="BE12" i="2"/>
  <c r="BB12" i="2"/>
  <c r="AY12" i="2"/>
  <c r="AM12" i="2"/>
  <c r="AD12" i="2"/>
  <c r="AA12" i="2"/>
  <c r="U12" i="2"/>
  <c r="O12" i="2"/>
  <c r="L12" i="2"/>
  <c r="I12" i="2"/>
  <c r="G12" i="2"/>
  <c r="F12" i="2"/>
  <c r="E12" i="2"/>
  <c r="BV12" i="2" s="1"/>
  <c r="C12" i="2"/>
  <c r="B12" i="2"/>
  <c r="DJ11" i="2"/>
  <c r="DF11" i="2"/>
  <c r="DD11" i="2"/>
  <c r="CZ11" i="2"/>
  <c r="CV11" i="2"/>
  <c r="CR11" i="2"/>
  <c r="CP11" i="2"/>
  <c r="CN11" i="2"/>
  <c r="CH11" i="2"/>
  <c r="CF11" i="2"/>
  <c r="CD11" i="2"/>
  <c r="CB11" i="2"/>
  <c r="BZ11" i="2"/>
  <c r="BU11" i="2"/>
  <c r="BM11" i="2"/>
  <c r="BL11" i="2"/>
  <c r="BK11" i="2"/>
  <c r="BE11" i="2"/>
  <c r="BB11" i="2"/>
  <c r="AY11" i="2"/>
  <c r="AM11" i="2"/>
  <c r="AD11" i="2"/>
  <c r="AA11" i="2"/>
  <c r="U11" i="2"/>
  <c r="O11" i="2"/>
  <c r="L11" i="2"/>
  <c r="I11" i="2"/>
  <c r="G11" i="2"/>
  <c r="F11" i="2"/>
  <c r="E11" i="2"/>
  <c r="BV11" i="2" s="1"/>
  <c r="C11" i="2"/>
  <c r="B11" i="2"/>
  <c r="DJ10" i="2"/>
  <c r="DF10" i="2"/>
  <c r="DD10" i="2"/>
  <c r="CZ10" i="2"/>
  <c r="CV10" i="2"/>
  <c r="CR10" i="2"/>
  <c r="CP10" i="2"/>
  <c r="CN10" i="2"/>
  <c r="CH10" i="2"/>
  <c r="CF10" i="2"/>
  <c r="CD10" i="2"/>
  <c r="CB10" i="2"/>
  <c r="BZ10" i="2"/>
  <c r="BU10" i="2"/>
  <c r="BM10" i="2"/>
  <c r="BL10" i="2"/>
  <c r="BK10" i="2"/>
  <c r="BE10" i="2"/>
  <c r="BB10" i="2"/>
  <c r="AY10" i="2"/>
  <c r="AM10" i="2"/>
  <c r="AD10" i="2"/>
  <c r="AA10" i="2"/>
  <c r="U10" i="2"/>
  <c r="O10" i="2"/>
  <c r="L10" i="2"/>
  <c r="I10" i="2"/>
  <c r="G10" i="2"/>
  <c r="F10" i="2"/>
  <c r="E10" i="2"/>
  <c r="BV10" i="2" s="1"/>
  <c r="C10" i="2"/>
  <c r="B10" i="2"/>
  <c r="DJ9" i="2"/>
  <c r="DF9" i="2"/>
  <c r="DD9" i="2"/>
  <c r="CZ9" i="2"/>
  <c r="CV9" i="2"/>
  <c r="CR9" i="2"/>
  <c r="CP9" i="2"/>
  <c r="CN9" i="2"/>
  <c r="CH9" i="2"/>
  <c r="CF9" i="2"/>
  <c r="CD9" i="2"/>
  <c r="CB9" i="2"/>
  <c r="BZ9" i="2"/>
  <c r="BU9" i="2"/>
  <c r="BM9" i="2"/>
  <c r="BL9" i="2"/>
  <c r="BK9" i="2"/>
  <c r="BE9" i="2"/>
  <c r="BB9" i="2"/>
  <c r="AY9" i="2"/>
  <c r="AM9" i="2"/>
  <c r="AD9" i="2"/>
  <c r="AA9" i="2"/>
  <c r="U9" i="2"/>
  <c r="O9" i="2"/>
  <c r="L9" i="2"/>
  <c r="I9" i="2"/>
  <c r="G9" i="2"/>
  <c r="F9" i="2"/>
  <c r="E9" i="2"/>
  <c r="BV9" i="2" s="1"/>
  <c r="C9" i="2"/>
  <c r="B9" i="2"/>
  <c r="DJ8" i="2"/>
  <c r="DF8" i="2"/>
  <c r="DD8" i="2"/>
  <c r="CZ8" i="2"/>
  <c r="CV8" i="2"/>
  <c r="CR8" i="2"/>
  <c r="CP8" i="2"/>
  <c r="CN8" i="2"/>
  <c r="CH8" i="2"/>
  <c r="CF8" i="2"/>
  <c r="CD8" i="2"/>
  <c r="CB8" i="2"/>
  <c r="BZ8" i="2"/>
  <c r="BU8" i="2"/>
  <c r="BM8" i="2"/>
  <c r="BL8" i="2"/>
  <c r="BK8" i="2"/>
  <c r="BE8" i="2"/>
  <c r="BB8" i="2"/>
  <c r="AY8" i="2"/>
  <c r="AM8" i="2"/>
  <c r="AD8" i="2"/>
  <c r="AA8" i="2"/>
  <c r="U8" i="2"/>
  <c r="O8" i="2"/>
  <c r="L8" i="2"/>
  <c r="I8" i="2"/>
  <c r="G8" i="2"/>
  <c r="F8" i="2"/>
  <c r="E8" i="2"/>
  <c r="BW8" i="2" s="1"/>
  <c r="C8" i="2"/>
  <c r="B8" i="2"/>
  <c r="DJ7" i="2"/>
  <c r="DF7" i="2"/>
  <c r="DD7" i="2"/>
  <c r="CZ7" i="2"/>
  <c r="CV7" i="2"/>
  <c r="CR7" i="2"/>
  <c r="CP7" i="2"/>
  <c r="CN7" i="2"/>
  <c r="CH7" i="2"/>
  <c r="CF7" i="2"/>
  <c r="CD7" i="2"/>
  <c r="CB7" i="2"/>
  <c r="BZ7" i="2"/>
  <c r="BU7" i="2"/>
  <c r="BM7" i="2"/>
  <c r="BL7" i="2"/>
  <c r="BK7" i="2"/>
  <c r="BE7" i="2"/>
  <c r="BB7" i="2"/>
  <c r="AY7" i="2"/>
  <c r="AM7" i="2"/>
  <c r="AD7" i="2"/>
  <c r="AA7" i="2"/>
  <c r="U7" i="2"/>
  <c r="O7" i="2"/>
  <c r="L7" i="2"/>
  <c r="I7" i="2"/>
  <c r="G7" i="2"/>
  <c r="F7" i="2"/>
  <c r="E7" i="2"/>
  <c r="BY7" i="2" s="1"/>
  <c r="C7" i="2"/>
  <c r="B7" i="2"/>
  <c r="DJ6" i="2"/>
  <c r="DF6" i="2"/>
  <c r="DD6" i="2"/>
  <c r="CZ6" i="2"/>
  <c r="CV6" i="2"/>
  <c r="CR6" i="2"/>
  <c r="CP6" i="2"/>
  <c r="CN6" i="2"/>
  <c r="CH6" i="2"/>
  <c r="CF6" i="2"/>
  <c r="CD6" i="2"/>
  <c r="CB6" i="2"/>
  <c r="BZ6" i="2"/>
  <c r="BU6" i="2"/>
  <c r="BM6" i="2"/>
  <c r="BL6" i="2"/>
  <c r="BK6" i="2"/>
  <c r="BE6" i="2"/>
  <c r="BB6" i="2"/>
  <c r="AY6" i="2"/>
  <c r="AM6" i="2"/>
  <c r="AD6" i="2"/>
  <c r="AA6" i="2"/>
  <c r="U6" i="2"/>
  <c r="O6" i="2"/>
  <c r="L6" i="2"/>
  <c r="I6" i="2"/>
  <c r="G6" i="2"/>
  <c r="F6" i="2"/>
  <c r="E6" i="2"/>
  <c r="BY6" i="2" s="1"/>
  <c r="C6" i="2"/>
  <c r="B6" i="2"/>
  <c r="DJ5" i="2"/>
  <c r="DF5" i="2"/>
  <c r="DD5" i="2"/>
  <c r="CZ5" i="2"/>
  <c r="CV5" i="2"/>
  <c r="CR5" i="2"/>
  <c r="CP5" i="2"/>
  <c r="CN5" i="2"/>
  <c r="CH5" i="2"/>
  <c r="CF5" i="2"/>
  <c r="CD5" i="2"/>
  <c r="CB5" i="2"/>
  <c r="BZ5" i="2"/>
  <c r="BU5" i="2"/>
  <c r="BM5" i="2"/>
  <c r="BL5" i="2"/>
  <c r="BK5" i="2"/>
  <c r="BE5" i="2"/>
  <c r="BB5" i="2"/>
  <c r="AY5" i="2"/>
  <c r="AM5" i="2"/>
  <c r="AD5" i="2"/>
  <c r="AA5" i="2"/>
  <c r="U5" i="2"/>
  <c r="O5" i="2"/>
  <c r="L5" i="2"/>
  <c r="I5" i="2"/>
  <c r="G5" i="2"/>
  <c r="F5" i="2"/>
  <c r="E5" i="2"/>
  <c r="BY5" i="2" s="1"/>
  <c r="C5" i="2"/>
  <c r="B5" i="2"/>
  <c r="DJ4" i="2"/>
  <c r="DF4" i="2"/>
  <c r="DD4" i="2"/>
  <c r="CZ4" i="2"/>
  <c r="CV4" i="2"/>
  <c r="CR4" i="2"/>
  <c r="CP4" i="2"/>
  <c r="CN4" i="2"/>
  <c r="CH4" i="2"/>
  <c r="CF4" i="2"/>
  <c r="CD4" i="2"/>
  <c r="CB4" i="2"/>
  <c r="BZ4" i="2"/>
  <c r="BU4" i="2"/>
  <c r="BM4" i="2"/>
  <c r="BL4" i="2"/>
  <c r="BK4" i="2"/>
  <c r="BE4" i="2"/>
  <c r="BB4" i="2"/>
  <c r="AY4" i="2"/>
  <c r="AM4" i="2"/>
  <c r="AD4" i="2"/>
  <c r="AA4" i="2"/>
  <c r="U4" i="2"/>
  <c r="O4" i="2"/>
  <c r="L4" i="2"/>
  <c r="I4" i="2"/>
  <c r="G4" i="2"/>
  <c r="F4" i="2"/>
  <c r="E4" i="2"/>
  <c r="BW4" i="2" s="1"/>
  <c r="C4" i="2"/>
  <c r="B4" i="2"/>
  <c r="CQ58" i="2" l="1"/>
  <c r="CS58" i="2"/>
  <c r="CX26" i="2"/>
  <c r="DE26" i="2" s="1"/>
  <c r="CW58" i="2"/>
  <c r="DK58" i="2"/>
  <c r="AV173" i="2"/>
  <c r="BH173" i="2" s="1"/>
  <c r="DL466" i="2"/>
  <c r="DB466" i="2" s="1"/>
  <c r="CE466" i="2"/>
  <c r="CX484" i="2"/>
  <c r="DL484" i="2" s="1"/>
  <c r="DK452" i="2"/>
  <c r="CS452" i="2"/>
  <c r="CX444" i="2"/>
  <c r="DL444" i="2" s="1"/>
  <c r="CX378" i="2"/>
  <c r="DL378" i="2" s="1"/>
  <c r="X294" i="2"/>
  <c r="Y294" i="2" s="1"/>
  <c r="CG108" i="2"/>
  <c r="CG117" i="2"/>
  <c r="DK117" i="2"/>
  <c r="CX360" i="2"/>
  <c r="DL360" i="2" s="1"/>
  <c r="DB360" i="2" s="1"/>
  <c r="DC360" i="2" s="1"/>
  <c r="CI452" i="2"/>
  <c r="CW452" i="2"/>
  <c r="X285" i="2"/>
  <c r="Y285" i="2" s="1"/>
  <c r="CX332" i="2"/>
  <c r="DL332" i="2" s="1"/>
  <c r="CX151" i="2"/>
  <c r="DL151" i="2" s="1"/>
  <c r="DE117" i="2"/>
  <c r="DA117" i="2"/>
  <c r="CM108" i="2"/>
  <c r="CX423" i="2"/>
  <c r="DL423" i="2" s="1"/>
  <c r="CX428" i="2"/>
  <c r="CX426" i="2"/>
  <c r="CX243" i="2"/>
  <c r="DL243" i="2" s="1"/>
  <c r="DB243" i="2" s="1"/>
  <c r="CX33" i="2"/>
  <c r="DL33" i="2" s="1"/>
  <c r="CX47" i="2"/>
  <c r="DL47" i="2" s="1"/>
  <c r="AJ182" i="2"/>
  <c r="X149" i="2"/>
  <c r="AJ149" i="2" s="1"/>
  <c r="X185" i="2"/>
  <c r="DC452" i="2"/>
  <c r="DE452" i="2"/>
  <c r="CX393" i="2"/>
  <c r="DL393" i="2" s="1"/>
  <c r="X327" i="2"/>
  <c r="AJ327" i="2" s="1"/>
  <c r="AP327" i="2" s="1"/>
  <c r="DM117" i="2"/>
  <c r="CX215" i="2"/>
  <c r="DL215" i="2" s="1"/>
  <c r="CX297" i="2"/>
  <c r="DK297" i="2" s="1"/>
  <c r="CE452" i="2"/>
  <c r="CC452" i="2"/>
  <c r="DI452" i="2"/>
  <c r="X440" i="2"/>
  <c r="Y440" i="2" s="1"/>
  <c r="CX260" i="2"/>
  <c r="DL260" i="2" s="1"/>
  <c r="CG238" i="2"/>
  <c r="CW48" i="2"/>
  <c r="CQ41" i="2"/>
  <c r="CI117" i="2"/>
  <c r="CX333" i="2"/>
  <c r="DL333" i="2" s="1"/>
  <c r="CX255" i="2"/>
  <c r="CX376" i="2"/>
  <c r="CQ452" i="2"/>
  <c r="CG452" i="2"/>
  <c r="DM452" i="2"/>
  <c r="CX366" i="2"/>
  <c r="DL366" i="2" s="1"/>
  <c r="DB366" i="2" s="1"/>
  <c r="DC366" i="2" s="1"/>
  <c r="CX195" i="2"/>
  <c r="DL195" i="2" s="1"/>
  <c r="DK238" i="2"/>
  <c r="X303" i="2"/>
  <c r="Y303" i="2" s="1"/>
  <c r="CM117" i="2"/>
  <c r="CX334" i="2"/>
  <c r="DL334" i="2" s="1"/>
  <c r="CX228" i="2"/>
  <c r="DL228" i="2" s="1"/>
  <c r="CX485" i="2"/>
  <c r="DL485" i="2" s="1"/>
  <c r="DG452" i="2"/>
  <c r="CK452" i="2"/>
  <c r="CY117" i="2"/>
  <c r="CX343" i="2"/>
  <c r="DL343" i="2" s="1"/>
  <c r="CX401" i="2"/>
  <c r="DL401" i="2" s="1"/>
  <c r="CX364" i="2"/>
  <c r="CX139" i="2"/>
  <c r="DL139" i="2" s="1"/>
  <c r="CY452" i="2"/>
  <c r="CO452" i="2"/>
  <c r="CX405" i="2"/>
  <c r="DL405" i="2" s="1"/>
  <c r="X298" i="2"/>
  <c r="Y298" i="2" s="1"/>
  <c r="DI108" i="2"/>
  <c r="DG117" i="2"/>
  <c r="CX338" i="2"/>
  <c r="DL338" i="2" s="1"/>
  <c r="CX249" i="2"/>
  <c r="DL263" i="2"/>
  <c r="DB263" i="2" s="1"/>
  <c r="DC263" i="2" s="1"/>
  <c r="CC263" i="2"/>
  <c r="DI369" i="2"/>
  <c r="DG369" i="2"/>
  <c r="CW369" i="2"/>
  <c r="DK311" i="2"/>
  <c r="CG209" i="2"/>
  <c r="DG209" i="2"/>
  <c r="CW247" i="2"/>
  <c r="CW117" i="2"/>
  <c r="CO117" i="2"/>
  <c r="CX419" i="2"/>
  <c r="DL419" i="2" s="1"/>
  <c r="X475" i="2"/>
  <c r="Y475" i="2" s="1"/>
  <c r="CX329" i="2"/>
  <c r="DL329" i="2" s="1"/>
  <c r="X335" i="2"/>
  <c r="AJ335" i="2" s="1"/>
  <c r="AP335" i="2" s="1"/>
  <c r="CX99" i="2"/>
  <c r="DL99" i="2" s="1"/>
  <c r="CX68" i="2"/>
  <c r="DL68" i="2" s="1"/>
  <c r="CX339" i="2"/>
  <c r="CM369" i="2"/>
  <c r="CG369" i="2"/>
  <c r="CW365" i="2"/>
  <c r="CO311" i="2"/>
  <c r="DI209" i="2"/>
  <c r="CQ247" i="2"/>
  <c r="CG270" i="2"/>
  <c r="CU117" i="2"/>
  <c r="CX267" i="2"/>
  <c r="CX42" i="2"/>
  <c r="DL42" i="2" s="1"/>
  <c r="DB42" i="2" s="1"/>
  <c r="DC42" i="2" s="1"/>
  <c r="CX465" i="2"/>
  <c r="DL465" i="2" s="1"/>
  <c r="AP383" i="2"/>
  <c r="CX113" i="2"/>
  <c r="CX417" i="2"/>
  <c r="DL417" i="2" s="1"/>
  <c r="CX43" i="2"/>
  <c r="DL43" i="2" s="1"/>
  <c r="CX361" i="2"/>
  <c r="DL361" i="2" s="1"/>
  <c r="DL78" i="2"/>
  <c r="DB78" i="2" s="1"/>
  <c r="DC78" i="2" s="1"/>
  <c r="CQ78" i="2"/>
  <c r="DL409" i="2"/>
  <c r="DB409" i="2" s="1"/>
  <c r="DC409" i="2" s="1"/>
  <c r="CY409" i="2"/>
  <c r="DM409" i="2"/>
  <c r="DK103" i="2"/>
  <c r="CU103" i="2"/>
  <c r="CG103" i="2"/>
  <c r="CQ103" i="2"/>
  <c r="CM103" i="2"/>
  <c r="CU104" i="2"/>
  <c r="CS104" i="2"/>
  <c r="DA104" i="2"/>
  <c r="CG104" i="2"/>
  <c r="DL325" i="2"/>
  <c r="DB325" i="2" s="1"/>
  <c r="DC325" i="2" s="1"/>
  <c r="DG325" i="2"/>
  <c r="CW325" i="2"/>
  <c r="CC325" i="2"/>
  <c r="CY325" i="2"/>
  <c r="CG325" i="2"/>
  <c r="DI325" i="2"/>
  <c r="CU325" i="2"/>
  <c r="CI325" i="2"/>
  <c r="CQ325" i="2"/>
  <c r="DA325" i="2"/>
  <c r="CM325" i="2"/>
  <c r="CK325" i="2"/>
  <c r="CE325" i="2"/>
  <c r="CO325" i="2"/>
  <c r="DK325" i="2"/>
  <c r="DM325" i="2"/>
  <c r="CS325" i="2"/>
  <c r="DE325" i="2"/>
  <c r="CX397" i="2"/>
  <c r="DL397" i="2" s="1"/>
  <c r="X362" i="2"/>
  <c r="Y362" i="2" s="1"/>
  <c r="CM368" i="2"/>
  <c r="DK364" i="2"/>
  <c r="CC364" i="2"/>
  <c r="DI364" i="2"/>
  <c r="X318" i="2"/>
  <c r="Y318" i="2" s="1"/>
  <c r="CK324" i="2"/>
  <c r="CM324" i="2"/>
  <c r="CW311" i="2"/>
  <c r="X307" i="2"/>
  <c r="CC209" i="2"/>
  <c r="CE209" i="2"/>
  <c r="CE247" i="2"/>
  <c r="CW239" i="2"/>
  <c r="CG235" i="2"/>
  <c r="CX200" i="2"/>
  <c r="DL200" i="2" s="1"/>
  <c r="CU242" i="2"/>
  <c r="CO270" i="2"/>
  <c r="CK230" i="2"/>
  <c r="DM229" i="2"/>
  <c r="DE41" i="2"/>
  <c r="CS117" i="2"/>
  <c r="CQ117" i="2"/>
  <c r="DI117" i="2"/>
  <c r="X125" i="2"/>
  <c r="Y125" i="2" s="1"/>
  <c r="DM83" i="2"/>
  <c r="DK83" i="2"/>
  <c r="CX497" i="2"/>
  <c r="DL497" i="2" s="1"/>
  <c r="CX252" i="2"/>
  <c r="CX134" i="2"/>
  <c r="DL134" i="2" s="1"/>
  <c r="X119" i="2"/>
  <c r="CX70" i="2"/>
  <c r="AJ176" i="2"/>
  <c r="AP176" i="2" s="1"/>
  <c r="CX28" i="2"/>
  <c r="DA28" i="2" s="1"/>
  <c r="CX80" i="2"/>
  <c r="DL80" i="2" s="1"/>
  <c r="CX85" i="2"/>
  <c r="DL46" i="2"/>
  <c r="DB46" i="2" s="1"/>
  <c r="DC46" i="2" s="1"/>
  <c r="CX396" i="2"/>
  <c r="DL396" i="2" s="1"/>
  <c r="CC368" i="2"/>
  <c r="CI364" i="2"/>
  <c r="CG364" i="2"/>
  <c r="DM364" i="2"/>
  <c r="CX191" i="2"/>
  <c r="DL191" i="2" s="1"/>
  <c r="X142" i="2"/>
  <c r="AJ192" i="2"/>
  <c r="CX106" i="2"/>
  <c r="DL106" i="2" s="1"/>
  <c r="CX36" i="2"/>
  <c r="DL36" i="2" s="1"/>
  <c r="CX89" i="2"/>
  <c r="DL89" i="2" s="1"/>
  <c r="CE364" i="2"/>
  <c r="CO364" i="2"/>
  <c r="CX165" i="2"/>
  <c r="DL165" i="2" s="1"/>
  <c r="CY27" i="2"/>
  <c r="CC27" i="2"/>
  <c r="AV391" i="2"/>
  <c r="AW391" i="2" s="1"/>
  <c r="CQ364" i="2"/>
  <c r="CS364" i="2"/>
  <c r="CX188" i="2"/>
  <c r="X320" i="2"/>
  <c r="Y320" i="2" s="1"/>
  <c r="DK27" i="2"/>
  <c r="CX457" i="2"/>
  <c r="DI457" i="2" s="1"/>
  <c r="X261" i="2"/>
  <c r="CX296" i="2"/>
  <c r="DL296" i="2" s="1"/>
  <c r="X216" i="2"/>
  <c r="Y216" i="2" s="1"/>
  <c r="CU440" i="2"/>
  <c r="CX384" i="2"/>
  <c r="DG364" i="2"/>
  <c r="CW364" i="2"/>
  <c r="X290" i="2"/>
  <c r="Y290" i="2" s="1"/>
  <c r="CS324" i="2"/>
  <c r="DM324" i="2"/>
  <c r="DK324" i="2"/>
  <c r="CX281" i="2"/>
  <c r="CU311" i="2"/>
  <c r="DA209" i="2"/>
  <c r="DA247" i="2"/>
  <c r="DK247" i="2"/>
  <c r="CC239" i="2"/>
  <c r="DK239" i="2"/>
  <c r="DK235" i="2"/>
  <c r="CX147" i="2"/>
  <c r="CU250" i="2"/>
  <c r="CC270" i="2"/>
  <c r="CQ207" i="2"/>
  <c r="DK41" i="2"/>
  <c r="X114" i="2"/>
  <c r="Y114" i="2" s="1"/>
  <c r="CE117" i="2"/>
  <c r="CC117" i="2"/>
  <c r="CW83" i="2"/>
  <c r="CU83" i="2"/>
  <c r="X398" i="2"/>
  <c r="CX330" i="2"/>
  <c r="DL330" i="2" s="1"/>
  <c r="CX418" i="2"/>
  <c r="CX373" i="2"/>
  <c r="CX315" i="2"/>
  <c r="DL315" i="2" s="1"/>
  <c r="DB315" i="2" s="1"/>
  <c r="CX301" i="2"/>
  <c r="CX241" i="2"/>
  <c r="X275" i="2"/>
  <c r="X202" i="2"/>
  <c r="CX283" i="2"/>
  <c r="DL283" i="2" s="1"/>
  <c r="CM364" i="2"/>
  <c r="DA364" i="2"/>
  <c r="X316" i="2"/>
  <c r="Y316" i="2" s="1"/>
  <c r="CS217" i="2"/>
  <c r="CX186" i="2"/>
  <c r="DL186" i="2" s="1"/>
  <c r="CY233" i="2"/>
  <c r="X156" i="2"/>
  <c r="AJ156" i="2" s="1"/>
  <c r="CY364" i="2"/>
  <c r="DE364" i="2"/>
  <c r="X301" i="2"/>
  <c r="Y301" i="2" s="1"/>
  <c r="CX277" i="2"/>
  <c r="DL277" i="2" s="1"/>
  <c r="CY217" i="2"/>
  <c r="CX145" i="2"/>
  <c r="CM231" i="2"/>
  <c r="CX451" i="2"/>
  <c r="DG451" i="2" s="1"/>
  <c r="AV161" i="2"/>
  <c r="AW161" i="2" s="1"/>
  <c r="DL249" i="2"/>
  <c r="DB249" i="2" s="1"/>
  <c r="DC249" i="2" s="1"/>
  <c r="CY249" i="2"/>
  <c r="CW249" i="2"/>
  <c r="DE230" i="2"/>
  <c r="CM82" i="2"/>
  <c r="CX430" i="2"/>
  <c r="CX461" i="2"/>
  <c r="DL461" i="2" s="1"/>
  <c r="DB461" i="2" s="1"/>
  <c r="DC461" i="2" s="1"/>
  <c r="CX137" i="2"/>
  <c r="DL137" i="2" s="1"/>
  <c r="CX119" i="2"/>
  <c r="DL119" i="2" s="1"/>
  <c r="CI230" i="2"/>
  <c r="DG82" i="2"/>
  <c r="CQ230" i="2"/>
  <c r="DK82" i="2"/>
  <c r="CC82" i="2"/>
  <c r="CX285" i="2"/>
  <c r="CI285" i="2" s="1"/>
  <c r="X395" i="2"/>
  <c r="AJ395" i="2" s="1"/>
  <c r="AP395" i="2" s="1"/>
  <c r="CX314" i="2"/>
  <c r="DI314" i="2" s="1"/>
  <c r="CX262" i="2"/>
  <c r="CU230" i="2"/>
  <c r="CX431" i="2"/>
  <c r="DL431" i="2" s="1"/>
  <c r="CX425" i="2"/>
  <c r="X124" i="2"/>
  <c r="AJ124" i="2" s="1"/>
  <c r="AP124" i="2" s="1"/>
  <c r="CX432" i="2"/>
  <c r="DA432" i="2" s="1"/>
  <c r="CX468" i="2"/>
  <c r="DL468" i="2" s="1"/>
  <c r="CX424" i="2"/>
  <c r="CE424" i="2" s="1"/>
  <c r="CX346" i="2"/>
  <c r="DL346" i="2" s="1"/>
  <c r="CW230" i="2"/>
  <c r="CW82" i="2"/>
  <c r="CX131" i="2"/>
  <c r="DL131" i="2" s="1"/>
  <c r="CX223" i="2"/>
  <c r="DA230" i="2"/>
  <c r="CE82" i="2"/>
  <c r="CX67" i="2"/>
  <c r="DL67" i="2" s="1"/>
  <c r="DL299" i="2"/>
  <c r="DK299" i="2"/>
  <c r="CW299" i="2"/>
  <c r="DA299" i="2"/>
  <c r="CS299" i="2"/>
  <c r="CU299" i="2"/>
  <c r="CY299" i="2"/>
  <c r="CQ299" i="2"/>
  <c r="DL314" i="2"/>
  <c r="DB314" i="2" s="1"/>
  <c r="DC314" i="2" s="1"/>
  <c r="CU314" i="2"/>
  <c r="CE314" i="2"/>
  <c r="DA314" i="2"/>
  <c r="Y499" i="2"/>
  <c r="AJ499" i="2"/>
  <c r="AP499" i="2" s="1"/>
  <c r="DK432" i="2"/>
  <c r="CX486" i="2"/>
  <c r="DL486" i="2" s="1"/>
  <c r="CX458" i="2"/>
  <c r="DL458" i="2" s="1"/>
  <c r="DB458" i="2" s="1"/>
  <c r="DC458" i="2" s="1"/>
  <c r="X439" i="2"/>
  <c r="Y439" i="2" s="1"/>
  <c r="CI440" i="2"/>
  <c r="CX386" i="2"/>
  <c r="DL386" i="2" s="1"/>
  <c r="DB386" i="2" s="1"/>
  <c r="DC386" i="2" s="1"/>
  <c r="CY368" i="2"/>
  <c r="CO368" i="2"/>
  <c r="CI362" i="2"/>
  <c r="CC362" i="2"/>
  <c r="CS339" i="2"/>
  <c r="CM339" i="2"/>
  <c r="CW297" i="2"/>
  <c r="CK312" i="2"/>
  <c r="CE291" i="2"/>
  <c r="CW291" i="2"/>
  <c r="DI217" i="2"/>
  <c r="CU274" i="2"/>
  <c r="CO274" i="2"/>
  <c r="DA263" i="2"/>
  <c r="CX170" i="2"/>
  <c r="DL170" i="2" s="1"/>
  <c r="DB170" i="2" s="1"/>
  <c r="DC170" i="2" s="1"/>
  <c r="CX146" i="2"/>
  <c r="DL146" i="2" s="1"/>
  <c r="CO250" i="2"/>
  <c r="CI250" i="2"/>
  <c r="DI242" i="2"/>
  <c r="DK242" i="2"/>
  <c r="CM207" i="2"/>
  <c r="CW207" i="2"/>
  <c r="CX318" i="2"/>
  <c r="DE318" i="2" s="1"/>
  <c r="X364" i="2"/>
  <c r="CX244" i="2"/>
  <c r="AJ166" i="2"/>
  <c r="Y474" i="2"/>
  <c r="AK191" i="2"/>
  <c r="DM451" i="2"/>
  <c r="CM440" i="2"/>
  <c r="CX404" i="2"/>
  <c r="DL404" i="2" s="1"/>
  <c r="X361" i="2"/>
  <c r="Y361" i="2" s="1"/>
  <c r="DC368" i="2"/>
  <c r="CS368" i="2"/>
  <c r="DI362" i="2"/>
  <c r="CG362" i="2"/>
  <c r="CW339" i="2"/>
  <c r="CQ339" i="2"/>
  <c r="DA312" i="2"/>
  <c r="CY291" i="2"/>
  <c r="DA291" i="2"/>
  <c r="AJ220" i="2"/>
  <c r="DM217" i="2"/>
  <c r="DK274" i="2"/>
  <c r="CS274" i="2"/>
  <c r="CM263" i="2"/>
  <c r="DE263" i="2"/>
  <c r="CX208" i="2"/>
  <c r="CX169" i="2"/>
  <c r="CS250" i="2"/>
  <c r="CM250" i="2"/>
  <c r="DM242" i="2"/>
  <c r="CI207" i="2"/>
  <c r="DA207" i="2"/>
  <c r="AJ380" i="2"/>
  <c r="AP380" i="2" s="1"/>
  <c r="CX126" i="2"/>
  <c r="DL126" i="2" s="1"/>
  <c r="CX72" i="2"/>
  <c r="AQ391" i="2"/>
  <c r="CX345" i="2"/>
  <c r="DL345" i="2" s="1"/>
  <c r="DB345" i="2" s="1"/>
  <c r="DC345" i="2" s="1"/>
  <c r="CX352" i="2"/>
  <c r="DL352" i="2" s="1"/>
  <c r="S160" i="2"/>
  <c r="AQ160" i="2"/>
  <c r="AQ191" i="2"/>
  <c r="CQ440" i="2"/>
  <c r="CC440" i="2"/>
  <c r="CX392" i="2"/>
  <c r="DL392" i="2" s="1"/>
  <c r="DG368" i="2"/>
  <c r="CW368" i="2"/>
  <c r="CQ362" i="2"/>
  <c r="CK362" i="2"/>
  <c r="DK362" i="2"/>
  <c r="DA339" i="2"/>
  <c r="CU339" i="2"/>
  <c r="CM291" i="2"/>
  <c r="DI291" i="2"/>
  <c r="X321" i="2"/>
  <c r="AJ321" i="2" s="1"/>
  <c r="CC217" i="2"/>
  <c r="CI217" i="2"/>
  <c r="CQ274" i="2"/>
  <c r="CW274" i="2"/>
  <c r="CY263" i="2"/>
  <c r="DI263" i="2"/>
  <c r="CU207" i="2"/>
  <c r="CX160" i="2"/>
  <c r="CW250" i="2"/>
  <c r="CQ250" i="2"/>
  <c r="CC242" i="2"/>
  <c r="CI242" i="2"/>
  <c r="CY207" i="2"/>
  <c r="DE207" i="2"/>
  <c r="CE233" i="2"/>
  <c r="CX305" i="2"/>
  <c r="CX35" i="2"/>
  <c r="S385" i="2"/>
  <c r="Y144" i="2"/>
  <c r="DA440" i="2"/>
  <c r="DK368" i="2"/>
  <c r="DA368" i="2"/>
  <c r="CO362" i="2"/>
  <c r="DE339" i="2"/>
  <c r="DG291" i="2"/>
  <c r="DM291" i="2"/>
  <c r="DG274" i="2"/>
  <c r="CE263" i="2"/>
  <c r="CG242" i="2"/>
  <c r="CC207" i="2"/>
  <c r="DI207" i="2"/>
  <c r="CX226" i="2"/>
  <c r="CX79" i="2"/>
  <c r="CX407" i="2"/>
  <c r="DL407" i="2" s="1"/>
  <c r="CX136" i="2"/>
  <c r="DL136" i="2" s="1"/>
  <c r="CX132" i="2"/>
  <c r="DL132" i="2" s="1"/>
  <c r="DB132" i="2" s="1"/>
  <c r="CX221" i="2"/>
  <c r="DL221" i="2" s="1"/>
  <c r="AV191" i="2"/>
  <c r="BH191" i="2" s="1"/>
  <c r="AK474" i="2"/>
  <c r="S499" i="2"/>
  <c r="S212" i="2"/>
  <c r="S186" i="2"/>
  <c r="AK169" i="2"/>
  <c r="S376" i="2"/>
  <c r="CE368" i="2"/>
  <c r="CY362" i="2"/>
  <c r="CY339" i="2"/>
  <c r="CG217" i="2"/>
  <c r="CM217" i="2"/>
  <c r="DA274" i="2"/>
  <c r="CE207" i="2"/>
  <c r="CM242" i="2"/>
  <c r="AJ500" i="2"/>
  <c r="CX488" i="2"/>
  <c r="DL488" i="2" s="1"/>
  <c r="CW440" i="2"/>
  <c r="CI368" i="2"/>
  <c r="DE368" i="2"/>
  <c r="CM362" i="2"/>
  <c r="CS362" i="2"/>
  <c r="CC339" i="2"/>
  <c r="DI339" i="2"/>
  <c r="DG339" i="2"/>
  <c r="DC291" i="2"/>
  <c r="CM274" i="2"/>
  <c r="CO217" i="2"/>
  <c r="CQ217" i="2"/>
  <c r="DC274" i="2"/>
  <c r="DE274" i="2"/>
  <c r="CU263" i="2"/>
  <c r="CX190" i="2"/>
  <c r="CX166" i="2"/>
  <c r="DL166" i="2" s="1"/>
  <c r="DE250" i="2"/>
  <c r="CY250" i="2"/>
  <c r="CK242" i="2"/>
  <c r="CQ242" i="2"/>
  <c r="DK207" i="2"/>
  <c r="CG207" i="2"/>
  <c r="DM207" i="2"/>
  <c r="CS103" i="2"/>
  <c r="CX313" i="2"/>
  <c r="CY313" i="2" s="1"/>
  <c r="CX286" i="2"/>
  <c r="CK286" i="2" s="1"/>
  <c r="CX471" i="2"/>
  <c r="DL471" i="2" s="1"/>
  <c r="CX350" i="2"/>
  <c r="DL350" i="2" s="1"/>
  <c r="X396" i="2"/>
  <c r="AJ396" i="2" s="1"/>
  <c r="Y385" i="2"/>
  <c r="AQ169" i="2"/>
  <c r="AK144" i="2"/>
  <c r="DH12" i="2"/>
  <c r="DI440" i="2"/>
  <c r="DK440" i="2"/>
  <c r="CQ368" i="2"/>
  <c r="CG368" i="2"/>
  <c r="DM368" i="2"/>
  <c r="CU362" i="2"/>
  <c r="DA362" i="2"/>
  <c r="CK339" i="2"/>
  <c r="CE339" i="2"/>
  <c r="CX269" i="2"/>
  <c r="DK291" i="2"/>
  <c r="CC291" i="2"/>
  <c r="CW217" i="2"/>
  <c r="DG217" i="2"/>
  <c r="CY274" i="2"/>
  <c r="CG274" i="2"/>
  <c r="DM274" i="2"/>
  <c r="CG263" i="2"/>
  <c r="CG250" i="2"/>
  <c r="DM250" i="2"/>
  <c r="DK250" i="2"/>
  <c r="DA242" i="2"/>
  <c r="CY242" i="2"/>
  <c r="DG207" i="2"/>
  <c r="CO207" i="2"/>
  <c r="X121" i="2"/>
  <c r="CX480" i="2"/>
  <c r="CX433" i="2"/>
  <c r="DL433" i="2" s="1"/>
  <c r="DB433" i="2" s="1"/>
  <c r="DC433" i="2" s="1"/>
  <c r="CX344" i="2"/>
  <c r="DL344" i="2" s="1"/>
  <c r="AV381" i="2"/>
  <c r="AW381" i="2" s="1"/>
  <c r="S381" i="2"/>
  <c r="AK381" i="2"/>
  <c r="CE440" i="2"/>
  <c r="CX406" i="2"/>
  <c r="DL406" i="2" s="1"/>
  <c r="DB406" i="2" s="1"/>
  <c r="DC406" i="2" s="1"/>
  <c r="CU368" i="2"/>
  <c r="CK368" i="2"/>
  <c r="CE362" i="2"/>
  <c r="CO339" i="2"/>
  <c r="CI339" i="2"/>
  <c r="CI291" i="2"/>
  <c r="CS291" i="2"/>
  <c r="DE217" i="2"/>
  <c r="DK217" i="2"/>
  <c r="CE274" i="2"/>
  <c r="CK274" i="2"/>
  <c r="DG263" i="2"/>
  <c r="CS263" i="2"/>
  <c r="CX187" i="2"/>
  <c r="DL187" i="2" s="1"/>
  <c r="CK250" i="2"/>
  <c r="CE250" i="2"/>
  <c r="DE242" i="2"/>
  <c r="DG242" i="2"/>
  <c r="AJ216" i="2"/>
  <c r="AP216" i="2" s="1"/>
  <c r="CS207" i="2"/>
  <c r="CX435" i="2"/>
  <c r="DL435" i="2" s="1"/>
  <c r="AV376" i="2"/>
  <c r="AW376" i="2" s="1"/>
  <c r="CX320" i="2"/>
  <c r="DL320" i="2" s="1"/>
  <c r="DB320" i="2" s="1"/>
  <c r="DC320" i="2" s="1"/>
  <c r="AJ165" i="2"/>
  <c r="CX98" i="2"/>
  <c r="CX32" i="2"/>
  <c r="DK32" i="2" s="1"/>
  <c r="AP385" i="2"/>
  <c r="AQ383" i="2"/>
  <c r="Y381" i="2"/>
  <c r="AQ381" i="2"/>
  <c r="AK160" i="2"/>
  <c r="AQ376" i="2"/>
  <c r="AK376" i="2"/>
  <c r="S144" i="2"/>
  <c r="DL308" i="2"/>
  <c r="DB308" i="2" s="1"/>
  <c r="DE308" i="2"/>
  <c r="CO308" i="2"/>
  <c r="DL302" i="2"/>
  <c r="DB302" i="2" s="1"/>
  <c r="CK302" i="2"/>
  <c r="CG302" i="2"/>
  <c r="CM302" i="2"/>
  <c r="CY302" i="2"/>
  <c r="CQ302" i="2"/>
  <c r="CE302" i="2"/>
  <c r="DL113" i="2"/>
  <c r="DB113" i="2" s="1"/>
  <c r="CY113" i="2"/>
  <c r="DA113" i="2"/>
  <c r="DC113" i="2"/>
  <c r="DE113" i="2"/>
  <c r="CU113" i="2"/>
  <c r="CO113" i="2"/>
  <c r="CW113" i="2"/>
  <c r="CQ113" i="2"/>
  <c r="CG113" i="2"/>
  <c r="CK113" i="2"/>
  <c r="CM113" i="2"/>
  <c r="CS113" i="2"/>
  <c r="CC113" i="2"/>
  <c r="CI113" i="2"/>
  <c r="DK113" i="2"/>
  <c r="CE113" i="2"/>
  <c r="DG113" i="2"/>
  <c r="DM113" i="2"/>
  <c r="DI113" i="2"/>
  <c r="DL426" i="2"/>
  <c r="DB426" i="2" s="1"/>
  <c r="DC426" i="2" s="1"/>
  <c r="CU426" i="2"/>
  <c r="CQ426" i="2"/>
  <c r="CC426" i="2"/>
  <c r="CM426" i="2"/>
  <c r="CY426" i="2"/>
  <c r="CI426" i="2"/>
  <c r="CE426" i="2"/>
  <c r="DK426" i="2"/>
  <c r="CW426" i="2"/>
  <c r="DM426" i="2"/>
  <c r="DG426" i="2"/>
  <c r="DE426" i="2"/>
  <c r="DA376" i="2"/>
  <c r="CK376" i="2"/>
  <c r="DK376" i="2"/>
  <c r="CU376" i="2"/>
  <c r="CE376" i="2"/>
  <c r="CQ132" i="2"/>
  <c r="DL286" i="2"/>
  <c r="DB286" i="2" s="1"/>
  <c r="DC286" i="2" s="1"/>
  <c r="CY286" i="2"/>
  <c r="CG286" i="2"/>
  <c r="CE286" i="2"/>
  <c r="DG286" i="2"/>
  <c r="CE282" i="2"/>
  <c r="CI282" i="2"/>
  <c r="DL94" i="2"/>
  <c r="DB94" i="2" s="1"/>
  <c r="DC94" i="2" s="1"/>
  <c r="CQ94" i="2"/>
  <c r="CM94" i="2"/>
  <c r="CG94" i="2"/>
  <c r="CI94" i="2"/>
  <c r="DI94" i="2"/>
  <c r="CE94" i="2"/>
  <c r="CU94" i="2"/>
  <c r="DK94" i="2"/>
  <c r="CW94" i="2"/>
  <c r="DG94" i="2"/>
  <c r="DE94" i="2"/>
  <c r="CC94" i="2"/>
  <c r="CY94" i="2"/>
  <c r="CY428" i="2"/>
  <c r="CI428" i="2"/>
  <c r="DI428" i="2"/>
  <c r="CW428" i="2"/>
  <c r="DL255" i="2"/>
  <c r="DB255" i="2" s="1"/>
  <c r="DC255" i="2" s="1"/>
  <c r="CE255" i="2"/>
  <c r="CK255" i="2"/>
  <c r="CO255" i="2"/>
  <c r="CG255" i="2"/>
  <c r="DK255" i="2"/>
  <c r="DI255" i="2"/>
  <c r="CC255" i="2"/>
  <c r="DG255" i="2"/>
  <c r="DE255" i="2"/>
  <c r="DA255" i="2"/>
  <c r="CY255" i="2"/>
  <c r="CW255" i="2"/>
  <c r="CU255" i="2"/>
  <c r="CS255" i="2"/>
  <c r="CQ255" i="2"/>
  <c r="CX459" i="2"/>
  <c r="DL459" i="2" s="1"/>
  <c r="CI457" i="2"/>
  <c r="CC457" i="2"/>
  <c r="DM457" i="2"/>
  <c r="CQ454" i="2"/>
  <c r="CG454" i="2"/>
  <c r="DM454" i="2"/>
  <c r="CK409" i="2"/>
  <c r="DG409" i="2"/>
  <c r="CY296" i="2"/>
  <c r="CG225" i="2"/>
  <c r="DA249" i="2"/>
  <c r="DG249" i="2"/>
  <c r="CU78" i="2"/>
  <c r="DE46" i="2"/>
  <c r="CY46" i="2"/>
  <c r="CQ42" i="2"/>
  <c r="CX443" i="2"/>
  <c r="X340" i="2"/>
  <c r="CX54" i="2"/>
  <c r="DG54" i="2" s="1"/>
  <c r="CX34" i="2"/>
  <c r="DL34" i="2" s="1"/>
  <c r="DB34" i="2" s="1"/>
  <c r="DC34" i="2" s="1"/>
  <c r="CW46" i="2"/>
  <c r="CY457" i="2"/>
  <c r="CG457" i="2"/>
  <c r="DG454" i="2"/>
  <c r="CK454" i="2"/>
  <c r="DA409" i="2"/>
  <c r="DK409" i="2"/>
  <c r="CX382" i="2"/>
  <c r="CG382" i="2" s="1"/>
  <c r="DA296" i="2"/>
  <c r="DE249" i="2"/>
  <c r="DK249" i="2"/>
  <c r="CX184" i="2"/>
  <c r="DL184" i="2" s="1"/>
  <c r="CX176" i="2"/>
  <c r="DL176" i="2" s="1"/>
  <c r="CX168" i="2"/>
  <c r="DL168" i="2" s="1"/>
  <c r="CX144" i="2"/>
  <c r="CG144" i="2" s="1"/>
  <c r="CY78" i="2"/>
  <c r="CK46" i="2"/>
  <c r="X130" i="2"/>
  <c r="Y130" i="2" s="1"/>
  <c r="DI46" i="2"/>
  <c r="DI42" i="2"/>
  <c r="DG46" i="2"/>
  <c r="CU42" i="2"/>
  <c r="CX321" i="2"/>
  <c r="CS321" i="2" s="1"/>
  <c r="X328" i="2"/>
  <c r="AJ328" i="2" s="1"/>
  <c r="CX135" i="2"/>
  <c r="CX55" i="2"/>
  <c r="CM55" i="2" s="1"/>
  <c r="DK457" i="2"/>
  <c r="CO454" i="2"/>
  <c r="CG409" i="2"/>
  <c r="CE409" i="2"/>
  <c r="CX389" i="2"/>
  <c r="CG389" i="2" s="1"/>
  <c r="DI249" i="2"/>
  <c r="CE107" i="2"/>
  <c r="CO42" i="2"/>
  <c r="DA59" i="2"/>
  <c r="DA46" i="2"/>
  <c r="DA42" i="2"/>
  <c r="DM46" i="2"/>
  <c r="DK46" i="2"/>
  <c r="CY42" i="2"/>
  <c r="CX421" i="2"/>
  <c r="DL421" i="2" s="1"/>
  <c r="X150" i="2"/>
  <c r="AJ150" i="2" s="1"/>
  <c r="CX474" i="2"/>
  <c r="DL474" i="2" s="1"/>
  <c r="CK457" i="2"/>
  <c r="CY454" i="2"/>
  <c r="DH24" i="2"/>
  <c r="CE457" i="2"/>
  <c r="CO457" i="2"/>
  <c r="DK454" i="2"/>
  <c r="CS454" i="2"/>
  <c r="CS409" i="2"/>
  <c r="CI409" i="2"/>
  <c r="CG249" i="2"/>
  <c r="DM249" i="2"/>
  <c r="CX206" i="2"/>
  <c r="DM206" i="2" s="1"/>
  <c r="CI107" i="2"/>
  <c r="DM78" i="2"/>
  <c r="CC42" i="2"/>
  <c r="CS46" i="2"/>
  <c r="CS42" i="2"/>
  <c r="CE46" i="2"/>
  <c r="CQ233" i="2"/>
  <c r="CG41" i="2"/>
  <c r="DG42" i="2"/>
  <c r="CX442" i="2"/>
  <c r="CX298" i="2"/>
  <c r="CM298" i="2" s="1"/>
  <c r="CX323" i="2"/>
  <c r="CX127" i="2"/>
  <c r="DL127" i="2" s="1"/>
  <c r="X271" i="2"/>
  <c r="X120" i="2"/>
  <c r="AJ120" i="2" s="1"/>
  <c r="AP120" i="2" s="1"/>
  <c r="CQ457" i="2"/>
  <c r="CS457" i="2"/>
  <c r="CI454" i="2"/>
  <c r="CW454" i="2"/>
  <c r="CX414" i="2"/>
  <c r="DL414" i="2" s="1"/>
  <c r="CC409" i="2"/>
  <c r="CM409" i="2"/>
  <c r="X314" i="2"/>
  <c r="Y314" i="2" s="1"/>
  <c r="X292" i="2"/>
  <c r="CK249" i="2"/>
  <c r="CE249" i="2"/>
  <c r="CM107" i="2"/>
  <c r="DE78" i="2"/>
  <c r="CG46" i="2"/>
  <c r="CG42" i="2"/>
  <c r="CI46" i="2"/>
  <c r="CW42" i="2"/>
  <c r="DK42" i="2"/>
  <c r="CX292" i="2"/>
  <c r="CX253" i="2"/>
  <c r="CI253" i="2" s="1"/>
  <c r="AP181" i="2"/>
  <c r="CX81" i="2"/>
  <c r="CX477" i="2"/>
  <c r="DL477" i="2" s="1"/>
  <c r="DG457" i="2"/>
  <c r="CW457" i="2"/>
  <c r="CU454" i="2"/>
  <c r="DA454" i="2"/>
  <c r="CX412" i="2"/>
  <c r="DL412" i="2" s="1"/>
  <c r="DB412" i="2" s="1"/>
  <c r="CO409" i="2"/>
  <c r="CQ409" i="2"/>
  <c r="X310" i="2"/>
  <c r="Y310" i="2" s="1"/>
  <c r="CO249" i="2"/>
  <c r="CI249" i="2"/>
  <c r="CG236" i="2"/>
  <c r="DK107" i="2"/>
  <c r="CI78" i="2"/>
  <c r="CO46" i="2"/>
  <c r="DE42" i="2"/>
  <c r="DE59" i="2"/>
  <c r="CM46" i="2"/>
  <c r="DM42" i="2"/>
  <c r="CX125" i="2"/>
  <c r="CX100" i="2"/>
  <c r="AV144" i="2"/>
  <c r="AW144" i="2" s="1"/>
  <c r="CM457" i="2"/>
  <c r="DA457" i="2"/>
  <c r="CM454" i="2"/>
  <c r="DE454" i="2"/>
  <c r="DE409" i="2"/>
  <c r="CU409" i="2"/>
  <c r="CX385" i="2"/>
  <c r="DL385" i="2" s="1"/>
  <c r="X302" i="2"/>
  <c r="Y302" i="2" s="1"/>
  <c r="CS249" i="2"/>
  <c r="CM249" i="2"/>
  <c r="CX155" i="2"/>
  <c r="DL155" i="2" s="1"/>
  <c r="X319" i="2"/>
  <c r="Y319" i="2" s="1"/>
  <c r="DK236" i="2"/>
  <c r="CM78" i="2"/>
  <c r="CC46" i="2"/>
  <c r="CK42" i="2"/>
  <c r="CI42" i="2"/>
  <c r="CX399" i="2"/>
  <c r="CX415" i="2"/>
  <c r="CX259" i="2"/>
  <c r="DE259" i="2" s="1"/>
  <c r="CX210" i="2"/>
  <c r="DI210" i="2" s="1"/>
  <c r="CX289" i="2"/>
  <c r="CQ289" i="2" s="1"/>
  <c r="CX220" i="2"/>
  <c r="DL220" i="2" s="1"/>
  <c r="DB220" i="2" s="1"/>
  <c r="DC220" i="2" s="1"/>
  <c r="DI58" i="2"/>
  <c r="DI278" i="2"/>
  <c r="DK278" i="2"/>
  <c r="DE278" i="2"/>
  <c r="CU278" i="2"/>
  <c r="DA278" i="2"/>
  <c r="CE278" i="2"/>
  <c r="CW278" i="2"/>
  <c r="CY278" i="2"/>
  <c r="CS278" i="2"/>
  <c r="CI278" i="2"/>
  <c r="CC278" i="2"/>
  <c r="DG278" i="2"/>
  <c r="CQ278" i="2"/>
  <c r="CS259" i="2"/>
  <c r="DG220" i="2"/>
  <c r="AJ100" i="2"/>
  <c r="Y100" i="2"/>
  <c r="CE241" i="2"/>
  <c r="DE241" i="2"/>
  <c r="CO241" i="2"/>
  <c r="CI241" i="2"/>
  <c r="BF11" i="2"/>
  <c r="BC11" i="2"/>
  <c r="AZ11" i="2"/>
  <c r="AT11" i="2"/>
  <c r="AN11" i="2"/>
  <c r="AE11" i="2"/>
  <c r="AB11" i="2"/>
  <c r="V11" i="2"/>
  <c r="M11" i="2"/>
  <c r="AH11" i="2"/>
  <c r="P11" i="2"/>
  <c r="J11" i="2"/>
  <c r="BF12" i="2"/>
  <c r="BC12" i="2"/>
  <c r="AT12" i="2"/>
  <c r="AZ12" i="2"/>
  <c r="AB12" i="2"/>
  <c r="AN12" i="2"/>
  <c r="AH12" i="2"/>
  <c r="J12" i="2"/>
  <c r="AE12" i="2"/>
  <c r="V12" i="2"/>
  <c r="P12" i="2"/>
  <c r="M12" i="2"/>
  <c r="BF20" i="2"/>
  <c r="BC20" i="2"/>
  <c r="AT20" i="2"/>
  <c r="AB20" i="2"/>
  <c r="AZ20" i="2"/>
  <c r="AN20" i="2"/>
  <c r="AH20" i="2"/>
  <c r="J20" i="2"/>
  <c r="V20" i="2"/>
  <c r="AE20" i="2"/>
  <c r="P20" i="2"/>
  <c r="M20" i="2"/>
  <c r="X473" i="2"/>
  <c r="S473" i="2"/>
  <c r="X459" i="2"/>
  <c r="S459" i="2"/>
  <c r="BF5" i="2"/>
  <c r="BC5" i="2"/>
  <c r="AZ5" i="2"/>
  <c r="AT5" i="2"/>
  <c r="AE5" i="2"/>
  <c r="AB5" i="2"/>
  <c r="M5" i="2"/>
  <c r="J5" i="2"/>
  <c r="AN5" i="2"/>
  <c r="V5" i="2"/>
  <c r="AH5" i="2"/>
  <c r="P5" i="2"/>
  <c r="BF13" i="2"/>
  <c r="BC13" i="2"/>
  <c r="AZ13" i="2"/>
  <c r="AT13" i="2"/>
  <c r="AE13" i="2"/>
  <c r="AB13" i="2"/>
  <c r="AH13" i="2"/>
  <c r="M13" i="2"/>
  <c r="J13" i="2"/>
  <c r="V13" i="2"/>
  <c r="AN13" i="2"/>
  <c r="P13" i="2"/>
  <c r="BF21" i="2"/>
  <c r="BC21" i="2"/>
  <c r="AZ21" i="2"/>
  <c r="AT21" i="2"/>
  <c r="AE21" i="2"/>
  <c r="AB21" i="2"/>
  <c r="M21" i="2"/>
  <c r="V21" i="2"/>
  <c r="AN21" i="2"/>
  <c r="J21" i="2"/>
  <c r="AH21" i="2"/>
  <c r="P21" i="2"/>
  <c r="X498" i="2"/>
  <c r="S498" i="2"/>
  <c r="X458" i="2"/>
  <c r="S458" i="2"/>
  <c r="X430" i="2"/>
  <c r="S430" i="2"/>
  <c r="X422" i="2"/>
  <c r="S422" i="2"/>
  <c r="X409" i="2"/>
  <c r="S409" i="2"/>
  <c r="X342" i="2"/>
  <c r="S342" i="2"/>
  <c r="X324" i="2"/>
  <c r="S324" i="2"/>
  <c r="X252" i="2"/>
  <c r="S252" i="2"/>
  <c r="X244" i="2"/>
  <c r="S244" i="2"/>
  <c r="X236" i="2"/>
  <c r="S236" i="2"/>
  <c r="CM308" i="2"/>
  <c r="CK296" i="2"/>
  <c r="CI299" i="2"/>
  <c r="DE299" i="2"/>
  <c r="CU291" i="2"/>
  <c r="DE291" i="2"/>
  <c r="DA217" i="2"/>
  <c r="CU217" i="2"/>
  <c r="CO209" i="2"/>
  <c r="CQ209" i="2"/>
  <c r="CQ263" i="2"/>
  <c r="DK263" i="2"/>
  <c r="CC247" i="2"/>
  <c r="DI247" i="2"/>
  <c r="DG247" i="2"/>
  <c r="X43" i="2"/>
  <c r="S43" i="2"/>
  <c r="X295" i="2"/>
  <c r="Y295" i="2" s="1"/>
  <c r="X223" i="2"/>
  <c r="S223" i="2"/>
  <c r="CY266" i="2"/>
  <c r="X213" i="2"/>
  <c r="S213" i="2"/>
  <c r="X107" i="2"/>
  <c r="S107" i="2"/>
  <c r="X99" i="2"/>
  <c r="S99" i="2"/>
  <c r="X91" i="2"/>
  <c r="S91" i="2"/>
  <c r="X83" i="2"/>
  <c r="S83" i="2"/>
  <c r="X75" i="2"/>
  <c r="S75" i="2"/>
  <c r="X67" i="2"/>
  <c r="S67" i="2"/>
  <c r="X51" i="2"/>
  <c r="S51" i="2"/>
  <c r="CE230" i="2"/>
  <c r="DG41" i="2"/>
  <c r="DM231" i="2"/>
  <c r="CS41" i="2"/>
  <c r="CE104" i="2"/>
  <c r="X490" i="2"/>
  <c r="S490" i="2"/>
  <c r="AJ331" i="2"/>
  <c r="Y331" i="2"/>
  <c r="CX303" i="2"/>
  <c r="DI303" i="2" s="1"/>
  <c r="AP172" i="2"/>
  <c r="AK172" i="2"/>
  <c r="AJ196" i="2"/>
  <c r="Y196" i="2"/>
  <c r="CX112" i="2"/>
  <c r="AP195" i="2"/>
  <c r="AK195" i="2"/>
  <c r="X127" i="2"/>
  <c r="X52" i="2"/>
  <c r="S52" i="2"/>
  <c r="X34" i="2"/>
  <c r="S34" i="2"/>
  <c r="AJ401" i="2"/>
  <c r="Y401" i="2"/>
  <c r="X412" i="2"/>
  <c r="S412" i="2"/>
  <c r="X386" i="2"/>
  <c r="S386" i="2"/>
  <c r="X224" i="2"/>
  <c r="S224" i="2"/>
  <c r="AJ184" i="2"/>
  <c r="Y184" i="2"/>
  <c r="X155" i="2"/>
  <c r="S155" i="2"/>
  <c r="BP173" i="2"/>
  <c r="AW173" i="2"/>
  <c r="S474" i="2"/>
  <c r="AQ474" i="2"/>
  <c r="AQ472" i="2"/>
  <c r="AK472" i="2"/>
  <c r="AK393" i="2"/>
  <c r="S391" i="2"/>
  <c r="AK387" i="2"/>
  <c r="AK360" i="2"/>
  <c r="Y330" i="2"/>
  <c r="AK327" i="2"/>
  <c r="S325" i="2"/>
  <c r="AK325" i="2"/>
  <c r="Y274" i="2"/>
  <c r="Y270" i="2"/>
  <c r="S221" i="2"/>
  <c r="Y219" i="2"/>
  <c r="AK214" i="2"/>
  <c r="AQ187" i="2"/>
  <c r="AK176" i="2"/>
  <c r="AQ134" i="2"/>
  <c r="S128" i="2"/>
  <c r="AQ128" i="2"/>
  <c r="Y122" i="2"/>
  <c r="AQ120" i="2"/>
  <c r="Y102" i="2"/>
  <c r="S100" i="2"/>
  <c r="S96" i="2"/>
  <c r="S92" i="2"/>
  <c r="S90" i="2"/>
  <c r="AQ90" i="2"/>
  <c r="Y86" i="2"/>
  <c r="S82" i="2"/>
  <c r="AQ82" i="2"/>
  <c r="AK78" i="2"/>
  <c r="Y70" i="2"/>
  <c r="S68" i="2"/>
  <c r="S346" i="2"/>
  <c r="AQ346" i="2"/>
  <c r="BF22" i="2"/>
  <c r="BC22" i="2"/>
  <c r="AT22" i="2"/>
  <c r="AZ22" i="2"/>
  <c r="AH22" i="2"/>
  <c r="AE22" i="2"/>
  <c r="AB22" i="2"/>
  <c r="AN22" i="2"/>
  <c r="P22" i="2"/>
  <c r="M22" i="2"/>
  <c r="J22" i="2"/>
  <c r="V22" i="2"/>
  <c r="X462" i="2"/>
  <c r="S462" i="2"/>
  <c r="X437" i="2"/>
  <c r="S437" i="2"/>
  <c r="X429" i="2"/>
  <c r="S429" i="2"/>
  <c r="X421" i="2"/>
  <c r="S421" i="2"/>
  <c r="X441" i="2"/>
  <c r="S441" i="2"/>
  <c r="X407" i="2"/>
  <c r="S407" i="2"/>
  <c r="X359" i="2"/>
  <c r="S359" i="2"/>
  <c r="X355" i="2"/>
  <c r="S355" i="2"/>
  <c r="X349" i="2"/>
  <c r="S349" i="2"/>
  <c r="X341" i="2"/>
  <c r="S341" i="2"/>
  <c r="X363" i="2"/>
  <c r="S363" i="2"/>
  <c r="AJ336" i="2"/>
  <c r="Y336" i="2"/>
  <c r="X262" i="2"/>
  <c r="S262" i="2"/>
  <c r="AP212" i="2"/>
  <c r="AK212" i="2"/>
  <c r="X227" i="2"/>
  <c r="S227" i="2"/>
  <c r="AP62" i="2"/>
  <c r="AK62" i="2"/>
  <c r="AQ42" i="2"/>
  <c r="X138" i="2"/>
  <c r="S138" i="2"/>
  <c r="AJ98" i="2"/>
  <c r="Y98" i="2"/>
  <c r="AP74" i="2"/>
  <c r="AK74" i="2"/>
  <c r="AJ66" i="2"/>
  <c r="Y66" i="2"/>
  <c r="X41" i="2"/>
  <c r="S41" i="2"/>
  <c r="CX322" i="2"/>
  <c r="X442" i="2"/>
  <c r="S442" i="2"/>
  <c r="AK202" i="2"/>
  <c r="AJ180" i="2"/>
  <c r="Y180" i="2"/>
  <c r="AQ179" i="2"/>
  <c r="AJ148" i="2"/>
  <c r="Y148" i="2"/>
  <c r="X37" i="2"/>
  <c r="S37" i="2"/>
  <c r="X47" i="2"/>
  <c r="S47" i="2"/>
  <c r="X32" i="2"/>
  <c r="S32" i="2"/>
  <c r="X31" i="2"/>
  <c r="S31" i="2"/>
  <c r="X444" i="2"/>
  <c r="S444" i="2"/>
  <c r="X379" i="2"/>
  <c r="S379" i="2"/>
  <c r="AP392" i="2"/>
  <c r="AK392" i="2"/>
  <c r="X382" i="2"/>
  <c r="S382" i="2"/>
  <c r="X218" i="2"/>
  <c r="S218" i="2"/>
  <c r="X178" i="2"/>
  <c r="S178" i="2"/>
  <c r="S470" i="2"/>
  <c r="AK468" i="2"/>
  <c r="Y461" i="2"/>
  <c r="AK372" i="2"/>
  <c r="AQ270" i="2"/>
  <c r="Y221" i="2"/>
  <c r="Y217" i="2"/>
  <c r="AK134" i="2"/>
  <c r="AK124" i="2"/>
  <c r="AK112" i="2"/>
  <c r="AK106" i="2"/>
  <c r="S98" i="2"/>
  <c r="S88" i="2"/>
  <c r="AQ86" i="2"/>
  <c r="S80" i="2"/>
  <c r="Y78" i="2"/>
  <c r="AQ78" i="2"/>
  <c r="S74" i="2"/>
  <c r="AQ70" i="2"/>
  <c r="S64" i="2"/>
  <c r="S60" i="2"/>
  <c r="S58" i="2"/>
  <c r="S56" i="2"/>
  <c r="Y40" i="2"/>
  <c r="AQ367" i="2"/>
  <c r="AK335" i="2"/>
  <c r="BF6" i="2"/>
  <c r="BC6" i="2"/>
  <c r="AZ6" i="2"/>
  <c r="AT6" i="2"/>
  <c r="AH6" i="2"/>
  <c r="AE6" i="2"/>
  <c r="AB6" i="2"/>
  <c r="AN6" i="2"/>
  <c r="P6" i="2"/>
  <c r="M6" i="2"/>
  <c r="J6" i="2"/>
  <c r="V6" i="2"/>
  <c r="BF7" i="2"/>
  <c r="AZ7" i="2"/>
  <c r="BC7" i="2"/>
  <c r="AT7" i="2"/>
  <c r="AH7" i="2"/>
  <c r="AE7" i="2"/>
  <c r="AB7" i="2"/>
  <c r="P7" i="2"/>
  <c r="M7" i="2"/>
  <c r="J7" i="2"/>
  <c r="AN7" i="2"/>
  <c r="V7" i="2"/>
  <c r="BF23" i="2"/>
  <c r="AZ23" i="2"/>
  <c r="BC23" i="2"/>
  <c r="AT23" i="2"/>
  <c r="AH23" i="2"/>
  <c r="AE23" i="2"/>
  <c r="AB23" i="2"/>
  <c r="P23" i="2"/>
  <c r="AN23" i="2"/>
  <c r="M23" i="2"/>
  <c r="J23" i="2"/>
  <c r="V23" i="2"/>
  <c r="X436" i="2"/>
  <c r="S436" i="2"/>
  <c r="X428" i="2"/>
  <c r="S428" i="2"/>
  <c r="X420" i="2"/>
  <c r="S420" i="2"/>
  <c r="X374" i="2"/>
  <c r="S374" i="2"/>
  <c r="X338" i="2"/>
  <c r="S338" i="2"/>
  <c r="X369" i="2"/>
  <c r="S369" i="2"/>
  <c r="AP232" i="2"/>
  <c r="AK232" i="2"/>
  <c r="AJ60" i="2"/>
  <c r="Y60" i="2"/>
  <c r="X33" i="2"/>
  <c r="S33" i="2"/>
  <c r="X105" i="2"/>
  <c r="S105" i="2"/>
  <c r="X97" i="2"/>
  <c r="S97" i="2"/>
  <c r="X89" i="2"/>
  <c r="S89" i="2"/>
  <c r="X81" i="2"/>
  <c r="S81" i="2"/>
  <c r="X73" i="2"/>
  <c r="S73" i="2"/>
  <c r="X65" i="2"/>
  <c r="S65" i="2"/>
  <c r="X39" i="2"/>
  <c r="S39" i="2"/>
  <c r="X414" i="2"/>
  <c r="S414" i="2"/>
  <c r="X448" i="2"/>
  <c r="Y448" i="2" s="1"/>
  <c r="S448" i="2"/>
  <c r="AJ410" i="2"/>
  <c r="Y410" i="2"/>
  <c r="X485" i="2"/>
  <c r="S485" i="2"/>
  <c r="AJ228" i="2"/>
  <c r="Y228" i="2"/>
  <c r="AP152" i="2"/>
  <c r="AK152" i="2"/>
  <c r="AP182" i="2"/>
  <c r="AK182" i="2"/>
  <c r="AJ119" i="2"/>
  <c r="Y119" i="2"/>
  <c r="BQ191" i="2"/>
  <c r="BI191" i="2"/>
  <c r="BO191" i="2" s="1"/>
  <c r="AQ151" i="2"/>
  <c r="X45" i="2"/>
  <c r="S45" i="2"/>
  <c r="X44" i="2"/>
  <c r="S44" i="2"/>
  <c r="X443" i="2"/>
  <c r="S443" i="2"/>
  <c r="AJ167" i="2"/>
  <c r="Y167" i="2"/>
  <c r="AJ201" i="2"/>
  <c r="Y201" i="2"/>
  <c r="X168" i="2"/>
  <c r="S168" i="2"/>
  <c r="X171" i="2"/>
  <c r="S171" i="2"/>
  <c r="AQ177" i="2"/>
  <c r="Y468" i="2"/>
  <c r="Y395" i="2"/>
  <c r="S387" i="2"/>
  <c r="AQ387" i="2"/>
  <c r="Y372" i="2"/>
  <c r="Y325" i="2"/>
  <c r="AK270" i="2"/>
  <c r="AK219" i="2"/>
  <c r="AQ217" i="2"/>
  <c r="AQ214" i="2"/>
  <c r="AQ176" i="2"/>
  <c r="AK153" i="2"/>
  <c r="Y136" i="2"/>
  <c r="S110" i="2"/>
  <c r="S106" i="2"/>
  <c r="Y104" i="2"/>
  <c r="Y90" i="2"/>
  <c r="Y82" i="2"/>
  <c r="S72" i="2"/>
  <c r="AK70" i="2"/>
  <c r="S66" i="2"/>
  <c r="Y62" i="2"/>
  <c r="AK42" i="2"/>
  <c r="AK466" i="2"/>
  <c r="S358" i="2"/>
  <c r="S351" i="2"/>
  <c r="Y346" i="2"/>
  <c r="BC14" i="2"/>
  <c r="BF14" i="2"/>
  <c r="AT14" i="2"/>
  <c r="AZ14" i="2"/>
  <c r="AH14" i="2"/>
  <c r="AE14" i="2"/>
  <c r="AB14" i="2"/>
  <c r="AN14" i="2"/>
  <c r="P14" i="2"/>
  <c r="M14" i="2"/>
  <c r="J14" i="2"/>
  <c r="V14" i="2"/>
  <c r="X435" i="2"/>
  <c r="S435" i="2"/>
  <c r="X427" i="2"/>
  <c r="S427" i="2"/>
  <c r="X419" i="2"/>
  <c r="S419" i="2"/>
  <c r="X399" i="2"/>
  <c r="S399" i="2"/>
  <c r="AQ358" i="2"/>
  <c r="X354" i="2"/>
  <c r="S354" i="2"/>
  <c r="X347" i="2"/>
  <c r="S347" i="2"/>
  <c r="X334" i="2"/>
  <c r="S334" i="2"/>
  <c r="X230" i="2"/>
  <c r="S230" i="2"/>
  <c r="X209" i="2"/>
  <c r="S209" i="2"/>
  <c r="X59" i="2"/>
  <c r="S59" i="2"/>
  <c r="X27" i="2"/>
  <c r="S27" i="2"/>
  <c r="X231" i="2"/>
  <c r="S231" i="2"/>
  <c r="X141" i="2"/>
  <c r="S141" i="2"/>
  <c r="X137" i="2"/>
  <c r="S137" i="2"/>
  <c r="AJ96" i="2"/>
  <c r="Y96" i="2"/>
  <c r="AJ88" i="2"/>
  <c r="Y88" i="2"/>
  <c r="AJ80" i="2"/>
  <c r="Y80" i="2"/>
  <c r="AJ72" i="2"/>
  <c r="Y72" i="2"/>
  <c r="AJ64" i="2"/>
  <c r="Y64" i="2"/>
  <c r="X38" i="2"/>
  <c r="S38" i="2"/>
  <c r="AJ261" i="2"/>
  <c r="AK261" i="2" s="1"/>
  <c r="Y261" i="2"/>
  <c r="AJ447" i="2"/>
  <c r="Y447" i="2"/>
  <c r="Y328" i="2"/>
  <c r="X273" i="2"/>
  <c r="Y273" i="2" s="1"/>
  <c r="S273" i="2"/>
  <c r="X162" i="2"/>
  <c r="S162" i="2"/>
  <c r="AQ181" i="2"/>
  <c r="X131" i="2"/>
  <c r="S131" i="2"/>
  <c r="X28" i="2"/>
  <c r="S28" i="2"/>
  <c r="X30" i="2"/>
  <c r="S30" i="2"/>
  <c r="X455" i="2"/>
  <c r="S455" i="2"/>
  <c r="AP477" i="2"/>
  <c r="AK477" i="2"/>
  <c r="AP384" i="2"/>
  <c r="AK384" i="2"/>
  <c r="X233" i="2"/>
  <c r="S233" i="2"/>
  <c r="X205" i="2"/>
  <c r="S205" i="2"/>
  <c r="AJ200" i="2"/>
  <c r="Y200" i="2"/>
  <c r="X157" i="2"/>
  <c r="S157" i="2"/>
  <c r="X170" i="2"/>
  <c r="S170" i="2"/>
  <c r="X146" i="2"/>
  <c r="S146" i="2"/>
  <c r="AK470" i="2"/>
  <c r="AK397" i="2"/>
  <c r="S372" i="2"/>
  <c r="AQ360" i="2"/>
  <c r="AK339" i="2"/>
  <c r="AQ325" i="2"/>
  <c r="AQ221" i="2"/>
  <c r="Y187" i="2"/>
  <c r="S176" i="2"/>
  <c r="AK122" i="2"/>
  <c r="S112" i="2"/>
  <c r="AQ112" i="2"/>
  <c r="S76" i="2"/>
  <c r="Y58" i="2"/>
  <c r="S48" i="2"/>
  <c r="S42" i="2"/>
  <c r="AQ351" i="2"/>
  <c r="S323" i="2"/>
  <c r="S226" i="2"/>
  <c r="BF15" i="2"/>
  <c r="AZ15" i="2"/>
  <c r="BC15" i="2"/>
  <c r="AT15" i="2"/>
  <c r="AH15" i="2"/>
  <c r="AE15" i="2"/>
  <c r="AB15" i="2"/>
  <c r="AN15" i="2"/>
  <c r="P15" i="2"/>
  <c r="M15" i="2"/>
  <c r="J15" i="2"/>
  <c r="V15" i="2"/>
  <c r="BF8" i="2"/>
  <c r="AZ8" i="2"/>
  <c r="BC8" i="2"/>
  <c r="AN8" i="2"/>
  <c r="AH8" i="2"/>
  <c r="AE8" i="2"/>
  <c r="AB8" i="2"/>
  <c r="V8" i="2"/>
  <c r="AT8" i="2"/>
  <c r="P8" i="2"/>
  <c r="M8" i="2"/>
  <c r="J8" i="2"/>
  <c r="BF16" i="2"/>
  <c r="AZ16" i="2"/>
  <c r="BC16" i="2"/>
  <c r="AN16" i="2"/>
  <c r="AH16" i="2"/>
  <c r="AE16" i="2"/>
  <c r="AB16" i="2"/>
  <c r="V16" i="2"/>
  <c r="AT16" i="2"/>
  <c r="P16" i="2"/>
  <c r="M16" i="2"/>
  <c r="J16" i="2"/>
  <c r="BF24" i="2"/>
  <c r="AZ24" i="2"/>
  <c r="AN24" i="2"/>
  <c r="AT24" i="2"/>
  <c r="AH24" i="2"/>
  <c r="AE24" i="2"/>
  <c r="AB24" i="2"/>
  <c r="BC24" i="2"/>
  <c r="V24" i="2"/>
  <c r="P24" i="2"/>
  <c r="M24" i="2"/>
  <c r="J24" i="2"/>
  <c r="X482" i="2"/>
  <c r="S482" i="2"/>
  <c r="BC9" i="2"/>
  <c r="AZ9" i="2"/>
  <c r="BF9" i="2"/>
  <c r="AT9" i="2"/>
  <c r="AN9" i="2"/>
  <c r="AH9" i="2"/>
  <c r="AE9" i="2"/>
  <c r="V9" i="2"/>
  <c r="P9" i="2"/>
  <c r="M9" i="2"/>
  <c r="AB9" i="2"/>
  <c r="J9" i="2"/>
  <c r="BF17" i="2"/>
  <c r="AZ17" i="2"/>
  <c r="BC17" i="2"/>
  <c r="AT17" i="2"/>
  <c r="AN17" i="2"/>
  <c r="AH17" i="2"/>
  <c r="AE17" i="2"/>
  <c r="AB17" i="2"/>
  <c r="V17" i="2"/>
  <c r="P17" i="2"/>
  <c r="M17" i="2"/>
  <c r="J17" i="2"/>
  <c r="CJ23" i="2"/>
  <c r="BF25" i="2"/>
  <c r="AZ25" i="2"/>
  <c r="BC25" i="2"/>
  <c r="AT25" i="2"/>
  <c r="AN25" i="2"/>
  <c r="AH25" i="2"/>
  <c r="AE25" i="2"/>
  <c r="V25" i="2"/>
  <c r="AB25" i="2"/>
  <c r="P25" i="2"/>
  <c r="M25" i="2"/>
  <c r="J25" i="2"/>
  <c r="X479" i="2"/>
  <c r="S479" i="2"/>
  <c r="X434" i="2"/>
  <c r="S434" i="2"/>
  <c r="X426" i="2"/>
  <c r="S426" i="2"/>
  <c r="X418" i="2"/>
  <c r="S418" i="2"/>
  <c r="X411" i="2"/>
  <c r="S411" i="2"/>
  <c r="X377" i="2"/>
  <c r="S377" i="2"/>
  <c r="X282" i="2"/>
  <c r="Y282" i="2" s="1"/>
  <c r="S282" i="2"/>
  <c r="CO299" i="2"/>
  <c r="CQ291" i="2"/>
  <c r="CO291" i="2"/>
  <c r="X225" i="2"/>
  <c r="S225" i="2"/>
  <c r="CK217" i="2"/>
  <c r="CE217" i="2"/>
  <c r="DE209" i="2"/>
  <c r="CI263" i="2"/>
  <c r="CW263" i="2"/>
  <c r="CS247" i="2"/>
  <c r="CM247" i="2"/>
  <c r="X57" i="2"/>
  <c r="S57" i="2"/>
  <c r="X111" i="2"/>
  <c r="S111" i="2"/>
  <c r="X103" i="2"/>
  <c r="S103" i="2"/>
  <c r="X95" i="2"/>
  <c r="S95" i="2"/>
  <c r="X87" i="2"/>
  <c r="S87" i="2"/>
  <c r="X79" i="2"/>
  <c r="S79" i="2"/>
  <c r="X71" i="2"/>
  <c r="S71" i="2"/>
  <c r="X63" i="2"/>
  <c r="S63" i="2"/>
  <c r="X36" i="2"/>
  <c r="S36" i="2"/>
  <c r="CS230" i="2"/>
  <c r="CE103" i="2"/>
  <c r="CI82" i="2"/>
  <c r="CX422" i="2"/>
  <c r="CX434" i="2"/>
  <c r="X454" i="2"/>
  <c r="S454" i="2"/>
  <c r="X269" i="2"/>
  <c r="CX290" i="2"/>
  <c r="CU290" i="2" s="1"/>
  <c r="CX246" i="2"/>
  <c r="AP186" i="2"/>
  <c r="AK186" i="2"/>
  <c r="X279" i="2"/>
  <c r="X311" i="2"/>
  <c r="S311" i="2"/>
  <c r="AP166" i="2"/>
  <c r="AK166" i="2"/>
  <c r="Y156" i="2"/>
  <c r="AJ175" i="2"/>
  <c r="X115" i="2"/>
  <c r="Y115" i="2" s="1"/>
  <c r="X129" i="2"/>
  <c r="S129" i="2"/>
  <c r="X197" i="2"/>
  <c r="S197" i="2"/>
  <c r="X46" i="2"/>
  <c r="S46" i="2"/>
  <c r="CX436" i="2"/>
  <c r="X204" i="2"/>
  <c r="S204" i="2"/>
  <c r="AJ199" i="2"/>
  <c r="Y199" i="2"/>
  <c r="BP144" i="2"/>
  <c r="AJ26" i="2"/>
  <c r="Y26" i="2"/>
  <c r="S472" i="2"/>
  <c r="Y470" i="2"/>
  <c r="S468" i="2"/>
  <c r="S397" i="2"/>
  <c r="AQ397" i="2"/>
  <c r="AQ393" i="2"/>
  <c r="AK391" i="2"/>
  <c r="S360" i="2"/>
  <c r="S219" i="2"/>
  <c r="AK136" i="2"/>
  <c r="Y128" i="2"/>
  <c r="AQ124" i="2"/>
  <c r="Y120" i="2"/>
  <c r="AK110" i="2"/>
  <c r="AQ106" i="2"/>
  <c r="AK104" i="2"/>
  <c r="S102" i="2"/>
  <c r="Y74" i="2"/>
  <c r="AQ466" i="2"/>
  <c r="AK367" i="2"/>
  <c r="Y358" i="2"/>
  <c r="Y351" i="2"/>
  <c r="BF10" i="2"/>
  <c r="BC10" i="2"/>
  <c r="AZ10" i="2"/>
  <c r="AN10" i="2"/>
  <c r="AH10" i="2"/>
  <c r="AT10" i="2"/>
  <c r="AB10" i="2"/>
  <c r="V10" i="2"/>
  <c r="AE10" i="2"/>
  <c r="P10" i="2"/>
  <c r="J10" i="2"/>
  <c r="M10" i="2"/>
  <c r="BF18" i="2"/>
  <c r="BC18" i="2"/>
  <c r="AZ18" i="2"/>
  <c r="AT18" i="2"/>
  <c r="AN18" i="2"/>
  <c r="AH18" i="2"/>
  <c r="AB18" i="2"/>
  <c r="V18" i="2"/>
  <c r="AE18" i="2"/>
  <c r="P18" i="2"/>
  <c r="J18" i="2"/>
  <c r="M18" i="2"/>
  <c r="AP500" i="2"/>
  <c r="AK500" i="2"/>
  <c r="X464" i="2"/>
  <c r="S464" i="2"/>
  <c r="X433" i="2"/>
  <c r="S433" i="2"/>
  <c r="X425" i="2"/>
  <c r="S425" i="2"/>
  <c r="X417" i="2"/>
  <c r="S417" i="2"/>
  <c r="X406" i="2"/>
  <c r="S406" i="2"/>
  <c r="X357" i="2"/>
  <c r="S357" i="2"/>
  <c r="X353" i="2"/>
  <c r="S353" i="2"/>
  <c r="X345" i="2"/>
  <c r="S345" i="2"/>
  <c r="X278" i="2"/>
  <c r="S278" i="2"/>
  <c r="AJ304" i="2"/>
  <c r="AK304" i="2" s="1"/>
  <c r="Y304" i="2"/>
  <c r="AP220" i="2"/>
  <c r="AK220" i="2"/>
  <c r="X55" i="2"/>
  <c r="S55" i="2"/>
  <c r="X140" i="2"/>
  <c r="S140" i="2"/>
  <c r="AP94" i="2"/>
  <c r="AK94" i="2"/>
  <c r="X61" i="2"/>
  <c r="S61" i="2"/>
  <c r="X35" i="2"/>
  <c r="S35" i="2"/>
  <c r="X108" i="2"/>
  <c r="X394" i="2"/>
  <c r="S394" i="2"/>
  <c r="X390" i="2"/>
  <c r="S390" i="2"/>
  <c r="X450" i="2"/>
  <c r="S450" i="2"/>
  <c r="AP388" i="2"/>
  <c r="AK388" i="2"/>
  <c r="AP165" i="2"/>
  <c r="AK165" i="2"/>
  <c r="BQ173" i="2"/>
  <c r="BI173" i="2"/>
  <c r="BO173" i="2" s="1"/>
  <c r="X267" i="2"/>
  <c r="S267" i="2"/>
  <c r="Y149" i="2"/>
  <c r="AP40" i="2"/>
  <c r="AK40" i="2"/>
  <c r="AQ489" i="2"/>
  <c r="X222" i="2"/>
  <c r="S222" i="2"/>
  <c r="X198" i="2"/>
  <c r="S198" i="2"/>
  <c r="X194" i="2"/>
  <c r="S194" i="2"/>
  <c r="X164" i="2"/>
  <c r="S164" i="2"/>
  <c r="Y397" i="2"/>
  <c r="AK395" i="2"/>
  <c r="Y393" i="2"/>
  <c r="Y360" i="2"/>
  <c r="AQ332" i="2"/>
  <c r="S330" i="2"/>
  <c r="AK330" i="2"/>
  <c r="AJ226" i="2"/>
  <c r="Y226" i="2"/>
  <c r="AQ219" i="2"/>
  <c r="AK217" i="2"/>
  <c r="AK187" i="2"/>
  <c r="S134" i="2"/>
  <c r="S132" i="2"/>
  <c r="Y124" i="2"/>
  <c r="AK120" i="2"/>
  <c r="AQ110" i="2"/>
  <c r="Y106" i="2"/>
  <c r="S94" i="2"/>
  <c r="AK90" i="2"/>
  <c r="S86" i="2"/>
  <c r="AK82" i="2"/>
  <c r="S466" i="2"/>
  <c r="X453" i="2"/>
  <c r="S453" i="2"/>
  <c r="AK346" i="2"/>
  <c r="BF19" i="2"/>
  <c r="BC19" i="2"/>
  <c r="AZ19" i="2"/>
  <c r="AT19" i="2"/>
  <c r="AN19" i="2"/>
  <c r="AE19" i="2"/>
  <c r="AH19" i="2"/>
  <c r="AB19" i="2"/>
  <c r="V19" i="2"/>
  <c r="M19" i="2"/>
  <c r="J19" i="2"/>
  <c r="P19" i="2"/>
  <c r="AK499" i="2"/>
  <c r="AP480" i="2"/>
  <c r="AK480" i="2"/>
  <c r="X460" i="2"/>
  <c r="S460" i="2"/>
  <c r="X432" i="2"/>
  <c r="S432" i="2"/>
  <c r="X424" i="2"/>
  <c r="S424" i="2"/>
  <c r="X405" i="2"/>
  <c r="S405" i="2"/>
  <c r="X413" i="2"/>
  <c r="S413" i="2"/>
  <c r="X352" i="2"/>
  <c r="S352" i="2"/>
  <c r="X344" i="2"/>
  <c r="S344" i="2"/>
  <c r="AJ300" i="2"/>
  <c r="AK300" i="2" s="1"/>
  <c r="Y300" i="2"/>
  <c r="X53" i="2"/>
  <c r="S53" i="2"/>
  <c r="X109" i="2"/>
  <c r="S109" i="2"/>
  <c r="X101" i="2"/>
  <c r="S101" i="2"/>
  <c r="X93" i="2"/>
  <c r="S93" i="2"/>
  <c r="X85" i="2"/>
  <c r="S85" i="2"/>
  <c r="X77" i="2"/>
  <c r="S77" i="2"/>
  <c r="X69" i="2"/>
  <c r="S69" i="2"/>
  <c r="AQ58" i="2"/>
  <c r="X29" i="2"/>
  <c r="S29" i="2"/>
  <c r="AP478" i="2"/>
  <c r="AK478" i="2"/>
  <c r="X416" i="2"/>
  <c r="S416" i="2"/>
  <c r="AJ488" i="2"/>
  <c r="Y488" i="2"/>
  <c r="AJ142" i="2"/>
  <c r="Y142" i="2"/>
  <c r="AP192" i="2"/>
  <c r="AK192" i="2"/>
  <c r="X291" i="2"/>
  <c r="Y291" i="2" s="1"/>
  <c r="S291" i="2"/>
  <c r="X49" i="2"/>
  <c r="S49" i="2"/>
  <c r="X123" i="2"/>
  <c r="S123" i="2"/>
  <c r="BQ154" i="2"/>
  <c r="BI154" i="2"/>
  <c r="BO154" i="2" s="1"/>
  <c r="X54" i="2"/>
  <c r="S54" i="2"/>
  <c r="X486" i="2"/>
  <c r="S486" i="2"/>
  <c r="X408" i="2"/>
  <c r="S408" i="2"/>
  <c r="Y396" i="2"/>
  <c r="X375" i="2"/>
  <c r="S375" i="2"/>
  <c r="AJ210" i="2"/>
  <c r="Y210" i="2"/>
  <c r="X193" i="2"/>
  <c r="S193" i="2"/>
  <c r="AJ189" i="2"/>
  <c r="Y189" i="2"/>
  <c r="X159" i="2"/>
  <c r="S159" i="2"/>
  <c r="BP191" i="2"/>
  <c r="AW191" i="2"/>
  <c r="Y472" i="2"/>
  <c r="AQ470" i="2"/>
  <c r="AK389" i="2"/>
  <c r="AQ385" i="2"/>
  <c r="AQ339" i="2"/>
  <c r="Y332" i="2"/>
  <c r="Y327" i="2"/>
  <c r="S274" i="2"/>
  <c r="S270" i="2"/>
  <c r="Y153" i="2"/>
  <c r="S136" i="2"/>
  <c r="AQ136" i="2"/>
  <c r="AK128" i="2"/>
  <c r="S122" i="2"/>
  <c r="AQ122" i="2"/>
  <c r="AQ104" i="2"/>
  <c r="S78" i="2"/>
  <c r="S70" i="2"/>
  <c r="S62" i="2"/>
  <c r="AK58" i="2"/>
  <c r="Y48" i="2"/>
  <c r="Y42" i="2"/>
  <c r="S40" i="2"/>
  <c r="AK351" i="2"/>
  <c r="AQ335" i="2"/>
  <c r="BF4" i="2"/>
  <c r="BC4" i="2"/>
  <c r="AZ4" i="2"/>
  <c r="AT4" i="2"/>
  <c r="AB4" i="2"/>
  <c r="AN4" i="2"/>
  <c r="AH4" i="2"/>
  <c r="J4" i="2"/>
  <c r="AE4" i="2"/>
  <c r="V4" i="2"/>
  <c r="P4" i="2"/>
  <c r="M4" i="2"/>
  <c r="X471" i="2"/>
  <c r="Y471" i="2" s="1"/>
  <c r="S471" i="2"/>
  <c r="X463" i="2"/>
  <c r="Y463" i="2" s="1"/>
  <c r="S463" i="2"/>
  <c r="X449" i="2"/>
  <c r="S449" i="2"/>
  <c r="X404" i="2"/>
  <c r="S404" i="2"/>
  <c r="X415" i="2"/>
  <c r="S415" i="2"/>
  <c r="X378" i="2"/>
  <c r="S378" i="2"/>
  <c r="X356" i="2"/>
  <c r="S356" i="2"/>
  <c r="X343" i="2"/>
  <c r="S343" i="2"/>
  <c r="X400" i="2"/>
  <c r="S400" i="2"/>
  <c r="AP371" i="2"/>
  <c r="AK371" i="2"/>
  <c r="X253" i="2"/>
  <c r="S253" i="2"/>
  <c r="X245" i="2"/>
  <c r="S245" i="2"/>
  <c r="X237" i="2"/>
  <c r="S237" i="2"/>
  <c r="X333" i="2"/>
  <c r="S333" i="2"/>
  <c r="X329" i="2"/>
  <c r="S329" i="2"/>
  <c r="Y321" i="2"/>
  <c r="AP229" i="2"/>
  <c r="AK229" i="2"/>
  <c r="X211" i="2"/>
  <c r="S211" i="2"/>
  <c r="AP48" i="2"/>
  <c r="AK48" i="2"/>
  <c r="AK216" i="2"/>
  <c r="X139" i="2"/>
  <c r="S139" i="2"/>
  <c r="X135" i="2"/>
  <c r="S135" i="2"/>
  <c r="AJ92" i="2"/>
  <c r="Y92" i="2"/>
  <c r="X84" i="2"/>
  <c r="S84" i="2"/>
  <c r="AJ76" i="2"/>
  <c r="Y76" i="2"/>
  <c r="AJ68" i="2"/>
  <c r="Y68" i="2"/>
  <c r="AJ56" i="2"/>
  <c r="Y56" i="2"/>
  <c r="X215" i="2"/>
  <c r="S215" i="2"/>
  <c r="X403" i="2"/>
  <c r="S403" i="2"/>
  <c r="AP446" i="2"/>
  <c r="AK446" i="2"/>
  <c r="AP368" i="2"/>
  <c r="AK368" i="2"/>
  <c r="AJ147" i="2"/>
  <c r="Y147" i="2"/>
  <c r="AJ143" i="2"/>
  <c r="Y143" i="2"/>
  <c r="X50" i="2"/>
  <c r="S50" i="2"/>
  <c r="X481" i="2"/>
  <c r="S481" i="2"/>
  <c r="X491" i="2"/>
  <c r="S491" i="2"/>
  <c r="X188" i="2"/>
  <c r="S188" i="2"/>
  <c r="AJ185" i="2"/>
  <c r="Y185" i="2"/>
  <c r="BP154" i="2"/>
  <c r="AW154" i="2"/>
  <c r="AQ468" i="2"/>
  <c r="S461" i="2"/>
  <c r="AQ395" i="2"/>
  <c r="AQ389" i="2"/>
  <c r="AQ372" i="2"/>
  <c r="Y339" i="2"/>
  <c r="AK332" i="2"/>
  <c r="AQ330" i="2"/>
  <c r="AQ327" i="2"/>
  <c r="AK221" i="2"/>
  <c r="S217" i="2"/>
  <c r="AQ153" i="2"/>
  <c r="Y134" i="2"/>
  <c r="Y112" i="2"/>
  <c r="Y110" i="2"/>
  <c r="S104" i="2"/>
  <c r="AK102" i="2"/>
  <c r="AQ102" i="2"/>
  <c r="Y94" i="2"/>
  <c r="AK86" i="2"/>
  <c r="Y466" i="2"/>
  <c r="AK358" i="2"/>
  <c r="Y335" i="2"/>
  <c r="Y281" i="2"/>
  <c r="Y190" i="2"/>
  <c r="X183" i="2"/>
  <c r="S183" i="2"/>
  <c r="Y179" i="2"/>
  <c r="S174" i="2"/>
  <c r="S192" i="2"/>
  <c r="S151" i="2"/>
  <c r="Y181" i="2"/>
  <c r="AQ174" i="2"/>
  <c r="AK190" i="2"/>
  <c r="S166" i="2"/>
  <c r="Y174" i="2"/>
  <c r="Y151" i="2"/>
  <c r="AQ190" i="2"/>
  <c r="AJ145" i="2"/>
  <c r="Y145" i="2"/>
  <c r="S368" i="2"/>
  <c r="S203" i="2"/>
  <c r="AQ203" i="2"/>
  <c r="AK158" i="2"/>
  <c r="S392" i="2"/>
  <c r="AK173" i="2"/>
  <c r="S152" i="2"/>
  <c r="X206" i="2"/>
  <c r="S206" i="2"/>
  <c r="S380" i="2"/>
  <c r="Y169" i="2"/>
  <c r="Y203" i="2"/>
  <c r="AQ173" i="2"/>
  <c r="X163" i="2"/>
  <c r="S163" i="2"/>
  <c r="AK203" i="2"/>
  <c r="AQ158" i="2"/>
  <c r="X452" i="2"/>
  <c r="S452" i="2"/>
  <c r="Y158" i="2"/>
  <c r="AK161" i="2"/>
  <c r="S182" i="2"/>
  <c r="S446" i="2"/>
  <c r="Y376" i="2"/>
  <c r="S195" i="2"/>
  <c r="S191" i="2"/>
  <c r="S165" i="2"/>
  <c r="AQ144" i="2"/>
  <c r="AQ161" i="2"/>
  <c r="Y191" i="2"/>
  <c r="Y161" i="2"/>
  <c r="AJ402" i="2"/>
  <c r="AK402" i="2" s="1"/>
  <c r="X373" i="2"/>
  <c r="Y373" i="2" s="1"/>
  <c r="X431" i="2"/>
  <c r="Y431" i="2" s="1"/>
  <c r="X326" i="2"/>
  <c r="Y326" i="2" s="1"/>
  <c r="X492" i="2"/>
  <c r="Y492" i="2" s="1"/>
  <c r="X484" i="2"/>
  <c r="Y484" i="2" s="1"/>
  <c r="X266" i="2"/>
  <c r="Y266" i="2" s="1"/>
  <c r="X496" i="2"/>
  <c r="Y496" i="2" s="1"/>
  <c r="X256" i="2"/>
  <c r="Y256" i="2" s="1"/>
  <c r="X248" i="2"/>
  <c r="Y248" i="2" s="1"/>
  <c r="X240" i="2"/>
  <c r="Y240" i="2" s="1"/>
  <c r="X370" i="2"/>
  <c r="Y370" i="2" s="1"/>
  <c r="X348" i="2"/>
  <c r="Y348" i="2" s="1"/>
  <c r="X423" i="2"/>
  <c r="Y423" i="2" s="1"/>
  <c r="X494" i="2"/>
  <c r="Y494" i="2" s="1"/>
  <c r="AJ497" i="2"/>
  <c r="AK497" i="2" s="1"/>
  <c r="X493" i="2"/>
  <c r="Y493" i="2" s="1"/>
  <c r="X469" i="2"/>
  <c r="Y469" i="2" s="1"/>
  <c r="X467" i="2"/>
  <c r="Y467" i="2" s="1"/>
  <c r="X465" i="2"/>
  <c r="Y465" i="2" s="1"/>
  <c r="AJ314" i="2"/>
  <c r="AK314" i="2" s="1"/>
  <c r="AJ294" i="2"/>
  <c r="AK294" i="2" s="1"/>
  <c r="X438" i="2"/>
  <c r="Y438" i="2" s="1"/>
  <c r="AV358" i="2"/>
  <c r="AW358" i="2" s="1"/>
  <c r="X255" i="2"/>
  <c r="Y255" i="2" s="1"/>
  <c r="X247" i="2"/>
  <c r="Y247" i="2" s="1"/>
  <c r="X239" i="2"/>
  <c r="Y239" i="2" s="1"/>
  <c r="CX328" i="2"/>
  <c r="DL328" i="2" s="1"/>
  <c r="DL322" i="2"/>
  <c r="CU322" i="2"/>
  <c r="AV472" i="2"/>
  <c r="AW472" i="2" s="1"/>
  <c r="X457" i="2"/>
  <c r="Y457" i="2" s="1"/>
  <c r="AJ439" i="2"/>
  <c r="AK439" i="2" s="1"/>
  <c r="AV346" i="2"/>
  <c r="AW346" i="2" s="1"/>
  <c r="X366" i="2"/>
  <c r="Y366" i="2" s="1"/>
  <c r="AJ285" i="2"/>
  <c r="AK285" i="2" s="1"/>
  <c r="X259" i="2"/>
  <c r="Y259" i="2" s="1"/>
  <c r="X254" i="2"/>
  <c r="Y254" i="2" s="1"/>
  <c r="X246" i="2"/>
  <c r="Y246" i="2" s="1"/>
  <c r="X238" i="2"/>
  <c r="Y238" i="2" s="1"/>
  <c r="AJ282" i="2"/>
  <c r="AK282" i="2" s="1"/>
  <c r="AJ310" i="2"/>
  <c r="AK310" i="2" s="1"/>
  <c r="AJ301" i="2"/>
  <c r="AK301" i="2" s="1"/>
  <c r="X365" i="2"/>
  <c r="Y365" i="2" s="1"/>
  <c r="X350" i="2"/>
  <c r="Y350" i="2" s="1"/>
  <c r="AV367" i="2"/>
  <c r="AW367" i="2" s="1"/>
  <c r="AV339" i="2"/>
  <c r="AW339" i="2" s="1"/>
  <c r="AV270" i="2"/>
  <c r="AW270" i="2" s="1"/>
  <c r="X280" i="2"/>
  <c r="Y280" i="2" s="1"/>
  <c r="X276" i="2"/>
  <c r="Y276" i="2" s="1"/>
  <c r="AJ297" i="2"/>
  <c r="AK297" i="2" s="1"/>
  <c r="DL323" i="2"/>
  <c r="DA323" i="2"/>
  <c r="CW323" i="2"/>
  <c r="CU323" i="2"/>
  <c r="AV470" i="2"/>
  <c r="AW470" i="2" s="1"/>
  <c r="AV468" i="2"/>
  <c r="AW468" i="2" s="1"/>
  <c r="AV466" i="2"/>
  <c r="AW466" i="2" s="1"/>
  <c r="CX449" i="2"/>
  <c r="DL449" i="2" s="1"/>
  <c r="AJ284" i="2"/>
  <c r="AK284" i="2" s="1"/>
  <c r="AJ293" i="2"/>
  <c r="AK293" i="2" s="1"/>
  <c r="X483" i="2"/>
  <c r="Y483" i="2" s="1"/>
  <c r="X456" i="2"/>
  <c r="Y456" i="2" s="1"/>
  <c r="AJ440" i="2"/>
  <c r="AK440" i="2" s="1"/>
  <c r="AV360" i="2"/>
  <c r="AW360" i="2" s="1"/>
  <c r="AV351" i="2"/>
  <c r="AW351" i="2" s="1"/>
  <c r="AV327" i="2"/>
  <c r="AW327" i="2" s="1"/>
  <c r="AV325" i="2"/>
  <c r="AW325" i="2" s="1"/>
  <c r="X251" i="2"/>
  <c r="Y251" i="2" s="1"/>
  <c r="X243" i="2"/>
  <c r="Y243" i="2" s="1"/>
  <c r="X235" i="2"/>
  <c r="Y235" i="2" s="1"/>
  <c r="AP274" i="2"/>
  <c r="AJ286" i="2"/>
  <c r="AK286" i="2" s="1"/>
  <c r="X272" i="2"/>
  <c r="Y272" i="2" s="1"/>
  <c r="AJ313" i="2"/>
  <c r="AK313" i="2" s="1"/>
  <c r="X495" i="2"/>
  <c r="Y495" i="2" s="1"/>
  <c r="AP461" i="2"/>
  <c r="AJ362" i="2"/>
  <c r="AK362" i="2" s="1"/>
  <c r="AJ361" i="2"/>
  <c r="AK361" i="2" s="1"/>
  <c r="AJ283" i="2"/>
  <c r="AK283" i="2" s="1"/>
  <c r="X258" i="2"/>
  <c r="Y258" i="2" s="1"/>
  <c r="X250" i="2"/>
  <c r="Y250" i="2" s="1"/>
  <c r="X242" i="2"/>
  <c r="Y242" i="2" s="1"/>
  <c r="X234" i="2"/>
  <c r="Y234" i="2" s="1"/>
  <c r="AJ298" i="2"/>
  <c r="AK298" i="2" s="1"/>
  <c r="AJ317" i="2"/>
  <c r="AK317" i="2" s="1"/>
  <c r="AJ289" i="2"/>
  <c r="AK289" i="2" s="1"/>
  <c r="X451" i="2"/>
  <c r="Y451" i="2" s="1"/>
  <c r="AV330" i="2"/>
  <c r="AW330" i="2" s="1"/>
  <c r="X337" i="2"/>
  <c r="Y337" i="2" s="1"/>
  <c r="X257" i="2"/>
  <c r="Y257" i="2" s="1"/>
  <c r="X249" i="2"/>
  <c r="Y249" i="2" s="1"/>
  <c r="X241" i="2"/>
  <c r="Y241" i="2" s="1"/>
  <c r="AV332" i="2"/>
  <c r="AW332" i="2" s="1"/>
  <c r="AJ306" i="2"/>
  <c r="AK306" i="2" s="1"/>
  <c r="X260" i="2"/>
  <c r="Y260" i="2" s="1"/>
  <c r="AJ290" i="2"/>
  <c r="AK290" i="2" s="1"/>
  <c r="X268" i="2"/>
  <c r="Y268" i="2" s="1"/>
  <c r="AJ309" i="2"/>
  <c r="AK309" i="2" s="1"/>
  <c r="AJ316" i="2"/>
  <c r="AK316" i="2" s="1"/>
  <c r="AJ308" i="2"/>
  <c r="AK308" i="2" s="1"/>
  <c r="X207" i="2"/>
  <c r="Y207" i="2" s="1"/>
  <c r="AV219" i="2"/>
  <c r="AW219" i="2" s="1"/>
  <c r="X133" i="2"/>
  <c r="Y133" i="2" s="1"/>
  <c r="AJ303" i="2"/>
  <c r="AK303" i="2" s="1"/>
  <c r="CW78" i="2"/>
  <c r="DG78" i="2"/>
  <c r="CQ62" i="2"/>
  <c r="AJ118" i="2"/>
  <c r="AK118" i="2" s="1"/>
  <c r="AJ117" i="2"/>
  <c r="AK117" i="2" s="1"/>
  <c r="DI78" i="2"/>
  <c r="DG104" i="2"/>
  <c r="X476" i="2"/>
  <c r="Y476" i="2" s="1"/>
  <c r="CX316" i="2"/>
  <c r="DL316" i="2" s="1"/>
  <c r="DB316" i="2" s="1"/>
  <c r="DC316" i="2" s="1"/>
  <c r="CX456" i="2"/>
  <c r="CX479" i="2"/>
  <c r="AJ263" i="2"/>
  <c r="AK263" i="2" s="1"/>
  <c r="AV393" i="2"/>
  <c r="AW393" i="2" s="1"/>
  <c r="CX319" i="2"/>
  <c r="DL319" i="2" s="1"/>
  <c r="DB319" i="2" s="1"/>
  <c r="DC319" i="2" s="1"/>
  <c r="CX212" i="2"/>
  <c r="AJ318" i="2"/>
  <c r="AK318" i="2" s="1"/>
  <c r="X264" i="2"/>
  <c r="Y264" i="2" s="1"/>
  <c r="AJ305" i="2"/>
  <c r="AK305" i="2" s="1"/>
  <c r="AV217" i="2"/>
  <c r="AW217" i="2" s="1"/>
  <c r="AV229" i="2"/>
  <c r="AW229" i="2" s="1"/>
  <c r="AJ319" i="2"/>
  <c r="AK319" i="2" s="1"/>
  <c r="X113" i="2"/>
  <c r="Y113" i="2" s="1"/>
  <c r="AJ299" i="2"/>
  <c r="AK299" i="2" s="1"/>
  <c r="CE78" i="2"/>
  <c r="DK78" i="2"/>
  <c r="CU62" i="2"/>
  <c r="CC78" i="2"/>
  <c r="CC62" i="2"/>
  <c r="DA78" i="2"/>
  <c r="DK104" i="2"/>
  <c r="AJ288" i="2"/>
  <c r="AK288" i="2" s="1"/>
  <c r="AV232" i="2"/>
  <c r="AW232" i="2" s="1"/>
  <c r="AP208" i="2"/>
  <c r="AJ315" i="2"/>
  <c r="AK315" i="2" s="1"/>
  <c r="AV106" i="2"/>
  <c r="AW106" i="2" s="1"/>
  <c r="AV90" i="2"/>
  <c r="AW90" i="2" s="1"/>
  <c r="AV82" i="2"/>
  <c r="AW82" i="2" s="1"/>
  <c r="AJ287" i="2"/>
  <c r="AK287" i="2" s="1"/>
  <c r="AJ114" i="2"/>
  <c r="AK114" i="2" s="1"/>
  <c r="CS78" i="2"/>
  <c r="DA62" i="2"/>
  <c r="AV397" i="2"/>
  <c r="AW397" i="2" s="1"/>
  <c r="AJ312" i="2"/>
  <c r="AK312" i="2" s="1"/>
  <c r="AJ295" i="2"/>
  <c r="AK295" i="2" s="1"/>
  <c r="AV221" i="2"/>
  <c r="AW221" i="2" s="1"/>
  <c r="AV112" i="2"/>
  <c r="AW112" i="2" s="1"/>
  <c r="CG78" i="2"/>
  <c r="CX400" i="2"/>
  <c r="DL400" i="2" s="1"/>
  <c r="AJ273" i="2"/>
  <c r="AK273" i="2" s="1"/>
  <c r="AV214" i="2"/>
  <c r="AW214" i="2" s="1"/>
  <c r="AV42" i="2"/>
  <c r="AW42" i="2" s="1"/>
  <c r="AV136" i="2"/>
  <c r="AW136" i="2" s="1"/>
  <c r="AV134" i="2"/>
  <c r="AW134" i="2" s="1"/>
  <c r="AV104" i="2"/>
  <c r="AW104" i="2" s="1"/>
  <c r="AJ323" i="2"/>
  <c r="AK323" i="2" s="1"/>
  <c r="AV478" i="2"/>
  <c r="AW478" i="2" s="1"/>
  <c r="BP383" i="2"/>
  <c r="AJ126" i="2"/>
  <c r="AK126" i="2" s="1"/>
  <c r="AJ125" i="2"/>
  <c r="AK125" i="2" s="1"/>
  <c r="BH376" i="2"/>
  <c r="BI376" i="2" s="1"/>
  <c r="BP376" i="2"/>
  <c r="CX438" i="2"/>
  <c r="DL438" i="2" s="1"/>
  <c r="AJ132" i="2"/>
  <c r="AK132" i="2" s="1"/>
  <c r="AV110" i="2"/>
  <c r="AW110" i="2" s="1"/>
  <c r="AV102" i="2"/>
  <c r="AW102" i="2" s="1"/>
  <c r="AV94" i="2"/>
  <c r="AW94" i="2" s="1"/>
  <c r="AV86" i="2"/>
  <c r="AW86" i="2" s="1"/>
  <c r="AV78" i="2"/>
  <c r="AW78" i="2" s="1"/>
  <c r="AV70" i="2"/>
  <c r="AW70" i="2" s="1"/>
  <c r="AJ475" i="2"/>
  <c r="AK475" i="2" s="1"/>
  <c r="AP487" i="2"/>
  <c r="AJ296" i="2"/>
  <c r="AK296" i="2" s="1"/>
  <c r="AJ322" i="2"/>
  <c r="AK322" i="2" s="1"/>
  <c r="AV58" i="2"/>
  <c r="AW58" i="2" s="1"/>
  <c r="AV387" i="2"/>
  <c r="AW387" i="2" s="1"/>
  <c r="CX413" i="2"/>
  <c r="CG413" i="2" s="1"/>
  <c r="CX295" i="2"/>
  <c r="CQ295" i="2" s="1"/>
  <c r="CX222" i="2"/>
  <c r="CX307" i="2"/>
  <c r="DG307" i="2" s="1"/>
  <c r="AV165" i="2"/>
  <c r="AW165" i="2" s="1"/>
  <c r="AV182" i="2"/>
  <c r="AW182" i="2" s="1"/>
  <c r="AV372" i="2"/>
  <c r="AW372" i="2" s="1"/>
  <c r="AV395" i="2"/>
  <c r="AW395" i="2" s="1"/>
  <c r="CX300" i="2"/>
  <c r="DL300" i="2" s="1"/>
  <c r="AV172" i="2"/>
  <c r="AW172" i="2" s="1"/>
  <c r="AV128" i="2"/>
  <c r="AW128" i="2" s="1"/>
  <c r="AP281" i="2"/>
  <c r="CX51" i="2"/>
  <c r="DL51" i="2" s="1"/>
  <c r="DB51" i="2" s="1"/>
  <c r="DC51" i="2" s="1"/>
  <c r="AV187" i="2"/>
  <c r="AW187" i="2" s="1"/>
  <c r="AV389" i="2"/>
  <c r="AW389" i="2" s="1"/>
  <c r="BH203" i="2"/>
  <c r="BI203" i="2" s="1"/>
  <c r="BP203" i="2"/>
  <c r="BH160" i="2"/>
  <c r="BI160" i="2" s="1"/>
  <c r="BP160" i="2"/>
  <c r="CX294" i="2"/>
  <c r="CU294" i="2" s="1"/>
  <c r="CX138" i="2"/>
  <c r="DL138" i="2" s="1"/>
  <c r="AV153" i="2"/>
  <c r="AW153" i="2" s="1"/>
  <c r="AV120" i="2"/>
  <c r="AW120" i="2" s="1"/>
  <c r="CX38" i="2"/>
  <c r="DL38" i="2" s="1"/>
  <c r="DB38" i="2" s="1"/>
  <c r="CX77" i="2"/>
  <c r="DI77" i="2" s="1"/>
  <c r="CX90" i="2"/>
  <c r="DL90" i="2" s="1"/>
  <c r="DB90" i="2" s="1"/>
  <c r="AV474" i="2"/>
  <c r="AW474" i="2" s="1"/>
  <c r="BH445" i="2"/>
  <c r="BI445" i="2" s="1"/>
  <c r="BP445" i="2"/>
  <c r="AV384" i="2"/>
  <c r="AW384" i="2" s="1"/>
  <c r="BH381" i="2"/>
  <c r="BI381" i="2" s="1"/>
  <c r="BP381" i="2"/>
  <c r="BH391" i="2"/>
  <c r="BI391" i="2" s="1"/>
  <c r="BP391" i="2"/>
  <c r="AJ277" i="2"/>
  <c r="AK277" i="2" s="1"/>
  <c r="AJ265" i="2"/>
  <c r="AK265" i="2" s="1"/>
  <c r="AV181" i="2"/>
  <c r="AW181" i="2" s="1"/>
  <c r="CX57" i="2"/>
  <c r="DL57" i="2" s="1"/>
  <c r="CX31" i="2"/>
  <c r="CM31" i="2" s="1"/>
  <c r="AV176" i="2"/>
  <c r="AW176" i="2" s="1"/>
  <c r="AV177" i="2"/>
  <c r="AW177" i="2" s="1"/>
  <c r="BH174" i="2"/>
  <c r="BI174" i="2" s="1"/>
  <c r="BP174" i="2"/>
  <c r="CX317" i="2"/>
  <c r="CK317" i="2" s="1"/>
  <c r="CX248" i="2"/>
  <c r="AV166" i="2"/>
  <c r="AW166" i="2" s="1"/>
  <c r="AJ116" i="2"/>
  <c r="AK116" i="2" s="1"/>
  <c r="AV122" i="2"/>
  <c r="AW122" i="2" s="1"/>
  <c r="CX45" i="2"/>
  <c r="DL45" i="2" s="1"/>
  <c r="AV40" i="2"/>
  <c r="AW40" i="2" s="1"/>
  <c r="AJ115" i="2"/>
  <c r="AK115" i="2" s="1"/>
  <c r="AV179" i="2"/>
  <c r="AW179" i="2" s="1"/>
  <c r="AV489" i="2"/>
  <c r="AW489" i="2" s="1"/>
  <c r="BH169" i="2"/>
  <c r="BI169" i="2" s="1"/>
  <c r="BP169" i="2"/>
  <c r="BH158" i="2"/>
  <c r="BI158" i="2" s="1"/>
  <c r="BP158" i="2"/>
  <c r="AV192" i="2"/>
  <c r="AW192" i="2" s="1"/>
  <c r="CX293" i="2"/>
  <c r="DL293" i="2" s="1"/>
  <c r="AV151" i="2"/>
  <c r="AW151" i="2" s="1"/>
  <c r="CX306" i="2"/>
  <c r="CE306" i="2" s="1"/>
  <c r="CX69" i="2"/>
  <c r="DL69" i="2" s="1"/>
  <c r="DB69" i="2" s="1"/>
  <c r="DC69" i="2" s="1"/>
  <c r="BH161" i="2"/>
  <c r="BI161" i="2" s="1"/>
  <c r="BP161" i="2"/>
  <c r="BH190" i="2"/>
  <c r="BI190" i="2" s="1"/>
  <c r="BP190" i="2"/>
  <c r="CT4" i="2"/>
  <c r="DL418" i="2"/>
  <c r="DB418" i="2" s="1"/>
  <c r="DC418" i="2" s="1"/>
  <c r="DG418" i="2"/>
  <c r="CY418" i="2"/>
  <c r="CU418" i="2"/>
  <c r="CQ418" i="2"/>
  <c r="CM418" i="2"/>
  <c r="CI418" i="2"/>
  <c r="CE418" i="2"/>
  <c r="DM418" i="2"/>
  <c r="CW418" i="2"/>
  <c r="DE418" i="2"/>
  <c r="CC418" i="2"/>
  <c r="DK418" i="2"/>
  <c r="CI301" i="2"/>
  <c r="DL301" i="2"/>
  <c r="DB301" i="2" s="1"/>
  <c r="DI301" i="2"/>
  <c r="DE301" i="2"/>
  <c r="DA301" i="2"/>
  <c r="CW301" i="2"/>
  <c r="CS301" i="2"/>
  <c r="DK301" i="2"/>
  <c r="CO301" i="2"/>
  <c r="CK301" i="2"/>
  <c r="CG301" i="2"/>
  <c r="CC301" i="2"/>
  <c r="DC301" i="2"/>
  <c r="CU301" i="2"/>
  <c r="DG301" i="2"/>
  <c r="CM301" i="2"/>
  <c r="CY301" i="2"/>
  <c r="CQ301" i="2"/>
  <c r="CE301" i="2"/>
  <c r="DL317" i="2"/>
  <c r="DB317" i="2" s="1"/>
  <c r="DG317" i="2"/>
  <c r="CE317" i="2"/>
  <c r="CG124" i="2"/>
  <c r="DL124" i="2"/>
  <c r="DB124" i="2" s="1"/>
  <c r="DC124" i="2" s="1"/>
  <c r="CU124" i="2"/>
  <c r="CQ124" i="2"/>
  <c r="CM124" i="2"/>
  <c r="CI124" i="2"/>
  <c r="CE124" i="2"/>
  <c r="DE124" i="2"/>
  <c r="CS124" i="2"/>
  <c r="DA124" i="2"/>
  <c r="CO124" i="2"/>
  <c r="CC124" i="2"/>
  <c r="DI124" i="2"/>
  <c r="CK124" i="2"/>
  <c r="DG124" i="2"/>
  <c r="CY124" i="2"/>
  <c r="DG294" i="2"/>
  <c r="DL287" i="2"/>
  <c r="DB287" i="2" s="1"/>
  <c r="DC287" i="2" s="1"/>
  <c r="DI287" i="2"/>
  <c r="DE287" i="2"/>
  <c r="DA287" i="2"/>
  <c r="CW287" i="2"/>
  <c r="CS287" i="2"/>
  <c r="CO287" i="2"/>
  <c r="CK287" i="2"/>
  <c r="CG287" i="2"/>
  <c r="CC287" i="2"/>
  <c r="CU287" i="2"/>
  <c r="DG287" i="2"/>
  <c r="CM287" i="2"/>
  <c r="CY287" i="2"/>
  <c r="CQ287" i="2"/>
  <c r="CE287" i="2"/>
  <c r="CI287" i="2"/>
  <c r="DK287" i="2"/>
  <c r="DI98" i="2"/>
  <c r="DL98" i="2"/>
  <c r="DB98" i="2" s="1"/>
  <c r="DC98" i="2" s="1"/>
  <c r="DK98" i="2"/>
  <c r="DG98" i="2"/>
  <c r="CU98" i="2"/>
  <c r="CC98" i="2"/>
  <c r="CQ98" i="2"/>
  <c r="CM98" i="2"/>
  <c r="CI98" i="2"/>
  <c r="CE98" i="2"/>
  <c r="CW98" i="2"/>
  <c r="DE98" i="2"/>
  <c r="CG98" i="2"/>
  <c r="CS98" i="2"/>
  <c r="DA98" i="2"/>
  <c r="CC90" i="2"/>
  <c r="DK100" i="2"/>
  <c r="DL100" i="2"/>
  <c r="DB100" i="2" s="1"/>
  <c r="DC100" i="2" s="1"/>
  <c r="CU100" i="2"/>
  <c r="DI100" i="2"/>
  <c r="DI285" i="2"/>
  <c r="CC285" i="2"/>
  <c r="DL70" i="2"/>
  <c r="DM70" i="2" s="1"/>
  <c r="CQ70" i="2"/>
  <c r="CE70" i="2"/>
  <c r="DA70" i="2"/>
  <c r="DL237" i="2"/>
  <c r="DB237" i="2" s="1"/>
  <c r="DC237" i="2" s="1"/>
  <c r="CE237" i="2"/>
  <c r="DI237" i="2"/>
  <c r="DE237" i="2"/>
  <c r="DA237" i="2"/>
  <c r="CW237" i="2"/>
  <c r="CS237" i="2"/>
  <c r="CO237" i="2"/>
  <c r="CK237" i="2"/>
  <c r="CG237" i="2"/>
  <c r="CC237" i="2"/>
  <c r="DK237" i="2"/>
  <c r="DG237" i="2"/>
  <c r="CY237" i="2"/>
  <c r="CU237" i="2"/>
  <c r="CQ237" i="2"/>
  <c r="CM237" i="2"/>
  <c r="CI237" i="2"/>
  <c r="CU430" i="2"/>
  <c r="CC430" i="2"/>
  <c r="DL251" i="2"/>
  <c r="DB251" i="2" s="1"/>
  <c r="DC251" i="2" s="1"/>
  <c r="CC251" i="2"/>
  <c r="DK251" i="2"/>
  <c r="DG251" i="2"/>
  <c r="CY251" i="2"/>
  <c r="CU251" i="2"/>
  <c r="CQ251" i="2"/>
  <c r="CM251" i="2"/>
  <c r="CI251" i="2"/>
  <c r="CE251" i="2"/>
  <c r="DI251" i="2"/>
  <c r="DE251" i="2"/>
  <c r="DA251" i="2"/>
  <c r="CW251" i="2"/>
  <c r="CS251" i="2"/>
  <c r="CO251" i="2"/>
  <c r="CK251" i="2"/>
  <c r="CG251" i="2"/>
  <c r="DL267" i="2"/>
  <c r="DB267" i="2" s="1"/>
  <c r="DI267" i="2"/>
  <c r="DE267" i="2"/>
  <c r="DA267" i="2"/>
  <c r="CW267" i="2"/>
  <c r="CS267" i="2"/>
  <c r="CO267" i="2"/>
  <c r="CK267" i="2"/>
  <c r="CG267" i="2"/>
  <c r="CC267" i="2"/>
  <c r="DK267" i="2"/>
  <c r="CU267" i="2"/>
  <c r="CE267" i="2"/>
  <c r="CY267" i="2"/>
  <c r="CI267" i="2"/>
  <c r="DC267" i="2"/>
  <c r="CM267" i="2"/>
  <c r="DG267" i="2"/>
  <c r="CQ267" i="2"/>
  <c r="CW66" i="2"/>
  <c r="DL66" i="2"/>
  <c r="DB66" i="2" s="1"/>
  <c r="DC66" i="2" s="1"/>
  <c r="CU66" i="2"/>
  <c r="CQ66" i="2"/>
  <c r="CY66" i="2"/>
  <c r="CM66" i="2"/>
  <c r="CI66" i="2"/>
  <c r="CE66" i="2"/>
  <c r="DK66" i="2"/>
  <c r="DG66" i="2"/>
  <c r="CY318" i="2"/>
  <c r="CG318" i="2"/>
  <c r="DE413" i="2"/>
  <c r="CO413" i="2"/>
  <c r="CS413" i="2"/>
  <c r="DG413" i="2"/>
  <c r="CM413" i="2"/>
  <c r="CI466" i="2"/>
  <c r="CC315" i="2"/>
  <c r="CK225" i="2"/>
  <c r="CK245" i="2"/>
  <c r="DK254" i="2"/>
  <c r="DG270" i="2"/>
  <c r="CY140" i="2"/>
  <c r="DA116" i="2"/>
  <c r="DA103" i="2"/>
  <c r="CI233" i="2"/>
  <c r="CU140" i="2"/>
  <c r="CM466" i="2"/>
  <c r="DK305" i="2"/>
  <c r="CG315" i="2"/>
  <c r="CO225" i="2"/>
  <c r="CX183" i="2"/>
  <c r="DL183" i="2" s="1"/>
  <c r="DG140" i="2"/>
  <c r="CM233" i="2"/>
  <c r="DL376" i="2"/>
  <c r="CK315" i="2"/>
  <c r="CS225" i="2"/>
  <c r="DK140" i="2"/>
  <c r="CI309" i="2"/>
  <c r="DL309" i="2"/>
  <c r="DB309" i="2" s="1"/>
  <c r="CW128" i="2"/>
  <c r="DL128" i="2"/>
  <c r="DB128" i="2" s="1"/>
  <c r="DC128" i="2" s="1"/>
  <c r="CM282" i="2"/>
  <c r="DL282" i="2"/>
  <c r="DB282" i="2" s="1"/>
  <c r="DC282" i="2" s="1"/>
  <c r="CG440" i="2"/>
  <c r="DL440" i="2"/>
  <c r="DL253" i="2"/>
  <c r="DB253" i="2" s="1"/>
  <c r="DC253" i="2" s="1"/>
  <c r="CU466" i="2"/>
  <c r="CQ309" i="2"/>
  <c r="CO315" i="2"/>
  <c r="CW225" i="2"/>
  <c r="CY282" i="2"/>
  <c r="CM278" i="2"/>
  <c r="DL278" i="2"/>
  <c r="DB278" i="2" s="1"/>
  <c r="DC278" i="2" s="1"/>
  <c r="CQ466" i="2"/>
  <c r="CY466" i="2"/>
  <c r="CS315" i="2"/>
  <c r="DA225" i="2"/>
  <c r="CI120" i="2"/>
  <c r="DL120" i="2"/>
  <c r="DB120" i="2" s="1"/>
  <c r="DC120" i="2" s="1"/>
  <c r="CC262" i="2"/>
  <c r="DL262" i="2"/>
  <c r="DB262" i="2" s="1"/>
  <c r="DC262" i="2" s="1"/>
  <c r="DC466" i="2"/>
  <c r="CW315" i="2"/>
  <c r="DE225" i="2"/>
  <c r="CU282" i="2"/>
  <c r="CG116" i="2"/>
  <c r="DL116" i="2"/>
  <c r="DB116" i="2" s="1"/>
  <c r="DI233" i="2"/>
  <c r="DL233" i="2"/>
  <c r="DB233" i="2" s="1"/>
  <c r="DC233" i="2" s="1"/>
  <c r="DG466" i="2"/>
  <c r="DC302" i="2"/>
  <c r="DG309" i="2"/>
  <c r="CX273" i="2"/>
  <c r="DL273" i="2" s="1"/>
  <c r="DA315" i="2"/>
  <c r="DI225" i="2"/>
  <c r="DK245" i="2"/>
  <c r="CX148" i="2"/>
  <c r="DL148" i="2" s="1"/>
  <c r="DK282" i="2"/>
  <c r="CS270" i="2"/>
  <c r="DE128" i="2"/>
  <c r="CK116" i="2"/>
  <c r="CI103" i="2"/>
  <c r="DE35" i="2"/>
  <c r="DE65" i="2"/>
  <c r="DA112" i="2"/>
  <c r="DG233" i="2"/>
  <c r="CM104" i="2"/>
  <c r="CG230" i="2"/>
  <c r="DL230" i="2"/>
  <c r="CO58" i="2"/>
  <c r="DL58" i="2"/>
  <c r="DK466" i="2"/>
  <c r="CU309" i="2"/>
  <c r="DE315" i="2"/>
  <c r="CC234" i="2"/>
  <c r="DM225" i="2"/>
  <c r="CX189" i="2"/>
  <c r="CQ282" i="2"/>
  <c r="CW270" i="2"/>
  <c r="CG140" i="2"/>
  <c r="CM128" i="2"/>
  <c r="CW116" i="2"/>
  <c r="DK233" i="2"/>
  <c r="DL82" i="2"/>
  <c r="CX30" i="2"/>
  <c r="DL30" i="2" s="1"/>
  <c r="DB30" i="2" s="1"/>
  <c r="DC309" i="2"/>
  <c r="DI315" i="2"/>
  <c r="CE225" i="2"/>
  <c r="CC243" i="2"/>
  <c r="DG282" i="2"/>
  <c r="CW140" i="2"/>
  <c r="CQ128" i="2"/>
  <c r="CS116" i="2"/>
  <c r="CE74" i="2"/>
  <c r="DL74" i="2"/>
  <c r="DB74" i="2" s="1"/>
  <c r="DC74" i="2" s="1"/>
  <c r="CG107" i="2"/>
  <c r="DL107" i="2"/>
  <c r="DB107" i="2" s="1"/>
  <c r="DC107" i="2" s="1"/>
  <c r="DL73" i="2"/>
  <c r="DM73" i="2" s="1"/>
  <c r="CQ300" i="2"/>
  <c r="DM315" i="2"/>
  <c r="CK234" i="2"/>
  <c r="CI225" i="2"/>
  <c r="CG243" i="2"/>
  <c r="DE270" i="2"/>
  <c r="DE116" i="2"/>
  <c r="DL297" i="2"/>
  <c r="CC104" i="2"/>
  <c r="DL104" i="2"/>
  <c r="DB104" i="2" s="1"/>
  <c r="DC104" i="2" s="1"/>
  <c r="DI62" i="2"/>
  <c r="DL62" i="2"/>
  <c r="DM62" i="2" s="1"/>
  <c r="CQ422" i="2"/>
  <c r="DL422" i="2"/>
  <c r="CK466" i="2"/>
  <c r="CY440" i="2"/>
  <c r="DK309" i="2"/>
  <c r="CW302" i="2"/>
  <c r="CC309" i="2"/>
  <c r="DK315" i="2"/>
  <c r="CG278" i="2"/>
  <c r="CO234" i="2"/>
  <c r="CM225" i="2"/>
  <c r="CG259" i="2"/>
  <c r="CM253" i="2"/>
  <c r="CK243" i="2"/>
  <c r="CC282" i="2"/>
  <c r="DI270" i="2"/>
  <c r="CK140" i="2"/>
  <c r="CE116" i="2"/>
  <c r="CQ107" i="2"/>
  <c r="CY103" i="2"/>
  <c r="CQ82" i="2"/>
  <c r="CE62" i="2"/>
  <c r="CM112" i="2"/>
  <c r="DK428" i="2"/>
  <c r="DL428" i="2"/>
  <c r="DB428" i="2" s="1"/>
  <c r="DC428" i="2" s="1"/>
  <c r="CG86" i="2"/>
  <c r="DL86" i="2"/>
  <c r="DB86" i="2" s="1"/>
  <c r="DC86" i="2" s="1"/>
  <c r="DI365" i="2"/>
  <c r="DL365" i="2"/>
  <c r="DM365" i="2" s="1"/>
  <c r="DI81" i="2"/>
  <c r="DL81" i="2"/>
  <c r="DA466" i="2"/>
  <c r="CX387" i="2"/>
  <c r="DL387" i="2" s="1"/>
  <c r="CG309" i="2"/>
  <c r="CI315" i="2"/>
  <c r="CI295" i="2"/>
  <c r="CG291" i="2"/>
  <c r="CK278" i="2"/>
  <c r="CS234" i="2"/>
  <c r="CQ225" i="2"/>
  <c r="CI209" i="2"/>
  <c r="CK263" i="2"/>
  <c r="CK259" i="2"/>
  <c r="CI255" i="2"/>
  <c r="CQ249" i="2"/>
  <c r="CW243" i="2"/>
  <c r="CW235" i="2"/>
  <c r="CX193" i="2"/>
  <c r="DL193" i="2" s="1"/>
  <c r="DB193" i="2" s="1"/>
  <c r="DC193" i="2" s="1"/>
  <c r="CX173" i="2"/>
  <c r="DL173" i="2" s="1"/>
  <c r="CG282" i="2"/>
  <c r="CO242" i="2"/>
  <c r="DM270" i="2"/>
  <c r="CS140" i="2"/>
  <c r="CI116" i="2"/>
  <c r="CU107" i="2"/>
  <c r="CU82" i="2"/>
  <c r="CI62" i="2"/>
  <c r="DG28" i="2"/>
  <c r="CQ112" i="2"/>
  <c r="CC233" i="2"/>
  <c r="DE104" i="2"/>
  <c r="DA94" i="2"/>
  <c r="CG275" i="2"/>
  <c r="DL275" i="2"/>
  <c r="DB275" i="2" s="1"/>
  <c r="DC275" i="2" s="1"/>
  <c r="DA41" i="2"/>
  <c r="DL41" i="2"/>
  <c r="DG440" i="2"/>
  <c r="CQ306" i="2"/>
  <c r="CK309" i="2"/>
  <c r="CE315" i="2"/>
  <c r="CK291" i="2"/>
  <c r="CO278" i="2"/>
  <c r="DE234" i="2"/>
  <c r="CU225" i="2"/>
  <c r="CM209" i="2"/>
  <c r="CO263" i="2"/>
  <c r="CO259" i="2"/>
  <c r="CM255" i="2"/>
  <c r="CU253" i="2"/>
  <c r="CU249" i="2"/>
  <c r="DA243" i="2"/>
  <c r="DA235" i="2"/>
  <c r="CX194" i="2"/>
  <c r="DL194" i="2" s="1"/>
  <c r="CK282" i="2"/>
  <c r="CS242" i="2"/>
  <c r="DI140" i="2"/>
  <c r="CM116" i="2"/>
  <c r="CY107" i="2"/>
  <c r="CY82" i="2"/>
  <c r="CM62" i="2"/>
  <c r="CU112" i="2"/>
  <c r="CG233" i="2"/>
  <c r="CW104" i="2"/>
  <c r="CS94" i="2"/>
  <c r="CX476" i="2"/>
  <c r="DL476" i="2" s="1"/>
  <c r="CG466" i="2"/>
  <c r="CO309" i="2"/>
  <c r="CQ315" i="2"/>
  <c r="DI234" i="2"/>
  <c r="CY225" i="2"/>
  <c r="CY253" i="2"/>
  <c r="DI243" i="2"/>
  <c r="CO282" i="2"/>
  <c r="DC270" i="2"/>
  <c r="DK262" i="2"/>
  <c r="CO140" i="2"/>
  <c r="CQ116" i="2"/>
  <c r="DA107" i="2"/>
  <c r="DE73" i="2"/>
  <c r="CK233" i="2"/>
  <c r="CM26" i="2"/>
  <c r="DL26" i="2"/>
  <c r="DB26" i="2" s="1"/>
  <c r="DC26" i="2" s="1"/>
  <c r="CW466" i="2"/>
  <c r="CS309" i="2"/>
  <c r="CY315" i="2"/>
  <c r="CE234" i="2"/>
  <c r="DC225" i="2"/>
  <c r="DM243" i="2"/>
  <c r="CS282" i="2"/>
  <c r="CI270" i="2"/>
  <c r="DE140" i="2"/>
  <c r="CU116" i="2"/>
  <c r="CI73" i="2"/>
  <c r="CO233" i="2"/>
  <c r="DG103" i="2"/>
  <c r="DL103" i="2"/>
  <c r="DB103" i="2" s="1"/>
  <c r="DC103" i="2" s="1"/>
  <c r="DL61" i="2"/>
  <c r="DM362" i="2"/>
  <c r="DL362" i="2"/>
  <c r="DB362" i="2" s="1"/>
  <c r="DC362" i="2" s="1"/>
  <c r="DM466" i="2"/>
  <c r="CW309" i="2"/>
  <c r="CM315" i="2"/>
  <c r="CI234" i="2"/>
  <c r="DG225" i="2"/>
  <c r="CM243" i="2"/>
  <c r="CX157" i="2"/>
  <c r="DL157" i="2" s="1"/>
  <c r="CW282" i="2"/>
  <c r="CY270" i="2"/>
  <c r="CY116" i="2"/>
  <c r="CS233" i="2"/>
  <c r="CK440" i="2"/>
  <c r="CC140" i="2"/>
  <c r="DL140" i="2"/>
  <c r="DB140" i="2" s="1"/>
  <c r="CC466" i="2"/>
  <c r="DA309" i="2"/>
  <c r="DE305" i="2"/>
  <c r="DG315" i="2"/>
  <c r="CU234" i="2"/>
  <c r="DK225" i="2"/>
  <c r="DK243" i="2"/>
  <c r="DA282" i="2"/>
  <c r="CE270" i="2"/>
  <c r="CI140" i="2"/>
  <c r="DC116" i="2"/>
  <c r="CW233" i="2"/>
  <c r="CS74" i="2"/>
  <c r="CS440" i="2"/>
  <c r="CX304" i="2"/>
  <c r="DL304" i="2" s="1"/>
  <c r="DB304" i="2" s="1"/>
  <c r="DC304" i="2" s="1"/>
  <c r="DE309" i="2"/>
  <c r="DI305" i="2"/>
  <c r="CU315" i="2"/>
  <c r="DE282" i="2"/>
  <c r="CU270" i="2"/>
  <c r="CM140" i="2"/>
  <c r="DG116" i="2"/>
  <c r="DG62" i="2"/>
  <c r="CC35" i="2"/>
  <c r="CK112" i="2"/>
  <c r="DA233" i="2"/>
  <c r="CS82" i="2"/>
  <c r="CC61" i="2"/>
  <c r="DL85" i="2"/>
  <c r="DB85" i="2" s="1"/>
  <c r="CO440" i="2"/>
  <c r="CO129" i="2"/>
  <c r="DL129" i="2"/>
  <c r="DB129" i="2" s="1"/>
  <c r="DC129" i="2" s="1"/>
  <c r="CX460" i="2"/>
  <c r="DL460" i="2" s="1"/>
  <c r="CS466" i="2"/>
  <c r="DI466" i="2"/>
  <c r="CK306" i="2"/>
  <c r="DI309" i="2"/>
  <c r="DM305" i="2"/>
  <c r="DC315" i="2"/>
  <c r="DA295" i="2"/>
  <c r="DM278" i="2"/>
  <c r="CC225" i="2"/>
  <c r="DK209" i="2"/>
  <c r="CM270" i="2"/>
  <c r="DM263" i="2"/>
  <c r="CC249" i="2"/>
  <c r="CC245" i="2"/>
  <c r="CX180" i="2"/>
  <c r="DL180" i="2" s="1"/>
  <c r="CE242" i="2"/>
  <c r="DK270" i="2"/>
  <c r="DI230" i="2"/>
  <c r="CQ140" i="2"/>
  <c r="CC116" i="2"/>
  <c r="CW112" i="2"/>
  <c r="DM233" i="2"/>
  <c r="CG82" i="2"/>
  <c r="CE42" i="2"/>
  <c r="DL480" i="2"/>
  <c r="DM480" i="2" s="1"/>
  <c r="DC424" i="2"/>
  <c r="DL424" i="2"/>
  <c r="DB424" i="2" s="1"/>
  <c r="CX279" i="2"/>
  <c r="CC279" i="2" s="1"/>
  <c r="CM319" i="2"/>
  <c r="CU319" i="2"/>
  <c r="CE319" i="2"/>
  <c r="CY142" i="2"/>
  <c r="CU142" i="2"/>
  <c r="CQ142" i="2"/>
  <c r="CM142" i="2"/>
  <c r="CI142" i="2"/>
  <c r="CE142" i="2"/>
  <c r="DB142" i="2"/>
  <c r="DM142" i="2"/>
  <c r="DI142" i="2"/>
  <c r="DE142" i="2"/>
  <c r="DA142" i="2"/>
  <c r="CW142" i="2"/>
  <c r="CS142" i="2"/>
  <c r="CO142" i="2"/>
  <c r="CK142" i="2"/>
  <c r="CG142" i="2"/>
  <c r="DK142" i="2"/>
  <c r="DG142" i="2"/>
  <c r="CC453" i="2"/>
  <c r="DB453" i="2"/>
  <c r="DC453" i="2" s="1"/>
  <c r="CS257" i="2"/>
  <c r="CO257" i="2"/>
  <c r="DG257" i="2"/>
  <c r="CY257" i="2"/>
  <c r="CU257" i="2"/>
  <c r="CQ257" i="2"/>
  <c r="CI257" i="2"/>
  <c r="CE257" i="2"/>
  <c r="DE257" i="2"/>
  <c r="CI139" i="2"/>
  <c r="CE139" i="2"/>
  <c r="DE139" i="2"/>
  <c r="CO139" i="2"/>
  <c r="DI139" i="2"/>
  <c r="CS139" i="2"/>
  <c r="CC139" i="2"/>
  <c r="CK139" i="2"/>
  <c r="DM139" i="2"/>
  <c r="CW139" i="2"/>
  <c r="CG139" i="2"/>
  <c r="DB139" i="2"/>
  <c r="DC139" i="2" s="1"/>
  <c r="DA139" i="2"/>
  <c r="DK139" i="2"/>
  <c r="DG139" i="2"/>
  <c r="CU139" i="2"/>
  <c r="CQ139" i="2"/>
  <c r="DH9" i="2"/>
  <c r="CM453" i="2"/>
  <c r="CQ292" i="2"/>
  <c r="CS243" i="2"/>
  <c r="CO243" i="2"/>
  <c r="DG243" i="2"/>
  <c r="DC243" i="2"/>
  <c r="CY243" i="2"/>
  <c r="CU243" i="2"/>
  <c r="CQ243" i="2"/>
  <c r="CI243" i="2"/>
  <c r="CE243" i="2"/>
  <c r="DE243" i="2"/>
  <c r="DA258" i="2"/>
  <c r="CW258" i="2"/>
  <c r="DB258" i="2"/>
  <c r="DK258" i="2"/>
  <c r="DG258" i="2"/>
  <c r="DC258" i="2"/>
  <c r="CY258" i="2"/>
  <c r="CQ258" i="2"/>
  <c r="CM258" i="2"/>
  <c r="DM258" i="2"/>
  <c r="BW21" i="2"/>
  <c r="CQ453" i="2"/>
  <c r="CM139" i="2"/>
  <c r="DC85" i="2"/>
  <c r="DI132" i="2"/>
  <c r="DA132" i="2"/>
  <c r="CS132" i="2"/>
  <c r="CK132" i="2"/>
  <c r="CC132" i="2"/>
  <c r="DM132" i="2"/>
  <c r="DE132" i="2"/>
  <c r="CW132" i="2"/>
  <c r="CO132" i="2"/>
  <c r="CG132" i="2"/>
  <c r="DK132" i="2"/>
  <c r="DG132" i="2"/>
  <c r="DC132" i="2"/>
  <c r="CY132" i="2"/>
  <c r="CU132" i="2"/>
  <c r="CM132" i="2"/>
  <c r="CI132" i="2"/>
  <c r="CS239" i="2"/>
  <c r="CO239" i="2"/>
  <c r="DG239" i="2"/>
  <c r="DC239" i="2"/>
  <c r="CY239" i="2"/>
  <c r="CU239" i="2"/>
  <c r="CQ239" i="2"/>
  <c r="CI239" i="2"/>
  <c r="CE239" i="2"/>
  <c r="DE239" i="2"/>
  <c r="DG238" i="2"/>
  <c r="CY238" i="2"/>
  <c r="CU238" i="2"/>
  <c r="CQ238" i="2"/>
  <c r="CM238" i="2"/>
  <c r="CI238" i="2"/>
  <c r="CE238" i="2"/>
  <c r="DM238" i="2"/>
  <c r="DI238" i="2"/>
  <c r="DE238" i="2"/>
  <c r="DA238" i="2"/>
  <c r="CW238" i="2"/>
  <c r="CS238" i="2"/>
  <c r="CO238" i="2"/>
  <c r="CK238" i="2"/>
  <c r="CC238" i="2"/>
  <c r="DB238" i="2"/>
  <c r="DC238" i="2" s="1"/>
  <c r="CW229" i="2"/>
  <c r="CS229" i="2"/>
  <c r="CO229" i="2"/>
  <c r="CK229" i="2"/>
  <c r="CG229" i="2"/>
  <c r="CC229" i="2"/>
  <c r="DB229" i="2"/>
  <c r="DK229" i="2"/>
  <c r="DG229" i="2"/>
  <c r="DC229" i="2"/>
  <c r="CY229" i="2"/>
  <c r="CU229" i="2"/>
  <c r="CQ229" i="2"/>
  <c r="CM229" i="2"/>
  <c r="CI229" i="2"/>
  <c r="CE229" i="2"/>
  <c r="DI229" i="2"/>
  <c r="DE229" i="2"/>
  <c r="DI59" i="2"/>
  <c r="CW59" i="2"/>
  <c r="DB59" i="2"/>
  <c r="DC59" i="2" s="1"/>
  <c r="DK59" i="2"/>
  <c r="DG59" i="2"/>
  <c r="CY59" i="2"/>
  <c r="CU59" i="2"/>
  <c r="CC59" i="2"/>
  <c r="CQ59" i="2"/>
  <c r="CO59" i="2"/>
  <c r="CM59" i="2"/>
  <c r="CI59" i="2"/>
  <c r="CE59" i="2"/>
  <c r="DM59" i="2"/>
  <c r="CK59" i="2"/>
  <c r="CG59" i="2"/>
  <c r="CS59" i="2"/>
  <c r="DG453" i="2"/>
  <c r="CY139" i="2"/>
  <c r="DA234" i="2"/>
  <c r="CW234" i="2"/>
  <c r="DB234" i="2"/>
  <c r="DC234" i="2" s="1"/>
  <c r="DK234" i="2"/>
  <c r="DG234" i="2"/>
  <c r="CY234" i="2"/>
  <c r="CQ234" i="2"/>
  <c r="CM234" i="2"/>
  <c r="DM234" i="2"/>
  <c r="DG254" i="2"/>
  <c r="CY254" i="2"/>
  <c r="CU254" i="2"/>
  <c r="CQ254" i="2"/>
  <c r="CM254" i="2"/>
  <c r="CI254" i="2"/>
  <c r="CE254" i="2"/>
  <c r="DM254" i="2"/>
  <c r="DI254" i="2"/>
  <c r="DE254" i="2"/>
  <c r="DA254" i="2"/>
  <c r="CW254" i="2"/>
  <c r="CS254" i="2"/>
  <c r="CO254" i="2"/>
  <c r="CK254" i="2"/>
  <c r="CC254" i="2"/>
  <c r="DB254" i="2"/>
  <c r="DC254" i="2" s="1"/>
  <c r="DE300" i="2"/>
  <c r="DM300" i="2"/>
  <c r="CY453" i="2"/>
  <c r="CC258" i="2"/>
  <c r="DB57" i="2"/>
  <c r="DK57" i="2"/>
  <c r="CY57" i="2"/>
  <c r="CC57" i="2"/>
  <c r="CM57" i="2"/>
  <c r="CI57" i="2"/>
  <c r="DE57" i="2"/>
  <c r="DM57" i="2"/>
  <c r="CK399" i="2"/>
  <c r="CG399" i="2"/>
  <c r="CQ399" i="2"/>
  <c r="CM399" i="2"/>
  <c r="CI399" i="2"/>
  <c r="DI288" i="2"/>
  <c r="CS288" i="2"/>
  <c r="DG288" i="2"/>
  <c r="CY434" i="2"/>
  <c r="DI295" i="2"/>
  <c r="CK295" i="2"/>
  <c r="CG295" i="2"/>
  <c r="CC295" i="2"/>
  <c r="DG295" i="2"/>
  <c r="CM295" i="2"/>
  <c r="CE295" i="2"/>
  <c r="CS235" i="2"/>
  <c r="CO235" i="2"/>
  <c r="DG235" i="2"/>
  <c r="DC235" i="2"/>
  <c r="CY235" i="2"/>
  <c r="CU235" i="2"/>
  <c r="CQ235" i="2"/>
  <c r="CI235" i="2"/>
  <c r="CE235" i="2"/>
  <c r="DE235" i="2"/>
  <c r="CX310" i="2"/>
  <c r="DL310" i="2" s="1"/>
  <c r="DI231" i="2"/>
  <c r="DE231" i="2"/>
  <c r="DA231" i="2"/>
  <c r="CW231" i="2"/>
  <c r="CS231" i="2"/>
  <c r="CO231" i="2"/>
  <c r="CK231" i="2"/>
  <c r="CG231" i="2"/>
  <c r="CC231" i="2"/>
  <c r="DB231" i="2"/>
  <c r="DC231" i="2" s="1"/>
  <c r="DK231" i="2"/>
  <c r="DG231" i="2"/>
  <c r="CY231" i="2"/>
  <c r="CU231" i="2"/>
  <c r="CQ231" i="2"/>
  <c r="CI231" i="2"/>
  <c r="CE231" i="2"/>
  <c r="DK453" i="2"/>
  <c r="CG258" i="2"/>
  <c r="DC142" i="2"/>
  <c r="CE453" i="2"/>
  <c r="CJ21" i="2"/>
  <c r="CI453" i="2"/>
  <c r="CK258" i="2"/>
  <c r="DB257" i="2"/>
  <c r="DC257" i="2" s="1"/>
  <c r="CC142" i="2"/>
  <c r="CE132" i="2"/>
  <c r="DG129" i="2"/>
  <c r="CU302" i="2"/>
  <c r="DG302" i="2"/>
  <c r="DM302" i="2"/>
  <c r="DI302" i="2"/>
  <c r="DE302" i="2"/>
  <c r="DA302" i="2"/>
  <c r="CS302" i="2"/>
  <c r="CO302" i="2"/>
  <c r="CC302" i="2"/>
  <c r="CS245" i="2"/>
  <c r="CO245" i="2"/>
  <c r="DG245" i="2"/>
  <c r="DC245" i="2"/>
  <c r="CY245" i="2"/>
  <c r="CU245" i="2"/>
  <c r="CQ245" i="2"/>
  <c r="CI245" i="2"/>
  <c r="CE245" i="2"/>
  <c r="DE245" i="2"/>
  <c r="CU306" i="2"/>
  <c r="DG306" i="2"/>
  <c r="DI306" i="2"/>
  <c r="DE306" i="2"/>
  <c r="DA306" i="2"/>
  <c r="CS306" i="2"/>
  <c r="CO306" i="2"/>
  <c r="CC306" i="2"/>
  <c r="CU453" i="2"/>
  <c r="CO258" i="2"/>
  <c r="CC257" i="2"/>
  <c r="CG443" i="2"/>
  <c r="CC443" i="2"/>
  <c r="CM443" i="2"/>
  <c r="DK212" i="2"/>
  <c r="DG212" i="2"/>
  <c r="CY212" i="2"/>
  <c r="CU212" i="2"/>
  <c r="CQ212" i="2"/>
  <c r="CM212" i="2"/>
  <c r="CI212" i="2"/>
  <c r="CE212" i="2"/>
  <c r="DI212" i="2"/>
  <c r="DE212" i="2"/>
  <c r="DA212" i="2"/>
  <c r="CW212" i="2"/>
  <c r="CS212" i="2"/>
  <c r="CK212" i="2"/>
  <c r="CG212" i="2"/>
  <c r="DM49" i="2"/>
  <c r="DB49" i="2"/>
  <c r="DC49" i="2" s="1"/>
  <c r="DK49" i="2"/>
  <c r="CC49" i="2"/>
  <c r="DG49" i="2"/>
  <c r="CO49" i="2"/>
  <c r="CG49" i="2"/>
  <c r="CW49" i="2"/>
  <c r="CY49" i="2"/>
  <c r="CS49" i="2"/>
  <c r="CU49" i="2"/>
  <c r="DA49" i="2"/>
  <c r="CQ49" i="2"/>
  <c r="DI49" i="2"/>
  <c r="CM49" i="2"/>
  <c r="CI49" i="2"/>
  <c r="CE49" i="2"/>
  <c r="DE49" i="2"/>
  <c r="CK49" i="2"/>
  <c r="CS258" i="2"/>
  <c r="CG257" i="2"/>
  <c r="DM299" i="2"/>
  <c r="DI299" i="2"/>
  <c r="CK299" i="2"/>
  <c r="CG299" i="2"/>
  <c r="CC299" i="2"/>
  <c r="DB299" i="2"/>
  <c r="DC299" i="2" s="1"/>
  <c r="DG299" i="2"/>
  <c r="CM299" i="2"/>
  <c r="CE299" i="2"/>
  <c r="CM266" i="2"/>
  <c r="DM266" i="2"/>
  <c r="DI266" i="2"/>
  <c r="DE266" i="2"/>
  <c r="DA266" i="2"/>
  <c r="CW266" i="2"/>
  <c r="CS266" i="2"/>
  <c r="CO266" i="2"/>
  <c r="CK266" i="2"/>
  <c r="CG266" i="2"/>
  <c r="CC266" i="2"/>
  <c r="DB266" i="2"/>
  <c r="DC266" i="2" s="1"/>
  <c r="DG266" i="2"/>
  <c r="CQ266" i="2"/>
  <c r="DK266" i="2"/>
  <c r="CU266" i="2"/>
  <c r="CE266" i="2"/>
  <c r="CI266" i="2"/>
  <c r="CE303" i="2"/>
  <c r="CI135" i="2"/>
  <c r="CE135" i="2"/>
  <c r="DE135" i="2"/>
  <c r="CO135" i="2"/>
  <c r="DI135" i="2"/>
  <c r="CS135" i="2"/>
  <c r="CC135" i="2"/>
  <c r="DA135" i="2"/>
  <c r="CK135" i="2"/>
  <c r="CW135" i="2"/>
  <c r="CG135" i="2"/>
  <c r="DK135" i="2"/>
  <c r="DG135" i="2"/>
  <c r="CU135" i="2"/>
  <c r="CQ135" i="2"/>
  <c r="CY85" i="2"/>
  <c r="CU85" i="2"/>
  <c r="CQ85" i="2"/>
  <c r="CM85" i="2"/>
  <c r="CI85" i="2"/>
  <c r="CE85" i="2"/>
  <c r="CW85" i="2"/>
  <c r="DE85" i="2"/>
  <c r="DM85" i="2"/>
  <c r="CC85" i="2"/>
  <c r="DK85" i="2"/>
  <c r="DG85" i="2"/>
  <c r="CG453" i="2"/>
  <c r="CK453" i="2"/>
  <c r="DE258" i="2"/>
  <c r="CK257" i="2"/>
  <c r="DI312" i="2"/>
  <c r="CY312" i="2"/>
  <c r="CJ25" i="2"/>
  <c r="CO453" i="2"/>
  <c r="CU316" i="2"/>
  <c r="DI258" i="2"/>
  <c r="CW257" i="2"/>
  <c r="DG252" i="2"/>
  <c r="CY252" i="2"/>
  <c r="CU252" i="2"/>
  <c r="CQ252" i="2"/>
  <c r="CM252" i="2"/>
  <c r="CI252" i="2"/>
  <c r="CE252" i="2"/>
  <c r="DM252" i="2"/>
  <c r="DI252" i="2"/>
  <c r="DE252" i="2"/>
  <c r="DA252" i="2"/>
  <c r="CW252" i="2"/>
  <c r="CS252" i="2"/>
  <c r="CO252" i="2"/>
  <c r="CK252" i="2"/>
  <c r="CC252" i="2"/>
  <c r="DA256" i="2"/>
  <c r="CW256" i="2"/>
  <c r="DB256" i="2"/>
  <c r="DC256" i="2" s="1"/>
  <c r="DK256" i="2"/>
  <c r="DG256" i="2"/>
  <c r="CY256" i="2"/>
  <c r="CQ256" i="2"/>
  <c r="CM256" i="2"/>
  <c r="DM256" i="2"/>
  <c r="CS453" i="2"/>
  <c r="CE258" i="2"/>
  <c r="DA257" i="2"/>
  <c r="DG248" i="2"/>
  <c r="CY248" i="2"/>
  <c r="CU248" i="2"/>
  <c r="CQ248" i="2"/>
  <c r="CM248" i="2"/>
  <c r="CI248" i="2"/>
  <c r="CE248" i="2"/>
  <c r="DI248" i="2"/>
  <c r="DE248" i="2"/>
  <c r="DA248" i="2"/>
  <c r="CW248" i="2"/>
  <c r="CS248" i="2"/>
  <c r="CO248" i="2"/>
  <c r="CK248" i="2"/>
  <c r="CC248" i="2"/>
  <c r="CC108" i="2"/>
  <c r="CK108" i="2"/>
  <c r="CW108" i="2"/>
  <c r="DB108" i="2"/>
  <c r="DE108" i="2"/>
  <c r="DK108" i="2"/>
  <c r="DM108" i="2"/>
  <c r="DG108" i="2"/>
  <c r="DC108" i="2"/>
  <c r="CO108" i="2"/>
  <c r="CY108" i="2"/>
  <c r="CU108" i="2"/>
  <c r="CQ108" i="2"/>
  <c r="CI108" i="2"/>
  <c r="CS108" i="2"/>
  <c r="CE108" i="2"/>
  <c r="DA108" i="2"/>
  <c r="DH11" i="2"/>
  <c r="CW453" i="2"/>
  <c r="CI258" i="2"/>
  <c r="DI257" i="2"/>
  <c r="DA453" i="2"/>
  <c r="CU258" i="2"/>
  <c r="DM257" i="2"/>
  <c r="DI70" i="2"/>
  <c r="CW70" i="2"/>
  <c r="CC70" i="2"/>
  <c r="DE70" i="2"/>
  <c r="DB70" i="2"/>
  <c r="DC70" i="2" s="1"/>
  <c r="DK70" i="2"/>
  <c r="DG70" i="2"/>
  <c r="CY70" i="2"/>
  <c r="CU70" i="2"/>
  <c r="CG70" i="2"/>
  <c r="CM70" i="2"/>
  <c r="CS70" i="2"/>
  <c r="CI70" i="2"/>
  <c r="DG244" i="2"/>
  <c r="CY244" i="2"/>
  <c r="CU244" i="2"/>
  <c r="CQ244" i="2"/>
  <c r="CM244" i="2"/>
  <c r="CI244" i="2"/>
  <c r="CE244" i="2"/>
  <c r="DI244" i="2"/>
  <c r="DE244" i="2"/>
  <c r="DA244" i="2"/>
  <c r="CW244" i="2"/>
  <c r="CS244" i="2"/>
  <c r="CO244" i="2"/>
  <c r="CK244" i="2"/>
  <c r="CC244" i="2"/>
  <c r="CO27" i="2"/>
  <c r="CU27" i="2"/>
  <c r="CQ27" i="2"/>
  <c r="CG27" i="2"/>
  <c r="CM27" i="2"/>
  <c r="CS27" i="2"/>
  <c r="CI27" i="2"/>
  <c r="DA27" i="2"/>
  <c r="CE27" i="2"/>
  <c r="DI27" i="2"/>
  <c r="CW27" i="2"/>
  <c r="DE27" i="2"/>
  <c r="DM27" i="2"/>
  <c r="CK27" i="2"/>
  <c r="DB27" i="2"/>
  <c r="DG27" i="2"/>
  <c r="DC27" i="2"/>
  <c r="DE453" i="2"/>
  <c r="CM257" i="2"/>
  <c r="DG322" i="2"/>
  <c r="CM322" i="2"/>
  <c r="DM322" i="2"/>
  <c r="DI322" i="2"/>
  <c r="DE322" i="2"/>
  <c r="DA322" i="2"/>
  <c r="CW322" i="2"/>
  <c r="CO322" i="2"/>
  <c r="CK322" i="2"/>
  <c r="DB322" i="2"/>
  <c r="DC322" i="2" s="1"/>
  <c r="CK67" i="2"/>
  <c r="DE67" i="2"/>
  <c r="DB67" i="2"/>
  <c r="DC67" i="2" s="1"/>
  <c r="DK67" i="2"/>
  <c r="DG67" i="2"/>
  <c r="CC67" i="2"/>
  <c r="CY67" i="2"/>
  <c r="CO67" i="2"/>
  <c r="CU67" i="2"/>
  <c r="CQ67" i="2"/>
  <c r="CM67" i="2"/>
  <c r="CW67" i="2"/>
  <c r="CI67" i="2"/>
  <c r="CG67" i="2"/>
  <c r="CE67" i="2"/>
  <c r="CS67" i="2"/>
  <c r="DM67" i="2"/>
  <c r="DA67" i="2"/>
  <c r="DI67" i="2"/>
  <c r="DA240" i="2"/>
  <c r="CW240" i="2"/>
  <c r="DB240" i="2"/>
  <c r="DC240" i="2" s="1"/>
  <c r="DK240" i="2"/>
  <c r="DG240" i="2"/>
  <c r="CY240" i="2"/>
  <c r="CQ240" i="2"/>
  <c r="CM240" i="2"/>
  <c r="DM240" i="2"/>
  <c r="DI453" i="2"/>
  <c r="DK257" i="2"/>
  <c r="CO415" i="2"/>
  <c r="CG415" i="2"/>
  <c r="DI415" i="2"/>
  <c r="DG236" i="2"/>
  <c r="CY236" i="2"/>
  <c r="CU236" i="2"/>
  <c r="CQ236" i="2"/>
  <c r="CM236" i="2"/>
  <c r="CI236" i="2"/>
  <c r="CE236" i="2"/>
  <c r="DM236" i="2"/>
  <c r="DI236" i="2"/>
  <c r="DE236" i="2"/>
  <c r="DA236" i="2"/>
  <c r="CW236" i="2"/>
  <c r="CS236" i="2"/>
  <c r="CO236" i="2"/>
  <c r="CK236" i="2"/>
  <c r="CC236" i="2"/>
  <c r="DB236" i="2"/>
  <c r="DC236" i="2" s="1"/>
  <c r="DM453" i="2"/>
  <c r="CY129" i="2"/>
  <c r="CU129" i="2"/>
  <c r="CQ129" i="2"/>
  <c r="CM129" i="2"/>
  <c r="CI129" i="2"/>
  <c r="CE129" i="2"/>
  <c r="DI129" i="2"/>
  <c r="CW129" i="2"/>
  <c r="CK129" i="2"/>
  <c r="DE129" i="2"/>
  <c r="CS129" i="2"/>
  <c r="CG129" i="2"/>
  <c r="DA129" i="2"/>
  <c r="CC129" i="2"/>
  <c r="DK129" i="2"/>
  <c r="DM311" i="2"/>
  <c r="DI311" i="2"/>
  <c r="CK311" i="2"/>
  <c r="CG311" i="2"/>
  <c r="CC311" i="2"/>
  <c r="DB311" i="2"/>
  <c r="DC311" i="2"/>
  <c r="DG311" i="2"/>
  <c r="CM311" i="2"/>
  <c r="CE311" i="2"/>
  <c r="CE128" i="2"/>
  <c r="CW73" i="2"/>
  <c r="CX185" i="2"/>
  <c r="CI128" i="2"/>
  <c r="CE73" i="2"/>
  <c r="CK104" i="2"/>
  <c r="CG62" i="2"/>
  <c r="CU128" i="2"/>
  <c r="CQ73" i="2"/>
  <c r="DE61" i="2"/>
  <c r="CY128" i="2"/>
  <c r="CU73" i="2"/>
  <c r="CW61" i="2"/>
  <c r="CY73" i="2"/>
  <c r="CE61" i="2"/>
  <c r="DG128" i="2"/>
  <c r="DK62" i="2"/>
  <c r="CI61" i="2"/>
  <c r="DK128" i="2"/>
  <c r="DG73" i="2"/>
  <c r="CC66" i="2"/>
  <c r="CM61" i="2"/>
  <c r="DI66" i="2"/>
  <c r="CX227" i="2"/>
  <c r="DL227" i="2" s="1"/>
  <c r="CM230" i="2"/>
  <c r="DC140" i="2"/>
  <c r="CC128" i="2"/>
  <c r="DK124" i="2"/>
  <c r="DK116" i="2"/>
  <c r="CY98" i="2"/>
  <c r="DK73" i="2"/>
  <c r="CQ61" i="2"/>
  <c r="DA82" i="2"/>
  <c r="DA66" i="2"/>
  <c r="CX95" i="2"/>
  <c r="DL95" i="2" s="1"/>
  <c r="CX154" i="2"/>
  <c r="DL154" i="2" s="1"/>
  <c r="CO128" i="2"/>
  <c r="CU61" i="2"/>
  <c r="CO104" i="2"/>
  <c r="CS66" i="2"/>
  <c r="DA128" i="2"/>
  <c r="CW124" i="2"/>
  <c r="CY61" i="2"/>
  <c r="CC41" i="2"/>
  <c r="CC73" i="2"/>
  <c r="CG66" i="2"/>
  <c r="CX91" i="2"/>
  <c r="DL91" i="2" s="1"/>
  <c r="CX75" i="2"/>
  <c r="DL75" i="2" s="1"/>
  <c r="DM128" i="2"/>
  <c r="DG61" i="2"/>
  <c r="CI104" i="2"/>
  <c r="CX87" i="2"/>
  <c r="DL87" i="2" s="1"/>
  <c r="CX71" i="2"/>
  <c r="DL71" i="2" s="1"/>
  <c r="CG128" i="2"/>
  <c r="DK61" i="2"/>
  <c r="CX377" i="2"/>
  <c r="DL377" i="2" s="1"/>
  <c r="CS128" i="2"/>
  <c r="CQ104" i="2"/>
  <c r="DI128" i="2"/>
  <c r="CX420" i="2"/>
  <c r="DL420" i="2" s="1"/>
  <c r="CX394" i="2"/>
  <c r="DI282" i="2"/>
  <c r="CC230" i="2"/>
  <c r="DA140" i="2"/>
  <c r="CK128" i="2"/>
  <c r="DM124" i="2"/>
  <c r="DI116" i="2"/>
  <c r="DE66" i="2"/>
  <c r="DE62" i="2"/>
  <c r="CW41" i="2"/>
  <c r="CS107" i="2"/>
  <c r="DE233" i="2"/>
  <c r="DI41" i="2"/>
  <c r="CY104" i="2"/>
  <c r="CX455" i="2"/>
  <c r="DL455" i="2" s="1"/>
  <c r="CX63" i="2"/>
  <c r="DL63" i="2" s="1"/>
  <c r="CX337" i="2"/>
  <c r="CI337" i="2" s="1"/>
  <c r="DI104" i="2"/>
  <c r="CW62" i="2"/>
  <c r="CE41" i="2"/>
  <c r="BV4" i="2"/>
  <c r="CJ11" i="2"/>
  <c r="CJ7" i="2"/>
  <c r="CT14" i="2"/>
  <c r="CJ20" i="2"/>
  <c r="R20" i="2"/>
  <c r="X20" i="2" s="1"/>
  <c r="Y20" i="2" s="1"/>
  <c r="CI308" i="2"/>
  <c r="DK308" i="2"/>
  <c r="CI296" i="2"/>
  <c r="DK296" i="2"/>
  <c r="DM296" i="2"/>
  <c r="CI136" i="2"/>
  <c r="CM220" i="2"/>
  <c r="DI220" i="2"/>
  <c r="CS220" i="2"/>
  <c r="CC220" i="2"/>
  <c r="CY220" i="2"/>
  <c r="CI220" i="2"/>
  <c r="DE220" i="2"/>
  <c r="CO220" i="2"/>
  <c r="DK220" i="2"/>
  <c r="CU220" i="2"/>
  <c r="CE220" i="2"/>
  <c r="DA220" i="2"/>
  <c r="CK220" i="2"/>
  <c r="DI99" i="2"/>
  <c r="DM99" i="2"/>
  <c r="CK99" i="2"/>
  <c r="CC99" i="2"/>
  <c r="CW99" i="2"/>
  <c r="CO99" i="2"/>
  <c r="DE99" i="2"/>
  <c r="DG99" i="2"/>
  <c r="CQ99" i="2"/>
  <c r="CG99" i="2"/>
  <c r="CM99" i="2"/>
  <c r="CS99" i="2"/>
  <c r="DB99" i="2"/>
  <c r="DC99" i="2" s="1"/>
  <c r="CY99" i="2"/>
  <c r="CI99" i="2"/>
  <c r="CO48" i="2"/>
  <c r="CK48" i="2"/>
  <c r="CG48" i="2"/>
  <c r="CC48" i="2"/>
  <c r="CM48" i="2"/>
  <c r="DE48" i="2"/>
  <c r="CS48" i="2"/>
  <c r="DB48" i="2"/>
  <c r="DC48" i="2" s="1"/>
  <c r="CY48" i="2"/>
  <c r="CI48" i="2"/>
  <c r="DM48" i="2"/>
  <c r="DA48" i="2"/>
  <c r="DK48" i="2"/>
  <c r="CU48" i="2"/>
  <c r="CE48" i="2"/>
  <c r="CO65" i="2"/>
  <c r="CS65" i="2"/>
  <c r="CG65" i="2"/>
  <c r="DA65" i="2"/>
  <c r="CK65" i="2"/>
  <c r="DI65" i="2"/>
  <c r="DB65" i="2"/>
  <c r="DC65" i="2" s="1"/>
  <c r="CY65" i="2"/>
  <c r="CI65" i="2"/>
  <c r="DM65" i="2"/>
  <c r="DK65" i="2"/>
  <c r="CU65" i="2"/>
  <c r="CE65" i="2"/>
  <c r="DG65" i="2"/>
  <c r="CQ65" i="2"/>
  <c r="CW65" i="2"/>
  <c r="CC480" i="2"/>
  <c r="DA480" i="2"/>
  <c r="CI480" i="2"/>
  <c r="CY480" i="2"/>
  <c r="DI424" i="2"/>
  <c r="CI424" i="2"/>
  <c r="CY424" i="2"/>
  <c r="CK428" i="2"/>
  <c r="CG428" i="2"/>
  <c r="CC428" i="2"/>
  <c r="CM428" i="2"/>
  <c r="CI376" i="2"/>
  <c r="CY376" i="2"/>
  <c r="CO376" i="2"/>
  <c r="DE376" i="2"/>
  <c r="CY365" i="2"/>
  <c r="CE365" i="2"/>
  <c r="CK365" i="2"/>
  <c r="DA365" i="2"/>
  <c r="DA320" i="2"/>
  <c r="CM312" i="2"/>
  <c r="DB312" i="2"/>
  <c r="DC312" i="2" s="1"/>
  <c r="CO312" i="2"/>
  <c r="DE312" i="2"/>
  <c r="CE308" i="2"/>
  <c r="DG308" i="2"/>
  <c r="CC308" i="2"/>
  <c r="CS308" i="2"/>
  <c r="DI308" i="2"/>
  <c r="CY300" i="2"/>
  <c r="CK300" i="2"/>
  <c r="DA300" i="2"/>
  <c r="CM296" i="2"/>
  <c r="DB296" i="2"/>
  <c r="DC296" i="2" s="1"/>
  <c r="CO296" i="2"/>
  <c r="DE296" i="2"/>
  <c r="DA288" i="2"/>
  <c r="CW220" i="2"/>
  <c r="CO120" i="2"/>
  <c r="CE99" i="2"/>
  <c r="DK86" i="2"/>
  <c r="CQ48" i="2"/>
  <c r="DA99" i="2"/>
  <c r="CM65" i="2"/>
  <c r="CK100" i="2"/>
  <c r="CI292" i="2"/>
  <c r="DG292" i="2"/>
  <c r="DE279" i="2"/>
  <c r="CI279" i="2"/>
  <c r="CO74" i="2"/>
  <c r="CK74" i="2"/>
  <c r="DA74" i="2"/>
  <c r="DG74" i="2"/>
  <c r="CQ74" i="2"/>
  <c r="CW74" i="2"/>
  <c r="DI74" i="2"/>
  <c r="CM74" i="2"/>
  <c r="DE74" i="2"/>
  <c r="CG74" i="2"/>
  <c r="CC74" i="2"/>
  <c r="CY74" i="2"/>
  <c r="CI74" i="2"/>
  <c r="DM74" i="2"/>
  <c r="DI275" i="2"/>
  <c r="CS275" i="2"/>
  <c r="CC275" i="2"/>
  <c r="CY275" i="2"/>
  <c r="DE275" i="2"/>
  <c r="CO275" i="2"/>
  <c r="DK275" i="2"/>
  <c r="CI275" i="2"/>
  <c r="CQ275" i="2"/>
  <c r="DA275" i="2"/>
  <c r="CK275" i="2"/>
  <c r="CU275" i="2"/>
  <c r="DG275" i="2"/>
  <c r="CM262" i="2"/>
  <c r="DE262" i="2"/>
  <c r="CO262" i="2"/>
  <c r="CU262" i="2"/>
  <c r="DA262" i="2"/>
  <c r="CK262" i="2"/>
  <c r="DG262" i="2"/>
  <c r="CE262" i="2"/>
  <c r="DM262" i="2"/>
  <c r="CW262" i="2"/>
  <c r="CG262" i="2"/>
  <c r="CQ262" i="2"/>
  <c r="CY262" i="2"/>
  <c r="CO45" i="2"/>
  <c r="CK45" i="2"/>
  <c r="CG45" i="2"/>
  <c r="CC45" i="2"/>
  <c r="CM45" i="2"/>
  <c r="DE45" i="2"/>
  <c r="CS45" i="2"/>
  <c r="CY45" i="2"/>
  <c r="CI45" i="2"/>
  <c r="DA45" i="2"/>
  <c r="DK45" i="2"/>
  <c r="CU45" i="2"/>
  <c r="CE45" i="2"/>
  <c r="CO26" i="2"/>
  <c r="CS26" i="2"/>
  <c r="DI26" i="2"/>
  <c r="DA26" i="2"/>
  <c r="CK26" i="2"/>
  <c r="CG26" i="2"/>
  <c r="CY26" i="2"/>
  <c r="CI26" i="2"/>
  <c r="CC26" i="2"/>
  <c r="DK26" i="2"/>
  <c r="CU26" i="2"/>
  <c r="CE26" i="2"/>
  <c r="DG26" i="2"/>
  <c r="CQ26" i="2"/>
  <c r="CW26" i="2"/>
  <c r="DE480" i="2"/>
  <c r="CW480" i="2"/>
  <c r="CM480" i="2"/>
  <c r="DE424" i="2"/>
  <c r="CG424" i="2"/>
  <c r="CC424" i="2"/>
  <c r="CM424" i="2"/>
  <c r="DM428" i="2"/>
  <c r="CS428" i="2"/>
  <c r="CO428" i="2"/>
  <c r="CQ428" i="2"/>
  <c r="DG428" i="2"/>
  <c r="CM376" i="2"/>
  <c r="DC376" i="2"/>
  <c r="CC376" i="2"/>
  <c r="CS376" i="2"/>
  <c r="DI376" i="2"/>
  <c r="DK365" i="2"/>
  <c r="CQ365" i="2"/>
  <c r="DB365" i="2"/>
  <c r="DC365" i="2" s="1"/>
  <c r="CO365" i="2"/>
  <c r="DE365" i="2"/>
  <c r="CE312" i="2"/>
  <c r="DG312" i="2"/>
  <c r="CC312" i="2"/>
  <c r="CS312" i="2"/>
  <c r="CQ308" i="2"/>
  <c r="CU308" i="2"/>
  <c r="CG308" i="2"/>
  <c r="CW308" i="2"/>
  <c r="DM308" i="2"/>
  <c r="CM300" i="2"/>
  <c r="DB300" i="2"/>
  <c r="DC300" i="2" s="1"/>
  <c r="CO300" i="2"/>
  <c r="CE296" i="2"/>
  <c r="DG296" i="2"/>
  <c r="CC296" i="2"/>
  <c r="CS296" i="2"/>
  <c r="DI296" i="2"/>
  <c r="CE288" i="2"/>
  <c r="CC288" i="2"/>
  <c r="DM220" i="2"/>
  <c r="CW275" i="2"/>
  <c r="CS262" i="2"/>
  <c r="CU99" i="2"/>
  <c r="CU74" i="2"/>
  <c r="DG48" i="2"/>
  <c r="CW45" i="2"/>
  <c r="CC65" i="2"/>
  <c r="DI48" i="2"/>
  <c r="CI312" i="2"/>
  <c r="DK312" i="2"/>
  <c r="CI300" i="2"/>
  <c r="DK300" i="2"/>
  <c r="CI288" i="2"/>
  <c r="DK288" i="2"/>
  <c r="DE288" i="2"/>
  <c r="CO288" i="2"/>
  <c r="DB288" i="2"/>
  <c r="DC288" i="2" s="1"/>
  <c r="CM288" i="2"/>
  <c r="DM288" i="2"/>
  <c r="CW288" i="2"/>
  <c r="CG288" i="2"/>
  <c r="CU288" i="2"/>
  <c r="CQ288" i="2"/>
  <c r="DE120" i="2"/>
  <c r="DK120" i="2"/>
  <c r="CU120" i="2"/>
  <c r="CE120" i="2"/>
  <c r="CG120" i="2"/>
  <c r="CS120" i="2"/>
  <c r="DG120" i="2"/>
  <c r="CQ120" i="2"/>
  <c r="DI120" i="2"/>
  <c r="DA120" i="2"/>
  <c r="CK120" i="2"/>
  <c r="CM120" i="2"/>
  <c r="CW120" i="2"/>
  <c r="DG100" i="2"/>
  <c r="CQ100" i="2"/>
  <c r="CW100" i="2"/>
  <c r="CG100" i="2"/>
  <c r="CM100" i="2"/>
  <c r="DE100" i="2"/>
  <c r="CO100" i="2"/>
  <c r="CS100" i="2"/>
  <c r="CY100" i="2"/>
  <c r="CI100" i="2"/>
  <c r="DM100" i="2"/>
  <c r="DA100" i="2"/>
  <c r="CO86" i="2"/>
  <c r="CK86" i="2"/>
  <c r="CS86" i="2"/>
  <c r="DG86" i="2"/>
  <c r="CQ86" i="2"/>
  <c r="CW86" i="2"/>
  <c r="DA86" i="2"/>
  <c r="CM86" i="2"/>
  <c r="DE86" i="2"/>
  <c r="DI86" i="2"/>
  <c r="CY86" i="2"/>
  <c r="CI86" i="2"/>
  <c r="DM86" i="2"/>
  <c r="CW424" i="2"/>
  <c r="CK424" i="2"/>
  <c r="DM424" i="2"/>
  <c r="CO480" i="2"/>
  <c r="CS480" i="2"/>
  <c r="DI480" i="2"/>
  <c r="CQ480" i="2"/>
  <c r="DG480" i="2"/>
  <c r="CS424" i="2"/>
  <c r="CO424" i="2"/>
  <c r="CQ424" i="2"/>
  <c r="DG424" i="2"/>
  <c r="DE428" i="2"/>
  <c r="DA428" i="2"/>
  <c r="CE428" i="2"/>
  <c r="CU428" i="2"/>
  <c r="CQ376" i="2"/>
  <c r="DG376" i="2"/>
  <c r="CG376" i="2"/>
  <c r="CW376" i="2"/>
  <c r="CI365" i="2"/>
  <c r="DG365" i="2"/>
  <c r="CC365" i="2"/>
  <c r="CS365" i="2"/>
  <c r="CC320" i="2"/>
  <c r="CQ312" i="2"/>
  <c r="CU312" i="2"/>
  <c r="CG312" i="2"/>
  <c r="CW312" i="2"/>
  <c r="DM312" i="2"/>
  <c r="CY308" i="2"/>
  <c r="DC308" i="2"/>
  <c r="CK308" i="2"/>
  <c r="DA308" i="2"/>
  <c r="CE300" i="2"/>
  <c r="DG300" i="2"/>
  <c r="CC300" i="2"/>
  <c r="CS300" i="2"/>
  <c r="DI300" i="2"/>
  <c r="CQ296" i="2"/>
  <c r="CU296" i="2"/>
  <c r="CG296" i="2"/>
  <c r="CW296" i="2"/>
  <c r="CY288" i="2"/>
  <c r="CK288" i="2"/>
  <c r="CQ220" i="2"/>
  <c r="CM275" i="2"/>
  <c r="DM275" i="2"/>
  <c r="CI262" i="2"/>
  <c r="DI262" i="2"/>
  <c r="CY120" i="2"/>
  <c r="DK99" i="2"/>
  <c r="CE86" i="2"/>
  <c r="DK74" i="2"/>
  <c r="CQ45" i="2"/>
  <c r="CC86" i="2"/>
  <c r="CC100" i="2"/>
  <c r="DI45" i="2"/>
  <c r="CE100" i="2"/>
  <c r="DI413" i="2"/>
  <c r="CW413" i="2"/>
  <c r="CI323" i="2"/>
  <c r="DK323" i="2"/>
  <c r="CI319" i="2"/>
  <c r="DK319" i="2"/>
  <c r="CO426" i="2"/>
  <c r="DA426" i="2"/>
  <c r="CK426" i="2"/>
  <c r="DI426" i="2"/>
  <c r="CG426" i="2"/>
  <c r="CS426" i="2"/>
  <c r="CO90" i="2"/>
  <c r="CK90" i="2"/>
  <c r="DE466" i="2"/>
  <c r="CO466" i="2"/>
  <c r="CO78" i="2"/>
  <c r="CK78" i="2"/>
  <c r="CO41" i="2"/>
  <c r="CK41" i="2"/>
  <c r="CO35" i="2"/>
  <c r="CO434" i="2"/>
  <c r="DI434" i="2"/>
  <c r="CG434" i="2"/>
  <c r="CS434" i="2"/>
  <c r="CK434" i="2"/>
  <c r="DA434" i="2"/>
  <c r="DI409" i="2"/>
  <c r="CW409" i="2"/>
  <c r="CI322" i="2"/>
  <c r="DK322" i="2"/>
  <c r="CI314" i="2"/>
  <c r="DK314" i="2"/>
  <c r="CI306" i="2"/>
  <c r="DK306" i="2"/>
  <c r="CI302" i="2"/>
  <c r="DK302" i="2"/>
  <c r="CI294" i="2"/>
  <c r="DK294" i="2"/>
  <c r="CI286" i="2"/>
  <c r="DK286" i="2"/>
  <c r="CO94" i="2"/>
  <c r="CK94" i="2"/>
  <c r="CO422" i="2"/>
  <c r="DA422" i="2"/>
  <c r="CK422" i="2"/>
  <c r="DI422" i="2"/>
  <c r="CG422" i="2"/>
  <c r="CS422" i="2"/>
  <c r="CO85" i="2"/>
  <c r="DA85" i="2"/>
  <c r="CK85" i="2"/>
  <c r="DI85" i="2"/>
  <c r="CG85" i="2"/>
  <c r="CS85" i="2"/>
  <c r="DI107" i="2"/>
  <c r="CK107" i="2"/>
  <c r="CC107" i="2"/>
  <c r="CW107" i="2"/>
  <c r="CO107" i="2"/>
  <c r="DE107" i="2"/>
  <c r="DM107" i="2"/>
  <c r="CO70" i="2"/>
  <c r="CK70" i="2"/>
  <c r="CO61" i="2"/>
  <c r="DI61" i="2"/>
  <c r="CG61" i="2"/>
  <c r="CK61" i="2"/>
  <c r="CS61" i="2"/>
  <c r="DA61" i="2"/>
  <c r="DI30" i="2"/>
  <c r="CG30" i="2"/>
  <c r="CS30" i="2"/>
  <c r="CO73" i="2"/>
  <c r="CG73" i="2"/>
  <c r="DA73" i="2"/>
  <c r="CK73" i="2"/>
  <c r="CS73" i="2"/>
  <c r="DI73" i="2"/>
  <c r="CO57" i="2"/>
  <c r="CS57" i="2"/>
  <c r="CG57" i="2"/>
  <c r="DA57" i="2"/>
  <c r="CK57" i="2"/>
  <c r="DI57" i="2"/>
  <c r="CG430" i="2"/>
  <c r="CS430" i="2"/>
  <c r="CO82" i="2"/>
  <c r="CK82" i="2"/>
  <c r="CO418" i="2"/>
  <c r="DA418" i="2"/>
  <c r="CK418" i="2"/>
  <c r="DI418" i="2"/>
  <c r="CG418" i="2"/>
  <c r="CS418" i="2"/>
  <c r="DI103" i="2"/>
  <c r="CW103" i="2"/>
  <c r="CO103" i="2"/>
  <c r="DE103" i="2"/>
  <c r="DM103" i="2"/>
  <c r="CC103" i="2"/>
  <c r="CK103" i="2"/>
  <c r="CK432" i="2"/>
  <c r="CO66" i="2"/>
  <c r="CK66" i="2"/>
  <c r="CO62" i="2"/>
  <c r="CK62" i="2"/>
  <c r="CO98" i="2"/>
  <c r="CK98" i="2"/>
  <c r="DA34" i="2"/>
  <c r="BY11" i="2"/>
  <c r="CJ4" i="2"/>
  <c r="BV6" i="2"/>
  <c r="DH6" i="2"/>
  <c r="R8" i="2"/>
  <c r="S8" i="2" s="1"/>
  <c r="R9" i="2"/>
  <c r="X9" i="2" s="1"/>
  <c r="AJ9" i="2" s="1"/>
  <c r="AP9" i="2" s="1"/>
  <c r="DH10" i="2"/>
  <c r="CJ12" i="2"/>
  <c r="R5" i="2"/>
  <c r="X5" i="2" s="1"/>
  <c r="Y5" i="2" s="1"/>
  <c r="BV5" i="2"/>
  <c r="CT5" i="2"/>
  <c r="DH5" i="2"/>
  <c r="DH7" i="2"/>
  <c r="R10" i="2"/>
  <c r="S10" i="2" s="1"/>
  <c r="DH16" i="2"/>
  <c r="BW19" i="2"/>
  <c r="DM495" i="2"/>
  <c r="DI495" i="2"/>
  <c r="DE495" i="2"/>
  <c r="DA495" i="2"/>
  <c r="CW495" i="2"/>
  <c r="CS495" i="2"/>
  <c r="CO495" i="2"/>
  <c r="CK495" i="2"/>
  <c r="CG495" i="2"/>
  <c r="CC495" i="2"/>
  <c r="CU495" i="2"/>
  <c r="CI495" i="2"/>
  <c r="DB495" i="2"/>
  <c r="DC495" i="2" s="1"/>
  <c r="DG495" i="2"/>
  <c r="CM495" i="2"/>
  <c r="CE495" i="2"/>
  <c r="DK495" i="2"/>
  <c r="CQ495" i="2"/>
  <c r="CY495" i="2"/>
  <c r="DM486" i="2"/>
  <c r="DI486" i="2"/>
  <c r="DE486" i="2"/>
  <c r="DA486" i="2"/>
  <c r="CW486" i="2"/>
  <c r="CS486" i="2"/>
  <c r="CO486" i="2"/>
  <c r="CK486" i="2"/>
  <c r="CG486" i="2"/>
  <c r="CC486" i="2"/>
  <c r="DB486" i="2"/>
  <c r="DC486" i="2" s="1"/>
  <c r="DK486" i="2"/>
  <c r="CY486" i="2"/>
  <c r="CM486" i="2"/>
  <c r="CE486" i="2"/>
  <c r="DG486" i="2"/>
  <c r="CQ486" i="2"/>
  <c r="CI486" i="2"/>
  <c r="CU486" i="2"/>
  <c r="CY412" i="2"/>
  <c r="CO412" i="2"/>
  <c r="DM396" i="2"/>
  <c r="DI396" i="2"/>
  <c r="DE396" i="2"/>
  <c r="DA396" i="2"/>
  <c r="CW396" i="2"/>
  <c r="CS396" i="2"/>
  <c r="CO396" i="2"/>
  <c r="CK396" i="2"/>
  <c r="CG396" i="2"/>
  <c r="CC396" i="2"/>
  <c r="DB396" i="2"/>
  <c r="DC396" i="2" s="1"/>
  <c r="DK396" i="2"/>
  <c r="DG396" i="2"/>
  <c r="CY396" i="2"/>
  <c r="CU396" i="2"/>
  <c r="CQ396" i="2"/>
  <c r="CM396" i="2"/>
  <c r="CI396" i="2"/>
  <c r="CE396" i="2"/>
  <c r="DM388" i="2"/>
  <c r="DI388" i="2"/>
  <c r="DE388" i="2"/>
  <c r="DA388" i="2"/>
  <c r="CW388" i="2"/>
  <c r="CS388" i="2"/>
  <c r="CO388" i="2"/>
  <c r="CK388" i="2"/>
  <c r="CG388" i="2"/>
  <c r="CC388" i="2"/>
  <c r="DB388" i="2"/>
  <c r="DC388" i="2" s="1"/>
  <c r="DK388" i="2"/>
  <c r="DG388" i="2"/>
  <c r="CY388" i="2"/>
  <c r="CU388" i="2"/>
  <c r="CQ388" i="2"/>
  <c r="CM388" i="2"/>
  <c r="CI388" i="2"/>
  <c r="CE388" i="2"/>
  <c r="DM384" i="2"/>
  <c r="CK384" i="2"/>
  <c r="CG384" i="2"/>
  <c r="CQ384" i="2"/>
  <c r="CM384" i="2"/>
  <c r="DM375" i="2"/>
  <c r="DI375" i="2"/>
  <c r="DE375" i="2"/>
  <c r="DA375" i="2"/>
  <c r="CW375" i="2"/>
  <c r="CS375" i="2"/>
  <c r="CO375" i="2"/>
  <c r="CK375" i="2"/>
  <c r="CG375" i="2"/>
  <c r="CC375" i="2"/>
  <c r="DB375" i="2"/>
  <c r="DC375" i="2" s="1"/>
  <c r="DK375" i="2"/>
  <c r="DG375" i="2"/>
  <c r="CY375" i="2"/>
  <c r="CU375" i="2"/>
  <c r="CQ375" i="2"/>
  <c r="CM375" i="2"/>
  <c r="CI375" i="2"/>
  <c r="CE375" i="2"/>
  <c r="DM370" i="2"/>
  <c r="DI370" i="2"/>
  <c r="DE370" i="2"/>
  <c r="DA370" i="2"/>
  <c r="CW370" i="2"/>
  <c r="CS370" i="2"/>
  <c r="CO370" i="2"/>
  <c r="CK370" i="2"/>
  <c r="CG370" i="2"/>
  <c r="CC370" i="2"/>
  <c r="DB370" i="2"/>
  <c r="DC370" i="2" s="1"/>
  <c r="DK370" i="2"/>
  <c r="DG370" i="2"/>
  <c r="CY370" i="2"/>
  <c r="CU370" i="2"/>
  <c r="CQ370" i="2"/>
  <c r="CM370" i="2"/>
  <c r="CI370" i="2"/>
  <c r="CE370" i="2"/>
  <c r="DM277" i="2"/>
  <c r="DI277" i="2"/>
  <c r="DE277" i="2"/>
  <c r="DA277" i="2"/>
  <c r="CW277" i="2"/>
  <c r="CS277" i="2"/>
  <c r="CO277" i="2"/>
  <c r="CK277" i="2"/>
  <c r="CG277" i="2"/>
  <c r="CC277" i="2"/>
  <c r="CM277" i="2"/>
  <c r="DB277" i="2"/>
  <c r="DC277" i="2" s="1"/>
  <c r="DG277" i="2"/>
  <c r="CQ277" i="2"/>
  <c r="DK277" i="2"/>
  <c r="CU277" i="2"/>
  <c r="CE277" i="2"/>
  <c r="CI277" i="2"/>
  <c r="CY277" i="2"/>
  <c r="DM203" i="2"/>
  <c r="DI203" i="2"/>
  <c r="DE203" i="2"/>
  <c r="DA203" i="2"/>
  <c r="CW203" i="2"/>
  <c r="CS203" i="2"/>
  <c r="CO203" i="2"/>
  <c r="CK203" i="2"/>
  <c r="CG203" i="2"/>
  <c r="CC203" i="2"/>
  <c r="DB203" i="2"/>
  <c r="DC203" i="2" s="1"/>
  <c r="DK203" i="2"/>
  <c r="DG203" i="2"/>
  <c r="CY203" i="2"/>
  <c r="CU203" i="2"/>
  <c r="CQ203" i="2"/>
  <c r="CM203" i="2"/>
  <c r="CI203" i="2"/>
  <c r="CE203" i="2"/>
  <c r="DM191" i="2"/>
  <c r="DI191" i="2"/>
  <c r="DE191" i="2"/>
  <c r="DA191" i="2"/>
  <c r="CW191" i="2"/>
  <c r="CS191" i="2"/>
  <c r="CO191" i="2"/>
  <c r="CK191" i="2"/>
  <c r="CG191" i="2"/>
  <c r="CC191" i="2"/>
  <c r="DB191" i="2"/>
  <c r="DC191" i="2" s="1"/>
  <c r="DK191" i="2"/>
  <c r="DG191" i="2"/>
  <c r="CY191" i="2"/>
  <c r="CU191" i="2"/>
  <c r="CQ191" i="2"/>
  <c r="CM191" i="2"/>
  <c r="CI191" i="2"/>
  <c r="CE191" i="2"/>
  <c r="DM187" i="2"/>
  <c r="DI187" i="2"/>
  <c r="DE187" i="2"/>
  <c r="DA187" i="2"/>
  <c r="CW187" i="2"/>
  <c r="CS187" i="2"/>
  <c r="CO187" i="2"/>
  <c r="CK187" i="2"/>
  <c r="CG187" i="2"/>
  <c r="CC187" i="2"/>
  <c r="DB187" i="2"/>
  <c r="DC187" i="2" s="1"/>
  <c r="DK187" i="2"/>
  <c r="DG187" i="2"/>
  <c r="CY187" i="2"/>
  <c r="CU187" i="2"/>
  <c r="CQ187" i="2"/>
  <c r="CM187" i="2"/>
  <c r="CI187" i="2"/>
  <c r="CE187" i="2"/>
  <c r="DB183" i="2"/>
  <c r="DC183" i="2" s="1"/>
  <c r="DM179" i="2"/>
  <c r="DI179" i="2"/>
  <c r="DE179" i="2"/>
  <c r="DA179" i="2"/>
  <c r="CW179" i="2"/>
  <c r="CS179" i="2"/>
  <c r="CO179" i="2"/>
  <c r="CK179" i="2"/>
  <c r="CG179" i="2"/>
  <c r="CC179" i="2"/>
  <c r="DB179" i="2"/>
  <c r="DC179" i="2" s="1"/>
  <c r="DK179" i="2"/>
  <c r="DG179" i="2"/>
  <c r="CY179" i="2"/>
  <c r="CU179" i="2"/>
  <c r="CQ179" i="2"/>
  <c r="CM179" i="2"/>
  <c r="CI179" i="2"/>
  <c r="CE179" i="2"/>
  <c r="DM175" i="2"/>
  <c r="DI175" i="2"/>
  <c r="DE175" i="2"/>
  <c r="DA175" i="2"/>
  <c r="CW175" i="2"/>
  <c r="CS175" i="2"/>
  <c r="CO175" i="2"/>
  <c r="CK175" i="2"/>
  <c r="CG175" i="2"/>
  <c r="CC175" i="2"/>
  <c r="DB175" i="2"/>
  <c r="DC175" i="2" s="1"/>
  <c r="DK175" i="2"/>
  <c r="DG175" i="2"/>
  <c r="CY175" i="2"/>
  <c r="CU175" i="2"/>
  <c r="CQ175" i="2"/>
  <c r="CM175" i="2"/>
  <c r="CI175" i="2"/>
  <c r="CE175" i="2"/>
  <c r="DM171" i="2"/>
  <c r="DI171" i="2"/>
  <c r="DE171" i="2"/>
  <c r="DA171" i="2"/>
  <c r="CW171" i="2"/>
  <c r="CS171" i="2"/>
  <c r="CO171" i="2"/>
  <c r="CK171" i="2"/>
  <c r="CG171" i="2"/>
  <c r="CC171" i="2"/>
  <c r="DB171" i="2"/>
  <c r="DC171" i="2" s="1"/>
  <c r="DK171" i="2"/>
  <c r="DG171" i="2"/>
  <c r="CY171" i="2"/>
  <c r="CU171" i="2"/>
  <c r="CQ171" i="2"/>
  <c r="CM171" i="2"/>
  <c r="CI171" i="2"/>
  <c r="CE171" i="2"/>
  <c r="DM167" i="2"/>
  <c r="DI167" i="2"/>
  <c r="DE167" i="2"/>
  <c r="DA167" i="2"/>
  <c r="CW167" i="2"/>
  <c r="CS167" i="2"/>
  <c r="CO167" i="2"/>
  <c r="CK167" i="2"/>
  <c r="CG167" i="2"/>
  <c r="CC167" i="2"/>
  <c r="DB167" i="2"/>
  <c r="DC167" i="2" s="1"/>
  <c r="DK167" i="2"/>
  <c r="DG167" i="2"/>
  <c r="CY167" i="2"/>
  <c r="CU167" i="2"/>
  <c r="CQ167" i="2"/>
  <c r="CM167" i="2"/>
  <c r="CI167" i="2"/>
  <c r="CE167" i="2"/>
  <c r="DM159" i="2"/>
  <c r="DI159" i="2"/>
  <c r="DE159" i="2"/>
  <c r="DA159" i="2"/>
  <c r="CW159" i="2"/>
  <c r="CS159" i="2"/>
  <c r="CO159" i="2"/>
  <c r="CK159" i="2"/>
  <c r="CG159" i="2"/>
  <c r="CC159" i="2"/>
  <c r="DB159" i="2"/>
  <c r="DC159" i="2" s="1"/>
  <c r="DK159" i="2"/>
  <c r="DG159" i="2"/>
  <c r="CY159" i="2"/>
  <c r="CU159" i="2"/>
  <c r="CQ159" i="2"/>
  <c r="CM159" i="2"/>
  <c r="CI159" i="2"/>
  <c r="CE159" i="2"/>
  <c r="DM151" i="2"/>
  <c r="DI151" i="2"/>
  <c r="DE151" i="2"/>
  <c r="DA151" i="2"/>
  <c r="CW151" i="2"/>
  <c r="CS151" i="2"/>
  <c r="CO151" i="2"/>
  <c r="CK151" i="2"/>
  <c r="CG151" i="2"/>
  <c r="CC151" i="2"/>
  <c r="DB151" i="2"/>
  <c r="DC151" i="2" s="1"/>
  <c r="DK151" i="2"/>
  <c r="DG151" i="2"/>
  <c r="CY151" i="2"/>
  <c r="CU151" i="2"/>
  <c r="CQ151" i="2"/>
  <c r="CM151" i="2"/>
  <c r="CI151" i="2"/>
  <c r="CE151" i="2"/>
  <c r="CS147" i="2"/>
  <c r="CO147" i="2"/>
  <c r="CY147" i="2"/>
  <c r="CU147" i="2"/>
  <c r="DM500" i="2"/>
  <c r="DI500" i="2"/>
  <c r="DE500" i="2"/>
  <c r="DA500" i="2"/>
  <c r="CW500" i="2"/>
  <c r="CS500" i="2"/>
  <c r="CO500" i="2"/>
  <c r="CK500" i="2"/>
  <c r="CG500" i="2"/>
  <c r="CC500" i="2"/>
  <c r="DB500" i="2"/>
  <c r="DC500" i="2" s="1"/>
  <c r="DK500" i="2"/>
  <c r="DG500" i="2"/>
  <c r="CY500" i="2"/>
  <c r="CU500" i="2"/>
  <c r="CQ500" i="2"/>
  <c r="CM500" i="2"/>
  <c r="CI500" i="2"/>
  <c r="CE500" i="2"/>
  <c r="DM489" i="2"/>
  <c r="DI489" i="2"/>
  <c r="DE489" i="2"/>
  <c r="DA489" i="2"/>
  <c r="CW489" i="2"/>
  <c r="CS489" i="2"/>
  <c r="CO489" i="2"/>
  <c r="CK489" i="2"/>
  <c r="CG489" i="2"/>
  <c r="CC489" i="2"/>
  <c r="DB489" i="2"/>
  <c r="DC489" i="2" s="1"/>
  <c r="DK489" i="2"/>
  <c r="CY489" i="2"/>
  <c r="CM489" i="2"/>
  <c r="CE489" i="2"/>
  <c r="DG489" i="2"/>
  <c r="CQ489" i="2"/>
  <c r="CI489" i="2"/>
  <c r="CU489" i="2"/>
  <c r="DM485" i="2"/>
  <c r="DI485" i="2"/>
  <c r="DE485" i="2"/>
  <c r="DA485" i="2"/>
  <c r="CW485" i="2"/>
  <c r="CS485" i="2"/>
  <c r="CO485" i="2"/>
  <c r="CK485" i="2"/>
  <c r="CG485" i="2"/>
  <c r="CC485" i="2"/>
  <c r="DB485" i="2"/>
  <c r="DC485" i="2" s="1"/>
  <c r="DK485" i="2"/>
  <c r="CY485" i="2"/>
  <c r="CM485" i="2"/>
  <c r="CE485" i="2"/>
  <c r="DG485" i="2"/>
  <c r="CQ485" i="2"/>
  <c r="CI485" i="2"/>
  <c r="CU485" i="2"/>
  <c r="DM491" i="2"/>
  <c r="DI491" i="2"/>
  <c r="DE491" i="2"/>
  <c r="DA491" i="2"/>
  <c r="CW491" i="2"/>
  <c r="CS491" i="2"/>
  <c r="CO491" i="2"/>
  <c r="CK491" i="2"/>
  <c r="CG491" i="2"/>
  <c r="CC491" i="2"/>
  <c r="DK491" i="2"/>
  <c r="CU491" i="2"/>
  <c r="CE491" i="2"/>
  <c r="CY491" i="2"/>
  <c r="CI491" i="2"/>
  <c r="DB491" i="2"/>
  <c r="DC491" i="2" s="1"/>
  <c r="CQ491" i="2"/>
  <c r="CM491" i="2"/>
  <c r="DG491" i="2"/>
  <c r="DM458" i="2"/>
  <c r="CG458" i="2"/>
  <c r="CE458" i="2"/>
  <c r="DB448" i="2"/>
  <c r="DC448" i="2" s="1"/>
  <c r="DK448" i="2"/>
  <c r="CG448" i="2"/>
  <c r="CC448" i="2"/>
  <c r="DM448" i="2"/>
  <c r="DA448" i="2"/>
  <c r="CQ448" i="2"/>
  <c r="CM448" i="2"/>
  <c r="DE448" i="2"/>
  <c r="CU448" i="2"/>
  <c r="DI448" i="2"/>
  <c r="CY448" i="2"/>
  <c r="CS448" i="2"/>
  <c r="CO448" i="2"/>
  <c r="CK448" i="2"/>
  <c r="CE448" i="2"/>
  <c r="DG448" i="2"/>
  <c r="CW448" i="2"/>
  <c r="CI448" i="2"/>
  <c r="DM445" i="2"/>
  <c r="DI445" i="2"/>
  <c r="DE445" i="2"/>
  <c r="DA445" i="2"/>
  <c r="CW445" i="2"/>
  <c r="CS445" i="2"/>
  <c r="CO445" i="2"/>
  <c r="CK445" i="2"/>
  <c r="CG445" i="2"/>
  <c r="CC445" i="2"/>
  <c r="DB445" i="2"/>
  <c r="DC445" i="2" s="1"/>
  <c r="DK445" i="2"/>
  <c r="DG445" i="2"/>
  <c r="CY445" i="2"/>
  <c r="CU445" i="2"/>
  <c r="CQ445" i="2"/>
  <c r="CM445" i="2"/>
  <c r="CI445" i="2"/>
  <c r="CE445" i="2"/>
  <c r="DB410" i="2"/>
  <c r="DC410" i="2" s="1"/>
  <c r="DK410" i="2"/>
  <c r="DG410" i="2"/>
  <c r="CY410" i="2"/>
  <c r="CU410" i="2"/>
  <c r="CQ410" i="2"/>
  <c r="CM410" i="2"/>
  <c r="CI410" i="2"/>
  <c r="CE410" i="2"/>
  <c r="DI410" i="2"/>
  <c r="CW410" i="2"/>
  <c r="DA410" i="2"/>
  <c r="CK410" i="2"/>
  <c r="DM410" i="2"/>
  <c r="DE410" i="2"/>
  <c r="CO410" i="2"/>
  <c r="CC410" i="2"/>
  <c r="CG410" i="2"/>
  <c r="CS410" i="2"/>
  <c r="DM393" i="2"/>
  <c r="DI393" i="2"/>
  <c r="DE393" i="2"/>
  <c r="DA393" i="2"/>
  <c r="CW393" i="2"/>
  <c r="CS393" i="2"/>
  <c r="CO393" i="2"/>
  <c r="CK393" i="2"/>
  <c r="CG393" i="2"/>
  <c r="CC393" i="2"/>
  <c r="DB393" i="2"/>
  <c r="DC393" i="2" s="1"/>
  <c r="DK393" i="2"/>
  <c r="DG393" i="2"/>
  <c r="CY393" i="2"/>
  <c r="CU393" i="2"/>
  <c r="CQ393" i="2"/>
  <c r="CM393" i="2"/>
  <c r="CI393" i="2"/>
  <c r="CE393" i="2"/>
  <c r="DM381" i="2"/>
  <c r="DI381" i="2"/>
  <c r="DE381" i="2"/>
  <c r="DA381" i="2"/>
  <c r="CW381" i="2"/>
  <c r="CS381" i="2"/>
  <c r="CO381" i="2"/>
  <c r="CK381" i="2"/>
  <c r="CG381" i="2"/>
  <c r="CC381" i="2"/>
  <c r="DB381" i="2"/>
  <c r="DC381" i="2" s="1"/>
  <c r="DK381" i="2"/>
  <c r="DG381" i="2"/>
  <c r="CY381" i="2"/>
  <c r="CU381" i="2"/>
  <c r="CQ381" i="2"/>
  <c r="CM381" i="2"/>
  <c r="CI381" i="2"/>
  <c r="CE381" i="2"/>
  <c r="DM371" i="2"/>
  <c r="DI371" i="2"/>
  <c r="DE371" i="2"/>
  <c r="DA371" i="2"/>
  <c r="CW371" i="2"/>
  <c r="CS371" i="2"/>
  <c r="CO371" i="2"/>
  <c r="CK371" i="2"/>
  <c r="CG371" i="2"/>
  <c r="CC371" i="2"/>
  <c r="DB371" i="2"/>
  <c r="DC371" i="2" s="1"/>
  <c r="DK371" i="2"/>
  <c r="DG371" i="2"/>
  <c r="CY371" i="2"/>
  <c r="CU371" i="2"/>
  <c r="CQ371" i="2"/>
  <c r="CM371" i="2"/>
  <c r="CI371" i="2"/>
  <c r="CE371" i="2"/>
  <c r="CM337" i="2"/>
  <c r="DM204" i="2"/>
  <c r="DI204" i="2"/>
  <c r="DE204" i="2"/>
  <c r="DA204" i="2"/>
  <c r="CW204" i="2"/>
  <c r="CS204" i="2"/>
  <c r="CO204" i="2"/>
  <c r="CK204" i="2"/>
  <c r="CG204" i="2"/>
  <c r="CC204" i="2"/>
  <c r="DB204" i="2"/>
  <c r="DC204" i="2" s="1"/>
  <c r="DK204" i="2"/>
  <c r="DG204" i="2"/>
  <c r="CY204" i="2"/>
  <c r="CU204" i="2"/>
  <c r="CQ204" i="2"/>
  <c r="CM204" i="2"/>
  <c r="CI204" i="2"/>
  <c r="CE204" i="2"/>
  <c r="DM200" i="2"/>
  <c r="DI200" i="2"/>
  <c r="DE200" i="2"/>
  <c r="DA200" i="2"/>
  <c r="CW200" i="2"/>
  <c r="CS200" i="2"/>
  <c r="CO200" i="2"/>
  <c r="CK200" i="2"/>
  <c r="CG200" i="2"/>
  <c r="CC200" i="2"/>
  <c r="DB200" i="2"/>
  <c r="DC200" i="2" s="1"/>
  <c r="DK200" i="2"/>
  <c r="DG200" i="2"/>
  <c r="CY200" i="2"/>
  <c r="CU200" i="2"/>
  <c r="CQ200" i="2"/>
  <c r="CM200" i="2"/>
  <c r="CI200" i="2"/>
  <c r="CE200" i="2"/>
  <c r="DM196" i="2"/>
  <c r="DI196" i="2"/>
  <c r="DE196" i="2"/>
  <c r="DA196" i="2"/>
  <c r="CW196" i="2"/>
  <c r="CS196" i="2"/>
  <c r="CO196" i="2"/>
  <c r="CK196" i="2"/>
  <c r="CG196" i="2"/>
  <c r="CC196" i="2"/>
  <c r="DB196" i="2"/>
  <c r="DC196" i="2" s="1"/>
  <c r="DK196" i="2"/>
  <c r="DG196" i="2"/>
  <c r="CY196" i="2"/>
  <c r="CU196" i="2"/>
  <c r="CQ196" i="2"/>
  <c r="CM196" i="2"/>
  <c r="CI196" i="2"/>
  <c r="CE196" i="2"/>
  <c r="DM192" i="2"/>
  <c r="DI192" i="2"/>
  <c r="DE192" i="2"/>
  <c r="DA192" i="2"/>
  <c r="CW192" i="2"/>
  <c r="CS192" i="2"/>
  <c r="CO192" i="2"/>
  <c r="CK192" i="2"/>
  <c r="CG192" i="2"/>
  <c r="CC192" i="2"/>
  <c r="DB192" i="2"/>
  <c r="DC192" i="2" s="1"/>
  <c r="DK192" i="2"/>
  <c r="DG192" i="2"/>
  <c r="CY192" i="2"/>
  <c r="CU192" i="2"/>
  <c r="CQ192" i="2"/>
  <c r="CM192" i="2"/>
  <c r="CI192" i="2"/>
  <c r="CE192" i="2"/>
  <c r="CS188" i="2"/>
  <c r="CO188" i="2"/>
  <c r="CY188" i="2"/>
  <c r="CU188" i="2"/>
  <c r="DM184" i="2"/>
  <c r="DI184" i="2"/>
  <c r="DE184" i="2"/>
  <c r="DA184" i="2"/>
  <c r="CW184" i="2"/>
  <c r="CS184" i="2"/>
  <c r="CO184" i="2"/>
  <c r="CK184" i="2"/>
  <c r="CG184" i="2"/>
  <c r="CC184" i="2"/>
  <c r="DB184" i="2"/>
  <c r="DC184" i="2" s="1"/>
  <c r="DK184" i="2"/>
  <c r="DG184" i="2"/>
  <c r="CY184" i="2"/>
  <c r="CU184" i="2"/>
  <c r="CQ184" i="2"/>
  <c r="CM184" i="2"/>
  <c r="CI184" i="2"/>
  <c r="CE184" i="2"/>
  <c r="DM180" i="2"/>
  <c r="DI180" i="2"/>
  <c r="DE180" i="2"/>
  <c r="CW180" i="2"/>
  <c r="CS180" i="2"/>
  <c r="CO180" i="2"/>
  <c r="CK180" i="2"/>
  <c r="CG180" i="2"/>
  <c r="CC180" i="2"/>
  <c r="DB180" i="2"/>
  <c r="DC180" i="2" s="1"/>
  <c r="CY180" i="2"/>
  <c r="CU180" i="2"/>
  <c r="CM180" i="2"/>
  <c r="CI180" i="2"/>
  <c r="CE180" i="2"/>
  <c r="DM176" i="2"/>
  <c r="DI176" i="2"/>
  <c r="DE176" i="2"/>
  <c r="DA176" i="2"/>
  <c r="CW176" i="2"/>
  <c r="CS176" i="2"/>
  <c r="CO176" i="2"/>
  <c r="CK176" i="2"/>
  <c r="CG176" i="2"/>
  <c r="CC176" i="2"/>
  <c r="DB176" i="2"/>
  <c r="DC176" i="2" s="1"/>
  <c r="DK176" i="2"/>
  <c r="DG176" i="2"/>
  <c r="CY176" i="2"/>
  <c r="CU176" i="2"/>
  <c r="CQ176" i="2"/>
  <c r="CM176" i="2"/>
  <c r="CI176" i="2"/>
  <c r="CE176" i="2"/>
  <c r="DM172" i="2"/>
  <c r="DI172" i="2"/>
  <c r="DE172" i="2"/>
  <c r="DA172" i="2"/>
  <c r="CW172" i="2"/>
  <c r="CS172" i="2"/>
  <c r="CO172" i="2"/>
  <c r="CK172" i="2"/>
  <c r="CG172" i="2"/>
  <c r="CC172" i="2"/>
  <c r="DB172" i="2"/>
  <c r="DK172" i="2"/>
  <c r="DG172" i="2"/>
  <c r="DC172" i="2"/>
  <c r="CY172" i="2"/>
  <c r="CU172" i="2"/>
  <c r="CQ172" i="2"/>
  <c r="CM172" i="2"/>
  <c r="CI172" i="2"/>
  <c r="CE172" i="2"/>
  <c r="DM168" i="2"/>
  <c r="DI168" i="2"/>
  <c r="DE168" i="2"/>
  <c r="DA168" i="2"/>
  <c r="CW168" i="2"/>
  <c r="CS168" i="2"/>
  <c r="CO168" i="2"/>
  <c r="CK168" i="2"/>
  <c r="CG168" i="2"/>
  <c r="CC168" i="2"/>
  <c r="DB168" i="2"/>
  <c r="DC168" i="2" s="1"/>
  <c r="DK168" i="2"/>
  <c r="DG168" i="2"/>
  <c r="CY168" i="2"/>
  <c r="CU168" i="2"/>
  <c r="CQ168" i="2"/>
  <c r="CM168" i="2"/>
  <c r="CI168" i="2"/>
  <c r="CE168" i="2"/>
  <c r="DM164" i="2"/>
  <c r="DI164" i="2"/>
  <c r="DE164" i="2"/>
  <c r="DA164" i="2"/>
  <c r="CW164" i="2"/>
  <c r="CS164" i="2"/>
  <c r="CO164" i="2"/>
  <c r="CK164" i="2"/>
  <c r="CG164" i="2"/>
  <c r="CC164" i="2"/>
  <c r="DB164" i="2"/>
  <c r="DC164" i="2" s="1"/>
  <c r="DK164" i="2"/>
  <c r="DG164" i="2"/>
  <c r="CY164" i="2"/>
  <c r="CU164" i="2"/>
  <c r="CQ164" i="2"/>
  <c r="CM164" i="2"/>
  <c r="CI164" i="2"/>
  <c r="CE164" i="2"/>
  <c r="DA160" i="2"/>
  <c r="CW160" i="2"/>
  <c r="DK160" i="2"/>
  <c r="DG160" i="2"/>
  <c r="DM156" i="2"/>
  <c r="DI156" i="2"/>
  <c r="DE156" i="2"/>
  <c r="DA156" i="2"/>
  <c r="CW156" i="2"/>
  <c r="CS156" i="2"/>
  <c r="CO156" i="2"/>
  <c r="CK156" i="2"/>
  <c r="CG156" i="2"/>
  <c r="CC156" i="2"/>
  <c r="DB156" i="2"/>
  <c r="DC156" i="2" s="1"/>
  <c r="DK156" i="2"/>
  <c r="DG156" i="2"/>
  <c r="CY156" i="2"/>
  <c r="CU156" i="2"/>
  <c r="CQ156" i="2"/>
  <c r="CM156" i="2"/>
  <c r="CI156" i="2"/>
  <c r="CE156" i="2"/>
  <c r="DM152" i="2"/>
  <c r="DI152" i="2"/>
  <c r="DE152" i="2"/>
  <c r="DA152" i="2"/>
  <c r="CW152" i="2"/>
  <c r="CS152" i="2"/>
  <c r="CO152" i="2"/>
  <c r="CK152" i="2"/>
  <c r="CG152" i="2"/>
  <c r="CC152" i="2"/>
  <c r="DB152" i="2"/>
  <c r="DC152" i="2" s="1"/>
  <c r="DK152" i="2"/>
  <c r="DG152" i="2"/>
  <c r="CY152" i="2"/>
  <c r="CU152" i="2"/>
  <c r="CQ152" i="2"/>
  <c r="CM152" i="2"/>
  <c r="CI152" i="2"/>
  <c r="CE152" i="2"/>
  <c r="DM148" i="2"/>
  <c r="DI148" i="2"/>
  <c r="DE148" i="2"/>
  <c r="DA148" i="2"/>
  <c r="CW148" i="2"/>
  <c r="CS148" i="2"/>
  <c r="CO148" i="2"/>
  <c r="CK148" i="2"/>
  <c r="CG148" i="2"/>
  <c r="CC148" i="2"/>
  <c r="DB148" i="2"/>
  <c r="DC148" i="2" s="1"/>
  <c r="DK148" i="2"/>
  <c r="DG148" i="2"/>
  <c r="CY148" i="2"/>
  <c r="CU148" i="2"/>
  <c r="CQ148" i="2"/>
  <c r="CM148" i="2"/>
  <c r="CI148" i="2"/>
  <c r="CE148" i="2"/>
  <c r="DB478" i="2"/>
  <c r="DC478" i="2" s="1"/>
  <c r="DK478" i="2"/>
  <c r="DG478" i="2"/>
  <c r="CY478" i="2"/>
  <c r="CU478" i="2"/>
  <c r="CQ478" i="2"/>
  <c r="CM478" i="2"/>
  <c r="CI478" i="2"/>
  <c r="CE478" i="2"/>
  <c r="DM478" i="2"/>
  <c r="DE478" i="2"/>
  <c r="CO478" i="2"/>
  <c r="CC478" i="2"/>
  <c r="CS478" i="2"/>
  <c r="CG478" i="2"/>
  <c r="CW478" i="2"/>
  <c r="DI478" i="2"/>
  <c r="DA478" i="2"/>
  <c r="CK478" i="2"/>
  <c r="DM459" i="2"/>
  <c r="DI459" i="2"/>
  <c r="DE459" i="2"/>
  <c r="DA459" i="2"/>
  <c r="CW459" i="2"/>
  <c r="CS459" i="2"/>
  <c r="CO459" i="2"/>
  <c r="CK459" i="2"/>
  <c r="CG459" i="2"/>
  <c r="CC459" i="2"/>
  <c r="DB459" i="2"/>
  <c r="DC459" i="2" s="1"/>
  <c r="DK459" i="2"/>
  <c r="CY459" i="2"/>
  <c r="CM459" i="2"/>
  <c r="DG459" i="2"/>
  <c r="CQ459" i="2"/>
  <c r="CE459" i="2"/>
  <c r="CI459" i="2"/>
  <c r="CU459" i="2"/>
  <c r="DB416" i="2"/>
  <c r="DC416" i="2" s="1"/>
  <c r="DK416" i="2"/>
  <c r="DG416" i="2"/>
  <c r="CY416" i="2"/>
  <c r="CU416" i="2"/>
  <c r="CQ416" i="2"/>
  <c r="CM416" i="2"/>
  <c r="CI416" i="2"/>
  <c r="CE416" i="2"/>
  <c r="CO416" i="2"/>
  <c r="CC416" i="2"/>
  <c r="DI416" i="2"/>
  <c r="DA416" i="2"/>
  <c r="CS416" i="2"/>
  <c r="CG416" i="2"/>
  <c r="CW416" i="2"/>
  <c r="DE416" i="2"/>
  <c r="CK416" i="2"/>
  <c r="DM416" i="2"/>
  <c r="DM378" i="2"/>
  <c r="DI378" i="2"/>
  <c r="DE378" i="2"/>
  <c r="DA378" i="2"/>
  <c r="CW378" i="2"/>
  <c r="CS378" i="2"/>
  <c r="CO378" i="2"/>
  <c r="CK378" i="2"/>
  <c r="CG378" i="2"/>
  <c r="CC378" i="2"/>
  <c r="DB378" i="2"/>
  <c r="DC378" i="2" s="1"/>
  <c r="DK378" i="2"/>
  <c r="DG378" i="2"/>
  <c r="CY378" i="2"/>
  <c r="CU378" i="2"/>
  <c r="CQ378" i="2"/>
  <c r="CM378" i="2"/>
  <c r="CI378" i="2"/>
  <c r="CE378" i="2"/>
  <c r="DM269" i="2"/>
  <c r="DI269" i="2"/>
  <c r="CG269" i="2"/>
  <c r="CC269" i="2"/>
  <c r="CE269" i="2"/>
  <c r="CI269" i="2"/>
  <c r="DM199" i="2"/>
  <c r="DI199" i="2"/>
  <c r="DE199" i="2"/>
  <c r="DA199" i="2"/>
  <c r="CW199" i="2"/>
  <c r="CS199" i="2"/>
  <c r="CO199" i="2"/>
  <c r="CK199" i="2"/>
  <c r="CG199" i="2"/>
  <c r="CC199" i="2"/>
  <c r="DB199" i="2"/>
  <c r="DC199" i="2" s="1"/>
  <c r="DK199" i="2"/>
  <c r="DG199" i="2"/>
  <c r="CY199" i="2"/>
  <c r="CU199" i="2"/>
  <c r="CQ199" i="2"/>
  <c r="CM199" i="2"/>
  <c r="CI199" i="2"/>
  <c r="CE199" i="2"/>
  <c r="DM493" i="2"/>
  <c r="DI493" i="2"/>
  <c r="DE493" i="2"/>
  <c r="DA493" i="2"/>
  <c r="CW493" i="2"/>
  <c r="CS493" i="2"/>
  <c r="CO493" i="2"/>
  <c r="CK493" i="2"/>
  <c r="CG493" i="2"/>
  <c r="CC493" i="2"/>
  <c r="CU493" i="2"/>
  <c r="CI493" i="2"/>
  <c r="DB493" i="2"/>
  <c r="DC493" i="2" s="1"/>
  <c r="DG493" i="2"/>
  <c r="CM493" i="2"/>
  <c r="CE493" i="2"/>
  <c r="CY493" i="2"/>
  <c r="DK493" i="2"/>
  <c r="CQ493" i="2"/>
  <c r="DM488" i="2"/>
  <c r="DI488" i="2"/>
  <c r="DE488" i="2"/>
  <c r="DA488" i="2"/>
  <c r="CW488" i="2"/>
  <c r="CS488" i="2"/>
  <c r="CO488" i="2"/>
  <c r="CK488" i="2"/>
  <c r="CG488" i="2"/>
  <c r="CC488" i="2"/>
  <c r="DB488" i="2"/>
  <c r="DC488" i="2" s="1"/>
  <c r="DK488" i="2"/>
  <c r="CY488" i="2"/>
  <c r="CM488" i="2"/>
  <c r="CE488" i="2"/>
  <c r="DG488" i="2"/>
  <c r="CQ488" i="2"/>
  <c r="CI488" i="2"/>
  <c r="CU488" i="2"/>
  <c r="DM484" i="2"/>
  <c r="DI484" i="2"/>
  <c r="DE484" i="2"/>
  <c r="DA484" i="2"/>
  <c r="CW484" i="2"/>
  <c r="CS484" i="2"/>
  <c r="CO484" i="2"/>
  <c r="CK484" i="2"/>
  <c r="CG484" i="2"/>
  <c r="CC484" i="2"/>
  <c r="DB484" i="2"/>
  <c r="DC484" i="2" s="1"/>
  <c r="DK484" i="2"/>
  <c r="CY484" i="2"/>
  <c r="CM484" i="2"/>
  <c r="CE484" i="2"/>
  <c r="DG484" i="2"/>
  <c r="CQ484" i="2"/>
  <c r="CI484" i="2"/>
  <c r="CU484" i="2"/>
  <c r="DM446" i="2"/>
  <c r="DI446" i="2"/>
  <c r="DE446" i="2"/>
  <c r="DA446" i="2"/>
  <c r="CW446" i="2"/>
  <c r="CS446" i="2"/>
  <c r="CO446" i="2"/>
  <c r="CK446" i="2"/>
  <c r="CG446" i="2"/>
  <c r="CC446" i="2"/>
  <c r="DB446" i="2"/>
  <c r="DC446" i="2" s="1"/>
  <c r="DK446" i="2"/>
  <c r="DG446" i="2"/>
  <c r="CY446" i="2"/>
  <c r="CU446" i="2"/>
  <c r="CQ446" i="2"/>
  <c r="CM446" i="2"/>
  <c r="CI446" i="2"/>
  <c r="CE446" i="2"/>
  <c r="DK404" i="2"/>
  <c r="DG404" i="2"/>
  <c r="CY404" i="2"/>
  <c r="CU404" i="2"/>
  <c r="CQ404" i="2"/>
  <c r="CM404" i="2"/>
  <c r="CI404" i="2"/>
  <c r="CE404" i="2"/>
  <c r="DM404" i="2"/>
  <c r="DI404" i="2"/>
  <c r="DE404" i="2"/>
  <c r="DA404" i="2"/>
  <c r="CW404" i="2"/>
  <c r="CS404" i="2"/>
  <c r="CO404" i="2"/>
  <c r="CK404" i="2"/>
  <c r="CG404" i="2"/>
  <c r="CC404" i="2"/>
  <c r="DB404" i="2"/>
  <c r="DC404" i="2" s="1"/>
  <c r="CO386" i="2"/>
  <c r="CU386" i="2"/>
  <c r="DM382" i="2"/>
  <c r="DI382" i="2"/>
  <c r="CC382" i="2"/>
  <c r="CM382" i="2"/>
  <c r="CI382" i="2"/>
  <c r="DM367" i="2"/>
  <c r="DI367" i="2"/>
  <c r="DE367" i="2"/>
  <c r="DA367" i="2"/>
  <c r="CW367" i="2"/>
  <c r="CS367" i="2"/>
  <c r="CO367" i="2"/>
  <c r="CK367" i="2"/>
  <c r="CG367" i="2"/>
  <c r="CC367" i="2"/>
  <c r="DB367" i="2"/>
  <c r="DC367" i="2" s="1"/>
  <c r="DK367" i="2"/>
  <c r="DG367" i="2"/>
  <c r="CY367" i="2"/>
  <c r="CU367" i="2"/>
  <c r="CQ367" i="2"/>
  <c r="CM367" i="2"/>
  <c r="CI367" i="2"/>
  <c r="CE367" i="2"/>
  <c r="DK332" i="2"/>
  <c r="DG332" i="2"/>
  <c r="CY332" i="2"/>
  <c r="CU332" i="2"/>
  <c r="CQ332" i="2"/>
  <c r="CM332" i="2"/>
  <c r="CI332" i="2"/>
  <c r="CE332" i="2"/>
  <c r="DM332" i="2"/>
  <c r="DI332" i="2"/>
  <c r="DE332" i="2"/>
  <c r="DA332" i="2"/>
  <c r="CW332" i="2"/>
  <c r="CS332" i="2"/>
  <c r="CO332" i="2"/>
  <c r="CK332" i="2"/>
  <c r="CG332" i="2"/>
  <c r="CC332" i="2"/>
  <c r="DB332" i="2"/>
  <c r="DC332" i="2" s="1"/>
  <c r="DM281" i="2"/>
  <c r="CK281" i="2"/>
  <c r="CG281" i="2"/>
  <c r="CU281" i="2"/>
  <c r="CE281" i="2"/>
  <c r="DM265" i="2"/>
  <c r="DI265" i="2"/>
  <c r="DE265" i="2"/>
  <c r="DA265" i="2"/>
  <c r="CW265" i="2"/>
  <c r="CS265" i="2"/>
  <c r="CO265" i="2"/>
  <c r="CK265" i="2"/>
  <c r="CG265" i="2"/>
  <c r="CC265" i="2"/>
  <c r="CM265" i="2"/>
  <c r="DB265" i="2"/>
  <c r="DC265" i="2" s="1"/>
  <c r="DG265" i="2"/>
  <c r="CQ265" i="2"/>
  <c r="DK265" i="2"/>
  <c r="CU265" i="2"/>
  <c r="CE265" i="2"/>
  <c r="CI265" i="2"/>
  <c r="CY265" i="2"/>
  <c r="DM205" i="2"/>
  <c r="DI205" i="2"/>
  <c r="DE205" i="2"/>
  <c r="DA205" i="2"/>
  <c r="CW205" i="2"/>
  <c r="CS205" i="2"/>
  <c r="CO205" i="2"/>
  <c r="CK205" i="2"/>
  <c r="CG205" i="2"/>
  <c r="CC205" i="2"/>
  <c r="DB205" i="2"/>
  <c r="DC205" i="2" s="1"/>
  <c r="DK205" i="2"/>
  <c r="DG205" i="2"/>
  <c r="CY205" i="2"/>
  <c r="CU205" i="2"/>
  <c r="CQ205" i="2"/>
  <c r="CM205" i="2"/>
  <c r="CI205" i="2"/>
  <c r="CE205" i="2"/>
  <c r="DM201" i="2"/>
  <c r="DI201" i="2"/>
  <c r="DE201" i="2"/>
  <c r="DA201" i="2"/>
  <c r="CW201" i="2"/>
  <c r="CS201" i="2"/>
  <c r="CO201" i="2"/>
  <c r="CK201" i="2"/>
  <c r="CG201" i="2"/>
  <c r="CC201" i="2"/>
  <c r="DB201" i="2"/>
  <c r="DC201" i="2" s="1"/>
  <c r="DK201" i="2"/>
  <c r="DG201" i="2"/>
  <c r="CY201" i="2"/>
  <c r="CU201" i="2"/>
  <c r="CQ201" i="2"/>
  <c r="CM201" i="2"/>
  <c r="CI201" i="2"/>
  <c r="CE201" i="2"/>
  <c r="DM197" i="2"/>
  <c r="DI197" i="2"/>
  <c r="DE197" i="2"/>
  <c r="DA197" i="2"/>
  <c r="CW197" i="2"/>
  <c r="CS197" i="2"/>
  <c r="CO197" i="2"/>
  <c r="CK197" i="2"/>
  <c r="CG197" i="2"/>
  <c r="CC197" i="2"/>
  <c r="DB197" i="2"/>
  <c r="DC197" i="2" s="1"/>
  <c r="DK197" i="2"/>
  <c r="DG197" i="2"/>
  <c r="CY197" i="2"/>
  <c r="CU197" i="2"/>
  <c r="CQ197" i="2"/>
  <c r="CM197" i="2"/>
  <c r="CI197" i="2"/>
  <c r="CE197" i="2"/>
  <c r="DM193" i="2"/>
  <c r="CG193" i="2"/>
  <c r="CM193" i="2"/>
  <c r="CW185" i="2"/>
  <c r="CS185" i="2"/>
  <c r="DG185" i="2"/>
  <c r="DM181" i="2"/>
  <c r="DI181" i="2"/>
  <c r="DE181" i="2"/>
  <c r="DA181" i="2"/>
  <c r="CW181" i="2"/>
  <c r="CS181" i="2"/>
  <c r="CO181" i="2"/>
  <c r="CK181" i="2"/>
  <c r="CG181" i="2"/>
  <c r="CC181" i="2"/>
  <c r="DB181" i="2"/>
  <c r="DC181" i="2" s="1"/>
  <c r="DK181" i="2"/>
  <c r="DG181" i="2"/>
  <c r="CY181" i="2"/>
  <c r="CU181" i="2"/>
  <c r="CQ181" i="2"/>
  <c r="CM181" i="2"/>
  <c r="CI181" i="2"/>
  <c r="CE181" i="2"/>
  <c r="DM177" i="2"/>
  <c r="DI177" i="2"/>
  <c r="DE177" i="2"/>
  <c r="DA177" i="2"/>
  <c r="CW177" i="2"/>
  <c r="CS177" i="2"/>
  <c r="CO177" i="2"/>
  <c r="CK177" i="2"/>
  <c r="CG177" i="2"/>
  <c r="CC177" i="2"/>
  <c r="DB177" i="2"/>
  <c r="DC177" i="2" s="1"/>
  <c r="DK177" i="2"/>
  <c r="DG177" i="2"/>
  <c r="CY177" i="2"/>
  <c r="CU177" i="2"/>
  <c r="CQ177" i="2"/>
  <c r="CM177" i="2"/>
  <c r="CI177" i="2"/>
  <c r="CE177" i="2"/>
  <c r="DM173" i="2"/>
  <c r="DI173" i="2"/>
  <c r="DE173" i="2"/>
  <c r="DA173" i="2"/>
  <c r="CW173" i="2"/>
  <c r="CS173" i="2"/>
  <c r="CO173" i="2"/>
  <c r="CK173" i="2"/>
  <c r="CG173" i="2"/>
  <c r="CC173" i="2"/>
  <c r="DB173" i="2"/>
  <c r="DC173" i="2" s="1"/>
  <c r="DK173" i="2"/>
  <c r="DG173" i="2"/>
  <c r="CY173" i="2"/>
  <c r="CU173" i="2"/>
  <c r="CQ173" i="2"/>
  <c r="CM173" i="2"/>
  <c r="CI173" i="2"/>
  <c r="CE173" i="2"/>
  <c r="DM169" i="2"/>
  <c r="DI169" i="2"/>
  <c r="CG169" i="2"/>
  <c r="CC169" i="2"/>
  <c r="CM169" i="2"/>
  <c r="CI169" i="2"/>
  <c r="DM165" i="2"/>
  <c r="DI165" i="2"/>
  <c r="DE165" i="2"/>
  <c r="DA165" i="2"/>
  <c r="CW165" i="2"/>
  <c r="CS165" i="2"/>
  <c r="CO165" i="2"/>
  <c r="CK165" i="2"/>
  <c r="CG165" i="2"/>
  <c r="CC165" i="2"/>
  <c r="DB165" i="2"/>
  <c r="DC165" i="2" s="1"/>
  <c r="DK165" i="2"/>
  <c r="DG165" i="2"/>
  <c r="CY165" i="2"/>
  <c r="CU165" i="2"/>
  <c r="CQ165" i="2"/>
  <c r="CM165" i="2"/>
  <c r="CI165" i="2"/>
  <c r="CE165" i="2"/>
  <c r="DM161" i="2"/>
  <c r="DI161" i="2"/>
  <c r="DE161" i="2"/>
  <c r="DA161" i="2"/>
  <c r="CW161" i="2"/>
  <c r="CS161" i="2"/>
  <c r="CO161" i="2"/>
  <c r="CK161" i="2"/>
  <c r="CG161" i="2"/>
  <c r="CC161" i="2"/>
  <c r="DB161" i="2"/>
  <c r="DC161" i="2" s="1"/>
  <c r="DK161" i="2"/>
  <c r="DG161" i="2"/>
  <c r="CY161" i="2"/>
  <c r="CU161" i="2"/>
  <c r="CQ161" i="2"/>
  <c r="CM161" i="2"/>
  <c r="CI161" i="2"/>
  <c r="CE161" i="2"/>
  <c r="DM157" i="2"/>
  <c r="DI157" i="2"/>
  <c r="DE157" i="2"/>
  <c r="DA157" i="2"/>
  <c r="CW157" i="2"/>
  <c r="CS157" i="2"/>
  <c r="CO157" i="2"/>
  <c r="CK157" i="2"/>
  <c r="CG157" i="2"/>
  <c r="CC157" i="2"/>
  <c r="DB157" i="2"/>
  <c r="DC157" i="2" s="1"/>
  <c r="DK157" i="2"/>
  <c r="DG157" i="2"/>
  <c r="CY157" i="2"/>
  <c r="CU157" i="2"/>
  <c r="CQ157" i="2"/>
  <c r="CM157" i="2"/>
  <c r="CI157" i="2"/>
  <c r="CE157" i="2"/>
  <c r="DM153" i="2"/>
  <c r="DI153" i="2"/>
  <c r="DE153" i="2"/>
  <c r="DA153" i="2"/>
  <c r="CW153" i="2"/>
  <c r="CS153" i="2"/>
  <c r="CO153" i="2"/>
  <c r="CK153" i="2"/>
  <c r="CG153" i="2"/>
  <c r="CC153" i="2"/>
  <c r="DB153" i="2"/>
  <c r="DC153" i="2" s="1"/>
  <c r="DK153" i="2"/>
  <c r="DG153" i="2"/>
  <c r="CY153" i="2"/>
  <c r="CU153" i="2"/>
  <c r="CQ153" i="2"/>
  <c r="CM153" i="2"/>
  <c r="CI153" i="2"/>
  <c r="CE153" i="2"/>
  <c r="DM149" i="2"/>
  <c r="DI149" i="2"/>
  <c r="DE149" i="2"/>
  <c r="DA149" i="2"/>
  <c r="CW149" i="2"/>
  <c r="CS149" i="2"/>
  <c r="CO149" i="2"/>
  <c r="CK149" i="2"/>
  <c r="CG149" i="2"/>
  <c r="CC149" i="2"/>
  <c r="DB149" i="2"/>
  <c r="DC149" i="2" s="1"/>
  <c r="DK149" i="2"/>
  <c r="DG149" i="2"/>
  <c r="CY149" i="2"/>
  <c r="CU149" i="2"/>
  <c r="CQ149" i="2"/>
  <c r="CM149" i="2"/>
  <c r="CI149" i="2"/>
  <c r="CE149" i="2"/>
  <c r="CO145" i="2"/>
  <c r="CK145" i="2"/>
  <c r="CU145" i="2"/>
  <c r="CQ145" i="2"/>
  <c r="DM499" i="2"/>
  <c r="DI499" i="2"/>
  <c r="DE499" i="2"/>
  <c r="DA499" i="2"/>
  <c r="CW499" i="2"/>
  <c r="CS499" i="2"/>
  <c r="CO499" i="2"/>
  <c r="CK499" i="2"/>
  <c r="CG499" i="2"/>
  <c r="CC499" i="2"/>
  <c r="DB499" i="2"/>
  <c r="DC499" i="2" s="1"/>
  <c r="DK499" i="2"/>
  <c r="DG499" i="2"/>
  <c r="CY499" i="2"/>
  <c r="CU499" i="2"/>
  <c r="CQ499" i="2"/>
  <c r="CM499" i="2"/>
  <c r="CI499" i="2"/>
  <c r="CE499" i="2"/>
  <c r="DM490" i="2"/>
  <c r="DI490" i="2"/>
  <c r="DE490" i="2"/>
  <c r="DA490" i="2"/>
  <c r="CW490" i="2"/>
  <c r="CS490" i="2"/>
  <c r="CO490" i="2"/>
  <c r="CK490" i="2"/>
  <c r="CG490" i="2"/>
  <c r="CC490" i="2"/>
  <c r="DB490" i="2"/>
  <c r="DC490" i="2" s="1"/>
  <c r="DK490" i="2"/>
  <c r="CY490" i="2"/>
  <c r="CM490" i="2"/>
  <c r="CE490" i="2"/>
  <c r="DG490" i="2"/>
  <c r="CQ490" i="2"/>
  <c r="CI490" i="2"/>
  <c r="CU490" i="2"/>
  <c r="DB476" i="2"/>
  <c r="DC476" i="2" s="1"/>
  <c r="DK476" i="2"/>
  <c r="DG476" i="2"/>
  <c r="CY476" i="2"/>
  <c r="CU476" i="2"/>
  <c r="CQ476" i="2"/>
  <c r="CM476" i="2"/>
  <c r="DI476" i="2"/>
  <c r="CW476" i="2"/>
  <c r="CG476" i="2"/>
  <c r="CC476" i="2"/>
  <c r="DA476" i="2"/>
  <c r="CK476" i="2"/>
  <c r="CS476" i="2"/>
  <c r="CE476" i="2"/>
  <c r="DM476" i="2"/>
  <c r="CI476" i="2"/>
  <c r="CO476" i="2"/>
  <c r="DE476" i="2"/>
  <c r="DB447" i="2"/>
  <c r="DC447" i="2" s="1"/>
  <c r="DI447" i="2"/>
  <c r="CI447" i="2"/>
  <c r="CE447" i="2"/>
  <c r="DM447" i="2"/>
  <c r="DG447" i="2"/>
  <c r="CY447" i="2"/>
  <c r="CU447" i="2"/>
  <c r="CQ447" i="2"/>
  <c r="CM447" i="2"/>
  <c r="DK447" i="2"/>
  <c r="CG447" i="2"/>
  <c r="CC447" i="2"/>
  <c r="DA447" i="2"/>
  <c r="CS447" i="2"/>
  <c r="DE447" i="2"/>
  <c r="CW447" i="2"/>
  <c r="CK447" i="2"/>
  <c r="CO447" i="2"/>
  <c r="DB408" i="2"/>
  <c r="DC408" i="2" s="1"/>
  <c r="DK408" i="2"/>
  <c r="DG408" i="2"/>
  <c r="CY408" i="2"/>
  <c r="CU408" i="2"/>
  <c r="CQ408" i="2"/>
  <c r="CM408" i="2"/>
  <c r="CI408" i="2"/>
  <c r="CE408" i="2"/>
  <c r="DM408" i="2"/>
  <c r="DE408" i="2"/>
  <c r="CO408" i="2"/>
  <c r="CC408" i="2"/>
  <c r="CS408" i="2"/>
  <c r="CG408" i="2"/>
  <c r="DI408" i="2"/>
  <c r="CW408" i="2"/>
  <c r="CK408" i="2"/>
  <c r="DA408" i="2"/>
  <c r="DM392" i="2"/>
  <c r="DI392" i="2"/>
  <c r="DE392" i="2"/>
  <c r="DA392" i="2"/>
  <c r="CW392" i="2"/>
  <c r="CS392" i="2"/>
  <c r="CO392" i="2"/>
  <c r="CK392" i="2"/>
  <c r="CG392" i="2"/>
  <c r="CC392" i="2"/>
  <c r="DB392" i="2"/>
  <c r="DC392" i="2" s="1"/>
  <c r="DK392" i="2"/>
  <c r="DG392" i="2"/>
  <c r="CY392" i="2"/>
  <c r="CU392" i="2"/>
  <c r="CQ392" i="2"/>
  <c r="CM392" i="2"/>
  <c r="CI392" i="2"/>
  <c r="CE392" i="2"/>
  <c r="DM380" i="2"/>
  <c r="DI380" i="2"/>
  <c r="DE380" i="2"/>
  <c r="DA380" i="2"/>
  <c r="CW380" i="2"/>
  <c r="CS380" i="2"/>
  <c r="CO380" i="2"/>
  <c r="CK380" i="2"/>
  <c r="CG380" i="2"/>
  <c r="CC380" i="2"/>
  <c r="DB380" i="2"/>
  <c r="DC380" i="2" s="1"/>
  <c r="DK380" i="2"/>
  <c r="DG380" i="2"/>
  <c r="CY380" i="2"/>
  <c r="CU380" i="2"/>
  <c r="CQ380" i="2"/>
  <c r="CM380" i="2"/>
  <c r="CI380" i="2"/>
  <c r="CE380" i="2"/>
  <c r="DM374" i="2"/>
  <c r="DI374" i="2"/>
  <c r="DE374" i="2"/>
  <c r="DA374" i="2"/>
  <c r="CW374" i="2"/>
  <c r="CS374" i="2"/>
  <c r="CO374" i="2"/>
  <c r="CK374" i="2"/>
  <c r="CG374" i="2"/>
  <c r="CC374" i="2"/>
  <c r="DB374" i="2"/>
  <c r="DC374" i="2" s="1"/>
  <c r="DK374" i="2"/>
  <c r="DG374" i="2"/>
  <c r="CY374" i="2"/>
  <c r="CU374" i="2"/>
  <c r="CQ374" i="2"/>
  <c r="CM374" i="2"/>
  <c r="CI374" i="2"/>
  <c r="CE374" i="2"/>
  <c r="DM261" i="2"/>
  <c r="DI261" i="2"/>
  <c r="DE261" i="2"/>
  <c r="DA261" i="2"/>
  <c r="CW261" i="2"/>
  <c r="CS261" i="2"/>
  <c r="CO261" i="2"/>
  <c r="CK261" i="2"/>
  <c r="CG261" i="2"/>
  <c r="CC261" i="2"/>
  <c r="CM261" i="2"/>
  <c r="DB261" i="2"/>
  <c r="DC261" i="2" s="1"/>
  <c r="DG261" i="2"/>
  <c r="CQ261" i="2"/>
  <c r="DK261" i="2"/>
  <c r="CU261" i="2"/>
  <c r="CE261" i="2"/>
  <c r="CI261" i="2"/>
  <c r="CY261" i="2"/>
  <c r="DK208" i="2"/>
  <c r="DG208" i="2"/>
  <c r="CO208" i="2"/>
  <c r="CK208" i="2"/>
  <c r="CI208" i="2"/>
  <c r="DM195" i="2"/>
  <c r="DI195" i="2"/>
  <c r="DE195" i="2"/>
  <c r="DA195" i="2"/>
  <c r="CW195" i="2"/>
  <c r="CS195" i="2"/>
  <c r="CO195" i="2"/>
  <c r="CK195" i="2"/>
  <c r="CG195" i="2"/>
  <c r="CC195" i="2"/>
  <c r="DB195" i="2"/>
  <c r="DC195" i="2" s="1"/>
  <c r="DK195" i="2"/>
  <c r="DG195" i="2"/>
  <c r="CY195" i="2"/>
  <c r="CU195" i="2"/>
  <c r="CQ195" i="2"/>
  <c r="CM195" i="2"/>
  <c r="CI195" i="2"/>
  <c r="CE195" i="2"/>
  <c r="DM163" i="2"/>
  <c r="DI163" i="2"/>
  <c r="DE163" i="2"/>
  <c r="DA163" i="2"/>
  <c r="CW163" i="2"/>
  <c r="CS163" i="2"/>
  <c r="CO163" i="2"/>
  <c r="CK163" i="2"/>
  <c r="CG163" i="2"/>
  <c r="CC163" i="2"/>
  <c r="DB163" i="2"/>
  <c r="DC163" i="2" s="1"/>
  <c r="DK163" i="2"/>
  <c r="DG163" i="2"/>
  <c r="CY163" i="2"/>
  <c r="CU163" i="2"/>
  <c r="CQ163" i="2"/>
  <c r="CM163" i="2"/>
  <c r="CI163" i="2"/>
  <c r="CE163" i="2"/>
  <c r="DM155" i="2"/>
  <c r="DI155" i="2"/>
  <c r="DE155" i="2"/>
  <c r="DA155" i="2"/>
  <c r="CW155" i="2"/>
  <c r="CS155" i="2"/>
  <c r="CO155" i="2"/>
  <c r="CK155" i="2"/>
  <c r="CG155" i="2"/>
  <c r="CC155" i="2"/>
  <c r="DB155" i="2"/>
  <c r="DC155" i="2" s="1"/>
  <c r="DK155" i="2"/>
  <c r="DG155" i="2"/>
  <c r="CY155" i="2"/>
  <c r="CU155" i="2"/>
  <c r="CQ155" i="2"/>
  <c r="CM155" i="2"/>
  <c r="CI155" i="2"/>
  <c r="CE155" i="2"/>
  <c r="DM143" i="2"/>
  <c r="DI143" i="2"/>
  <c r="DE143" i="2"/>
  <c r="DA143" i="2"/>
  <c r="CW143" i="2"/>
  <c r="CS143" i="2"/>
  <c r="CO143" i="2"/>
  <c r="CK143" i="2"/>
  <c r="CG143" i="2"/>
  <c r="CC143" i="2"/>
  <c r="DB143" i="2"/>
  <c r="DC143" i="2" s="1"/>
  <c r="DK143" i="2"/>
  <c r="DG143" i="2"/>
  <c r="CY143" i="2"/>
  <c r="CU143" i="2"/>
  <c r="CQ143" i="2"/>
  <c r="CM143" i="2"/>
  <c r="CI143" i="2"/>
  <c r="CE143" i="2"/>
  <c r="DB482" i="2"/>
  <c r="DC482" i="2" s="1"/>
  <c r="DM482" i="2"/>
  <c r="DG482" i="2"/>
  <c r="CY482" i="2"/>
  <c r="CU482" i="2"/>
  <c r="CQ482" i="2"/>
  <c r="CM482" i="2"/>
  <c r="DK482" i="2"/>
  <c r="CG482" i="2"/>
  <c r="CC482" i="2"/>
  <c r="DI482" i="2"/>
  <c r="DA482" i="2"/>
  <c r="CS482" i="2"/>
  <c r="CK482" i="2"/>
  <c r="CE482" i="2"/>
  <c r="CW482" i="2"/>
  <c r="CO482" i="2"/>
  <c r="CI482" i="2"/>
  <c r="DE482" i="2"/>
  <c r="DB477" i="2"/>
  <c r="DC477" i="2" s="1"/>
  <c r="DK477" i="2"/>
  <c r="DG477" i="2"/>
  <c r="CY477" i="2"/>
  <c r="CU477" i="2"/>
  <c r="CQ477" i="2"/>
  <c r="CM477" i="2"/>
  <c r="CI477" i="2"/>
  <c r="CE477" i="2"/>
  <c r="CS477" i="2"/>
  <c r="CG477" i="2"/>
  <c r="DI477" i="2"/>
  <c r="CW477" i="2"/>
  <c r="CK477" i="2"/>
  <c r="CC477" i="2"/>
  <c r="DE477" i="2"/>
  <c r="CO477" i="2"/>
  <c r="DM477" i="2"/>
  <c r="DA477" i="2"/>
  <c r="DM395" i="2"/>
  <c r="DI395" i="2"/>
  <c r="DE395" i="2"/>
  <c r="DA395" i="2"/>
  <c r="CW395" i="2"/>
  <c r="CS395" i="2"/>
  <c r="CO395" i="2"/>
  <c r="CK395" i="2"/>
  <c r="CG395" i="2"/>
  <c r="CC395" i="2"/>
  <c r="DB395" i="2"/>
  <c r="DC395" i="2" s="1"/>
  <c r="DK395" i="2"/>
  <c r="DG395" i="2"/>
  <c r="CY395" i="2"/>
  <c r="CU395" i="2"/>
  <c r="CQ395" i="2"/>
  <c r="CM395" i="2"/>
  <c r="CI395" i="2"/>
  <c r="CE395" i="2"/>
  <c r="DM383" i="2"/>
  <c r="DI383" i="2"/>
  <c r="DE383" i="2"/>
  <c r="DA383" i="2"/>
  <c r="CW383" i="2"/>
  <c r="CS383" i="2"/>
  <c r="CO383" i="2"/>
  <c r="CK383" i="2"/>
  <c r="CG383" i="2"/>
  <c r="CC383" i="2"/>
  <c r="DB383" i="2"/>
  <c r="DC383" i="2" s="1"/>
  <c r="DK383" i="2"/>
  <c r="DG383" i="2"/>
  <c r="CY383" i="2"/>
  <c r="CU383" i="2"/>
  <c r="CQ383" i="2"/>
  <c r="CM383" i="2"/>
  <c r="CI383" i="2"/>
  <c r="CE383" i="2"/>
  <c r="DM379" i="2"/>
  <c r="DI379" i="2"/>
  <c r="DE379" i="2"/>
  <c r="DA379" i="2"/>
  <c r="CW379" i="2"/>
  <c r="CS379" i="2"/>
  <c r="CO379" i="2"/>
  <c r="CK379" i="2"/>
  <c r="CG379" i="2"/>
  <c r="CC379" i="2"/>
  <c r="DB379" i="2"/>
  <c r="DC379" i="2" s="1"/>
  <c r="DK379" i="2"/>
  <c r="DG379" i="2"/>
  <c r="CY379" i="2"/>
  <c r="CU379" i="2"/>
  <c r="CQ379" i="2"/>
  <c r="CM379" i="2"/>
  <c r="CI379" i="2"/>
  <c r="CE379" i="2"/>
  <c r="DB363" i="2"/>
  <c r="DC363" i="2" s="1"/>
  <c r="DM363" i="2"/>
  <c r="DG363" i="2"/>
  <c r="CY363" i="2"/>
  <c r="CU363" i="2"/>
  <c r="CQ363" i="2"/>
  <c r="CM363" i="2"/>
  <c r="DK363" i="2"/>
  <c r="CG363" i="2"/>
  <c r="CC363" i="2"/>
  <c r="DE363" i="2"/>
  <c r="DA363" i="2"/>
  <c r="CW363" i="2"/>
  <c r="CS363" i="2"/>
  <c r="CO363" i="2"/>
  <c r="CK363" i="2"/>
  <c r="DI363" i="2"/>
  <c r="CE363" i="2"/>
  <c r="CI363" i="2"/>
  <c r="DI366" i="2"/>
  <c r="CC366" i="2"/>
  <c r="CI366" i="2"/>
  <c r="DM492" i="2"/>
  <c r="DI492" i="2"/>
  <c r="DE492" i="2"/>
  <c r="DA492" i="2"/>
  <c r="CW492" i="2"/>
  <c r="CS492" i="2"/>
  <c r="CO492" i="2"/>
  <c r="CK492" i="2"/>
  <c r="CG492" i="2"/>
  <c r="CC492" i="2"/>
  <c r="CU492" i="2"/>
  <c r="CI492" i="2"/>
  <c r="DB492" i="2"/>
  <c r="DC492" i="2" s="1"/>
  <c r="DG492" i="2"/>
  <c r="CM492" i="2"/>
  <c r="CE492" i="2"/>
  <c r="DK492" i="2"/>
  <c r="CQ492" i="2"/>
  <c r="CY492" i="2"/>
  <c r="DK462" i="2"/>
  <c r="DG462" i="2"/>
  <c r="CY462" i="2"/>
  <c r="CU462" i="2"/>
  <c r="CQ462" i="2"/>
  <c r="CM462" i="2"/>
  <c r="CI462" i="2"/>
  <c r="CE462" i="2"/>
  <c r="DI462" i="2"/>
  <c r="CS462" i="2"/>
  <c r="CC462" i="2"/>
  <c r="DM462" i="2"/>
  <c r="CW462" i="2"/>
  <c r="CG462" i="2"/>
  <c r="DB462" i="2"/>
  <c r="DC462" i="2" s="1"/>
  <c r="DA462" i="2"/>
  <c r="CK462" i="2"/>
  <c r="DE462" i="2"/>
  <c r="CO462" i="2"/>
  <c r="DK405" i="2"/>
  <c r="DG405" i="2"/>
  <c r="DC405" i="2"/>
  <c r="CY405" i="2"/>
  <c r="CU405" i="2"/>
  <c r="CQ405" i="2"/>
  <c r="CM405" i="2"/>
  <c r="CI405" i="2"/>
  <c r="CE405" i="2"/>
  <c r="DM405" i="2"/>
  <c r="DI405" i="2"/>
  <c r="DE405" i="2"/>
  <c r="DA405" i="2"/>
  <c r="CW405" i="2"/>
  <c r="CS405" i="2"/>
  <c r="CO405" i="2"/>
  <c r="CK405" i="2"/>
  <c r="CG405" i="2"/>
  <c r="CC405" i="2"/>
  <c r="DB405" i="2"/>
  <c r="DK350" i="2"/>
  <c r="DG350" i="2"/>
  <c r="CY350" i="2"/>
  <c r="CU350" i="2"/>
  <c r="CQ350" i="2"/>
  <c r="CM350" i="2"/>
  <c r="CI350" i="2"/>
  <c r="CE350" i="2"/>
  <c r="DM350" i="2"/>
  <c r="DI350" i="2"/>
  <c r="DE350" i="2"/>
  <c r="DA350" i="2"/>
  <c r="CW350" i="2"/>
  <c r="CS350" i="2"/>
  <c r="CO350" i="2"/>
  <c r="CK350" i="2"/>
  <c r="CG350" i="2"/>
  <c r="CC350" i="2"/>
  <c r="DB350" i="2"/>
  <c r="DC350" i="2" s="1"/>
  <c r="DK344" i="2"/>
  <c r="DG344" i="2"/>
  <c r="CY344" i="2"/>
  <c r="CU344" i="2"/>
  <c r="CQ344" i="2"/>
  <c r="CM344" i="2"/>
  <c r="CI344" i="2"/>
  <c r="CE344" i="2"/>
  <c r="DM344" i="2"/>
  <c r="DI344" i="2"/>
  <c r="DE344" i="2"/>
  <c r="DA344" i="2"/>
  <c r="CW344" i="2"/>
  <c r="CS344" i="2"/>
  <c r="CO344" i="2"/>
  <c r="CK344" i="2"/>
  <c r="CG344" i="2"/>
  <c r="CC344" i="2"/>
  <c r="DB344" i="2"/>
  <c r="DC344" i="2" s="1"/>
  <c r="DK334" i="2"/>
  <c r="DG334" i="2"/>
  <c r="CY334" i="2"/>
  <c r="CU334" i="2"/>
  <c r="CQ334" i="2"/>
  <c r="CM334" i="2"/>
  <c r="CI334" i="2"/>
  <c r="CE334" i="2"/>
  <c r="DM334" i="2"/>
  <c r="DI334" i="2"/>
  <c r="DE334" i="2"/>
  <c r="DA334" i="2"/>
  <c r="CW334" i="2"/>
  <c r="CS334" i="2"/>
  <c r="CO334" i="2"/>
  <c r="CK334" i="2"/>
  <c r="CG334" i="2"/>
  <c r="CC334" i="2"/>
  <c r="DB334" i="2"/>
  <c r="DC334" i="2" s="1"/>
  <c r="DM284" i="2"/>
  <c r="DI284" i="2"/>
  <c r="DE284" i="2"/>
  <c r="DA284" i="2"/>
  <c r="CW284" i="2"/>
  <c r="CS284" i="2"/>
  <c r="CO284" i="2"/>
  <c r="CK284" i="2"/>
  <c r="CG284" i="2"/>
  <c r="CC284" i="2"/>
  <c r="DB284" i="2"/>
  <c r="DC284" i="2" s="1"/>
  <c r="DG284" i="2"/>
  <c r="CM284" i="2"/>
  <c r="DK284" i="2"/>
  <c r="CY284" i="2"/>
  <c r="CQ284" i="2"/>
  <c r="CE284" i="2"/>
  <c r="CI284" i="2"/>
  <c r="CU284" i="2"/>
  <c r="DK219" i="2"/>
  <c r="DG219" i="2"/>
  <c r="CY219" i="2"/>
  <c r="CU219" i="2"/>
  <c r="CQ219" i="2"/>
  <c r="CM219" i="2"/>
  <c r="CI219" i="2"/>
  <c r="CE219" i="2"/>
  <c r="DM219" i="2"/>
  <c r="DI219" i="2"/>
  <c r="DE219" i="2"/>
  <c r="DA219" i="2"/>
  <c r="CW219" i="2"/>
  <c r="CS219" i="2"/>
  <c r="CO219" i="2"/>
  <c r="CK219" i="2"/>
  <c r="CG219" i="2"/>
  <c r="CC219" i="2"/>
  <c r="DB219" i="2"/>
  <c r="DC219" i="2" s="1"/>
  <c r="CU223" i="2"/>
  <c r="CQ223" i="2"/>
  <c r="DA223" i="2"/>
  <c r="CW223" i="2"/>
  <c r="DB93" i="2"/>
  <c r="DC93" i="2" s="1"/>
  <c r="DK93" i="2"/>
  <c r="DG93" i="2"/>
  <c r="CY93" i="2"/>
  <c r="CU93" i="2"/>
  <c r="CQ93" i="2"/>
  <c r="CM93" i="2"/>
  <c r="CI93" i="2"/>
  <c r="CE93" i="2"/>
  <c r="DI93" i="2"/>
  <c r="CS93" i="2"/>
  <c r="DM93" i="2"/>
  <c r="DE93" i="2"/>
  <c r="CW93" i="2"/>
  <c r="CK93" i="2"/>
  <c r="CG93" i="2"/>
  <c r="CO93" i="2"/>
  <c r="CC93" i="2"/>
  <c r="DA93" i="2"/>
  <c r="DB114" i="2"/>
  <c r="DC114" i="2" s="1"/>
  <c r="DI114" i="2"/>
  <c r="DE114" i="2"/>
  <c r="CS114" i="2"/>
  <c r="CK114" i="2"/>
  <c r="DK114" i="2"/>
  <c r="DG114" i="2"/>
  <c r="CY114" i="2"/>
  <c r="CU114" i="2"/>
  <c r="CQ114" i="2"/>
  <c r="CM114" i="2"/>
  <c r="CI114" i="2"/>
  <c r="CE114" i="2"/>
  <c r="DM114" i="2"/>
  <c r="DA114" i="2"/>
  <c r="CO114" i="2"/>
  <c r="CG114" i="2"/>
  <c r="CW114" i="2"/>
  <c r="CC114" i="2"/>
  <c r="CW54" i="2"/>
  <c r="DM450" i="2"/>
  <c r="DI450" i="2"/>
  <c r="DE450" i="2"/>
  <c r="DA450" i="2"/>
  <c r="CW450" i="2"/>
  <c r="DB450" i="2"/>
  <c r="DC450" i="2" s="1"/>
  <c r="DG450" i="2"/>
  <c r="CI450" i="2"/>
  <c r="CE450" i="2"/>
  <c r="DK450" i="2"/>
  <c r="CC450" i="2"/>
  <c r="CU450" i="2"/>
  <c r="CQ450" i="2"/>
  <c r="CM450" i="2"/>
  <c r="CG450" i="2"/>
  <c r="CY450" i="2"/>
  <c r="CS450" i="2"/>
  <c r="CK450" i="2"/>
  <c r="CO450" i="2"/>
  <c r="DB439" i="2"/>
  <c r="DC439" i="2" s="1"/>
  <c r="DK439" i="2"/>
  <c r="DG439" i="2"/>
  <c r="CY439" i="2"/>
  <c r="CU439" i="2"/>
  <c r="CQ439" i="2"/>
  <c r="CM439" i="2"/>
  <c r="CI439" i="2"/>
  <c r="CE439" i="2"/>
  <c r="DM439" i="2"/>
  <c r="DE439" i="2"/>
  <c r="CW439" i="2"/>
  <c r="CK439" i="2"/>
  <c r="CO439" i="2"/>
  <c r="CC439" i="2"/>
  <c r="DI439" i="2"/>
  <c r="DA439" i="2"/>
  <c r="CS439" i="2"/>
  <c r="CG439" i="2"/>
  <c r="DM444" i="2"/>
  <c r="DI444" i="2"/>
  <c r="DE444" i="2"/>
  <c r="DA444" i="2"/>
  <c r="CW444" i="2"/>
  <c r="CS444" i="2"/>
  <c r="CO444" i="2"/>
  <c r="CK444" i="2"/>
  <c r="CG444" i="2"/>
  <c r="CC444" i="2"/>
  <c r="DB444" i="2"/>
  <c r="DC444" i="2" s="1"/>
  <c r="DK444" i="2"/>
  <c r="DG444" i="2"/>
  <c r="CY444" i="2"/>
  <c r="CU444" i="2"/>
  <c r="CQ444" i="2"/>
  <c r="CM444" i="2"/>
  <c r="CI444" i="2"/>
  <c r="CE444" i="2"/>
  <c r="DK397" i="2"/>
  <c r="DG397" i="2"/>
  <c r="CY397" i="2"/>
  <c r="CU397" i="2"/>
  <c r="CQ397" i="2"/>
  <c r="DM397" i="2"/>
  <c r="DI397" i="2"/>
  <c r="DE397" i="2"/>
  <c r="DA397" i="2"/>
  <c r="CW397" i="2"/>
  <c r="CS397" i="2"/>
  <c r="CO397" i="2"/>
  <c r="CK397" i="2"/>
  <c r="CG397" i="2"/>
  <c r="CC397" i="2"/>
  <c r="CE397" i="2"/>
  <c r="DB397" i="2"/>
  <c r="DC397" i="2" s="1"/>
  <c r="CI397" i="2"/>
  <c r="CM397" i="2"/>
  <c r="DB481" i="2"/>
  <c r="DC481" i="2" s="1"/>
  <c r="DK481" i="2"/>
  <c r="DG481" i="2"/>
  <c r="CY481" i="2"/>
  <c r="CU481" i="2"/>
  <c r="CQ481" i="2"/>
  <c r="CM481" i="2"/>
  <c r="CI481" i="2"/>
  <c r="CE481" i="2"/>
  <c r="CS481" i="2"/>
  <c r="CG481" i="2"/>
  <c r="DI481" i="2"/>
  <c r="CW481" i="2"/>
  <c r="DM481" i="2"/>
  <c r="DA481" i="2"/>
  <c r="CK481" i="2"/>
  <c r="CC481" i="2"/>
  <c r="CO481" i="2"/>
  <c r="DE481" i="2"/>
  <c r="DB427" i="2"/>
  <c r="DC427" i="2" s="1"/>
  <c r="DK427" i="2"/>
  <c r="DG427" i="2"/>
  <c r="CY427" i="2"/>
  <c r="CU427" i="2"/>
  <c r="CQ427" i="2"/>
  <c r="CM427" i="2"/>
  <c r="CI427" i="2"/>
  <c r="CE427" i="2"/>
  <c r="DM427" i="2"/>
  <c r="DE427" i="2"/>
  <c r="CW427" i="2"/>
  <c r="CK427" i="2"/>
  <c r="CO427" i="2"/>
  <c r="CC427" i="2"/>
  <c r="DI427" i="2"/>
  <c r="DA427" i="2"/>
  <c r="CS427" i="2"/>
  <c r="CG427" i="2"/>
  <c r="DB419" i="2"/>
  <c r="DC419" i="2" s="1"/>
  <c r="DK419" i="2"/>
  <c r="DG419" i="2"/>
  <c r="CY419" i="2"/>
  <c r="CU419" i="2"/>
  <c r="CQ419" i="2"/>
  <c r="CM419" i="2"/>
  <c r="CI419" i="2"/>
  <c r="CE419" i="2"/>
  <c r="DM419" i="2"/>
  <c r="DE419" i="2"/>
  <c r="CW419" i="2"/>
  <c r="CK419" i="2"/>
  <c r="CO419" i="2"/>
  <c r="CC419" i="2"/>
  <c r="DI419" i="2"/>
  <c r="DA419" i="2"/>
  <c r="CS419" i="2"/>
  <c r="CG419" i="2"/>
  <c r="DG425" i="2"/>
  <c r="CY425" i="2"/>
  <c r="DA425" i="2"/>
  <c r="CS425" i="2"/>
  <c r="CO425" i="2"/>
  <c r="DK403" i="2"/>
  <c r="DG403" i="2"/>
  <c r="CY403" i="2"/>
  <c r="CU403" i="2"/>
  <c r="CQ403" i="2"/>
  <c r="CM403" i="2"/>
  <c r="CI403" i="2"/>
  <c r="CE403" i="2"/>
  <c r="DM403" i="2"/>
  <c r="DI403" i="2"/>
  <c r="DE403" i="2"/>
  <c r="DA403" i="2"/>
  <c r="CW403" i="2"/>
  <c r="CS403" i="2"/>
  <c r="CO403" i="2"/>
  <c r="CK403" i="2"/>
  <c r="CG403" i="2"/>
  <c r="CC403" i="2"/>
  <c r="DB403" i="2"/>
  <c r="DC403" i="2" s="1"/>
  <c r="DB407" i="2"/>
  <c r="DC407" i="2" s="1"/>
  <c r="DK407" i="2"/>
  <c r="DG407" i="2"/>
  <c r="CY407" i="2"/>
  <c r="CU407" i="2"/>
  <c r="CQ407" i="2"/>
  <c r="CM407" i="2"/>
  <c r="CI407" i="2"/>
  <c r="CE407" i="2"/>
  <c r="CS407" i="2"/>
  <c r="CG407" i="2"/>
  <c r="DI407" i="2"/>
  <c r="CW407" i="2"/>
  <c r="DA407" i="2"/>
  <c r="CK407" i="2"/>
  <c r="CO407" i="2"/>
  <c r="DE407" i="2"/>
  <c r="DM407" i="2"/>
  <c r="CC407" i="2"/>
  <c r="DK400" i="2"/>
  <c r="DG400" i="2"/>
  <c r="CY400" i="2"/>
  <c r="CU400" i="2"/>
  <c r="CQ400" i="2"/>
  <c r="CM400" i="2"/>
  <c r="CI400" i="2"/>
  <c r="CE400" i="2"/>
  <c r="DM400" i="2"/>
  <c r="DI400" i="2"/>
  <c r="DE400" i="2"/>
  <c r="DA400" i="2"/>
  <c r="CW400" i="2"/>
  <c r="CS400" i="2"/>
  <c r="CO400" i="2"/>
  <c r="CK400" i="2"/>
  <c r="CG400" i="2"/>
  <c r="CC400" i="2"/>
  <c r="DB400" i="2"/>
  <c r="DC400" i="2" s="1"/>
  <c r="DK401" i="2"/>
  <c r="DG401" i="2"/>
  <c r="CY401" i="2"/>
  <c r="CU401" i="2"/>
  <c r="CQ401" i="2"/>
  <c r="CM401" i="2"/>
  <c r="CI401" i="2"/>
  <c r="CE401" i="2"/>
  <c r="DM401" i="2"/>
  <c r="DI401" i="2"/>
  <c r="DE401" i="2"/>
  <c r="DA401" i="2"/>
  <c r="CW401" i="2"/>
  <c r="CS401" i="2"/>
  <c r="CO401" i="2"/>
  <c r="CK401" i="2"/>
  <c r="CG401" i="2"/>
  <c r="CC401" i="2"/>
  <c r="DB401" i="2"/>
  <c r="DC401" i="2" s="1"/>
  <c r="DK346" i="2"/>
  <c r="DG346" i="2"/>
  <c r="CY346" i="2"/>
  <c r="CU346" i="2"/>
  <c r="CQ346" i="2"/>
  <c r="CM346" i="2"/>
  <c r="CI346" i="2"/>
  <c r="CE346" i="2"/>
  <c r="DM346" i="2"/>
  <c r="DI346" i="2"/>
  <c r="DE346" i="2"/>
  <c r="DA346" i="2"/>
  <c r="CW346" i="2"/>
  <c r="CS346" i="2"/>
  <c r="CO346" i="2"/>
  <c r="CK346" i="2"/>
  <c r="CG346" i="2"/>
  <c r="CC346" i="2"/>
  <c r="DB346" i="2"/>
  <c r="DC346" i="2" s="1"/>
  <c r="DK358" i="2"/>
  <c r="DG358" i="2"/>
  <c r="CY358" i="2"/>
  <c r="CU358" i="2"/>
  <c r="CQ358" i="2"/>
  <c r="CM358" i="2"/>
  <c r="CI358" i="2"/>
  <c r="CE358" i="2"/>
  <c r="DM358" i="2"/>
  <c r="DI358" i="2"/>
  <c r="DE358" i="2"/>
  <c r="DA358" i="2"/>
  <c r="CW358" i="2"/>
  <c r="CS358" i="2"/>
  <c r="CO358" i="2"/>
  <c r="CK358" i="2"/>
  <c r="CG358" i="2"/>
  <c r="CC358" i="2"/>
  <c r="DB358" i="2"/>
  <c r="DC358" i="2" s="1"/>
  <c r="DK338" i="2"/>
  <c r="DG338" i="2"/>
  <c r="CY338" i="2"/>
  <c r="CU338" i="2"/>
  <c r="CQ338" i="2"/>
  <c r="CM338" i="2"/>
  <c r="CI338" i="2"/>
  <c r="CE338" i="2"/>
  <c r="DM338" i="2"/>
  <c r="DI338" i="2"/>
  <c r="DE338" i="2"/>
  <c r="DA338" i="2"/>
  <c r="CW338" i="2"/>
  <c r="CS338" i="2"/>
  <c r="CO338" i="2"/>
  <c r="CK338" i="2"/>
  <c r="CG338" i="2"/>
  <c r="CC338" i="2"/>
  <c r="DB338" i="2"/>
  <c r="DC338" i="2" s="1"/>
  <c r="DK214" i="2"/>
  <c r="DG214" i="2"/>
  <c r="CY214" i="2"/>
  <c r="CU214" i="2"/>
  <c r="CQ214" i="2"/>
  <c r="CM214" i="2"/>
  <c r="CI214" i="2"/>
  <c r="CE214" i="2"/>
  <c r="DM214" i="2"/>
  <c r="DI214" i="2"/>
  <c r="DE214" i="2"/>
  <c r="DA214" i="2"/>
  <c r="CW214" i="2"/>
  <c r="CS214" i="2"/>
  <c r="CO214" i="2"/>
  <c r="CK214" i="2"/>
  <c r="CG214" i="2"/>
  <c r="CC214" i="2"/>
  <c r="DB214" i="2"/>
  <c r="DC214" i="2" s="1"/>
  <c r="DM273" i="2"/>
  <c r="DI273" i="2"/>
  <c r="DE273" i="2"/>
  <c r="DA273" i="2"/>
  <c r="CW273" i="2"/>
  <c r="CS273" i="2"/>
  <c r="CO273" i="2"/>
  <c r="CK273" i="2"/>
  <c r="CG273" i="2"/>
  <c r="CC273" i="2"/>
  <c r="CM273" i="2"/>
  <c r="DB273" i="2"/>
  <c r="DC273" i="2" s="1"/>
  <c r="DG273" i="2"/>
  <c r="CQ273" i="2"/>
  <c r="DK273" i="2"/>
  <c r="CU273" i="2"/>
  <c r="CE273" i="2"/>
  <c r="CI273" i="2"/>
  <c r="CY273" i="2"/>
  <c r="DB130" i="2"/>
  <c r="DC130" i="2" s="1"/>
  <c r="DI130" i="2"/>
  <c r="CW130" i="2"/>
  <c r="CK130" i="2"/>
  <c r="DK130" i="2"/>
  <c r="DG130" i="2"/>
  <c r="CY130" i="2"/>
  <c r="CU130" i="2"/>
  <c r="CQ130" i="2"/>
  <c r="CM130" i="2"/>
  <c r="CI130" i="2"/>
  <c r="CE130" i="2"/>
  <c r="DM130" i="2"/>
  <c r="DA130" i="2"/>
  <c r="CS130" i="2"/>
  <c r="CG130" i="2"/>
  <c r="DE130" i="2"/>
  <c r="CO130" i="2"/>
  <c r="CC130" i="2"/>
  <c r="DB105" i="2"/>
  <c r="DC105" i="2" s="1"/>
  <c r="DK105" i="2"/>
  <c r="DG105" i="2"/>
  <c r="CY105" i="2"/>
  <c r="CU105" i="2"/>
  <c r="CQ105" i="2"/>
  <c r="CM105" i="2"/>
  <c r="CI105" i="2"/>
  <c r="CE105" i="2"/>
  <c r="CS105" i="2"/>
  <c r="DM105" i="2"/>
  <c r="DE105" i="2"/>
  <c r="CW105" i="2"/>
  <c r="CK105" i="2"/>
  <c r="DI105" i="2"/>
  <c r="CG105" i="2"/>
  <c r="CO105" i="2"/>
  <c r="CC105" i="2"/>
  <c r="DA105" i="2"/>
  <c r="DB84" i="2"/>
  <c r="DK84" i="2"/>
  <c r="DG84" i="2"/>
  <c r="DC84" i="2"/>
  <c r="CY84" i="2"/>
  <c r="CU84" i="2"/>
  <c r="CQ84" i="2"/>
  <c r="CM84" i="2"/>
  <c r="CI84" i="2"/>
  <c r="CE84" i="2"/>
  <c r="DI84" i="2"/>
  <c r="DA84" i="2"/>
  <c r="CS84" i="2"/>
  <c r="CG84" i="2"/>
  <c r="CO84" i="2"/>
  <c r="CC84" i="2"/>
  <c r="DM84" i="2"/>
  <c r="DE84" i="2"/>
  <c r="CW84" i="2"/>
  <c r="CK84" i="2"/>
  <c r="DB68" i="2"/>
  <c r="DC68" i="2" s="1"/>
  <c r="DK68" i="2"/>
  <c r="DG68" i="2"/>
  <c r="CY68" i="2"/>
  <c r="CU68" i="2"/>
  <c r="CQ68" i="2"/>
  <c r="CM68" i="2"/>
  <c r="CI68" i="2"/>
  <c r="CE68" i="2"/>
  <c r="DI68" i="2"/>
  <c r="DA68" i="2"/>
  <c r="CS68" i="2"/>
  <c r="CG68" i="2"/>
  <c r="CC68" i="2"/>
  <c r="DM68" i="2"/>
  <c r="DE68" i="2"/>
  <c r="CW68" i="2"/>
  <c r="CK68" i="2"/>
  <c r="CO68" i="2"/>
  <c r="DK467" i="2"/>
  <c r="DG467" i="2"/>
  <c r="CY467" i="2"/>
  <c r="CU467" i="2"/>
  <c r="CQ467" i="2"/>
  <c r="CM467" i="2"/>
  <c r="CI467" i="2"/>
  <c r="CE467" i="2"/>
  <c r="DI467" i="2"/>
  <c r="CS467" i="2"/>
  <c r="CC467" i="2"/>
  <c r="DM467" i="2"/>
  <c r="CW467" i="2"/>
  <c r="CG467" i="2"/>
  <c r="DA467" i="2"/>
  <c r="CK467" i="2"/>
  <c r="DE467" i="2"/>
  <c r="CO467" i="2"/>
  <c r="DB467" i="2"/>
  <c r="DC467" i="2" s="1"/>
  <c r="DB429" i="2"/>
  <c r="DC429" i="2" s="1"/>
  <c r="DK429" i="2"/>
  <c r="DG429" i="2"/>
  <c r="CY429" i="2"/>
  <c r="CU429" i="2"/>
  <c r="CQ429" i="2"/>
  <c r="CM429" i="2"/>
  <c r="CI429" i="2"/>
  <c r="CE429" i="2"/>
  <c r="DI429" i="2"/>
  <c r="DA429" i="2"/>
  <c r="CS429" i="2"/>
  <c r="CG429" i="2"/>
  <c r="DM429" i="2"/>
  <c r="DE429" i="2"/>
  <c r="CW429" i="2"/>
  <c r="CK429" i="2"/>
  <c r="CO429" i="2"/>
  <c r="CC429" i="2"/>
  <c r="DK357" i="2"/>
  <c r="DG357" i="2"/>
  <c r="DC357" i="2"/>
  <c r="CY357" i="2"/>
  <c r="CU357" i="2"/>
  <c r="CQ357" i="2"/>
  <c r="CM357" i="2"/>
  <c r="CI357" i="2"/>
  <c r="CE357" i="2"/>
  <c r="DM357" i="2"/>
  <c r="DI357" i="2"/>
  <c r="DE357" i="2"/>
  <c r="DA357" i="2"/>
  <c r="CW357" i="2"/>
  <c r="CS357" i="2"/>
  <c r="CO357" i="2"/>
  <c r="CK357" i="2"/>
  <c r="CG357" i="2"/>
  <c r="CC357" i="2"/>
  <c r="DB357" i="2"/>
  <c r="DM391" i="2"/>
  <c r="DI391" i="2"/>
  <c r="DE391" i="2"/>
  <c r="DA391" i="2"/>
  <c r="CW391" i="2"/>
  <c r="CS391" i="2"/>
  <c r="CO391" i="2"/>
  <c r="CK391" i="2"/>
  <c r="CG391" i="2"/>
  <c r="CC391" i="2"/>
  <c r="DB391" i="2"/>
  <c r="DC391" i="2" s="1"/>
  <c r="DK391" i="2"/>
  <c r="DG391" i="2"/>
  <c r="CY391" i="2"/>
  <c r="CU391" i="2"/>
  <c r="CQ391" i="2"/>
  <c r="CM391" i="2"/>
  <c r="CI391" i="2"/>
  <c r="CE391" i="2"/>
  <c r="DM283" i="2"/>
  <c r="DI283" i="2"/>
  <c r="DE283" i="2"/>
  <c r="DA283" i="2"/>
  <c r="CW283" i="2"/>
  <c r="CS283" i="2"/>
  <c r="CO283" i="2"/>
  <c r="CK283" i="2"/>
  <c r="CG283" i="2"/>
  <c r="CC283" i="2"/>
  <c r="DB283" i="2"/>
  <c r="DG283" i="2"/>
  <c r="CM283" i="2"/>
  <c r="DK283" i="2"/>
  <c r="CY283" i="2"/>
  <c r="CQ283" i="2"/>
  <c r="CE283" i="2"/>
  <c r="CU283" i="2"/>
  <c r="DC283" i="2"/>
  <c r="CI283" i="2"/>
  <c r="CM394" i="2"/>
  <c r="DK327" i="2"/>
  <c r="DG327" i="2"/>
  <c r="CY327" i="2"/>
  <c r="CU327" i="2"/>
  <c r="CQ327" i="2"/>
  <c r="CM327" i="2"/>
  <c r="CI327" i="2"/>
  <c r="CE327" i="2"/>
  <c r="DM327" i="2"/>
  <c r="DI327" i="2"/>
  <c r="DE327" i="2"/>
  <c r="DA327" i="2"/>
  <c r="CW327" i="2"/>
  <c r="CS327" i="2"/>
  <c r="CO327" i="2"/>
  <c r="CK327" i="2"/>
  <c r="CG327" i="2"/>
  <c r="CC327" i="2"/>
  <c r="DB327" i="2"/>
  <c r="DC327" i="2" s="1"/>
  <c r="DM268" i="2"/>
  <c r="DI268" i="2"/>
  <c r="DE268" i="2"/>
  <c r="DA268" i="2"/>
  <c r="CW268" i="2"/>
  <c r="CS268" i="2"/>
  <c r="CO268" i="2"/>
  <c r="CK268" i="2"/>
  <c r="CG268" i="2"/>
  <c r="CC268" i="2"/>
  <c r="CY268" i="2"/>
  <c r="CI268" i="2"/>
  <c r="CM268" i="2"/>
  <c r="DB268" i="2"/>
  <c r="DC268" i="2" s="1"/>
  <c r="DG268" i="2"/>
  <c r="CQ268" i="2"/>
  <c r="CU268" i="2"/>
  <c r="CE268" i="2"/>
  <c r="DK268" i="2"/>
  <c r="DK221" i="2"/>
  <c r="DG221" i="2"/>
  <c r="CY221" i="2"/>
  <c r="CU221" i="2"/>
  <c r="CQ221" i="2"/>
  <c r="CM221" i="2"/>
  <c r="CI221" i="2"/>
  <c r="CE221" i="2"/>
  <c r="DM221" i="2"/>
  <c r="DI221" i="2"/>
  <c r="DE221" i="2"/>
  <c r="DA221" i="2"/>
  <c r="CW221" i="2"/>
  <c r="CS221" i="2"/>
  <c r="CO221" i="2"/>
  <c r="CK221" i="2"/>
  <c r="CG221" i="2"/>
  <c r="CC221" i="2"/>
  <c r="DB221" i="2"/>
  <c r="DC221" i="2" s="1"/>
  <c r="DK216" i="2"/>
  <c r="DG216" i="2"/>
  <c r="CY216" i="2"/>
  <c r="CU216" i="2"/>
  <c r="CQ216" i="2"/>
  <c r="CM216" i="2"/>
  <c r="CI216" i="2"/>
  <c r="CE216" i="2"/>
  <c r="DM216" i="2"/>
  <c r="DI216" i="2"/>
  <c r="DE216" i="2"/>
  <c r="DA216" i="2"/>
  <c r="CW216" i="2"/>
  <c r="CS216" i="2"/>
  <c r="CO216" i="2"/>
  <c r="CK216" i="2"/>
  <c r="CG216" i="2"/>
  <c r="CC216" i="2"/>
  <c r="DB216" i="2"/>
  <c r="DC216" i="2" s="1"/>
  <c r="DB123" i="2"/>
  <c r="DI123" i="2"/>
  <c r="CW123" i="2"/>
  <c r="CO123" i="2"/>
  <c r="CC123" i="2"/>
  <c r="DK123" i="2"/>
  <c r="DG123" i="2"/>
  <c r="DC123" i="2"/>
  <c r="CY123" i="2"/>
  <c r="CU123" i="2"/>
  <c r="CQ123" i="2"/>
  <c r="CM123" i="2"/>
  <c r="CI123" i="2"/>
  <c r="CE123" i="2"/>
  <c r="DM123" i="2"/>
  <c r="DA123" i="2"/>
  <c r="CS123" i="2"/>
  <c r="CG123" i="2"/>
  <c r="DE123" i="2"/>
  <c r="CK123" i="2"/>
  <c r="DB106" i="2"/>
  <c r="DC106" i="2" s="1"/>
  <c r="DK106" i="2"/>
  <c r="DG106" i="2"/>
  <c r="CY106" i="2"/>
  <c r="CU106" i="2"/>
  <c r="CQ106" i="2"/>
  <c r="CM106" i="2"/>
  <c r="CI106" i="2"/>
  <c r="CE106" i="2"/>
  <c r="DM106" i="2"/>
  <c r="DE106" i="2"/>
  <c r="CW106" i="2"/>
  <c r="CK106" i="2"/>
  <c r="CO106" i="2"/>
  <c r="CC106" i="2"/>
  <c r="DI106" i="2"/>
  <c r="DA106" i="2"/>
  <c r="CS106" i="2"/>
  <c r="CG106" i="2"/>
  <c r="DM198" i="2"/>
  <c r="DI198" i="2"/>
  <c r="DE198" i="2"/>
  <c r="DA198" i="2"/>
  <c r="CW198" i="2"/>
  <c r="CS198" i="2"/>
  <c r="CO198" i="2"/>
  <c r="CK198" i="2"/>
  <c r="CG198" i="2"/>
  <c r="CC198" i="2"/>
  <c r="DB198" i="2"/>
  <c r="DC198" i="2" s="1"/>
  <c r="DK198" i="2"/>
  <c r="DG198" i="2"/>
  <c r="CY198" i="2"/>
  <c r="CU198" i="2"/>
  <c r="CQ198" i="2"/>
  <c r="CM198" i="2"/>
  <c r="CI198" i="2"/>
  <c r="CE198" i="2"/>
  <c r="DM190" i="2"/>
  <c r="DI190" i="2"/>
  <c r="DA190" i="2"/>
  <c r="CW190" i="2"/>
  <c r="CK190" i="2"/>
  <c r="CG190" i="2"/>
  <c r="CC190" i="2"/>
  <c r="DK190" i="2"/>
  <c r="DG190" i="2"/>
  <c r="CQ190" i="2"/>
  <c r="CM190" i="2"/>
  <c r="CI190" i="2"/>
  <c r="DM182" i="2"/>
  <c r="DI182" i="2"/>
  <c r="DE182" i="2"/>
  <c r="DA182" i="2"/>
  <c r="CW182" i="2"/>
  <c r="CS182" i="2"/>
  <c r="CO182" i="2"/>
  <c r="CK182" i="2"/>
  <c r="CG182" i="2"/>
  <c r="CC182" i="2"/>
  <c r="DB182" i="2"/>
  <c r="DC182" i="2" s="1"/>
  <c r="DK182" i="2"/>
  <c r="DG182" i="2"/>
  <c r="CY182" i="2"/>
  <c r="CU182" i="2"/>
  <c r="CQ182" i="2"/>
  <c r="CM182" i="2"/>
  <c r="CI182" i="2"/>
  <c r="CE182" i="2"/>
  <c r="DM174" i="2"/>
  <c r="DI174" i="2"/>
  <c r="DE174" i="2"/>
  <c r="DA174" i="2"/>
  <c r="CW174" i="2"/>
  <c r="CS174" i="2"/>
  <c r="CO174" i="2"/>
  <c r="CK174" i="2"/>
  <c r="CG174" i="2"/>
  <c r="CC174" i="2"/>
  <c r="DB174" i="2"/>
  <c r="DC174" i="2" s="1"/>
  <c r="DK174" i="2"/>
  <c r="DG174" i="2"/>
  <c r="CY174" i="2"/>
  <c r="CU174" i="2"/>
  <c r="CQ174" i="2"/>
  <c r="CM174" i="2"/>
  <c r="CI174" i="2"/>
  <c r="CE174" i="2"/>
  <c r="DM166" i="2"/>
  <c r="DI166" i="2"/>
  <c r="DE166" i="2"/>
  <c r="DA166" i="2"/>
  <c r="CW166" i="2"/>
  <c r="CS166" i="2"/>
  <c r="CO166" i="2"/>
  <c r="CK166" i="2"/>
  <c r="CG166" i="2"/>
  <c r="CC166" i="2"/>
  <c r="DB166" i="2"/>
  <c r="DC166" i="2" s="1"/>
  <c r="DK166" i="2"/>
  <c r="DG166" i="2"/>
  <c r="CY166" i="2"/>
  <c r="CU166" i="2"/>
  <c r="CQ166" i="2"/>
  <c r="CM166" i="2"/>
  <c r="CI166" i="2"/>
  <c r="CE166" i="2"/>
  <c r="DM158" i="2"/>
  <c r="DI158" i="2"/>
  <c r="DE158" i="2"/>
  <c r="DA158" i="2"/>
  <c r="CW158" i="2"/>
  <c r="CS158" i="2"/>
  <c r="CO158" i="2"/>
  <c r="CK158" i="2"/>
  <c r="CG158" i="2"/>
  <c r="CC158" i="2"/>
  <c r="DB158" i="2"/>
  <c r="DC158" i="2" s="1"/>
  <c r="DK158" i="2"/>
  <c r="DG158" i="2"/>
  <c r="CY158" i="2"/>
  <c r="CU158" i="2"/>
  <c r="CQ158" i="2"/>
  <c r="CM158" i="2"/>
  <c r="CI158" i="2"/>
  <c r="CE158" i="2"/>
  <c r="DM150" i="2"/>
  <c r="DI150" i="2"/>
  <c r="DE150" i="2"/>
  <c r="DA150" i="2"/>
  <c r="CW150" i="2"/>
  <c r="CS150" i="2"/>
  <c r="CO150" i="2"/>
  <c r="CK150" i="2"/>
  <c r="CG150" i="2"/>
  <c r="CC150" i="2"/>
  <c r="DB150" i="2"/>
  <c r="DC150" i="2" s="1"/>
  <c r="DK150" i="2"/>
  <c r="DG150" i="2"/>
  <c r="CY150" i="2"/>
  <c r="CU150" i="2"/>
  <c r="CQ150" i="2"/>
  <c r="CM150" i="2"/>
  <c r="CI150" i="2"/>
  <c r="CE150" i="2"/>
  <c r="DK138" i="2"/>
  <c r="DG138" i="2"/>
  <c r="CY138" i="2"/>
  <c r="CU138" i="2"/>
  <c r="CQ138" i="2"/>
  <c r="CM138" i="2"/>
  <c r="CI138" i="2"/>
  <c r="CE138" i="2"/>
  <c r="DE138" i="2"/>
  <c r="CO138" i="2"/>
  <c r="DA138" i="2"/>
  <c r="DI138" i="2"/>
  <c r="CS138" i="2"/>
  <c r="CC138" i="2"/>
  <c r="DB138" i="2"/>
  <c r="DC138" i="2" s="1"/>
  <c r="CK138" i="2"/>
  <c r="DM138" i="2"/>
  <c r="CW138" i="2"/>
  <c r="CG138" i="2"/>
  <c r="DB109" i="2"/>
  <c r="DC109" i="2" s="1"/>
  <c r="DK109" i="2"/>
  <c r="DG109" i="2"/>
  <c r="CY109" i="2"/>
  <c r="CU109" i="2"/>
  <c r="CQ109" i="2"/>
  <c r="CM109" i="2"/>
  <c r="CI109" i="2"/>
  <c r="CE109" i="2"/>
  <c r="CS109" i="2"/>
  <c r="DM109" i="2"/>
  <c r="DE109" i="2"/>
  <c r="CW109" i="2"/>
  <c r="CK109" i="2"/>
  <c r="DI109" i="2"/>
  <c r="CG109" i="2"/>
  <c r="CO109" i="2"/>
  <c r="CC109" i="2"/>
  <c r="DA109" i="2"/>
  <c r="DB96" i="2"/>
  <c r="DC96" i="2" s="1"/>
  <c r="DK96" i="2"/>
  <c r="DG96" i="2"/>
  <c r="CY96" i="2"/>
  <c r="CU96" i="2"/>
  <c r="CQ96" i="2"/>
  <c r="CM96" i="2"/>
  <c r="CI96" i="2"/>
  <c r="CE96" i="2"/>
  <c r="DI96" i="2"/>
  <c r="DA96" i="2"/>
  <c r="CS96" i="2"/>
  <c r="CG96" i="2"/>
  <c r="DM96" i="2"/>
  <c r="DE96" i="2"/>
  <c r="CW96" i="2"/>
  <c r="CK96" i="2"/>
  <c r="CO96" i="2"/>
  <c r="CC96" i="2"/>
  <c r="DK72" i="2"/>
  <c r="CU72" i="2"/>
  <c r="CQ72" i="2"/>
  <c r="CM72" i="2"/>
  <c r="CI72" i="2"/>
  <c r="CE72" i="2"/>
  <c r="DI72" i="2"/>
  <c r="CG72" i="2"/>
  <c r="CO72" i="2"/>
  <c r="CC72" i="2"/>
  <c r="DE72" i="2"/>
  <c r="CW72" i="2"/>
  <c r="DB56" i="2"/>
  <c r="DC56" i="2" s="1"/>
  <c r="DK56" i="2"/>
  <c r="DG56" i="2"/>
  <c r="CY56" i="2"/>
  <c r="CU56" i="2"/>
  <c r="CQ56" i="2"/>
  <c r="CM56" i="2"/>
  <c r="CI56" i="2"/>
  <c r="CE56" i="2"/>
  <c r="DI56" i="2"/>
  <c r="DA56" i="2"/>
  <c r="CS56" i="2"/>
  <c r="CG56" i="2"/>
  <c r="CO56" i="2"/>
  <c r="CC56" i="2"/>
  <c r="DM56" i="2"/>
  <c r="DE56" i="2"/>
  <c r="CW56" i="2"/>
  <c r="CK56" i="2"/>
  <c r="CX475" i="2"/>
  <c r="DL475" i="2" s="1"/>
  <c r="CU461" i="2"/>
  <c r="DM461" i="2"/>
  <c r="DK470" i="2"/>
  <c r="DG470" i="2"/>
  <c r="CY470" i="2"/>
  <c r="CU470" i="2"/>
  <c r="CQ470" i="2"/>
  <c r="CM470" i="2"/>
  <c r="CI470" i="2"/>
  <c r="CE470" i="2"/>
  <c r="DI470" i="2"/>
  <c r="CS470" i="2"/>
  <c r="CC470" i="2"/>
  <c r="DM470" i="2"/>
  <c r="CW470" i="2"/>
  <c r="CG470" i="2"/>
  <c r="DB470" i="2"/>
  <c r="DC470" i="2" s="1"/>
  <c r="DA470" i="2"/>
  <c r="CK470" i="2"/>
  <c r="CO470" i="2"/>
  <c r="DE470" i="2"/>
  <c r="CX441" i="2"/>
  <c r="DL441" i="2" s="1"/>
  <c r="DB431" i="2"/>
  <c r="DC431" i="2" s="1"/>
  <c r="DK431" i="2"/>
  <c r="DG431" i="2"/>
  <c r="CY431" i="2"/>
  <c r="CU431" i="2"/>
  <c r="CQ431" i="2"/>
  <c r="CM431" i="2"/>
  <c r="CI431" i="2"/>
  <c r="CE431" i="2"/>
  <c r="DM431" i="2"/>
  <c r="DE431" i="2"/>
  <c r="CW431" i="2"/>
  <c r="CK431" i="2"/>
  <c r="CO431" i="2"/>
  <c r="CC431" i="2"/>
  <c r="DI431" i="2"/>
  <c r="DA431" i="2"/>
  <c r="CS431" i="2"/>
  <c r="CG431" i="2"/>
  <c r="DB423" i="2"/>
  <c r="DC423" i="2" s="1"/>
  <c r="DK423" i="2"/>
  <c r="DG423" i="2"/>
  <c r="CY423" i="2"/>
  <c r="CU423" i="2"/>
  <c r="CQ423" i="2"/>
  <c r="CM423" i="2"/>
  <c r="CI423" i="2"/>
  <c r="CE423" i="2"/>
  <c r="DM423" i="2"/>
  <c r="DE423" i="2"/>
  <c r="CW423" i="2"/>
  <c r="CK423" i="2"/>
  <c r="CO423" i="2"/>
  <c r="CC423" i="2"/>
  <c r="DI423" i="2"/>
  <c r="DA423" i="2"/>
  <c r="CS423" i="2"/>
  <c r="CG423" i="2"/>
  <c r="CM433" i="2"/>
  <c r="DE433" i="2"/>
  <c r="DB417" i="2"/>
  <c r="DC417" i="2" s="1"/>
  <c r="DK417" i="2"/>
  <c r="DG417" i="2"/>
  <c r="CY417" i="2"/>
  <c r="CU417" i="2"/>
  <c r="CQ417" i="2"/>
  <c r="CM417" i="2"/>
  <c r="CI417" i="2"/>
  <c r="CE417" i="2"/>
  <c r="DI417" i="2"/>
  <c r="DA417" i="2"/>
  <c r="CS417" i="2"/>
  <c r="CG417" i="2"/>
  <c r="DM417" i="2"/>
  <c r="DE417" i="2"/>
  <c r="CW417" i="2"/>
  <c r="CK417" i="2"/>
  <c r="CO417" i="2"/>
  <c r="CC417" i="2"/>
  <c r="DK406" i="2"/>
  <c r="DM406" i="2"/>
  <c r="CG406" i="2"/>
  <c r="DM372" i="2"/>
  <c r="DI372" i="2"/>
  <c r="DE372" i="2"/>
  <c r="DA372" i="2"/>
  <c r="CW372" i="2"/>
  <c r="CS372" i="2"/>
  <c r="CO372" i="2"/>
  <c r="CK372" i="2"/>
  <c r="CG372" i="2"/>
  <c r="CC372" i="2"/>
  <c r="DB372" i="2"/>
  <c r="DC372" i="2" s="1"/>
  <c r="DK372" i="2"/>
  <c r="DG372" i="2"/>
  <c r="CY372" i="2"/>
  <c r="CU372" i="2"/>
  <c r="CQ372" i="2"/>
  <c r="CM372" i="2"/>
  <c r="CI372" i="2"/>
  <c r="CE372" i="2"/>
  <c r="DK361" i="2"/>
  <c r="DG361" i="2"/>
  <c r="CY361" i="2"/>
  <c r="CU361" i="2"/>
  <c r="CQ361" i="2"/>
  <c r="CM361" i="2"/>
  <c r="CI361" i="2"/>
  <c r="CE361" i="2"/>
  <c r="DM361" i="2"/>
  <c r="DI361" i="2"/>
  <c r="DE361" i="2"/>
  <c r="DA361" i="2"/>
  <c r="CW361" i="2"/>
  <c r="CS361" i="2"/>
  <c r="CO361" i="2"/>
  <c r="CK361" i="2"/>
  <c r="CG361" i="2"/>
  <c r="CC361" i="2"/>
  <c r="DB361" i="2"/>
  <c r="DC361" i="2" s="1"/>
  <c r="DK351" i="2"/>
  <c r="DG351" i="2"/>
  <c r="CY351" i="2"/>
  <c r="CU351" i="2"/>
  <c r="CQ351" i="2"/>
  <c r="CM351" i="2"/>
  <c r="CI351" i="2"/>
  <c r="CE351" i="2"/>
  <c r="DM351" i="2"/>
  <c r="DI351" i="2"/>
  <c r="DE351" i="2"/>
  <c r="DA351" i="2"/>
  <c r="CW351" i="2"/>
  <c r="CS351" i="2"/>
  <c r="CO351" i="2"/>
  <c r="CK351" i="2"/>
  <c r="CG351" i="2"/>
  <c r="CC351" i="2"/>
  <c r="DB351" i="2"/>
  <c r="DC351" i="2" s="1"/>
  <c r="DK349" i="2"/>
  <c r="DG349" i="2"/>
  <c r="CY349" i="2"/>
  <c r="CU349" i="2"/>
  <c r="CQ349" i="2"/>
  <c r="CM349" i="2"/>
  <c r="CI349" i="2"/>
  <c r="CE349" i="2"/>
  <c r="DM349" i="2"/>
  <c r="DI349" i="2"/>
  <c r="DE349" i="2"/>
  <c r="DA349" i="2"/>
  <c r="CW349" i="2"/>
  <c r="CS349" i="2"/>
  <c r="CO349" i="2"/>
  <c r="CK349" i="2"/>
  <c r="CG349" i="2"/>
  <c r="CC349" i="2"/>
  <c r="DB349" i="2"/>
  <c r="DC349" i="2" s="1"/>
  <c r="DK347" i="2"/>
  <c r="DG347" i="2"/>
  <c r="CY347" i="2"/>
  <c r="CU347" i="2"/>
  <c r="CQ347" i="2"/>
  <c r="CM347" i="2"/>
  <c r="CI347" i="2"/>
  <c r="CE347" i="2"/>
  <c r="DM347" i="2"/>
  <c r="DI347" i="2"/>
  <c r="DE347" i="2"/>
  <c r="DA347" i="2"/>
  <c r="CW347" i="2"/>
  <c r="CS347" i="2"/>
  <c r="CO347" i="2"/>
  <c r="CK347" i="2"/>
  <c r="CG347" i="2"/>
  <c r="CC347" i="2"/>
  <c r="DB347" i="2"/>
  <c r="DC347" i="2" s="1"/>
  <c r="CI345" i="2"/>
  <c r="CO345" i="2"/>
  <c r="DK343" i="2"/>
  <c r="DG343" i="2"/>
  <c r="CY343" i="2"/>
  <c r="CU343" i="2"/>
  <c r="CQ343" i="2"/>
  <c r="CM343" i="2"/>
  <c r="CI343" i="2"/>
  <c r="CE343" i="2"/>
  <c r="DM343" i="2"/>
  <c r="DI343" i="2"/>
  <c r="DE343" i="2"/>
  <c r="DA343" i="2"/>
  <c r="CW343" i="2"/>
  <c r="CS343" i="2"/>
  <c r="CO343" i="2"/>
  <c r="CK343" i="2"/>
  <c r="CG343" i="2"/>
  <c r="CC343" i="2"/>
  <c r="DB343" i="2"/>
  <c r="DC343" i="2" s="1"/>
  <c r="DK341" i="2"/>
  <c r="DG341" i="2"/>
  <c r="CY341" i="2"/>
  <c r="CU341" i="2"/>
  <c r="CQ341" i="2"/>
  <c r="CM341" i="2"/>
  <c r="CI341" i="2"/>
  <c r="CE341" i="2"/>
  <c r="DM341" i="2"/>
  <c r="DI341" i="2"/>
  <c r="DE341" i="2"/>
  <c r="DA341" i="2"/>
  <c r="CW341" i="2"/>
  <c r="CS341" i="2"/>
  <c r="CO341" i="2"/>
  <c r="CK341" i="2"/>
  <c r="CG341" i="2"/>
  <c r="CC341" i="2"/>
  <c r="DB341" i="2"/>
  <c r="DC341" i="2" s="1"/>
  <c r="CM360" i="2"/>
  <c r="CS360" i="2"/>
  <c r="DK356" i="2"/>
  <c r="DG356" i="2"/>
  <c r="CY356" i="2"/>
  <c r="CU356" i="2"/>
  <c r="CQ356" i="2"/>
  <c r="CM356" i="2"/>
  <c r="CI356" i="2"/>
  <c r="CE356" i="2"/>
  <c r="DM356" i="2"/>
  <c r="DI356" i="2"/>
  <c r="DE356" i="2"/>
  <c r="DA356" i="2"/>
  <c r="CW356" i="2"/>
  <c r="CS356" i="2"/>
  <c r="CO356" i="2"/>
  <c r="CK356" i="2"/>
  <c r="CG356" i="2"/>
  <c r="CC356" i="2"/>
  <c r="DB356" i="2"/>
  <c r="DC356" i="2" s="1"/>
  <c r="DK330" i="2"/>
  <c r="DG330" i="2"/>
  <c r="CY330" i="2"/>
  <c r="CU330" i="2"/>
  <c r="CQ330" i="2"/>
  <c r="CM330" i="2"/>
  <c r="CI330" i="2"/>
  <c r="CE330" i="2"/>
  <c r="DM330" i="2"/>
  <c r="DI330" i="2"/>
  <c r="DE330" i="2"/>
  <c r="DA330" i="2"/>
  <c r="CW330" i="2"/>
  <c r="CS330" i="2"/>
  <c r="CO330" i="2"/>
  <c r="CK330" i="2"/>
  <c r="CG330" i="2"/>
  <c r="CC330" i="2"/>
  <c r="DB330" i="2"/>
  <c r="DC330" i="2" s="1"/>
  <c r="DK222" i="2"/>
  <c r="DG222" i="2"/>
  <c r="CY222" i="2"/>
  <c r="CU222" i="2"/>
  <c r="CI222" i="2"/>
  <c r="CE222" i="2"/>
  <c r="DM222" i="2"/>
  <c r="DI222" i="2"/>
  <c r="DE222" i="2"/>
  <c r="DA222" i="2"/>
  <c r="CO222" i="2"/>
  <c r="CK222" i="2"/>
  <c r="CG222" i="2"/>
  <c r="CC222" i="2"/>
  <c r="DK211" i="2"/>
  <c r="DG211" i="2"/>
  <c r="CY211" i="2"/>
  <c r="CU211" i="2"/>
  <c r="CQ211" i="2"/>
  <c r="CM211" i="2"/>
  <c r="CI211" i="2"/>
  <c r="CE211" i="2"/>
  <c r="DM211" i="2"/>
  <c r="DI211" i="2"/>
  <c r="DE211" i="2"/>
  <c r="DA211" i="2"/>
  <c r="CW211" i="2"/>
  <c r="CS211" i="2"/>
  <c r="CO211" i="2"/>
  <c r="CK211" i="2"/>
  <c r="CG211" i="2"/>
  <c r="CC211" i="2"/>
  <c r="DB211" i="2"/>
  <c r="DC211" i="2" s="1"/>
  <c r="DK226" i="2"/>
  <c r="DG226" i="2"/>
  <c r="CY226" i="2"/>
  <c r="CU226" i="2"/>
  <c r="CQ226" i="2"/>
  <c r="CM226" i="2"/>
  <c r="DM226" i="2"/>
  <c r="DI226" i="2"/>
  <c r="DE226" i="2"/>
  <c r="DA226" i="2"/>
  <c r="CW226" i="2"/>
  <c r="CS226" i="2"/>
  <c r="CO226" i="2"/>
  <c r="CK226" i="2"/>
  <c r="CG226" i="2"/>
  <c r="CC226" i="2"/>
  <c r="DK215" i="2"/>
  <c r="DG215" i="2"/>
  <c r="CY215" i="2"/>
  <c r="CU215" i="2"/>
  <c r="CQ215" i="2"/>
  <c r="CM215" i="2"/>
  <c r="CI215" i="2"/>
  <c r="CE215" i="2"/>
  <c r="DM215" i="2"/>
  <c r="DI215" i="2"/>
  <c r="DE215" i="2"/>
  <c r="DA215" i="2"/>
  <c r="CW215" i="2"/>
  <c r="CS215" i="2"/>
  <c r="CO215" i="2"/>
  <c r="CK215" i="2"/>
  <c r="CG215" i="2"/>
  <c r="CC215" i="2"/>
  <c r="DB215" i="2"/>
  <c r="DC215" i="2" s="1"/>
  <c r="DB47" i="2"/>
  <c r="DC47" i="2" s="1"/>
  <c r="DK47" i="2"/>
  <c r="DG47" i="2"/>
  <c r="CY47" i="2"/>
  <c r="CU47" i="2"/>
  <c r="CQ47" i="2"/>
  <c r="CM47" i="2"/>
  <c r="CI47" i="2"/>
  <c r="CE47" i="2"/>
  <c r="CS47" i="2"/>
  <c r="CG47" i="2"/>
  <c r="DI47" i="2"/>
  <c r="CC47" i="2"/>
  <c r="DM47" i="2"/>
  <c r="DE47" i="2"/>
  <c r="CW47" i="2"/>
  <c r="CK47" i="2"/>
  <c r="DA47" i="2"/>
  <c r="CO47" i="2"/>
  <c r="DK141" i="2"/>
  <c r="DG141" i="2"/>
  <c r="CY141" i="2"/>
  <c r="CU141" i="2"/>
  <c r="CQ141" i="2"/>
  <c r="CM141" i="2"/>
  <c r="CI141" i="2"/>
  <c r="CE141" i="2"/>
  <c r="DE141" i="2"/>
  <c r="CO141" i="2"/>
  <c r="DI141" i="2"/>
  <c r="CS141" i="2"/>
  <c r="CC141" i="2"/>
  <c r="DB141" i="2"/>
  <c r="DC141" i="2" s="1"/>
  <c r="DM141" i="2"/>
  <c r="CW141" i="2"/>
  <c r="CG141" i="2"/>
  <c r="DA141" i="2"/>
  <c r="CK141" i="2"/>
  <c r="DB52" i="2"/>
  <c r="DC52" i="2" s="1"/>
  <c r="DK52" i="2"/>
  <c r="DG52" i="2"/>
  <c r="CY52" i="2"/>
  <c r="CU52" i="2"/>
  <c r="CQ52" i="2"/>
  <c r="CM52" i="2"/>
  <c r="CI52" i="2"/>
  <c r="CE52" i="2"/>
  <c r="CK52" i="2"/>
  <c r="DM52" i="2"/>
  <c r="CW52" i="2"/>
  <c r="DI52" i="2"/>
  <c r="DA52" i="2"/>
  <c r="CO52" i="2"/>
  <c r="CC52" i="2"/>
  <c r="DE52" i="2"/>
  <c r="CS52" i="2"/>
  <c r="CG52" i="2"/>
  <c r="CU51" i="2"/>
  <c r="CW51" i="2"/>
  <c r="DB40" i="2"/>
  <c r="DC40" i="2" s="1"/>
  <c r="DK40" i="2"/>
  <c r="DG40" i="2"/>
  <c r="CY40" i="2"/>
  <c r="CU40" i="2"/>
  <c r="CQ40" i="2"/>
  <c r="CM40" i="2"/>
  <c r="CI40" i="2"/>
  <c r="CE40" i="2"/>
  <c r="DM40" i="2"/>
  <c r="DE40" i="2"/>
  <c r="CW40" i="2"/>
  <c r="CK40" i="2"/>
  <c r="CG40" i="2"/>
  <c r="CO40" i="2"/>
  <c r="CC40" i="2"/>
  <c r="DI40" i="2"/>
  <c r="DA40" i="2"/>
  <c r="CS40" i="2"/>
  <c r="DK134" i="2"/>
  <c r="DG134" i="2"/>
  <c r="DC134" i="2"/>
  <c r="CY134" i="2"/>
  <c r="CU134" i="2"/>
  <c r="CQ134" i="2"/>
  <c r="CM134" i="2"/>
  <c r="CI134" i="2"/>
  <c r="CE134" i="2"/>
  <c r="DE134" i="2"/>
  <c r="CO134" i="2"/>
  <c r="DA134" i="2"/>
  <c r="DI134" i="2"/>
  <c r="CS134" i="2"/>
  <c r="CC134" i="2"/>
  <c r="DB134" i="2"/>
  <c r="CK134" i="2"/>
  <c r="DM134" i="2"/>
  <c r="CW134" i="2"/>
  <c r="CG134" i="2"/>
  <c r="DB126" i="2"/>
  <c r="DC126" i="2" s="1"/>
  <c r="DI126" i="2"/>
  <c r="DA126" i="2"/>
  <c r="CS126" i="2"/>
  <c r="CG126" i="2"/>
  <c r="DK126" i="2"/>
  <c r="DG126" i="2"/>
  <c r="CY126" i="2"/>
  <c r="CU126" i="2"/>
  <c r="CQ126" i="2"/>
  <c r="CM126" i="2"/>
  <c r="CI126" i="2"/>
  <c r="CE126" i="2"/>
  <c r="DM126" i="2"/>
  <c r="CW126" i="2"/>
  <c r="CK126" i="2"/>
  <c r="CC126" i="2"/>
  <c r="DE126" i="2"/>
  <c r="CO126" i="2"/>
  <c r="DB118" i="2"/>
  <c r="DC118" i="2" s="1"/>
  <c r="DM118" i="2"/>
  <c r="CW118" i="2"/>
  <c r="CK118" i="2"/>
  <c r="DK118" i="2"/>
  <c r="DG118" i="2"/>
  <c r="CY118" i="2"/>
  <c r="CU118" i="2"/>
  <c r="CQ118" i="2"/>
  <c r="CM118" i="2"/>
  <c r="CI118" i="2"/>
  <c r="CE118" i="2"/>
  <c r="DI118" i="2"/>
  <c r="DA118" i="2"/>
  <c r="CO118" i="2"/>
  <c r="CG118" i="2"/>
  <c r="DE118" i="2"/>
  <c r="CS118" i="2"/>
  <c r="CC118" i="2"/>
  <c r="DB76" i="2"/>
  <c r="DC76" i="2" s="1"/>
  <c r="DK76" i="2"/>
  <c r="DG76" i="2"/>
  <c r="CY76" i="2"/>
  <c r="CU76" i="2"/>
  <c r="CQ76" i="2"/>
  <c r="CM76" i="2"/>
  <c r="CI76" i="2"/>
  <c r="CE76" i="2"/>
  <c r="DI76" i="2"/>
  <c r="DA76" i="2"/>
  <c r="CS76" i="2"/>
  <c r="CG76" i="2"/>
  <c r="CO76" i="2"/>
  <c r="CC76" i="2"/>
  <c r="DM76" i="2"/>
  <c r="DE76" i="2"/>
  <c r="CW76" i="2"/>
  <c r="CK76" i="2"/>
  <c r="DB60" i="2"/>
  <c r="DC60" i="2" s="1"/>
  <c r="DK60" i="2"/>
  <c r="DG60" i="2"/>
  <c r="CY60" i="2"/>
  <c r="CU60" i="2"/>
  <c r="CQ60" i="2"/>
  <c r="CM60" i="2"/>
  <c r="CI60" i="2"/>
  <c r="CE60" i="2"/>
  <c r="DI60" i="2"/>
  <c r="DA60" i="2"/>
  <c r="CS60" i="2"/>
  <c r="CG60" i="2"/>
  <c r="CC60" i="2"/>
  <c r="CO60" i="2"/>
  <c r="DM60" i="2"/>
  <c r="DE60" i="2"/>
  <c r="CW60" i="2"/>
  <c r="CK60" i="2"/>
  <c r="DB50" i="2"/>
  <c r="DC50" i="2" s="1"/>
  <c r="DK50" i="2"/>
  <c r="DG50" i="2"/>
  <c r="CY50" i="2"/>
  <c r="CU50" i="2"/>
  <c r="CQ50" i="2"/>
  <c r="CM50" i="2"/>
  <c r="CI50" i="2"/>
  <c r="CE50" i="2"/>
  <c r="DI50" i="2"/>
  <c r="DA50" i="2"/>
  <c r="CS50" i="2"/>
  <c r="CG50" i="2"/>
  <c r="CO50" i="2"/>
  <c r="CC50" i="2"/>
  <c r="DM50" i="2"/>
  <c r="DE50" i="2"/>
  <c r="CW50" i="2"/>
  <c r="CK50" i="2"/>
  <c r="DB43" i="2"/>
  <c r="DC43" i="2" s="1"/>
  <c r="DK43" i="2"/>
  <c r="DG43" i="2"/>
  <c r="CY43" i="2"/>
  <c r="CU43" i="2"/>
  <c r="CQ43" i="2"/>
  <c r="CM43" i="2"/>
  <c r="CI43" i="2"/>
  <c r="CE43" i="2"/>
  <c r="DI43" i="2"/>
  <c r="DA43" i="2"/>
  <c r="CS43" i="2"/>
  <c r="CG43" i="2"/>
  <c r="CO43" i="2"/>
  <c r="CC43" i="2"/>
  <c r="DM43" i="2"/>
  <c r="DE43" i="2"/>
  <c r="CW43" i="2"/>
  <c r="CK43" i="2"/>
  <c r="DB29" i="2"/>
  <c r="DC29" i="2" s="1"/>
  <c r="DK29" i="2"/>
  <c r="DG29" i="2"/>
  <c r="CY29" i="2"/>
  <c r="CU29" i="2"/>
  <c r="CQ29" i="2"/>
  <c r="CM29" i="2"/>
  <c r="CI29" i="2"/>
  <c r="CE29" i="2"/>
  <c r="DI29" i="2"/>
  <c r="DA29" i="2"/>
  <c r="CS29" i="2"/>
  <c r="CG29" i="2"/>
  <c r="CO29" i="2"/>
  <c r="CC29" i="2"/>
  <c r="DM29" i="2"/>
  <c r="DE29" i="2"/>
  <c r="CW29" i="2"/>
  <c r="CK29" i="2"/>
  <c r="DM494" i="2"/>
  <c r="DI494" i="2"/>
  <c r="DE494" i="2"/>
  <c r="DA494" i="2"/>
  <c r="CW494" i="2"/>
  <c r="CS494" i="2"/>
  <c r="CO494" i="2"/>
  <c r="CK494" i="2"/>
  <c r="CG494" i="2"/>
  <c r="CC494" i="2"/>
  <c r="CU494" i="2"/>
  <c r="CI494" i="2"/>
  <c r="DB494" i="2"/>
  <c r="DC494" i="2" s="1"/>
  <c r="DG494" i="2"/>
  <c r="CM494" i="2"/>
  <c r="CE494" i="2"/>
  <c r="DK494" i="2"/>
  <c r="CQ494" i="2"/>
  <c r="CY494" i="2"/>
  <c r="DK469" i="2"/>
  <c r="DG469" i="2"/>
  <c r="CY469" i="2"/>
  <c r="CU469" i="2"/>
  <c r="CQ469" i="2"/>
  <c r="CM469" i="2"/>
  <c r="CI469" i="2"/>
  <c r="CE469" i="2"/>
  <c r="DI469" i="2"/>
  <c r="CS469" i="2"/>
  <c r="CC469" i="2"/>
  <c r="DM469" i="2"/>
  <c r="CW469" i="2"/>
  <c r="CG469" i="2"/>
  <c r="DE469" i="2"/>
  <c r="CO469" i="2"/>
  <c r="DB469" i="2"/>
  <c r="DC469" i="2" s="1"/>
  <c r="DA469" i="2"/>
  <c r="CK469" i="2"/>
  <c r="DM460" i="2"/>
  <c r="DI460" i="2"/>
  <c r="DE460" i="2"/>
  <c r="DA460" i="2"/>
  <c r="CW460" i="2"/>
  <c r="CS460" i="2"/>
  <c r="CO460" i="2"/>
  <c r="CK460" i="2"/>
  <c r="CG460" i="2"/>
  <c r="CC460" i="2"/>
  <c r="DB460" i="2"/>
  <c r="DK460" i="2"/>
  <c r="CY460" i="2"/>
  <c r="DC460" i="2"/>
  <c r="CM460" i="2"/>
  <c r="DG460" i="2"/>
  <c r="CQ460" i="2"/>
  <c r="CE460" i="2"/>
  <c r="CI460" i="2"/>
  <c r="CU460" i="2"/>
  <c r="DB435" i="2"/>
  <c r="DC435" i="2" s="1"/>
  <c r="DK435" i="2"/>
  <c r="DG435" i="2"/>
  <c r="CY435" i="2"/>
  <c r="CU435" i="2"/>
  <c r="CQ435" i="2"/>
  <c r="CM435" i="2"/>
  <c r="CI435" i="2"/>
  <c r="CE435" i="2"/>
  <c r="DM435" i="2"/>
  <c r="DE435" i="2"/>
  <c r="CW435" i="2"/>
  <c r="CK435" i="2"/>
  <c r="CO435" i="2"/>
  <c r="CC435" i="2"/>
  <c r="DI435" i="2"/>
  <c r="DA435" i="2"/>
  <c r="CS435" i="2"/>
  <c r="CG435" i="2"/>
  <c r="DB411" i="2"/>
  <c r="DC411" i="2" s="1"/>
  <c r="DK411" i="2"/>
  <c r="DG411" i="2"/>
  <c r="CY411" i="2"/>
  <c r="CU411" i="2"/>
  <c r="CQ411" i="2"/>
  <c r="CM411" i="2"/>
  <c r="CI411" i="2"/>
  <c r="CE411" i="2"/>
  <c r="CS411" i="2"/>
  <c r="CG411" i="2"/>
  <c r="DI411" i="2"/>
  <c r="CW411" i="2"/>
  <c r="DA411" i="2"/>
  <c r="CK411" i="2"/>
  <c r="CO411" i="2"/>
  <c r="DE411" i="2"/>
  <c r="DM411" i="2"/>
  <c r="CC411" i="2"/>
  <c r="DB414" i="2"/>
  <c r="DC414" i="2" s="1"/>
  <c r="DK414" i="2"/>
  <c r="DG414" i="2"/>
  <c r="CY414" i="2"/>
  <c r="CU414" i="2"/>
  <c r="CQ414" i="2"/>
  <c r="CM414" i="2"/>
  <c r="CI414" i="2"/>
  <c r="CE414" i="2"/>
  <c r="DI414" i="2"/>
  <c r="CW414" i="2"/>
  <c r="DA414" i="2"/>
  <c r="CK414" i="2"/>
  <c r="DM414" i="2"/>
  <c r="DE414" i="2"/>
  <c r="CO414" i="2"/>
  <c r="CC414" i="2"/>
  <c r="CG414" i="2"/>
  <c r="CS414" i="2"/>
  <c r="DK398" i="2"/>
  <c r="DG398" i="2"/>
  <c r="CY398" i="2"/>
  <c r="CU398" i="2"/>
  <c r="CQ398" i="2"/>
  <c r="CM398" i="2"/>
  <c r="CI398" i="2"/>
  <c r="CE398" i="2"/>
  <c r="DM398" i="2"/>
  <c r="DI398" i="2"/>
  <c r="DE398" i="2"/>
  <c r="DA398" i="2"/>
  <c r="CW398" i="2"/>
  <c r="CS398" i="2"/>
  <c r="CO398" i="2"/>
  <c r="CK398" i="2"/>
  <c r="CG398" i="2"/>
  <c r="CC398" i="2"/>
  <c r="DB398" i="2"/>
  <c r="DC398" i="2" s="1"/>
  <c r="DK352" i="2"/>
  <c r="DG352" i="2"/>
  <c r="CY352" i="2"/>
  <c r="CU352" i="2"/>
  <c r="CQ352" i="2"/>
  <c r="CM352" i="2"/>
  <c r="CI352" i="2"/>
  <c r="CE352" i="2"/>
  <c r="DM352" i="2"/>
  <c r="DI352" i="2"/>
  <c r="DE352" i="2"/>
  <c r="DA352" i="2"/>
  <c r="CW352" i="2"/>
  <c r="CS352" i="2"/>
  <c r="CO352" i="2"/>
  <c r="CK352" i="2"/>
  <c r="CG352" i="2"/>
  <c r="CC352" i="2"/>
  <c r="DB352" i="2"/>
  <c r="DC352" i="2" s="1"/>
  <c r="DK348" i="2"/>
  <c r="DG348" i="2"/>
  <c r="CY348" i="2"/>
  <c r="CU348" i="2"/>
  <c r="CQ348" i="2"/>
  <c r="CM348" i="2"/>
  <c r="CI348" i="2"/>
  <c r="CE348" i="2"/>
  <c r="DM348" i="2"/>
  <c r="DI348" i="2"/>
  <c r="DE348" i="2"/>
  <c r="DA348" i="2"/>
  <c r="CW348" i="2"/>
  <c r="CS348" i="2"/>
  <c r="CO348" i="2"/>
  <c r="CK348" i="2"/>
  <c r="CG348" i="2"/>
  <c r="CC348" i="2"/>
  <c r="DB348" i="2"/>
  <c r="DC348" i="2" s="1"/>
  <c r="DK342" i="2"/>
  <c r="DG342" i="2"/>
  <c r="CY342" i="2"/>
  <c r="CU342" i="2"/>
  <c r="CQ342" i="2"/>
  <c r="CM342" i="2"/>
  <c r="CI342" i="2"/>
  <c r="CE342" i="2"/>
  <c r="DM342" i="2"/>
  <c r="DI342" i="2"/>
  <c r="DE342" i="2"/>
  <c r="DA342" i="2"/>
  <c r="CW342" i="2"/>
  <c r="CS342" i="2"/>
  <c r="CO342" i="2"/>
  <c r="CK342" i="2"/>
  <c r="CG342" i="2"/>
  <c r="CC342" i="2"/>
  <c r="DB342" i="2"/>
  <c r="DC342" i="2" s="1"/>
  <c r="DK354" i="2"/>
  <c r="DG354" i="2"/>
  <c r="CY354" i="2"/>
  <c r="CU354" i="2"/>
  <c r="CQ354" i="2"/>
  <c r="CM354" i="2"/>
  <c r="CI354" i="2"/>
  <c r="CE354" i="2"/>
  <c r="DM354" i="2"/>
  <c r="DI354" i="2"/>
  <c r="DE354" i="2"/>
  <c r="DA354" i="2"/>
  <c r="CW354" i="2"/>
  <c r="CS354" i="2"/>
  <c r="CO354" i="2"/>
  <c r="CK354" i="2"/>
  <c r="CG354" i="2"/>
  <c r="CC354" i="2"/>
  <c r="DB354" i="2"/>
  <c r="DC354" i="2" s="1"/>
  <c r="DM390" i="2"/>
  <c r="DI390" i="2"/>
  <c r="DE390" i="2"/>
  <c r="DA390" i="2"/>
  <c r="CW390" i="2"/>
  <c r="CS390" i="2"/>
  <c r="CO390" i="2"/>
  <c r="CK390" i="2"/>
  <c r="CG390" i="2"/>
  <c r="CC390" i="2"/>
  <c r="DB390" i="2"/>
  <c r="DK390" i="2"/>
  <c r="DG390" i="2"/>
  <c r="DC390" i="2"/>
  <c r="CY390" i="2"/>
  <c r="CU390" i="2"/>
  <c r="CQ390" i="2"/>
  <c r="CM390" i="2"/>
  <c r="CI390" i="2"/>
  <c r="CE390" i="2"/>
  <c r="DK333" i="2"/>
  <c r="DG333" i="2"/>
  <c r="CY333" i="2"/>
  <c r="CU333" i="2"/>
  <c r="CQ333" i="2"/>
  <c r="CM333" i="2"/>
  <c r="CI333" i="2"/>
  <c r="CE333" i="2"/>
  <c r="DM333" i="2"/>
  <c r="DI333" i="2"/>
  <c r="DE333" i="2"/>
  <c r="DA333" i="2"/>
  <c r="CW333" i="2"/>
  <c r="CS333" i="2"/>
  <c r="CO333" i="2"/>
  <c r="CK333" i="2"/>
  <c r="CG333" i="2"/>
  <c r="CC333" i="2"/>
  <c r="DB333" i="2"/>
  <c r="DC333" i="2" s="1"/>
  <c r="DK329" i="2"/>
  <c r="DG329" i="2"/>
  <c r="CY329" i="2"/>
  <c r="CU329" i="2"/>
  <c r="CQ329" i="2"/>
  <c r="CM329" i="2"/>
  <c r="CI329" i="2"/>
  <c r="CE329" i="2"/>
  <c r="DM329" i="2"/>
  <c r="DI329" i="2"/>
  <c r="DE329" i="2"/>
  <c r="DA329" i="2"/>
  <c r="CW329" i="2"/>
  <c r="CS329" i="2"/>
  <c r="CO329" i="2"/>
  <c r="CK329" i="2"/>
  <c r="CG329" i="2"/>
  <c r="CC329" i="2"/>
  <c r="DB329" i="2"/>
  <c r="DC329" i="2" s="1"/>
  <c r="DM385" i="2"/>
  <c r="DI385" i="2"/>
  <c r="DE385" i="2"/>
  <c r="DA385" i="2"/>
  <c r="CW385" i="2"/>
  <c r="CS385" i="2"/>
  <c r="CO385" i="2"/>
  <c r="CK385" i="2"/>
  <c r="CG385" i="2"/>
  <c r="CC385" i="2"/>
  <c r="DB385" i="2"/>
  <c r="DC385" i="2" s="1"/>
  <c r="DK385" i="2"/>
  <c r="DG385" i="2"/>
  <c r="CY385" i="2"/>
  <c r="CU385" i="2"/>
  <c r="CQ385" i="2"/>
  <c r="CM385" i="2"/>
  <c r="CI385" i="2"/>
  <c r="CE385" i="2"/>
  <c r="DK232" i="2"/>
  <c r="DG232" i="2"/>
  <c r="CY232" i="2"/>
  <c r="CU232" i="2"/>
  <c r="CQ232" i="2"/>
  <c r="CM232" i="2"/>
  <c r="CI232" i="2"/>
  <c r="CE232" i="2"/>
  <c r="DM232" i="2"/>
  <c r="DI232" i="2"/>
  <c r="DE232" i="2"/>
  <c r="DA232" i="2"/>
  <c r="CW232" i="2"/>
  <c r="CS232" i="2"/>
  <c r="CO232" i="2"/>
  <c r="CK232" i="2"/>
  <c r="CG232" i="2"/>
  <c r="CC232" i="2"/>
  <c r="DB232" i="2"/>
  <c r="DC232" i="2" s="1"/>
  <c r="DK218" i="2"/>
  <c r="DG218" i="2"/>
  <c r="CY218" i="2"/>
  <c r="CU218" i="2"/>
  <c r="CQ218" i="2"/>
  <c r="CM218" i="2"/>
  <c r="CI218" i="2"/>
  <c r="CE218" i="2"/>
  <c r="DM218" i="2"/>
  <c r="DI218" i="2"/>
  <c r="DE218" i="2"/>
  <c r="DA218" i="2"/>
  <c r="CW218" i="2"/>
  <c r="CS218" i="2"/>
  <c r="CO218" i="2"/>
  <c r="CK218" i="2"/>
  <c r="CG218" i="2"/>
  <c r="CC218" i="2"/>
  <c r="DB218" i="2"/>
  <c r="DC218" i="2" s="1"/>
  <c r="DB39" i="2"/>
  <c r="DC39" i="2" s="1"/>
  <c r="DK39" i="2"/>
  <c r="DG39" i="2"/>
  <c r="CY39" i="2"/>
  <c r="CU39" i="2"/>
  <c r="CQ39" i="2"/>
  <c r="CM39" i="2"/>
  <c r="CI39" i="2"/>
  <c r="CE39" i="2"/>
  <c r="DI39" i="2"/>
  <c r="DA39" i="2"/>
  <c r="CO39" i="2"/>
  <c r="CC39" i="2"/>
  <c r="CS39" i="2"/>
  <c r="CG39" i="2"/>
  <c r="CK39" i="2"/>
  <c r="DM39" i="2"/>
  <c r="DE39" i="2"/>
  <c r="CW39" i="2"/>
  <c r="DK133" i="2"/>
  <c r="DG133" i="2"/>
  <c r="CY133" i="2"/>
  <c r="CU133" i="2"/>
  <c r="CQ133" i="2"/>
  <c r="CM133" i="2"/>
  <c r="CI133" i="2"/>
  <c r="CE133" i="2"/>
  <c r="DE133" i="2"/>
  <c r="CO133" i="2"/>
  <c r="DA133" i="2"/>
  <c r="DI133" i="2"/>
  <c r="CS133" i="2"/>
  <c r="CC133" i="2"/>
  <c r="CK133" i="2"/>
  <c r="DM133" i="2"/>
  <c r="CW133" i="2"/>
  <c r="CG133" i="2"/>
  <c r="DB133" i="2"/>
  <c r="DC133" i="2" s="1"/>
  <c r="DB122" i="2"/>
  <c r="DC122" i="2" s="1"/>
  <c r="DM122" i="2"/>
  <c r="DE122" i="2"/>
  <c r="CS122" i="2"/>
  <c r="CK122" i="2"/>
  <c r="DK122" i="2"/>
  <c r="DG122" i="2"/>
  <c r="CY122" i="2"/>
  <c r="CU122" i="2"/>
  <c r="CQ122" i="2"/>
  <c r="CM122" i="2"/>
  <c r="CI122" i="2"/>
  <c r="CE122" i="2"/>
  <c r="DI122" i="2"/>
  <c r="DA122" i="2"/>
  <c r="CO122" i="2"/>
  <c r="CC122" i="2"/>
  <c r="CW122" i="2"/>
  <c r="CG122" i="2"/>
  <c r="DB111" i="2"/>
  <c r="DM111" i="2"/>
  <c r="DI111" i="2"/>
  <c r="CW111" i="2"/>
  <c r="CO111" i="2"/>
  <c r="CC111" i="2"/>
  <c r="DK111" i="2"/>
  <c r="DG111" i="2"/>
  <c r="DC111" i="2"/>
  <c r="CY111" i="2"/>
  <c r="CU111" i="2"/>
  <c r="CQ111" i="2"/>
  <c r="CM111" i="2"/>
  <c r="CI111" i="2"/>
  <c r="CE111" i="2"/>
  <c r="DE111" i="2"/>
  <c r="CS111" i="2"/>
  <c r="CG111" i="2"/>
  <c r="DA111" i="2"/>
  <c r="CK111" i="2"/>
  <c r="DB53" i="2"/>
  <c r="DC53" i="2" s="1"/>
  <c r="DK53" i="2"/>
  <c r="DG53" i="2"/>
  <c r="CY53" i="2"/>
  <c r="CU53" i="2"/>
  <c r="CQ53" i="2"/>
  <c r="CM53" i="2"/>
  <c r="CI53" i="2"/>
  <c r="CE53" i="2"/>
  <c r="DI53" i="2"/>
  <c r="DA53" i="2"/>
  <c r="CS53" i="2"/>
  <c r="CG53" i="2"/>
  <c r="CO53" i="2"/>
  <c r="DM53" i="2"/>
  <c r="DE53" i="2"/>
  <c r="CW53" i="2"/>
  <c r="CK53" i="2"/>
  <c r="CC53" i="2"/>
  <c r="DB483" i="2"/>
  <c r="DC483" i="2" s="1"/>
  <c r="DI483" i="2"/>
  <c r="CI483" i="2"/>
  <c r="CE483" i="2"/>
  <c r="DM483" i="2"/>
  <c r="DG483" i="2"/>
  <c r="CY483" i="2"/>
  <c r="CU483" i="2"/>
  <c r="CQ483" i="2"/>
  <c r="CM483" i="2"/>
  <c r="CW483" i="2"/>
  <c r="DA483" i="2"/>
  <c r="CK483" i="2"/>
  <c r="DE483" i="2"/>
  <c r="CC483" i="2"/>
  <c r="DK483" i="2"/>
  <c r="CO483" i="2"/>
  <c r="CG483" i="2"/>
  <c r="CS483" i="2"/>
  <c r="DB473" i="2"/>
  <c r="DC473" i="2" s="1"/>
  <c r="DM473" i="2"/>
  <c r="DG473" i="2"/>
  <c r="CY473" i="2"/>
  <c r="CU473" i="2"/>
  <c r="CQ473" i="2"/>
  <c r="CM473" i="2"/>
  <c r="DK473" i="2"/>
  <c r="CG473" i="2"/>
  <c r="CC473" i="2"/>
  <c r="DE473" i="2"/>
  <c r="CW473" i="2"/>
  <c r="CK473" i="2"/>
  <c r="CE473" i="2"/>
  <c r="CO473" i="2"/>
  <c r="CI473" i="2"/>
  <c r="DA473" i="2"/>
  <c r="DI473" i="2"/>
  <c r="CS473" i="2"/>
  <c r="DM487" i="2"/>
  <c r="DI487" i="2"/>
  <c r="DE487" i="2"/>
  <c r="DA487" i="2"/>
  <c r="CW487" i="2"/>
  <c r="CS487" i="2"/>
  <c r="CO487" i="2"/>
  <c r="CK487" i="2"/>
  <c r="CG487" i="2"/>
  <c r="CC487" i="2"/>
  <c r="DB487" i="2"/>
  <c r="DC487" i="2" s="1"/>
  <c r="DK487" i="2"/>
  <c r="CY487" i="2"/>
  <c r="CM487" i="2"/>
  <c r="CE487" i="2"/>
  <c r="DG487" i="2"/>
  <c r="CQ487" i="2"/>
  <c r="CI487" i="2"/>
  <c r="CU487" i="2"/>
  <c r="DK465" i="2"/>
  <c r="DG465" i="2"/>
  <c r="CY465" i="2"/>
  <c r="CU465" i="2"/>
  <c r="CQ465" i="2"/>
  <c r="CM465" i="2"/>
  <c r="CI465" i="2"/>
  <c r="CE465" i="2"/>
  <c r="DI465" i="2"/>
  <c r="CS465" i="2"/>
  <c r="CC465" i="2"/>
  <c r="DM465" i="2"/>
  <c r="CW465" i="2"/>
  <c r="CG465" i="2"/>
  <c r="DE465" i="2"/>
  <c r="CO465" i="2"/>
  <c r="DB465" i="2"/>
  <c r="DC465" i="2" s="1"/>
  <c r="DA465" i="2"/>
  <c r="CK465" i="2"/>
  <c r="DK468" i="2"/>
  <c r="DG468" i="2"/>
  <c r="CY468" i="2"/>
  <c r="CU468" i="2"/>
  <c r="CQ468" i="2"/>
  <c r="CM468" i="2"/>
  <c r="CI468" i="2"/>
  <c r="CE468" i="2"/>
  <c r="DI468" i="2"/>
  <c r="CS468" i="2"/>
  <c r="CC468" i="2"/>
  <c r="DM468" i="2"/>
  <c r="CW468" i="2"/>
  <c r="CG468" i="2"/>
  <c r="CK468" i="2"/>
  <c r="DE468" i="2"/>
  <c r="CO468" i="2"/>
  <c r="DB468" i="2"/>
  <c r="DC468" i="2" s="1"/>
  <c r="DA468" i="2"/>
  <c r="DB474" i="2"/>
  <c r="DI474" i="2"/>
  <c r="CI474" i="2"/>
  <c r="CE474" i="2"/>
  <c r="DM474" i="2"/>
  <c r="DG474" i="2"/>
  <c r="DC474" i="2"/>
  <c r="CY474" i="2"/>
  <c r="CU474" i="2"/>
  <c r="CQ474" i="2"/>
  <c r="CM474" i="2"/>
  <c r="DA474" i="2"/>
  <c r="CK474" i="2"/>
  <c r="DE474" i="2"/>
  <c r="CO474" i="2"/>
  <c r="CC474" i="2"/>
  <c r="DK474" i="2"/>
  <c r="CS474" i="2"/>
  <c r="CG474" i="2"/>
  <c r="CW474" i="2"/>
  <c r="DB449" i="2"/>
  <c r="DC449" i="2" s="1"/>
  <c r="DM449" i="2"/>
  <c r="DG449" i="2"/>
  <c r="CY449" i="2"/>
  <c r="CU449" i="2"/>
  <c r="CQ449" i="2"/>
  <c r="CM449" i="2"/>
  <c r="DA449" i="2"/>
  <c r="CK449" i="2"/>
  <c r="DK449" i="2"/>
  <c r="DE449" i="2"/>
  <c r="CO449" i="2"/>
  <c r="CI449" i="2"/>
  <c r="CE449" i="2"/>
  <c r="CS449" i="2"/>
  <c r="CC449" i="2"/>
  <c r="DI449" i="2"/>
  <c r="CG449" i="2"/>
  <c r="CW449" i="2"/>
  <c r="DK353" i="2"/>
  <c r="DG353" i="2"/>
  <c r="CY353" i="2"/>
  <c r="CU353" i="2"/>
  <c r="CQ353" i="2"/>
  <c r="CM353" i="2"/>
  <c r="CI353" i="2"/>
  <c r="CE353" i="2"/>
  <c r="DM353" i="2"/>
  <c r="DI353" i="2"/>
  <c r="DE353" i="2"/>
  <c r="DA353" i="2"/>
  <c r="CW353" i="2"/>
  <c r="CS353" i="2"/>
  <c r="CO353" i="2"/>
  <c r="CK353" i="2"/>
  <c r="CG353" i="2"/>
  <c r="CC353" i="2"/>
  <c r="DB353" i="2"/>
  <c r="DC353" i="2" s="1"/>
  <c r="DK328" i="2"/>
  <c r="DG328" i="2"/>
  <c r="CY328" i="2"/>
  <c r="CU328" i="2"/>
  <c r="CQ328" i="2"/>
  <c r="CM328" i="2"/>
  <c r="CI328" i="2"/>
  <c r="CE328" i="2"/>
  <c r="DM328" i="2"/>
  <c r="DI328" i="2"/>
  <c r="DE328" i="2"/>
  <c r="DA328" i="2"/>
  <c r="CW328" i="2"/>
  <c r="CS328" i="2"/>
  <c r="CO328" i="2"/>
  <c r="CK328" i="2"/>
  <c r="CG328" i="2"/>
  <c r="CC328" i="2"/>
  <c r="DB328" i="2"/>
  <c r="DC328" i="2" s="1"/>
  <c r="DK340" i="2"/>
  <c r="DG340" i="2"/>
  <c r="CY340" i="2"/>
  <c r="CU340" i="2"/>
  <c r="CQ340" i="2"/>
  <c r="CM340" i="2"/>
  <c r="CI340" i="2"/>
  <c r="CE340" i="2"/>
  <c r="DM340" i="2"/>
  <c r="DI340" i="2"/>
  <c r="DE340" i="2"/>
  <c r="DA340" i="2"/>
  <c r="CW340" i="2"/>
  <c r="CS340" i="2"/>
  <c r="CO340" i="2"/>
  <c r="CK340" i="2"/>
  <c r="CG340" i="2"/>
  <c r="CC340" i="2"/>
  <c r="DB340" i="2"/>
  <c r="DC340" i="2" s="1"/>
  <c r="DK326" i="2"/>
  <c r="DG326" i="2"/>
  <c r="CY326" i="2"/>
  <c r="CU326" i="2"/>
  <c r="CQ326" i="2"/>
  <c r="CM326" i="2"/>
  <c r="CI326" i="2"/>
  <c r="CE326" i="2"/>
  <c r="DM326" i="2"/>
  <c r="DI326" i="2"/>
  <c r="DE326" i="2"/>
  <c r="DA326" i="2"/>
  <c r="CW326" i="2"/>
  <c r="CG326" i="2"/>
  <c r="DB326" i="2"/>
  <c r="DC326" i="2" s="1"/>
  <c r="CK326" i="2"/>
  <c r="CO326" i="2"/>
  <c r="CS326" i="2"/>
  <c r="CC326" i="2"/>
  <c r="DM387" i="2"/>
  <c r="DI387" i="2"/>
  <c r="DE387" i="2"/>
  <c r="DA387" i="2"/>
  <c r="CW387" i="2"/>
  <c r="CS387" i="2"/>
  <c r="CO387" i="2"/>
  <c r="CK387" i="2"/>
  <c r="CG387" i="2"/>
  <c r="CC387" i="2"/>
  <c r="DB387" i="2"/>
  <c r="DC387" i="2" s="1"/>
  <c r="DK387" i="2"/>
  <c r="DG387" i="2"/>
  <c r="CY387" i="2"/>
  <c r="CU387" i="2"/>
  <c r="CQ387" i="2"/>
  <c r="CM387" i="2"/>
  <c r="CI387" i="2"/>
  <c r="CE387" i="2"/>
  <c r="DK336" i="2"/>
  <c r="DG336" i="2"/>
  <c r="CY336" i="2"/>
  <c r="CU336" i="2"/>
  <c r="CQ336" i="2"/>
  <c r="CM336" i="2"/>
  <c r="CI336" i="2"/>
  <c r="CE336" i="2"/>
  <c r="DM336" i="2"/>
  <c r="DI336" i="2"/>
  <c r="DE336" i="2"/>
  <c r="DA336" i="2"/>
  <c r="CW336" i="2"/>
  <c r="CS336" i="2"/>
  <c r="CO336" i="2"/>
  <c r="CK336" i="2"/>
  <c r="CG336" i="2"/>
  <c r="CC336" i="2"/>
  <c r="DB336" i="2"/>
  <c r="DC336" i="2" s="1"/>
  <c r="DM276" i="2"/>
  <c r="DI276" i="2"/>
  <c r="DE276" i="2"/>
  <c r="DA276" i="2"/>
  <c r="CW276" i="2"/>
  <c r="CS276" i="2"/>
  <c r="CO276" i="2"/>
  <c r="CK276" i="2"/>
  <c r="CG276" i="2"/>
  <c r="CC276" i="2"/>
  <c r="CY276" i="2"/>
  <c r="CI276" i="2"/>
  <c r="CM276" i="2"/>
  <c r="DB276" i="2"/>
  <c r="DC276" i="2" s="1"/>
  <c r="DG276" i="2"/>
  <c r="CQ276" i="2"/>
  <c r="CU276" i="2"/>
  <c r="CE276" i="2"/>
  <c r="DK276" i="2"/>
  <c r="DM260" i="2"/>
  <c r="DI260" i="2"/>
  <c r="DE260" i="2"/>
  <c r="DA260" i="2"/>
  <c r="CW260" i="2"/>
  <c r="CS260" i="2"/>
  <c r="CO260" i="2"/>
  <c r="CK260" i="2"/>
  <c r="CG260" i="2"/>
  <c r="CC260" i="2"/>
  <c r="CY260" i="2"/>
  <c r="CI260" i="2"/>
  <c r="DC260" i="2"/>
  <c r="CM260" i="2"/>
  <c r="DB260" i="2"/>
  <c r="DG260" i="2"/>
  <c r="CQ260" i="2"/>
  <c r="CU260" i="2"/>
  <c r="CE260" i="2"/>
  <c r="DK260" i="2"/>
  <c r="DB131" i="2"/>
  <c r="DC131" i="2" s="1"/>
  <c r="DI131" i="2"/>
  <c r="CS131" i="2"/>
  <c r="CG131" i="2"/>
  <c r="DK131" i="2"/>
  <c r="DG131" i="2"/>
  <c r="CY131" i="2"/>
  <c r="CU131" i="2"/>
  <c r="CQ131" i="2"/>
  <c r="CM131" i="2"/>
  <c r="CI131" i="2"/>
  <c r="CE131" i="2"/>
  <c r="DM131" i="2"/>
  <c r="DE131" i="2"/>
  <c r="CW131" i="2"/>
  <c r="CO131" i="2"/>
  <c r="CC131" i="2"/>
  <c r="DA131" i="2"/>
  <c r="CK131" i="2"/>
  <c r="DB115" i="2"/>
  <c r="DC115" i="2" s="1"/>
  <c r="DI115" i="2"/>
  <c r="DA115" i="2"/>
  <c r="CS115" i="2"/>
  <c r="CG115" i="2"/>
  <c r="DK115" i="2"/>
  <c r="DG115" i="2"/>
  <c r="CY115" i="2"/>
  <c r="CU115" i="2"/>
  <c r="CQ115" i="2"/>
  <c r="CM115" i="2"/>
  <c r="CI115" i="2"/>
  <c r="CE115" i="2"/>
  <c r="DM115" i="2"/>
  <c r="CW115" i="2"/>
  <c r="CO115" i="2"/>
  <c r="CC115" i="2"/>
  <c r="DE115" i="2"/>
  <c r="CK115" i="2"/>
  <c r="DB97" i="2"/>
  <c r="DC97" i="2" s="1"/>
  <c r="DK97" i="2"/>
  <c r="DG97" i="2"/>
  <c r="CY97" i="2"/>
  <c r="CU97" i="2"/>
  <c r="CQ97" i="2"/>
  <c r="CM97" i="2"/>
  <c r="CI97" i="2"/>
  <c r="CE97" i="2"/>
  <c r="CS97" i="2"/>
  <c r="DM97" i="2"/>
  <c r="DE97" i="2"/>
  <c r="CW97" i="2"/>
  <c r="CK97" i="2"/>
  <c r="DA97" i="2"/>
  <c r="CO97" i="2"/>
  <c r="CC97" i="2"/>
  <c r="DI97" i="2"/>
  <c r="CG97" i="2"/>
  <c r="DB44" i="2"/>
  <c r="DC44" i="2" s="1"/>
  <c r="DK44" i="2"/>
  <c r="DG44" i="2"/>
  <c r="CY44" i="2"/>
  <c r="CU44" i="2"/>
  <c r="CQ44" i="2"/>
  <c r="CM44" i="2"/>
  <c r="CI44" i="2"/>
  <c r="CE44" i="2"/>
  <c r="DI44" i="2"/>
  <c r="CG44" i="2"/>
  <c r="DM44" i="2"/>
  <c r="DE44" i="2"/>
  <c r="CW44" i="2"/>
  <c r="CK44" i="2"/>
  <c r="CS44" i="2"/>
  <c r="CO44" i="2"/>
  <c r="CC44" i="2"/>
  <c r="DA44" i="2"/>
  <c r="DM202" i="2"/>
  <c r="DI202" i="2"/>
  <c r="DE202" i="2"/>
  <c r="DA202" i="2"/>
  <c r="CW202" i="2"/>
  <c r="CS202" i="2"/>
  <c r="CO202" i="2"/>
  <c r="CK202" i="2"/>
  <c r="CG202" i="2"/>
  <c r="CC202" i="2"/>
  <c r="DB202" i="2"/>
  <c r="DC202" i="2" s="1"/>
  <c r="DK202" i="2"/>
  <c r="DG202" i="2"/>
  <c r="CY202" i="2"/>
  <c r="CU202" i="2"/>
  <c r="CQ202" i="2"/>
  <c r="CM202" i="2"/>
  <c r="CI202" i="2"/>
  <c r="CE202" i="2"/>
  <c r="DM194" i="2"/>
  <c r="DI194" i="2"/>
  <c r="DE194" i="2"/>
  <c r="DA194" i="2"/>
  <c r="CW194" i="2"/>
  <c r="CS194" i="2"/>
  <c r="CO194" i="2"/>
  <c r="CK194" i="2"/>
  <c r="CG194" i="2"/>
  <c r="CC194" i="2"/>
  <c r="DB194" i="2"/>
  <c r="DC194" i="2" s="1"/>
  <c r="DK194" i="2"/>
  <c r="DG194" i="2"/>
  <c r="CY194" i="2"/>
  <c r="CU194" i="2"/>
  <c r="CQ194" i="2"/>
  <c r="CM194" i="2"/>
  <c r="CI194" i="2"/>
  <c r="CE194" i="2"/>
  <c r="DM186" i="2"/>
  <c r="DI186" i="2"/>
  <c r="DE186" i="2"/>
  <c r="DA186" i="2"/>
  <c r="CW186" i="2"/>
  <c r="CS186" i="2"/>
  <c r="CO186" i="2"/>
  <c r="CK186" i="2"/>
  <c r="CG186" i="2"/>
  <c r="CC186" i="2"/>
  <c r="DB186" i="2"/>
  <c r="DC186" i="2" s="1"/>
  <c r="DK186" i="2"/>
  <c r="DG186" i="2"/>
  <c r="CY186" i="2"/>
  <c r="CU186" i="2"/>
  <c r="CQ186" i="2"/>
  <c r="CM186" i="2"/>
  <c r="CI186" i="2"/>
  <c r="CE186" i="2"/>
  <c r="DM178" i="2"/>
  <c r="DI178" i="2"/>
  <c r="DE178" i="2"/>
  <c r="DA178" i="2"/>
  <c r="CW178" i="2"/>
  <c r="CS178" i="2"/>
  <c r="CO178" i="2"/>
  <c r="CK178" i="2"/>
  <c r="CG178" i="2"/>
  <c r="CC178" i="2"/>
  <c r="DB178" i="2"/>
  <c r="DC178" i="2" s="1"/>
  <c r="DK178" i="2"/>
  <c r="DG178" i="2"/>
  <c r="CY178" i="2"/>
  <c r="CU178" i="2"/>
  <c r="CQ178" i="2"/>
  <c r="CM178" i="2"/>
  <c r="CI178" i="2"/>
  <c r="CE178" i="2"/>
  <c r="CS170" i="2"/>
  <c r="CY170" i="2"/>
  <c r="DM162" i="2"/>
  <c r="DI162" i="2"/>
  <c r="DE162" i="2"/>
  <c r="DA162" i="2"/>
  <c r="CW162" i="2"/>
  <c r="CS162" i="2"/>
  <c r="CO162" i="2"/>
  <c r="CK162" i="2"/>
  <c r="CG162" i="2"/>
  <c r="CC162" i="2"/>
  <c r="DB162" i="2"/>
  <c r="DK162" i="2"/>
  <c r="DG162" i="2"/>
  <c r="DC162" i="2"/>
  <c r="CY162" i="2"/>
  <c r="CU162" i="2"/>
  <c r="CQ162" i="2"/>
  <c r="CM162" i="2"/>
  <c r="CI162" i="2"/>
  <c r="CE162" i="2"/>
  <c r="DM154" i="2"/>
  <c r="DI154" i="2"/>
  <c r="DE154" i="2"/>
  <c r="DA154" i="2"/>
  <c r="CW154" i="2"/>
  <c r="CS154" i="2"/>
  <c r="CO154" i="2"/>
  <c r="CK154" i="2"/>
  <c r="CG154" i="2"/>
  <c r="CC154" i="2"/>
  <c r="DB154" i="2"/>
  <c r="DC154" i="2" s="1"/>
  <c r="DK154" i="2"/>
  <c r="DG154" i="2"/>
  <c r="CY154" i="2"/>
  <c r="CU154" i="2"/>
  <c r="CQ154" i="2"/>
  <c r="CM154" i="2"/>
  <c r="CI154" i="2"/>
  <c r="CE154" i="2"/>
  <c r="DM146" i="2"/>
  <c r="DI146" i="2"/>
  <c r="DE146" i="2"/>
  <c r="DA146" i="2"/>
  <c r="CW146" i="2"/>
  <c r="CS146" i="2"/>
  <c r="CO146" i="2"/>
  <c r="CK146" i="2"/>
  <c r="CG146" i="2"/>
  <c r="CC146" i="2"/>
  <c r="DB146" i="2"/>
  <c r="DK146" i="2"/>
  <c r="DG146" i="2"/>
  <c r="DC146" i="2"/>
  <c r="CY146" i="2"/>
  <c r="CU146" i="2"/>
  <c r="CQ146" i="2"/>
  <c r="CM146" i="2"/>
  <c r="CI146" i="2"/>
  <c r="CE146" i="2"/>
  <c r="DB88" i="2"/>
  <c r="DC88" i="2" s="1"/>
  <c r="DK88" i="2"/>
  <c r="DG88" i="2"/>
  <c r="CY88" i="2"/>
  <c r="CU88" i="2"/>
  <c r="CQ88" i="2"/>
  <c r="CM88" i="2"/>
  <c r="CI88" i="2"/>
  <c r="CE88" i="2"/>
  <c r="DI88" i="2"/>
  <c r="DA88" i="2"/>
  <c r="CS88" i="2"/>
  <c r="CG88" i="2"/>
  <c r="CO88" i="2"/>
  <c r="CC88" i="2"/>
  <c r="DM88" i="2"/>
  <c r="DE88" i="2"/>
  <c r="CW88" i="2"/>
  <c r="CK88" i="2"/>
  <c r="DM498" i="2"/>
  <c r="DI498" i="2"/>
  <c r="DE498" i="2"/>
  <c r="DA498" i="2"/>
  <c r="CW498" i="2"/>
  <c r="CS498" i="2"/>
  <c r="CO498" i="2"/>
  <c r="CK498" i="2"/>
  <c r="CG498" i="2"/>
  <c r="CC498" i="2"/>
  <c r="DB498" i="2"/>
  <c r="DC498" i="2" s="1"/>
  <c r="DK498" i="2"/>
  <c r="DG498" i="2"/>
  <c r="CY498" i="2"/>
  <c r="CU498" i="2"/>
  <c r="CQ498" i="2"/>
  <c r="CM498" i="2"/>
  <c r="CI498" i="2"/>
  <c r="CE498" i="2"/>
  <c r="DM496" i="2"/>
  <c r="DI496" i="2"/>
  <c r="DE496" i="2"/>
  <c r="DA496" i="2"/>
  <c r="CW496" i="2"/>
  <c r="CS496" i="2"/>
  <c r="CO496" i="2"/>
  <c r="CK496" i="2"/>
  <c r="CG496" i="2"/>
  <c r="CY496" i="2"/>
  <c r="CI496" i="2"/>
  <c r="CM496" i="2"/>
  <c r="CC496" i="2"/>
  <c r="DG496" i="2"/>
  <c r="CQ496" i="2"/>
  <c r="DB496" i="2"/>
  <c r="DC496" i="2" s="1"/>
  <c r="CE496" i="2"/>
  <c r="CU496" i="2"/>
  <c r="DK496" i="2"/>
  <c r="DM497" i="2"/>
  <c r="DI497" i="2"/>
  <c r="DE497" i="2"/>
  <c r="DA497" i="2"/>
  <c r="CW497" i="2"/>
  <c r="CS497" i="2"/>
  <c r="CO497" i="2"/>
  <c r="CK497" i="2"/>
  <c r="CG497" i="2"/>
  <c r="CC497" i="2"/>
  <c r="DK497" i="2"/>
  <c r="DG497" i="2"/>
  <c r="CM497" i="2"/>
  <c r="CQ497" i="2"/>
  <c r="CU497" i="2"/>
  <c r="DB497" i="2"/>
  <c r="DC497" i="2" s="1"/>
  <c r="CY497" i="2"/>
  <c r="CI497" i="2"/>
  <c r="CE497" i="2"/>
  <c r="DB472" i="2"/>
  <c r="DK472" i="2"/>
  <c r="CG472" i="2"/>
  <c r="CC472" i="2"/>
  <c r="DE472" i="2"/>
  <c r="DA472" i="2"/>
  <c r="CW472" i="2"/>
  <c r="CS472" i="2"/>
  <c r="CO472" i="2"/>
  <c r="CK472" i="2"/>
  <c r="DG472" i="2"/>
  <c r="CM472" i="2"/>
  <c r="DM472" i="2"/>
  <c r="CY472" i="2"/>
  <c r="CQ472" i="2"/>
  <c r="CE472" i="2"/>
  <c r="DI472" i="2"/>
  <c r="CU472" i="2"/>
  <c r="DC472" i="2"/>
  <c r="CI472" i="2"/>
  <c r="DK464" i="2"/>
  <c r="DG464" i="2"/>
  <c r="CY464" i="2"/>
  <c r="CU464" i="2"/>
  <c r="CQ464" i="2"/>
  <c r="CM464" i="2"/>
  <c r="CI464" i="2"/>
  <c r="CE464" i="2"/>
  <c r="DI464" i="2"/>
  <c r="CS464" i="2"/>
  <c r="CC464" i="2"/>
  <c r="DM464" i="2"/>
  <c r="CW464" i="2"/>
  <c r="CG464" i="2"/>
  <c r="CK464" i="2"/>
  <c r="DE464" i="2"/>
  <c r="CO464" i="2"/>
  <c r="DB464" i="2"/>
  <c r="DC464" i="2" s="1"/>
  <c r="DA464" i="2"/>
  <c r="DK471" i="2"/>
  <c r="DG471" i="2"/>
  <c r="CY471" i="2"/>
  <c r="CU471" i="2"/>
  <c r="CQ471" i="2"/>
  <c r="CM471" i="2"/>
  <c r="CI471" i="2"/>
  <c r="CE471" i="2"/>
  <c r="DI471" i="2"/>
  <c r="CS471" i="2"/>
  <c r="CC471" i="2"/>
  <c r="DM471" i="2"/>
  <c r="CW471" i="2"/>
  <c r="CG471" i="2"/>
  <c r="DA471" i="2"/>
  <c r="CK471" i="2"/>
  <c r="DE471" i="2"/>
  <c r="CO471" i="2"/>
  <c r="DB471" i="2"/>
  <c r="DC471" i="2" s="1"/>
  <c r="DK463" i="2"/>
  <c r="DG463" i="2"/>
  <c r="CY463" i="2"/>
  <c r="CU463" i="2"/>
  <c r="CQ463" i="2"/>
  <c r="CM463" i="2"/>
  <c r="CI463" i="2"/>
  <c r="CE463" i="2"/>
  <c r="DI463" i="2"/>
  <c r="CS463" i="2"/>
  <c r="CC463" i="2"/>
  <c r="DM463" i="2"/>
  <c r="CW463" i="2"/>
  <c r="CG463" i="2"/>
  <c r="DA463" i="2"/>
  <c r="CK463" i="2"/>
  <c r="DE463" i="2"/>
  <c r="CO463" i="2"/>
  <c r="DB463" i="2"/>
  <c r="DC463" i="2" s="1"/>
  <c r="DB438" i="2"/>
  <c r="DC438" i="2" s="1"/>
  <c r="DK438" i="2"/>
  <c r="DG438" i="2"/>
  <c r="CY438" i="2"/>
  <c r="CU438" i="2"/>
  <c r="CQ438" i="2"/>
  <c r="CM438" i="2"/>
  <c r="CI438" i="2"/>
  <c r="CE438" i="2"/>
  <c r="DI438" i="2"/>
  <c r="DA438" i="2"/>
  <c r="CS438" i="2"/>
  <c r="CG438" i="2"/>
  <c r="DM438" i="2"/>
  <c r="DE438" i="2"/>
  <c r="CW438" i="2"/>
  <c r="CK438" i="2"/>
  <c r="CC438" i="2"/>
  <c r="CO438" i="2"/>
  <c r="DB437" i="2"/>
  <c r="DC437" i="2" s="1"/>
  <c r="DK437" i="2"/>
  <c r="DG437" i="2"/>
  <c r="CY437" i="2"/>
  <c r="CU437" i="2"/>
  <c r="CQ437" i="2"/>
  <c r="CM437" i="2"/>
  <c r="CI437" i="2"/>
  <c r="CE437" i="2"/>
  <c r="DI437" i="2"/>
  <c r="DA437" i="2"/>
  <c r="CS437" i="2"/>
  <c r="CG437" i="2"/>
  <c r="DM437" i="2"/>
  <c r="DE437" i="2"/>
  <c r="CW437" i="2"/>
  <c r="CK437" i="2"/>
  <c r="CC437" i="2"/>
  <c r="CO437" i="2"/>
  <c r="DB421" i="2"/>
  <c r="DC421" i="2" s="1"/>
  <c r="DK421" i="2"/>
  <c r="DG421" i="2"/>
  <c r="CY421" i="2"/>
  <c r="CU421" i="2"/>
  <c r="CQ421" i="2"/>
  <c r="CM421" i="2"/>
  <c r="CI421" i="2"/>
  <c r="CE421" i="2"/>
  <c r="DI421" i="2"/>
  <c r="DA421" i="2"/>
  <c r="CS421" i="2"/>
  <c r="CG421" i="2"/>
  <c r="DM421" i="2"/>
  <c r="DE421" i="2"/>
  <c r="CW421" i="2"/>
  <c r="CK421" i="2"/>
  <c r="CC421" i="2"/>
  <c r="CO421" i="2"/>
  <c r="DK402" i="2"/>
  <c r="DG402" i="2"/>
  <c r="CY402" i="2"/>
  <c r="CU402" i="2"/>
  <c r="CQ402" i="2"/>
  <c r="CM402" i="2"/>
  <c r="CI402" i="2"/>
  <c r="CE402" i="2"/>
  <c r="DM402" i="2"/>
  <c r="DI402" i="2"/>
  <c r="DE402" i="2"/>
  <c r="DA402" i="2"/>
  <c r="CW402" i="2"/>
  <c r="CS402" i="2"/>
  <c r="CO402" i="2"/>
  <c r="CK402" i="2"/>
  <c r="CG402" i="2"/>
  <c r="CC402" i="2"/>
  <c r="DB402" i="2"/>
  <c r="DC402" i="2" s="1"/>
  <c r="DK359" i="2"/>
  <c r="DG359" i="2"/>
  <c r="CY359" i="2"/>
  <c r="CU359" i="2"/>
  <c r="CQ359" i="2"/>
  <c r="CM359" i="2"/>
  <c r="CI359" i="2"/>
  <c r="CE359" i="2"/>
  <c r="DM359" i="2"/>
  <c r="DI359" i="2"/>
  <c r="DE359" i="2"/>
  <c r="DA359" i="2"/>
  <c r="CW359" i="2"/>
  <c r="CS359" i="2"/>
  <c r="CO359" i="2"/>
  <c r="CK359" i="2"/>
  <c r="CG359" i="2"/>
  <c r="CC359" i="2"/>
  <c r="DB359" i="2"/>
  <c r="DC359" i="2" s="1"/>
  <c r="DK355" i="2"/>
  <c r="DG355" i="2"/>
  <c r="CY355" i="2"/>
  <c r="CU355" i="2"/>
  <c r="CQ355" i="2"/>
  <c r="CM355" i="2"/>
  <c r="CI355" i="2"/>
  <c r="CE355" i="2"/>
  <c r="DM355" i="2"/>
  <c r="DI355" i="2"/>
  <c r="DE355" i="2"/>
  <c r="DA355" i="2"/>
  <c r="CW355" i="2"/>
  <c r="CS355" i="2"/>
  <c r="CO355" i="2"/>
  <c r="CK355" i="2"/>
  <c r="CG355" i="2"/>
  <c r="CC355" i="2"/>
  <c r="DB355" i="2"/>
  <c r="DC355" i="2" s="1"/>
  <c r="DK335" i="2"/>
  <c r="DG335" i="2"/>
  <c r="CY335" i="2"/>
  <c r="CU335" i="2"/>
  <c r="CQ335" i="2"/>
  <c r="CM335" i="2"/>
  <c r="CI335" i="2"/>
  <c r="CE335" i="2"/>
  <c r="DM335" i="2"/>
  <c r="DI335" i="2"/>
  <c r="DE335" i="2"/>
  <c r="DA335" i="2"/>
  <c r="CW335" i="2"/>
  <c r="CS335" i="2"/>
  <c r="CO335" i="2"/>
  <c r="CK335" i="2"/>
  <c r="CG335" i="2"/>
  <c r="CC335" i="2"/>
  <c r="DB335" i="2"/>
  <c r="DC335" i="2" s="1"/>
  <c r="DK331" i="2"/>
  <c r="DG331" i="2"/>
  <c r="CY331" i="2"/>
  <c r="CU331" i="2"/>
  <c r="CQ331" i="2"/>
  <c r="CM331" i="2"/>
  <c r="CI331" i="2"/>
  <c r="CE331" i="2"/>
  <c r="DM331" i="2"/>
  <c r="DI331" i="2"/>
  <c r="DE331" i="2"/>
  <c r="DA331" i="2"/>
  <c r="CW331" i="2"/>
  <c r="CS331" i="2"/>
  <c r="CO331" i="2"/>
  <c r="CK331" i="2"/>
  <c r="CG331" i="2"/>
  <c r="CC331" i="2"/>
  <c r="DB331" i="2"/>
  <c r="DC331" i="2" s="1"/>
  <c r="DM280" i="2"/>
  <c r="DI280" i="2"/>
  <c r="DE280" i="2"/>
  <c r="DA280" i="2"/>
  <c r="CW280" i="2"/>
  <c r="CS280" i="2"/>
  <c r="CO280" i="2"/>
  <c r="CK280" i="2"/>
  <c r="CG280" i="2"/>
  <c r="CC280" i="2"/>
  <c r="CY280" i="2"/>
  <c r="CI280" i="2"/>
  <c r="CM280" i="2"/>
  <c r="DB280" i="2"/>
  <c r="DC280" i="2" s="1"/>
  <c r="DG280" i="2"/>
  <c r="CQ280" i="2"/>
  <c r="CU280" i="2"/>
  <c r="CE280" i="2"/>
  <c r="DK280" i="2"/>
  <c r="DM272" i="2"/>
  <c r="DI272" i="2"/>
  <c r="DE272" i="2"/>
  <c r="DA272" i="2"/>
  <c r="CW272" i="2"/>
  <c r="CS272" i="2"/>
  <c r="CO272" i="2"/>
  <c r="CK272" i="2"/>
  <c r="CG272" i="2"/>
  <c r="CC272" i="2"/>
  <c r="CY272" i="2"/>
  <c r="CI272" i="2"/>
  <c r="CM272" i="2"/>
  <c r="DB272" i="2"/>
  <c r="DC272" i="2" s="1"/>
  <c r="DG272" i="2"/>
  <c r="CQ272" i="2"/>
  <c r="CU272" i="2"/>
  <c r="CE272" i="2"/>
  <c r="DK272" i="2"/>
  <c r="DM264" i="2"/>
  <c r="DI264" i="2"/>
  <c r="DE264" i="2"/>
  <c r="DA264" i="2"/>
  <c r="CW264" i="2"/>
  <c r="CS264" i="2"/>
  <c r="CO264" i="2"/>
  <c r="CK264" i="2"/>
  <c r="CG264" i="2"/>
  <c r="CC264" i="2"/>
  <c r="CY264" i="2"/>
  <c r="CI264" i="2"/>
  <c r="CM264" i="2"/>
  <c r="DB264" i="2"/>
  <c r="DC264" i="2" s="1"/>
  <c r="DG264" i="2"/>
  <c r="CQ264" i="2"/>
  <c r="CU264" i="2"/>
  <c r="CE264" i="2"/>
  <c r="DK264" i="2"/>
  <c r="DM271" i="2"/>
  <c r="DI271" i="2"/>
  <c r="DE271" i="2"/>
  <c r="DA271" i="2"/>
  <c r="CW271" i="2"/>
  <c r="CS271" i="2"/>
  <c r="CO271" i="2"/>
  <c r="CK271" i="2"/>
  <c r="CG271" i="2"/>
  <c r="CC271" i="2"/>
  <c r="DK271" i="2"/>
  <c r="CU271" i="2"/>
  <c r="CE271" i="2"/>
  <c r="CY271" i="2"/>
  <c r="CI271" i="2"/>
  <c r="CM271" i="2"/>
  <c r="DB271" i="2"/>
  <c r="DC271" i="2" s="1"/>
  <c r="CQ271" i="2"/>
  <c r="DG271" i="2"/>
  <c r="DK228" i="2"/>
  <c r="DG228" i="2"/>
  <c r="CY228" i="2"/>
  <c r="CU228" i="2"/>
  <c r="CQ228" i="2"/>
  <c r="CM228" i="2"/>
  <c r="CI228" i="2"/>
  <c r="CE228" i="2"/>
  <c r="DM228" i="2"/>
  <c r="DI228" i="2"/>
  <c r="DE228" i="2"/>
  <c r="DA228" i="2"/>
  <c r="CW228" i="2"/>
  <c r="CS228" i="2"/>
  <c r="CO228" i="2"/>
  <c r="CK228" i="2"/>
  <c r="CG228" i="2"/>
  <c r="CC228" i="2"/>
  <c r="DB228" i="2"/>
  <c r="DC228" i="2" s="1"/>
  <c r="DK224" i="2"/>
  <c r="DG224" i="2"/>
  <c r="CY224" i="2"/>
  <c r="CU224" i="2"/>
  <c r="CQ224" i="2"/>
  <c r="CM224" i="2"/>
  <c r="CI224" i="2"/>
  <c r="CE224" i="2"/>
  <c r="DM224" i="2"/>
  <c r="DI224" i="2"/>
  <c r="DE224" i="2"/>
  <c r="DA224" i="2"/>
  <c r="CW224" i="2"/>
  <c r="CS224" i="2"/>
  <c r="CO224" i="2"/>
  <c r="CK224" i="2"/>
  <c r="CG224" i="2"/>
  <c r="CC224" i="2"/>
  <c r="DB224" i="2"/>
  <c r="DC224" i="2" s="1"/>
  <c r="DK213" i="2"/>
  <c r="DG213" i="2"/>
  <c r="CY213" i="2"/>
  <c r="CU213" i="2"/>
  <c r="CQ213" i="2"/>
  <c r="CM213" i="2"/>
  <c r="CI213" i="2"/>
  <c r="CE213" i="2"/>
  <c r="DM213" i="2"/>
  <c r="DI213" i="2"/>
  <c r="DE213" i="2"/>
  <c r="DA213" i="2"/>
  <c r="CW213" i="2"/>
  <c r="CS213" i="2"/>
  <c r="CO213" i="2"/>
  <c r="CK213" i="2"/>
  <c r="CG213" i="2"/>
  <c r="CC213" i="2"/>
  <c r="DB213" i="2"/>
  <c r="DC213" i="2" s="1"/>
  <c r="DB36" i="2"/>
  <c r="DC36" i="2" s="1"/>
  <c r="DK36" i="2"/>
  <c r="DG36" i="2"/>
  <c r="CY36" i="2"/>
  <c r="CU36" i="2"/>
  <c r="CQ36" i="2"/>
  <c r="CM36" i="2"/>
  <c r="CI36" i="2"/>
  <c r="CE36" i="2"/>
  <c r="DI36" i="2"/>
  <c r="DA36" i="2"/>
  <c r="CO36" i="2"/>
  <c r="CC36" i="2"/>
  <c r="CS36" i="2"/>
  <c r="CG36" i="2"/>
  <c r="DM36" i="2"/>
  <c r="DE36" i="2"/>
  <c r="CW36" i="2"/>
  <c r="CK36" i="2"/>
  <c r="DK137" i="2"/>
  <c r="DG137" i="2"/>
  <c r="CY137" i="2"/>
  <c r="CU137" i="2"/>
  <c r="CQ137" i="2"/>
  <c r="CM137" i="2"/>
  <c r="CI137" i="2"/>
  <c r="CE137" i="2"/>
  <c r="DE137" i="2"/>
  <c r="CO137" i="2"/>
  <c r="DI137" i="2"/>
  <c r="CS137" i="2"/>
  <c r="CC137" i="2"/>
  <c r="DA137" i="2"/>
  <c r="CK137" i="2"/>
  <c r="DM137" i="2"/>
  <c r="CW137" i="2"/>
  <c r="CG137" i="2"/>
  <c r="DB137" i="2"/>
  <c r="DC137" i="2" s="1"/>
  <c r="DB127" i="2"/>
  <c r="DI127" i="2"/>
  <c r="DA127" i="2"/>
  <c r="CO127" i="2"/>
  <c r="CC127" i="2"/>
  <c r="DK127" i="2"/>
  <c r="DG127" i="2"/>
  <c r="DC127" i="2"/>
  <c r="CY127" i="2"/>
  <c r="CU127" i="2"/>
  <c r="CQ127" i="2"/>
  <c r="CM127" i="2"/>
  <c r="CI127" i="2"/>
  <c r="CE127" i="2"/>
  <c r="DM127" i="2"/>
  <c r="DE127" i="2"/>
  <c r="CS127" i="2"/>
  <c r="CK127" i="2"/>
  <c r="CW127" i="2"/>
  <c r="CG127" i="2"/>
  <c r="DB119" i="2"/>
  <c r="DI119" i="2"/>
  <c r="CW119" i="2"/>
  <c r="CS119" i="2"/>
  <c r="CC119" i="2"/>
  <c r="DK119" i="2"/>
  <c r="DG119" i="2"/>
  <c r="DC119" i="2"/>
  <c r="CY119" i="2"/>
  <c r="CU119" i="2"/>
  <c r="CQ119" i="2"/>
  <c r="CM119" i="2"/>
  <c r="CI119" i="2"/>
  <c r="CE119" i="2"/>
  <c r="DM119" i="2"/>
  <c r="DA119" i="2"/>
  <c r="CO119" i="2"/>
  <c r="CG119" i="2"/>
  <c r="DE119" i="2"/>
  <c r="CK119" i="2"/>
  <c r="DB110" i="2"/>
  <c r="DC110" i="2" s="1"/>
  <c r="DM110" i="2"/>
  <c r="CW110" i="2"/>
  <c r="DK110" i="2"/>
  <c r="DG110" i="2"/>
  <c r="CY110" i="2"/>
  <c r="CU110" i="2"/>
  <c r="CQ110" i="2"/>
  <c r="CM110" i="2"/>
  <c r="CI110" i="2"/>
  <c r="CE110" i="2"/>
  <c r="DI110" i="2"/>
  <c r="DE110" i="2"/>
  <c r="DA110" i="2"/>
  <c r="CK110" i="2"/>
  <c r="CO110" i="2"/>
  <c r="CC110" i="2"/>
  <c r="CS110" i="2"/>
  <c r="CG110" i="2"/>
  <c r="DB102" i="2"/>
  <c r="DC102" i="2" s="1"/>
  <c r="DK102" i="2"/>
  <c r="DG102" i="2"/>
  <c r="CY102" i="2"/>
  <c r="CU102" i="2"/>
  <c r="CQ102" i="2"/>
  <c r="CM102" i="2"/>
  <c r="CI102" i="2"/>
  <c r="CE102" i="2"/>
  <c r="DM102" i="2"/>
  <c r="DE102" i="2"/>
  <c r="CW102" i="2"/>
  <c r="CK102" i="2"/>
  <c r="CO102" i="2"/>
  <c r="CC102" i="2"/>
  <c r="DI102" i="2"/>
  <c r="DA102" i="2"/>
  <c r="CS102" i="2"/>
  <c r="CG102" i="2"/>
  <c r="DB89" i="2"/>
  <c r="DC89" i="2" s="1"/>
  <c r="DK89" i="2"/>
  <c r="DG89" i="2"/>
  <c r="CY89" i="2"/>
  <c r="CU89" i="2"/>
  <c r="CQ89" i="2"/>
  <c r="CM89" i="2"/>
  <c r="CI89" i="2"/>
  <c r="CE89" i="2"/>
  <c r="DA89" i="2"/>
  <c r="CG89" i="2"/>
  <c r="DM89" i="2"/>
  <c r="DE89" i="2"/>
  <c r="CW89" i="2"/>
  <c r="CK89" i="2"/>
  <c r="CS89" i="2"/>
  <c r="CO89" i="2"/>
  <c r="CC89" i="2"/>
  <c r="DI89" i="2"/>
  <c r="DB37" i="2"/>
  <c r="DC37" i="2" s="1"/>
  <c r="DK37" i="2"/>
  <c r="DG37" i="2"/>
  <c r="CY37" i="2"/>
  <c r="CU37" i="2"/>
  <c r="CQ37" i="2"/>
  <c r="CM37" i="2"/>
  <c r="CI37" i="2"/>
  <c r="CE37" i="2"/>
  <c r="DI37" i="2"/>
  <c r="DM37" i="2"/>
  <c r="DE37" i="2"/>
  <c r="CW37" i="2"/>
  <c r="CK37" i="2"/>
  <c r="DA37" i="2"/>
  <c r="CG37" i="2"/>
  <c r="CO37" i="2"/>
  <c r="CC37" i="2"/>
  <c r="CS37" i="2"/>
  <c r="DB101" i="2"/>
  <c r="DC101" i="2" s="1"/>
  <c r="DK101" i="2"/>
  <c r="DG101" i="2"/>
  <c r="CY101" i="2"/>
  <c r="CU101" i="2"/>
  <c r="CQ101" i="2"/>
  <c r="CM101" i="2"/>
  <c r="CI101" i="2"/>
  <c r="CE101" i="2"/>
  <c r="DI101" i="2"/>
  <c r="DM101" i="2"/>
  <c r="DE101" i="2"/>
  <c r="CW101" i="2"/>
  <c r="CK101" i="2"/>
  <c r="DA101" i="2"/>
  <c r="CG101" i="2"/>
  <c r="CO101" i="2"/>
  <c r="CC101" i="2"/>
  <c r="CS101" i="2"/>
  <c r="DB92" i="2"/>
  <c r="DK92" i="2"/>
  <c r="DG92" i="2"/>
  <c r="DC92" i="2"/>
  <c r="CY92" i="2"/>
  <c r="CU92" i="2"/>
  <c r="CQ92" i="2"/>
  <c r="CM92" i="2"/>
  <c r="CI92" i="2"/>
  <c r="CE92" i="2"/>
  <c r="DI92" i="2"/>
  <c r="DA92" i="2"/>
  <c r="CS92" i="2"/>
  <c r="CG92" i="2"/>
  <c r="CC92" i="2"/>
  <c r="DM92" i="2"/>
  <c r="DE92" i="2"/>
  <c r="CW92" i="2"/>
  <c r="CK92" i="2"/>
  <c r="CO92" i="2"/>
  <c r="DB80" i="2"/>
  <c r="DC80" i="2" s="1"/>
  <c r="DK80" i="2"/>
  <c r="DG80" i="2"/>
  <c r="CY80" i="2"/>
  <c r="CU80" i="2"/>
  <c r="CQ80" i="2"/>
  <c r="CM80" i="2"/>
  <c r="CI80" i="2"/>
  <c r="CE80" i="2"/>
  <c r="DI80" i="2"/>
  <c r="DA80" i="2"/>
  <c r="CS80" i="2"/>
  <c r="CG80" i="2"/>
  <c r="CO80" i="2"/>
  <c r="CC80" i="2"/>
  <c r="DM80" i="2"/>
  <c r="DE80" i="2"/>
  <c r="CW80" i="2"/>
  <c r="CK80" i="2"/>
  <c r="DB64" i="2"/>
  <c r="DC64" i="2" s="1"/>
  <c r="DK64" i="2"/>
  <c r="DG64" i="2"/>
  <c r="CY64" i="2"/>
  <c r="CU64" i="2"/>
  <c r="CQ64" i="2"/>
  <c r="CM64" i="2"/>
  <c r="CI64" i="2"/>
  <c r="CE64" i="2"/>
  <c r="DI64" i="2"/>
  <c r="DA64" i="2"/>
  <c r="CS64" i="2"/>
  <c r="CG64" i="2"/>
  <c r="CC64" i="2"/>
  <c r="DM64" i="2"/>
  <c r="DE64" i="2"/>
  <c r="CW64" i="2"/>
  <c r="CK64" i="2"/>
  <c r="CO64" i="2"/>
  <c r="DB33" i="2"/>
  <c r="DC33" i="2" s="1"/>
  <c r="DK33" i="2"/>
  <c r="DG33" i="2"/>
  <c r="CY33" i="2"/>
  <c r="CU33" i="2"/>
  <c r="CQ33" i="2"/>
  <c r="CM33" i="2"/>
  <c r="CI33" i="2"/>
  <c r="CE33" i="2"/>
  <c r="DI33" i="2"/>
  <c r="DA33" i="2"/>
  <c r="CS33" i="2"/>
  <c r="CG33" i="2"/>
  <c r="CO33" i="2"/>
  <c r="CC33" i="2"/>
  <c r="DM33" i="2"/>
  <c r="DE33" i="2"/>
  <c r="CW33" i="2"/>
  <c r="CK33" i="2"/>
  <c r="CJ5" i="2"/>
  <c r="CT10" i="2"/>
  <c r="CT12" i="2"/>
  <c r="BW14" i="2"/>
  <c r="BV15" i="2"/>
  <c r="BV19" i="2"/>
  <c r="BV20" i="2"/>
  <c r="CT20" i="2"/>
  <c r="CX20" i="2" s="1"/>
  <c r="R21" i="2"/>
  <c r="X21" i="2" s="1"/>
  <c r="AJ21" i="2" s="1"/>
  <c r="AP21" i="2" s="1"/>
  <c r="BV21" i="2"/>
  <c r="CT21" i="2"/>
  <c r="CJ22" i="2"/>
  <c r="BY24" i="2"/>
  <c r="CT25" i="2"/>
  <c r="CX25" i="2" s="1"/>
  <c r="CT6" i="2"/>
  <c r="BV7" i="2"/>
  <c r="R6" i="2"/>
  <c r="S6" i="2" s="1"/>
  <c r="CJ6" i="2"/>
  <c r="BW7" i="2"/>
  <c r="BY9" i="2"/>
  <c r="CT9" i="2"/>
  <c r="CJ10" i="2"/>
  <c r="BW12" i="2"/>
  <c r="BW13" i="2"/>
  <c r="BY14" i="2"/>
  <c r="BW20" i="2"/>
  <c r="BW23" i="2"/>
  <c r="CJ24" i="2"/>
  <c r="BW10" i="2"/>
  <c r="CT7" i="2"/>
  <c r="BW9" i="2"/>
  <c r="BY10" i="2"/>
  <c r="R4" i="2"/>
  <c r="X4" i="2" s="1"/>
  <c r="Y4" i="2" s="1"/>
  <c r="BY4" i="2"/>
  <c r="DH4" i="2"/>
  <c r="BY8" i="2"/>
  <c r="CT8" i="2"/>
  <c r="DH8" i="2"/>
  <c r="CJ9" i="2"/>
  <c r="BW11" i="2"/>
  <c r="BY12" i="2"/>
  <c r="BY13" i="2"/>
  <c r="CJ13" i="2"/>
  <c r="DH13" i="2"/>
  <c r="CJ14" i="2"/>
  <c r="DH14" i="2"/>
  <c r="DH18" i="2"/>
  <c r="DH20" i="2"/>
  <c r="DH21" i="2"/>
  <c r="BY23" i="2"/>
  <c r="CT23" i="2"/>
  <c r="CX23" i="2" s="1"/>
  <c r="DL23" i="2" s="1"/>
  <c r="CT24" i="2"/>
  <c r="BY25" i="2"/>
  <c r="CJ17" i="2"/>
  <c r="DH17" i="2"/>
  <c r="BV18" i="2"/>
  <c r="R16" i="2"/>
  <c r="S16" i="2" s="1"/>
  <c r="BY18" i="2"/>
  <c r="CT16" i="2"/>
  <c r="BW22" i="2"/>
  <c r="CT22" i="2"/>
  <c r="BY22" i="2"/>
  <c r="DH22" i="2"/>
  <c r="CJ16" i="2"/>
  <c r="CJ18" i="2"/>
  <c r="CT19" i="2"/>
  <c r="R15" i="2"/>
  <c r="S15" i="2" s="1"/>
  <c r="CT15" i="2"/>
  <c r="DH15" i="2"/>
  <c r="BV17" i="2"/>
  <c r="CJ15" i="2"/>
  <c r="BV16" i="2"/>
  <c r="CT18" i="2"/>
  <c r="DH19" i="2"/>
  <c r="BV8" i="2"/>
  <c r="CJ8" i="2"/>
  <c r="X8" i="2"/>
  <c r="AJ8" i="2" s="1"/>
  <c r="AP8" i="2" s="1"/>
  <c r="BW5" i="2"/>
  <c r="BW6" i="2"/>
  <c r="R7" i="2"/>
  <c r="X7" i="2" s="1"/>
  <c r="Y7" i="2" s="1"/>
  <c r="CT11" i="2"/>
  <c r="CT13" i="2"/>
  <c r="CT17" i="2"/>
  <c r="R25" i="2"/>
  <c r="X25" i="2" s="1"/>
  <c r="AJ25" i="2" s="1"/>
  <c r="AP25" i="2" s="1"/>
  <c r="R11" i="2"/>
  <c r="X11" i="2" s="1"/>
  <c r="Y11" i="2" s="1"/>
  <c r="R12" i="2"/>
  <c r="S12" i="2" s="1"/>
  <c r="R13" i="2"/>
  <c r="X13" i="2" s="1"/>
  <c r="Y13" i="2" s="1"/>
  <c r="R14" i="2"/>
  <c r="X14" i="2" s="1"/>
  <c r="Y14" i="2" s="1"/>
  <c r="R18" i="2"/>
  <c r="X18" i="2" s="1"/>
  <c r="AJ18" i="2" s="1"/>
  <c r="AK18" i="2" s="1"/>
  <c r="R19" i="2"/>
  <c r="S19" i="2" s="1"/>
  <c r="BW15" i="2"/>
  <c r="BW16" i="2"/>
  <c r="BW17" i="2"/>
  <c r="CJ19" i="2"/>
  <c r="R17" i="2"/>
  <c r="X17" i="2" s="1"/>
  <c r="AJ17" i="2" s="1"/>
  <c r="AP17" i="2" s="1"/>
  <c r="R22" i="2"/>
  <c r="X22" i="2" s="1"/>
  <c r="Y22" i="2" s="1"/>
  <c r="DH25" i="2"/>
  <c r="R23" i="2"/>
  <c r="X23" i="2" s="1"/>
  <c r="AJ23" i="2" s="1"/>
  <c r="AP23" i="2" s="1"/>
  <c r="DH23" i="2"/>
  <c r="R24" i="2"/>
  <c r="X24" i="2" s="1"/>
  <c r="AJ24" i="2" s="1"/>
  <c r="AP24" i="2" s="1"/>
  <c r="BV24" i="2"/>
  <c r="BV25" i="2"/>
  <c r="G3" i="2"/>
  <c r="F3" i="2"/>
  <c r="BZ3" i="2"/>
  <c r="DJ3" i="2"/>
  <c r="DF3" i="2"/>
  <c r="DD3" i="2"/>
  <c r="CZ3" i="2"/>
  <c r="CV3" i="2"/>
  <c r="CR3" i="2"/>
  <c r="CP3" i="2"/>
  <c r="CN3" i="2"/>
  <c r="CF3" i="2"/>
  <c r="CH3" i="2"/>
  <c r="CD3" i="2"/>
  <c r="CB3" i="2"/>
  <c r="DB73" i="2" l="1"/>
  <c r="DC73" i="2" s="1"/>
  <c r="CQ170" i="2"/>
  <c r="CK170" i="2"/>
  <c r="CK360" i="2"/>
  <c r="CE360" i="2"/>
  <c r="CG345" i="2"/>
  <c r="DM345" i="2"/>
  <c r="DK345" i="2"/>
  <c r="DE406" i="2"/>
  <c r="CY406" i="2"/>
  <c r="CK433" i="2"/>
  <c r="CE433" i="2"/>
  <c r="CG461" i="2"/>
  <c r="CM461" i="2"/>
  <c r="DK366" i="2"/>
  <c r="DA366" i="2"/>
  <c r="CM386" i="2"/>
  <c r="CG386" i="2"/>
  <c r="DM386" i="2"/>
  <c r="CK144" i="2"/>
  <c r="CK389" i="2"/>
  <c r="CW432" i="2"/>
  <c r="DI320" i="2"/>
  <c r="DE136" i="2"/>
  <c r="CO320" i="2"/>
  <c r="CG136" i="2"/>
  <c r="DG318" i="2"/>
  <c r="DI318" i="2"/>
  <c r="DL313" i="2"/>
  <c r="CE318" i="2"/>
  <c r="DG285" i="2"/>
  <c r="DA285" i="2"/>
  <c r="CW294" i="2"/>
  <c r="AJ320" i="2"/>
  <c r="AK320" i="2" s="1"/>
  <c r="CI28" i="2"/>
  <c r="CU320" i="2"/>
  <c r="CC286" i="2"/>
  <c r="DA451" i="2"/>
  <c r="DE297" i="2"/>
  <c r="DG297" i="2"/>
  <c r="CC432" i="2"/>
  <c r="DI432" i="2"/>
  <c r="CK297" i="2"/>
  <c r="CU170" i="2"/>
  <c r="CO170" i="2"/>
  <c r="CO360" i="2"/>
  <c r="CI360" i="2"/>
  <c r="CK345" i="2"/>
  <c r="CE345" i="2"/>
  <c r="CC406" i="2"/>
  <c r="DI406" i="2"/>
  <c r="DG406" i="2"/>
  <c r="CW433" i="2"/>
  <c r="CI433" i="2"/>
  <c r="CW461" i="2"/>
  <c r="CQ461" i="2"/>
  <c r="CG54" i="2"/>
  <c r="CE366" i="2"/>
  <c r="DE366" i="2"/>
  <c r="CQ386" i="2"/>
  <c r="CK386" i="2"/>
  <c r="DM144" i="2"/>
  <c r="DM389" i="2"/>
  <c r="DM432" i="2"/>
  <c r="CS320" i="2"/>
  <c r="CM320" i="2"/>
  <c r="CS136" i="2"/>
  <c r="CI313" i="2"/>
  <c r="CK318" i="2"/>
  <c r="CQ318" i="2"/>
  <c r="CU285" i="2"/>
  <c r="DE285" i="2"/>
  <c r="CI451" i="2"/>
  <c r="CU297" i="2"/>
  <c r="CO432" i="2"/>
  <c r="CY432" i="2"/>
  <c r="CS297" i="2"/>
  <c r="DG170" i="2"/>
  <c r="CW170" i="2"/>
  <c r="CW360" i="2"/>
  <c r="CQ360" i="2"/>
  <c r="CS345" i="2"/>
  <c r="CM345" i="2"/>
  <c r="CK406" i="2"/>
  <c r="CE406" i="2"/>
  <c r="DM433" i="2"/>
  <c r="CQ433" i="2"/>
  <c r="CK461" i="2"/>
  <c r="CC461" i="2"/>
  <c r="CY461" i="2"/>
  <c r="CE206" i="2"/>
  <c r="DE54" i="2"/>
  <c r="CM366" i="2"/>
  <c r="CG366" i="2"/>
  <c r="DM366" i="2"/>
  <c r="CY386" i="2"/>
  <c r="CS386" i="2"/>
  <c r="DE432" i="2"/>
  <c r="CI290" i="2"/>
  <c r="DG320" i="2"/>
  <c r="CK320" i="2"/>
  <c r="CC136" i="2"/>
  <c r="CY136" i="2"/>
  <c r="CO28" i="2"/>
  <c r="CI297" i="2"/>
  <c r="CO318" i="2"/>
  <c r="CM318" i="2"/>
  <c r="CG285" i="2"/>
  <c r="CE285" i="2"/>
  <c r="CC451" i="2"/>
  <c r="CM297" i="2"/>
  <c r="CE432" i="2"/>
  <c r="DK170" i="2"/>
  <c r="DA170" i="2"/>
  <c r="DA360" i="2"/>
  <c r="CU360" i="2"/>
  <c r="CW345" i="2"/>
  <c r="CQ345" i="2"/>
  <c r="CO406" i="2"/>
  <c r="CI406" i="2"/>
  <c r="CG433" i="2"/>
  <c r="CU433" i="2"/>
  <c r="DA461" i="2"/>
  <c r="CS461" i="2"/>
  <c r="DG461" i="2"/>
  <c r="CU206" i="2"/>
  <c r="CY54" i="2"/>
  <c r="CQ366" i="2"/>
  <c r="CK366" i="2"/>
  <c r="DG386" i="2"/>
  <c r="CW386" i="2"/>
  <c r="DK318" i="2"/>
  <c r="CE320" i="2"/>
  <c r="CY320" i="2"/>
  <c r="DA136" i="2"/>
  <c r="CW136" i="2"/>
  <c r="CQ451" i="2"/>
  <c r="CC313" i="2"/>
  <c r="CS318" i="2"/>
  <c r="CC318" i="2"/>
  <c r="CK285" i="2"/>
  <c r="CQ285" i="2"/>
  <c r="CE90" i="2"/>
  <c r="DA317" i="2"/>
  <c r="CK313" i="2"/>
  <c r="CO286" i="2"/>
  <c r="CY297" i="2"/>
  <c r="DE451" i="2"/>
  <c r="CG297" i="2"/>
  <c r="CG451" i="2"/>
  <c r="CY451" i="2"/>
  <c r="CQ432" i="2"/>
  <c r="CE170" i="2"/>
  <c r="DE170" i="2"/>
  <c r="DE360" i="2"/>
  <c r="CY360" i="2"/>
  <c r="DA345" i="2"/>
  <c r="CU345" i="2"/>
  <c r="CS406" i="2"/>
  <c r="CM406" i="2"/>
  <c r="CS433" i="2"/>
  <c r="CY433" i="2"/>
  <c r="DI461" i="2"/>
  <c r="DK461" i="2"/>
  <c r="DK206" i="2"/>
  <c r="CU366" i="2"/>
  <c r="CO366" i="2"/>
  <c r="DK386" i="2"/>
  <c r="DA386" i="2"/>
  <c r="CM144" i="2"/>
  <c r="CM389" i="2"/>
  <c r="CI318" i="2"/>
  <c r="CE136" i="2"/>
  <c r="DI136" i="2"/>
  <c r="DK320" i="2"/>
  <c r="CK28" i="2"/>
  <c r="CK451" i="2"/>
  <c r="CW318" i="2"/>
  <c r="DL318" i="2"/>
  <c r="DB318" i="2" s="1"/>
  <c r="DC318" i="2" s="1"/>
  <c r="CO285" i="2"/>
  <c r="CY285" i="2"/>
  <c r="AV371" i="2"/>
  <c r="AW371" i="2" s="1"/>
  <c r="CI210" i="2"/>
  <c r="CQ313" i="2"/>
  <c r="CQ28" i="2"/>
  <c r="CU451" i="2"/>
  <c r="CO297" i="2"/>
  <c r="CS451" i="2"/>
  <c r="CM451" i="2"/>
  <c r="DI451" i="2"/>
  <c r="CI432" i="2"/>
  <c r="DI297" i="2"/>
  <c r="DL364" i="2"/>
  <c r="DB364" i="2" s="1"/>
  <c r="DC364" i="2" s="1"/>
  <c r="CU364" i="2"/>
  <c r="CK364" i="2"/>
  <c r="CI170" i="2"/>
  <c r="CC170" i="2"/>
  <c r="DI170" i="2"/>
  <c r="CC360" i="2"/>
  <c r="DI360" i="2"/>
  <c r="DG360" i="2"/>
  <c r="DE345" i="2"/>
  <c r="CY345" i="2"/>
  <c r="CW406" i="2"/>
  <c r="CQ406" i="2"/>
  <c r="CC433" i="2"/>
  <c r="DA433" i="2"/>
  <c r="DG433" i="2"/>
  <c r="CO461" i="2"/>
  <c r="CE461" i="2"/>
  <c r="CY366" i="2"/>
  <c r="CS366" i="2"/>
  <c r="CE386" i="2"/>
  <c r="DE386" i="2"/>
  <c r="CQ144" i="2"/>
  <c r="CQ389" i="2"/>
  <c r="CQ136" i="2"/>
  <c r="CU136" i="2"/>
  <c r="CO136" i="2"/>
  <c r="CI320" i="2"/>
  <c r="DA318" i="2"/>
  <c r="CU318" i="2"/>
  <c r="CM285" i="2"/>
  <c r="CS285" i="2"/>
  <c r="DL285" i="2"/>
  <c r="DB285" i="2" s="1"/>
  <c r="DC285" i="2" s="1"/>
  <c r="CG90" i="2"/>
  <c r="AP300" i="2"/>
  <c r="CM313" i="2"/>
  <c r="CW320" i="2"/>
  <c r="CQ297" i="2"/>
  <c r="CG432" i="2"/>
  <c r="CE297" i="2"/>
  <c r="CC297" i="2"/>
  <c r="CX21" i="2"/>
  <c r="DL21" i="2" s="1"/>
  <c r="CM170" i="2"/>
  <c r="CG170" i="2"/>
  <c r="DM170" i="2"/>
  <c r="CG360" i="2"/>
  <c r="DM360" i="2"/>
  <c r="DK360" i="2"/>
  <c r="CC345" i="2"/>
  <c r="DI345" i="2"/>
  <c r="DG345" i="2"/>
  <c r="DA406" i="2"/>
  <c r="CU406" i="2"/>
  <c r="CO433" i="2"/>
  <c r="DI433" i="2"/>
  <c r="DK433" i="2"/>
  <c r="DE461" i="2"/>
  <c r="CI461" i="2"/>
  <c r="DG366" i="2"/>
  <c r="CW366" i="2"/>
  <c r="CI386" i="2"/>
  <c r="CC386" i="2"/>
  <c r="DI386" i="2"/>
  <c r="DE320" i="2"/>
  <c r="CK136" i="2"/>
  <c r="DK136" i="2"/>
  <c r="CM136" i="2"/>
  <c r="CM210" i="2"/>
  <c r="DE313" i="2"/>
  <c r="CG313" i="2"/>
  <c r="DK285" i="2"/>
  <c r="CW285" i="2"/>
  <c r="AV335" i="2"/>
  <c r="AW335" i="2" s="1"/>
  <c r="CQ320" i="2"/>
  <c r="DA297" i="2"/>
  <c r="CU432" i="2"/>
  <c r="CY193" i="2"/>
  <c r="CS193" i="2"/>
  <c r="CE34" i="2"/>
  <c r="CM32" i="2"/>
  <c r="DG90" i="2"/>
  <c r="CG293" i="2"/>
  <c r="AJ471" i="2"/>
  <c r="AK471" i="2" s="1"/>
  <c r="AV152" i="2"/>
  <c r="AW152" i="2" s="1"/>
  <c r="AV392" i="2"/>
  <c r="AW392" i="2" s="1"/>
  <c r="AV212" i="2"/>
  <c r="AW212" i="2" s="1"/>
  <c r="DA259" i="2"/>
  <c r="CU313" i="2"/>
  <c r="DA313" i="2"/>
  <c r="DK424" i="2"/>
  <c r="CK314" i="2"/>
  <c r="DG193" i="2"/>
  <c r="CW193" i="2"/>
  <c r="AV499" i="2"/>
  <c r="AW499" i="2" s="1"/>
  <c r="AV388" i="2"/>
  <c r="AW388" i="2" s="1"/>
  <c r="AV186" i="2"/>
  <c r="AW186" i="2" s="1"/>
  <c r="AV195" i="2"/>
  <c r="AW195" i="2" s="1"/>
  <c r="DK193" i="2"/>
  <c r="DA193" i="2"/>
  <c r="CY34" i="2"/>
  <c r="DE34" i="2"/>
  <c r="AV48" i="2"/>
  <c r="AW48" i="2" s="1"/>
  <c r="AV500" i="2"/>
  <c r="AW500" i="2" s="1"/>
  <c r="AV477" i="2"/>
  <c r="AW477" i="2" s="1"/>
  <c r="CO313" i="2"/>
  <c r="DI313" i="2"/>
  <c r="CM42" i="2"/>
  <c r="CM314" i="2"/>
  <c r="CE193" i="2"/>
  <c r="DE193" i="2"/>
  <c r="CW337" i="2"/>
  <c r="CO304" i="2"/>
  <c r="AV368" i="2"/>
  <c r="AW368" i="2" s="1"/>
  <c r="CE313" i="2"/>
  <c r="DG136" i="2"/>
  <c r="CW314" i="2"/>
  <c r="DL339" i="2"/>
  <c r="DB339" i="2" s="1"/>
  <c r="DC339" i="2" s="1"/>
  <c r="DK339" i="2"/>
  <c r="DM339" i="2"/>
  <c r="CG339" i="2"/>
  <c r="CI193" i="2"/>
  <c r="CC193" i="2"/>
  <c r="DI193" i="2"/>
  <c r="DA337" i="2"/>
  <c r="CE183" i="2"/>
  <c r="CK34" i="2"/>
  <c r="AJ463" i="2"/>
  <c r="AK463" i="2" s="1"/>
  <c r="AV220" i="2"/>
  <c r="AW220" i="2" s="1"/>
  <c r="AV74" i="2"/>
  <c r="AW74" i="2" s="1"/>
  <c r="AV62" i="2"/>
  <c r="AW62" i="2" s="1"/>
  <c r="CS313" i="2"/>
  <c r="DE314" i="2"/>
  <c r="AV446" i="2"/>
  <c r="AW446" i="2" s="1"/>
  <c r="AV380" i="2"/>
  <c r="AW380" i="2" s="1"/>
  <c r="AV383" i="2"/>
  <c r="CQ193" i="2"/>
  <c r="CK193" i="2"/>
  <c r="CQ337" i="2"/>
  <c r="DE183" i="2"/>
  <c r="DK313" i="2"/>
  <c r="CW313" i="2"/>
  <c r="CU193" i="2"/>
  <c r="CO193" i="2"/>
  <c r="DG337" i="2"/>
  <c r="DG313" i="2"/>
  <c r="CU424" i="2"/>
  <c r="CQ314" i="2"/>
  <c r="CK394" i="2"/>
  <c r="CW394" i="2"/>
  <c r="DL185" i="2"/>
  <c r="DB185" i="2" s="1"/>
  <c r="DC185" i="2" s="1"/>
  <c r="DM185" i="2"/>
  <c r="CG185" i="2"/>
  <c r="CM185" i="2"/>
  <c r="DI185" i="2"/>
  <c r="CC185" i="2"/>
  <c r="CI185" i="2"/>
  <c r="DE185" i="2"/>
  <c r="CE185" i="2"/>
  <c r="DA185" i="2"/>
  <c r="DK185" i="2"/>
  <c r="CO185" i="2"/>
  <c r="CU185" i="2"/>
  <c r="CK185" i="2"/>
  <c r="CQ185" i="2"/>
  <c r="DL222" i="2"/>
  <c r="DB222" i="2" s="1"/>
  <c r="DC222" i="2" s="1"/>
  <c r="CQ222" i="2"/>
  <c r="CW222" i="2"/>
  <c r="CM222" i="2"/>
  <c r="CS222" i="2"/>
  <c r="CY125" i="2"/>
  <c r="DG125" i="2"/>
  <c r="CW125" i="2"/>
  <c r="DL382" i="2"/>
  <c r="DB382" i="2" s="1"/>
  <c r="DC382" i="2" s="1"/>
  <c r="CW382" i="2"/>
  <c r="DG382" i="2"/>
  <c r="CS382" i="2"/>
  <c r="CY382" i="2"/>
  <c r="CO382" i="2"/>
  <c r="CU382" i="2"/>
  <c r="CK382" i="2"/>
  <c r="CQ382" i="2"/>
  <c r="DE382" i="2"/>
  <c r="CE382" i="2"/>
  <c r="DA382" i="2"/>
  <c r="DK382" i="2"/>
  <c r="CU34" i="2"/>
  <c r="DG34" i="2"/>
  <c r="CI34" i="2"/>
  <c r="CO34" i="2"/>
  <c r="CS34" i="2"/>
  <c r="DK34" i="2"/>
  <c r="CM34" i="2"/>
  <c r="CQ34" i="2"/>
  <c r="CG34" i="2"/>
  <c r="CC34" i="2"/>
  <c r="DI34" i="2"/>
  <c r="CW34" i="2"/>
  <c r="CK210" i="2"/>
  <c r="CO210" i="2"/>
  <c r="CY210" i="2"/>
  <c r="CS210" i="2"/>
  <c r="CQ210" i="2"/>
  <c r="CW210" i="2"/>
  <c r="DL210" i="2"/>
  <c r="DM210" i="2" s="1"/>
  <c r="CC210" i="2"/>
  <c r="CU210" i="2"/>
  <c r="CE210" i="2"/>
  <c r="DK210" i="2"/>
  <c r="DA210" i="2"/>
  <c r="DG210" i="2"/>
  <c r="Y292" i="2"/>
  <c r="AJ292" i="2"/>
  <c r="AK292" i="2" s="1"/>
  <c r="DL206" i="2"/>
  <c r="DB206" i="2" s="1"/>
  <c r="DC206" i="2" s="1"/>
  <c r="DA206" i="2"/>
  <c r="CC206" i="2"/>
  <c r="CW206" i="2"/>
  <c r="CY206" i="2"/>
  <c r="CS206" i="2"/>
  <c r="CM206" i="2"/>
  <c r="CO206" i="2"/>
  <c r="CI206" i="2"/>
  <c r="DI206" i="2"/>
  <c r="CK206" i="2"/>
  <c r="CQ206" i="2"/>
  <c r="DE206" i="2"/>
  <c r="CG206" i="2"/>
  <c r="DG206" i="2"/>
  <c r="DL389" i="2"/>
  <c r="DB389" i="2" s="1"/>
  <c r="DC389" i="2" s="1"/>
  <c r="DA389" i="2"/>
  <c r="DK389" i="2"/>
  <c r="CW389" i="2"/>
  <c r="DG389" i="2"/>
  <c r="CS389" i="2"/>
  <c r="CY389" i="2"/>
  <c r="CO389" i="2"/>
  <c r="CU389" i="2"/>
  <c r="DI389" i="2"/>
  <c r="CC389" i="2"/>
  <c r="CI389" i="2"/>
  <c r="DE389" i="2"/>
  <c r="CE389" i="2"/>
  <c r="CU321" i="2"/>
  <c r="CK321" i="2"/>
  <c r="CG321" i="2"/>
  <c r="CI321" i="2"/>
  <c r="DA321" i="2"/>
  <c r="DK321" i="2"/>
  <c r="DG321" i="2"/>
  <c r="DL321" i="2"/>
  <c r="DB321" i="2" s="1"/>
  <c r="DC321" i="2" s="1"/>
  <c r="CW321" i="2"/>
  <c r="DI321" i="2"/>
  <c r="CE321" i="2"/>
  <c r="CY321" i="2"/>
  <c r="DE321" i="2"/>
  <c r="CO321" i="2"/>
  <c r="CM321" i="2"/>
  <c r="DL144" i="2"/>
  <c r="DB144" i="2" s="1"/>
  <c r="DC144" i="2" s="1"/>
  <c r="DA144" i="2"/>
  <c r="DK144" i="2"/>
  <c r="CW144" i="2"/>
  <c r="DG144" i="2"/>
  <c r="CS144" i="2"/>
  <c r="CY144" i="2"/>
  <c r="CO144" i="2"/>
  <c r="CU144" i="2"/>
  <c r="DI144" i="2"/>
  <c r="CC144" i="2"/>
  <c r="CI144" i="2"/>
  <c r="DE144" i="2"/>
  <c r="CE144" i="2"/>
  <c r="DL54" i="2"/>
  <c r="DB54" i="2" s="1"/>
  <c r="DC54" i="2" s="1"/>
  <c r="CM54" i="2"/>
  <c r="DI54" i="2"/>
  <c r="CI54" i="2"/>
  <c r="DA54" i="2"/>
  <c r="CE54" i="2"/>
  <c r="CO54" i="2"/>
  <c r="DK54" i="2"/>
  <c r="DM54" i="2"/>
  <c r="CC54" i="2"/>
  <c r="CU54" i="2"/>
  <c r="CS54" i="2"/>
  <c r="CQ54" i="2"/>
  <c r="CK54" i="2"/>
  <c r="DE77" i="2"/>
  <c r="CO77" i="2"/>
  <c r="DA77" i="2"/>
  <c r="CK77" i="2"/>
  <c r="CY77" i="2"/>
  <c r="CS77" i="2"/>
  <c r="CC246" i="2"/>
  <c r="CE246" i="2"/>
  <c r="DK246" i="2"/>
  <c r="DI246" i="2"/>
  <c r="DL246" i="2"/>
  <c r="DB246" i="2" s="1"/>
  <c r="DC246" i="2" s="1"/>
  <c r="DG246" i="2"/>
  <c r="DE246" i="2"/>
  <c r="CW246" i="2"/>
  <c r="CY246" i="2"/>
  <c r="DA246" i="2"/>
  <c r="CK246" i="2"/>
  <c r="CM246" i="2"/>
  <c r="CG246" i="2"/>
  <c r="CI246" i="2"/>
  <c r="Y131" i="2"/>
  <c r="AJ131" i="2"/>
  <c r="AK131" i="2" s="1"/>
  <c r="DL189" i="2"/>
  <c r="DB189" i="2" s="1"/>
  <c r="CS189" i="2"/>
  <c r="DM376" i="2"/>
  <c r="DB376" i="2"/>
  <c r="DK28" i="2"/>
  <c r="DI28" i="2"/>
  <c r="CY28" i="2"/>
  <c r="DL28" i="2"/>
  <c r="CG28" i="2"/>
  <c r="CC28" i="2"/>
  <c r="CU28" i="2"/>
  <c r="CW28" i="2"/>
  <c r="CE28" i="2"/>
  <c r="CS28" i="2"/>
  <c r="CM28" i="2"/>
  <c r="DE28" i="2"/>
  <c r="Y307" i="2"/>
  <c r="AJ307" i="2"/>
  <c r="AK307" i="2" s="1"/>
  <c r="CQ246" i="2"/>
  <c r="DL223" i="2"/>
  <c r="DB223" i="2" s="1"/>
  <c r="DC223" i="2" s="1"/>
  <c r="CE223" i="2"/>
  <c r="CK223" i="2"/>
  <c r="DK223" i="2"/>
  <c r="DM223" i="2"/>
  <c r="CG223" i="2"/>
  <c r="DG223" i="2"/>
  <c r="DI223" i="2"/>
  <c r="CC223" i="2"/>
  <c r="CY223" i="2"/>
  <c r="DE223" i="2"/>
  <c r="CM223" i="2"/>
  <c r="CS223" i="2"/>
  <c r="CI223" i="2"/>
  <c r="CO223" i="2"/>
  <c r="AV124" i="2"/>
  <c r="AW124" i="2" s="1"/>
  <c r="DL430" i="2"/>
  <c r="DB430" i="2" s="1"/>
  <c r="DC430" i="2" s="1"/>
  <c r="CY430" i="2"/>
  <c r="CE430" i="2"/>
  <c r="CQ430" i="2"/>
  <c r="CW430" i="2"/>
  <c r="CM430" i="2"/>
  <c r="CO430" i="2"/>
  <c r="DE430" i="2"/>
  <c r="CI430" i="2"/>
  <c r="DI430" i="2"/>
  <c r="DK430" i="2"/>
  <c r="DA430" i="2"/>
  <c r="DG430" i="2"/>
  <c r="CK430" i="2"/>
  <c r="Y275" i="2"/>
  <c r="AJ275" i="2"/>
  <c r="DL384" i="2"/>
  <c r="DB384" i="2" s="1"/>
  <c r="DC384" i="2" s="1"/>
  <c r="DA384" i="2"/>
  <c r="DK384" i="2"/>
  <c r="CW384" i="2"/>
  <c r="DG384" i="2"/>
  <c r="CS384" i="2"/>
  <c r="CY384" i="2"/>
  <c r="CO384" i="2"/>
  <c r="CU384" i="2"/>
  <c r="DI384" i="2"/>
  <c r="CC384" i="2"/>
  <c r="CI384" i="2"/>
  <c r="DE384" i="2"/>
  <c r="CE384" i="2"/>
  <c r="DL188" i="2"/>
  <c r="DB188" i="2" s="1"/>
  <c r="DC188" i="2" s="1"/>
  <c r="DI188" i="2"/>
  <c r="CC188" i="2"/>
  <c r="CI188" i="2"/>
  <c r="DE188" i="2"/>
  <c r="CE188" i="2"/>
  <c r="DA188" i="2"/>
  <c r="DK188" i="2"/>
  <c r="CW188" i="2"/>
  <c r="DG188" i="2"/>
  <c r="CK188" i="2"/>
  <c r="CQ188" i="2"/>
  <c r="DM188" i="2"/>
  <c r="CG188" i="2"/>
  <c r="CM188" i="2"/>
  <c r="DG77" i="2"/>
  <c r="CU246" i="2"/>
  <c r="CQ321" i="2"/>
  <c r="DL425" i="2"/>
  <c r="DB425" i="2" s="1"/>
  <c r="DC425" i="2" s="1"/>
  <c r="CM425" i="2"/>
  <c r="DE425" i="2"/>
  <c r="CI425" i="2"/>
  <c r="CW425" i="2"/>
  <c r="CE425" i="2"/>
  <c r="CK425" i="2"/>
  <c r="DK425" i="2"/>
  <c r="DI425" i="2"/>
  <c r="CC425" i="2"/>
  <c r="CU425" i="2"/>
  <c r="CG425" i="2"/>
  <c r="CQ425" i="2"/>
  <c r="DM425" i="2"/>
  <c r="DL145" i="2"/>
  <c r="DB145" i="2" s="1"/>
  <c r="DC145" i="2" s="1"/>
  <c r="DE145" i="2"/>
  <c r="CE145" i="2"/>
  <c r="DA145" i="2"/>
  <c r="DK145" i="2"/>
  <c r="CW145" i="2"/>
  <c r="DG145" i="2"/>
  <c r="CS145" i="2"/>
  <c r="CY145" i="2"/>
  <c r="DM145" i="2"/>
  <c r="CG145" i="2"/>
  <c r="CM145" i="2"/>
  <c r="DI145" i="2"/>
  <c r="CC145" i="2"/>
  <c r="CI145" i="2"/>
  <c r="DG241" i="2"/>
  <c r="CM241" i="2"/>
  <c r="CU241" i="2"/>
  <c r="CW241" i="2"/>
  <c r="CS241" i="2"/>
  <c r="DL241" i="2"/>
  <c r="DB241" i="2" s="1"/>
  <c r="DC241" i="2" s="1"/>
  <c r="CY241" i="2"/>
  <c r="CK241" i="2"/>
  <c r="DK241" i="2"/>
  <c r="CG241" i="2"/>
  <c r="DI241" i="2"/>
  <c r="CC241" i="2"/>
  <c r="DA241" i="2"/>
  <c r="CQ241" i="2"/>
  <c r="DL147" i="2"/>
  <c r="DB147" i="2" s="1"/>
  <c r="DC147" i="2" s="1"/>
  <c r="DI147" i="2"/>
  <c r="CC147" i="2"/>
  <c r="CI147" i="2"/>
  <c r="DE147" i="2"/>
  <c r="CE147" i="2"/>
  <c r="DA147" i="2"/>
  <c r="DK147" i="2"/>
  <c r="CW147" i="2"/>
  <c r="DG147" i="2"/>
  <c r="CK147" i="2"/>
  <c r="CQ147" i="2"/>
  <c r="DM147" i="2"/>
  <c r="CG147" i="2"/>
  <c r="CM147" i="2"/>
  <c r="DL281" i="2"/>
  <c r="DB281" i="2" s="1"/>
  <c r="DC281" i="2" s="1"/>
  <c r="DA281" i="2"/>
  <c r="CW281" i="2"/>
  <c r="DG281" i="2"/>
  <c r="CS281" i="2"/>
  <c r="CQ281" i="2"/>
  <c r="CO281" i="2"/>
  <c r="DK281" i="2"/>
  <c r="DI281" i="2"/>
  <c r="CC281" i="2"/>
  <c r="CI281" i="2"/>
  <c r="DE281" i="2"/>
  <c r="CM281" i="2"/>
  <c r="CY281" i="2"/>
  <c r="CX11" i="2"/>
  <c r="DL11" i="2" s="1"/>
  <c r="CY185" i="2"/>
  <c r="CO246" i="2"/>
  <c r="CC321" i="2"/>
  <c r="Y121" i="2"/>
  <c r="AJ121" i="2"/>
  <c r="AK121" i="2" s="1"/>
  <c r="DL269" i="2"/>
  <c r="DB269" i="2" s="1"/>
  <c r="DC269" i="2" s="1"/>
  <c r="CW269" i="2"/>
  <c r="DG269" i="2"/>
  <c r="CS269" i="2"/>
  <c r="CQ269" i="2"/>
  <c r="CO269" i="2"/>
  <c r="DK269" i="2"/>
  <c r="CK269" i="2"/>
  <c r="CU269" i="2"/>
  <c r="DE269" i="2"/>
  <c r="CM269" i="2"/>
  <c r="CY269" i="2"/>
  <c r="DA269" i="2"/>
  <c r="DL190" i="2"/>
  <c r="DB190" i="2" s="1"/>
  <c r="DC190" i="2" s="1"/>
  <c r="DE190" i="2"/>
  <c r="CE190" i="2"/>
  <c r="CS190" i="2"/>
  <c r="CY190" i="2"/>
  <c r="CO190" i="2"/>
  <c r="CU190" i="2"/>
  <c r="DK35" i="2"/>
  <c r="CU35" i="2"/>
  <c r="CM35" i="2"/>
  <c r="DI35" i="2"/>
  <c r="CI35" i="2"/>
  <c r="CS35" i="2"/>
  <c r="DL35" i="2"/>
  <c r="CY35" i="2"/>
  <c r="CQ35" i="2"/>
  <c r="CK35" i="2"/>
  <c r="DL72" i="2"/>
  <c r="DG72" i="2"/>
  <c r="DA72" i="2"/>
  <c r="CK72" i="2"/>
  <c r="CY72" i="2"/>
  <c r="CS72" i="2"/>
  <c r="DL169" i="2"/>
  <c r="DB169" i="2" s="1"/>
  <c r="DC169" i="2" s="1"/>
  <c r="CW169" i="2"/>
  <c r="DG169" i="2"/>
  <c r="CS169" i="2"/>
  <c r="CY169" i="2"/>
  <c r="CO169" i="2"/>
  <c r="CU169" i="2"/>
  <c r="CK169" i="2"/>
  <c r="CQ169" i="2"/>
  <c r="DE169" i="2"/>
  <c r="CE169" i="2"/>
  <c r="DA169" i="2"/>
  <c r="DK169" i="2"/>
  <c r="CG77" i="2"/>
  <c r="CS246" i="2"/>
  <c r="DM321" i="2"/>
  <c r="DM136" i="2"/>
  <c r="DB136" i="2"/>
  <c r="DC136" i="2" s="1"/>
  <c r="AV385" i="2"/>
  <c r="AW385" i="2" s="1"/>
  <c r="DL226" i="2"/>
  <c r="DB226" i="2" s="1"/>
  <c r="DC226" i="2" s="1"/>
  <c r="CI226" i="2"/>
  <c r="CE226" i="2"/>
  <c r="CQ305" i="2"/>
  <c r="DL305" i="2"/>
  <c r="DB305" i="2" s="1"/>
  <c r="DC305" i="2" s="1"/>
  <c r="CG305" i="2"/>
  <c r="DA305" i="2"/>
  <c r="CU305" i="2"/>
  <c r="CK305" i="2"/>
  <c r="CO305" i="2"/>
  <c r="CW305" i="2"/>
  <c r="CE305" i="2"/>
  <c r="CI305" i="2"/>
  <c r="DL160" i="2"/>
  <c r="DB160" i="2" s="1"/>
  <c r="DC160" i="2" s="1"/>
  <c r="CK160" i="2"/>
  <c r="CQ160" i="2"/>
  <c r="DM160" i="2"/>
  <c r="CG160" i="2"/>
  <c r="CM160" i="2"/>
  <c r="DI160" i="2"/>
  <c r="CC160" i="2"/>
  <c r="CI160" i="2"/>
  <c r="DE160" i="2"/>
  <c r="CE160" i="2"/>
  <c r="CS160" i="2"/>
  <c r="CY160" i="2"/>
  <c r="CO160" i="2"/>
  <c r="CU160" i="2"/>
  <c r="AK321" i="2"/>
  <c r="AP321" i="2"/>
  <c r="DL208" i="2"/>
  <c r="DB208" i="2" s="1"/>
  <c r="DC208" i="2" s="1"/>
  <c r="DE208" i="2"/>
  <c r="CM208" i="2"/>
  <c r="DA208" i="2"/>
  <c r="CQ208" i="2"/>
  <c r="CW208" i="2"/>
  <c r="CU208" i="2"/>
  <c r="CS208" i="2"/>
  <c r="CE208" i="2"/>
  <c r="DM208" i="2"/>
  <c r="CG208" i="2"/>
  <c r="CY208" i="2"/>
  <c r="DI208" i="2"/>
  <c r="CC208" i="2"/>
  <c r="CS293" i="2"/>
  <c r="CC317" i="2"/>
  <c r="DM320" i="2"/>
  <c r="CU286" i="2"/>
  <c r="DM286" i="2"/>
  <c r="DA424" i="2"/>
  <c r="CG314" i="2"/>
  <c r="CS314" i="2"/>
  <c r="CI413" i="2"/>
  <c r="CO317" i="2"/>
  <c r="CG320" i="2"/>
  <c r="DA286" i="2"/>
  <c r="CQ286" i="2"/>
  <c r="DM314" i="2"/>
  <c r="DG314" i="2"/>
  <c r="DL451" i="2"/>
  <c r="DB451" i="2" s="1"/>
  <c r="DC451" i="2" s="1"/>
  <c r="CO451" i="2"/>
  <c r="CW451" i="2"/>
  <c r="DK451" i="2"/>
  <c r="CE451" i="2"/>
  <c r="Y202" i="2"/>
  <c r="AJ202" i="2"/>
  <c r="AP202" i="2" s="1"/>
  <c r="Y398" i="2"/>
  <c r="AJ398" i="2"/>
  <c r="DA294" i="2"/>
  <c r="DI286" i="2"/>
  <c r="CM286" i="2"/>
  <c r="CY314" i="2"/>
  <c r="CC314" i="2"/>
  <c r="CU259" i="2"/>
  <c r="CW286" i="2"/>
  <c r="CS286" i="2"/>
  <c r="CO314" i="2"/>
  <c r="DL373" i="2"/>
  <c r="DB373" i="2" s="1"/>
  <c r="DC373" i="2" s="1"/>
  <c r="DA373" i="2"/>
  <c r="DK373" i="2"/>
  <c r="CG373" i="2"/>
  <c r="CW373" i="2"/>
  <c r="DG373" i="2"/>
  <c r="CM373" i="2"/>
  <c r="CS373" i="2"/>
  <c r="CY373" i="2"/>
  <c r="CO373" i="2"/>
  <c r="CU373" i="2"/>
  <c r="CK373" i="2"/>
  <c r="CQ373" i="2"/>
  <c r="DM373" i="2"/>
  <c r="CC373" i="2"/>
  <c r="CI373" i="2"/>
  <c r="DE373" i="2"/>
  <c r="CE373" i="2"/>
  <c r="DI373" i="2"/>
  <c r="DL457" i="2"/>
  <c r="DB457" i="2" s="1"/>
  <c r="DC457" i="2" s="1"/>
  <c r="DE457" i="2"/>
  <c r="CU457" i="2"/>
  <c r="DL252" i="2"/>
  <c r="DB252" i="2" s="1"/>
  <c r="DC252" i="2" s="1"/>
  <c r="DK252" i="2"/>
  <c r="CG252" i="2"/>
  <c r="DK310" i="2"/>
  <c r="CS279" i="2"/>
  <c r="DE30" i="2"/>
  <c r="CC38" i="2"/>
  <c r="CI77" i="2"/>
  <c r="CW77" i="2"/>
  <c r="CG319" i="2"/>
  <c r="DE289" i="2"/>
  <c r="CG35" i="2"/>
  <c r="CO30" i="2"/>
  <c r="CI310" i="2"/>
  <c r="DI279" i="2"/>
  <c r="CW30" i="2"/>
  <c r="CM77" i="2"/>
  <c r="CW319" i="2"/>
  <c r="DE90" i="2"/>
  <c r="CE293" i="2"/>
  <c r="CU317" i="2"/>
  <c r="DG35" i="2"/>
  <c r="DA279" i="2"/>
  <c r="CM279" i="2"/>
  <c r="DK30" i="2"/>
  <c r="CU77" i="2"/>
  <c r="DA319" i="2"/>
  <c r="AP261" i="2"/>
  <c r="CW35" i="2"/>
  <c r="CQ279" i="2"/>
  <c r="CW279" i="2"/>
  <c r="CC77" i="2"/>
  <c r="CY319" i="2"/>
  <c r="CE35" i="2"/>
  <c r="DL432" i="2"/>
  <c r="DB432" i="2" s="1"/>
  <c r="DC432" i="2" s="1"/>
  <c r="DA30" i="2"/>
  <c r="CK279" i="2"/>
  <c r="CY279" i="2"/>
  <c r="DK77" i="2"/>
  <c r="DG31" i="2"/>
  <c r="DK90" i="2"/>
  <c r="CQ293" i="2"/>
  <c r="DA35" i="2"/>
  <c r="CG220" i="2"/>
  <c r="DG432" i="2"/>
  <c r="CM432" i="2"/>
  <c r="DM319" i="2"/>
  <c r="DE286" i="2"/>
  <c r="CS432" i="2"/>
  <c r="DL32" i="2"/>
  <c r="DB32" i="2" s="1"/>
  <c r="DC32" i="2" s="1"/>
  <c r="DG32" i="2"/>
  <c r="DA32" i="2"/>
  <c r="CU32" i="2"/>
  <c r="CQ394" i="2"/>
  <c r="DA394" i="2"/>
  <c r="CQ458" i="2"/>
  <c r="CK458" i="2"/>
  <c r="DA412" i="2"/>
  <c r="DE412" i="2"/>
  <c r="DC412" i="2"/>
  <c r="CM304" i="2"/>
  <c r="DE316" i="2"/>
  <c r="DK316" i="2"/>
  <c r="DM316" i="2"/>
  <c r="DI32" i="2"/>
  <c r="CQ253" i="2"/>
  <c r="CS253" i="2"/>
  <c r="DG45" i="2"/>
  <c r="DG259" i="2"/>
  <c r="CY259" i="2"/>
  <c r="BR191" i="2"/>
  <c r="CU394" i="2"/>
  <c r="DE394" i="2"/>
  <c r="DG458" i="2"/>
  <c r="CO458" i="2"/>
  <c r="CK412" i="2"/>
  <c r="DM412" i="2"/>
  <c r="DG412" i="2"/>
  <c r="CO316" i="2"/>
  <c r="CI316" i="2"/>
  <c r="CG316" i="2"/>
  <c r="DE32" i="2"/>
  <c r="CQ32" i="2"/>
  <c r="CC253" i="2"/>
  <c r="DK259" i="2"/>
  <c r="CE259" i="2"/>
  <c r="DL244" i="2"/>
  <c r="CG244" i="2"/>
  <c r="DK244" i="2"/>
  <c r="CY394" i="2"/>
  <c r="DI394" i="2"/>
  <c r="CM458" i="2"/>
  <c r="CS458" i="2"/>
  <c r="CW412" i="2"/>
  <c r="CE412" i="2"/>
  <c r="DK412" i="2"/>
  <c r="DI316" i="2"/>
  <c r="CC69" i="2"/>
  <c r="CC290" i="2"/>
  <c r="CS32" i="2"/>
  <c r="CK32" i="2"/>
  <c r="DK253" i="2"/>
  <c r="DG253" i="2"/>
  <c r="DE317" i="2"/>
  <c r="CS317" i="2"/>
  <c r="DM301" i="2"/>
  <c r="CO289" i="2"/>
  <c r="CC259" i="2"/>
  <c r="DI259" i="2"/>
  <c r="DM94" i="2"/>
  <c r="Y364" i="2"/>
  <c r="AJ364" i="2"/>
  <c r="AJ20" i="2"/>
  <c r="AP20" i="2" s="1"/>
  <c r="DG394" i="2"/>
  <c r="CY458" i="2"/>
  <c r="CW458" i="2"/>
  <c r="DI412" i="2"/>
  <c r="CI412" i="2"/>
  <c r="CS316" i="2"/>
  <c r="CM316" i="2"/>
  <c r="CS69" i="2"/>
  <c r="CW304" i="2"/>
  <c r="DM304" i="2"/>
  <c r="CY32" i="2"/>
  <c r="CO32" i="2"/>
  <c r="CO55" i="2"/>
  <c r="DI253" i="2"/>
  <c r="DM317" i="2"/>
  <c r="AJ130" i="2"/>
  <c r="AK130" i="2" s="1"/>
  <c r="AK380" i="2"/>
  <c r="DM255" i="2"/>
  <c r="CU480" i="2"/>
  <c r="CG480" i="2"/>
  <c r="CE480" i="2"/>
  <c r="CK480" i="2"/>
  <c r="DK480" i="2"/>
  <c r="DK394" i="2"/>
  <c r="DK458" i="2"/>
  <c r="DA458" i="2"/>
  <c r="CG412" i="2"/>
  <c r="CM412" i="2"/>
  <c r="CC316" i="2"/>
  <c r="CO253" i="2"/>
  <c r="CW316" i="2"/>
  <c r="CG32" i="2"/>
  <c r="CC32" i="2"/>
  <c r="CE307" i="2"/>
  <c r="AJ302" i="2"/>
  <c r="AK302" i="2" s="1"/>
  <c r="Y150" i="2"/>
  <c r="CO298" i="2"/>
  <c r="CM259" i="2"/>
  <c r="DL259" i="2"/>
  <c r="CC394" i="2"/>
  <c r="CI458" i="2"/>
  <c r="DE458" i="2"/>
  <c r="CS412" i="2"/>
  <c r="CQ412" i="2"/>
  <c r="DG316" i="2"/>
  <c r="CK316" i="2"/>
  <c r="DG298" i="2"/>
  <c r="CE32" i="2"/>
  <c r="CC307" i="2"/>
  <c r="CQ316" i="2"/>
  <c r="DM267" i="2"/>
  <c r="DK317" i="2"/>
  <c r="CI317" i="2"/>
  <c r="BH144" i="2"/>
  <c r="BI144" i="2" s="1"/>
  <c r="DE298" i="2"/>
  <c r="CW259" i="2"/>
  <c r="DL79" i="2"/>
  <c r="DB79" i="2" s="1"/>
  <c r="DC79" i="2" s="1"/>
  <c r="CY79" i="2"/>
  <c r="CO79" i="2"/>
  <c r="CQ79" i="2"/>
  <c r="CU79" i="2"/>
  <c r="CM79" i="2"/>
  <c r="CI79" i="2"/>
  <c r="CG79" i="2"/>
  <c r="CE79" i="2"/>
  <c r="CK79" i="2"/>
  <c r="CS79" i="2"/>
  <c r="DK79" i="2"/>
  <c r="DM79" i="2"/>
  <c r="DE79" i="2"/>
  <c r="DA79" i="2"/>
  <c r="DG79" i="2"/>
  <c r="DI79" i="2"/>
  <c r="CW79" i="2"/>
  <c r="CC79" i="2"/>
  <c r="CU458" i="2"/>
  <c r="CC458" i="2"/>
  <c r="DI458" i="2"/>
  <c r="CC412" i="2"/>
  <c r="CU412" i="2"/>
  <c r="CE316" i="2"/>
  <c r="CY316" i="2"/>
  <c r="DM104" i="2"/>
  <c r="CW32" i="2"/>
  <c r="CI32" i="2"/>
  <c r="DK38" i="2"/>
  <c r="CG307" i="2"/>
  <c r="DA316" i="2"/>
  <c r="CI259" i="2"/>
  <c r="CM305" i="2"/>
  <c r="CY305" i="2"/>
  <c r="CS305" i="2"/>
  <c r="CC305" i="2"/>
  <c r="DG305" i="2"/>
  <c r="DL292" i="2"/>
  <c r="DB292" i="2" s="1"/>
  <c r="DC292" i="2" s="1"/>
  <c r="DL55" i="2"/>
  <c r="DB55" i="2" s="1"/>
  <c r="DC55" i="2" s="1"/>
  <c r="CQ55" i="2"/>
  <c r="CW55" i="2"/>
  <c r="CI55" i="2"/>
  <c r="CC55" i="2"/>
  <c r="CU55" i="2"/>
  <c r="CE55" i="2"/>
  <c r="CK55" i="2"/>
  <c r="DE55" i="2"/>
  <c r="DI55" i="2"/>
  <c r="CS55" i="2"/>
  <c r="CY55" i="2"/>
  <c r="DA55" i="2"/>
  <c r="DE51" i="2"/>
  <c r="CY51" i="2"/>
  <c r="CI183" i="2"/>
  <c r="CC183" i="2"/>
  <c r="DI183" i="2"/>
  <c r="CW292" i="2"/>
  <c r="CW69" i="2"/>
  <c r="CG69" i="2"/>
  <c r="CC292" i="2"/>
  <c r="CO290" i="2"/>
  <c r="CM303" i="2"/>
  <c r="DA38" i="2"/>
  <c r="CE38" i="2"/>
  <c r="DK125" i="2"/>
  <c r="CG292" i="2"/>
  <c r="CC31" i="2"/>
  <c r="CK293" i="2"/>
  <c r="CI293" i="2"/>
  <c r="DE125" i="2"/>
  <c r="CE298" i="2"/>
  <c r="CC298" i="2"/>
  <c r="CC289" i="2"/>
  <c r="CY289" i="2"/>
  <c r="DL442" i="2"/>
  <c r="DB442" i="2" s="1"/>
  <c r="DC442" i="2" s="1"/>
  <c r="DA442" i="2"/>
  <c r="DK442" i="2"/>
  <c r="CE442" i="2"/>
  <c r="CW442" i="2"/>
  <c r="DG442" i="2"/>
  <c r="CS442" i="2"/>
  <c r="DE442" i="2"/>
  <c r="CO442" i="2"/>
  <c r="CY442" i="2"/>
  <c r="CK442" i="2"/>
  <c r="CU442" i="2"/>
  <c r="CG442" i="2"/>
  <c r="CQ442" i="2"/>
  <c r="CC442" i="2"/>
  <c r="CM442" i="2"/>
  <c r="CI442" i="2"/>
  <c r="DL135" i="2"/>
  <c r="CY135" i="2"/>
  <c r="CM135" i="2"/>
  <c r="CX22" i="2"/>
  <c r="BR173" i="2"/>
  <c r="CS51" i="2"/>
  <c r="DM51" i="2"/>
  <c r="DG51" i="2"/>
  <c r="CM183" i="2"/>
  <c r="CG183" i="2"/>
  <c r="DM183" i="2"/>
  <c r="CU292" i="2"/>
  <c r="CQ69" i="2"/>
  <c r="DI69" i="2"/>
  <c r="CS292" i="2"/>
  <c r="CS290" i="2"/>
  <c r="DG303" i="2"/>
  <c r="CI38" i="2"/>
  <c r="CE125" i="2"/>
  <c r="CC125" i="2"/>
  <c r="CO292" i="2"/>
  <c r="CS31" i="2"/>
  <c r="DK293" i="2"/>
  <c r="DL125" i="2"/>
  <c r="DB125" i="2" s="1"/>
  <c r="DC125" i="2" s="1"/>
  <c r="CS298" i="2"/>
  <c r="DI289" i="2"/>
  <c r="CS289" i="2"/>
  <c r="DE210" i="2"/>
  <c r="BR154" i="2"/>
  <c r="CC51" i="2"/>
  <c r="DI51" i="2"/>
  <c r="DK51" i="2"/>
  <c r="CQ183" i="2"/>
  <c r="CK183" i="2"/>
  <c r="CK31" i="2"/>
  <c r="DK298" i="2"/>
  <c r="DG69" i="2"/>
  <c r="DA69" i="2"/>
  <c r="DI292" i="2"/>
  <c r="CI31" i="2"/>
  <c r="DA290" i="2"/>
  <c r="CC303" i="2"/>
  <c r="CQ38" i="2"/>
  <c r="CS38" i="2"/>
  <c r="CI125" i="2"/>
  <c r="CO125" i="2"/>
  <c r="DL298" i="2"/>
  <c r="CQ298" i="2"/>
  <c r="CG289" i="2"/>
  <c r="CM289" i="2"/>
  <c r="DL415" i="2"/>
  <c r="CQ415" i="2"/>
  <c r="DE415" i="2"/>
  <c r="CM415" i="2"/>
  <c r="CI415" i="2"/>
  <c r="CE415" i="2"/>
  <c r="DK415" i="2"/>
  <c r="CS415" i="2"/>
  <c r="DG415" i="2"/>
  <c r="CW415" i="2"/>
  <c r="CU415" i="2"/>
  <c r="CC415" i="2"/>
  <c r="CY415" i="2"/>
  <c r="DA415" i="2"/>
  <c r="CK415" i="2"/>
  <c r="CO51" i="2"/>
  <c r="CE51" i="2"/>
  <c r="CU183" i="2"/>
  <c r="CO183" i="2"/>
  <c r="CO31" i="2"/>
  <c r="CI298" i="2"/>
  <c r="CI69" i="2"/>
  <c r="DE292" i="2"/>
  <c r="CE69" i="2"/>
  <c r="CO69" i="2"/>
  <c r="CY292" i="2"/>
  <c r="DE290" i="2"/>
  <c r="CG303" i="2"/>
  <c r="CU38" i="2"/>
  <c r="CG38" i="2"/>
  <c r="CM125" i="2"/>
  <c r="DA125" i="2"/>
  <c r="CM38" i="2"/>
  <c r="DG55" i="2"/>
  <c r="CU298" i="2"/>
  <c r="CY293" i="2"/>
  <c r="CW293" i="2"/>
  <c r="CW298" i="2"/>
  <c r="DK289" i="2"/>
  <c r="CW289" i="2"/>
  <c r="DL399" i="2"/>
  <c r="DK399" i="2"/>
  <c r="CW399" i="2"/>
  <c r="DG399" i="2"/>
  <c r="CS399" i="2"/>
  <c r="CY399" i="2"/>
  <c r="CO399" i="2"/>
  <c r="DA399" i="2"/>
  <c r="CU399" i="2"/>
  <c r="CC399" i="2"/>
  <c r="CE399" i="2"/>
  <c r="DI399" i="2"/>
  <c r="DE399" i="2"/>
  <c r="Y340" i="2"/>
  <c r="AJ340" i="2"/>
  <c r="CG51" i="2"/>
  <c r="CI51" i="2"/>
  <c r="CY183" i="2"/>
  <c r="CS183" i="2"/>
  <c r="CK38" i="2"/>
  <c r="DM69" i="2"/>
  <c r="CU69" i="2"/>
  <c r="CK292" i="2"/>
  <c r="CM292" i="2"/>
  <c r="DI290" i="2"/>
  <c r="CK303" i="2"/>
  <c r="DC38" i="2"/>
  <c r="DM38" i="2"/>
  <c r="CG125" i="2"/>
  <c r="CQ125" i="2"/>
  <c r="DI125" i="2"/>
  <c r="DL289" i="2"/>
  <c r="DB289" i="2" s="1"/>
  <c r="DC289" i="2" s="1"/>
  <c r="CG55" i="2"/>
  <c r="CW31" i="2"/>
  <c r="DG293" i="2"/>
  <c r="DA293" i="2"/>
  <c r="CY298" i="2"/>
  <c r="DG289" i="2"/>
  <c r="CE289" i="2"/>
  <c r="CG81" i="2"/>
  <c r="CE81" i="2"/>
  <c r="CO81" i="2"/>
  <c r="DK81" i="2"/>
  <c r="CW81" i="2"/>
  <c r="CS81" i="2"/>
  <c r="DG81" i="2"/>
  <c r="DE81" i="2"/>
  <c r="CI81" i="2"/>
  <c r="DA81" i="2"/>
  <c r="CY81" i="2"/>
  <c r="CK81" i="2"/>
  <c r="CU81" i="2"/>
  <c r="CC81" i="2"/>
  <c r="CQ81" i="2"/>
  <c r="CM81" i="2"/>
  <c r="Y271" i="2"/>
  <c r="AJ271" i="2"/>
  <c r="DL443" i="2"/>
  <c r="DB443" i="2" s="1"/>
  <c r="DC443" i="2" s="1"/>
  <c r="CW443" i="2"/>
  <c r="CU443" i="2"/>
  <c r="CS443" i="2"/>
  <c r="CQ443" i="2"/>
  <c r="CO443" i="2"/>
  <c r="CI443" i="2"/>
  <c r="CY443" i="2"/>
  <c r="CK443" i="2"/>
  <c r="CE443" i="2"/>
  <c r="DA443" i="2"/>
  <c r="DK443" i="2"/>
  <c r="DE443" i="2"/>
  <c r="DG443" i="2"/>
  <c r="CX13" i="2"/>
  <c r="DL13" i="2" s="1"/>
  <c r="DB13" i="2" s="1"/>
  <c r="DC13" i="2" s="1"/>
  <c r="DA51" i="2"/>
  <c r="CM51" i="2"/>
  <c r="DG183" i="2"/>
  <c r="CW183" i="2"/>
  <c r="CO38" i="2"/>
  <c r="DE69" i="2"/>
  <c r="DK69" i="2"/>
  <c r="DA292" i="2"/>
  <c r="DG290" i="2"/>
  <c r="DG38" i="2"/>
  <c r="DE38" i="2"/>
  <c r="CS125" i="2"/>
  <c r="CU125" i="2"/>
  <c r="CI289" i="2"/>
  <c r="DK55" i="2"/>
  <c r="CE31" i="2"/>
  <c r="CU293" i="2"/>
  <c r="DE293" i="2"/>
  <c r="CM294" i="2"/>
  <c r="AJ448" i="2"/>
  <c r="AK448" i="2" s="1"/>
  <c r="CG298" i="2"/>
  <c r="DA298" i="2"/>
  <c r="DA289" i="2"/>
  <c r="CK289" i="2"/>
  <c r="CG210" i="2"/>
  <c r="CK51" i="2"/>
  <c r="CQ51" i="2"/>
  <c r="DK183" i="2"/>
  <c r="DA183" i="2"/>
  <c r="DK290" i="2"/>
  <c r="CM69" i="2"/>
  <c r="CK69" i="2"/>
  <c r="CE292" i="2"/>
  <c r="DK292" i="2"/>
  <c r="DI298" i="2"/>
  <c r="DB62" i="2"/>
  <c r="DC62" i="2" s="1"/>
  <c r="CY69" i="2"/>
  <c r="DI38" i="2"/>
  <c r="CW38" i="2"/>
  <c r="CK125" i="2"/>
  <c r="CY38" i="2"/>
  <c r="CY31" i="2"/>
  <c r="CC293" i="2"/>
  <c r="DI293" i="2"/>
  <c r="CK298" i="2"/>
  <c r="CU289" i="2"/>
  <c r="CQ259" i="2"/>
  <c r="DI442" i="2"/>
  <c r="CG253" i="2"/>
  <c r="CW253" i="2"/>
  <c r="CK253" i="2"/>
  <c r="DA253" i="2"/>
  <c r="CE253" i="2"/>
  <c r="DE253" i="2"/>
  <c r="DI443" i="2"/>
  <c r="CC323" i="2"/>
  <c r="DG323" i="2"/>
  <c r="DI323" i="2"/>
  <c r="CM323" i="2"/>
  <c r="DE323" i="2"/>
  <c r="CY323" i="2"/>
  <c r="CS323" i="2"/>
  <c r="CQ323" i="2"/>
  <c r="CO323" i="2"/>
  <c r="CE323" i="2"/>
  <c r="CK323" i="2"/>
  <c r="CG323" i="2"/>
  <c r="DM45" i="2"/>
  <c r="DB45" i="2"/>
  <c r="DC45" i="2" s="1"/>
  <c r="CG337" i="2"/>
  <c r="CU337" i="2"/>
  <c r="CK304" i="2"/>
  <c r="CI304" i="2"/>
  <c r="DB480" i="2"/>
  <c r="DC480" i="2" s="1"/>
  <c r="CQ57" i="2"/>
  <c r="CK307" i="2"/>
  <c r="CQ319" i="2"/>
  <c r="CK319" i="2"/>
  <c r="CU413" i="2"/>
  <c r="DA31" i="2"/>
  <c r="CW90" i="2"/>
  <c r="CQ90" i="2"/>
  <c r="CK294" i="2"/>
  <c r="CC294" i="2"/>
  <c r="CM317" i="2"/>
  <c r="CW317" i="2"/>
  <c r="AP210" i="2"/>
  <c r="AK210" i="2"/>
  <c r="Y486" i="2"/>
  <c r="AJ486" i="2"/>
  <c r="AJ49" i="2"/>
  <c r="Y49" i="2"/>
  <c r="AQ380" i="2"/>
  <c r="AJ29" i="2"/>
  <c r="Y29" i="2"/>
  <c r="AJ85" i="2"/>
  <c r="Y85" i="2"/>
  <c r="AJ53" i="2"/>
  <c r="Y53" i="2"/>
  <c r="AJ413" i="2"/>
  <c r="Y413" i="2"/>
  <c r="AJ460" i="2"/>
  <c r="Y460" i="2"/>
  <c r="Y222" i="2"/>
  <c r="AJ222" i="2"/>
  <c r="AJ267" i="2"/>
  <c r="Y267" i="2"/>
  <c r="AJ450" i="2"/>
  <c r="Y450" i="2"/>
  <c r="AJ129" i="2"/>
  <c r="Y129" i="2"/>
  <c r="AJ311" i="2"/>
  <c r="Y311" i="2"/>
  <c r="AJ454" i="2"/>
  <c r="Y454" i="2"/>
  <c r="AJ36" i="2"/>
  <c r="Y36" i="2"/>
  <c r="AJ87" i="2"/>
  <c r="Y87" i="2"/>
  <c r="AJ57" i="2"/>
  <c r="Y57" i="2"/>
  <c r="AJ377" i="2"/>
  <c r="Y377" i="2"/>
  <c r="AJ434" i="2"/>
  <c r="Y434" i="2"/>
  <c r="AK17" i="2"/>
  <c r="S24" i="2"/>
  <c r="Y8" i="2"/>
  <c r="AJ146" i="2"/>
  <c r="Y146" i="2"/>
  <c r="AJ205" i="2"/>
  <c r="Y205" i="2"/>
  <c r="AJ455" i="2"/>
  <c r="Y455" i="2"/>
  <c r="AP447" i="2"/>
  <c r="AK447" i="2"/>
  <c r="AP72" i="2"/>
  <c r="AK72" i="2"/>
  <c r="AJ137" i="2"/>
  <c r="Y137" i="2"/>
  <c r="AJ59" i="2"/>
  <c r="Y59" i="2"/>
  <c r="AJ347" i="2"/>
  <c r="Y347" i="2"/>
  <c r="AJ419" i="2"/>
  <c r="Y419" i="2"/>
  <c r="S7" i="2"/>
  <c r="AJ41" i="2"/>
  <c r="Y41" i="2"/>
  <c r="AJ138" i="2"/>
  <c r="Y138" i="2"/>
  <c r="AQ212" i="2"/>
  <c r="AJ341" i="2"/>
  <c r="Y341" i="2"/>
  <c r="AJ407" i="2"/>
  <c r="Y407" i="2"/>
  <c r="AJ437" i="2"/>
  <c r="Y437" i="2"/>
  <c r="AP184" i="2"/>
  <c r="AK184" i="2"/>
  <c r="AP401" i="2"/>
  <c r="AK401" i="2"/>
  <c r="DL112" i="2"/>
  <c r="DB112" i="2" s="1"/>
  <c r="DC112" i="2" s="1"/>
  <c r="DI112" i="2"/>
  <c r="CO112" i="2"/>
  <c r="DK112" i="2"/>
  <c r="CC112" i="2"/>
  <c r="DG112" i="2"/>
  <c r="DE112" i="2"/>
  <c r="CS112" i="2"/>
  <c r="CY112" i="2"/>
  <c r="CG112" i="2"/>
  <c r="CI112" i="2"/>
  <c r="CE112" i="2"/>
  <c r="AJ83" i="2"/>
  <c r="Y83" i="2"/>
  <c r="AJ213" i="2"/>
  <c r="Y213" i="2"/>
  <c r="X16" i="2"/>
  <c r="CS337" i="2"/>
  <c r="CY337" i="2"/>
  <c r="CY304" i="2"/>
  <c r="DM26" i="2"/>
  <c r="DM120" i="2"/>
  <c r="DM30" i="2"/>
  <c r="CU57" i="2"/>
  <c r="DI307" i="2"/>
  <c r="DG319" i="2"/>
  <c r="CS319" i="2"/>
  <c r="CG300" i="2"/>
  <c r="DA413" i="2"/>
  <c r="CC413" i="2"/>
  <c r="DE31" i="2"/>
  <c r="DK31" i="2"/>
  <c r="DI90" i="2"/>
  <c r="CU90" i="2"/>
  <c r="CS294" i="2"/>
  <c r="AJ291" i="2"/>
  <c r="AK291" i="2" s="1"/>
  <c r="AQ487" i="2"/>
  <c r="AQ275" i="2"/>
  <c r="AQ461" i="2"/>
  <c r="Y452" i="2"/>
  <c r="AJ452" i="2"/>
  <c r="AJ188" i="2"/>
  <c r="Y188" i="2"/>
  <c r="AP143" i="2"/>
  <c r="AK143" i="2"/>
  <c r="Y403" i="2"/>
  <c r="AJ403" i="2"/>
  <c r="AP76" i="2"/>
  <c r="AK76" i="2"/>
  <c r="AJ139" i="2"/>
  <c r="Y139" i="2"/>
  <c r="AQ229" i="2"/>
  <c r="AJ237" i="2"/>
  <c r="Y237" i="2"/>
  <c r="AQ371" i="2"/>
  <c r="AJ378" i="2"/>
  <c r="Y378" i="2"/>
  <c r="Y453" i="2"/>
  <c r="AJ453" i="2"/>
  <c r="AP226" i="2"/>
  <c r="AK226" i="2"/>
  <c r="AJ61" i="2"/>
  <c r="Y61" i="2"/>
  <c r="AQ220" i="2"/>
  <c r="AJ353" i="2"/>
  <c r="Y353" i="2"/>
  <c r="AJ425" i="2"/>
  <c r="Y425" i="2"/>
  <c r="AJ204" i="2"/>
  <c r="Y204" i="2"/>
  <c r="Y279" i="2"/>
  <c r="AJ279" i="2"/>
  <c r="DL434" i="2"/>
  <c r="CM434" i="2"/>
  <c r="CI434" i="2"/>
  <c r="CE434" i="2"/>
  <c r="CW434" i="2"/>
  <c r="DK434" i="2"/>
  <c r="DE434" i="2"/>
  <c r="CC434" i="2"/>
  <c r="DG434" i="2"/>
  <c r="CU434" i="2"/>
  <c r="CQ434" i="2"/>
  <c r="AJ225" i="2"/>
  <c r="Y225" i="2"/>
  <c r="Y25" i="2"/>
  <c r="S17" i="2"/>
  <c r="AK9" i="2"/>
  <c r="AQ24" i="2"/>
  <c r="AJ168" i="2"/>
  <c r="Y168" i="2"/>
  <c r="AJ44" i="2"/>
  <c r="Y44" i="2"/>
  <c r="AP119" i="2"/>
  <c r="AK119" i="2"/>
  <c r="AJ485" i="2"/>
  <c r="Y485" i="2"/>
  <c r="AJ39" i="2"/>
  <c r="Y39" i="2"/>
  <c r="AJ89" i="2"/>
  <c r="Y89" i="2"/>
  <c r="AP60" i="2"/>
  <c r="AK60" i="2"/>
  <c r="AJ374" i="2"/>
  <c r="Y374" i="2"/>
  <c r="Y23" i="2"/>
  <c r="AJ178" i="2"/>
  <c r="Y178" i="2"/>
  <c r="Y379" i="2"/>
  <c r="AJ379" i="2"/>
  <c r="AJ47" i="2"/>
  <c r="Y47" i="2"/>
  <c r="AP180" i="2"/>
  <c r="AK180" i="2"/>
  <c r="AJ490" i="2"/>
  <c r="Y490" i="2"/>
  <c r="AJ244" i="2"/>
  <c r="Y244" i="2"/>
  <c r="AJ409" i="2"/>
  <c r="Y409" i="2"/>
  <c r="AJ498" i="2"/>
  <c r="Y498" i="2"/>
  <c r="AJ459" i="2"/>
  <c r="Y459" i="2"/>
  <c r="AQ281" i="2"/>
  <c r="AQ300" i="2"/>
  <c r="AJ183" i="2"/>
  <c r="Y183" i="2"/>
  <c r="S4" i="2"/>
  <c r="AJ159" i="2"/>
  <c r="Y159" i="2"/>
  <c r="Y375" i="2"/>
  <c r="AJ375" i="2"/>
  <c r="AJ54" i="2"/>
  <c r="Y54" i="2"/>
  <c r="AP488" i="2"/>
  <c r="AK488" i="2"/>
  <c r="AJ93" i="2"/>
  <c r="Y93" i="2"/>
  <c r="AJ405" i="2"/>
  <c r="Y405" i="2"/>
  <c r="AQ480" i="2"/>
  <c r="AJ164" i="2"/>
  <c r="Y164" i="2"/>
  <c r="AJ390" i="2"/>
  <c r="Y390" i="2"/>
  <c r="DL436" i="2"/>
  <c r="DB436" i="2" s="1"/>
  <c r="DC436" i="2" s="1"/>
  <c r="DK436" i="2"/>
  <c r="CO436" i="2"/>
  <c r="DG436" i="2"/>
  <c r="CC436" i="2"/>
  <c r="CW436" i="2"/>
  <c r="CY436" i="2"/>
  <c r="DI436" i="2"/>
  <c r="DE436" i="2"/>
  <c r="CU436" i="2"/>
  <c r="DA436" i="2"/>
  <c r="CQ436" i="2"/>
  <c r="CS436" i="2"/>
  <c r="CK436" i="2"/>
  <c r="CM436" i="2"/>
  <c r="CG436" i="2"/>
  <c r="DM436" i="2"/>
  <c r="CI436" i="2"/>
  <c r="CE436" i="2"/>
  <c r="AP175" i="2"/>
  <c r="AK175" i="2"/>
  <c r="CY422" i="2"/>
  <c r="CC422" i="2"/>
  <c r="CU422" i="2"/>
  <c r="CM422" i="2"/>
  <c r="CI422" i="2"/>
  <c r="CE422" i="2"/>
  <c r="CW422" i="2"/>
  <c r="DK422" i="2"/>
  <c r="DE422" i="2"/>
  <c r="DG422" i="2"/>
  <c r="AJ63" i="2"/>
  <c r="Y63" i="2"/>
  <c r="AJ95" i="2"/>
  <c r="Y95" i="2"/>
  <c r="AJ411" i="2"/>
  <c r="Y411" i="2"/>
  <c r="AJ479" i="2"/>
  <c r="Y479" i="2"/>
  <c r="AQ25" i="2"/>
  <c r="AQ9" i="2"/>
  <c r="AK8" i="2"/>
  <c r="AJ170" i="2"/>
  <c r="Y170" i="2"/>
  <c r="Y233" i="2"/>
  <c r="AJ233" i="2"/>
  <c r="AJ30" i="2"/>
  <c r="Y30" i="2"/>
  <c r="AJ162" i="2"/>
  <c r="Y162" i="2"/>
  <c r="AP80" i="2"/>
  <c r="AK80" i="2"/>
  <c r="AJ141" i="2"/>
  <c r="Y141" i="2"/>
  <c r="AJ209" i="2"/>
  <c r="Y209" i="2"/>
  <c r="AJ354" i="2"/>
  <c r="Y354" i="2"/>
  <c r="AJ427" i="2"/>
  <c r="Y427" i="2"/>
  <c r="AP66" i="2"/>
  <c r="AK66" i="2"/>
  <c r="AJ262" i="2"/>
  <c r="Y262" i="2"/>
  <c r="AJ349" i="2"/>
  <c r="Y349" i="2"/>
  <c r="AJ441" i="2"/>
  <c r="Y441" i="2"/>
  <c r="AJ462" i="2"/>
  <c r="Y462" i="2"/>
  <c r="Y224" i="2"/>
  <c r="AJ224" i="2"/>
  <c r="AJ34" i="2"/>
  <c r="Y34" i="2"/>
  <c r="AP196" i="2"/>
  <c r="AK196" i="2"/>
  <c r="AJ51" i="2"/>
  <c r="Y51" i="2"/>
  <c r="AJ91" i="2"/>
  <c r="Y91" i="2"/>
  <c r="AK21" i="2"/>
  <c r="S20" i="2"/>
  <c r="Y206" i="2"/>
  <c r="AJ206" i="2"/>
  <c r="Y491" i="2"/>
  <c r="AJ491" i="2"/>
  <c r="AP147" i="2"/>
  <c r="AK147" i="2"/>
  <c r="AJ215" i="2"/>
  <c r="Y215" i="2"/>
  <c r="AJ84" i="2"/>
  <c r="Y84" i="2"/>
  <c r="AQ216" i="2"/>
  <c r="AJ245" i="2"/>
  <c r="Y245" i="2"/>
  <c r="AJ400" i="2"/>
  <c r="Y400" i="2"/>
  <c r="AJ415" i="2"/>
  <c r="Y415" i="2"/>
  <c r="AQ94" i="2"/>
  <c r="AJ357" i="2"/>
  <c r="Y357" i="2"/>
  <c r="AJ433" i="2"/>
  <c r="Y433" i="2"/>
  <c r="AK26" i="2"/>
  <c r="AP26" i="2"/>
  <c r="AQ186" i="2"/>
  <c r="AJ482" i="2"/>
  <c r="Y482" i="2"/>
  <c r="AP150" i="2"/>
  <c r="AK150" i="2"/>
  <c r="AK201" i="2"/>
  <c r="AP201" i="2"/>
  <c r="AJ45" i="2"/>
  <c r="Y45" i="2"/>
  <c r="AQ182" i="2"/>
  <c r="AP410" i="2"/>
  <c r="AK410" i="2"/>
  <c r="AJ65" i="2"/>
  <c r="Y65" i="2"/>
  <c r="AJ97" i="2"/>
  <c r="Y97" i="2"/>
  <c r="AQ232" i="2"/>
  <c r="AJ420" i="2"/>
  <c r="Y420" i="2"/>
  <c r="AK23" i="2"/>
  <c r="AJ218" i="2"/>
  <c r="Y218" i="2"/>
  <c r="Y444" i="2"/>
  <c r="AJ444" i="2"/>
  <c r="AJ37" i="2"/>
  <c r="Y37" i="2"/>
  <c r="AQ202" i="2"/>
  <c r="S22" i="2"/>
  <c r="AJ223" i="2"/>
  <c r="Y223" i="2"/>
  <c r="AJ252" i="2"/>
  <c r="Y252" i="2"/>
  <c r="AJ422" i="2"/>
  <c r="Y422" i="2"/>
  <c r="S21" i="2"/>
  <c r="AJ473" i="2"/>
  <c r="Y473" i="2"/>
  <c r="DE337" i="2"/>
  <c r="DM282" i="2"/>
  <c r="CE304" i="2"/>
  <c r="CE30" i="2"/>
  <c r="CW57" i="2"/>
  <c r="DC57" i="2"/>
  <c r="CM307" i="2"/>
  <c r="CC319" i="2"/>
  <c r="DE319" i="2"/>
  <c r="CQ413" i="2"/>
  <c r="DM66" i="2"/>
  <c r="CQ31" i="2"/>
  <c r="CG31" i="2"/>
  <c r="CS90" i="2"/>
  <c r="DM90" i="2"/>
  <c r="DI294" i="2"/>
  <c r="DI317" i="2"/>
  <c r="DC317" i="2"/>
  <c r="AP304" i="2"/>
  <c r="AV480" i="2"/>
  <c r="AW480" i="2" s="1"/>
  <c r="AP145" i="2"/>
  <c r="AK145" i="2"/>
  <c r="AP189" i="2"/>
  <c r="AK189" i="2"/>
  <c r="AP396" i="2"/>
  <c r="AK396" i="2"/>
  <c r="AQ192" i="2"/>
  <c r="AJ416" i="2"/>
  <c r="Y416" i="2"/>
  <c r="AJ69" i="2"/>
  <c r="Y69" i="2"/>
  <c r="AJ101" i="2"/>
  <c r="Y101" i="2"/>
  <c r="AJ344" i="2"/>
  <c r="Y344" i="2"/>
  <c r="AJ424" i="2"/>
  <c r="Y424" i="2"/>
  <c r="AQ499" i="2"/>
  <c r="AJ194" i="2"/>
  <c r="Y194" i="2"/>
  <c r="AQ40" i="2"/>
  <c r="AQ165" i="2"/>
  <c r="AJ394" i="2"/>
  <c r="Y394" i="2"/>
  <c r="S18" i="2"/>
  <c r="AJ46" i="2"/>
  <c r="Y46" i="2"/>
  <c r="AP156" i="2"/>
  <c r="AK156" i="2"/>
  <c r="AJ71" i="2"/>
  <c r="Y71" i="2"/>
  <c r="AJ103" i="2"/>
  <c r="Y103" i="2"/>
  <c r="AJ418" i="2"/>
  <c r="Y418" i="2"/>
  <c r="Y17" i="2"/>
  <c r="S9" i="2"/>
  <c r="Y24" i="2"/>
  <c r="AQ8" i="2"/>
  <c r="AJ157" i="2"/>
  <c r="Y157" i="2"/>
  <c r="AQ384" i="2"/>
  <c r="AJ28" i="2"/>
  <c r="Y28" i="2"/>
  <c r="AJ38" i="2"/>
  <c r="Y38" i="2"/>
  <c r="AP88" i="2"/>
  <c r="AK88" i="2"/>
  <c r="AJ231" i="2"/>
  <c r="Y231" i="2"/>
  <c r="AJ230" i="2"/>
  <c r="Y230" i="2"/>
  <c r="AJ435" i="2"/>
  <c r="Y435" i="2"/>
  <c r="AQ74" i="2"/>
  <c r="AQ62" i="2"/>
  <c r="AP336" i="2"/>
  <c r="AK336" i="2"/>
  <c r="AJ355" i="2"/>
  <c r="Y355" i="2"/>
  <c r="AJ421" i="2"/>
  <c r="Y421" i="2"/>
  <c r="Y386" i="2"/>
  <c r="AJ386" i="2"/>
  <c r="AJ52" i="2"/>
  <c r="Y52" i="2"/>
  <c r="AQ172" i="2"/>
  <c r="AJ67" i="2"/>
  <c r="Y67" i="2"/>
  <c r="AJ99" i="2"/>
  <c r="Y99" i="2"/>
  <c r="Y21" i="2"/>
  <c r="S11" i="2"/>
  <c r="DI337" i="2"/>
  <c r="DB210" i="2"/>
  <c r="DC210" i="2" s="1"/>
  <c r="DG304" i="2"/>
  <c r="CQ30" i="2"/>
  <c r="CE57" i="2"/>
  <c r="DG57" i="2"/>
  <c r="CO319" i="2"/>
  <c r="DI319" i="2"/>
  <c r="CW300" i="2"/>
  <c r="CU300" i="2"/>
  <c r="CY413" i="2"/>
  <c r="CU31" i="2"/>
  <c r="DM251" i="2"/>
  <c r="CM90" i="2"/>
  <c r="CY294" i="2"/>
  <c r="AV216" i="2"/>
  <c r="AW216" i="2" s="1"/>
  <c r="AJ163" i="2"/>
  <c r="Y163" i="2"/>
  <c r="AJ481" i="2"/>
  <c r="Y481" i="2"/>
  <c r="AQ368" i="2"/>
  <c r="AP56" i="2"/>
  <c r="AK56" i="2"/>
  <c r="AP92" i="2"/>
  <c r="AK92" i="2"/>
  <c r="AQ48" i="2"/>
  <c r="AJ329" i="2"/>
  <c r="Y329" i="2"/>
  <c r="AJ253" i="2"/>
  <c r="Y253" i="2"/>
  <c r="AJ343" i="2"/>
  <c r="Y343" i="2"/>
  <c r="AJ404" i="2"/>
  <c r="Y404" i="2"/>
  <c r="AJ108" i="2"/>
  <c r="Y108" i="2"/>
  <c r="AJ140" i="2"/>
  <c r="Y140" i="2"/>
  <c r="AJ278" i="2"/>
  <c r="Y278" i="2"/>
  <c r="AJ406" i="2"/>
  <c r="Y406" i="2"/>
  <c r="AJ464" i="2"/>
  <c r="Y464" i="2"/>
  <c r="DL290" i="2"/>
  <c r="CM290" i="2"/>
  <c r="CY290" i="2"/>
  <c r="CQ290" i="2"/>
  <c r="CW290" i="2"/>
  <c r="CE290" i="2"/>
  <c r="CK290" i="2"/>
  <c r="CG290" i="2"/>
  <c r="AK25" i="2"/>
  <c r="S14" i="2"/>
  <c r="AP167" i="2"/>
  <c r="AK167" i="2"/>
  <c r="AQ152" i="2"/>
  <c r="AJ73" i="2"/>
  <c r="Y73" i="2"/>
  <c r="AJ105" i="2"/>
  <c r="Y105" i="2"/>
  <c r="AJ369" i="2"/>
  <c r="Y369" i="2"/>
  <c r="AJ428" i="2"/>
  <c r="Y428" i="2"/>
  <c r="AJ382" i="2"/>
  <c r="Y382" i="2"/>
  <c r="AJ31" i="2"/>
  <c r="Y31" i="2"/>
  <c r="AP148" i="2"/>
  <c r="AK148" i="2"/>
  <c r="AJ442" i="2"/>
  <c r="Y442" i="2"/>
  <c r="AJ127" i="2"/>
  <c r="Y127" i="2"/>
  <c r="DL303" i="2"/>
  <c r="CQ303" i="2"/>
  <c r="DE303" i="2"/>
  <c r="CI303" i="2"/>
  <c r="DA303" i="2"/>
  <c r="DK303" i="2"/>
  <c r="CW303" i="2"/>
  <c r="CS303" i="2"/>
  <c r="CO303" i="2"/>
  <c r="CU303" i="2"/>
  <c r="CY303" i="2"/>
  <c r="AJ324" i="2"/>
  <c r="Y324" i="2"/>
  <c r="AJ430" i="2"/>
  <c r="Y430" i="2"/>
  <c r="AQ21" i="2"/>
  <c r="DM241" i="2"/>
  <c r="AP100" i="2"/>
  <c r="AK100" i="2"/>
  <c r="AQ321" i="2"/>
  <c r="AQ261" i="2"/>
  <c r="AQ274" i="2"/>
  <c r="AQ398" i="2"/>
  <c r="AJ193" i="2"/>
  <c r="Y193" i="2"/>
  <c r="Y408" i="2"/>
  <c r="AJ408" i="2"/>
  <c r="AJ123" i="2"/>
  <c r="Y123" i="2"/>
  <c r="AP142" i="2"/>
  <c r="AK142" i="2"/>
  <c r="AQ478" i="2"/>
  <c r="AJ77" i="2"/>
  <c r="Y77" i="2"/>
  <c r="AJ109" i="2"/>
  <c r="Y109" i="2"/>
  <c r="AJ352" i="2"/>
  <c r="Y352" i="2"/>
  <c r="AJ432" i="2"/>
  <c r="Y432" i="2"/>
  <c r="AJ198" i="2"/>
  <c r="Y198" i="2"/>
  <c r="AP149" i="2"/>
  <c r="AK149" i="2"/>
  <c r="AQ388" i="2"/>
  <c r="Y18" i="2"/>
  <c r="AJ197" i="2"/>
  <c r="Y197" i="2"/>
  <c r="AQ166" i="2"/>
  <c r="AJ269" i="2"/>
  <c r="Y269" i="2"/>
  <c r="AJ79" i="2"/>
  <c r="Y79" i="2"/>
  <c r="AJ111" i="2"/>
  <c r="Y111" i="2"/>
  <c r="AJ426" i="2"/>
  <c r="Y426" i="2"/>
  <c r="AQ17" i="2"/>
  <c r="Y9" i="2"/>
  <c r="AK24" i="2"/>
  <c r="AP200" i="2"/>
  <c r="AK200" i="2"/>
  <c r="AQ477" i="2"/>
  <c r="AP328" i="2"/>
  <c r="AK328" i="2"/>
  <c r="AP64" i="2"/>
  <c r="AK64" i="2"/>
  <c r="AP96" i="2"/>
  <c r="AK96" i="2"/>
  <c r="AJ27" i="2"/>
  <c r="Y27" i="2"/>
  <c r="AJ334" i="2"/>
  <c r="Y334" i="2"/>
  <c r="AJ399" i="2"/>
  <c r="Y399" i="2"/>
  <c r="AQ23" i="2"/>
  <c r="CC322" i="2"/>
  <c r="CY322" i="2"/>
  <c r="CQ322" i="2"/>
  <c r="CE322" i="2"/>
  <c r="CS322" i="2"/>
  <c r="CG322" i="2"/>
  <c r="AP98" i="2"/>
  <c r="AK98" i="2"/>
  <c r="AJ227" i="2"/>
  <c r="Y227" i="2"/>
  <c r="AJ363" i="2"/>
  <c r="Y363" i="2"/>
  <c r="AJ359" i="2"/>
  <c r="Y359" i="2"/>
  <c r="AJ429" i="2"/>
  <c r="Y429" i="2"/>
  <c r="AJ155" i="2"/>
  <c r="Y155" i="2"/>
  <c r="AJ412" i="2"/>
  <c r="Y412" i="2"/>
  <c r="AJ75" i="2"/>
  <c r="Y75" i="2"/>
  <c r="AJ107" i="2"/>
  <c r="Y107" i="2"/>
  <c r="AJ43" i="2"/>
  <c r="Y43" i="2"/>
  <c r="S13" i="2"/>
  <c r="DM246" i="2"/>
  <c r="DC90" i="2"/>
  <c r="AQ208" i="2"/>
  <c r="AP185" i="2"/>
  <c r="AK185" i="2"/>
  <c r="AJ50" i="2"/>
  <c r="Y50" i="2"/>
  <c r="AQ446" i="2"/>
  <c r="AP68" i="2"/>
  <c r="AK68" i="2"/>
  <c r="AJ135" i="2"/>
  <c r="Y135" i="2"/>
  <c r="AJ211" i="2"/>
  <c r="Y211" i="2"/>
  <c r="AJ333" i="2"/>
  <c r="Y333" i="2"/>
  <c r="AJ356" i="2"/>
  <c r="Y356" i="2"/>
  <c r="AJ449" i="2"/>
  <c r="Y449" i="2"/>
  <c r="AJ35" i="2"/>
  <c r="Y35" i="2"/>
  <c r="AJ55" i="2"/>
  <c r="Y55" i="2"/>
  <c r="AJ345" i="2"/>
  <c r="Y345" i="2"/>
  <c r="AJ417" i="2"/>
  <c r="Y417" i="2"/>
  <c r="AQ500" i="2"/>
  <c r="AP199" i="2"/>
  <c r="AK199" i="2"/>
  <c r="S25" i="2"/>
  <c r="AJ171" i="2"/>
  <c r="Y171" i="2"/>
  <c r="AJ443" i="2"/>
  <c r="Y443" i="2"/>
  <c r="AP228" i="2"/>
  <c r="AK228" i="2"/>
  <c r="AJ414" i="2"/>
  <c r="Y414" i="2"/>
  <c r="AJ81" i="2"/>
  <c r="Y81" i="2"/>
  <c r="AJ33" i="2"/>
  <c r="Y33" i="2"/>
  <c r="AJ338" i="2"/>
  <c r="Y338" i="2"/>
  <c r="AJ436" i="2"/>
  <c r="Y436" i="2"/>
  <c r="S23" i="2"/>
  <c r="AQ392" i="2"/>
  <c r="AJ32" i="2"/>
  <c r="Y32" i="2"/>
  <c r="AQ195" i="2"/>
  <c r="AP331" i="2"/>
  <c r="AK331" i="2"/>
  <c r="AJ236" i="2"/>
  <c r="Y236" i="2"/>
  <c r="AJ342" i="2"/>
  <c r="Y342" i="2"/>
  <c r="AJ458" i="2"/>
  <c r="Y458" i="2"/>
  <c r="S5" i="2"/>
  <c r="BQ144" i="2"/>
  <c r="AV20" i="2"/>
  <c r="AV24" i="2"/>
  <c r="AW24" i="2" s="1"/>
  <c r="AV25" i="2"/>
  <c r="DB293" i="2"/>
  <c r="DC293" i="2" s="1"/>
  <c r="DM293" i="2"/>
  <c r="X12" i="2"/>
  <c r="Y12" i="2" s="1"/>
  <c r="X19" i="2"/>
  <c r="Y19" i="2" s="1"/>
  <c r="X15" i="2"/>
  <c r="AP18" i="2"/>
  <c r="X6" i="2"/>
  <c r="Y6" i="2" s="1"/>
  <c r="AJ22" i="2"/>
  <c r="AK22" i="2" s="1"/>
  <c r="AV17" i="2"/>
  <c r="AW17" i="2" s="1"/>
  <c r="CX16" i="2"/>
  <c r="DL16" i="2" s="1"/>
  <c r="DB16" i="2" s="1"/>
  <c r="DC16" i="2" s="1"/>
  <c r="AV21" i="2"/>
  <c r="AW21" i="2" s="1"/>
  <c r="CK337" i="2"/>
  <c r="CE337" i="2"/>
  <c r="DK337" i="2"/>
  <c r="DG279" i="2"/>
  <c r="DK279" i="2"/>
  <c r="CE279" i="2"/>
  <c r="CG304" i="2"/>
  <c r="CX14" i="2"/>
  <c r="CE14" i="2" s="1"/>
  <c r="CC304" i="2"/>
  <c r="DM129" i="2"/>
  <c r="CU30" i="2"/>
  <c r="CK413" i="2"/>
  <c r="DK413" i="2"/>
  <c r="DL413" i="2"/>
  <c r="DM318" i="2"/>
  <c r="DL31" i="2"/>
  <c r="DB31" i="2" s="1"/>
  <c r="DC31" i="2" s="1"/>
  <c r="DA90" i="2"/>
  <c r="CY90" i="2"/>
  <c r="DM98" i="2"/>
  <c r="CG294" i="2"/>
  <c r="CE294" i="2"/>
  <c r="DL294" i="2"/>
  <c r="CQ317" i="2"/>
  <c r="CG317" i="2"/>
  <c r="BH40" i="2"/>
  <c r="BI40" i="2" s="1"/>
  <c r="BP40" i="2"/>
  <c r="BQ203" i="2"/>
  <c r="BH477" i="2"/>
  <c r="BI477" i="2" s="1"/>
  <c r="BP477" i="2"/>
  <c r="BH372" i="2"/>
  <c r="BI372" i="2" s="1"/>
  <c r="BP372" i="2"/>
  <c r="BH182" i="2"/>
  <c r="BI182" i="2" s="1"/>
  <c r="BP182" i="2"/>
  <c r="BH388" i="2"/>
  <c r="BI388" i="2" s="1"/>
  <c r="BP388" i="2"/>
  <c r="AP287" i="2"/>
  <c r="BH82" i="2"/>
  <c r="BI82" i="2" s="1"/>
  <c r="BP82" i="2"/>
  <c r="AV208" i="2"/>
  <c r="AW208" i="2" s="1"/>
  <c r="AV300" i="2"/>
  <c r="AW300" i="2" s="1"/>
  <c r="AJ260" i="2"/>
  <c r="AK260" i="2" s="1"/>
  <c r="BH332" i="2"/>
  <c r="BI332" i="2" s="1"/>
  <c r="BP332" i="2"/>
  <c r="AJ337" i="2"/>
  <c r="AK337" i="2" s="1"/>
  <c r="AP289" i="2"/>
  <c r="AJ242" i="2"/>
  <c r="AK242" i="2" s="1"/>
  <c r="AP283" i="2"/>
  <c r="AP440" i="2"/>
  <c r="AJ456" i="2"/>
  <c r="AK456" i="2" s="1"/>
  <c r="BH371" i="2"/>
  <c r="BI371" i="2" s="1"/>
  <c r="BP371" i="2"/>
  <c r="AJ365" i="2"/>
  <c r="AK365" i="2" s="1"/>
  <c r="AJ246" i="2"/>
  <c r="AK246" i="2" s="1"/>
  <c r="BH346" i="2"/>
  <c r="BI346" i="2" s="1"/>
  <c r="BP346" i="2"/>
  <c r="AP439" i="2"/>
  <c r="BH472" i="2"/>
  <c r="BI472" i="2" s="1"/>
  <c r="BP472" i="2"/>
  <c r="DM309" i="2"/>
  <c r="AJ438" i="2"/>
  <c r="AK438" i="2" s="1"/>
  <c r="AJ240" i="2"/>
  <c r="AK240" i="2" s="1"/>
  <c r="AJ266" i="2"/>
  <c r="AK266" i="2" s="1"/>
  <c r="AJ326" i="2"/>
  <c r="AK326" i="2" s="1"/>
  <c r="AV23" i="2"/>
  <c r="CO337" i="2"/>
  <c r="DE304" i="2"/>
  <c r="CO279" i="2"/>
  <c r="CG279" i="2"/>
  <c r="CU304" i="2"/>
  <c r="DI304" i="2"/>
  <c r="DC30" i="2"/>
  <c r="DB61" i="2"/>
  <c r="DC61" i="2" s="1"/>
  <c r="DM61" i="2"/>
  <c r="DB81" i="2"/>
  <c r="DC81" i="2" s="1"/>
  <c r="DM81" i="2"/>
  <c r="DM253" i="2"/>
  <c r="DB230" i="2"/>
  <c r="DC230" i="2" s="1"/>
  <c r="DM230" i="2"/>
  <c r="CE413" i="2"/>
  <c r="DM31" i="2"/>
  <c r="DI31" i="2"/>
  <c r="CI90" i="2"/>
  <c r="CM293" i="2"/>
  <c r="CO293" i="2"/>
  <c r="CO294" i="2"/>
  <c r="CQ294" i="2"/>
  <c r="CY317" i="2"/>
  <c r="BQ190" i="2"/>
  <c r="BH151" i="2"/>
  <c r="BI151" i="2" s="1"/>
  <c r="BP151" i="2"/>
  <c r="BQ158" i="2"/>
  <c r="BH176" i="2"/>
  <c r="BI176" i="2" s="1"/>
  <c r="BP176" i="2"/>
  <c r="BQ445" i="2"/>
  <c r="BH152" i="2"/>
  <c r="BI152" i="2" s="1"/>
  <c r="BP152" i="2"/>
  <c r="BH392" i="2"/>
  <c r="BI392" i="2" s="1"/>
  <c r="BP392" i="2"/>
  <c r="BH58" i="2"/>
  <c r="BI58" i="2" s="1"/>
  <c r="BP58" i="2"/>
  <c r="AP475" i="2"/>
  <c r="BH94" i="2"/>
  <c r="BI94" i="2" s="1"/>
  <c r="BP94" i="2"/>
  <c r="AP307" i="2"/>
  <c r="BP212" i="2"/>
  <c r="BH478" i="2"/>
  <c r="BI478" i="2" s="1"/>
  <c r="BP478" i="2"/>
  <c r="BH136" i="2"/>
  <c r="BI136" i="2" s="1"/>
  <c r="BP136" i="2"/>
  <c r="BH214" i="2"/>
  <c r="BI214" i="2" s="1"/>
  <c r="BP214" i="2"/>
  <c r="BH380" i="2"/>
  <c r="BI380" i="2" s="1"/>
  <c r="BP380" i="2"/>
  <c r="BH397" i="2"/>
  <c r="BI397" i="2" s="1"/>
  <c r="BP397" i="2"/>
  <c r="AP292" i="2"/>
  <c r="BH335" i="2"/>
  <c r="BI335" i="2" s="1"/>
  <c r="BP335" i="2"/>
  <c r="AP263" i="2"/>
  <c r="AP320" i="2"/>
  <c r="AP316" i="2"/>
  <c r="AP362" i="2"/>
  <c r="AJ495" i="2"/>
  <c r="AK495" i="2" s="1"/>
  <c r="AV274" i="2"/>
  <c r="AW274" i="2" s="1"/>
  <c r="AP284" i="2"/>
  <c r="BH468" i="2"/>
  <c r="BI468" i="2" s="1"/>
  <c r="BP468" i="2"/>
  <c r="AP297" i="2"/>
  <c r="BH339" i="2"/>
  <c r="BI339" i="2" s="1"/>
  <c r="BP339" i="2"/>
  <c r="AP310" i="2"/>
  <c r="AJ457" i="2"/>
  <c r="AK457" i="2" s="1"/>
  <c r="AP294" i="2"/>
  <c r="AJ467" i="2"/>
  <c r="AK467" i="2" s="1"/>
  <c r="AP497" i="2"/>
  <c r="AJ348" i="2"/>
  <c r="AK348" i="2" s="1"/>
  <c r="AV8" i="2"/>
  <c r="BH8" i="2" s="1"/>
  <c r="BI8" i="2" s="1"/>
  <c r="DB41" i="2"/>
  <c r="DC41" i="2" s="1"/>
  <c r="DM41" i="2"/>
  <c r="DB440" i="2"/>
  <c r="DC440" i="2" s="1"/>
  <c r="DM440" i="2"/>
  <c r="DM34" i="2"/>
  <c r="DM285" i="2"/>
  <c r="BP202" i="2"/>
  <c r="AP131" i="2"/>
  <c r="BH368" i="2"/>
  <c r="BI368" i="2" s="1"/>
  <c r="BP368" i="2"/>
  <c r="BH42" i="2"/>
  <c r="BI42" i="2" s="1"/>
  <c r="BP42" i="2"/>
  <c r="AP295" i="2"/>
  <c r="BH90" i="2"/>
  <c r="BI90" i="2" s="1"/>
  <c r="BP90" i="2"/>
  <c r="AJ264" i="2"/>
  <c r="AK264" i="2" s="1"/>
  <c r="DL479" i="2"/>
  <c r="DB479" i="2" s="1"/>
  <c r="CM479" i="2"/>
  <c r="CC479" i="2"/>
  <c r="CI479" i="2"/>
  <c r="DI479" i="2"/>
  <c r="DK479" i="2"/>
  <c r="CE479" i="2"/>
  <c r="CS479" i="2"/>
  <c r="DC479" i="2"/>
  <c r="CK479" i="2"/>
  <c r="CG479" i="2"/>
  <c r="CY479" i="2"/>
  <c r="DG479" i="2"/>
  <c r="CU479" i="2"/>
  <c r="CQ479" i="2"/>
  <c r="DA479" i="2"/>
  <c r="CO479" i="2"/>
  <c r="DE479" i="2"/>
  <c r="CW479" i="2"/>
  <c r="BH219" i="2"/>
  <c r="BI219" i="2" s="1"/>
  <c r="BP219" i="2"/>
  <c r="AP290" i="2"/>
  <c r="AJ241" i="2"/>
  <c r="AK241" i="2" s="1"/>
  <c r="AP317" i="2"/>
  <c r="AJ250" i="2"/>
  <c r="AK250" i="2" s="1"/>
  <c r="BH325" i="2"/>
  <c r="BI325" i="2" s="1"/>
  <c r="BP325" i="2"/>
  <c r="AJ483" i="2"/>
  <c r="AK483" i="2" s="1"/>
  <c r="AJ254" i="2"/>
  <c r="AK254" i="2" s="1"/>
  <c r="AJ494" i="2"/>
  <c r="AK494" i="2" s="1"/>
  <c r="AJ248" i="2"/>
  <c r="AK248" i="2" s="1"/>
  <c r="AJ431" i="2"/>
  <c r="AK431" i="2" s="1"/>
  <c r="AV9" i="2"/>
  <c r="DB297" i="2"/>
  <c r="DC297" i="2" s="1"/>
  <c r="DM297" i="2"/>
  <c r="DM287" i="2"/>
  <c r="BQ161" i="2"/>
  <c r="BQ169" i="2"/>
  <c r="BH179" i="2"/>
  <c r="BI179" i="2" s="1"/>
  <c r="BP179" i="2"/>
  <c r="BH166" i="2"/>
  <c r="BI166" i="2" s="1"/>
  <c r="BP166" i="2"/>
  <c r="BQ174" i="2"/>
  <c r="BQ391" i="2"/>
  <c r="BP474" i="2"/>
  <c r="BH474" i="2"/>
  <c r="BI474" i="2" s="1"/>
  <c r="BH128" i="2"/>
  <c r="BI128" i="2" s="1"/>
  <c r="BP128" i="2"/>
  <c r="BH165" i="2"/>
  <c r="BI165" i="2" s="1"/>
  <c r="BP165" i="2"/>
  <c r="DL295" i="2"/>
  <c r="DE295" i="2"/>
  <c r="CW295" i="2"/>
  <c r="CS295" i="2"/>
  <c r="CO295" i="2"/>
  <c r="CU295" i="2"/>
  <c r="CY295" i="2"/>
  <c r="DK295" i="2"/>
  <c r="AP322" i="2"/>
  <c r="BH220" i="2"/>
  <c r="BI220" i="2" s="1"/>
  <c r="BP220" i="2"/>
  <c r="AP121" i="2"/>
  <c r="BH70" i="2"/>
  <c r="BI70" i="2" s="1"/>
  <c r="BP70" i="2"/>
  <c r="BH102" i="2"/>
  <c r="BI102" i="2" s="1"/>
  <c r="BP102" i="2"/>
  <c r="AP132" i="2"/>
  <c r="AP323" i="2"/>
  <c r="AP299" i="2"/>
  <c r="AJ113" i="2"/>
  <c r="AK113" i="2" s="1"/>
  <c r="AV304" i="2"/>
  <c r="AW304" i="2" s="1"/>
  <c r="DL456" i="2"/>
  <c r="DB456" i="2" s="1"/>
  <c r="CG456" i="2"/>
  <c r="CQ456" i="2"/>
  <c r="DI456" i="2"/>
  <c r="CC456" i="2"/>
  <c r="CI456" i="2"/>
  <c r="DE456" i="2"/>
  <c r="CY456" i="2"/>
  <c r="DA456" i="2"/>
  <c r="DC456" i="2"/>
  <c r="CE456" i="2"/>
  <c r="CW456" i="2"/>
  <c r="CM456" i="2"/>
  <c r="CS456" i="2"/>
  <c r="DG456" i="2"/>
  <c r="CO456" i="2"/>
  <c r="CU456" i="2"/>
  <c r="CK456" i="2"/>
  <c r="DK456" i="2"/>
  <c r="AP117" i="2"/>
  <c r="AP303" i="2"/>
  <c r="AP309" i="2"/>
  <c r="AP313" i="2"/>
  <c r="AJ235" i="2"/>
  <c r="AK235" i="2" s="1"/>
  <c r="BH360" i="2"/>
  <c r="BI360" i="2" s="1"/>
  <c r="BP360" i="2"/>
  <c r="BH470" i="2"/>
  <c r="BI470" i="2" s="1"/>
  <c r="BP470" i="2"/>
  <c r="AJ276" i="2"/>
  <c r="AK276" i="2" s="1"/>
  <c r="AJ239" i="2"/>
  <c r="AK239" i="2" s="1"/>
  <c r="BH358" i="2"/>
  <c r="BI358" i="2" s="1"/>
  <c r="BP358" i="2"/>
  <c r="AP314" i="2"/>
  <c r="AJ469" i="2"/>
  <c r="AK469" i="2" s="1"/>
  <c r="AJ370" i="2"/>
  <c r="AK370" i="2" s="1"/>
  <c r="DM289" i="2"/>
  <c r="DB298" i="2"/>
  <c r="DC298" i="2" s="1"/>
  <c r="DM298" i="2"/>
  <c r="AP116" i="2"/>
  <c r="DL248" i="2"/>
  <c r="DK248" i="2"/>
  <c r="CG248" i="2"/>
  <c r="AP265" i="2"/>
  <c r="BH120" i="2"/>
  <c r="BI120" i="2" s="1"/>
  <c r="BP120" i="2"/>
  <c r="BH124" i="2"/>
  <c r="BI124" i="2" s="1"/>
  <c r="BP124" i="2"/>
  <c r="BP385" i="2"/>
  <c r="BH385" i="2"/>
  <c r="BI385" i="2" s="1"/>
  <c r="BH62" i="2"/>
  <c r="BI62" i="2" s="1"/>
  <c r="BP62" i="2"/>
  <c r="AP130" i="2"/>
  <c r="BH112" i="2"/>
  <c r="BI112" i="2" s="1"/>
  <c r="BP112" i="2"/>
  <c r="AP114" i="2"/>
  <c r="BH232" i="2"/>
  <c r="BI232" i="2" s="1"/>
  <c r="BP232" i="2"/>
  <c r="AP318" i="2"/>
  <c r="BH393" i="2"/>
  <c r="BI393" i="2" s="1"/>
  <c r="BP393" i="2"/>
  <c r="AJ207" i="2"/>
  <c r="AK207" i="2" s="1"/>
  <c r="AJ249" i="2"/>
  <c r="AK249" i="2" s="1"/>
  <c r="BH330" i="2"/>
  <c r="BI330" i="2" s="1"/>
  <c r="BP330" i="2"/>
  <c r="AP298" i="2"/>
  <c r="AJ258" i="2"/>
  <c r="AK258" i="2" s="1"/>
  <c r="AP361" i="2"/>
  <c r="BH327" i="2"/>
  <c r="BI327" i="2" s="1"/>
  <c r="BP327" i="2"/>
  <c r="AP293" i="2"/>
  <c r="BH367" i="2"/>
  <c r="BI367" i="2" s="1"/>
  <c r="BP367" i="2"/>
  <c r="AP282" i="2"/>
  <c r="AJ259" i="2"/>
  <c r="AK259" i="2" s="1"/>
  <c r="BH499" i="2"/>
  <c r="BI499" i="2" s="1"/>
  <c r="BP499" i="2"/>
  <c r="AJ256" i="2"/>
  <c r="AK256" i="2" s="1"/>
  <c r="AJ484" i="2"/>
  <c r="AK484" i="2" s="1"/>
  <c r="AJ373" i="2"/>
  <c r="AK373" i="2" s="1"/>
  <c r="DB422" i="2"/>
  <c r="DC422" i="2" s="1"/>
  <c r="DM422" i="2"/>
  <c r="DM237" i="2"/>
  <c r="DE294" i="2"/>
  <c r="BH192" i="2"/>
  <c r="BI192" i="2" s="1"/>
  <c r="BP192" i="2"/>
  <c r="BP489" i="2"/>
  <c r="BH489" i="2"/>
  <c r="BI489" i="2" s="1"/>
  <c r="BH122" i="2"/>
  <c r="BI122" i="2" s="1"/>
  <c r="BP122" i="2"/>
  <c r="BH177" i="2"/>
  <c r="BI177" i="2" s="1"/>
  <c r="BP177" i="2"/>
  <c r="BQ381" i="2"/>
  <c r="BH387" i="2"/>
  <c r="BI387" i="2" s="1"/>
  <c r="BP387" i="2"/>
  <c r="BH78" i="2"/>
  <c r="BI78" i="2" s="1"/>
  <c r="BP78" i="2"/>
  <c r="BH110" i="2"/>
  <c r="BI110" i="2" s="1"/>
  <c r="BP110" i="2"/>
  <c r="AP125" i="2"/>
  <c r="BH104" i="2"/>
  <c r="BI104" i="2" s="1"/>
  <c r="BP104" i="2"/>
  <c r="AP273" i="2"/>
  <c r="BH446" i="2"/>
  <c r="BI446" i="2" s="1"/>
  <c r="BP446" i="2"/>
  <c r="AP315" i="2"/>
  <c r="BH229" i="2"/>
  <c r="BI229" i="2" s="1"/>
  <c r="BP229" i="2"/>
  <c r="AP118" i="2"/>
  <c r="AJ272" i="2"/>
  <c r="AK272" i="2" s="1"/>
  <c r="AJ243" i="2"/>
  <c r="AK243" i="2" s="1"/>
  <c r="AJ280" i="2"/>
  <c r="AK280" i="2" s="1"/>
  <c r="AJ350" i="2"/>
  <c r="AK350" i="2" s="1"/>
  <c r="AJ366" i="2"/>
  <c r="AK366" i="2" s="1"/>
  <c r="AJ247" i="2"/>
  <c r="AK247" i="2" s="1"/>
  <c r="BH500" i="2"/>
  <c r="BI500" i="2" s="1"/>
  <c r="BP500" i="2"/>
  <c r="AP471" i="2"/>
  <c r="AJ423" i="2"/>
  <c r="AK423" i="2" s="1"/>
  <c r="DB28" i="2"/>
  <c r="DC28" i="2" s="1"/>
  <c r="DM28" i="2"/>
  <c r="DM140" i="2"/>
  <c r="BH195" i="2"/>
  <c r="BI195" i="2" s="1"/>
  <c r="BP195" i="2"/>
  <c r="AP277" i="2"/>
  <c r="BH153" i="2"/>
  <c r="BI153" i="2" s="1"/>
  <c r="BP153" i="2"/>
  <c r="BQ160" i="2"/>
  <c r="BH389" i="2"/>
  <c r="BI389" i="2" s="1"/>
  <c r="BP389" i="2"/>
  <c r="BH187" i="2"/>
  <c r="BI187" i="2" s="1"/>
  <c r="BP187" i="2"/>
  <c r="AV281" i="2"/>
  <c r="AW281" i="2" s="1"/>
  <c r="BH395" i="2"/>
  <c r="BI395" i="2" s="1"/>
  <c r="BP395" i="2"/>
  <c r="AP296" i="2"/>
  <c r="BQ376" i="2"/>
  <c r="BQ383" i="2"/>
  <c r="AP312" i="2"/>
  <c r="BH74" i="2"/>
  <c r="BI74" i="2" s="1"/>
  <c r="BP74" i="2"/>
  <c r="BH106" i="2"/>
  <c r="BI106" i="2" s="1"/>
  <c r="BP106" i="2"/>
  <c r="AP288" i="2"/>
  <c r="AJ476" i="2"/>
  <c r="AK476" i="2" s="1"/>
  <c r="AJ268" i="2"/>
  <c r="AK268" i="2" s="1"/>
  <c r="AP306" i="2"/>
  <c r="AJ257" i="2"/>
  <c r="AK257" i="2" s="1"/>
  <c r="AJ451" i="2"/>
  <c r="AK451" i="2" s="1"/>
  <c r="AJ234" i="2"/>
  <c r="AK234" i="2" s="1"/>
  <c r="AV461" i="2"/>
  <c r="AW461" i="2" s="1"/>
  <c r="AJ238" i="2"/>
  <c r="AK238" i="2" s="1"/>
  <c r="AJ496" i="2"/>
  <c r="AK496" i="2" s="1"/>
  <c r="AJ492" i="2"/>
  <c r="AK492" i="2" s="1"/>
  <c r="DB35" i="2"/>
  <c r="DC35" i="2" s="1"/>
  <c r="DM35" i="2"/>
  <c r="DB82" i="2"/>
  <c r="DC82" i="2" s="1"/>
  <c r="DM82" i="2"/>
  <c r="DB58" i="2"/>
  <c r="DC58" i="2" s="1"/>
  <c r="DM58" i="2"/>
  <c r="DB313" i="2"/>
  <c r="DC313" i="2" s="1"/>
  <c r="DM313" i="2"/>
  <c r="DM430" i="2"/>
  <c r="DL306" i="2"/>
  <c r="CM306" i="2"/>
  <c r="CW306" i="2"/>
  <c r="CG306" i="2"/>
  <c r="CY306" i="2"/>
  <c r="AP115" i="2"/>
  <c r="BH186" i="2"/>
  <c r="BI186" i="2" s="1"/>
  <c r="BP186" i="2"/>
  <c r="BH181" i="2"/>
  <c r="BI181" i="2" s="1"/>
  <c r="BP181" i="2"/>
  <c r="BH384" i="2"/>
  <c r="BI384" i="2" s="1"/>
  <c r="BP384" i="2"/>
  <c r="DL77" i="2"/>
  <c r="CQ77" i="2"/>
  <c r="CE77" i="2"/>
  <c r="BH172" i="2"/>
  <c r="BI172" i="2" s="1"/>
  <c r="BP172" i="2"/>
  <c r="DL307" i="2"/>
  <c r="CO307" i="2"/>
  <c r="CU307" i="2"/>
  <c r="CY307" i="2"/>
  <c r="CQ307" i="2"/>
  <c r="DE307" i="2"/>
  <c r="CI307" i="2"/>
  <c r="DA307" i="2"/>
  <c r="DK307" i="2"/>
  <c r="CW307" i="2"/>
  <c r="CS307" i="2"/>
  <c r="AV487" i="2"/>
  <c r="AW487" i="2" s="1"/>
  <c r="BH86" i="2"/>
  <c r="BI86" i="2" s="1"/>
  <c r="BP86" i="2"/>
  <c r="BH216" i="2"/>
  <c r="BI216" i="2" s="1"/>
  <c r="BP216" i="2"/>
  <c r="AP126" i="2"/>
  <c r="AV321" i="2"/>
  <c r="AW321" i="2" s="1"/>
  <c r="BH134" i="2"/>
  <c r="BI134" i="2" s="1"/>
  <c r="BP134" i="2"/>
  <c r="BH221" i="2"/>
  <c r="BI221" i="2" s="1"/>
  <c r="BP221" i="2"/>
  <c r="BH48" i="2"/>
  <c r="BI48" i="2" s="1"/>
  <c r="BP48" i="2"/>
  <c r="AP319" i="2"/>
  <c r="BH217" i="2"/>
  <c r="BI217" i="2" s="1"/>
  <c r="BP217" i="2"/>
  <c r="AP305" i="2"/>
  <c r="DL212" i="2"/>
  <c r="CO212" i="2"/>
  <c r="CC212" i="2"/>
  <c r="DM116" i="2"/>
  <c r="AJ133" i="2"/>
  <c r="AK133" i="2" s="1"/>
  <c r="AP308" i="2"/>
  <c r="AP286" i="2"/>
  <c r="AJ251" i="2"/>
  <c r="AK251" i="2" s="1"/>
  <c r="BH351" i="2"/>
  <c r="BI351" i="2" s="1"/>
  <c r="BP351" i="2"/>
  <c r="BH466" i="2"/>
  <c r="BI466" i="2" s="1"/>
  <c r="BP466" i="2"/>
  <c r="DM323" i="2"/>
  <c r="DB323" i="2"/>
  <c r="DC323" i="2" s="1"/>
  <c r="BH270" i="2"/>
  <c r="BI270" i="2" s="1"/>
  <c r="BP270" i="2"/>
  <c r="AP301" i="2"/>
  <c r="AP285" i="2"/>
  <c r="AJ255" i="2"/>
  <c r="AK255" i="2" s="1"/>
  <c r="AJ465" i="2"/>
  <c r="AK465" i="2" s="1"/>
  <c r="AJ493" i="2"/>
  <c r="AK493" i="2" s="1"/>
  <c r="AP402" i="2"/>
  <c r="CX7" i="2"/>
  <c r="DL7" i="2" s="1"/>
  <c r="DB7" i="2" s="1"/>
  <c r="DC7" i="2" s="1"/>
  <c r="CX4" i="2"/>
  <c r="DL4" i="2" s="1"/>
  <c r="DB4" i="2" s="1"/>
  <c r="DA25" i="2"/>
  <c r="DL25" i="2"/>
  <c r="DB25" i="2" s="1"/>
  <c r="DC25" i="2" s="1"/>
  <c r="CG189" i="2"/>
  <c r="CY30" i="2"/>
  <c r="CK189" i="2"/>
  <c r="CO189" i="2"/>
  <c r="DG30" i="2"/>
  <c r="DA189" i="2"/>
  <c r="DA180" i="2"/>
  <c r="CK30" i="2"/>
  <c r="CQ304" i="2"/>
  <c r="CC337" i="2"/>
  <c r="DL337" i="2"/>
  <c r="CW189" i="2"/>
  <c r="DE189" i="2"/>
  <c r="DI189" i="2"/>
  <c r="DM189" i="2"/>
  <c r="CE189" i="2"/>
  <c r="CU279" i="2"/>
  <c r="DL279" i="2"/>
  <c r="CI189" i="2"/>
  <c r="CM189" i="2"/>
  <c r="CI394" i="2"/>
  <c r="DL394" i="2"/>
  <c r="CQ189" i="2"/>
  <c r="CQ180" i="2"/>
  <c r="DA304" i="2"/>
  <c r="CS304" i="2"/>
  <c r="CC30" i="2"/>
  <c r="CU189" i="2"/>
  <c r="CY14" i="2"/>
  <c r="CY189" i="2"/>
  <c r="DC189" i="2"/>
  <c r="CX24" i="2"/>
  <c r="DL24" i="2" s="1"/>
  <c r="DB24" i="2" s="1"/>
  <c r="DC24" i="2" s="1"/>
  <c r="DG189" i="2"/>
  <c r="DG180" i="2"/>
  <c r="CI30" i="2"/>
  <c r="DK189" i="2"/>
  <c r="DK180" i="2"/>
  <c r="DK304" i="2"/>
  <c r="CM30" i="2"/>
  <c r="DI22" i="2"/>
  <c r="DL22" i="2"/>
  <c r="DB22" i="2" s="1"/>
  <c r="CX8" i="2"/>
  <c r="DL8" i="2" s="1"/>
  <c r="DB8" i="2" s="1"/>
  <c r="DC8" i="2" s="1"/>
  <c r="DE20" i="2"/>
  <c r="DL20" i="2"/>
  <c r="DB20" i="2" s="1"/>
  <c r="DC20" i="2" s="1"/>
  <c r="CC189" i="2"/>
  <c r="CX5" i="2"/>
  <c r="CI5" i="2" s="1"/>
  <c r="DM455" i="2"/>
  <c r="DI455" i="2"/>
  <c r="DE455" i="2"/>
  <c r="DG455" i="2"/>
  <c r="DA455" i="2"/>
  <c r="CW455" i="2"/>
  <c r="CS455" i="2"/>
  <c r="CO455" i="2"/>
  <c r="CG455" i="2"/>
  <c r="CK455" i="2"/>
  <c r="CE455" i="2"/>
  <c r="CC455" i="2"/>
  <c r="DB455" i="2"/>
  <c r="DC455" i="2" s="1"/>
  <c r="CM455" i="2"/>
  <c r="DK455" i="2"/>
  <c r="CI455" i="2"/>
  <c r="CQ455" i="2"/>
  <c r="CY455" i="2"/>
  <c r="CU455" i="2"/>
  <c r="CE227" i="2"/>
  <c r="DM227" i="2"/>
  <c r="DI227" i="2"/>
  <c r="DE227" i="2"/>
  <c r="DA227" i="2"/>
  <c r="CW227" i="2"/>
  <c r="CS227" i="2"/>
  <c r="CO227" i="2"/>
  <c r="CK227" i="2"/>
  <c r="CG227" i="2"/>
  <c r="CC227" i="2"/>
  <c r="DB227" i="2"/>
  <c r="DC227" i="2" s="1"/>
  <c r="DK227" i="2"/>
  <c r="DG227" i="2"/>
  <c r="CY227" i="2"/>
  <c r="CQ227" i="2"/>
  <c r="CM227" i="2"/>
  <c r="CU227" i="2"/>
  <c r="CI227" i="2"/>
  <c r="CU420" i="2"/>
  <c r="CQ420" i="2"/>
  <c r="CW420" i="2"/>
  <c r="DE420" i="2"/>
  <c r="CK420" i="2"/>
  <c r="CS420" i="2"/>
  <c r="DM420" i="2"/>
  <c r="DB420" i="2"/>
  <c r="DC420" i="2" s="1"/>
  <c r="DG420" i="2"/>
  <c r="DK420" i="2"/>
  <c r="CY420" i="2"/>
  <c r="CM420" i="2"/>
  <c r="CI420" i="2"/>
  <c r="CE420" i="2"/>
  <c r="CO420" i="2"/>
  <c r="CC420" i="2"/>
  <c r="DI420" i="2"/>
  <c r="DA420" i="2"/>
  <c r="CG420" i="2"/>
  <c r="CG394" i="2"/>
  <c r="CX17" i="2"/>
  <c r="DI17" i="2" s="1"/>
  <c r="CX10" i="2"/>
  <c r="CW10" i="2" s="1"/>
  <c r="CU25" i="2"/>
  <c r="CO394" i="2"/>
  <c r="CK75" i="2"/>
  <c r="DE75" i="2"/>
  <c r="CG75" i="2"/>
  <c r="DB75" i="2"/>
  <c r="DC75" i="2" s="1"/>
  <c r="CS75" i="2"/>
  <c r="DK75" i="2"/>
  <c r="DA75" i="2"/>
  <c r="DG75" i="2"/>
  <c r="CW75" i="2"/>
  <c r="DI75" i="2"/>
  <c r="DM75" i="2"/>
  <c r="CY75" i="2"/>
  <c r="CU75" i="2"/>
  <c r="CQ75" i="2"/>
  <c r="CM75" i="2"/>
  <c r="CI75" i="2"/>
  <c r="CC75" i="2"/>
  <c r="CE75" i="2"/>
  <c r="CO75" i="2"/>
  <c r="CE25" i="2"/>
  <c r="CS394" i="2"/>
  <c r="CC91" i="2"/>
  <c r="CO91" i="2"/>
  <c r="CK91" i="2"/>
  <c r="CG91" i="2"/>
  <c r="DE91" i="2"/>
  <c r="CS91" i="2"/>
  <c r="DA91" i="2"/>
  <c r="DI91" i="2"/>
  <c r="DB91" i="2"/>
  <c r="DC91" i="2" s="1"/>
  <c r="DK91" i="2"/>
  <c r="DG91" i="2"/>
  <c r="CY91" i="2"/>
  <c r="CU91" i="2"/>
  <c r="CQ91" i="2"/>
  <c r="CI91" i="2"/>
  <c r="DM91" i="2"/>
  <c r="CE91" i="2"/>
  <c r="CM91" i="2"/>
  <c r="CW91" i="2"/>
  <c r="CO25" i="2"/>
  <c r="DM377" i="2"/>
  <c r="DI377" i="2"/>
  <c r="CC377" i="2"/>
  <c r="CY377" i="2"/>
  <c r="CU377" i="2"/>
  <c r="CQ377" i="2"/>
  <c r="CM377" i="2"/>
  <c r="CI377" i="2"/>
  <c r="CE377" i="2"/>
  <c r="DE377" i="2"/>
  <c r="DA377" i="2"/>
  <c r="CW377" i="2"/>
  <c r="CS377" i="2"/>
  <c r="CO377" i="2"/>
  <c r="DG377" i="2"/>
  <c r="CK377" i="2"/>
  <c r="CG377" i="2"/>
  <c r="DB377" i="2"/>
  <c r="DC377" i="2" s="1"/>
  <c r="DK377" i="2"/>
  <c r="DE25" i="2"/>
  <c r="CQ71" i="2"/>
  <c r="CM71" i="2"/>
  <c r="CI71" i="2"/>
  <c r="CG71" i="2"/>
  <c r="CE71" i="2"/>
  <c r="CS71" i="2"/>
  <c r="DM71" i="2"/>
  <c r="DA71" i="2"/>
  <c r="DI71" i="2"/>
  <c r="CW71" i="2"/>
  <c r="CC71" i="2"/>
  <c r="CO71" i="2"/>
  <c r="CK71" i="2"/>
  <c r="DB71" i="2"/>
  <c r="DC71" i="2" s="1"/>
  <c r="DE71" i="2"/>
  <c r="DK71" i="2"/>
  <c r="CY71" i="2"/>
  <c r="CU71" i="2"/>
  <c r="DG71" i="2"/>
  <c r="CI63" i="2"/>
  <c r="CW63" i="2"/>
  <c r="CG63" i="2"/>
  <c r="CE63" i="2"/>
  <c r="CS63" i="2"/>
  <c r="DM63" i="2"/>
  <c r="DA63" i="2"/>
  <c r="DI63" i="2"/>
  <c r="CK63" i="2"/>
  <c r="DE63" i="2"/>
  <c r="CC63" i="2"/>
  <c r="CO63" i="2"/>
  <c r="DB63" i="2"/>
  <c r="DC63" i="2" s="1"/>
  <c r="DK63" i="2"/>
  <c r="DG63" i="2"/>
  <c r="CU63" i="2"/>
  <c r="CQ63" i="2"/>
  <c r="CY63" i="2"/>
  <c r="CM63" i="2"/>
  <c r="DK87" i="2"/>
  <c r="DM87" i="2"/>
  <c r="DG87" i="2"/>
  <c r="CC87" i="2"/>
  <c r="DC87" i="2"/>
  <c r="CO87" i="2"/>
  <c r="CY87" i="2"/>
  <c r="CU87" i="2"/>
  <c r="CQ87" i="2"/>
  <c r="CM87" i="2"/>
  <c r="CI87" i="2"/>
  <c r="CE87" i="2"/>
  <c r="CK87" i="2"/>
  <c r="CG87" i="2"/>
  <c r="DE87" i="2"/>
  <c r="CS87" i="2"/>
  <c r="DA87" i="2"/>
  <c r="DI87" i="2"/>
  <c r="DB87" i="2"/>
  <c r="CW87" i="2"/>
  <c r="CE394" i="2"/>
  <c r="CC95" i="2"/>
  <c r="DB95" i="2"/>
  <c r="DC95" i="2" s="1"/>
  <c r="CO95" i="2"/>
  <c r="DK95" i="2"/>
  <c r="DG95" i="2"/>
  <c r="CY95" i="2"/>
  <c r="CU95" i="2"/>
  <c r="CW95" i="2"/>
  <c r="CQ95" i="2"/>
  <c r="CM95" i="2"/>
  <c r="CI95" i="2"/>
  <c r="CE95" i="2"/>
  <c r="DM95" i="2"/>
  <c r="CG95" i="2"/>
  <c r="CS95" i="2"/>
  <c r="DI95" i="2"/>
  <c r="CK95" i="2"/>
  <c r="DA95" i="2"/>
  <c r="DE95" i="2"/>
  <c r="CU310" i="2"/>
  <c r="DG310" i="2"/>
  <c r="DM310" i="2"/>
  <c r="DI310" i="2"/>
  <c r="DE310" i="2"/>
  <c r="DA310" i="2"/>
  <c r="CS310" i="2"/>
  <c r="CO310" i="2"/>
  <c r="CC310" i="2"/>
  <c r="CG310" i="2"/>
  <c r="DB310" i="2"/>
  <c r="DC310" i="2"/>
  <c r="CM310" i="2"/>
  <c r="CY310" i="2"/>
  <c r="CQ310" i="2"/>
  <c r="CE310" i="2"/>
  <c r="CW310" i="2"/>
  <c r="CK310" i="2"/>
  <c r="CX9" i="2"/>
  <c r="CY9" i="2" s="1"/>
  <c r="CX6" i="2"/>
  <c r="CX19" i="2"/>
  <c r="CO19" i="2" s="1"/>
  <c r="CX12" i="2"/>
  <c r="DG12" i="2" s="1"/>
  <c r="X10" i="2"/>
  <c r="Y10" i="2" s="1"/>
  <c r="DB475" i="2"/>
  <c r="DE475" i="2"/>
  <c r="DA475" i="2"/>
  <c r="CW475" i="2"/>
  <c r="CS475" i="2"/>
  <c r="CO475" i="2"/>
  <c r="CK475" i="2"/>
  <c r="DI475" i="2"/>
  <c r="CI475" i="2"/>
  <c r="CE475" i="2"/>
  <c r="DM475" i="2"/>
  <c r="CU475" i="2"/>
  <c r="CC475" i="2"/>
  <c r="DK475" i="2"/>
  <c r="CY475" i="2"/>
  <c r="CG475" i="2"/>
  <c r="DC475" i="2"/>
  <c r="DG475" i="2"/>
  <c r="CM475" i="2"/>
  <c r="CQ475" i="2"/>
  <c r="DB441" i="2"/>
  <c r="DC441" i="2" s="1"/>
  <c r="DK441" i="2"/>
  <c r="DG441" i="2"/>
  <c r="CY441" i="2"/>
  <c r="CU441" i="2"/>
  <c r="CQ441" i="2"/>
  <c r="CM441" i="2"/>
  <c r="CI441" i="2"/>
  <c r="CE441" i="2"/>
  <c r="DA441" i="2"/>
  <c r="CK441" i="2"/>
  <c r="DM441" i="2"/>
  <c r="DE441" i="2"/>
  <c r="CO441" i="2"/>
  <c r="CC441" i="2"/>
  <c r="CS441" i="2"/>
  <c r="CG441" i="2"/>
  <c r="DI441" i="2"/>
  <c r="CW441" i="2"/>
  <c r="DE23" i="2"/>
  <c r="CI23" i="2"/>
  <c r="DI23" i="2"/>
  <c r="CQ22" i="2"/>
  <c r="CX18" i="2"/>
  <c r="DH3" i="2"/>
  <c r="CM20" i="2"/>
  <c r="CX15" i="2"/>
  <c r="CG22" i="2"/>
  <c r="CK22" i="2"/>
  <c r="CM22" i="2"/>
  <c r="DM22" i="2"/>
  <c r="DA16" i="2"/>
  <c r="DI8" i="2"/>
  <c r="CE8" i="2"/>
  <c r="CY25" i="2"/>
  <c r="CS25" i="2"/>
  <c r="CM25" i="2"/>
  <c r="DG25" i="2"/>
  <c r="CG25" i="2"/>
  <c r="CW25" i="2"/>
  <c r="CS23" i="2"/>
  <c r="DC22" i="2"/>
  <c r="CW22" i="2"/>
  <c r="DE16" i="2"/>
  <c r="DI20" i="2"/>
  <c r="CI25" i="2"/>
  <c r="CC25" i="2"/>
  <c r="CO16" i="2"/>
  <c r="DI25" i="2"/>
  <c r="CQ25" i="2"/>
  <c r="DK25" i="2"/>
  <c r="CK25" i="2"/>
  <c r="DG22" i="2"/>
  <c r="DA22" i="2"/>
  <c r="DG16" i="2"/>
  <c r="CC16" i="2"/>
  <c r="CS16" i="2"/>
  <c r="CY23" i="2"/>
  <c r="CE22" i="2"/>
  <c r="CU22" i="2"/>
  <c r="DK22" i="2"/>
  <c r="CO22" i="2"/>
  <c r="DE22" i="2"/>
  <c r="CQ16" i="2"/>
  <c r="CU16" i="2"/>
  <c r="CW16" i="2"/>
  <c r="DM16" i="2"/>
  <c r="CC20" i="2"/>
  <c r="CC23" i="2"/>
  <c r="CI22" i="2"/>
  <c r="CY22" i="2"/>
  <c r="CC22" i="2"/>
  <c r="CS22" i="2"/>
  <c r="CY16" i="2"/>
  <c r="CS20" i="2"/>
  <c r="DG23" i="2"/>
  <c r="CW23" i="2"/>
  <c r="CQ23" i="2"/>
  <c r="DK23" i="2"/>
  <c r="CK23" i="2"/>
  <c r="DA23" i="2"/>
  <c r="CE20" i="2"/>
  <c r="CU20" i="2"/>
  <c r="DK20" i="2"/>
  <c r="CK20" i="2"/>
  <c r="DA20" i="2"/>
  <c r="CM23" i="2"/>
  <c r="CG23" i="2"/>
  <c r="CQ20" i="2"/>
  <c r="DG20" i="2"/>
  <c r="CG20" i="2"/>
  <c r="CW20" i="2"/>
  <c r="CE23" i="2"/>
  <c r="CU23" i="2"/>
  <c r="DB23" i="2"/>
  <c r="DC23" i="2" s="1"/>
  <c r="CO23" i="2"/>
  <c r="CI20" i="2"/>
  <c r="CY20" i="2"/>
  <c r="CO20" i="2"/>
  <c r="DK16" i="2"/>
  <c r="AJ14" i="2"/>
  <c r="AK14" i="2" s="1"/>
  <c r="AJ13" i="2"/>
  <c r="AK13" i="2" s="1"/>
  <c r="AJ7" i="2"/>
  <c r="AK7" i="2" s="1"/>
  <c r="DK11" i="2"/>
  <c r="DG11" i="2"/>
  <c r="CY11" i="2"/>
  <c r="CU11" i="2"/>
  <c r="CQ11" i="2"/>
  <c r="CM11" i="2"/>
  <c r="CI11" i="2"/>
  <c r="CE11" i="2"/>
  <c r="DI11" i="2"/>
  <c r="DE11" i="2"/>
  <c r="DA11" i="2"/>
  <c r="CW11" i="2"/>
  <c r="CS11" i="2"/>
  <c r="CO11" i="2"/>
  <c r="CK11" i="2"/>
  <c r="CG11" i="2"/>
  <c r="CC11" i="2"/>
  <c r="DB11" i="2"/>
  <c r="DC11" i="2" s="1"/>
  <c r="AJ11" i="2"/>
  <c r="AK11" i="2" s="1"/>
  <c r="BH23" i="2"/>
  <c r="BH25" i="2"/>
  <c r="BH9" i="2"/>
  <c r="AJ5" i="2"/>
  <c r="AK5" i="2" s="1"/>
  <c r="BH17" i="2"/>
  <c r="BI17" i="2" s="1"/>
  <c r="CI4" i="2"/>
  <c r="DI21" i="2"/>
  <c r="DE21" i="2"/>
  <c r="DA21" i="2"/>
  <c r="CW21" i="2"/>
  <c r="CS21" i="2"/>
  <c r="CO21" i="2"/>
  <c r="CK21" i="2"/>
  <c r="CG21" i="2"/>
  <c r="CC21" i="2"/>
  <c r="DB21" i="2"/>
  <c r="DC21" i="2" s="1"/>
  <c r="DG21" i="2"/>
  <c r="DK21" i="2"/>
  <c r="CU21" i="2"/>
  <c r="CQ21" i="2"/>
  <c r="CM21" i="2"/>
  <c r="CI21" i="2"/>
  <c r="CE21" i="2"/>
  <c r="CY21" i="2"/>
  <c r="BH20" i="2"/>
  <c r="CC5" i="2"/>
  <c r="AJ4" i="2"/>
  <c r="CJ3" i="2"/>
  <c r="CT3" i="2"/>
  <c r="DM55" i="2" l="1"/>
  <c r="DE13" i="2"/>
  <c r="DM25" i="2"/>
  <c r="DB72" i="2"/>
  <c r="DC72" i="2" s="1"/>
  <c r="DM72" i="2"/>
  <c r="DG13" i="2"/>
  <c r="DI4" i="2"/>
  <c r="CW8" i="2"/>
  <c r="CY8" i="2"/>
  <c r="AP463" i="2"/>
  <c r="AP302" i="2"/>
  <c r="BH212" i="2"/>
  <c r="BI212" i="2" s="1"/>
  <c r="AV261" i="2"/>
  <c r="AW261" i="2" s="1"/>
  <c r="DK5" i="2"/>
  <c r="CU8" i="2"/>
  <c r="AP448" i="2"/>
  <c r="CM4" i="2"/>
  <c r="CK8" i="2"/>
  <c r="CI8" i="2"/>
  <c r="CM8" i="2"/>
  <c r="AW383" i="2"/>
  <c r="BH383" i="2"/>
  <c r="BI383" i="2" s="1"/>
  <c r="CU5" i="2"/>
  <c r="CS8" i="2"/>
  <c r="CO8" i="2"/>
  <c r="AV202" i="2"/>
  <c r="CW13" i="2"/>
  <c r="CU13" i="2"/>
  <c r="CC13" i="2"/>
  <c r="CM13" i="2"/>
  <c r="CC14" i="2"/>
  <c r="CW14" i="2"/>
  <c r="DA13" i="2"/>
  <c r="CY13" i="2"/>
  <c r="AK398" i="2"/>
  <c r="AP398" i="2"/>
  <c r="DI13" i="2"/>
  <c r="CG13" i="2"/>
  <c r="CE13" i="2"/>
  <c r="CK13" i="2"/>
  <c r="CI13" i="2"/>
  <c r="AK275" i="2"/>
  <c r="AP275" i="2"/>
  <c r="CO13" i="2"/>
  <c r="AP291" i="2"/>
  <c r="DK13" i="2"/>
  <c r="DK14" i="2"/>
  <c r="CS13" i="2"/>
  <c r="CQ13" i="2"/>
  <c r="DM442" i="2"/>
  <c r="DB259" i="2"/>
  <c r="DC259" i="2" s="1"/>
  <c r="DM259" i="2"/>
  <c r="AP364" i="2"/>
  <c r="AK364" i="2"/>
  <c r="DB399" i="2"/>
  <c r="DC399" i="2" s="1"/>
  <c r="DM399" i="2"/>
  <c r="DA7" i="2"/>
  <c r="AQ20" i="2"/>
  <c r="DB415" i="2"/>
  <c r="DC415" i="2" s="1"/>
  <c r="DM415" i="2"/>
  <c r="DM125" i="2"/>
  <c r="DB244" i="2"/>
  <c r="DC244" i="2" s="1"/>
  <c r="DM244" i="2"/>
  <c r="AK20" i="2"/>
  <c r="DM32" i="2"/>
  <c r="CQ7" i="2"/>
  <c r="DB135" i="2"/>
  <c r="DC135" i="2" s="1"/>
  <c r="DM135" i="2"/>
  <c r="DM443" i="2"/>
  <c r="DM292" i="2"/>
  <c r="AJ6" i="2"/>
  <c r="AK6" i="2" s="1"/>
  <c r="AK271" i="2"/>
  <c r="AP271" i="2"/>
  <c r="BH24" i="2"/>
  <c r="DE14" i="2"/>
  <c r="CM7" i="2"/>
  <c r="AJ12" i="2"/>
  <c r="AK12" i="2" s="1"/>
  <c r="DI14" i="2"/>
  <c r="CO14" i="2"/>
  <c r="CU14" i="2"/>
  <c r="CS14" i="2"/>
  <c r="CQ14" i="2"/>
  <c r="CG14" i="2"/>
  <c r="DL14" i="2"/>
  <c r="AK340" i="2"/>
  <c r="AP340" i="2"/>
  <c r="DA14" i="2"/>
  <c r="CQ4" i="2"/>
  <c r="CK14" i="2"/>
  <c r="CM14" i="2"/>
  <c r="DG14" i="2"/>
  <c r="CK9" i="2"/>
  <c r="CI14" i="2"/>
  <c r="DK4" i="2"/>
  <c r="DI7" i="2"/>
  <c r="CU7" i="2"/>
  <c r="DK7" i="2"/>
  <c r="CG5" i="2"/>
  <c r="CK16" i="2"/>
  <c r="CG16" i="2"/>
  <c r="CE16" i="2"/>
  <c r="DG7" i="2"/>
  <c r="DA8" i="2"/>
  <c r="CW7" i="2"/>
  <c r="CY7" i="2"/>
  <c r="AQ305" i="2"/>
  <c r="AQ288" i="2"/>
  <c r="AQ114" i="2"/>
  <c r="AQ299" i="2"/>
  <c r="AQ322" i="2"/>
  <c r="AQ294" i="2"/>
  <c r="AQ307" i="2"/>
  <c r="AP436" i="2"/>
  <c r="AK436" i="2"/>
  <c r="AP414" i="2"/>
  <c r="AK414" i="2"/>
  <c r="AP43" i="2"/>
  <c r="AK43" i="2"/>
  <c r="AK155" i="2"/>
  <c r="AP155" i="2"/>
  <c r="AP227" i="2"/>
  <c r="AK227" i="2"/>
  <c r="AP111" i="2"/>
  <c r="AK111" i="2"/>
  <c r="AP197" i="2"/>
  <c r="AK197" i="2"/>
  <c r="AP442" i="2"/>
  <c r="AK442" i="2"/>
  <c r="AP428" i="2"/>
  <c r="AK428" i="2"/>
  <c r="AP194" i="2"/>
  <c r="AK194" i="2"/>
  <c r="AP101" i="2"/>
  <c r="AK101" i="2"/>
  <c r="AQ396" i="2"/>
  <c r="AV396" i="2"/>
  <c r="AP491" i="2"/>
  <c r="AK491" i="2"/>
  <c r="AP224" i="2"/>
  <c r="AK224" i="2"/>
  <c r="AP63" i="2"/>
  <c r="AK63" i="2"/>
  <c r="AP244" i="2"/>
  <c r="AK244" i="2"/>
  <c r="AP204" i="2"/>
  <c r="AK204" i="2"/>
  <c r="AP61" i="2"/>
  <c r="AK61" i="2"/>
  <c r="AQ76" i="2"/>
  <c r="AV76" i="2"/>
  <c r="AP83" i="2"/>
  <c r="AK83" i="2"/>
  <c r="AQ401" i="2"/>
  <c r="AV401" i="2"/>
  <c r="AP341" i="2"/>
  <c r="AK341" i="2"/>
  <c r="AP377" i="2"/>
  <c r="AK377" i="2"/>
  <c r="AP454" i="2"/>
  <c r="AK454" i="2"/>
  <c r="AP267" i="2"/>
  <c r="AK267" i="2"/>
  <c r="AP53" i="2"/>
  <c r="AK53" i="2"/>
  <c r="AP49" i="2"/>
  <c r="AK49" i="2"/>
  <c r="AQ130" i="2"/>
  <c r="AQ116" i="2"/>
  <c r="AQ295" i="2"/>
  <c r="AQ297" i="2"/>
  <c r="AQ283" i="2"/>
  <c r="AK458" i="2"/>
  <c r="AP458" i="2"/>
  <c r="AQ199" i="2"/>
  <c r="AV199" i="2"/>
  <c r="AP55" i="2"/>
  <c r="AK55" i="2"/>
  <c r="AQ68" i="2"/>
  <c r="AV68" i="2"/>
  <c r="AQ96" i="2"/>
  <c r="AV96" i="2"/>
  <c r="AQ200" i="2"/>
  <c r="AV200" i="2"/>
  <c r="AP432" i="2"/>
  <c r="AK432" i="2"/>
  <c r="AP193" i="2"/>
  <c r="AK193" i="2"/>
  <c r="AP324" i="2"/>
  <c r="AK324" i="2"/>
  <c r="AP406" i="2"/>
  <c r="AK406" i="2"/>
  <c r="AP404" i="2"/>
  <c r="AK404" i="2"/>
  <c r="AP481" i="2"/>
  <c r="AK481" i="2"/>
  <c r="AP67" i="2"/>
  <c r="AK67" i="2"/>
  <c r="AP421" i="2"/>
  <c r="AK421" i="2"/>
  <c r="AQ88" i="2"/>
  <c r="AV88" i="2"/>
  <c r="AP157" i="2"/>
  <c r="AK157" i="2"/>
  <c r="AP103" i="2"/>
  <c r="AK103" i="2"/>
  <c r="AP223" i="2"/>
  <c r="AK223" i="2"/>
  <c r="AP97" i="2"/>
  <c r="AK97" i="2"/>
  <c r="AP45" i="2"/>
  <c r="AK45" i="2"/>
  <c r="AP91" i="2"/>
  <c r="AK91" i="2"/>
  <c r="AP262" i="2"/>
  <c r="AK262" i="2"/>
  <c r="AP209" i="2"/>
  <c r="AK209" i="2"/>
  <c r="AP30" i="2"/>
  <c r="AK30" i="2"/>
  <c r="AP390" i="2"/>
  <c r="AK390" i="2"/>
  <c r="AP93" i="2"/>
  <c r="AK93" i="2"/>
  <c r="AP159" i="2"/>
  <c r="AK159" i="2"/>
  <c r="AP89" i="2"/>
  <c r="AK89" i="2"/>
  <c r="AP44" i="2"/>
  <c r="AK44" i="2"/>
  <c r="AP225" i="2"/>
  <c r="AK225" i="2"/>
  <c r="AP403" i="2"/>
  <c r="AK403" i="2"/>
  <c r="AP419" i="2"/>
  <c r="AK419" i="2"/>
  <c r="AQ72" i="2"/>
  <c r="AV72" i="2"/>
  <c r="AP146" i="2"/>
  <c r="AK146" i="2"/>
  <c r="AP222" i="2"/>
  <c r="AK222" i="2"/>
  <c r="AP486" i="2"/>
  <c r="AK486" i="2"/>
  <c r="AQ282" i="2"/>
  <c r="DE7" i="2"/>
  <c r="CC10" i="2"/>
  <c r="CC7" i="2"/>
  <c r="AQ402" i="2"/>
  <c r="AQ125" i="2"/>
  <c r="AQ293" i="2"/>
  <c r="DM456" i="2"/>
  <c r="BP480" i="2"/>
  <c r="AQ290" i="2"/>
  <c r="AQ263" i="2"/>
  <c r="AP338" i="2"/>
  <c r="AK338" i="2"/>
  <c r="AQ228" i="2"/>
  <c r="AV228" i="2"/>
  <c r="AP107" i="2"/>
  <c r="AK107" i="2"/>
  <c r="AP429" i="2"/>
  <c r="AK429" i="2"/>
  <c r="AQ98" i="2"/>
  <c r="AV98" i="2"/>
  <c r="AP79" i="2"/>
  <c r="AK79" i="2"/>
  <c r="AQ148" i="2"/>
  <c r="AV148" i="2"/>
  <c r="AP369" i="2"/>
  <c r="AK369" i="2"/>
  <c r="AQ167" i="2"/>
  <c r="AV167" i="2"/>
  <c r="AP394" i="2"/>
  <c r="AK394" i="2"/>
  <c r="AP69" i="2"/>
  <c r="AK69" i="2"/>
  <c r="AQ189" i="2"/>
  <c r="AV189" i="2"/>
  <c r="AP473" i="2"/>
  <c r="AK473" i="2"/>
  <c r="AP218" i="2"/>
  <c r="AK218" i="2"/>
  <c r="AQ201" i="2"/>
  <c r="AV201" i="2"/>
  <c r="AQ26" i="2"/>
  <c r="AV26" i="2"/>
  <c r="AP206" i="2"/>
  <c r="AK206" i="2"/>
  <c r="AP233" i="2"/>
  <c r="AK233" i="2"/>
  <c r="AP479" i="2"/>
  <c r="AK479" i="2"/>
  <c r="AK459" i="2"/>
  <c r="AP459" i="2"/>
  <c r="AP490" i="2"/>
  <c r="AK490" i="2"/>
  <c r="AP178" i="2"/>
  <c r="AK178" i="2"/>
  <c r="AP425" i="2"/>
  <c r="AK425" i="2"/>
  <c r="AQ226" i="2"/>
  <c r="AV226" i="2"/>
  <c r="AP237" i="2"/>
  <c r="AK237" i="2"/>
  <c r="AJ16" i="2"/>
  <c r="Y16" i="2"/>
  <c r="AQ184" i="2"/>
  <c r="AV184" i="2"/>
  <c r="AP57" i="2"/>
  <c r="AK57" i="2"/>
  <c r="AP311" i="2"/>
  <c r="AK311" i="2"/>
  <c r="AP85" i="2"/>
  <c r="AK85" i="2"/>
  <c r="BQ9" i="2"/>
  <c r="BI9" i="2"/>
  <c r="AQ126" i="2"/>
  <c r="AQ115" i="2"/>
  <c r="BQ20" i="2"/>
  <c r="BI20" i="2"/>
  <c r="CE7" i="2"/>
  <c r="AQ319" i="2"/>
  <c r="AQ471" i="2"/>
  <c r="AQ361" i="2"/>
  <c r="BP9" i="2"/>
  <c r="AW9" i="2"/>
  <c r="BH480" i="2"/>
  <c r="BI480" i="2" s="1"/>
  <c r="AQ362" i="2"/>
  <c r="AQ289" i="2"/>
  <c r="BP25" i="2"/>
  <c r="AW25" i="2"/>
  <c r="AP342" i="2"/>
  <c r="AK342" i="2"/>
  <c r="AP32" i="2"/>
  <c r="AK32" i="2"/>
  <c r="AP35" i="2"/>
  <c r="AK35" i="2"/>
  <c r="AP333" i="2"/>
  <c r="AK333" i="2"/>
  <c r="AP399" i="2"/>
  <c r="AK399" i="2"/>
  <c r="AQ64" i="2"/>
  <c r="AV64" i="2"/>
  <c r="AP352" i="2"/>
  <c r="AK352" i="2"/>
  <c r="AQ142" i="2"/>
  <c r="AV142" i="2"/>
  <c r="AQ100" i="2"/>
  <c r="AV100" i="2"/>
  <c r="AP278" i="2"/>
  <c r="AK278" i="2"/>
  <c r="AP343" i="2"/>
  <c r="AK343" i="2"/>
  <c r="AQ92" i="2"/>
  <c r="AV92" i="2"/>
  <c r="AP163" i="2"/>
  <c r="AK163" i="2"/>
  <c r="AP355" i="2"/>
  <c r="AK355" i="2"/>
  <c r="AP435" i="2"/>
  <c r="AK435" i="2"/>
  <c r="AP38" i="2"/>
  <c r="AK38" i="2"/>
  <c r="AP71" i="2"/>
  <c r="AK71" i="2"/>
  <c r="AP65" i="2"/>
  <c r="AK65" i="2"/>
  <c r="AP415" i="2"/>
  <c r="AK415" i="2"/>
  <c r="AP84" i="2"/>
  <c r="AK84" i="2"/>
  <c r="AP51" i="2"/>
  <c r="AK51" i="2"/>
  <c r="AP462" i="2"/>
  <c r="AK462" i="2"/>
  <c r="AQ66" i="2"/>
  <c r="AV66" i="2"/>
  <c r="AP141" i="2"/>
  <c r="AK141" i="2"/>
  <c r="AP164" i="2"/>
  <c r="AK164" i="2"/>
  <c r="AQ488" i="2"/>
  <c r="AV488" i="2"/>
  <c r="AP39" i="2"/>
  <c r="AK39" i="2"/>
  <c r="AP168" i="2"/>
  <c r="AK168" i="2"/>
  <c r="AP453" i="2"/>
  <c r="AK453" i="2"/>
  <c r="AP347" i="2"/>
  <c r="AK347" i="2"/>
  <c r="AQ447" i="2"/>
  <c r="AV447" i="2"/>
  <c r="AQ286" i="2"/>
  <c r="BQ25" i="2"/>
  <c r="BI25" i="2"/>
  <c r="AP4" i="2"/>
  <c r="AK4" i="2"/>
  <c r="BQ23" i="2"/>
  <c r="BI23" i="2"/>
  <c r="CO7" i="2"/>
  <c r="CQ5" i="2"/>
  <c r="CI16" i="2"/>
  <c r="DI16" i="2"/>
  <c r="CI7" i="2"/>
  <c r="CM16" i="2"/>
  <c r="CG8" i="2"/>
  <c r="CU24" i="2"/>
  <c r="CG7" i="2"/>
  <c r="AQ285" i="2"/>
  <c r="AQ308" i="2"/>
  <c r="AQ463" i="2"/>
  <c r="AQ265" i="2"/>
  <c r="AQ131" i="2"/>
  <c r="BP8" i="2"/>
  <c r="AW8" i="2"/>
  <c r="AQ310" i="2"/>
  <c r="AQ316" i="2"/>
  <c r="AQ440" i="2"/>
  <c r="AP33" i="2"/>
  <c r="AK33" i="2"/>
  <c r="AP443" i="2"/>
  <c r="AK443" i="2"/>
  <c r="AP75" i="2"/>
  <c r="AK75" i="2"/>
  <c r="AP359" i="2"/>
  <c r="AK359" i="2"/>
  <c r="AP269" i="2"/>
  <c r="AK269" i="2"/>
  <c r="DB303" i="2"/>
  <c r="DC303" i="2" s="1"/>
  <c r="DM303" i="2"/>
  <c r="AP31" i="2"/>
  <c r="AK31" i="2"/>
  <c r="AP105" i="2"/>
  <c r="AK105" i="2"/>
  <c r="AP424" i="2"/>
  <c r="AK424" i="2"/>
  <c r="AP416" i="2"/>
  <c r="AK416" i="2"/>
  <c r="AQ145" i="2"/>
  <c r="AV145" i="2"/>
  <c r="AP411" i="2"/>
  <c r="AK411" i="2"/>
  <c r="AQ175" i="2"/>
  <c r="AV175" i="2"/>
  <c r="AK183" i="2"/>
  <c r="AP183" i="2"/>
  <c r="AP498" i="2"/>
  <c r="AK498" i="2"/>
  <c r="AQ180" i="2"/>
  <c r="AV180" i="2"/>
  <c r="DB434" i="2"/>
  <c r="DC434" i="2" s="1"/>
  <c r="DM434" i="2"/>
  <c r="AP353" i="2"/>
  <c r="AK353" i="2"/>
  <c r="AQ143" i="2"/>
  <c r="AV143" i="2"/>
  <c r="DM112" i="2"/>
  <c r="AP437" i="2"/>
  <c r="AK437" i="2"/>
  <c r="AP138" i="2"/>
  <c r="AK138" i="2"/>
  <c r="AP87" i="2"/>
  <c r="AK87" i="2"/>
  <c r="AP129" i="2"/>
  <c r="AK129" i="2"/>
  <c r="AK460" i="2"/>
  <c r="AP460" i="2"/>
  <c r="AP29" i="2"/>
  <c r="AK29" i="2"/>
  <c r="AQ210" i="2"/>
  <c r="AV210" i="2"/>
  <c r="AQ273" i="2"/>
  <c r="AQ121" i="2"/>
  <c r="AQ291" i="2"/>
  <c r="AQ284" i="2"/>
  <c r="AQ320" i="2"/>
  <c r="AQ292" i="2"/>
  <c r="AQ287" i="2"/>
  <c r="AQ18" i="2"/>
  <c r="BP20" i="2"/>
  <c r="AW20" i="2"/>
  <c r="AP236" i="2"/>
  <c r="AK236" i="2"/>
  <c r="AP417" i="2"/>
  <c r="AK417" i="2"/>
  <c r="AP449" i="2"/>
  <c r="AK449" i="2"/>
  <c r="AP211" i="2"/>
  <c r="AK211" i="2"/>
  <c r="AP50" i="2"/>
  <c r="AK50" i="2"/>
  <c r="AP334" i="2"/>
  <c r="AK334" i="2"/>
  <c r="AQ328" i="2"/>
  <c r="AV328" i="2"/>
  <c r="AQ149" i="2"/>
  <c r="AV149" i="2"/>
  <c r="AP109" i="2"/>
  <c r="AK109" i="2"/>
  <c r="AP123" i="2"/>
  <c r="AK123" i="2"/>
  <c r="DB290" i="2"/>
  <c r="DC290" i="2" s="1"/>
  <c r="DM290" i="2"/>
  <c r="AP140" i="2"/>
  <c r="AK140" i="2"/>
  <c r="AP253" i="2"/>
  <c r="AK253" i="2"/>
  <c r="AQ56" i="2"/>
  <c r="AV56" i="2"/>
  <c r="AP52" i="2"/>
  <c r="AK52" i="2"/>
  <c r="AQ336" i="2"/>
  <c r="AV336" i="2"/>
  <c r="AP230" i="2"/>
  <c r="AK230" i="2"/>
  <c r="AP28" i="2"/>
  <c r="AK28" i="2"/>
  <c r="AQ156" i="2"/>
  <c r="AV156" i="2"/>
  <c r="AP422" i="2"/>
  <c r="AK422" i="2"/>
  <c r="AP420" i="2"/>
  <c r="AK420" i="2"/>
  <c r="AQ410" i="2"/>
  <c r="AV410" i="2"/>
  <c r="AQ150" i="2"/>
  <c r="AV150" i="2"/>
  <c r="AP433" i="2"/>
  <c r="AK433" i="2"/>
  <c r="AP400" i="2"/>
  <c r="AK400" i="2"/>
  <c r="AP215" i="2"/>
  <c r="AK215" i="2"/>
  <c r="AQ196" i="2"/>
  <c r="AV196" i="2"/>
  <c r="AP441" i="2"/>
  <c r="AK441" i="2"/>
  <c r="AP427" i="2"/>
  <c r="AK427" i="2"/>
  <c r="AQ80" i="2"/>
  <c r="AV80" i="2"/>
  <c r="AP170" i="2"/>
  <c r="AK170" i="2"/>
  <c r="AP54" i="2"/>
  <c r="AK54" i="2"/>
  <c r="AP374" i="2"/>
  <c r="AK374" i="2"/>
  <c r="AP485" i="2"/>
  <c r="AK485" i="2"/>
  <c r="AK279" i="2"/>
  <c r="AP279" i="2"/>
  <c r="AP59" i="2"/>
  <c r="AK59" i="2"/>
  <c r="AP455" i="2"/>
  <c r="AK455" i="2"/>
  <c r="AQ306" i="2"/>
  <c r="AQ302" i="2"/>
  <c r="CK7" i="2"/>
  <c r="CS7" i="2"/>
  <c r="AQ296" i="2"/>
  <c r="AQ315" i="2"/>
  <c r="AQ313" i="2"/>
  <c r="AQ303" i="2"/>
  <c r="AQ132" i="2"/>
  <c r="AQ497" i="2"/>
  <c r="BP23" i="2"/>
  <c r="AW23" i="2"/>
  <c r="AQ439" i="2"/>
  <c r="AJ15" i="2"/>
  <c r="Y15" i="2"/>
  <c r="AP81" i="2"/>
  <c r="AK81" i="2"/>
  <c r="AK171" i="2"/>
  <c r="AP171" i="2"/>
  <c r="AP412" i="2"/>
  <c r="AK412" i="2"/>
  <c r="AP363" i="2"/>
  <c r="AK363" i="2"/>
  <c r="AP426" i="2"/>
  <c r="AK426" i="2"/>
  <c r="AP408" i="2"/>
  <c r="AK408" i="2"/>
  <c r="AP127" i="2"/>
  <c r="AK127" i="2"/>
  <c r="AP382" i="2"/>
  <c r="AK382" i="2"/>
  <c r="AP73" i="2"/>
  <c r="AK73" i="2"/>
  <c r="AP386" i="2"/>
  <c r="AK386" i="2"/>
  <c r="AP344" i="2"/>
  <c r="AK344" i="2"/>
  <c r="AQ304" i="2"/>
  <c r="AP37" i="2"/>
  <c r="AK37" i="2"/>
  <c r="AP95" i="2"/>
  <c r="AK95" i="2"/>
  <c r="AP375" i="2"/>
  <c r="AK375" i="2"/>
  <c r="AP409" i="2"/>
  <c r="AK409" i="2"/>
  <c r="AP47" i="2"/>
  <c r="AK47" i="2"/>
  <c r="AP378" i="2"/>
  <c r="AK378" i="2"/>
  <c r="AP139" i="2"/>
  <c r="AK139" i="2"/>
  <c r="AP188" i="2"/>
  <c r="AK188" i="2"/>
  <c r="AP213" i="2"/>
  <c r="AK213" i="2"/>
  <c r="AP407" i="2"/>
  <c r="AK407" i="2"/>
  <c r="AP41" i="2"/>
  <c r="AK41" i="2"/>
  <c r="AP434" i="2"/>
  <c r="AK434" i="2"/>
  <c r="AP36" i="2"/>
  <c r="AK36" i="2"/>
  <c r="AP450" i="2"/>
  <c r="AK450" i="2"/>
  <c r="AP413" i="2"/>
  <c r="AK413" i="2"/>
  <c r="BQ24" i="2"/>
  <c r="BI24" i="2"/>
  <c r="AQ301" i="2"/>
  <c r="AQ298" i="2"/>
  <c r="CO24" i="2"/>
  <c r="AQ312" i="2"/>
  <c r="AQ277" i="2"/>
  <c r="AQ118" i="2"/>
  <c r="AQ318" i="2"/>
  <c r="AQ314" i="2"/>
  <c r="AQ309" i="2"/>
  <c r="AQ117" i="2"/>
  <c r="AQ323" i="2"/>
  <c r="AQ317" i="2"/>
  <c r="AQ448" i="2"/>
  <c r="AQ475" i="2"/>
  <c r="AQ331" i="2"/>
  <c r="AV331" i="2"/>
  <c r="AP345" i="2"/>
  <c r="AK345" i="2"/>
  <c r="AP356" i="2"/>
  <c r="AK356" i="2"/>
  <c r="AP135" i="2"/>
  <c r="AK135" i="2"/>
  <c r="AQ185" i="2"/>
  <c r="AV185" i="2"/>
  <c r="AP27" i="2"/>
  <c r="AK27" i="2"/>
  <c r="AP198" i="2"/>
  <c r="AK198" i="2"/>
  <c r="AP77" i="2"/>
  <c r="AK77" i="2"/>
  <c r="AP430" i="2"/>
  <c r="AK430" i="2"/>
  <c r="AP464" i="2"/>
  <c r="AK464" i="2"/>
  <c r="AP108" i="2"/>
  <c r="AK108" i="2"/>
  <c r="AP329" i="2"/>
  <c r="AK329" i="2"/>
  <c r="AP99" i="2"/>
  <c r="AK99" i="2"/>
  <c r="AP231" i="2"/>
  <c r="AK231" i="2"/>
  <c r="AP418" i="2"/>
  <c r="AK418" i="2"/>
  <c r="AP46" i="2"/>
  <c r="AK46" i="2"/>
  <c r="AP252" i="2"/>
  <c r="AK252" i="2"/>
  <c r="AP444" i="2"/>
  <c r="AK444" i="2"/>
  <c r="AP482" i="2"/>
  <c r="AK482" i="2"/>
  <c r="AP357" i="2"/>
  <c r="AK357" i="2"/>
  <c r="AP245" i="2"/>
  <c r="AK245" i="2"/>
  <c r="AQ147" i="2"/>
  <c r="AV147" i="2"/>
  <c r="AP34" i="2"/>
  <c r="AK34" i="2"/>
  <c r="AP349" i="2"/>
  <c r="AK349" i="2"/>
  <c r="AP354" i="2"/>
  <c r="AK354" i="2"/>
  <c r="AP162" i="2"/>
  <c r="AK162" i="2"/>
  <c r="AP405" i="2"/>
  <c r="AK405" i="2"/>
  <c r="AP379" i="2"/>
  <c r="AK379" i="2"/>
  <c r="AQ60" i="2"/>
  <c r="AV60" i="2"/>
  <c r="AQ119" i="2"/>
  <c r="AV119" i="2"/>
  <c r="AK452" i="2"/>
  <c r="AP452" i="2"/>
  <c r="AP137" i="2"/>
  <c r="AK137" i="2"/>
  <c r="AP205" i="2"/>
  <c r="AK205" i="2"/>
  <c r="BO144" i="2"/>
  <c r="BR144" i="2"/>
  <c r="CY5" i="2"/>
  <c r="CK5" i="2"/>
  <c r="DG5" i="2"/>
  <c r="CE10" i="2"/>
  <c r="DE9" i="2"/>
  <c r="AP465" i="2"/>
  <c r="AP255" i="2"/>
  <c r="BQ48" i="2"/>
  <c r="BQ181" i="2"/>
  <c r="DB306" i="2"/>
  <c r="DC306" i="2" s="1"/>
  <c r="DM306" i="2"/>
  <c r="AV296" i="2"/>
  <c r="AW296" i="2" s="1"/>
  <c r="AV302" i="2"/>
  <c r="AW302" i="2" s="1"/>
  <c r="AP207" i="2"/>
  <c r="AV318" i="2"/>
  <c r="AW318" i="2" s="1"/>
  <c r="AV116" i="2"/>
  <c r="AW116" i="2" s="1"/>
  <c r="AP276" i="2"/>
  <c r="AV303" i="2"/>
  <c r="AW303" i="2" s="1"/>
  <c r="AV299" i="2"/>
  <c r="AW299" i="2" s="1"/>
  <c r="BQ102" i="2"/>
  <c r="BQ220" i="2"/>
  <c r="BQ90" i="2"/>
  <c r="AV291" i="2"/>
  <c r="AW291" i="2" s="1"/>
  <c r="AV294" i="2"/>
  <c r="AW294" i="2" s="1"/>
  <c r="BH261" i="2"/>
  <c r="BI261" i="2" s="1"/>
  <c r="BP261" i="2"/>
  <c r="BQ397" i="2"/>
  <c r="BQ212" i="2"/>
  <c r="BO158" i="2"/>
  <c r="BR158" i="2"/>
  <c r="AP438" i="2"/>
  <c r="BQ82" i="2"/>
  <c r="BQ40" i="2"/>
  <c r="BP17" i="2"/>
  <c r="CM10" i="2"/>
  <c r="CG10" i="2"/>
  <c r="CO9" i="2"/>
  <c r="DB337" i="2"/>
  <c r="DC337" i="2" s="1"/>
  <c r="DM337" i="2"/>
  <c r="AV402" i="2"/>
  <c r="AW402" i="2" s="1"/>
  <c r="AV286" i="2"/>
  <c r="AW286" i="2" s="1"/>
  <c r="BQ221" i="2"/>
  <c r="BQ216" i="2"/>
  <c r="BQ172" i="2"/>
  <c r="BQ186" i="2"/>
  <c r="AP476" i="2"/>
  <c r="AV288" i="2"/>
  <c r="AW288" i="2" s="1"/>
  <c r="BQ395" i="2"/>
  <c r="AV463" i="2"/>
  <c r="AW463" i="2" s="1"/>
  <c r="AP247" i="2"/>
  <c r="AP366" i="2"/>
  <c r="AP243" i="2"/>
  <c r="AV118" i="2"/>
  <c r="AW118" i="2" s="1"/>
  <c r="BQ110" i="2"/>
  <c r="AP259" i="2"/>
  <c r="AV293" i="2"/>
  <c r="AW293" i="2" s="1"/>
  <c r="AP258" i="2"/>
  <c r="BQ124" i="2"/>
  <c r="AV265" i="2"/>
  <c r="AW265" i="2" s="1"/>
  <c r="AP370" i="2"/>
  <c r="AP235" i="2"/>
  <c r="BH304" i="2"/>
  <c r="BI304" i="2" s="1"/>
  <c r="BP304" i="2"/>
  <c r="BQ474" i="2"/>
  <c r="AP250" i="2"/>
  <c r="BQ219" i="2"/>
  <c r="DM479" i="2"/>
  <c r="BQ214" i="2"/>
  <c r="BQ94" i="2"/>
  <c r="BQ346" i="2"/>
  <c r="BQ371" i="2"/>
  <c r="AV289" i="2"/>
  <c r="AW289" i="2" s="1"/>
  <c r="AP337" i="2"/>
  <c r="BQ388" i="2"/>
  <c r="CE5" i="2"/>
  <c r="DK9" i="2"/>
  <c r="DB279" i="2"/>
  <c r="DC279" i="2" s="1"/>
  <c r="DM279" i="2"/>
  <c r="BQ466" i="2"/>
  <c r="BQ217" i="2"/>
  <c r="BQ134" i="2"/>
  <c r="BH487" i="2"/>
  <c r="BI487" i="2" s="1"/>
  <c r="BP487" i="2"/>
  <c r="DM77" i="2"/>
  <c r="DB77" i="2"/>
  <c r="DC77" i="2" s="1"/>
  <c r="BQ187" i="2"/>
  <c r="BQ153" i="2"/>
  <c r="BQ446" i="2"/>
  <c r="AP373" i="2"/>
  <c r="BQ385" i="2"/>
  <c r="AV117" i="2"/>
  <c r="AW117" i="2" s="1"/>
  <c r="AV132" i="2"/>
  <c r="AW132" i="2" s="1"/>
  <c r="AV322" i="2"/>
  <c r="AW322" i="2" s="1"/>
  <c r="BQ179" i="2"/>
  <c r="AP264" i="2"/>
  <c r="BQ202" i="2"/>
  <c r="AP348" i="2"/>
  <c r="BQ468" i="2"/>
  <c r="BQ335" i="2"/>
  <c r="BQ58" i="2"/>
  <c r="AP326" i="2"/>
  <c r="BH300" i="2"/>
  <c r="BI300" i="2" s="1"/>
  <c r="BP300" i="2"/>
  <c r="AV287" i="2"/>
  <c r="AW287" i="2" s="1"/>
  <c r="AP22" i="2"/>
  <c r="CQ17" i="2"/>
  <c r="DE10" i="2"/>
  <c r="DM7" i="2"/>
  <c r="CM5" i="2"/>
  <c r="CU17" i="2"/>
  <c r="CO10" i="2"/>
  <c r="AP133" i="2"/>
  <c r="BH321" i="2"/>
  <c r="BI321" i="2" s="1"/>
  <c r="BP321" i="2"/>
  <c r="AV126" i="2"/>
  <c r="AW126" i="2" s="1"/>
  <c r="BH461" i="2"/>
  <c r="BI461" i="2" s="1"/>
  <c r="BP461" i="2"/>
  <c r="AP234" i="2"/>
  <c r="BO383" i="2"/>
  <c r="BR383" i="2"/>
  <c r="BP398" i="2"/>
  <c r="AP350" i="2"/>
  <c r="AP272" i="2"/>
  <c r="AV125" i="2"/>
  <c r="AW125" i="2" s="1"/>
  <c r="BQ387" i="2"/>
  <c r="BQ489" i="2"/>
  <c r="BQ192" i="2"/>
  <c r="AV282" i="2"/>
  <c r="AW282" i="2" s="1"/>
  <c r="AV298" i="2"/>
  <c r="AW298" i="2" s="1"/>
  <c r="BQ393" i="2"/>
  <c r="AP469" i="2"/>
  <c r="BQ358" i="2"/>
  <c r="BQ470" i="2"/>
  <c r="AV313" i="2"/>
  <c r="AW313" i="2" s="1"/>
  <c r="AP113" i="2"/>
  <c r="BQ70" i="2"/>
  <c r="DB295" i="2"/>
  <c r="DC295" i="2" s="1"/>
  <c r="DM295" i="2"/>
  <c r="BQ128" i="2"/>
  <c r="BO391" i="2"/>
  <c r="BR391" i="2"/>
  <c r="BO174" i="2"/>
  <c r="BR174" i="2"/>
  <c r="AP248" i="2"/>
  <c r="BQ480" i="2"/>
  <c r="AV317" i="2"/>
  <c r="AW317" i="2" s="1"/>
  <c r="AV362" i="2"/>
  <c r="AW362" i="2" s="1"/>
  <c r="AV307" i="2"/>
  <c r="AW307" i="2" s="1"/>
  <c r="AP246" i="2"/>
  <c r="AP365" i="2"/>
  <c r="AP456" i="2"/>
  <c r="DB294" i="2"/>
  <c r="DC294" i="2" s="1"/>
  <c r="DM294" i="2"/>
  <c r="BH21" i="2"/>
  <c r="BI21" i="2" s="1"/>
  <c r="BP21" i="2"/>
  <c r="AJ19" i="2"/>
  <c r="AK19" i="2" s="1"/>
  <c r="AV319" i="2"/>
  <c r="AW319" i="2" s="1"/>
  <c r="BQ86" i="2"/>
  <c r="AP492" i="2"/>
  <c r="BQ106" i="2"/>
  <c r="AV312" i="2"/>
  <c r="AW312" i="2" s="1"/>
  <c r="BH281" i="2"/>
  <c r="BI281" i="2" s="1"/>
  <c r="BP281" i="2"/>
  <c r="AV277" i="2"/>
  <c r="AW277" i="2" s="1"/>
  <c r="BQ500" i="2"/>
  <c r="BQ229" i="2"/>
  <c r="AV315" i="2"/>
  <c r="AW315" i="2" s="1"/>
  <c r="BQ78" i="2"/>
  <c r="BQ177" i="2"/>
  <c r="AP484" i="2"/>
  <c r="BQ367" i="2"/>
  <c r="BQ330" i="2"/>
  <c r="AV130" i="2"/>
  <c r="AW130" i="2" s="1"/>
  <c r="BQ360" i="2"/>
  <c r="BQ325" i="2"/>
  <c r="BQ368" i="2"/>
  <c r="AV497" i="2"/>
  <c r="AW497" i="2" s="1"/>
  <c r="AV292" i="2"/>
  <c r="AW292" i="2" s="1"/>
  <c r="BQ136" i="2"/>
  <c r="BQ152" i="2"/>
  <c r="BQ151" i="2"/>
  <c r="AP266" i="2"/>
  <c r="BQ472" i="2"/>
  <c r="BQ332" i="2"/>
  <c r="BP275" i="2"/>
  <c r="BQ182" i="2"/>
  <c r="DB413" i="2"/>
  <c r="DC413" i="2" s="1"/>
  <c r="DM413" i="2"/>
  <c r="BP24" i="2"/>
  <c r="AV285" i="2"/>
  <c r="AW285" i="2" s="1"/>
  <c r="BQ270" i="2"/>
  <c r="BQ351" i="2"/>
  <c r="DM212" i="2"/>
  <c r="DB212" i="2"/>
  <c r="DC212" i="2" s="1"/>
  <c r="BQ384" i="2"/>
  <c r="AP451" i="2"/>
  <c r="AP257" i="2"/>
  <c r="BO376" i="2"/>
  <c r="BR376" i="2"/>
  <c r="BQ389" i="2"/>
  <c r="AP423" i="2"/>
  <c r="AP280" i="2"/>
  <c r="BQ104" i="2"/>
  <c r="BO381" i="2"/>
  <c r="BR381" i="2"/>
  <c r="AV314" i="2"/>
  <c r="AW314" i="2" s="1"/>
  <c r="AP239" i="2"/>
  <c r="AV309" i="2"/>
  <c r="AW309" i="2" s="1"/>
  <c r="AV121" i="2"/>
  <c r="AW121" i="2" s="1"/>
  <c r="AP494" i="2"/>
  <c r="AP254" i="2"/>
  <c r="AV295" i="2"/>
  <c r="AW295" i="2" s="1"/>
  <c r="AP457" i="2"/>
  <c r="BQ339" i="2"/>
  <c r="BH274" i="2"/>
  <c r="BI274" i="2" s="1"/>
  <c r="BP274" i="2"/>
  <c r="AV316" i="2"/>
  <c r="AW316" i="2" s="1"/>
  <c r="AV448" i="2"/>
  <c r="AW448" i="2" s="1"/>
  <c r="BQ478" i="2"/>
  <c r="BO445" i="2"/>
  <c r="BR445" i="2"/>
  <c r="AV440" i="2"/>
  <c r="AW440" i="2" s="1"/>
  <c r="AV283" i="2"/>
  <c r="AW283" i="2" s="1"/>
  <c r="BH208" i="2"/>
  <c r="BI208" i="2" s="1"/>
  <c r="BP208" i="2"/>
  <c r="BQ477" i="2"/>
  <c r="DG9" i="2"/>
  <c r="DB394" i="2"/>
  <c r="DC394" i="2" s="1"/>
  <c r="DM394" i="2"/>
  <c r="AP493" i="2"/>
  <c r="AV308" i="2"/>
  <c r="AW308" i="2" s="1"/>
  <c r="DB307" i="2"/>
  <c r="DC307" i="2" s="1"/>
  <c r="DM307" i="2"/>
  <c r="AV115" i="2"/>
  <c r="AW115" i="2" s="1"/>
  <c r="AP496" i="2"/>
  <c r="AP238" i="2"/>
  <c r="BO160" i="2"/>
  <c r="BR160" i="2"/>
  <c r="AP256" i="2"/>
  <c r="AP249" i="2"/>
  <c r="BQ232" i="2"/>
  <c r="AV114" i="2"/>
  <c r="AW114" i="2" s="1"/>
  <c r="DB248" i="2"/>
  <c r="DC248" i="2" s="1"/>
  <c r="DM248" i="2"/>
  <c r="BQ165" i="2"/>
  <c r="BO169" i="2"/>
  <c r="BR169" i="2"/>
  <c r="BO161" i="2"/>
  <c r="BR161" i="2"/>
  <c r="AP431" i="2"/>
  <c r="AP483" i="2"/>
  <c r="AP241" i="2"/>
  <c r="AV290" i="2"/>
  <c r="AW290" i="2" s="1"/>
  <c r="BQ42" i="2"/>
  <c r="AV131" i="2"/>
  <c r="AW131" i="2" s="1"/>
  <c r="AP467" i="2"/>
  <c r="BQ380" i="2"/>
  <c r="AV475" i="2"/>
  <c r="AW475" i="2" s="1"/>
  <c r="BQ392" i="2"/>
  <c r="BO190" i="2"/>
  <c r="BR190" i="2"/>
  <c r="AP240" i="2"/>
  <c r="AV439" i="2"/>
  <c r="AW439" i="2" s="1"/>
  <c r="AP260" i="2"/>
  <c r="BO203" i="2"/>
  <c r="BR203" i="2"/>
  <c r="CM9" i="2"/>
  <c r="AV301" i="2"/>
  <c r="AW301" i="2" s="1"/>
  <c r="AP251" i="2"/>
  <c r="AV305" i="2"/>
  <c r="AW305" i="2" s="1"/>
  <c r="AV306" i="2"/>
  <c r="AW306" i="2" s="1"/>
  <c r="AP268" i="2"/>
  <c r="BQ74" i="2"/>
  <c r="BQ195" i="2"/>
  <c r="AV471" i="2"/>
  <c r="AW471" i="2" s="1"/>
  <c r="AV273" i="2"/>
  <c r="AW273" i="2" s="1"/>
  <c r="BQ122" i="2"/>
  <c r="BQ499" i="2"/>
  <c r="BQ327" i="2"/>
  <c r="AV361" i="2"/>
  <c r="AW361" i="2" s="1"/>
  <c r="BQ112" i="2"/>
  <c r="BQ62" i="2"/>
  <c r="BQ120" i="2"/>
  <c r="AV323" i="2"/>
  <c r="AW323" i="2" s="1"/>
  <c r="BQ166" i="2"/>
  <c r="AV310" i="2"/>
  <c r="AW310" i="2" s="1"/>
  <c r="AV297" i="2"/>
  <c r="AW297" i="2" s="1"/>
  <c r="AV284" i="2"/>
  <c r="AW284" i="2" s="1"/>
  <c r="AP495" i="2"/>
  <c r="AV320" i="2"/>
  <c r="AW320" i="2" s="1"/>
  <c r="AV263" i="2"/>
  <c r="AW263" i="2" s="1"/>
  <c r="BQ176" i="2"/>
  <c r="AP242" i="2"/>
  <c r="BQ372" i="2"/>
  <c r="AV18" i="2"/>
  <c r="AW18" i="2" s="1"/>
  <c r="DC4" i="2"/>
  <c r="CE4" i="2"/>
  <c r="CU4" i="2"/>
  <c r="CC4" i="2"/>
  <c r="CK4" i="2"/>
  <c r="CO4" i="2"/>
  <c r="CS4" i="2"/>
  <c r="CW4" i="2"/>
  <c r="DA4" i="2"/>
  <c r="DE4" i="2"/>
  <c r="CY4" i="2"/>
  <c r="DG4" i="2"/>
  <c r="CO5" i="2"/>
  <c r="DA5" i="2"/>
  <c r="DE8" i="2"/>
  <c r="CS5" i="2"/>
  <c r="DI5" i="2"/>
  <c r="DK8" i="2"/>
  <c r="CW5" i="2"/>
  <c r="DE5" i="2"/>
  <c r="CG4" i="2"/>
  <c r="DM24" i="2"/>
  <c r="DG17" i="2"/>
  <c r="CM17" i="2"/>
  <c r="DE18" i="2"/>
  <c r="DL18" i="2"/>
  <c r="DB18" i="2" s="1"/>
  <c r="DC18" i="2" s="1"/>
  <c r="CE17" i="2"/>
  <c r="DI24" i="2"/>
  <c r="DG10" i="2"/>
  <c r="DL10" i="2"/>
  <c r="DB10" i="2" s="1"/>
  <c r="DC10" i="2" s="1"/>
  <c r="CG24" i="2"/>
  <c r="CC24" i="2"/>
  <c r="CG17" i="2"/>
  <c r="DA19" i="2"/>
  <c r="DL19" i="2"/>
  <c r="DB19" i="2" s="1"/>
  <c r="DC19" i="2" s="1"/>
  <c r="CC17" i="2"/>
  <c r="CW24" i="2"/>
  <c r="CK17" i="2"/>
  <c r="CW17" i="2"/>
  <c r="DA24" i="2"/>
  <c r="DK24" i="2"/>
  <c r="CU12" i="2"/>
  <c r="DL12" i="2"/>
  <c r="DB12" i="2" s="1"/>
  <c r="DC12" i="2" s="1"/>
  <c r="CM24" i="2"/>
  <c r="CO17" i="2"/>
  <c r="DK15" i="2"/>
  <c r="DL15" i="2"/>
  <c r="CO12" i="2"/>
  <c r="DA12" i="2"/>
  <c r="CQ24" i="2"/>
  <c r="DE12" i="2"/>
  <c r="DE24" i="2"/>
  <c r="DA10" i="2"/>
  <c r="CC8" i="2"/>
  <c r="CE9" i="2"/>
  <c r="CY17" i="2"/>
  <c r="DL17" i="2"/>
  <c r="DB17" i="2" s="1"/>
  <c r="DC17" i="2" s="1"/>
  <c r="CI24" i="2"/>
  <c r="DG24" i="2"/>
  <c r="DK17" i="2"/>
  <c r="CS17" i="2"/>
  <c r="CK12" i="2"/>
  <c r="DA17" i="2"/>
  <c r="CS24" i="2"/>
  <c r="DE17" i="2"/>
  <c r="CS10" i="2"/>
  <c r="CU10" i="2"/>
  <c r="DL9" i="2"/>
  <c r="DB9" i="2" s="1"/>
  <c r="DC9" i="2" s="1"/>
  <c r="CI12" i="2"/>
  <c r="CK24" i="2"/>
  <c r="CM12" i="2"/>
  <c r="CY24" i="2"/>
  <c r="CK10" i="2"/>
  <c r="DG8" i="2"/>
  <c r="CW9" i="2"/>
  <c r="CY12" i="2"/>
  <c r="DM10" i="2"/>
  <c r="CE24" i="2"/>
  <c r="CQ8" i="2"/>
  <c r="CG9" i="2"/>
  <c r="DG6" i="2"/>
  <c r="DL5" i="2"/>
  <c r="DB5" i="2" s="1"/>
  <c r="DC5" i="2" s="1"/>
  <c r="DA6" i="2"/>
  <c r="CE6" i="2"/>
  <c r="CM6" i="2"/>
  <c r="CW6" i="2"/>
  <c r="DK6" i="2"/>
  <c r="CS6" i="2"/>
  <c r="DL6" i="2"/>
  <c r="DB6" i="2" s="1"/>
  <c r="DC6" i="2" s="1"/>
  <c r="DE6" i="2"/>
  <c r="DI6" i="2"/>
  <c r="CE19" i="2"/>
  <c r="CU19" i="2"/>
  <c r="DE19" i="2"/>
  <c r="CI6" i="2"/>
  <c r="CQ9" i="2"/>
  <c r="CM18" i="2"/>
  <c r="DI9" i="2"/>
  <c r="CS9" i="2"/>
  <c r="DA9" i="2"/>
  <c r="CU6" i="2"/>
  <c r="CQ18" i="2"/>
  <c r="CC6" i="2"/>
  <c r="CC18" i="2"/>
  <c r="CC9" i="2"/>
  <c r="CW18" i="2"/>
  <c r="CY6" i="2"/>
  <c r="CG6" i="2"/>
  <c r="CG18" i="2"/>
  <c r="CO6" i="2"/>
  <c r="DA18" i="2"/>
  <c r="CI17" i="2"/>
  <c r="CY10" i="2"/>
  <c r="DK10" i="2"/>
  <c r="CQ6" i="2"/>
  <c r="CK6" i="2"/>
  <c r="CI10" i="2"/>
  <c r="CQ10" i="2"/>
  <c r="DI10" i="2"/>
  <c r="CI19" i="2"/>
  <c r="CY19" i="2"/>
  <c r="CC19" i="2"/>
  <c r="CS19" i="2"/>
  <c r="DI19" i="2"/>
  <c r="CM19" i="2"/>
  <c r="DG19" i="2"/>
  <c r="CG19" i="2"/>
  <c r="CW19" i="2"/>
  <c r="CQ19" i="2"/>
  <c r="DK19" i="2"/>
  <c r="CK19" i="2"/>
  <c r="CU9" i="2"/>
  <c r="CI9" i="2"/>
  <c r="DI15" i="2"/>
  <c r="CC12" i="2"/>
  <c r="CS12" i="2"/>
  <c r="DI12" i="2"/>
  <c r="CQ12" i="2"/>
  <c r="DK12" i="2"/>
  <c r="CY18" i="2"/>
  <c r="CK18" i="2"/>
  <c r="DI18" i="2"/>
  <c r="CQ15" i="2"/>
  <c r="CE15" i="2"/>
  <c r="CG12" i="2"/>
  <c r="CW12" i="2"/>
  <c r="CE12" i="2"/>
  <c r="CI18" i="2"/>
  <c r="DG18" i="2"/>
  <c r="CS18" i="2"/>
  <c r="DA15" i="2"/>
  <c r="AJ10" i="2"/>
  <c r="AK10" i="2" s="1"/>
  <c r="DE15" i="2"/>
  <c r="BQ17" i="2"/>
  <c r="BQ8" i="2"/>
  <c r="DM8" i="2"/>
  <c r="CW15" i="2"/>
  <c r="CI15" i="2"/>
  <c r="CS15" i="2"/>
  <c r="CO15" i="2"/>
  <c r="CY15" i="2"/>
  <c r="CX3" i="2"/>
  <c r="CE18" i="2"/>
  <c r="CU18" i="2"/>
  <c r="DK18" i="2"/>
  <c r="CO18" i="2"/>
  <c r="CG15" i="2"/>
  <c r="CC15" i="2"/>
  <c r="CM15" i="2"/>
  <c r="CK15" i="2"/>
  <c r="CU15" i="2"/>
  <c r="DG15" i="2"/>
  <c r="DB14" i="2"/>
  <c r="DC14" i="2" s="1"/>
  <c r="DM14" i="2"/>
  <c r="DM20" i="2"/>
  <c r="DM23" i="2"/>
  <c r="DM21" i="2"/>
  <c r="DM4" i="2"/>
  <c r="DM5" i="2"/>
  <c r="AP5" i="2"/>
  <c r="AP11" i="2"/>
  <c r="AP12" i="2"/>
  <c r="AP13" i="2"/>
  <c r="AP6" i="2"/>
  <c r="DM11" i="2"/>
  <c r="DM13" i="2"/>
  <c r="AP7" i="2"/>
  <c r="AP14" i="2"/>
  <c r="AV398" i="2" l="1"/>
  <c r="AV275" i="2"/>
  <c r="AW202" i="2"/>
  <c r="BH202" i="2"/>
  <c r="BI202" i="2" s="1"/>
  <c r="AV271" i="2"/>
  <c r="AQ271" i="2"/>
  <c r="AV340" i="2"/>
  <c r="AQ340" i="2"/>
  <c r="AV364" i="2"/>
  <c r="AQ364" i="2"/>
  <c r="AQ6" i="2"/>
  <c r="DM9" i="2"/>
  <c r="AQ242" i="2"/>
  <c r="AQ495" i="2"/>
  <c r="AQ240" i="2"/>
  <c r="AQ254" i="2"/>
  <c r="AQ492" i="2"/>
  <c r="AQ456" i="2"/>
  <c r="AQ247" i="2"/>
  <c r="AQ12" i="2"/>
  <c r="AQ483" i="2"/>
  <c r="AQ256" i="2"/>
  <c r="AQ493" i="2"/>
  <c r="AQ494" i="2"/>
  <c r="AQ239" i="2"/>
  <c r="AQ257" i="2"/>
  <c r="AQ365" i="2"/>
  <c r="AQ469" i="2"/>
  <c r="AQ133" i="2"/>
  <c r="AQ326" i="2"/>
  <c r="AQ235" i="2"/>
  <c r="AQ258" i="2"/>
  <c r="AQ465" i="2"/>
  <c r="AW147" i="2"/>
  <c r="BH147" i="2"/>
  <c r="BP147" i="2"/>
  <c r="AQ482" i="2"/>
  <c r="AV482" i="2"/>
  <c r="AQ418" i="2"/>
  <c r="AV418" i="2"/>
  <c r="AQ108" i="2"/>
  <c r="AV108" i="2"/>
  <c r="AQ198" i="2"/>
  <c r="AV198" i="2"/>
  <c r="AW80" i="2"/>
  <c r="BH80" i="2"/>
  <c r="BP80" i="2"/>
  <c r="AW150" i="2"/>
  <c r="BH150" i="2"/>
  <c r="BP150" i="2"/>
  <c r="AQ230" i="2"/>
  <c r="AV230" i="2"/>
  <c r="AQ123" i="2"/>
  <c r="AV123" i="2"/>
  <c r="AQ449" i="2"/>
  <c r="AV449" i="2"/>
  <c r="AQ424" i="2"/>
  <c r="AV424" i="2"/>
  <c r="AQ269" i="2"/>
  <c r="AV269" i="2"/>
  <c r="AQ33" i="2"/>
  <c r="AV33" i="2"/>
  <c r="AQ347" i="2"/>
  <c r="AV347" i="2"/>
  <c r="AQ415" i="2"/>
  <c r="AV415" i="2"/>
  <c r="AQ435" i="2"/>
  <c r="AV435" i="2"/>
  <c r="AQ399" i="2"/>
  <c r="AV399" i="2"/>
  <c r="AQ342" i="2"/>
  <c r="AV342" i="2"/>
  <c r="AQ473" i="2"/>
  <c r="AV473" i="2"/>
  <c r="AW167" i="2"/>
  <c r="BH167" i="2"/>
  <c r="BP167" i="2"/>
  <c r="AQ107" i="2"/>
  <c r="AV107" i="2"/>
  <c r="AQ486" i="2"/>
  <c r="AV486" i="2"/>
  <c r="AQ67" i="2"/>
  <c r="AV67" i="2"/>
  <c r="AQ324" i="2"/>
  <c r="AV324" i="2"/>
  <c r="AW96" i="2"/>
  <c r="BH96" i="2"/>
  <c r="BP96" i="2"/>
  <c r="AW199" i="2"/>
  <c r="BP199" i="2"/>
  <c r="BH199" i="2"/>
  <c r="AQ49" i="2"/>
  <c r="AV49" i="2"/>
  <c r="AQ377" i="2"/>
  <c r="AV377" i="2"/>
  <c r="AW76" i="2"/>
  <c r="BH76" i="2"/>
  <c r="BP76" i="2"/>
  <c r="AQ244" i="2"/>
  <c r="AV244" i="2"/>
  <c r="AQ155" i="2"/>
  <c r="AV155" i="2"/>
  <c r="AQ280" i="2"/>
  <c r="AQ451" i="2"/>
  <c r="AQ246" i="2"/>
  <c r="AQ205" i="2"/>
  <c r="AV205" i="2"/>
  <c r="AW60" i="2"/>
  <c r="BH60" i="2"/>
  <c r="BP60" i="2"/>
  <c r="AQ162" i="2"/>
  <c r="AV162" i="2"/>
  <c r="AQ356" i="2"/>
  <c r="AV356" i="2"/>
  <c r="AQ36" i="2"/>
  <c r="AV36" i="2"/>
  <c r="AQ213" i="2"/>
  <c r="AV213" i="2"/>
  <c r="AQ47" i="2"/>
  <c r="AV47" i="2"/>
  <c r="AQ37" i="2"/>
  <c r="AV37" i="2"/>
  <c r="AQ73" i="2"/>
  <c r="AV73" i="2"/>
  <c r="AQ426" i="2"/>
  <c r="AV426" i="2"/>
  <c r="AQ81" i="2"/>
  <c r="AV81" i="2"/>
  <c r="AQ485" i="2"/>
  <c r="AV485" i="2"/>
  <c r="AQ422" i="2"/>
  <c r="AV422" i="2"/>
  <c r="AW336" i="2"/>
  <c r="BH336" i="2"/>
  <c r="BP336" i="2"/>
  <c r="AQ87" i="2"/>
  <c r="AV87" i="2"/>
  <c r="AQ411" i="2"/>
  <c r="AV411" i="2"/>
  <c r="AQ343" i="2"/>
  <c r="AV343" i="2"/>
  <c r="AW189" i="2"/>
  <c r="BH189" i="2"/>
  <c r="BP189" i="2"/>
  <c r="AQ79" i="2"/>
  <c r="AV79" i="2"/>
  <c r="AW228" i="2"/>
  <c r="BP228" i="2"/>
  <c r="BH228" i="2"/>
  <c r="AQ419" i="2"/>
  <c r="AV419" i="2"/>
  <c r="AQ89" i="2"/>
  <c r="AV89" i="2"/>
  <c r="AQ30" i="2"/>
  <c r="AV30" i="2"/>
  <c r="AQ45" i="2"/>
  <c r="AV45" i="2"/>
  <c r="AQ157" i="2"/>
  <c r="AV157" i="2"/>
  <c r="AQ442" i="2"/>
  <c r="AV442" i="2"/>
  <c r="AQ467" i="2"/>
  <c r="AQ5" i="2"/>
  <c r="AQ113" i="2"/>
  <c r="AQ348" i="2"/>
  <c r="AQ370" i="2"/>
  <c r="AQ444" i="2"/>
  <c r="AV444" i="2"/>
  <c r="AQ231" i="2"/>
  <c r="AV231" i="2"/>
  <c r="AQ464" i="2"/>
  <c r="AV464" i="2"/>
  <c r="AQ27" i="2"/>
  <c r="AV27" i="2"/>
  <c r="AW156" i="2"/>
  <c r="BH156" i="2"/>
  <c r="BP156" i="2"/>
  <c r="AQ253" i="2"/>
  <c r="AV253" i="2"/>
  <c r="AQ109" i="2"/>
  <c r="AV109" i="2"/>
  <c r="AQ334" i="2"/>
  <c r="AV334" i="2"/>
  <c r="AQ417" i="2"/>
  <c r="AV417" i="2"/>
  <c r="AQ498" i="2"/>
  <c r="AV498" i="2"/>
  <c r="AW145" i="2"/>
  <c r="BH145" i="2"/>
  <c r="BP145" i="2"/>
  <c r="AQ105" i="2"/>
  <c r="AV105" i="2"/>
  <c r="AQ359" i="2"/>
  <c r="AV359" i="2"/>
  <c r="AQ453" i="2"/>
  <c r="AV453" i="2"/>
  <c r="AQ462" i="2"/>
  <c r="AV462" i="2"/>
  <c r="AQ65" i="2"/>
  <c r="AV65" i="2"/>
  <c r="AQ355" i="2"/>
  <c r="AV355" i="2"/>
  <c r="AQ333" i="2"/>
  <c r="AV333" i="2"/>
  <c r="AQ85" i="2"/>
  <c r="AV85" i="2"/>
  <c r="AQ425" i="2"/>
  <c r="AV425" i="2"/>
  <c r="AQ479" i="2"/>
  <c r="AV479" i="2"/>
  <c r="AW201" i="2"/>
  <c r="BH201" i="2"/>
  <c r="BP201" i="2"/>
  <c r="AW98" i="2"/>
  <c r="BH98" i="2"/>
  <c r="BP98" i="2"/>
  <c r="AQ222" i="2"/>
  <c r="AV222" i="2"/>
  <c r="AW88" i="2"/>
  <c r="BH88" i="2"/>
  <c r="BP88" i="2"/>
  <c r="AQ481" i="2"/>
  <c r="AV481" i="2"/>
  <c r="AQ193" i="2"/>
  <c r="AV193" i="2"/>
  <c r="AQ53" i="2"/>
  <c r="AV53" i="2"/>
  <c r="AQ341" i="2"/>
  <c r="AV341" i="2"/>
  <c r="AQ63" i="2"/>
  <c r="AV63" i="2"/>
  <c r="AQ431" i="2"/>
  <c r="AQ423" i="2"/>
  <c r="AQ238" i="2"/>
  <c r="AQ484" i="2"/>
  <c r="AW185" i="2"/>
  <c r="BH185" i="2"/>
  <c r="BP185" i="2"/>
  <c r="AQ345" i="2"/>
  <c r="AV345" i="2"/>
  <c r="AQ434" i="2"/>
  <c r="AV434" i="2"/>
  <c r="AQ409" i="2"/>
  <c r="AV409" i="2"/>
  <c r="AQ382" i="2"/>
  <c r="AV382" i="2"/>
  <c r="AQ363" i="2"/>
  <c r="AV363" i="2"/>
  <c r="AP15" i="2"/>
  <c r="AK15" i="2"/>
  <c r="AQ455" i="2"/>
  <c r="AV455" i="2"/>
  <c r="AQ374" i="2"/>
  <c r="AV374" i="2"/>
  <c r="AQ215" i="2"/>
  <c r="AV215" i="2"/>
  <c r="AW410" i="2"/>
  <c r="BH410" i="2"/>
  <c r="BP410" i="2"/>
  <c r="AW149" i="2"/>
  <c r="BH149" i="2"/>
  <c r="BP149" i="2"/>
  <c r="AQ29" i="2"/>
  <c r="AV29" i="2"/>
  <c r="AQ138" i="2"/>
  <c r="AV138" i="2"/>
  <c r="AQ353" i="2"/>
  <c r="AV353" i="2"/>
  <c r="AQ183" i="2"/>
  <c r="AV183" i="2"/>
  <c r="AQ164" i="2"/>
  <c r="AV164" i="2"/>
  <c r="AQ278" i="2"/>
  <c r="AV278" i="2"/>
  <c r="AQ352" i="2"/>
  <c r="AV352" i="2"/>
  <c r="AP16" i="2"/>
  <c r="AK16" i="2"/>
  <c r="AQ403" i="2"/>
  <c r="AV403" i="2"/>
  <c r="AQ159" i="2"/>
  <c r="AV159" i="2"/>
  <c r="AQ209" i="2"/>
  <c r="AV209" i="2"/>
  <c r="AQ97" i="2"/>
  <c r="AV97" i="2"/>
  <c r="AW68" i="2"/>
  <c r="BH68" i="2"/>
  <c r="BP68" i="2"/>
  <c r="AQ458" i="2"/>
  <c r="AV458" i="2"/>
  <c r="AW401" i="2"/>
  <c r="BH401" i="2"/>
  <c r="BP401" i="2"/>
  <c r="AQ101" i="2"/>
  <c r="AV101" i="2"/>
  <c r="AQ197" i="2"/>
  <c r="AV197" i="2"/>
  <c r="AQ43" i="2"/>
  <c r="AV43" i="2"/>
  <c r="AQ11" i="2"/>
  <c r="AQ14" i="2"/>
  <c r="AQ22" i="2"/>
  <c r="AQ7" i="2"/>
  <c r="AQ260" i="2"/>
  <c r="AQ457" i="2"/>
  <c r="AQ337" i="2"/>
  <c r="AQ259" i="2"/>
  <c r="AQ476" i="2"/>
  <c r="AQ438" i="2"/>
  <c r="AQ137" i="2"/>
  <c r="AV137" i="2"/>
  <c r="AQ354" i="2"/>
  <c r="AV354" i="2"/>
  <c r="AQ188" i="2"/>
  <c r="AV188" i="2"/>
  <c r="AQ268" i="2"/>
  <c r="AQ496" i="2"/>
  <c r="AQ272" i="2"/>
  <c r="AQ264" i="2"/>
  <c r="AQ373" i="2"/>
  <c r="AQ243" i="2"/>
  <c r="AQ452" i="2"/>
  <c r="AV452" i="2"/>
  <c r="AQ245" i="2"/>
  <c r="AV245" i="2"/>
  <c r="AQ252" i="2"/>
  <c r="AV252" i="2"/>
  <c r="AQ99" i="2"/>
  <c r="AV99" i="2"/>
  <c r="AQ430" i="2"/>
  <c r="AV430" i="2"/>
  <c r="AW331" i="2"/>
  <c r="BH331" i="2"/>
  <c r="BP331" i="2"/>
  <c r="AQ427" i="2"/>
  <c r="AV427" i="2"/>
  <c r="AQ140" i="2"/>
  <c r="AV140" i="2"/>
  <c r="AQ50" i="2"/>
  <c r="AV50" i="2"/>
  <c r="AQ236" i="2"/>
  <c r="AV236" i="2"/>
  <c r="AQ460" i="2"/>
  <c r="AV460" i="2"/>
  <c r="AQ31" i="2"/>
  <c r="AV31" i="2"/>
  <c r="AQ75" i="2"/>
  <c r="AV75" i="2"/>
  <c r="AW447" i="2"/>
  <c r="BH447" i="2"/>
  <c r="BP447" i="2"/>
  <c r="AQ168" i="2"/>
  <c r="AV168" i="2"/>
  <c r="AQ51" i="2"/>
  <c r="AV51" i="2"/>
  <c r="AQ71" i="2"/>
  <c r="AV71" i="2"/>
  <c r="AQ163" i="2"/>
  <c r="AV163" i="2"/>
  <c r="AW100" i="2"/>
  <c r="BH100" i="2"/>
  <c r="BP100" i="2"/>
  <c r="AW64" i="2"/>
  <c r="BH64" i="2"/>
  <c r="BP64" i="2"/>
  <c r="AQ35" i="2"/>
  <c r="AV35" i="2"/>
  <c r="AQ311" i="2"/>
  <c r="AV311" i="2"/>
  <c r="AQ178" i="2"/>
  <c r="AV178" i="2"/>
  <c r="AQ233" i="2"/>
  <c r="AV233" i="2"/>
  <c r="AQ369" i="2"/>
  <c r="AV369" i="2"/>
  <c r="AQ146" i="2"/>
  <c r="AV146" i="2"/>
  <c r="AQ404" i="2"/>
  <c r="AV404" i="2"/>
  <c r="AQ432" i="2"/>
  <c r="AV432" i="2"/>
  <c r="AQ267" i="2"/>
  <c r="AV267" i="2"/>
  <c r="AQ61" i="2"/>
  <c r="AV61" i="2"/>
  <c r="AQ224" i="2"/>
  <c r="AV224" i="2"/>
  <c r="AQ249" i="2"/>
  <c r="AQ266" i="2"/>
  <c r="AQ234" i="2"/>
  <c r="AQ379" i="2"/>
  <c r="AV379" i="2"/>
  <c r="AQ349" i="2"/>
  <c r="AV349" i="2"/>
  <c r="AQ413" i="2"/>
  <c r="AV413" i="2"/>
  <c r="AQ41" i="2"/>
  <c r="AV41" i="2"/>
  <c r="AQ139" i="2"/>
  <c r="AV139" i="2"/>
  <c r="AQ375" i="2"/>
  <c r="AV375" i="2"/>
  <c r="AQ344" i="2"/>
  <c r="AV344" i="2"/>
  <c r="AQ127" i="2"/>
  <c r="AV127" i="2"/>
  <c r="AQ412" i="2"/>
  <c r="AV412" i="2"/>
  <c r="AQ59" i="2"/>
  <c r="AV59" i="2"/>
  <c r="AQ54" i="2"/>
  <c r="AV54" i="2"/>
  <c r="AQ400" i="2"/>
  <c r="AV400" i="2"/>
  <c r="AQ52" i="2"/>
  <c r="AV52" i="2"/>
  <c r="AQ437" i="2"/>
  <c r="AV437" i="2"/>
  <c r="AW175" i="2"/>
  <c r="BH175" i="2"/>
  <c r="BP175" i="2"/>
  <c r="AQ141" i="2"/>
  <c r="AV141" i="2"/>
  <c r="AW92" i="2"/>
  <c r="BH92" i="2"/>
  <c r="BP92" i="2"/>
  <c r="AQ237" i="2"/>
  <c r="AV237" i="2"/>
  <c r="AQ69" i="2"/>
  <c r="AV69" i="2"/>
  <c r="AW148" i="2"/>
  <c r="BH148" i="2"/>
  <c r="BP148" i="2"/>
  <c r="AQ338" i="2"/>
  <c r="AV338" i="2"/>
  <c r="AW72" i="2"/>
  <c r="BH72" i="2"/>
  <c r="BP72" i="2"/>
  <c r="AQ225" i="2"/>
  <c r="AV225" i="2"/>
  <c r="AQ93" i="2"/>
  <c r="AV93" i="2"/>
  <c r="AQ262" i="2"/>
  <c r="AV262" i="2"/>
  <c r="AQ223" i="2"/>
  <c r="AV223" i="2"/>
  <c r="AW200" i="2"/>
  <c r="BP200" i="2"/>
  <c r="BH200" i="2"/>
  <c r="AQ194" i="2"/>
  <c r="AV194" i="2"/>
  <c r="AQ111" i="2"/>
  <c r="AV111" i="2"/>
  <c r="AQ414" i="2"/>
  <c r="AV414" i="2"/>
  <c r="AQ251" i="2"/>
  <c r="AQ250" i="2"/>
  <c r="AQ366" i="2"/>
  <c r="AQ276" i="2"/>
  <c r="AQ207" i="2"/>
  <c r="AW119" i="2"/>
  <c r="BP119" i="2"/>
  <c r="BH119" i="2"/>
  <c r="AQ357" i="2"/>
  <c r="AV357" i="2"/>
  <c r="AQ46" i="2"/>
  <c r="AV46" i="2"/>
  <c r="AQ329" i="2"/>
  <c r="AV329" i="2"/>
  <c r="AQ77" i="2"/>
  <c r="AV77" i="2"/>
  <c r="AQ171" i="2"/>
  <c r="AV171" i="2"/>
  <c r="AQ279" i="2"/>
  <c r="AV279" i="2"/>
  <c r="AQ441" i="2"/>
  <c r="AV441" i="2"/>
  <c r="AQ28" i="2"/>
  <c r="AV28" i="2"/>
  <c r="AW56" i="2"/>
  <c r="BH56" i="2"/>
  <c r="BP56" i="2"/>
  <c r="AW328" i="2"/>
  <c r="BH328" i="2"/>
  <c r="BP328" i="2"/>
  <c r="AQ211" i="2"/>
  <c r="AV211" i="2"/>
  <c r="AW180" i="2"/>
  <c r="BH180" i="2"/>
  <c r="BP180" i="2"/>
  <c r="AQ416" i="2"/>
  <c r="AV416" i="2"/>
  <c r="AQ443" i="2"/>
  <c r="AV443" i="2"/>
  <c r="AQ39" i="2"/>
  <c r="AV39" i="2"/>
  <c r="AW66" i="2"/>
  <c r="BH66" i="2"/>
  <c r="BP66" i="2"/>
  <c r="AQ84" i="2"/>
  <c r="AV84" i="2"/>
  <c r="AQ38" i="2"/>
  <c r="AV38" i="2"/>
  <c r="AQ32" i="2"/>
  <c r="AV32" i="2"/>
  <c r="AQ57" i="2"/>
  <c r="AV57" i="2"/>
  <c r="AW226" i="2"/>
  <c r="BH226" i="2"/>
  <c r="BP226" i="2"/>
  <c r="AQ490" i="2"/>
  <c r="AV490" i="2"/>
  <c r="AQ206" i="2"/>
  <c r="AV206" i="2"/>
  <c r="AQ218" i="2"/>
  <c r="AV218" i="2"/>
  <c r="AQ429" i="2"/>
  <c r="AV429" i="2"/>
  <c r="AQ421" i="2"/>
  <c r="AV421" i="2"/>
  <c r="AQ406" i="2"/>
  <c r="AV406" i="2"/>
  <c r="AQ454" i="2"/>
  <c r="AV454" i="2"/>
  <c r="AQ204" i="2"/>
  <c r="AV204" i="2"/>
  <c r="AQ491" i="2"/>
  <c r="AV491" i="2"/>
  <c r="DM17" i="2"/>
  <c r="AQ241" i="2"/>
  <c r="AQ350" i="2"/>
  <c r="AQ13" i="2"/>
  <c r="AQ248" i="2"/>
  <c r="AQ255" i="2"/>
  <c r="AQ405" i="2"/>
  <c r="AV405" i="2"/>
  <c r="AQ34" i="2"/>
  <c r="AV34" i="2"/>
  <c r="AQ135" i="2"/>
  <c r="AV135" i="2"/>
  <c r="AQ450" i="2"/>
  <c r="AV450" i="2"/>
  <c r="AQ407" i="2"/>
  <c r="AV407" i="2"/>
  <c r="AQ378" i="2"/>
  <c r="AV378" i="2"/>
  <c r="AQ95" i="2"/>
  <c r="AV95" i="2"/>
  <c r="AQ386" i="2"/>
  <c r="AV386" i="2"/>
  <c r="AQ408" i="2"/>
  <c r="AV408" i="2"/>
  <c r="AQ170" i="2"/>
  <c r="AV170" i="2"/>
  <c r="AW196" i="2"/>
  <c r="BP196" i="2"/>
  <c r="BH196" i="2"/>
  <c r="AQ433" i="2"/>
  <c r="AV433" i="2"/>
  <c r="AQ420" i="2"/>
  <c r="AV420" i="2"/>
  <c r="AW210" i="2"/>
  <c r="BH210" i="2"/>
  <c r="BP210" i="2"/>
  <c r="AQ129" i="2"/>
  <c r="AV129" i="2"/>
  <c r="AW143" i="2"/>
  <c r="BH143" i="2"/>
  <c r="BP143" i="2"/>
  <c r="AQ4" i="2"/>
  <c r="AW488" i="2"/>
  <c r="BH488" i="2"/>
  <c r="BP488" i="2"/>
  <c r="AW142" i="2"/>
  <c r="BH142" i="2"/>
  <c r="BP142" i="2"/>
  <c r="AW184" i="2"/>
  <c r="BH184" i="2"/>
  <c r="BP184" i="2"/>
  <c r="AQ459" i="2"/>
  <c r="AV459" i="2"/>
  <c r="AW26" i="2"/>
  <c r="BH26" i="2"/>
  <c r="BP26" i="2"/>
  <c r="AQ394" i="2"/>
  <c r="AV394" i="2"/>
  <c r="AQ44" i="2"/>
  <c r="AV44" i="2"/>
  <c r="AQ390" i="2"/>
  <c r="AV390" i="2"/>
  <c r="AQ91" i="2"/>
  <c r="AV91" i="2"/>
  <c r="AQ103" i="2"/>
  <c r="AV103" i="2"/>
  <c r="AQ55" i="2"/>
  <c r="AV55" i="2"/>
  <c r="AQ83" i="2"/>
  <c r="AV83" i="2"/>
  <c r="AW396" i="2"/>
  <c r="BH396" i="2"/>
  <c r="BP396" i="2"/>
  <c r="AQ428" i="2"/>
  <c r="AV428" i="2"/>
  <c r="AQ227" i="2"/>
  <c r="AV227" i="2"/>
  <c r="AQ436" i="2"/>
  <c r="AV436" i="2"/>
  <c r="DM19" i="2"/>
  <c r="BO112" i="2"/>
  <c r="BR112" i="2"/>
  <c r="BH283" i="2"/>
  <c r="BI283" i="2" s="1"/>
  <c r="BP283" i="2"/>
  <c r="BH448" i="2"/>
  <c r="BI448" i="2" s="1"/>
  <c r="BP448" i="2"/>
  <c r="BO384" i="2"/>
  <c r="BR384" i="2"/>
  <c r="BO499" i="2"/>
  <c r="BR499" i="2"/>
  <c r="BO74" i="2"/>
  <c r="BR74" i="2"/>
  <c r="BH306" i="2"/>
  <c r="BI306" i="2" s="1"/>
  <c r="BP306" i="2"/>
  <c r="BO165" i="2"/>
  <c r="BR165" i="2"/>
  <c r="AV256" i="2"/>
  <c r="AW256" i="2" s="1"/>
  <c r="AV457" i="2"/>
  <c r="AW457" i="2" s="1"/>
  <c r="BH314" i="2"/>
  <c r="BI314" i="2" s="1"/>
  <c r="BP314" i="2"/>
  <c r="AV423" i="2"/>
  <c r="AW423" i="2" s="1"/>
  <c r="BQ275" i="2"/>
  <c r="AV266" i="2"/>
  <c r="AW266" i="2" s="1"/>
  <c r="BO367" i="2"/>
  <c r="BR367" i="2"/>
  <c r="BO177" i="2"/>
  <c r="BR177" i="2"/>
  <c r="AV246" i="2"/>
  <c r="AW246" i="2" s="1"/>
  <c r="AV22" i="2"/>
  <c r="AW22" i="2" s="1"/>
  <c r="AV348" i="2"/>
  <c r="AW348" i="2" s="1"/>
  <c r="BH132" i="2"/>
  <c r="BI132" i="2" s="1"/>
  <c r="BP132" i="2"/>
  <c r="BO388" i="2"/>
  <c r="BR388" i="2"/>
  <c r="BH289" i="2"/>
  <c r="BI289" i="2" s="1"/>
  <c r="BP289" i="2"/>
  <c r="AV370" i="2"/>
  <c r="AW370" i="2" s="1"/>
  <c r="BH293" i="2"/>
  <c r="BI293" i="2" s="1"/>
  <c r="BP293" i="2"/>
  <c r="BH463" i="2"/>
  <c r="BI463" i="2" s="1"/>
  <c r="BP463" i="2"/>
  <c r="BH286" i="2"/>
  <c r="BI286" i="2" s="1"/>
  <c r="BP286" i="2"/>
  <c r="BR220" i="2"/>
  <c r="BO220" i="2"/>
  <c r="BH299" i="2"/>
  <c r="BI299" i="2" s="1"/>
  <c r="BP299" i="2"/>
  <c r="AV207" i="2"/>
  <c r="AW207" i="2" s="1"/>
  <c r="BH296" i="2"/>
  <c r="BI296" i="2" s="1"/>
  <c r="BP296" i="2"/>
  <c r="AV255" i="2"/>
  <c r="AW255" i="2" s="1"/>
  <c r="DM12" i="2"/>
  <c r="BH263" i="2"/>
  <c r="BI263" i="2" s="1"/>
  <c r="BP263" i="2"/>
  <c r="BH471" i="2"/>
  <c r="BI471" i="2" s="1"/>
  <c r="BP471" i="2"/>
  <c r="AV251" i="2"/>
  <c r="AW251" i="2" s="1"/>
  <c r="BO392" i="2"/>
  <c r="BR392" i="2"/>
  <c r="AV241" i="2"/>
  <c r="AW241" i="2" s="1"/>
  <c r="AV431" i="2"/>
  <c r="AW431" i="2" s="1"/>
  <c r="BQ274" i="2"/>
  <c r="AV254" i="2"/>
  <c r="AW254" i="2" s="1"/>
  <c r="BO104" i="2"/>
  <c r="BR104" i="2"/>
  <c r="BR351" i="2"/>
  <c r="BO351" i="2"/>
  <c r="BR332" i="2"/>
  <c r="BO332" i="2"/>
  <c r="BO151" i="2"/>
  <c r="BR151" i="2"/>
  <c r="BH292" i="2"/>
  <c r="BI292" i="2" s="1"/>
  <c r="BP292" i="2"/>
  <c r="AP19" i="2"/>
  <c r="BH317" i="2"/>
  <c r="BI317" i="2" s="1"/>
  <c r="BP317" i="2"/>
  <c r="BO358" i="2"/>
  <c r="BR358" i="2"/>
  <c r="BO393" i="2"/>
  <c r="BR393" i="2"/>
  <c r="BQ461" i="2"/>
  <c r="BO202" i="2"/>
  <c r="BR202" i="2"/>
  <c r="BR217" i="2"/>
  <c r="BO217" i="2"/>
  <c r="BO371" i="2"/>
  <c r="BR371" i="2"/>
  <c r="BO395" i="2"/>
  <c r="BR395" i="2"/>
  <c r="BQ261" i="2"/>
  <c r="BH291" i="2"/>
  <c r="BI291" i="2" s="1"/>
  <c r="BP291" i="2"/>
  <c r="BH116" i="2"/>
  <c r="BI116" i="2" s="1"/>
  <c r="BP116" i="2"/>
  <c r="BH284" i="2"/>
  <c r="BI284" i="2" s="1"/>
  <c r="BP284" i="2"/>
  <c r="BP18" i="2"/>
  <c r="BH18" i="2"/>
  <c r="BI18" i="2" s="1"/>
  <c r="BO380" i="2"/>
  <c r="BR380" i="2"/>
  <c r="BH114" i="2"/>
  <c r="BI114" i="2" s="1"/>
  <c r="BP114" i="2"/>
  <c r="AV257" i="2"/>
  <c r="AW257" i="2" s="1"/>
  <c r="BH315" i="2"/>
  <c r="BI315" i="2" s="1"/>
  <c r="BP315" i="2"/>
  <c r="BQ281" i="2"/>
  <c r="BH319" i="2"/>
  <c r="BI319" i="2" s="1"/>
  <c r="BP319" i="2"/>
  <c r="BO70" i="2"/>
  <c r="BR70" i="2"/>
  <c r="BH282" i="2"/>
  <c r="BI282" i="2" s="1"/>
  <c r="BP282" i="2"/>
  <c r="BQ300" i="2"/>
  <c r="BO153" i="2"/>
  <c r="BR153" i="2"/>
  <c r="BR219" i="2"/>
  <c r="BO219" i="2"/>
  <c r="AV250" i="2"/>
  <c r="AW250" i="2" s="1"/>
  <c r="BO474" i="2"/>
  <c r="BR474" i="2"/>
  <c r="BQ304" i="2"/>
  <c r="BO186" i="2"/>
  <c r="BR186" i="2"/>
  <c r="BO221" i="2"/>
  <c r="BR221" i="2"/>
  <c r="BO102" i="2"/>
  <c r="BR102" i="2"/>
  <c r="AV465" i="2"/>
  <c r="AW465" i="2" s="1"/>
  <c r="DM6" i="2"/>
  <c r="AV242" i="2"/>
  <c r="AW242" i="2" s="1"/>
  <c r="BR122" i="2"/>
  <c r="BO122" i="2"/>
  <c r="BH273" i="2"/>
  <c r="BI273" i="2" s="1"/>
  <c r="BP273" i="2"/>
  <c r="BO195" i="2"/>
  <c r="BR195" i="2"/>
  <c r="BH439" i="2"/>
  <c r="BI439" i="2" s="1"/>
  <c r="BP439" i="2"/>
  <c r="BH131" i="2"/>
  <c r="BI131" i="2" s="1"/>
  <c r="BP131" i="2"/>
  <c r="AV249" i="2"/>
  <c r="AW249" i="2" s="1"/>
  <c r="BH308" i="2"/>
  <c r="BI308" i="2" s="1"/>
  <c r="BP308" i="2"/>
  <c r="BH440" i="2"/>
  <c r="BI440" i="2" s="1"/>
  <c r="BP440" i="2"/>
  <c r="BH121" i="2"/>
  <c r="BI121" i="2" s="1"/>
  <c r="BP121" i="2"/>
  <c r="BO372" i="2"/>
  <c r="BR372" i="2"/>
  <c r="BH361" i="2"/>
  <c r="BI361" i="2" s="1"/>
  <c r="BP361" i="2"/>
  <c r="AV260" i="2"/>
  <c r="AW260" i="2" s="1"/>
  <c r="BO42" i="2"/>
  <c r="BR42" i="2"/>
  <c r="BR232" i="2"/>
  <c r="BO232" i="2"/>
  <c r="BH115" i="2"/>
  <c r="BI115" i="2" s="1"/>
  <c r="BP115" i="2"/>
  <c r="BO478" i="2"/>
  <c r="BR478" i="2"/>
  <c r="AV494" i="2"/>
  <c r="AW494" i="2" s="1"/>
  <c r="BH309" i="2"/>
  <c r="BI309" i="2" s="1"/>
  <c r="BP309" i="2"/>
  <c r="BO389" i="2"/>
  <c r="BR389" i="2"/>
  <c r="BR270" i="2"/>
  <c r="BO270" i="2"/>
  <c r="BR229" i="2"/>
  <c r="BO229" i="2"/>
  <c r="BO500" i="2"/>
  <c r="BR500" i="2"/>
  <c r="BO192" i="2"/>
  <c r="BR192" i="2"/>
  <c r="BH125" i="2"/>
  <c r="BI125" i="2" s="1"/>
  <c r="BP125" i="2"/>
  <c r="AV350" i="2"/>
  <c r="AW350" i="2" s="1"/>
  <c r="AV133" i="2"/>
  <c r="AW133" i="2" s="1"/>
  <c r="BR468" i="2"/>
  <c r="BO468" i="2"/>
  <c r="BR214" i="2"/>
  <c r="BO214" i="2"/>
  <c r="BH265" i="2"/>
  <c r="BI265" i="2" s="1"/>
  <c r="BP265" i="2"/>
  <c r="BH118" i="2"/>
  <c r="BI118" i="2" s="1"/>
  <c r="BP118" i="2"/>
  <c r="AV366" i="2"/>
  <c r="AW366" i="2" s="1"/>
  <c r="BH402" i="2"/>
  <c r="BI402" i="2" s="1"/>
  <c r="BP402" i="2"/>
  <c r="BO40" i="2"/>
  <c r="BR40" i="2"/>
  <c r="BR212" i="2"/>
  <c r="BO212" i="2"/>
  <c r="BH303" i="2"/>
  <c r="BI303" i="2" s="1"/>
  <c r="BP303" i="2"/>
  <c r="BH302" i="2"/>
  <c r="BI302" i="2" s="1"/>
  <c r="BP302" i="2"/>
  <c r="BH320" i="2"/>
  <c r="BI320" i="2" s="1"/>
  <c r="BP320" i="2"/>
  <c r="BH297" i="2"/>
  <c r="BI297" i="2" s="1"/>
  <c r="BP297" i="2"/>
  <c r="BO166" i="2"/>
  <c r="BR166" i="2"/>
  <c r="BR120" i="2"/>
  <c r="BO120" i="2"/>
  <c r="BR327" i="2"/>
  <c r="BO327" i="2"/>
  <c r="BH301" i="2"/>
  <c r="BI301" i="2" s="1"/>
  <c r="BP301" i="2"/>
  <c r="AV240" i="2"/>
  <c r="AW240" i="2" s="1"/>
  <c r="AV238" i="2"/>
  <c r="AW238" i="2" s="1"/>
  <c r="BQ208" i="2"/>
  <c r="AV451" i="2"/>
  <c r="AW451" i="2" s="1"/>
  <c r="BO182" i="2"/>
  <c r="BR182" i="2"/>
  <c r="BH497" i="2"/>
  <c r="BI497" i="2" s="1"/>
  <c r="BP497" i="2"/>
  <c r="BR330" i="2"/>
  <c r="BO330" i="2"/>
  <c r="BO86" i="2"/>
  <c r="BR86" i="2"/>
  <c r="BQ21" i="2"/>
  <c r="AV456" i="2"/>
  <c r="AW456" i="2" s="1"/>
  <c r="BO480" i="2"/>
  <c r="BR480" i="2"/>
  <c r="BR128" i="2"/>
  <c r="BO128" i="2"/>
  <c r="BH313" i="2"/>
  <c r="BI313" i="2" s="1"/>
  <c r="BP313" i="2"/>
  <c r="AV469" i="2"/>
  <c r="AW469" i="2" s="1"/>
  <c r="BH126" i="2"/>
  <c r="BI126" i="2" s="1"/>
  <c r="BP126" i="2"/>
  <c r="AV326" i="2"/>
  <c r="AW326" i="2" s="1"/>
  <c r="AV264" i="2"/>
  <c r="AW264" i="2" s="1"/>
  <c r="BO385" i="2"/>
  <c r="BR385" i="2"/>
  <c r="BO446" i="2"/>
  <c r="BR446" i="2"/>
  <c r="BO187" i="2"/>
  <c r="BR187" i="2"/>
  <c r="BQ487" i="2"/>
  <c r="AV235" i="2"/>
  <c r="AW235" i="2" s="1"/>
  <c r="BR124" i="2"/>
  <c r="BO124" i="2"/>
  <c r="AV259" i="2"/>
  <c r="AW259" i="2" s="1"/>
  <c r="BO172" i="2"/>
  <c r="BR172" i="2"/>
  <c r="AV438" i="2"/>
  <c r="AW438" i="2" s="1"/>
  <c r="BO62" i="2"/>
  <c r="BR62" i="2"/>
  <c r="AV268" i="2"/>
  <c r="AW268" i="2" s="1"/>
  <c r="BH475" i="2"/>
  <c r="BI475" i="2" s="1"/>
  <c r="BP475" i="2"/>
  <c r="AV467" i="2"/>
  <c r="AW467" i="2" s="1"/>
  <c r="AV483" i="2"/>
  <c r="AW483" i="2" s="1"/>
  <c r="BR339" i="2"/>
  <c r="BO339" i="2"/>
  <c r="BH295" i="2"/>
  <c r="BI295" i="2" s="1"/>
  <c r="BP295" i="2"/>
  <c r="AV239" i="2"/>
  <c r="AW239" i="2" s="1"/>
  <c r="BO472" i="2"/>
  <c r="BR472" i="2"/>
  <c r="BR136" i="2"/>
  <c r="BO136" i="2"/>
  <c r="BR325" i="2"/>
  <c r="BO325" i="2"/>
  <c r="AV484" i="2"/>
  <c r="AW484" i="2" s="1"/>
  <c r="BH312" i="2"/>
  <c r="BI312" i="2" s="1"/>
  <c r="BP312" i="2"/>
  <c r="BH307" i="2"/>
  <c r="BI307" i="2" s="1"/>
  <c r="BP307" i="2"/>
  <c r="BR470" i="2"/>
  <c r="BO470" i="2"/>
  <c r="BR335" i="2"/>
  <c r="BO335" i="2"/>
  <c r="BH322" i="2"/>
  <c r="BI322" i="2" s="1"/>
  <c r="BP322" i="2"/>
  <c r="AV373" i="2"/>
  <c r="AW373" i="2" s="1"/>
  <c r="BR134" i="2"/>
  <c r="BO134" i="2"/>
  <c r="BR466" i="2"/>
  <c r="BO466" i="2"/>
  <c r="AV337" i="2"/>
  <c r="AW337" i="2" s="1"/>
  <c r="BR346" i="2"/>
  <c r="BO346" i="2"/>
  <c r="AV258" i="2"/>
  <c r="AW258" i="2" s="1"/>
  <c r="BO110" i="2"/>
  <c r="BR110" i="2"/>
  <c r="AV247" i="2"/>
  <c r="AW247" i="2" s="1"/>
  <c r="BH288" i="2"/>
  <c r="BI288" i="2" s="1"/>
  <c r="BP288" i="2"/>
  <c r="BO397" i="2"/>
  <c r="BR397" i="2"/>
  <c r="BR48" i="2"/>
  <c r="BO48" i="2"/>
  <c r="BH323" i="2"/>
  <c r="BI323" i="2" s="1"/>
  <c r="BP323" i="2"/>
  <c r="AV496" i="2"/>
  <c r="AW496" i="2" s="1"/>
  <c r="AV493" i="2"/>
  <c r="AW493" i="2" s="1"/>
  <c r="BO477" i="2"/>
  <c r="BR477" i="2"/>
  <c r="BH316" i="2"/>
  <c r="BI316" i="2" s="1"/>
  <c r="BP316" i="2"/>
  <c r="AV280" i="2"/>
  <c r="AW280" i="2" s="1"/>
  <c r="BO78" i="2"/>
  <c r="BR78" i="2"/>
  <c r="BO106" i="2"/>
  <c r="BR106" i="2"/>
  <c r="AV365" i="2"/>
  <c r="AW365" i="2" s="1"/>
  <c r="BH362" i="2"/>
  <c r="BI362" i="2" s="1"/>
  <c r="BP362" i="2"/>
  <c r="BO489" i="2"/>
  <c r="BR489" i="2"/>
  <c r="BQ398" i="2"/>
  <c r="AV234" i="2"/>
  <c r="AW234" i="2" s="1"/>
  <c r="BR216" i="2"/>
  <c r="BO216" i="2"/>
  <c r="BH294" i="2"/>
  <c r="BI294" i="2" s="1"/>
  <c r="BP294" i="2"/>
  <c r="BO90" i="2"/>
  <c r="BR90" i="2"/>
  <c r="BH318" i="2"/>
  <c r="BI318" i="2" s="1"/>
  <c r="BP318" i="2"/>
  <c r="AV495" i="2"/>
  <c r="AW495" i="2" s="1"/>
  <c r="DM18" i="2"/>
  <c r="BO176" i="2"/>
  <c r="BR176" i="2"/>
  <c r="BH310" i="2"/>
  <c r="BI310" i="2" s="1"/>
  <c r="BP310" i="2"/>
  <c r="BH305" i="2"/>
  <c r="BI305" i="2" s="1"/>
  <c r="BP305" i="2"/>
  <c r="BH290" i="2"/>
  <c r="BI290" i="2" s="1"/>
  <c r="BP290" i="2"/>
  <c r="BH285" i="2"/>
  <c r="BI285" i="2" s="1"/>
  <c r="BP285" i="2"/>
  <c r="BO152" i="2"/>
  <c r="BR152" i="2"/>
  <c r="BO368" i="2"/>
  <c r="BR368" i="2"/>
  <c r="BR360" i="2"/>
  <c r="BO360" i="2"/>
  <c r="BH130" i="2"/>
  <c r="BI130" i="2" s="1"/>
  <c r="BP130" i="2"/>
  <c r="BH277" i="2"/>
  <c r="BI277" i="2" s="1"/>
  <c r="BP277" i="2"/>
  <c r="AV492" i="2"/>
  <c r="AW492" i="2" s="1"/>
  <c r="AV248" i="2"/>
  <c r="AW248" i="2" s="1"/>
  <c r="AV113" i="2"/>
  <c r="AW113" i="2" s="1"/>
  <c r="BH298" i="2"/>
  <c r="BI298" i="2" s="1"/>
  <c r="BP298" i="2"/>
  <c r="BO387" i="2"/>
  <c r="BR387" i="2"/>
  <c r="AV272" i="2"/>
  <c r="AW272" i="2" s="1"/>
  <c r="BQ321" i="2"/>
  <c r="BH287" i="2"/>
  <c r="BI287" i="2" s="1"/>
  <c r="BP287" i="2"/>
  <c r="BO58" i="2"/>
  <c r="BR58" i="2"/>
  <c r="BO179" i="2"/>
  <c r="BR179" i="2"/>
  <c r="BH117" i="2"/>
  <c r="BI117" i="2" s="1"/>
  <c r="BP117" i="2"/>
  <c r="BO94" i="2"/>
  <c r="BR94" i="2"/>
  <c r="AV243" i="2"/>
  <c r="AW243" i="2" s="1"/>
  <c r="AV476" i="2"/>
  <c r="AW476" i="2" s="1"/>
  <c r="BR82" i="2"/>
  <c r="BO82" i="2"/>
  <c r="AV276" i="2"/>
  <c r="AW276" i="2" s="1"/>
  <c r="BO181" i="2"/>
  <c r="BR181" i="2"/>
  <c r="DL3" i="2"/>
  <c r="DB3" i="2" s="1"/>
  <c r="DB15" i="2"/>
  <c r="DC15" i="2" s="1"/>
  <c r="DM15" i="2"/>
  <c r="BR8" i="2"/>
  <c r="BO8" i="2"/>
  <c r="BO17" i="2"/>
  <c r="BR17" i="2"/>
  <c r="AP10" i="2"/>
  <c r="AV6" i="2"/>
  <c r="AV12" i="2"/>
  <c r="AV5" i="2"/>
  <c r="BO20" i="2"/>
  <c r="BR20" i="2"/>
  <c r="AV4" i="2"/>
  <c r="AV14" i="2"/>
  <c r="BO25" i="2"/>
  <c r="BR25" i="2"/>
  <c r="BR9" i="2"/>
  <c r="BO9" i="2"/>
  <c r="AV11" i="2"/>
  <c r="AV7" i="2"/>
  <c r="AV13" i="2"/>
  <c r="BO24" i="2"/>
  <c r="BR24" i="2"/>
  <c r="BO23" i="2"/>
  <c r="BR23" i="2"/>
  <c r="DE3" i="2"/>
  <c r="CW3" i="2"/>
  <c r="CO3" i="2"/>
  <c r="CG3" i="2"/>
  <c r="DG3" i="2"/>
  <c r="CY3" i="2"/>
  <c r="CQ3" i="2"/>
  <c r="CI3" i="2"/>
  <c r="DK3" i="2"/>
  <c r="CU3" i="2"/>
  <c r="CM3" i="2"/>
  <c r="CE3" i="2"/>
  <c r="DI3" i="2"/>
  <c r="DA3" i="2"/>
  <c r="CS3" i="2"/>
  <c r="CK3" i="2"/>
  <c r="CC3" i="2"/>
  <c r="BU3" i="2"/>
  <c r="AW275" i="2" l="1"/>
  <c r="BH275" i="2"/>
  <c r="BI275" i="2" s="1"/>
  <c r="BO275" i="2" s="1"/>
  <c r="AW398" i="2"/>
  <c r="BH398" i="2"/>
  <c r="BI398" i="2" s="1"/>
  <c r="AW364" i="2"/>
  <c r="BP364" i="2"/>
  <c r="BH364" i="2"/>
  <c r="AW340" i="2"/>
  <c r="BP340" i="2"/>
  <c r="BH340" i="2"/>
  <c r="AW271" i="2"/>
  <c r="BH271" i="2"/>
  <c r="BP271" i="2"/>
  <c r="BP5" i="2"/>
  <c r="AW5" i="2"/>
  <c r="BP12" i="2"/>
  <c r="AW12" i="2"/>
  <c r="AW454" i="2"/>
  <c r="BH454" i="2"/>
  <c r="BP454" i="2"/>
  <c r="AW262" i="2"/>
  <c r="BH262" i="2"/>
  <c r="BP262" i="2"/>
  <c r="AW412" i="2"/>
  <c r="BH412" i="2"/>
  <c r="BP412" i="2"/>
  <c r="AW146" i="2"/>
  <c r="BP146" i="2"/>
  <c r="BH146" i="2"/>
  <c r="BP6" i="2"/>
  <c r="AW6" i="2"/>
  <c r="AW83" i="2"/>
  <c r="BH83" i="2"/>
  <c r="BP83" i="2"/>
  <c r="AW459" i="2"/>
  <c r="BP459" i="2"/>
  <c r="BH459" i="2"/>
  <c r="AW170" i="2"/>
  <c r="BH170" i="2"/>
  <c r="BP170" i="2"/>
  <c r="AW34" i="2"/>
  <c r="BH34" i="2"/>
  <c r="BP34" i="2"/>
  <c r="AW429" i="2"/>
  <c r="BH429" i="2"/>
  <c r="BP429" i="2"/>
  <c r="AW84" i="2"/>
  <c r="BH84" i="2"/>
  <c r="BP84" i="2"/>
  <c r="BI180" i="2"/>
  <c r="BQ180" i="2"/>
  <c r="AW357" i="2"/>
  <c r="BP357" i="2"/>
  <c r="BH357" i="2"/>
  <c r="AW414" i="2"/>
  <c r="BH414" i="2"/>
  <c r="BP414" i="2"/>
  <c r="BI92" i="2"/>
  <c r="BQ92" i="2"/>
  <c r="AW437" i="2"/>
  <c r="BH437" i="2"/>
  <c r="BP437" i="2"/>
  <c r="AW375" i="2"/>
  <c r="BH375" i="2"/>
  <c r="BP375" i="2"/>
  <c r="AW224" i="2"/>
  <c r="BH224" i="2"/>
  <c r="BP224" i="2"/>
  <c r="AW178" i="2"/>
  <c r="BH178" i="2"/>
  <c r="BP178" i="2"/>
  <c r="AW168" i="2"/>
  <c r="BH168" i="2"/>
  <c r="BP168" i="2"/>
  <c r="AW427" i="2"/>
  <c r="BH427" i="2"/>
  <c r="BP427" i="2"/>
  <c r="BI401" i="2"/>
  <c r="BQ401" i="2"/>
  <c r="AW97" i="2"/>
  <c r="BH97" i="2"/>
  <c r="BP97" i="2"/>
  <c r="AW29" i="2"/>
  <c r="BP29" i="2"/>
  <c r="BH29" i="2"/>
  <c r="AW345" i="2"/>
  <c r="BP345" i="2"/>
  <c r="BH345" i="2"/>
  <c r="AW222" i="2"/>
  <c r="BH222" i="2"/>
  <c r="BP222" i="2"/>
  <c r="AW65" i="2"/>
  <c r="BH65" i="2"/>
  <c r="BP65" i="2"/>
  <c r="BI145" i="2"/>
  <c r="BQ145" i="2"/>
  <c r="AW334" i="2"/>
  <c r="BH334" i="2"/>
  <c r="BP334" i="2"/>
  <c r="AW45" i="2"/>
  <c r="BH45" i="2"/>
  <c r="BP45" i="2"/>
  <c r="AW411" i="2"/>
  <c r="BH411" i="2"/>
  <c r="BP411" i="2"/>
  <c r="AW37" i="2"/>
  <c r="BP37" i="2"/>
  <c r="BH37" i="2"/>
  <c r="BI167" i="2"/>
  <c r="BQ167" i="2"/>
  <c r="AW399" i="2"/>
  <c r="BH399" i="2"/>
  <c r="BP399" i="2"/>
  <c r="AW123" i="2"/>
  <c r="BH123" i="2"/>
  <c r="BP123" i="2"/>
  <c r="AQ10" i="2"/>
  <c r="AW91" i="2"/>
  <c r="BH91" i="2"/>
  <c r="BP91" i="2"/>
  <c r="AW129" i="2"/>
  <c r="BP129" i="2"/>
  <c r="BH129" i="2"/>
  <c r="AW95" i="2"/>
  <c r="BH95" i="2"/>
  <c r="BP95" i="2"/>
  <c r="AW491" i="2"/>
  <c r="BP491" i="2"/>
  <c r="BH491" i="2"/>
  <c r="AW490" i="2"/>
  <c r="BH490" i="2"/>
  <c r="BP490" i="2"/>
  <c r="AW443" i="2"/>
  <c r="BP443" i="2"/>
  <c r="BH443" i="2"/>
  <c r="BI56" i="2"/>
  <c r="BQ56" i="2"/>
  <c r="AW279" i="2"/>
  <c r="BH279" i="2"/>
  <c r="BP279" i="2"/>
  <c r="BI200" i="2"/>
  <c r="BQ200" i="2"/>
  <c r="BI72" i="2"/>
  <c r="BQ72" i="2"/>
  <c r="AW69" i="2"/>
  <c r="BH69" i="2"/>
  <c r="BP69" i="2"/>
  <c r="AW54" i="2"/>
  <c r="BH54" i="2"/>
  <c r="BP54" i="2"/>
  <c r="AW413" i="2"/>
  <c r="BH413" i="2"/>
  <c r="BP413" i="2"/>
  <c r="AW432" i="2"/>
  <c r="BH432" i="2"/>
  <c r="BP432" i="2"/>
  <c r="AW31" i="2"/>
  <c r="BP31" i="2"/>
  <c r="BH31" i="2"/>
  <c r="AW99" i="2"/>
  <c r="BP99" i="2"/>
  <c r="BH99" i="2"/>
  <c r="AW188" i="2"/>
  <c r="BP188" i="2"/>
  <c r="BH188" i="2"/>
  <c r="AW197" i="2"/>
  <c r="BH197" i="2"/>
  <c r="BP197" i="2"/>
  <c r="AW403" i="2"/>
  <c r="BP403" i="2"/>
  <c r="BH403" i="2"/>
  <c r="AW278" i="2"/>
  <c r="BH278" i="2"/>
  <c r="BP278" i="2"/>
  <c r="AW215" i="2"/>
  <c r="BP215" i="2"/>
  <c r="BH215" i="2"/>
  <c r="AW341" i="2"/>
  <c r="BH341" i="2"/>
  <c r="BP341" i="2"/>
  <c r="AW479" i="2"/>
  <c r="BP479" i="2"/>
  <c r="BH479" i="2"/>
  <c r="AW359" i="2"/>
  <c r="BH359" i="2"/>
  <c r="BP359" i="2"/>
  <c r="AW419" i="2"/>
  <c r="BH419" i="2"/>
  <c r="BP419" i="2"/>
  <c r="AW422" i="2"/>
  <c r="BH422" i="2"/>
  <c r="BP422" i="2"/>
  <c r="AW36" i="2"/>
  <c r="BH36" i="2"/>
  <c r="BP36" i="2"/>
  <c r="AW244" i="2"/>
  <c r="BH244" i="2"/>
  <c r="BP244" i="2"/>
  <c r="BI96" i="2"/>
  <c r="BQ96" i="2"/>
  <c r="AW486" i="2"/>
  <c r="BH486" i="2"/>
  <c r="BP486" i="2"/>
  <c r="AW347" i="2"/>
  <c r="BP347" i="2"/>
  <c r="BH347" i="2"/>
  <c r="BI147" i="2"/>
  <c r="BQ147" i="2"/>
  <c r="BP14" i="2"/>
  <c r="AW14" i="2"/>
  <c r="AQ19" i="2"/>
  <c r="AW428" i="2"/>
  <c r="BH428" i="2"/>
  <c r="BP428" i="2"/>
  <c r="AW394" i="2"/>
  <c r="BH394" i="2"/>
  <c r="BP394" i="2"/>
  <c r="BI488" i="2"/>
  <c r="BQ488" i="2"/>
  <c r="AW433" i="2"/>
  <c r="BP433" i="2"/>
  <c r="BH433" i="2"/>
  <c r="AW450" i="2"/>
  <c r="BH450" i="2"/>
  <c r="BP450" i="2"/>
  <c r="AW406" i="2"/>
  <c r="BP406" i="2"/>
  <c r="BH406" i="2"/>
  <c r="AW32" i="2"/>
  <c r="BH32" i="2"/>
  <c r="BP32" i="2"/>
  <c r="AW211" i="2"/>
  <c r="BH211" i="2"/>
  <c r="BP211" i="2"/>
  <c r="AW329" i="2"/>
  <c r="BH329" i="2"/>
  <c r="BP329" i="2"/>
  <c r="AW93" i="2"/>
  <c r="BH93" i="2"/>
  <c r="BP93" i="2"/>
  <c r="AW141" i="2"/>
  <c r="BH141" i="2"/>
  <c r="BP141" i="2"/>
  <c r="AW127" i="2"/>
  <c r="BP127" i="2"/>
  <c r="BH127" i="2"/>
  <c r="AW369" i="2"/>
  <c r="BP369" i="2"/>
  <c r="BH369" i="2"/>
  <c r="BI64" i="2"/>
  <c r="BQ64" i="2"/>
  <c r="AW71" i="2"/>
  <c r="BH71" i="2"/>
  <c r="BP71" i="2"/>
  <c r="AW50" i="2"/>
  <c r="BP50" i="2"/>
  <c r="BH50" i="2"/>
  <c r="AW452" i="2"/>
  <c r="BH452" i="2"/>
  <c r="BP452" i="2"/>
  <c r="AW458" i="2"/>
  <c r="BH458" i="2"/>
  <c r="BP458" i="2"/>
  <c r="AW353" i="2"/>
  <c r="BH353" i="2"/>
  <c r="BP353" i="2"/>
  <c r="AW409" i="2"/>
  <c r="BH409" i="2"/>
  <c r="BP409" i="2"/>
  <c r="AW481" i="2"/>
  <c r="BH481" i="2"/>
  <c r="BP481" i="2"/>
  <c r="AW333" i="2"/>
  <c r="BH333" i="2"/>
  <c r="BP333" i="2"/>
  <c r="AW498" i="2"/>
  <c r="BH498" i="2"/>
  <c r="BP498" i="2"/>
  <c r="BI156" i="2"/>
  <c r="BQ156" i="2"/>
  <c r="AW231" i="2"/>
  <c r="BH231" i="2"/>
  <c r="BP231" i="2"/>
  <c r="AW442" i="2"/>
  <c r="BH442" i="2"/>
  <c r="BP442" i="2"/>
  <c r="AW426" i="2"/>
  <c r="BH426" i="2"/>
  <c r="BP426" i="2"/>
  <c r="AW49" i="2"/>
  <c r="BH49" i="2"/>
  <c r="BP49" i="2"/>
  <c r="AW473" i="2"/>
  <c r="BH473" i="2"/>
  <c r="BP473" i="2"/>
  <c r="AW424" i="2"/>
  <c r="BH424" i="2"/>
  <c r="BP424" i="2"/>
  <c r="BI80" i="2"/>
  <c r="BQ80" i="2"/>
  <c r="AW418" i="2"/>
  <c r="BH418" i="2"/>
  <c r="BP418" i="2"/>
  <c r="BP13" i="2"/>
  <c r="AW13" i="2"/>
  <c r="BP4" i="2"/>
  <c r="AW4" i="2"/>
  <c r="AW55" i="2"/>
  <c r="BH55" i="2"/>
  <c r="BP55" i="2"/>
  <c r="AW408" i="2"/>
  <c r="BH408" i="2"/>
  <c r="BP408" i="2"/>
  <c r="AW405" i="2"/>
  <c r="BH405" i="2"/>
  <c r="BP405" i="2"/>
  <c r="AW218" i="2"/>
  <c r="BH218" i="2"/>
  <c r="BP218" i="2"/>
  <c r="AW28" i="2"/>
  <c r="BH28" i="2"/>
  <c r="BP28" i="2"/>
  <c r="BI119" i="2"/>
  <c r="BQ119" i="2"/>
  <c r="AW111" i="2"/>
  <c r="BP111" i="2"/>
  <c r="BH111" i="2"/>
  <c r="AW338" i="2"/>
  <c r="BH338" i="2"/>
  <c r="BP338" i="2"/>
  <c r="AW52" i="2"/>
  <c r="BP52" i="2"/>
  <c r="BH52" i="2"/>
  <c r="AW139" i="2"/>
  <c r="BH139" i="2"/>
  <c r="BP139" i="2"/>
  <c r="AW61" i="2"/>
  <c r="BH61" i="2"/>
  <c r="BP61" i="2"/>
  <c r="AW311" i="2"/>
  <c r="BP311" i="2"/>
  <c r="BH311" i="2"/>
  <c r="AW209" i="2"/>
  <c r="BH209" i="2"/>
  <c r="BP209" i="2"/>
  <c r="AQ15" i="2"/>
  <c r="AV15" i="2"/>
  <c r="AW462" i="2"/>
  <c r="BH462" i="2"/>
  <c r="BP462" i="2"/>
  <c r="AW109" i="2"/>
  <c r="BP109" i="2"/>
  <c r="BH109" i="2"/>
  <c r="AW30" i="2"/>
  <c r="BP30" i="2"/>
  <c r="BH30" i="2"/>
  <c r="BI189" i="2"/>
  <c r="BQ189" i="2"/>
  <c r="AW87" i="2"/>
  <c r="BH87" i="2"/>
  <c r="BP87" i="2"/>
  <c r="AW47" i="2"/>
  <c r="BP47" i="2"/>
  <c r="BH47" i="2"/>
  <c r="BI60" i="2"/>
  <c r="BQ60" i="2"/>
  <c r="AW324" i="2"/>
  <c r="BH324" i="2"/>
  <c r="BP324" i="2"/>
  <c r="AW435" i="2"/>
  <c r="BH435" i="2"/>
  <c r="BP435" i="2"/>
  <c r="AW230" i="2"/>
  <c r="BH230" i="2"/>
  <c r="BP230" i="2"/>
  <c r="AW390" i="2"/>
  <c r="BH390" i="2"/>
  <c r="BP390" i="2"/>
  <c r="BI184" i="2"/>
  <c r="BQ184" i="2"/>
  <c r="AW378" i="2"/>
  <c r="BH378" i="2"/>
  <c r="BP378" i="2"/>
  <c r="AW204" i="2"/>
  <c r="BP204" i="2"/>
  <c r="BH204" i="2"/>
  <c r="BI66" i="2"/>
  <c r="BQ66" i="2"/>
  <c r="AW416" i="2"/>
  <c r="BH416" i="2"/>
  <c r="BP416" i="2"/>
  <c r="AW171" i="2"/>
  <c r="BH171" i="2"/>
  <c r="BP171" i="2"/>
  <c r="AW223" i="2"/>
  <c r="BH223" i="2"/>
  <c r="BP223" i="2"/>
  <c r="AW237" i="2"/>
  <c r="BH237" i="2"/>
  <c r="BP237" i="2"/>
  <c r="AW59" i="2"/>
  <c r="BH59" i="2"/>
  <c r="BP59" i="2"/>
  <c r="AW349" i="2"/>
  <c r="BH349" i="2"/>
  <c r="BP349" i="2"/>
  <c r="AW404" i="2"/>
  <c r="BH404" i="2"/>
  <c r="BP404" i="2"/>
  <c r="BI447" i="2"/>
  <c r="BQ447" i="2"/>
  <c r="AW460" i="2"/>
  <c r="BH460" i="2"/>
  <c r="BP460" i="2"/>
  <c r="BI331" i="2"/>
  <c r="BQ331" i="2"/>
  <c r="AW252" i="2"/>
  <c r="BP252" i="2"/>
  <c r="BH252" i="2"/>
  <c r="AW354" i="2"/>
  <c r="BH354" i="2"/>
  <c r="BP354" i="2"/>
  <c r="AW101" i="2"/>
  <c r="BH101" i="2"/>
  <c r="BP101" i="2"/>
  <c r="AW164" i="2"/>
  <c r="BH164" i="2"/>
  <c r="BP164" i="2"/>
  <c r="BI149" i="2"/>
  <c r="BQ149" i="2"/>
  <c r="AW374" i="2"/>
  <c r="BP374" i="2"/>
  <c r="BH374" i="2"/>
  <c r="AW363" i="2"/>
  <c r="BH363" i="2"/>
  <c r="BP363" i="2"/>
  <c r="BI185" i="2"/>
  <c r="BQ185" i="2"/>
  <c r="AW53" i="2"/>
  <c r="BH53" i="2"/>
  <c r="BP53" i="2"/>
  <c r="BI98" i="2"/>
  <c r="BQ98" i="2"/>
  <c r="AW425" i="2"/>
  <c r="BH425" i="2"/>
  <c r="BP425" i="2"/>
  <c r="AW105" i="2"/>
  <c r="BH105" i="2"/>
  <c r="BP105" i="2"/>
  <c r="AW27" i="2"/>
  <c r="BP27" i="2"/>
  <c r="BH27" i="2"/>
  <c r="BI228" i="2"/>
  <c r="BQ228" i="2"/>
  <c r="AW485" i="2"/>
  <c r="BH485" i="2"/>
  <c r="BP485" i="2"/>
  <c r="AW356" i="2"/>
  <c r="BH356" i="2"/>
  <c r="BP356" i="2"/>
  <c r="AW107" i="2"/>
  <c r="BH107" i="2"/>
  <c r="BP107" i="2"/>
  <c r="AW33" i="2"/>
  <c r="BH33" i="2"/>
  <c r="BP33" i="2"/>
  <c r="AW198" i="2"/>
  <c r="BH198" i="2"/>
  <c r="BP198" i="2"/>
  <c r="BP7" i="2"/>
  <c r="AW7" i="2"/>
  <c r="BI210" i="2"/>
  <c r="BQ210" i="2"/>
  <c r="BI196" i="2"/>
  <c r="BQ196" i="2"/>
  <c r="AW135" i="2"/>
  <c r="BH135" i="2"/>
  <c r="BP135" i="2"/>
  <c r="AW421" i="2"/>
  <c r="BH421" i="2"/>
  <c r="BP421" i="2"/>
  <c r="BI226" i="2"/>
  <c r="BQ226" i="2"/>
  <c r="AW38" i="2"/>
  <c r="BH38" i="2"/>
  <c r="BP38" i="2"/>
  <c r="AW46" i="2"/>
  <c r="BH46" i="2"/>
  <c r="BP46" i="2"/>
  <c r="AW225" i="2"/>
  <c r="BP225" i="2"/>
  <c r="BH225" i="2"/>
  <c r="AW344" i="2"/>
  <c r="BP344" i="2"/>
  <c r="BH344" i="2"/>
  <c r="AW233" i="2"/>
  <c r="BH233" i="2"/>
  <c r="BP233" i="2"/>
  <c r="BI100" i="2"/>
  <c r="BQ100" i="2"/>
  <c r="AW51" i="2"/>
  <c r="BH51" i="2"/>
  <c r="BP51" i="2"/>
  <c r="AW140" i="2"/>
  <c r="BH140" i="2"/>
  <c r="BP140" i="2"/>
  <c r="AQ16" i="2"/>
  <c r="AV16" i="2"/>
  <c r="AW138" i="2"/>
  <c r="BH138" i="2"/>
  <c r="BP138" i="2"/>
  <c r="AW434" i="2"/>
  <c r="BH434" i="2"/>
  <c r="BP434" i="2"/>
  <c r="AW355" i="2"/>
  <c r="BH355" i="2"/>
  <c r="BP355" i="2"/>
  <c r="AW417" i="2"/>
  <c r="BP417" i="2"/>
  <c r="BH417" i="2"/>
  <c r="AW444" i="2"/>
  <c r="BH444" i="2"/>
  <c r="BP444" i="2"/>
  <c r="AW157" i="2"/>
  <c r="BH157" i="2"/>
  <c r="BP157" i="2"/>
  <c r="AW343" i="2"/>
  <c r="BH343" i="2"/>
  <c r="BP343" i="2"/>
  <c r="AW73" i="2"/>
  <c r="BH73" i="2"/>
  <c r="BP73" i="2"/>
  <c r="AW205" i="2"/>
  <c r="BH205" i="2"/>
  <c r="BP205" i="2"/>
  <c r="BI76" i="2"/>
  <c r="BQ76" i="2"/>
  <c r="BI199" i="2"/>
  <c r="BQ199" i="2"/>
  <c r="AW342" i="2"/>
  <c r="BH342" i="2"/>
  <c r="BP342" i="2"/>
  <c r="AW449" i="2"/>
  <c r="BH449" i="2"/>
  <c r="BP449" i="2"/>
  <c r="AW482" i="2"/>
  <c r="BH482" i="2"/>
  <c r="BP482" i="2"/>
  <c r="BI396" i="2"/>
  <c r="BQ396" i="2"/>
  <c r="AW103" i="2"/>
  <c r="BH103" i="2"/>
  <c r="BP103" i="2"/>
  <c r="BI26" i="2"/>
  <c r="BQ26" i="2"/>
  <c r="AW386" i="2"/>
  <c r="BH386" i="2"/>
  <c r="BP386" i="2"/>
  <c r="AW206" i="2"/>
  <c r="BH206" i="2"/>
  <c r="BP206" i="2"/>
  <c r="AW39" i="2"/>
  <c r="BH39" i="2"/>
  <c r="BP39" i="2"/>
  <c r="BI328" i="2"/>
  <c r="BQ328" i="2"/>
  <c r="AW441" i="2"/>
  <c r="BH441" i="2"/>
  <c r="BP441" i="2"/>
  <c r="AW194" i="2"/>
  <c r="BH194" i="2"/>
  <c r="BP194" i="2"/>
  <c r="BI175" i="2"/>
  <c r="BQ175" i="2"/>
  <c r="AW400" i="2"/>
  <c r="BH400" i="2"/>
  <c r="BP400" i="2"/>
  <c r="AW41" i="2"/>
  <c r="BP41" i="2"/>
  <c r="BH41" i="2"/>
  <c r="AW267" i="2"/>
  <c r="BH267" i="2"/>
  <c r="BP267" i="2"/>
  <c r="AW35" i="2"/>
  <c r="BH35" i="2"/>
  <c r="BP35" i="2"/>
  <c r="AW75" i="2"/>
  <c r="BH75" i="2"/>
  <c r="BP75" i="2"/>
  <c r="AW430" i="2"/>
  <c r="BH430" i="2"/>
  <c r="BP430" i="2"/>
  <c r="AW43" i="2"/>
  <c r="BH43" i="2"/>
  <c r="BP43" i="2"/>
  <c r="BI68" i="2"/>
  <c r="BQ68" i="2"/>
  <c r="AW159" i="2"/>
  <c r="BH159" i="2"/>
  <c r="BP159" i="2"/>
  <c r="AW352" i="2"/>
  <c r="BP352" i="2"/>
  <c r="BH352" i="2"/>
  <c r="AW63" i="2"/>
  <c r="BH63" i="2"/>
  <c r="BP63" i="2"/>
  <c r="BI88" i="2"/>
  <c r="BQ88" i="2"/>
  <c r="AW453" i="2"/>
  <c r="BH453" i="2"/>
  <c r="BP453" i="2"/>
  <c r="AW253" i="2"/>
  <c r="BH253" i="2"/>
  <c r="BP253" i="2"/>
  <c r="AW89" i="2"/>
  <c r="BH89" i="2"/>
  <c r="BP89" i="2"/>
  <c r="AW213" i="2"/>
  <c r="BH213" i="2"/>
  <c r="BP213" i="2"/>
  <c r="AW155" i="2"/>
  <c r="BH155" i="2"/>
  <c r="BP155" i="2"/>
  <c r="AW67" i="2"/>
  <c r="BH67" i="2"/>
  <c r="BP67" i="2"/>
  <c r="AW415" i="2"/>
  <c r="BH415" i="2"/>
  <c r="BP415" i="2"/>
  <c r="AW436" i="2"/>
  <c r="BH436" i="2"/>
  <c r="BP436" i="2"/>
  <c r="BP11" i="2"/>
  <c r="AW11" i="2"/>
  <c r="AW227" i="2"/>
  <c r="BH227" i="2"/>
  <c r="BP227" i="2"/>
  <c r="AW44" i="2"/>
  <c r="BH44" i="2"/>
  <c r="BP44" i="2"/>
  <c r="BI142" i="2"/>
  <c r="BQ142" i="2"/>
  <c r="BI143" i="2"/>
  <c r="BQ143" i="2"/>
  <c r="AW420" i="2"/>
  <c r="BP420" i="2"/>
  <c r="BH420" i="2"/>
  <c r="AW407" i="2"/>
  <c r="BP407" i="2"/>
  <c r="BH407" i="2"/>
  <c r="AW57" i="2"/>
  <c r="BH57" i="2"/>
  <c r="BP57" i="2"/>
  <c r="AW77" i="2"/>
  <c r="BP77" i="2"/>
  <c r="BH77" i="2"/>
  <c r="BI148" i="2"/>
  <c r="BQ148" i="2"/>
  <c r="AW379" i="2"/>
  <c r="BH379" i="2"/>
  <c r="BP379" i="2"/>
  <c r="BP163" i="2"/>
  <c r="AW163" i="2"/>
  <c r="BH163" i="2"/>
  <c r="AW236" i="2"/>
  <c r="BP236" i="2"/>
  <c r="BH236" i="2"/>
  <c r="AW245" i="2"/>
  <c r="BH245" i="2"/>
  <c r="BP245" i="2"/>
  <c r="AW137" i="2"/>
  <c r="BH137" i="2"/>
  <c r="BP137" i="2"/>
  <c r="AW183" i="2"/>
  <c r="BH183" i="2"/>
  <c r="BP183" i="2"/>
  <c r="BI410" i="2"/>
  <c r="BQ410" i="2"/>
  <c r="AW455" i="2"/>
  <c r="BH455" i="2"/>
  <c r="BP455" i="2"/>
  <c r="AW382" i="2"/>
  <c r="BH382" i="2"/>
  <c r="BP382" i="2"/>
  <c r="AW193" i="2"/>
  <c r="BP193" i="2"/>
  <c r="BH193" i="2"/>
  <c r="BI201" i="2"/>
  <c r="BQ201" i="2"/>
  <c r="AW85" i="2"/>
  <c r="BH85" i="2"/>
  <c r="BP85" i="2"/>
  <c r="AW464" i="2"/>
  <c r="BH464" i="2"/>
  <c r="BP464" i="2"/>
  <c r="AW79" i="2"/>
  <c r="BP79" i="2"/>
  <c r="BH79" i="2"/>
  <c r="BI336" i="2"/>
  <c r="BQ336" i="2"/>
  <c r="AW81" i="2"/>
  <c r="BP81" i="2"/>
  <c r="BH81" i="2"/>
  <c r="AW162" i="2"/>
  <c r="BH162" i="2"/>
  <c r="BP162" i="2"/>
  <c r="AW377" i="2"/>
  <c r="BH377" i="2"/>
  <c r="BP377" i="2"/>
  <c r="AW269" i="2"/>
  <c r="BP269" i="2"/>
  <c r="BH269" i="2"/>
  <c r="BI150" i="2"/>
  <c r="BQ150" i="2"/>
  <c r="AW108" i="2"/>
  <c r="BP108" i="2"/>
  <c r="BH108" i="2"/>
  <c r="BH476" i="2"/>
  <c r="BI476" i="2" s="1"/>
  <c r="BP476" i="2"/>
  <c r="BH496" i="2"/>
  <c r="BI496" i="2" s="1"/>
  <c r="BP496" i="2"/>
  <c r="BH276" i="2"/>
  <c r="BI276" i="2" s="1"/>
  <c r="BP276" i="2"/>
  <c r="BQ312" i="2"/>
  <c r="BH239" i="2"/>
  <c r="BI239" i="2" s="1"/>
  <c r="BP239" i="2"/>
  <c r="BQ475" i="2"/>
  <c r="BH438" i="2"/>
  <c r="BI438" i="2" s="1"/>
  <c r="BP438" i="2"/>
  <c r="BH235" i="2"/>
  <c r="BI235" i="2" s="1"/>
  <c r="BP235" i="2"/>
  <c r="BH240" i="2"/>
  <c r="BI240" i="2" s="1"/>
  <c r="BP240" i="2"/>
  <c r="BQ402" i="2"/>
  <c r="BO321" i="2"/>
  <c r="BR321" i="2"/>
  <c r="BQ277" i="2"/>
  <c r="BQ285" i="2"/>
  <c r="BQ305" i="2"/>
  <c r="BH365" i="2"/>
  <c r="BI365" i="2" s="1"/>
  <c r="BP365" i="2"/>
  <c r="BH373" i="2"/>
  <c r="BI373" i="2" s="1"/>
  <c r="BP373" i="2"/>
  <c r="BQ313" i="2"/>
  <c r="BR208" i="2"/>
  <c r="BO208" i="2"/>
  <c r="BQ303" i="2"/>
  <c r="BQ440" i="2"/>
  <c r="BH249" i="2"/>
  <c r="BI249" i="2" s="1"/>
  <c r="BP249" i="2"/>
  <c r="BH465" i="2"/>
  <c r="BI465" i="2" s="1"/>
  <c r="BP465" i="2"/>
  <c r="BO300" i="2"/>
  <c r="BR300" i="2"/>
  <c r="BQ315" i="2"/>
  <c r="BR274" i="2"/>
  <c r="BO274" i="2"/>
  <c r="BQ286" i="2"/>
  <c r="BH348" i="2"/>
  <c r="BI348" i="2" s="1"/>
  <c r="BP348" i="2"/>
  <c r="BQ306" i="2"/>
  <c r="BQ283" i="2"/>
  <c r="BQ117" i="2"/>
  <c r="BQ130" i="2"/>
  <c r="BR398" i="2"/>
  <c r="BO398" i="2"/>
  <c r="BH483" i="2"/>
  <c r="BI483" i="2" s="1"/>
  <c r="BP483" i="2"/>
  <c r="BH326" i="2"/>
  <c r="BI326" i="2" s="1"/>
  <c r="BP326" i="2"/>
  <c r="BH456" i="2"/>
  <c r="BI456" i="2" s="1"/>
  <c r="BP456" i="2"/>
  <c r="BQ297" i="2"/>
  <c r="BH494" i="2"/>
  <c r="BI494" i="2" s="1"/>
  <c r="BP494" i="2"/>
  <c r="BQ131" i="2"/>
  <c r="BH257" i="2"/>
  <c r="BI257" i="2" s="1"/>
  <c r="BP257" i="2"/>
  <c r="BO461" i="2"/>
  <c r="BR461" i="2"/>
  <c r="BQ317" i="2"/>
  <c r="AV19" i="2"/>
  <c r="AW19" i="2" s="1"/>
  <c r="BQ296" i="2"/>
  <c r="BQ299" i="2"/>
  <c r="BQ463" i="2"/>
  <c r="BH266" i="2"/>
  <c r="BI266" i="2" s="1"/>
  <c r="BP266" i="2"/>
  <c r="BQ314" i="2"/>
  <c r="BH280" i="2"/>
  <c r="BI280" i="2" s="1"/>
  <c r="BP280" i="2"/>
  <c r="BH337" i="2"/>
  <c r="BI337" i="2" s="1"/>
  <c r="BP337" i="2"/>
  <c r="BH259" i="2"/>
  <c r="BI259" i="2" s="1"/>
  <c r="BP259" i="2"/>
  <c r="BO21" i="2"/>
  <c r="BR21" i="2"/>
  <c r="BQ265" i="2"/>
  <c r="BQ115" i="2"/>
  <c r="BQ361" i="2"/>
  <c r="BH242" i="2"/>
  <c r="BI242" i="2" s="1"/>
  <c r="BP242" i="2"/>
  <c r="BQ292" i="2"/>
  <c r="BQ263" i="2"/>
  <c r="BR275" i="2"/>
  <c r="BH248" i="2"/>
  <c r="BI248" i="2" s="1"/>
  <c r="BP248" i="2"/>
  <c r="BH113" i="2"/>
  <c r="BI113" i="2" s="1"/>
  <c r="BP113" i="2"/>
  <c r="BH495" i="2"/>
  <c r="BI495" i="2" s="1"/>
  <c r="BP495" i="2"/>
  <c r="BH493" i="2"/>
  <c r="BI493" i="2" s="1"/>
  <c r="BP493" i="2"/>
  <c r="BQ298" i="2"/>
  <c r="BQ288" i="2"/>
  <c r="BO487" i="2"/>
  <c r="BR487" i="2"/>
  <c r="BH238" i="2"/>
  <c r="BI238" i="2" s="1"/>
  <c r="BP238" i="2"/>
  <c r="BH366" i="2"/>
  <c r="BI366" i="2" s="1"/>
  <c r="BP366" i="2"/>
  <c r="BQ310" i="2"/>
  <c r="BQ294" i="2"/>
  <c r="BQ362" i="2"/>
  <c r="BQ322" i="2"/>
  <c r="BH451" i="2"/>
  <c r="BI451" i="2" s="1"/>
  <c r="BP451" i="2"/>
  <c r="BQ302" i="2"/>
  <c r="BQ121" i="2"/>
  <c r="BQ308" i="2"/>
  <c r="BQ273" i="2"/>
  <c r="BH250" i="2"/>
  <c r="BI250" i="2" s="1"/>
  <c r="BP250" i="2"/>
  <c r="BQ116" i="2"/>
  <c r="BQ471" i="2"/>
  <c r="BH370" i="2"/>
  <c r="BI370" i="2" s="1"/>
  <c r="BP370" i="2"/>
  <c r="BP22" i="2"/>
  <c r="BH22" i="2"/>
  <c r="BI22" i="2" s="1"/>
  <c r="BQ318" i="2"/>
  <c r="BH234" i="2"/>
  <c r="BI234" i="2" s="1"/>
  <c r="BP234" i="2"/>
  <c r="BQ316" i="2"/>
  <c r="BH258" i="2"/>
  <c r="BI258" i="2" s="1"/>
  <c r="BP258" i="2"/>
  <c r="BQ307" i="2"/>
  <c r="BH484" i="2"/>
  <c r="BI484" i="2" s="1"/>
  <c r="BP484" i="2"/>
  <c r="BQ295" i="2"/>
  <c r="BH467" i="2"/>
  <c r="BI467" i="2" s="1"/>
  <c r="BP467" i="2"/>
  <c r="BH268" i="2"/>
  <c r="BI268" i="2" s="1"/>
  <c r="BP268" i="2"/>
  <c r="BQ301" i="2"/>
  <c r="BQ320" i="2"/>
  <c r="BH350" i="2"/>
  <c r="BI350" i="2" s="1"/>
  <c r="BP350" i="2"/>
  <c r="BQ309" i="2"/>
  <c r="BQ439" i="2"/>
  <c r="BQ114" i="2"/>
  <c r="BQ284" i="2"/>
  <c r="BH431" i="2"/>
  <c r="BI431" i="2" s="1"/>
  <c r="BP431" i="2"/>
  <c r="BH251" i="2"/>
  <c r="BI251" i="2" s="1"/>
  <c r="BP251" i="2"/>
  <c r="BH246" i="2"/>
  <c r="BI246" i="2" s="1"/>
  <c r="BP246" i="2"/>
  <c r="BH457" i="2"/>
  <c r="BI457" i="2" s="1"/>
  <c r="BP457" i="2"/>
  <c r="BQ323" i="2"/>
  <c r="BH247" i="2"/>
  <c r="BI247" i="2" s="1"/>
  <c r="BP247" i="2"/>
  <c r="BH469" i="2"/>
  <c r="BI469" i="2" s="1"/>
  <c r="BP469" i="2"/>
  <c r="BQ118" i="2"/>
  <c r="BO304" i="2"/>
  <c r="BR304" i="2"/>
  <c r="BO281" i="2"/>
  <c r="BR281" i="2"/>
  <c r="BH254" i="2"/>
  <c r="BI254" i="2" s="1"/>
  <c r="BP254" i="2"/>
  <c r="BQ132" i="2"/>
  <c r="BH256" i="2"/>
  <c r="BI256" i="2" s="1"/>
  <c r="BP256" i="2"/>
  <c r="BQ448" i="2"/>
  <c r="BH272" i="2"/>
  <c r="BI272" i="2" s="1"/>
  <c r="BP272" i="2"/>
  <c r="BH492" i="2"/>
  <c r="BI492" i="2" s="1"/>
  <c r="BP492" i="2"/>
  <c r="BH264" i="2"/>
  <c r="BI264" i="2" s="1"/>
  <c r="BP264" i="2"/>
  <c r="BQ126" i="2"/>
  <c r="BQ497" i="2"/>
  <c r="BQ282" i="2"/>
  <c r="BQ291" i="2"/>
  <c r="BH255" i="2"/>
  <c r="BI255" i="2" s="1"/>
  <c r="BP255" i="2"/>
  <c r="BH207" i="2"/>
  <c r="BI207" i="2" s="1"/>
  <c r="BP207" i="2"/>
  <c r="BQ293" i="2"/>
  <c r="BQ289" i="2"/>
  <c r="BH423" i="2"/>
  <c r="BI423" i="2" s="1"/>
  <c r="BP423" i="2"/>
  <c r="BQ290" i="2"/>
  <c r="BQ287" i="2"/>
  <c r="BH243" i="2"/>
  <c r="BI243" i="2" s="1"/>
  <c r="BP243" i="2"/>
  <c r="BH133" i="2"/>
  <c r="BI133" i="2" s="1"/>
  <c r="BP133" i="2"/>
  <c r="BQ125" i="2"/>
  <c r="BH260" i="2"/>
  <c r="BI260" i="2" s="1"/>
  <c r="BP260" i="2"/>
  <c r="BQ319" i="2"/>
  <c r="BQ18" i="2"/>
  <c r="BO261" i="2"/>
  <c r="BR261" i="2"/>
  <c r="BH241" i="2"/>
  <c r="BI241" i="2" s="1"/>
  <c r="BP241" i="2"/>
  <c r="DC3" i="2"/>
  <c r="DM3" i="2"/>
  <c r="AV10" i="2"/>
  <c r="AW10" i="2" s="1"/>
  <c r="BH7" i="2"/>
  <c r="BH14" i="2"/>
  <c r="BH12" i="2"/>
  <c r="BH13" i="2"/>
  <c r="BH11" i="2"/>
  <c r="BH4" i="2"/>
  <c r="BI4" i="2" s="1"/>
  <c r="BH5" i="2"/>
  <c r="BH6" i="2"/>
  <c r="BI271" i="2" l="1"/>
  <c r="BQ271" i="2"/>
  <c r="BI340" i="2"/>
  <c r="BQ340" i="2"/>
  <c r="BI364" i="2"/>
  <c r="BQ364" i="2"/>
  <c r="BI453" i="2"/>
  <c r="BQ453" i="2"/>
  <c r="BI43" i="2"/>
  <c r="BQ43" i="2"/>
  <c r="BO100" i="2"/>
  <c r="BR100" i="2"/>
  <c r="BI356" i="2"/>
  <c r="BQ356" i="2"/>
  <c r="BI363" i="2"/>
  <c r="BQ363" i="2"/>
  <c r="BI164" i="2"/>
  <c r="BQ164" i="2"/>
  <c r="BI252" i="2"/>
  <c r="BQ252" i="2"/>
  <c r="BO66" i="2"/>
  <c r="BR66" i="2"/>
  <c r="BO184" i="2"/>
  <c r="BR184" i="2"/>
  <c r="BI435" i="2"/>
  <c r="BQ435" i="2"/>
  <c r="AW15" i="2"/>
  <c r="BP15" i="2"/>
  <c r="BH15" i="2"/>
  <c r="BI409" i="2"/>
  <c r="BQ409" i="2"/>
  <c r="BI329" i="2"/>
  <c r="BQ329" i="2"/>
  <c r="BI406" i="2"/>
  <c r="BQ406" i="2"/>
  <c r="BI278" i="2"/>
  <c r="BQ278" i="2"/>
  <c r="BI54" i="2"/>
  <c r="BQ54" i="2"/>
  <c r="BI357" i="2"/>
  <c r="BQ357" i="2"/>
  <c r="BQ12" i="2"/>
  <c r="BI12" i="2"/>
  <c r="BR150" i="2"/>
  <c r="BO150" i="2"/>
  <c r="BI162" i="2"/>
  <c r="BQ162" i="2"/>
  <c r="BO148" i="2"/>
  <c r="BR148" i="2"/>
  <c r="BR142" i="2"/>
  <c r="BO142" i="2"/>
  <c r="BI67" i="2"/>
  <c r="BQ67" i="2"/>
  <c r="BI35" i="2"/>
  <c r="BQ35" i="2"/>
  <c r="BI434" i="2"/>
  <c r="BQ434" i="2"/>
  <c r="BR226" i="2"/>
  <c r="BO226" i="2"/>
  <c r="BO196" i="2"/>
  <c r="BR196" i="2"/>
  <c r="BO98" i="2"/>
  <c r="BR98" i="2"/>
  <c r="BO447" i="2"/>
  <c r="BR447" i="2"/>
  <c r="BI59" i="2"/>
  <c r="BQ59" i="2"/>
  <c r="BI204" i="2"/>
  <c r="BQ204" i="2"/>
  <c r="BR119" i="2"/>
  <c r="BO119" i="2"/>
  <c r="BI405" i="2"/>
  <c r="BQ405" i="2"/>
  <c r="BO80" i="2"/>
  <c r="BR80" i="2"/>
  <c r="BI49" i="2"/>
  <c r="BQ49" i="2"/>
  <c r="BI452" i="2"/>
  <c r="BQ452" i="2"/>
  <c r="BI419" i="2"/>
  <c r="BQ419" i="2"/>
  <c r="BR167" i="2"/>
  <c r="BO167" i="2"/>
  <c r="BI45" i="2"/>
  <c r="BQ45" i="2"/>
  <c r="BI65" i="2"/>
  <c r="BQ65" i="2"/>
  <c r="BI29" i="2"/>
  <c r="BQ29" i="2"/>
  <c r="BI437" i="2"/>
  <c r="BQ437" i="2"/>
  <c r="BI429" i="2"/>
  <c r="BQ429" i="2"/>
  <c r="BI459" i="2"/>
  <c r="BQ459" i="2"/>
  <c r="BI146" i="2"/>
  <c r="BQ146" i="2"/>
  <c r="BI269" i="2"/>
  <c r="BQ269" i="2"/>
  <c r="BO201" i="2"/>
  <c r="BR201" i="2"/>
  <c r="BI455" i="2"/>
  <c r="BQ455" i="2"/>
  <c r="BI137" i="2"/>
  <c r="BQ137" i="2"/>
  <c r="BQ163" i="2"/>
  <c r="BI163" i="2"/>
  <c r="BI77" i="2"/>
  <c r="BQ77" i="2"/>
  <c r="BI89" i="2"/>
  <c r="BQ89" i="2"/>
  <c r="BI400" i="2"/>
  <c r="BQ400" i="2"/>
  <c r="BI441" i="2"/>
  <c r="BQ441" i="2"/>
  <c r="BI206" i="2"/>
  <c r="BQ206" i="2"/>
  <c r="BI103" i="2"/>
  <c r="BQ103" i="2"/>
  <c r="BI449" i="2"/>
  <c r="BQ449" i="2"/>
  <c r="BO76" i="2"/>
  <c r="BR76" i="2"/>
  <c r="BI343" i="2"/>
  <c r="BQ343" i="2"/>
  <c r="BI417" i="2"/>
  <c r="BQ417" i="2"/>
  <c r="BI140" i="2"/>
  <c r="BQ140" i="2"/>
  <c r="BI233" i="2"/>
  <c r="BQ233" i="2"/>
  <c r="BI33" i="2"/>
  <c r="BQ33" i="2"/>
  <c r="BI374" i="2"/>
  <c r="BQ374" i="2"/>
  <c r="BI171" i="2"/>
  <c r="BQ171" i="2"/>
  <c r="BI390" i="2"/>
  <c r="BQ390" i="2"/>
  <c r="BI109" i="2"/>
  <c r="BQ109" i="2"/>
  <c r="BI61" i="2"/>
  <c r="BQ61" i="2"/>
  <c r="BI231" i="2"/>
  <c r="BQ231" i="2"/>
  <c r="BI333" i="2"/>
  <c r="BQ333" i="2"/>
  <c r="BO64" i="2"/>
  <c r="BR64" i="2"/>
  <c r="BI141" i="2"/>
  <c r="BQ141" i="2"/>
  <c r="BO488" i="2"/>
  <c r="BR488" i="2"/>
  <c r="BI341" i="2"/>
  <c r="BQ341" i="2"/>
  <c r="BI403" i="2"/>
  <c r="BQ403" i="2"/>
  <c r="BI432" i="2"/>
  <c r="BQ432" i="2"/>
  <c r="BI279" i="2"/>
  <c r="BQ279" i="2"/>
  <c r="BI490" i="2"/>
  <c r="BQ490" i="2"/>
  <c r="BI129" i="2"/>
  <c r="BQ129" i="2"/>
  <c r="BI37" i="2"/>
  <c r="BQ37" i="2"/>
  <c r="BI427" i="2"/>
  <c r="BQ427" i="2"/>
  <c r="BI81" i="2"/>
  <c r="BQ81" i="2"/>
  <c r="BI193" i="2"/>
  <c r="BQ193" i="2"/>
  <c r="BI420" i="2"/>
  <c r="BQ420" i="2"/>
  <c r="BI44" i="2"/>
  <c r="BQ44" i="2"/>
  <c r="BI436" i="2"/>
  <c r="BQ436" i="2"/>
  <c r="BO88" i="2"/>
  <c r="BR88" i="2"/>
  <c r="BI159" i="2"/>
  <c r="BQ159" i="2"/>
  <c r="BI430" i="2"/>
  <c r="BQ430" i="2"/>
  <c r="BI46" i="2"/>
  <c r="BQ46" i="2"/>
  <c r="BI421" i="2"/>
  <c r="BQ421" i="2"/>
  <c r="BR210" i="2"/>
  <c r="BO210" i="2"/>
  <c r="BI485" i="2"/>
  <c r="BQ485" i="2"/>
  <c r="BI105" i="2"/>
  <c r="BQ105" i="2"/>
  <c r="BI53" i="2"/>
  <c r="BQ53" i="2"/>
  <c r="BI101" i="2"/>
  <c r="BQ101" i="2"/>
  <c r="BI404" i="2"/>
  <c r="BQ404" i="2"/>
  <c r="BI324" i="2"/>
  <c r="BQ324" i="2"/>
  <c r="BI87" i="2"/>
  <c r="BQ87" i="2"/>
  <c r="BI338" i="2"/>
  <c r="BQ338" i="2"/>
  <c r="BI28" i="2"/>
  <c r="BQ28" i="2"/>
  <c r="BI424" i="2"/>
  <c r="BQ424" i="2"/>
  <c r="BI353" i="2"/>
  <c r="BQ353" i="2"/>
  <c r="BI50" i="2"/>
  <c r="BQ50" i="2"/>
  <c r="BI369" i="2"/>
  <c r="BQ369" i="2"/>
  <c r="BI211" i="2"/>
  <c r="BQ211" i="2"/>
  <c r="BI486" i="2"/>
  <c r="BQ486" i="2"/>
  <c r="BI36" i="2"/>
  <c r="BQ36" i="2"/>
  <c r="BI99" i="2"/>
  <c r="BQ99" i="2"/>
  <c r="BI69" i="2"/>
  <c r="BQ69" i="2"/>
  <c r="BI123" i="2"/>
  <c r="BQ123" i="2"/>
  <c r="BI224" i="2"/>
  <c r="BQ224" i="2"/>
  <c r="BI454" i="2"/>
  <c r="BQ454" i="2"/>
  <c r="BQ7" i="2"/>
  <c r="BI7" i="2"/>
  <c r="BI155" i="2"/>
  <c r="BQ155" i="2"/>
  <c r="BI426" i="2"/>
  <c r="BQ426" i="2"/>
  <c r="BI215" i="2"/>
  <c r="BQ215" i="2"/>
  <c r="BI491" i="2"/>
  <c r="BQ491" i="2"/>
  <c r="BI334" i="2"/>
  <c r="BQ334" i="2"/>
  <c r="BI222" i="2"/>
  <c r="BQ222" i="2"/>
  <c r="BR180" i="2"/>
  <c r="BO180" i="2"/>
  <c r="BI34" i="2"/>
  <c r="BQ34" i="2"/>
  <c r="BQ6" i="2"/>
  <c r="BI6" i="2"/>
  <c r="BI464" i="2"/>
  <c r="BQ464" i="2"/>
  <c r="BI267" i="2"/>
  <c r="BQ267" i="2"/>
  <c r="BI205" i="2"/>
  <c r="BQ205" i="2"/>
  <c r="BI138" i="2"/>
  <c r="BQ138" i="2"/>
  <c r="BI344" i="2"/>
  <c r="BQ344" i="2"/>
  <c r="BO331" i="2"/>
  <c r="BR331" i="2"/>
  <c r="BI237" i="2"/>
  <c r="BQ237" i="2"/>
  <c r="BI209" i="2"/>
  <c r="BQ209" i="2"/>
  <c r="BI408" i="2"/>
  <c r="BQ408" i="2"/>
  <c r="BI450" i="2"/>
  <c r="BQ450" i="2"/>
  <c r="BI394" i="2"/>
  <c r="BQ394" i="2"/>
  <c r="BI359" i="2"/>
  <c r="BQ359" i="2"/>
  <c r="BO92" i="2"/>
  <c r="BR92" i="2"/>
  <c r="BQ5" i="2"/>
  <c r="BI5" i="2"/>
  <c r="BI108" i="2"/>
  <c r="BQ108" i="2"/>
  <c r="BR410" i="2"/>
  <c r="BO410" i="2"/>
  <c r="BI245" i="2"/>
  <c r="BQ245" i="2"/>
  <c r="BI253" i="2"/>
  <c r="BQ253" i="2"/>
  <c r="BI63" i="2"/>
  <c r="BQ63" i="2"/>
  <c r="BO175" i="2"/>
  <c r="BR175" i="2"/>
  <c r="BO328" i="2"/>
  <c r="BR328" i="2"/>
  <c r="BI386" i="2"/>
  <c r="BQ386" i="2"/>
  <c r="BO396" i="2"/>
  <c r="BR396" i="2"/>
  <c r="BI342" i="2"/>
  <c r="BQ342" i="2"/>
  <c r="BI157" i="2"/>
  <c r="BQ157" i="2"/>
  <c r="BI51" i="2"/>
  <c r="BQ51" i="2"/>
  <c r="BI107" i="2"/>
  <c r="BQ107" i="2"/>
  <c r="BI416" i="2"/>
  <c r="BQ416" i="2"/>
  <c r="BI378" i="2"/>
  <c r="BQ378" i="2"/>
  <c r="BI230" i="2"/>
  <c r="BQ230" i="2"/>
  <c r="BI139" i="2"/>
  <c r="BQ139" i="2"/>
  <c r="BI111" i="2"/>
  <c r="BQ111" i="2"/>
  <c r="BO156" i="2"/>
  <c r="BR156" i="2"/>
  <c r="BI481" i="2"/>
  <c r="BQ481" i="2"/>
  <c r="BI93" i="2"/>
  <c r="BQ93" i="2"/>
  <c r="BI413" i="2"/>
  <c r="BQ413" i="2"/>
  <c r="BR56" i="2"/>
  <c r="BO56" i="2"/>
  <c r="BI97" i="2"/>
  <c r="BQ97" i="2"/>
  <c r="BI168" i="2"/>
  <c r="BQ168" i="2"/>
  <c r="BI83" i="2"/>
  <c r="BQ83" i="2"/>
  <c r="BI412" i="2"/>
  <c r="BQ412" i="2"/>
  <c r="BI377" i="2"/>
  <c r="BQ377" i="2"/>
  <c r="BI379" i="2"/>
  <c r="BQ379" i="2"/>
  <c r="BI57" i="2"/>
  <c r="BQ57" i="2"/>
  <c r="BI227" i="2"/>
  <c r="BQ227" i="2"/>
  <c r="BI415" i="2"/>
  <c r="BQ415" i="2"/>
  <c r="BO68" i="2"/>
  <c r="BR68" i="2"/>
  <c r="BI75" i="2"/>
  <c r="BQ75" i="2"/>
  <c r="BI41" i="2"/>
  <c r="BQ41" i="2"/>
  <c r="BI355" i="2"/>
  <c r="BQ355" i="2"/>
  <c r="AW16" i="2"/>
  <c r="BH16" i="2"/>
  <c r="BP16" i="2"/>
  <c r="BI38" i="2"/>
  <c r="BQ38" i="2"/>
  <c r="BI135" i="2"/>
  <c r="BQ135" i="2"/>
  <c r="BR228" i="2"/>
  <c r="BO228" i="2"/>
  <c r="BI425" i="2"/>
  <c r="BQ425" i="2"/>
  <c r="BO185" i="2"/>
  <c r="BR185" i="2"/>
  <c r="BR149" i="2"/>
  <c r="BO149" i="2"/>
  <c r="BI354" i="2"/>
  <c r="BQ354" i="2"/>
  <c r="BI460" i="2"/>
  <c r="BQ460" i="2"/>
  <c r="BI349" i="2"/>
  <c r="BQ349" i="2"/>
  <c r="BO60" i="2"/>
  <c r="BR60" i="2"/>
  <c r="BR189" i="2"/>
  <c r="BO189" i="2"/>
  <c r="BI462" i="2"/>
  <c r="BQ462" i="2"/>
  <c r="BI311" i="2"/>
  <c r="BQ311" i="2"/>
  <c r="BI218" i="2"/>
  <c r="BQ218" i="2"/>
  <c r="BI418" i="2"/>
  <c r="BQ418" i="2"/>
  <c r="BI473" i="2"/>
  <c r="BQ473" i="2"/>
  <c r="BI458" i="2"/>
  <c r="BQ458" i="2"/>
  <c r="BI127" i="2"/>
  <c r="BQ127" i="2"/>
  <c r="BI32" i="2"/>
  <c r="BQ32" i="2"/>
  <c r="BI433" i="2"/>
  <c r="BQ433" i="2"/>
  <c r="BR147" i="2"/>
  <c r="BO147" i="2"/>
  <c r="BO96" i="2"/>
  <c r="BR96" i="2"/>
  <c r="BI422" i="2"/>
  <c r="BQ422" i="2"/>
  <c r="BI479" i="2"/>
  <c r="BQ479" i="2"/>
  <c r="BI197" i="2"/>
  <c r="BQ197" i="2"/>
  <c r="BI31" i="2"/>
  <c r="BQ31" i="2"/>
  <c r="BO72" i="2"/>
  <c r="BR72" i="2"/>
  <c r="BI443" i="2"/>
  <c r="BQ443" i="2"/>
  <c r="BI91" i="2"/>
  <c r="BQ91" i="2"/>
  <c r="BI399" i="2"/>
  <c r="BQ399" i="2"/>
  <c r="BI411" i="2"/>
  <c r="BQ411" i="2"/>
  <c r="BI345" i="2"/>
  <c r="BQ345" i="2"/>
  <c r="BI375" i="2"/>
  <c r="BQ375" i="2"/>
  <c r="BI414" i="2"/>
  <c r="BQ414" i="2"/>
  <c r="BI84" i="2"/>
  <c r="BQ84" i="2"/>
  <c r="BQ14" i="2"/>
  <c r="BI14" i="2"/>
  <c r="BR336" i="2"/>
  <c r="BO336" i="2"/>
  <c r="BI85" i="2"/>
  <c r="BQ85" i="2"/>
  <c r="BI382" i="2"/>
  <c r="BQ382" i="2"/>
  <c r="BI183" i="2"/>
  <c r="BQ183" i="2"/>
  <c r="BI236" i="2"/>
  <c r="BQ236" i="2"/>
  <c r="BO143" i="2"/>
  <c r="BR143" i="2"/>
  <c r="BI213" i="2"/>
  <c r="BQ213" i="2"/>
  <c r="BI352" i="2"/>
  <c r="BQ352" i="2"/>
  <c r="BI194" i="2"/>
  <c r="BQ194" i="2"/>
  <c r="BI39" i="2"/>
  <c r="BQ39" i="2"/>
  <c r="BI482" i="2"/>
  <c r="BQ482" i="2"/>
  <c r="BI73" i="2"/>
  <c r="BQ73" i="2"/>
  <c r="BI225" i="2"/>
  <c r="BQ225" i="2"/>
  <c r="BI198" i="2"/>
  <c r="BQ198" i="2"/>
  <c r="BI27" i="2"/>
  <c r="BQ27" i="2"/>
  <c r="BI223" i="2"/>
  <c r="BQ223" i="2"/>
  <c r="BI47" i="2"/>
  <c r="BQ47" i="2"/>
  <c r="BI30" i="2"/>
  <c r="BQ30" i="2"/>
  <c r="BI52" i="2"/>
  <c r="BQ52" i="2"/>
  <c r="BI55" i="2"/>
  <c r="BQ55" i="2"/>
  <c r="BI442" i="2"/>
  <c r="BQ442" i="2"/>
  <c r="BI498" i="2"/>
  <c r="BQ498" i="2"/>
  <c r="BI71" i="2"/>
  <c r="BQ71" i="2"/>
  <c r="BI428" i="2"/>
  <c r="BQ428" i="2"/>
  <c r="BI347" i="2"/>
  <c r="BQ347" i="2"/>
  <c r="BR145" i="2"/>
  <c r="BO145" i="2"/>
  <c r="BI170" i="2"/>
  <c r="BQ170" i="2"/>
  <c r="BQ11" i="2"/>
  <c r="BI11" i="2"/>
  <c r="BQ13" i="2"/>
  <c r="BI13" i="2"/>
  <c r="BI79" i="2"/>
  <c r="BQ79" i="2"/>
  <c r="BI407" i="2"/>
  <c r="BQ407" i="2"/>
  <c r="BO26" i="2"/>
  <c r="BR26" i="2"/>
  <c r="BO199" i="2"/>
  <c r="BR199" i="2"/>
  <c r="BI444" i="2"/>
  <c r="BQ444" i="2"/>
  <c r="BI244" i="2"/>
  <c r="BQ244" i="2"/>
  <c r="BI188" i="2"/>
  <c r="BQ188" i="2"/>
  <c r="BO200" i="2"/>
  <c r="BR200" i="2"/>
  <c r="BI95" i="2"/>
  <c r="BQ95" i="2"/>
  <c r="BR401" i="2"/>
  <c r="BO401" i="2"/>
  <c r="BI178" i="2"/>
  <c r="BQ178" i="2"/>
  <c r="BI262" i="2"/>
  <c r="BQ262" i="2"/>
  <c r="BQ4" i="2"/>
  <c r="BO287" i="2"/>
  <c r="BR287" i="2"/>
  <c r="BO439" i="2"/>
  <c r="BR439" i="2"/>
  <c r="BO319" i="2"/>
  <c r="BR319" i="2"/>
  <c r="BR132" i="2"/>
  <c r="BO132" i="2"/>
  <c r="BR301" i="2"/>
  <c r="BO301" i="2"/>
  <c r="BQ370" i="2"/>
  <c r="BO302" i="2"/>
  <c r="BR302" i="2"/>
  <c r="BQ259" i="2"/>
  <c r="BO299" i="2"/>
  <c r="BR299" i="2"/>
  <c r="BO317" i="2"/>
  <c r="BR317" i="2"/>
  <c r="BQ133" i="2"/>
  <c r="BO309" i="2"/>
  <c r="BR309" i="2"/>
  <c r="BQ258" i="2"/>
  <c r="BO318" i="2"/>
  <c r="BR318" i="2"/>
  <c r="BQ250" i="2"/>
  <c r="BO294" i="2"/>
  <c r="BR294" i="2"/>
  <c r="BQ113" i="2"/>
  <c r="BO292" i="2"/>
  <c r="BR292" i="2"/>
  <c r="BO314" i="2"/>
  <c r="BR314" i="2"/>
  <c r="BR440" i="2"/>
  <c r="BO440" i="2"/>
  <c r="BO285" i="2"/>
  <c r="BR285" i="2"/>
  <c r="BQ438" i="2"/>
  <c r="BQ476" i="2"/>
  <c r="BQ207" i="2"/>
  <c r="BQ264" i="2"/>
  <c r="BQ272" i="2"/>
  <c r="BQ247" i="2"/>
  <c r="BQ246" i="2"/>
  <c r="BQ431" i="2"/>
  <c r="BO316" i="2"/>
  <c r="BR316" i="2"/>
  <c r="BO273" i="2"/>
  <c r="BR273" i="2"/>
  <c r="BQ238" i="2"/>
  <c r="BO265" i="2"/>
  <c r="BR265" i="2"/>
  <c r="BO296" i="2"/>
  <c r="BR296" i="2"/>
  <c r="BQ494" i="2"/>
  <c r="BQ326" i="2"/>
  <c r="BR117" i="2"/>
  <c r="BO117" i="2"/>
  <c r="BQ348" i="2"/>
  <c r="BO291" i="2"/>
  <c r="BR291" i="2"/>
  <c r="BQ457" i="2"/>
  <c r="BQ241" i="2"/>
  <c r="BQ22" i="2"/>
  <c r="BO286" i="2"/>
  <c r="BR286" i="2"/>
  <c r="BQ256" i="2"/>
  <c r="BQ467" i="2"/>
  <c r="BO263" i="2"/>
  <c r="BR263" i="2"/>
  <c r="BQ456" i="2"/>
  <c r="BQ423" i="2"/>
  <c r="BO448" i="2"/>
  <c r="BR448" i="2"/>
  <c r="BQ373" i="2"/>
  <c r="BQ240" i="2"/>
  <c r="BR475" i="2"/>
  <c r="BO475" i="2"/>
  <c r="BQ243" i="2"/>
  <c r="BO497" i="2"/>
  <c r="BR497" i="2"/>
  <c r="BR118" i="2"/>
  <c r="BO118" i="2"/>
  <c r="BQ268" i="2"/>
  <c r="BR121" i="2"/>
  <c r="BO121" i="2"/>
  <c r="BQ492" i="2"/>
  <c r="BO298" i="2"/>
  <c r="BR298" i="2"/>
  <c r="BO323" i="2"/>
  <c r="BR323" i="2"/>
  <c r="BO284" i="2"/>
  <c r="BR284" i="2"/>
  <c r="BQ493" i="2"/>
  <c r="BQ337" i="2"/>
  <c r="BO303" i="2"/>
  <c r="BR303" i="2"/>
  <c r="BO277" i="2"/>
  <c r="BR277" i="2"/>
  <c r="BQ276" i="2"/>
  <c r="BQ260" i="2"/>
  <c r="BO289" i="2"/>
  <c r="BR289" i="2"/>
  <c r="BQ254" i="2"/>
  <c r="BQ484" i="2"/>
  <c r="BO308" i="2"/>
  <c r="BR308" i="2"/>
  <c r="BQ451" i="2"/>
  <c r="BO310" i="2"/>
  <c r="BR310" i="2"/>
  <c r="BQ248" i="2"/>
  <c r="BO297" i="2"/>
  <c r="BR297" i="2"/>
  <c r="BO283" i="2"/>
  <c r="BR283" i="2"/>
  <c r="BO125" i="2"/>
  <c r="BR125" i="2"/>
  <c r="BQ255" i="2"/>
  <c r="BR114" i="2"/>
  <c r="BO114" i="2"/>
  <c r="BQ350" i="2"/>
  <c r="BR307" i="2"/>
  <c r="BO307" i="2"/>
  <c r="BR116" i="2"/>
  <c r="BO116" i="2"/>
  <c r="BO322" i="2"/>
  <c r="BR322" i="2"/>
  <c r="BO288" i="2"/>
  <c r="BR288" i="2"/>
  <c r="BQ242" i="2"/>
  <c r="BQ266" i="2"/>
  <c r="BQ257" i="2"/>
  <c r="BQ483" i="2"/>
  <c r="BQ465" i="2"/>
  <c r="BR126" i="2"/>
  <c r="BO126" i="2"/>
  <c r="BQ495" i="2"/>
  <c r="BR361" i="2"/>
  <c r="BO361" i="2"/>
  <c r="BR463" i="2"/>
  <c r="BO463" i="2"/>
  <c r="BP19" i="2"/>
  <c r="BH19" i="2"/>
  <c r="BI19" i="2" s="1"/>
  <c r="BR131" i="2"/>
  <c r="BO131" i="2"/>
  <c r="BO306" i="2"/>
  <c r="BR306" i="2"/>
  <c r="BQ365" i="2"/>
  <c r="BQ235" i="2"/>
  <c r="BQ239" i="2"/>
  <c r="BQ496" i="2"/>
  <c r="BO18" i="2"/>
  <c r="BR18" i="2"/>
  <c r="BQ251" i="2"/>
  <c r="BQ366" i="2"/>
  <c r="BR315" i="2"/>
  <c r="BO315" i="2"/>
  <c r="BO313" i="2"/>
  <c r="BR313" i="2"/>
  <c r="BO305" i="2"/>
  <c r="BR305" i="2"/>
  <c r="BR402" i="2"/>
  <c r="BO402" i="2"/>
  <c r="BO312" i="2"/>
  <c r="BR312" i="2"/>
  <c r="BO293" i="2"/>
  <c r="BR293" i="2"/>
  <c r="BO320" i="2"/>
  <c r="BR320" i="2"/>
  <c r="BQ234" i="2"/>
  <c r="BQ469" i="2"/>
  <c r="BO362" i="2"/>
  <c r="BR362" i="2"/>
  <c r="BO290" i="2"/>
  <c r="BR290" i="2"/>
  <c r="BR282" i="2"/>
  <c r="BO282" i="2"/>
  <c r="BO295" i="2"/>
  <c r="BR295" i="2"/>
  <c r="BR115" i="2"/>
  <c r="BO115" i="2"/>
  <c r="BQ280" i="2"/>
  <c r="BR130" i="2"/>
  <c r="BO130" i="2"/>
  <c r="BQ249" i="2"/>
  <c r="BR471" i="2"/>
  <c r="BO471" i="2"/>
  <c r="BP10" i="2"/>
  <c r="BH10" i="2"/>
  <c r="BI10" i="2" s="1"/>
  <c r="BO364" i="2" l="1"/>
  <c r="BR364" i="2"/>
  <c r="BO340" i="2"/>
  <c r="BR340" i="2"/>
  <c r="BR271" i="2"/>
  <c r="BO271" i="2"/>
  <c r="BO244" i="2"/>
  <c r="BR244" i="2"/>
  <c r="BO382" i="2"/>
  <c r="BR382" i="2"/>
  <c r="BR355" i="2"/>
  <c r="BO355" i="2"/>
  <c r="BO377" i="2"/>
  <c r="BR377" i="2"/>
  <c r="BO481" i="2"/>
  <c r="BR481" i="2"/>
  <c r="BR386" i="2"/>
  <c r="BO386" i="2"/>
  <c r="BR253" i="2"/>
  <c r="BO253" i="2"/>
  <c r="BO450" i="2"/>
  <c r="BR450" i="2"/>
  <c r="BO454" i="2"/>
  <c r="BR454" i="2"/>
  <c r="BO28" i="2"/>
  <c r="BR28" i="2"/>
  <c r="BO430" i="2"/>
  <c r="BR430" i="2"/>
  <c r="BO434" i="2"/>
  <c r="BR434" i="2"/>
  <c r="BO95" i="2"/>
  <c r="BR95" i="2"/>
  <c r="BR444" i="2"/>
  <c r="BO444" i="2"/>
  <c r="BR79" i="2"/>
  <c r="BO79" i="2"/>
  <c r="BO498" i="2"/>
  <c r="BR498" i="2"/>
  <c r="BR30" i="2"/>
  <c r="BO30" i="2"/>
  <c r="BO198" i="2"/>
  <c r="BR198" i="2"/>
  <c r="BR39" i="2"/>
  <c r="BO39" i="2"/>
  <c r="BO414" i="2"/>
  <c r="BR414" i="2"/>
  <c r="BR399" i="2"/>
  <c r="BO399" i="2"/>
  <c r="BO31" i="2"/>
  <c r="BR31" i="2"/>
  <c r="BR127" i="2"/>
  <c r="BO127" i="2"/>
  <c r="BR135" i="2"/>
  <c r="BO135" i="2"/>
  <c r="BO41" i="2"/>
  <c r="BR41" i="2"/>
  <c r="BR227" i="2"/>
  <c r="BO227" i="2"/>
  <c r="BO412" i="2"/>
  <c r="BR412" i="2"/>
  <c r="BO378" i="2"/>
  <c r="BR378" i="2"/>
  <c r="BO157" i="2"/>
  <c r="BR157" i="2"/>
  <c r="BO245" i="2"/>
  <c r="BR245" i="2"/>
  <c r="BO408" i="2"/>
  <c r="BR408" i="2"/>
  <c r="BO344" i="2"/>
  <c r="BR344" i="2"/>
  <c r="BR464" i="2"/>
  <c r="BO464" i="2"/>
  <c r="BR222" i="2"/>
  <c r="BO222" i="2"/>
  <c r="BO426" i="2"/>
  <c r="BR426" i="2"/>
  <c r="BR224" i="2"/>
  <c r="BO224" i="2"/>
  <c r="BO36" i="2"/>
  <c r="BR36" i="2"/>
  <c r="BO50" i="2"/>
  <c r="BR50" i="2"/>
  <c r="BO338" i="2"/>
  <c r="BR338" i="2"/>
  <c r="BO101" i="2"/>
  <c r="BR101" i="2"/>
  <c r="BO159" i="2"/>
  <c r="BR159" i="2"/>
  <c r="BR420" i="2"/>
  <c r="BO420" i="2"/>
  <c r="BO37" i="2"/>
  <c r="BR37" i="2"/>
  <c r="BO432" i="2"/>
  <c r="BR432" i="2"/>
  <c r="BR141" i="2"/>
  <c r="BO141" i="2"/>
  <c r="BR61" i="2"/>
  <c r="BO61" i="2"/>
  <c r="BO374" i="2"/>
  <c r="BR374" i="2"/>
  <c r="BO417" i="2"/>
  <c r="BR417" i="2"/>
  <c r="BR103" i="2"/>
  <c r="BO103" i="2"/>
  <c r="BO89" i="2"/>
  <c r="BR89" i="2"/>
  <c r="BO455" i="2"/>
  <c r="BR455" i="2"/>
  <c r="BR459" i="2"/>
  <c r="BO459" i="2"/>
  <c r="BR65" i="2"/>
  <c r="BO65" i="2"/>
  <c r="BO452" i="2"/>
  <c r="BR452" i="2"/>
  <c r="BO35" i="2"/>
  <c r="BR35" i="2"/>
  <c r="BO162" i="2"/>
  <c r="BR162" i="2"/>
  <c r="BO54" i="2"/>
  <c r="BR54" i="2"/>
  <c r="BO409" i="2"/>
  <c r="BR409" i="2"/>
  <c r="BO47" i="2"/>
  <c r="BR47" i="2"/>
  <c r="BR225" i="2"/>
  <c r="BO225" i="2"/>
  <c r="BR236" i="2"/>
  <c r="BO236" i="2"/>
  <c r="BO375" i="2"/>
  <c r="BR375" i="2"/>
  <c r="BR91" i="2"/>
  <c r="BO91" i="2"/>
  <c r="BR197" i="2"/>
  <c r="BO197" i="2"/>
  <c r="BO458" i="2"/>
  <c r="BR458" i="2"/>
  <c r="BO311" i="2"/>
  <c r="BR311" i="2"/>
  <c r="BR349" i="2"/>
  <c r="BO349" i="2"/>
  <c r="BO38" i="2"/>
  <c r="BR38" i="2"/>
  <c r="BI15" i="2"/>
  <c r="BQ15" i="2"/>
  <c r="BR356" i="2"/>
  <c r="BO356" i="2"/>
  <c r="BO442" i="2"/>
  <c r="BR442" i="2"/>
  <c r="BO413" i="2"/>
  <c r="BR413" i="2"/>
  <c r="BR209" i="2"/>
  <c r="BO209" i="2"/>
  <c r="BR123" i="2"/>
  <c r="BO123" i="2"/>
  <c r="BO87" i="2"/>
  <c r="BR87" i="2"/>
  <c r="BO421" i="2"/>
  <c r="BR421" i="2"/>
  <c r="BO193" i="2"/>
  <c r="BR193" i="2"/>
  <c r="BR129" i="2"/>
  <c r="BO129" i="2"/>
  <c r="BO403" i="2"/>
  <c r="BR403" i="2"/>
  <c r="BO109" i="2"/>
  <c r="BR109" i="2"/>
  <c r="BO33" i="2"/>
  <c r="BR33" i="2"/>
  <c r="BR343" i="2"/>
  <c r="BO343" i="2"/>
  <c r="BR77" i="2"/>
  <c r="BO77" i="2"/>
  <c r="BO429" i="2"/>
  <c r="BR429" i="2"/>
  <c r="BR45" i="2"/>
  <c r="BO45" i="2"/>
  <c r="BO49" i="2"/>
  <c r="BR49" i="2"/>
  <c r="BO204" i="2"/>
  <c r="BR204" i="2"/>
  <c r="BO67" i="2"/>
  <c r="BR67" i="2"/>
  <c r="BR278" i="2"/>
  <c r="BO278" i="2"/>
  <c r="BR347" i="2"/>
  <c r="BO347" i="2"/>
  <c r="BO194" i="2"/>
  <c r="BR194" i="2"/>
  <c r="BO57" i="2"/>
  <c r="BR57" i="2"/>
  <c r="BR111" i="2"/>
  <c r="BO111" i="2"/>
  <c r="BR342" i="2"/>
  <c r="BO342" i="2"/>
  <c r="BR334" i="2"/>
  <c r="BO334" i="2"/>
  <c r="BO486" i="2"/>
  <c r="BR486" i="2"/>
  <c r="BO53" i="2"/>
  <c r="BR53" i="2"/>
  <c r="BO206" i="2"/>
  <c r="BR206" i="2"/>
  <c r="BO55" i="2"/>
  <c r="BR55" i="2"/>
  <c r="BR345" i="2"/>
  <c r="BO345" i="2"/>
  <c r="BR460" i="2"/>
  <c r="BO460" i="2"/>
  <c r="BO163" i="2"/>
  <c r="BR163" i="2"/>
  <c r="BR252" i="2"/>
  <c r="BO252" i="2"/>
  <c r="BO262" i="2"/>
  <c r="BR262" i="2"/>
  <c r="BO75" i="2"/>
  <c r="BR75" i="2"/>
  <c r="BR83" i="2"/>
  <c r="BO83" i="2"/>
  <c r="BR416" i="2"/>
  <c r="BO416" i="2"/>
  <c r="BR359" i="2"/>
  <c r="BO359" i="2"/>
  <c r="BO138" i="2"/>
  <c r="BR138" i="2"/>
  <c r="BO155" i="2"/>
  <c r="BR155" i="2"/>
  <c r="BR353" i="2"/>
  <c r="BO353" i="2"/>
  <c r="BO178" i="2"/>
  <c r="BR178" i="2"/>
  <c r="BR188" i="2"/>
  <c r="BO188" i="2"/>
  <c r="BO428" i="2"/>
  <c r="BR428" i="2"/>
  <c r="BO223" i="2"/>
  <c r="BR223" i="2"/>
  <c r="BO73" i="2"/>
  <c r="BR73" i="2"/>
  <c r="BR352" i="2"/>
  <c r="BO352" i="2"/>
  <c r="BO183" i="2"/>
  <c r="BR183" i="2"/>
  <c r="BO443" i="2"/>
  <c r="BR443" i="2"/>
  <c r="BO479" i="2"/>
  <c r="BR479" i="2"/>
  <c r="BO433" i="2"/>
  <c r="BR433" i="2"/>
  <c r="BO473" i="2"/>
  <c r="BR473" i="2"/>
  <c r="BR462" i="2"/>
  <c r="BO462" i="2"/>
  <c r="BR425" i="2"/>
  <c r="BO425" i="2"/>
  <c r="BI16" i="2"/>
  <c r="BQ16" i="2"/>
  <c r="BO379" i="2"/>
  <c r="BR379" i="2"/>
  <c r="BR168" i="2"/>
  <c r="BO168" i="2"/>
  <c r="BO93" i="2"/>
  <c r="BR93" i="2"/>
  <c r="BR139" i="2"/>
  <c r="BO139" i="2"/>
  <c r="BO107" i="2"/>
  <c r="BR107" i="2"/>
  <c r="BO63" i="2"/>
  <c r="BR63" i="2"/>
  <c r="BR108" i="2"/>
  <c r="BO108" i="2"/>
  <c r="BO394" i="2"/>
  <c r="BR394" i="2"/>
  <c r="BR237" i="2"/>
  <c r="BO237" i="2"/>
  <c r="BR205" i="2"/>
  <c r="BO205" i="2"/>
  <c r="BO34" i="2"/>
  <c r="BR34" i="2"/>
  <c r="BR491" i="2"/>
  <c r="BO491" i="2"/>
  <c r="BO69" i="2"/>
  <c r="BR69" i="2"/>
  <c r="BR211" i="2"/>
  <c r="BO211" i="2"/>
  <c r="BO424" i="2"/>
  <c r="BR424" i="2"/>
  <c r="BR324" i="2"/>
  <c r="BO324" i="2"/>
  <c r="BR105" i="2"/>
  <c r="BO105" i="2"/>
  <c r="BO46" i="2"/>
  <c r="BR46" i="2"/>
  <c r="BR436" i="2"/>
  <c r="BO436" i="2"/>
  <c r="BO81" i="2"/>
  <c r="BR81" i="2"/>
  <c r="BO490" i="2"/>
  <c r="BR490" i="2"/>
  <c r="BR341" i="2"/>
  <c r="BO341" i="2"/>
  <c r="BR333" i="2"/>
  <c r="BO333" i="2"/>
  <c r="BO390" i="2"/>
  <c r="BR390" i="2"/>
  <c r="BO233" i="2"/>
  <c r="BR233" i="2"/>
  <c r="BR441" i="2"/>
  <c r="BO441" i="2"/>
  <c r="BO269" i="2"/>
  <c r="BR269" i="2"/>
  <c r="BO437" i="2"/>
  <c r="BR437" i="2"/>
  <c r="BO59" i="2"/>
  <c r="BR59" i="2"/>
  <c r="BR406" i="2"/>
  <c r="BO406" i="2"/>
  <c r="BO407" i="2"/>
  <c r="BR407" i="2"/>
  <c r="BR52" i="2"/>
  <c r="BO52" i="2"/>
  <c r="BO27" i="2"/>
  <c r="BR27" i="2"/>
  <c r="BO482" i="2"/>
  <c r="BR482" i="2"/>
  <c r="BO84" i="2"/>
  <c r="BR84" i="2"/>
  <c r="BR411" i="2"/>
  <c r="BO411" i="2"/>
  <c r="BO422" i="2"/>
  <c r="BR422" i="2"/>
  <c r="BR32" i="2"/>
  <c r="BO32" i="2"/>
  <c r="BO418" i="2"/>
  <c r="BR418" i="2"/>
  <c r="BR354" i="2"/>
  <c r="BO354" i="2"/>
  <c r="BR435" i="2"/>
  <c r="BO435" i="2"/>
  <c r="BR164" i="2"/>
  <c r="BO164" i="2"/>
  <c r="BO43" i="2"/>
  <c r="BR43" i="2"/>
  <c r="BO71" i="2"/>
  <c r="BR71" i="2"/>
  <c r="BR230" i="2"/>
  <c r="BO230" i="2"/>
  <c r="BO99" i="2"/>
  <c r="BR99" i="2"/>
  <c r="BO404" i="2"/>
  <c r="BR404" i="2"/>
  <c r="BO44" i="2"/>
  <c r="BR44" i="2"/>
  <c r="BO427" i="2"/>
  <c r="BR427" i="2"/>
  <c r="BR279" i="2"/>
  <c r="BO279" i="2"/>
  <c r="BR231" i="2"/>
  <c r="BO231" i="2"/>
  <c r="BO171" i="2"/>
  <c r="BR171" i="2"/>
  <c r="BO140" i="2"/>
  <c r="BR140" i="2"/>
  <c r="BO449" i="2"/>
  <c r="BR449" i="2"/>
  <c r="BO137" i="2"/>
  <c r="BR137" i="2"/>
  <c r="BO146" i="2"/>
  <c r="BR146" i="2"/>
  <c r="BR29" i="2"/>
  <c r="BO29" i="2"/>
  <c r="BO419" i="2"/>
  <c r="BR419" i="2"/>
  <c r="BR405" i="2"/>
  <c r="BO405" i="2"/>
  <c r="BR357" i="2"/>
  <c r="BO357" i="2"/>
  <c r="BR329" i="2"/>
  <c r="BO329" i="2"/>
  <c r="BO170" i="2"/>
  <c r="BR170" i="2"/>
  <c r="BR213" i="2"/>
  <c r="BO213" i="2"/>
  <c r="BO415" i="2"/>
  <c r="BR415" i="2"/>
  <c r="BO97" i="2"/>
  <c r="BR97" i="2"/>
  <c r="BO51" i="2"/>
  <c r="BR51" i="2"/>
  <c r="BR267" i="2"/>
  <c r="BO267" i="2"/>
  <c r="BR215" i="2"/>
  <c r="BO215" i="2"/>
  <c r="BO369" i="2"/>
  <c r="BR369" i="2"/>
  <c r="BO485" i="2"/>
  <c r="BR485" i="2"/>
  <c r="BR400" i="2"/>
  <c r="BO400" i="2"/>
  <c r="BO85" i="2"/>
  <c r="BR85" i="2"/>
  <c r="BR218" i="2"/>
  <c r="BO218" i="2"/>
  <c r="BO363" i="2"/>
  <c r="BR363" i="2"/>
  <c r="BO453" i="2"/>
  <c r="BR453" i="2"/>
  <c r="BR465" i="2"/>
  <c r="BO465" i="2"/>
  <c r="BR254" i="2"/>
  <c r="BO254" i="2"/>
  <c r="BO373" i="2"/>
  <c r="BR373" i="2"/>
  <c r="BO22" i="2"/>
  <c r="BR22" i="2"/>
  <c r="BO438" i="2"/>
  <c r="BR438" i="2"/>
  <c r="BO370" i="2"/>
  <c r="BR370" i="2"/>
  <c r="BO483" i="2"/>
  <c r="BR483" i="2"/>
  <c r="BR350" i="2"/>
  <c r="BO350" i="2"/>
  <c r="BO451" i="2"/>
  <c r="BR451" i="2"/>
  <c r="BR243" i="2"/>
  <c r="BO243" i="2"/>
  <c r="BR467" i="2"/>
  <c r="BO467" i="2"/>
  <c r="BR241" i="2"/>
  <c r="BO241" i="2"/>
  <c r="BO431" i="2"/>
  <c r="BR431" i="2"/>
  <c r="BR264" i="2"/>
  <c r="BO264" i="2"/>
  <c r="BO113" i="2"/>
  <c r="BR113" i="2"/>
  <c r="BR258" i="2"/>
  <c r="BO258" i="2"/>
  <c r="BR234" i="2"/>
  <c r="BO234" i="2"/>
  <c r="BO366" i="2"/>
  <c r="BR366" i="2"/>
  <c r="BR239" i="2"/>
  <c r="BO239" i="2"/>
  <c r="BR495" i="2"/>
  <c r="BO495" i="2"/>
  <c r="BR257" i="2"/>
  <c r="BO257" i="2"/>
  <c r="BO260" i="2"/>
  <c r="BR260" i="2"/>
  <c r="BR337" i="2"/>
  <c r="BO337" i="2"/>
  <c r="BO268" i="2"/>
  <c r="BR268" i="2"/>
  <c r="BR423" i="2"/>
  <c r="BO423" i="2"/>
  <c r="BR256" i="2"/>
  <c r="BO256" i="2"/>
  <c r="BO457" i="2"/>
  <c r="BR457" i="2"/>
  <c r="BR326" i="2"/>
  <c r="BO326" i="2"/>
  <c r="BR238" i="2"/>
  <c r="BO238" i="2"/>
  <c r="BR246" i="2"/>
  <c r="BO246" i="2"/>
  <c r="BO207" i="2"/>
  <c r="BR207" i="2"/>
  <c r="BO259" i="2"/>
  <c r="BR259" i="2"/>
  <c r="BR242" i="2"/>
  <c r="BO242" i="2"/>
  <c r="BR348" i="2"/>
  <c r="BO348" i="2"/>
  <c r="BO272" i="2"/>
  <c r="BR272" i="2"/>
  <c r="BR249" i="2"/>
  <c r="BO249" i="2"/>
  <c r="BR469" i="2"/>
  <c r="BO469" i="2"/>
  <c r="BR496" i="2"/>
  <c r="BO496" i="2"/>
  <c r="BR492" i="2"/>
  <c r="BO492" i="2"/>
  <c r="BO280" i="2"/>
  <c r="BR280" i="2"/>
  <c r="BR251" i="2"/>
  <c r="BO251" i="2"/>
  <c r="BR235" i="2"/>
  <c r="BO235" i="2"/>
  <c r="BQ19" i="2"/>
  <c r="BR266" i="2"/>
  <c r="BO266" i="2"/>
  <c r="BR255" i="2"/>
  <c r="BO255" i="2"/>
  <c r="BR248" i="2"/>
  <c r="BO248" i="2"/>
  <c r="BR484" i="2"/>
  <c r="BO484" i="2"/>
  <c r="BO276" i="2"/>
  <c r="BR276" i="2"/>
  <c r="BR493" i="2"/>
  <c r="BO493" i="2"/>
  <c r="BR240" i="2"/>
  <c r="BO240" i="2"/>
  <c r="BO456" i="2"/>
  <c r="BR456" i="2"/>
  <c r="BR494" i="2"/>
  <c r="BO494" i="2"/>
  <c r="BR247" i="2"/>
  <c r="BO247" i="2"/>
  <c r="BO476" i="2"/>
  <c r="BR476" i="2"/>
  <c r="BR250" i="2"/>
  <c r="BO250" i="2"/>
  <c r="BR133" i="2"/>
  <c r="BO133" i="2"/>
  <c r="BO365" i="2"/>
  <c r="BR365" i="2"/>
  <c r="BQ10" i="2"/>
  <c r="BR14" i="2"/>
  <c r="BO14" i="2"/>
  <c r="BR12" i="2"/>
  <c r="BO12" i="2"/>
  <c r="BR4" i="2"/>
  <c r="BO4" i="2"/>
  <c r="BR11" i="2"/>
  <c r="BO11" i="2"/>
  <c r="BR6" i="2"/>
  <c r="BO6" i="2"/>
  <c r="BR5" i="2"/>
  <c r="BO5" i="2"/>
  <c r="BR13" i="2"/>
  <c r="BO13" i="2"/>
  <c r="BR7" i="2"/>
  <c r="BO7" i="2"/>
  <c r="BO16" i="2" l="1"/>
  <c r="BR16" i="2"/>
  <c r="BO15" i="2"/>
  <c r="BR15" i="2"/>
  <c r="BR19" i="2"/>
  <c r="BO19" i="2"/>
  <c r="BR10" i="2"/>
  <c r="BO10" i="2"/>
  <c r="BM3" i="2"/>
  <c r="BL3" i="2"/>
  <c r="BK3" i="2"/>
  <c r="I3" i="2" l="1"/>
  <c r="D4" i="5" s="1"/>
  <c r="L3" i="2" l="1"/>
  <c r="D5" i="5" l="1"/>
  <c r="J3" i="2"/>
  <c r="BE3" i="2"/>
  <c r="BB3" i="2"/>
  <c r="AY3" i="2"/>
  <c r="AZ3" i="2" s="1"/>
  <c r="AM3" i="2"/>
  <c r="AN3" i="2" s="1"/>
  <c r="AD3" i="2"/>
  <c r="AA3" i="2"/>
  <c r="U3" i="2"/>
  <c r="M3" i="2" s="1"/>
  <c r="O3" i="2"/>
  <c r="E3" i="2"/>
  <c r="C3" i="2"/>
  <c r="B3" i="2"/>
  <c r="BF3" i="2" l="1"/>
  <c r="BC3" i="2"/>
  <c r="P3" i="2"/>
  <c r="AB3" i="2"/>
  <c r="AE3" i="2"/>
  <c r="AT3" i="2"/>
  <c r="V3" i="2"/>
  <c r="AH3" i="2"/>
  <c r="D8" i="5"/>
  <c r="D14" i="5"/>
  <c r="D20" i="5"/>
  <c r="D10" i="5"/>
  <c r="D11" i="5"/>
  <c r="D18" i="5"/>
  <c r="R3" i="2"/>
  <c r="S3" i="2" s="1"/>
  <c r="D6" i="5"/>
  <c r="D7" i="5" s="1"/>
  <c r="D19" i="5"/>
  <c r="BV3" i="2"/>
  <c r="BY3" i="2"/>
  <c r="BW3" i="2"/>
  <c r="X3" i="2" l="1"/>
  <c r="AJ3" i="2" s="1"/>
  <c r="D9" i="5"/>
  <c r="D13" i="5" s="1"/>
  <c r="D15" i="5" s="1"/>
  <c r="D17" i="5" s="1"/>
  <c r="D21" i="5" s="1"/>
  <c r="Y3" i="2" l="1"/>
  <c r="AP3" i="2"/>
  <c r="AK3" i="2"/>
  <c r="AV3" i="2" l="1"/>
  <c r="BH3" i="2"/>
  <c r="BI3" i="2" s="1"/>
  <c r="AW3" i="2"/>
  <c r="AQ3" i="2"/>
  <c r="BP3" i="2"/>
  <c r="BO3" i="2" l="1"/>
  <c r="BQ3" i="2"/>
  <c r="BR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F</author>
  </authors>
  <commentList>
    <comment ref="BN1" authorId="0" shapeId="0" xr:uid="{AFE1F633-9287-4E29-977D-1117A3627DB9}">
      <text>
        <r>
          <rPr>
            <b/>
            <sz val="9"/>
            <color indexed="81"/>
            <rFont val="Tahoma"/>
            <family val="2"/>
          </rPr>
          <t>Alessandro F:</t>
        </r>
        <r>
          <rPr>
            <sz val="9"/>
            <color indexed="81"/>
            <rFont val="Tahoma"/>
            <family val="2"/>
          </rPr>
          <t xml:space="preserve">
modificato per invertire il segno del doppio negativo. Le celle con il cambio segno diventano arancioni</t>
        </r>
      </text>
    </comment>
  </commentList>
</comments>
</file>

<file path=xl/sharedStrings.xml><?xml version="1.0" encoding="utf-8"?>
<sst xmlns="http://schemas.openxmlformats.org/spreadsheetml/2006/main" count="996" uniqueCount="596">
  <si>
    <t>Ragione sociale</t>
  </si>
  <si>
    <t>Partita IVA</t>
  </si>
  <si>
    <t>Gruppo</t>
  </si>
  <si>
    <t>P.Iva</t>
  </si>
  <si>
    <t>Anno</t>
  </si>
  <si>
    <t>Tipo di bilancio</t>
  </si>
  <si>
    <t>Classe</t>
  </si>
  <si>
    <t>Sottoclasse</t>
  </si>
  <si>
    <t>Nota Generale</t>
  </si>
  <si>
    <t>Fatturato (100%) +/- Δ Rimanenze Prodotti</t>
  </si>
  <si>
    <t>Consumo di Materie Prime</t>
  </si>
  <si>
    <t>margine commerciale PURO</t>
  </si>
  <si>
    <t>Altri ricavi</t>
  </si>
  <si>
    <t>Margine Commerciale/INDUSTRIALE</t>
  </si>
  <si>
    <t>Spese per Servizi</t>
  </si>
  <si>
    <t>Costo del lavoro</t>
  </si>
  <si>
    <t>+/- Altri Costi e Ricavi Operativi</t>
  </si>
  <si>
    <t>EBITDAR</t>
  </si>
  <si>
    <t>Spese per affitti e noleggi</t>
  </si>
  <si>
    <t>EBITDA margin</t>
  </si>
  <si>
    <t>Ammortamenti e Svalutazioni</t>
  </si>
  <si>
    <t>EBIT margin</t>
  </si>
  <si>
    <t>Gestione finanziaria (interessi e rettifiche)</t>
  </si>
  <si>
    <t>Gestione straordinaria</t>
  </si>
  <si>
    <t>Imposte</t>
  </si>
  <si>
    <t>Profit margin</t>
  </si>
  <si>
    <t>Crescita Fatturato ultimo anno</t>
  </si>
  <si>
    <t>Crescita Fatturato a 3 anni</t>
  </si>
  <si>
    <t>Crescita Fatturato a 5 anni</t>
  </si>
  <si>
    <t>crescita EBITDA 5 anni</t>
  </si>
  <si>
    <t>Risultato d'Esercizio / Ricavi</t>
  </si>
  <si>
    <t>ROI</t>
  </si>
  <si>
    <t>ROE</t>
  </si>
  <si>
    <t>Profit Margin</t>
  </si>
  <si>
    <t>Rotazione Attivo</t>
  </si>
  <si>
    <t>Leva Finanziaria</t>
  </si>
  <si>
    <t>Tempi medi giacenza Scorte (rimanenze/Fatturato)*360</t>
  </si>
  <si>
    <t>Tempi medi incasso (Clienti/Fatturato)*360</t>
  </si>
  <si>
    <t>Tempi medi pagamento (Fornitori/(Acquisti+Servizi+Affitti e noleggi))*360</t>
  </si>
  <si>
    <t>mezzi propri/attivo</t>
  </si>
  <si>
    <t>debiti finanziari netti/ricavi</t>
  </si>
  <si>
    <t>Debiti a breve/ricavi</t>
  </si>
  <si>
    <t>Aggregato</t>
  </si>
  <si>
    <t>Valore</t>
  </si>
  <si>
    <t>%</t>
  </si>
  <si>
    <t>Nota</t>
  </si>
  <si>
    <t>Fatturato</t>
  </si>
  <si>
    <t>ATECO 2007
codice</t>
  </si>
  <si>
    <t>ATECO 2007
descrizione</t>
  </si>
  <si>
    <t>CODICE</t>
  </si>
  <si>
    <t>DESCRIZIONE</t>
  </si>
  <si>
    <t>01</t>
  </si>
  <si>
    <t>02</t>
  </si>
  <si>
    <t>03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</si>
  <si>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</si>
  <si>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</si>
  <si>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</si>
  <si>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</si>
  <si>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</si>
  <si>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</si>
  <si>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</si>
  <si>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</si>
  <si>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</si>
  <si>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</si>
  <si>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</si>
  <si>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</si>
  <si>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</si>
  <si>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</si>
  <si>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</si>
  <si>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</si>
  <si>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</si>
  <si>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</si>
  <si>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</si>
  <si>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</si>
  <si>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</si>
  <si>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</si>
  <si>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</si>
  <si>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</si>
  <si>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</si>
  <si>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</si>
  <si>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</si>
  <si>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</si>
  <si>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</si>
  <si>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35</t>
  </si>
  <si>
    <t>36</t>
  </si>
  <si>
    <t>37</t>
  </si>
  <si>
    <t>38</t>
  </si>
  <si>
    <t>39</t>
  </si>
  <si>
    <t>41</t>
  </si>
  <si>
    <t>42</t>
  </si>
  <si>
    <t>43</t>
  </si>
  <si>
    <t>45</t>
  </si>
  <si>
    <t>46</t>
  </si>
  <si>
    <t>47</t>
  </si>
  <si>
    <t>49</t>
  </si>
  <si>
    <t>50</t>
  </si>
  <si>
    <t>51</t>
  </si>
  <si>
    <t>52</t>
  </si>
  <si>
    <t>53</t>
  </si>
  <si>
    <t>55</t>
  </si>
  <si>
    <t>56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</si>
  <si>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</si>
  <si>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</si>
  <si>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</si>
  <si>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</si>
  <si>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</si>
  <si>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</si>
  <si>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</si>
  <si>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</si>
  <si>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</si>
  <si>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68</t>
  </si>
  <si>
    <t>69</t>
  </si>
  <si>
    <t>70</t>
  </si>
  <si>
    <t>71</t>
  </si>
  <si>
    <t>72</t>
  </si>
  <si>
    <t>73</t>
  </si>
  <si>
    <t>74</t>
  </si>
  <si>
    <t>75</t>
  </si>
  <si>
    <t>77</t>
  </si>
  <si>
    <t>78</t>
  </si>
  <si>
    <t>79</t>
  </si>
  <si>
    <t>80</t>
  </si>
  <si>
    <t>81</t>
  </si>
  <si>
    <t>82</t>
  </si>
  <si>
    <t>84</t>
  </si>
  <si>
    <t>85</t>
  </si>
  <si>
    <t>86</t>
  </si>
  <si>
    <t>87</t>
  </si>
  <si>
    <t>88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</si>
  <si>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</si>
  <si>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</si>
  <si>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</si>
  <si>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</si>
  <si>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</si>
  <si>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</si>
  <si>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</si>
  <si>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</si>
  <si>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</si>
  <si>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</si>
  <si>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Margine Commerciale/I0USTRIALE</t>
  </si>
  <si>
    <t>843</t>
  </si>
  <si>
    <t>Assicurazione sociale obbligatoria</t>
  </si>
  <si>
    <t>942</t>
  </si>
  <si>
    <t>Silvicoltura ed utilizzo di aree forestali</t>
  </si>
  <si>
    <t>Pesca e acquacoltura</t>
  </si>
  <si>
    <t>Estrazione di carbone (esclusa torba)</t>
  </si>
  <si>
    <t>Estrazione di petrolio greggio e di gas naturale</t>
  </si>
  <si>
    <t>Estrazione di minerali metalliferi</t>
  </si>
  <si>
    <t>Altre attivita di estrazione di minerali da cave e miniere</t>
  </si>
  <si>
    <t>Attivita dei servizi di supporto all'estrazione</t>
  </si>
  <si>
    <t>Industrie alimentari</t>
  </si>
  <si>
    <t>Industria delle bevande</t>
  </si>
  <si>
    <t>Industria del tabacco</t>
  </si>
  <si>
    <t>Industrie tessili</t>
  </si>
  <si>
    <t>Confezione di articoli di abbigliamento; confezione di articoli in pelle e pelliccia</t>
  </si>
  <si>
    <t>Fabbricazione di articoli in pelle e simili</t>
  </si>
  <si>
    <t>Industria del legno e dei prodotti in legno e sughero (esclusi i mobili); fabbricazione di articoli in paglia e materiali da intreccio</t>
  </si>
  <si>
    <t>Fabbricazione di carta e di prodotti di carta</t>
  </si>
  <si>
    <t>Stampa e riproduzione di supporti registrati</t>
  </si>
  <si>
    <t>Fabbricazione di cake e prodotti derivanti dalla raffinazione del petrolio</t>
  </si>
  <si>
    <t>Fabbricazione di prodotti chimici</t>
  </si>
  <si>
    <t>Fabbricazione di prodotti farmaceutici di base e di preparate farmaceutici</t>
  </si>
  <si>
    <t>Fabbricazione di articoli in gomma e materie plastiche</t>
  </si>
  <si>
    <t>Fabbricazione di altri prodotti della lavorazione di minerali non metalliferi</t>
  </si>
  <si>
    <t>Metallurgia</t>
  </si>
  <si>
    <t>Fabbricazione di prodotti in metallo (esclusi macchinari e attrezzature)</t>
  </si>
  <si>
    <t>Fabbricazione di apparechiature elettriche ed apparecchiature per uso domestico non elettriche</t>
  </si>
  <si>
    <t>Fabbricazione di macchinari ed apparecchiature nca</t>
  </si>
  <si>
    <t>Fabbricazione di altri mezzi di trasporto</t>
  </si>
  <si>
    <t>Fabbricazione di mobili</t>
  </si>
  <si>
    <t>Altre industrie manifatturiere</t>
  </si>
  <si>
    <t>Gestione delle reti fognarie</t>
  </si>
  <si>
    <t>Attività di risanamento e altri servizi di gestione dei rifiuti</t>
  </si>
  <si>
    <t>Costruzione di edifici</t>
  </si>
  <si>
    <t>Ingegneria civile</t>
  </si>
  <si>
    <t>Lavori di costruzione specializzati</t>
  </si>
  <si>
    <t>Commercio all'ingrosso e al dettaglio e riparazione di autoveicoli e motocicli</t>
  </si>
  <si>
    <t>Commercio all'ingrosso (escluso quello di autoveicoli e di motocicli)</t>
  </si>
  <si>
    <t>Commercio al dettaglio (escluso quello di autoveicoli e di motocicli)</t>
  </si>
  <si>
    <t>Trasporto terrestre e trasporto mediante condotte</t>
  </si>
  <si>
    <t>Trasporto marittimo e per vie d'acqua</t>
  </si>
  <si>
    <t>Trasporto aereo</t>
  </si>
  <si>
    <t>Magazzinaggio e attivita di supporto al trasporti</t>
  </si>
  <si>
    <t>Servizi postali e attivita di corriere</t>
  </si>
  <si>
    <t>Alloggio</t>
  </si>
  <si>
    <t>Attivita dei servizi di ristorazione</t>
  </si>
  <si>
    <t>Attivita editoriale</t>
  </si>
  <si>
    <t>Attivita di programmazione e trasmissione</t>
  </si>
  <si>
    <t>Telecomunicazioni</t>
  </si>
  <si>
    <t>Attivita dei servizi d'informazione e altri servizi informatici</t>
  </si>
  <si>
    <t>Attivita di servizi finanziari (escluse le assicurazioni e i fondi pensione)</t>
  </si>
  <si>
    <t>Attivita ausiliarie dei servizi finanziari e delle attivita assicurative</t>
  </si>
  <si>
    <t>Attivita immobiliari</t>
  </si>
  <si>
    <t>Attivita legali e contabilita</t>
  </si>
  <si>
    <t>Attivita di direzione aziendale e di consulenza gestionale</t>
  </si>
  <si>
    <t>Attivita degli sutdi di architettura e d'ingegneria; collaudi ed analisi techniche</t>
  </si>
  <si>
    <t>Ricerca scientifica e sviluppo</t>
  </si>
  <si>
    <t>Pubblicita e ricerche di mercato</t>
  </si>
  <si>
    <t>Servizi veterinari</t>
  </si>
  <si>
    <t>Attivita di noleggio e lesaing operativo</t>
  </si>
  <si>
    <t>Servizi di vigilanza e investigazione</t>
  </si>
  <si>
    <t>Attivita di servizi per edifici e paesaggio</t>
  </si>
  <si>
    <t>Attivita di supporto per le funzioni d'ufficio e altri servizi di supporto alle imprese</t>
  </si>
  <si>
    <t>Amministrazione pubblica e difesa; assicurazione sociale obbligatoria</t>
  </si>
  <si>
    <t>Istruzione</t>
  </si>
  <si>
    <t>Assistenza sanitaria</t>
  </si>
  <si>
    <t>Servizi di assistenza sociale residenziale</t>
  </si>
  <si>
    <t>Assistenza sociale non residenziale</t>
  </si>
  <si>
    <t>Attività di organizzazioni assiciative</t>
  </si>
  <si>
    <t>Attività dei sindacati di lavoratori dipendenti</t>
  </si>
  <si>
    <t>Riparazione di computer di beni per uso personale e per la casa</t>
  </si>
  <si>
    <t>Altre attivita di servizi per la persona</t>
  </si>
  <si>
    <t>Attività di famiglie e convivenze come datori di lavoro per personale domestico</t>
  </si>
  <si>
    <t>Produzione di beni indifferenziati per uso proprio da parte di famiglie e convivenze</t>
  </si>
  <si>
    <t>Organizzazioni ed organismi extraterritoriali</t>
  </si>
  <si>
    <t>Coltivazioni agricole e produzione di prodotti animali; caccia e servizi connessi</t>
  </si>
  <si>
    <t>Fabbricazione di computer e prodotti di elettronica e ottica; apparecchi elettromedicali; apparecchi di misurazione e di orologi</t>
  </si>
  <si>
    <t>Fabbricazione di autoveicoli; rimorchi e semirimorchi</t>
  </si>
  <si>
    <t>Riparazione; manutenzione ed installazione di macchine ed apparecchiature</t>
  </si>
  <si>
    <t>Fornitura di energia elettrica; gas; vapore e aria condizionata</t>
  </si>
  <si>
    <t>Raccolta; trattamento e fornitura di acqua</t>
  </si>
  <si>
    <t>Attivita di raccolta; trattamento e smaltimento dei rifiuti; recupero dei materiali</t>
  </si>
  <si>
    <t>Attivita di produzione cinematografica; di video e di programmi televisivi; di registrazioni musicali e sonore</t>
  </si>
  <si>
    <t>Produzione di software; consulenza informatica e attivita connesse</t>
  </si>
  <si>
    <t>Assicurazioni; riassicurazioni e fondi pensione (escluse le assicurazioni sociali obbligatorie)</t>
  </si>
  <si>
    <t>Altre attivita professionali; scientifiche e tecniche</t>
  </si>
  <si>
    <t>Attivita di ricerca; selezione; fornitura di personale</t>
  </si>
  <si>
    <t>Attivita dei servizi delle agenzie di viaggio; dei tour operator e servizi prenotazione e attivita connesse</t>
  </si>
  <si>
    <t>Attivita creative; artistiche e di intrattenimento</t>
  </si>
  <si>
    <t>Attivita di biblioteche; archivi; musei ed altre attivita culturali</t>
  </si>
  <si>
    <t>Attività riguardanti le lotterie; le scommesse; le case da gioco</t>
  </si>
  <si>
    <t>Attivita sportive; di intrattenimiento e di divertimento</t>
  </si>
  <si>
    <t>CLASSI</t>
  </si>
  <si>
    <t>Crediti vs Soci</t>
  </si>
  <si>
    <t>Immobilizzi immateriali</t>
  </si>
  <si>
    <t>Immobilizzi materiali</t>
  </si>
  <si>
    <t>Immobilizzi finanziari</t>
  </si>
  <si>
    <t>Rimanenze</t>
  </si>
  <si>
    <t>Crediti</t>
  </si>
  <si>
    <t>Attività Finanziarie correnti</t>
  </si>
  <si>
    <t>Disponibilità Liquide</t>
  </si>
  <si>
    <t>Ratei e Risconti Attivi</t>
  </si>
  <si>
    <t>Totale Attivo Corrente</t>
  </si>
  <si>
    <t>Totale Attivo Immobilizzato</t>
  </si>
  <si>
    <t>Totale Attivo</t>
  </si>
  <si>
    <t>Patrimonio Netto</t>
  </si>
  <si>
    <t>Debiti</t>
  </si>
  <si>
    <t>di cui a breve termine</t>
  </si>
  <si>
    <t>di cui a medio lungo termine</t>
  </si>
  <si>
    <t>Fondo TFR e Fondi Rischi</t>
  </si>
  <si>
    <t>Ratei e Risconti Passivi</t>
  </si>
  <si>
    <t>Totale Passivo</t>
  </si>
  <si>
    <t>1.</t>
  </si>
  <si>
    <t>Dettagliato</t>
  </si>
  <si>
    <t>Formazione Margini e Profitto 2023 dati in % del fatturato</t>
  </si>
  <si>
    <t>Fatturato +/- Δ Rimanenze Prodotti</t>
  </si>
  <si>
    <t>Margine Commerciale/Industriale Puro</t>
  </si>
  <si>
    <t>Margine Commerciale/Industriale Allargato</t>
  </si>
  <si>
    <t>EBITDA
migl EUR
n-4</t>
  </si>
  <si>
    <t>A.I.A. - AGRICOLA ITALIANA ALIMENTARE - S.P.A.</t>
  </si>
  <si>
    <t>00233470236</t>
  </si>
  <si>
    <t>463210</t>
  </si>
  <si>
    <t>Commercio all'ingrosso di carne fresca, congelata e surgelata</t>
  </si>
  <si>
    <t>Modello di contabilità</t>
  </si>
  <si>
    <t xml:space="preserve">TOT. VAL. DELLA PRODUZIONE
migl EUR
</t>
  </si>
  <si>
    <t xml:space="preserve">Ricavi vendite e prestazioni
migl EUR
</t>
  </si>
  <si>
    <t xml:space="preserve">Var. rimanenze prodotti
migl EUR
</t>
  </si>
  <si>
    <t xml:space="preserve">Materie prime e consumo
migl EUR
</t>
  </si>
  <si>
    <t xml:space="preserve">Variazione materie
migl EUR
</t>
  </si>
  <si>
    <t xml:space="preserve">Servizi
migl EUR
</t>
  </si>
  <si>
    <t xml:space="preserve">Totale costi del personale
migl EUR
</t>
  </si>
  <si>
    <t xml:space="preserve">Oneri diversi di gestione
migl EUR
</t>
  </si>
  <si>
    <t xml:space="preserve">Godimento beni di terzi
migl EUR
</t>
  </si>
  <si>
    <t xml:space="preserve">TOT Ammortamenti e svalut.
migl EUR
</t>
  </si>
  <si>
    <t xml:space="preserve">Accantonamenti per rischi
migl EUR
</t>
  </si>
  <si>
    <t xml:space="preserve">Altri accantonamenti
migl EUR
</t>
  </si>
  <si>
    <t xml:space="preserve">TOTALE PROVENTI E ONERI FINANZIARI
migl EUR
</t>
  </si>
  <si>
    <t xml:space="preserve">TOTALE RETTIFICHE ATT. FINANZ.
migl EUR
</t>
  </si>
  <si>
    <t xml:space="preserve">TOTALE PROVENTI/ONERI STRAORDINARI
migl EUR
</t>
  </si>
  <si>
    <t xml:space="preserve">Totale Imposte sul reddito correnti, differite e anticipate
migl EUR
</t>
  </si>
  <si>
    <t xml:space="preserve">UTILE/PERDITA DI ESERCIZIO
migl EUR
</t>
  </si>
  <si>
    <t xml:space="preserve">Dipendenti
</t>
  </si>
  <si>
    <t xml:space="preserve">Trend Ricavi n-1
% EUR
</t>
  </si>
  <si>
    <t xml:space="preserve">Trend Ricavi a 3 anni
% EUR
</t>
  </si>
  <si>
    <t xml:space="preserve">Trend Ricavi a 5 anni
% EUR
</t>
  </si>
  <si>
    <t xml:space="preserve">Trend EBITDA a 5 anni
% EUR
</t>
  </si>
  <si>
    <t xml:space="preserve">TOTALE ATTIVO
migl EUR
</t>
  </si>
  <si>
    <t xml:space="preserve">Cred. vs Clienti entro
migl EUR
</t>
  </si>
  <si>
    <t xml:space="preserve">Cred. vs Clienti oltre
migl EUR
</t>
  </si>
  <si>
    <t xml:space="preserve">TOTALE RIMANENZE
migl EUR
</t>
  </si>
  <si>
    <t xml:space="preserve">Immobilizzazioni materiali destinate alla vendita
migl EUR
</t>
  </si>
  <si>
    <t xml:space="preserve">TOTALE PATRIMONIO NETTO
migl EUR
</t>
  </si>
  <si>
    <t xml:space="preserve">Fornitori entro
migl EUR
</t>
  </si>
  <si>
    <t xml:space="preserve">Fornitori oltre
migl EUR
</t>
  </si>
  <si>
    <t xml:space="preserve">DEBITI A BREVE
migl EUR
</t>
  </si>
  <si>
    <t xml:space="preserve">Debiti Finanziari
migl EUR
</t>
  </si>
  <si>
    <t xml:space="preserve">TOT. DISPON. LIQUIDE
migl EUR
</t>
  </si>
  <si>
    <t xml:space="preserve">Attività finanziarie per la gestione accentrata della tesoreria
migl EUR
</t>
  </si>
  <si>
    <t xml:space="preserve">CREDITI VERSO SOCI
migl EUR
</t>
  </si>
  <si>
    <t xml:space="preserve">TOTALE IMMOB. IMMATERIALI
migl EUR
</t>
  </si>
  <si>
    <t xml:space="preserve">TOTALE IMMOB. MATERIALI
migl EUR
</t>
  </si>
  <si>
    <t xml:space="preserve">TOTALE IMMOB. FINANZIARIE
migl EUR
</t>
  </si>
  <si>
    <t xml:space="preserve">TOTALE CREDITI
migl EUR
</t>
  </si>
  <si>
    <t xml:space="preserve">TOTALE ATTIVITA' FINANZIARIE
migl EUR
</t>
  </si>
  <si>
    <t xml:space="preserve">TOTALE DEBITI
migl EUR
</t>
  </si>
  <si>
    <t xml:space="preserve">RATEI E RISCONTI
migl EUR
</t>
  </si>
  <si>
    <t>Chiusura bilancio</t>
  </si>
  <si>
    <t>ESSELUNGA SPA</t>
  </si>
  <si>
    <t>04916380159</t>
  </si>
  <si>
    <t>471100</t>
  </si>
  <si>
    <t>Commercio al dettaglio in esercizi non specializzati con prevalenza di prodotti alimentari e bevande</t>
  </si>
  <si>
    <t>2.</t>
  </si>
  <si>
    <t>LIDL ITALIA S.R.L.</t>
  </si>
  <si>
    <t>02275030233</t>
  </si>
  <si>
    <t>469000</t>
  </si>
  <si>
    <t>Commercio all'ingrosso non specializzato</t>
  </si>
  <si>
    <t>3.</t>
  </si>
  <si>
    <t>4.</t>
  </si>
  <si>
    <t>PAC 2000 A SOCIETA' COOPERATIVA</t>
  </si>
  <si>
    <t>00163040546</t>
  </si>
  <si>
    <t>463890</t>
  </si>
  <si>
    <t>Commercio all'ingrosso di altri prodotti alimentari</t>
  </si>
  <si>
    <t>5.</t>
  </si>
  <si>
    <t>COOP ALLEANZA 3.0 SOCIETA' COOPERATIVA</t>
  </si>
  <si>
    <t>03503411203</t>
  </si>
  <si>
    <t>471120</t>
  </si>
  <si>
    <t>Supermercati</t>
  </si>
  <si>
    <t>6.</t>
  </si>
  <si>
    <t>GS SPA</t>
  </si>
  <si>
    <t>12683790153</t>
  </si>
  <si>
    <t>7.</t>
  </si>
  <si>
    <t>MD S.P.A.</t>
  </si>
  <si>
    <t>03185210618</t>
  </si>
  <si>
    <t>8.</t>
  </si>
  <si>
    <t>SPESA INTELLIGENTE S.P.A.</t>
  </si>
  <si>
    <t>02416840235</t>
  </si>
  <si>
    <t>9.</t>
  </si>
  <si>
    <t>UNICOOP FIRENZE SOCIETA' COOPERATIVA IN SIGLA UNICOOP FIRENZE SC</t>
  </si>
  <si>
    <t>00407780485</t>
  </si>
  <si>
    <t>10.</t>
  </si>
  <si>
    <t>CONAD NORD OVEST SOCIETA' COOPERATIVA</t>
  </si>
  <si>
    <t>01977130473</t>
  </si>
  <si>
    <t>463920</t>
  </si>
  <si>
    <t>Commercio all'ingrosso non specializzato di prodotti alimentari, bevande e tabacco</t>
  </si>
  <si>
    <t>11.</t>
  </si>
  <si>
    <t>AGRICOLA TRE VALLI - SOCIETA' COOPERATIVA</t>
  </si>
  <si>
    <t>02447620234</t>
  </si>
  <si>
    <t>101200</t>
  </si>
  <si>
    <t>Produzione di carne di volatili e prodotti della loro macellazione (attività dei mattatoi)</t>
  </si>
  <si>
    <t>12.</t>
  </si>
  <si>
    <t>MAXI DI S.R.L.</t>
  </si>
  <si>
    <t>00542090238</t>
  </si>
  <si>
    <t>13.</t>
  </si>
  <si>
    <t>CONAD - CONSORZIO NAZIONALE DETTAGLIANTI - SOCIETA' COOPERATIVA IN SIGLA CONAD</t>
  </si>
  <si>
    <t>03320960374</t>
  </si>
  <si>
    <t>461904</t>
  </si>
  <si>
    <t>Gruppi di acquisto; mandatari agli acquisti; buyer</t>
  </si>
  <si>
    <t>14.</t>
  </si>
  <si>
    <t>BARILLA G. E R. FRATELLI - SOCIETA' PER AZIONI</t>
  </si>
  <si>
    <t>01654010345</t>
  </si>
  <si>
    <t>107300</t>
  </si>
  <si>
    <t>Produzione di paste alimentari, di cuscus e di prodotti farinacei simili</t>
  </si>
  <si>
    <t>15.</t>
  </si>
  <si>
    <t>ASPIAG SERVICE S.R.L.</t>
  </si>
  <si>
    <t>00882800212</t>
  </si>
  <si>
    <t>16.</t>
  </si>
  <si>
    <t>COOP CONSORZIO NORD OVEST SOC. CONSORTILE A R.L.</t>
  </si>
  <si>
    <t>04117520967</t>
  </si>
  <si>
    <t>17.</t>
  </si>
  <si>
    <t>GESCO SOCIETA' COOPERATIVA AGRICOLA IN BREVE GESCO S.C.A.</t>
  </si>
  <si>
    <t>02522130406</t>
  </si>
  <si>
    <t>18.</t>
  </si>
  <si>
    <t>MEGAMARK S.R.L.</t>
  </si>
  <si>
    <t>02969690615</t>
  </si>
  <si>
    <t>19.</t>
  </si>
  <si>
    <t>UNICOMM - S.R.L.</t>
  </si>
  <si>
    <t>01274580248</t>
  </si>
  <si>
    <t>20.</t>
  </si>
  <si>
    <t>LUIGI LAVAZZA - SOCIETA' PER AZIONI ABBREVIABILE ANCHE NELLA SIGLA: LAVAZZA S.P.A.</t>
  </si>
  <si>
    <t>00470550013</t>
  </si>
  <si>
    <t>108301</t>
  </si>
  <si>
    <t>Lavorazione del caffè</t>
  </si>
  <si>
    <t>21.</t>
  </si>
  <si>
    <t>COMMERCIANTI INDIPENDENTI ASSOCIATI - SOCIETA' COOPERATIVA</t>
  </si>
  <si>
    <t>00138950407</t>
  </si>
  <si>
    <t>23.</t>
  </si>
  <si>
    <t>METRO ITALIA S.P.A.</t>
  </si>
  <si>
    <t>02827030962</t>
  </si>
  <si>
    <t>24.</t>
  </si>
  <si>
    <t>IPER MONTEBELLO S.P.A.</t>
  </si>
  <si>
    <t>03585750155</t>
  </si>
  <si>
    <t>25.</t>
  </si>
  <si>
    <t>PAM PANORAMA S.P.A.</t>
  </si>
  <si>
    <t>02036440275</t>
  </si>
  <si>
    <t>26.</t>
  </si>
  <si>
    <t>EUROSPIN LAZIO SPA</t>
  </si>
  <si>
    <t>04766841003</t>
  </si>
  <si>
    <t>471130</t>
  </si>
  <si>
    <t>Discount di alimentari</t>
  </si>
  <si>
    <t>27.</t>
  </si>
  <si>
    <t>FERRERO COMMERCIALE ITALIA S.R.L.</t>
  </si>
  <si>
    <t>03629090048</t>
  </si>
  <si>
    <t>463600</t>
  </si>
  <si>
    <t>Commercio all'ingrosso di zucchero, cioccolato, dolciumi e prodotti da forno</t>
  </si>
  <si>
    <t>28.</t>
  </si>
  <si>
    <t>INALCA SOCIETA' PER AZIONI</t>
  </si>
  <si>
    <t>02562260360</t>
  </si>
  <si>
    <t>101000</t>
  </si>
  <si>
    <t>Lavorazione e conservazione di carne e produzione di prodotti a base di carne</t>
  </si>
  <si>
    <t>29.</t>
  </si>
  <si>
    <t>CE.DI. GROS - SOCIETA' CONSORTILE A RESPONSABILITA' LIMITATA (IN BREVE CE.DI. GROS - S.C. A R.L.)</t>
  </si>
  <si>
    <t>06564861000</t>
  </si>
  <si>
    <t>30.</t>
  </si>
  <si>
    <t>UNILEVER ITALIA MKT. OPERATIONS SRL - FATTA PRECISAZIONE CHE DETT A DENOMINAZIONE POTRA' ESSERE SCRITTA CON O SENZA IL PUNTO DOPO LA PAROLA MKT.</t>
  </si>
  <si>
    <t>06397510964</t>
  </si>
  <si>
    <t>31.</t>
  </si>
  <si>
    <t>IPERAL SUPERMERCATI S.P.A.</t>
  </si>
  <si>
    <t>11023300962</t>
  </si>
  <si>
    <t>34.</t>
  </si>
  <si>
    <t>SUPERMERCATI TOSANO CEREA S.R.L.</t>
  </si>
  <si>
    <t>01286680234</t>
  </si>
  <si>
    <t>35.</t>
  </si>
  <si>
    <t>PENNY MARKET S.R.L.</t>
  </si>
  <si>
    <t>12619750156</t>
  </si>
  <si>
    <t>36.</t>
  </si>
  <si>
    <t>AGORA' NETWORK SOCIETA' CONSORTILE A R.L.</t>
  </si>
  <si>
    <t>13211090157</t>
  </si>
  <si>
    <t>37.</t>
  </si>
  <si>
    <t>IN'S MERCATO S.P.A.</t>
  </si>
  <si>
    <t>02896940273</t>
  </si>
  <si>
    <t>38.</t>
  </si>
  <si>
    <t>CONAD CENTRO NORD SOCIETA' COOPERATIVA</t>
  </si>
  <si>
    <t>01751820356</t>
  </si>
  <si>
    <t>39.</t>
  </si>
  <si>
    <t>ALI' S.P.A.</t>
  </si>
  <si>
    <t>00348980285</t>
  </si>
  <si>
    <t>40.</t>
  </si>
  <si>
    <t>DIMAR S.P.A.</t>
  </si>
  <si>
    <t>00294760046</t>
  </si>
  <si>
    <t>42.</t>
  </si>
  <si>
    <t>TIGROS REAL ESTATE S.P.A.</t>
  </si>
  <si>
    <t>12790620152</t>
  </si>
  <si>
    <t>682001</t>
  </si>
  <si>
    <t>Locazione immobiliare di beni propri</t>
  </si>
  <si>
    <t>43.</t>
  </si>
  <si>
    <t>BUNGE ITALIA S.P.A.</t>
  </si>
  <si>
    <t>01532980388</t>
  </si>
  <si>
    <t>104120</t>
  </si>
  <si>
    <t>Produzione di olio raffinato o grezzo da semi oleosi o frutti oleosi prevalentemente non di produzione propria</t>
  </si>
  <si>
    <t>44.</t>
  </si>
  <si>
    <t>COCA-COLA HBC ITALIA S.R.L.</t>
  </si>
  <si>
    <t>12363410155</t>
  </si>
  <si>
    <t>110700</t>
  </si>
  <si>
    <t>Industria delle bibite analcoliche, delle acque minerali e di altre acque in bottiglia</t>
  </si>
  <si>
    <t>45.</t>
  </si>
  <si>
    <t>CONAD ADRIATICO SOCIETA' COOPERATIVA</t>
  </si>
  <si>
    <t>00105820443</t>
  </si>
  <si>
    <t>46.</t>
  </si>
  <si>
    <t>GRANAROLO S.P.A. IN SIGLA G. SPA</t>
  </si>
  <si>
    <t>04119190371</t>
  </si>
  <si>
    <t>105110</t>
  </si>
  <si>
    <t>Trattamento igienico del latte</t>
  </si>
  <si>
    <t>47.</t>
  </si>
  <si>
    <t>EUROSPIN TIRRENICA S.P.A.</t>
  </si>
  <si>
    <t>02049850544</t>
  </si>
  <si>
    <t>48.</t>
  </si>
  <si>
    <t>MAGAZZINI GABRIELLI S.P.A.</t>
  </si>
  <si>
    <t>00103300448</t>
  </si>
  <si>
    <t>49.</t>
  </si>
  <si>
    <t>FRATELLI ARENA SRL</t>
  </si>
  <si>
    <t>00097560866</t>
  </si>
  <si>
    <t>50.</t>
  </si>
  <si>
    <t>BENNET S.P.A.</t>
  </si>
  <si>
    <t>07071700152</t>
  </si>
  <si>
    <t>471110</t>
  </si>
  <si>
    <t>Ipermercati</t>
  </si>
  <si>
    <t>51.</t>
  </si>
  <si>
    <t>RIALTO S.P.A.</t>
  </si>
  <si>
    <t>05849840151</t>
  </si>
  <si>
    <t>52.</t>
  </si>
  <si>
    <t>CEREAL DOCKS S.P.A.</t>
  </si>
  <si>
    <t>02218040240</t>
  </si>
  <si>
    <t>53.</t>
  </si>
  <si>
    <t>CESAR S.P.A.</t>
  </si>
  <si>
    <t>00239870686</t>
  </si>
  <si>
    <t>464430</t>
  </si>
  <si>
    <t>Commercio all'ingrosso di saponi, detersivi e altri prodotti per la pulizia</t>
  </si>
  <si>
    <t>54.</t>
  </si>
  <si>
    <t>NOVA COOP SOCIETA' COOPERATIVA</t>
  </si>
  <si>
    <t>01314250034</t>
  </si>
  <si>
    <t>55.</t>
  </si>
  <si>
    <t>EUROSPIN SICILIA SPA</t>
  </si>
  <si>
    <t>03653460877</t>
  </si>
  <si>
    <t>56.</t>
  </si>
  <si>
    <t>EGIDIO GALBANI SOCIETA' A RESPONSABILITA' LIMITATA IN BREVE EGIDIO GALBANI S.R.L. O E.GA. S.R.L.</t>
  </si>
  <si>
    <t>03419280965</t>
  </si>
  <si>
    <t>105120</t>
  </si>
  <si>
    <t>Produzione dei derivati del latte</t>
  </si>
  <si>
    <t>57.</t>
  </si>
  <si>
    <t>UNES MAXI S.P.A.</t>
  </si>
  <si>
    <t>07515280159</t>
  </si>
  <si>
    <t>58.</t>
  </si>
  <si>
    <t>EUROSPIN PUGLIA S.P.A.</t>
  </si>
  <si>
    <t>03117590756</t>
  </si>
  <si>
    <t>59.</t>
  </si>
  <si>
    <t>MULTICEDI S.R.L.</t>
  </si>
  <si>
    <t>02023490614</t>
  </si>
  <si>
    <t>60.</t>
  </si>
  <si>
    <t>PARMALAT S.P.A. IN FORMA ABBREVIATA PLT S.P.A.</t>
  </si>
  <si>
    <t>04030970968</t>
  </si>
  <si>
    <t>61.</t>
  </si>
  <si>
    <t>COOP LOMBARDIA SOCIETA' COOPERATIVA</t>
  </si>
  <si>
    <t>00856620158</t>
  </si>
  <si>
    <t>63.</t>
  </si>
  <si>
    <t>UNIGRA' S.P.A.</t>
  </si>
  <si>
    <t>02403240399</t>
  </si>
  <si>
    <t>64.</t>
  </si>
  <si>
    <t>NESTLE' ITALIANA S.P.A. IN FORMA ABBREVIATA NE.IT. S.P.A.</t>
  </si>
  <si>
    <t>00777280157</t>
  </si>
  <si>
    <t>100000</t>
  </si>
  <si>
    <t>65.</t>
  </si>
  <si>
    <t>BIG S.R.L.</t>
  </si>
  <si>
    <t>04492200961</t>
  </si>
  <si>
    <t>463310</t>
  </si>
  <si>
    <t>Commercio all'ingrosso di prodotti lattiero-caseari e di uova</t>
  </si>
  <si>
    <t>66.</t>
  </si>
  <si>
    <t>SALUMIFICI GRANTERRE S.P.A.</t>
  </si>
  <si>
    <t>02654810361</t>
  </si>
  <si>
    <t>101300</t>
  </si>
  <si>
    <t>Produzione di prodotti a base di carne (inclusa la carne di volatili)</t>
  </si>
  <si>
    <t>67.</t>
  </si>
  <si>
    <t>CONSERVE ITALIA - CONSORZIO ITALIANO FRA COOPERATIVE AGRICOLE - S OCIETA' COOPERATIVA AGRICOLA - IN FORMA ABBREVIATA CONSERVE ITALIA SOC.COOP. AG RICOLA .</t>
  </si>
  <si>
    <t>00708311204</t>
  </si>
  <si>
    <t>103000</t>
  </si>
  <si>
    <t>Lavorazione e conservazone di frutta e ortaggi</t>
  </si>
  <si>
    <t>68.</t>
  </si>
  <si>
    <t>UNICOOP ETRURIA SOCIETA' COOPERATIVA</t>
  </si>
  <si>
    <t>00103530499</t>
  </si>
  <si>
    <t>69.</t>
  </si>
  <si>
    <t>FERRERO INDUSTRIALE ITALIA S.R.L.</t>
  </si>
  <si>
    <t>03629080049</t>
  </si>
  <si>
    <t>108200</t>
  </si>
  <si>
    <t>Produzione di cacao in polvere, cioccolato, caramelle e confetterie</t>
  </si>
  <si>
    <t>70.</t>
  </si>
  <si>
    <t>AVI.COOP SOCIETA' COOPERATIVA AGRICOLA IN BREVE: AVI.COOP S.C.A. OVVERO: AVI.COOP SOC. COOP. AGR.</t>
  </si>
  <si>
    <t>01247140401</t>
  </si>
  <si>
    <t>016300</t>
  </si>
  <si>
    <t>Attività che seguono la raccolta</t>
  </si>
  <si>
    <t>71.</t>
  </si>
  <si>
    <t>HEINEKEN ITALIA SPA</t>
  </si>
  <si>
    <t>00610140071</t>
  </si>
  <si>
    <t>110500</t>
  </si>
  <si>
    <t>Produzione di birra</t>
  </si>
  <si>
    <t>72.</t>
  </si>
  <si>
    <t>MAIORA SOCIETA' PER AZIONI</t>
  </si>
  <si>
    <t>07390770720</t>
  </si>
  <si>
    <t>74.</t>
  </si>
  <si>
    <t>CASEIFICI GRANTERRE SPA</t>
  </si>
  <si>
    <t>01299680353</t>
  </si>
  <si>
    <t>75.</t>
  </si>
  <si>
    <t>COOP LIGURIA SOCIETA' COOPERATIVA DI CONSUMO</t>
  </si>
  <si>
    <t>00103220091</t>
  </si>
  <si>
    <t>76.</t>
  </si>
  <si>
    <t>APULIA DISTRIBUZIONE S.R.L.</t>
  </si>
  <si>
    <t>05754810728</t>
  </si>
  <si>
    <t>77.</t>
  </si>
  <si>
    <t>ROSSETTO TRADE S.P.A.</t>
  </si>
  <si>
    <t>02928530233</t>
  </si>
  <si>
    <t>78.</t>
  </si>
  <si>
    <t>ERGON S.P.A</t>
  </si>
  <si>
    <t>01220100885</t>
  </si>
  <si>
    <t>79.</t>
  </si>
  <si>
    <t>AP COMMERCIALE SRL</t>
  </si>
  <si>
    <t>07489941216</t>
  </si>
  <si>
    <t>81.</t>
  </si>
  <si>
    <t>CASILLO SOCIETA' PER AZIONI</t>
  </si>
  <si>
    <t>00252860721</t>
  </si>
  <si>
    <t>106110</t>
  </si>
  <si>
    <t>Molitura del frumento</t>
  </si>
  <si>
    <t>83.</t>
  </si>
  <si>
    <t>LA DORIA S.P.A.</t>
  </si>
  <si>
    <t>00180700650</t>
  </si>
  <si>
    <t>84.</t>
  </si>
  <si>
    <t>CARGILL S.R.L.</t>
  </si>
  <si>
    <t>12096330159</t>
  </si>
  <si>
    <t>106200</t>
  </si>
  <si>
    <t>Produzione di amidi e di prodotti amidacei (inclusa produzione di olio di mais)</t>
  </si>
  <si>
    <t>85.</t>
  </si>
  <si>
    <t>BOLTON FOOD S.P.A.</t>
  </si>
  <si>
    <t>00197980139</t>
  </si>
  <si>
    <t>86.</t>
  </si>
  <si>
    <t>F.LLI LANDO S.P.A.</t>
  </si>
  <si>
    <t>01782190282</t>
  </si>
  <si>
    <t>87.</t>
  </si>
  <si>
    <t>CASA OLEARIA ITALIANA SOCIETA' PER AZIONI IN SIGLA CASA OLEARIA ITALIANA S.P.A.</t>
  </si>
  <si>
    <t>01458780747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</si>
</sst>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0.0"/>
  </numFmts>
  <fonts count="1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8.5"/>
      <color rgb="FFFFFFFF"/>
      <name val="Verdana"/>
      <family val="2"/>
    </font>
    <font>
      <sz val="8.5"/>
      <color rgb="FF333333"/>
      <name val="Verdana"/>
      <family val="2"/>
    </font>
    <font>
      <sz val="11"/>
      <color rgb="FF000000"/>
      <name val="Calibri"/>
      <family val="2"/>
    </font>
    <font>
      <b/>
      <sz val="10"/>
      <name val="Calibri Light"/>
      <family val="2"/>
      <scheme val="major"/>
    </font>
    <font>
      <sz val="10"/>
      <name val="Calibri Light"/>
      <family val="2"/>
      <scheme val="major"/>
    </font>
    <font>
      <b/>
      <sz val="14"/>
      <name val="Arial"/>
      <family val="2"/>
    </font>
    <font>
      <b/>
      <sz val="10"/>
      <name val="Arial"/>
      <family val="2"/>
    </font>
    <font>
      <b/>
      <sz val="24"/>
      <color rgb="FF000000"/>
      <name val="Calibri"/>
      <family val="2"/>
    </font>
    <font>
      <b/>
      <sz val="11"/>
      <color rgb="FF000000"/>
      <name val="Calibri"/>
      <family val="2"/>
    </font>
    <font>
      <b/>
      <sz val="8.5"/>
      <color rgb="FF003366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6A3B5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67">
    <xf numFmtId="0" fontId="0" fillId="0" borderId="0" xfId="0"/>
    <xf numFmtId="0" fontId="5" fillId="0" borderId="0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5" fillId="0" borderId="0" xfId="2" applyFont="1" applyFill="1" applyBorder="1" applyAlignment="1">
      <alignment vertical="center" wrapText="1"/>
    </xf>
    <xf numFmtId="0" fontId="5" fillId="0" borderId="0" xfId="2" applyFont="1" applyAlignment="1">
      <alignment vertical="center" wrapText="1"/>
    </xf>
    <xf numFmtId="0" fontId="6" fillId="0" borderId="0" xfId="2" applyFont="1" applyFill="1" applyBorder="1" applyAlignment="1">
      <alignment horizontal="left" vertical="center" wrapText="1"/>
    </xf>
    <xf numFmtId="0" fontId="6" fillId="0" borderId="0" xfId="2" applyFont="1" applyFill="1" applyBorder="1" applyAlignment="1">
      <alignment horizontal="left"/>
    </xf>
    <xf numFmtId="14" fontId="6" fillId="0" borderId="0" xfId="2" applyNumberFormat="1" applyFont="1" applyFill="1" applyBorder="1" applyAlignment="1">
      <alignment horizontal="left"/>
    </xf>
    <xf numFmtId="0" fontId="6" fillId="0" borderId="0" xfId="2" applyFont="1"/>
    <xf numFmtId="0" fontId="6" fillId="0" borderId="0" xfId="2" applyFont="1" applyFill="1" applyBorder="1"/>
    <xf numFmtId="164" fontId="6" fillId="0" borderId="0" xfId="4" applyNumberFormat="1" applyFont="1" applyFill="1" applyBorder="1" applyAlignment="1">
      <alignment horizontal="center"/>
    </xf>
    <xf numFmtId="165" fontId="6" fillId="0" borderId="0" xfId="0" applyNumberFormat="1" applyFont="1" applyFill="1" applyBorder="1" applyAlignment="1">
      <alignment horizontal="center"/>
    </xf>
    <xf numFmtId="165" fontId="6" fillId="0" borderId="0" xfId="2" applyNumberFormat="1" applyFont="1" applyFill="1" applyBorder="1" applyAlignment="1">
      <alignment horizontal="center"/>
    </xf>
    <xf numFmtId="164" fontId="6" fillId="0" borderId="0" xfId="1" applyNumberFormat="1" applyFont="1" applyFill="1" applyBorder="1" applyAlignment="1">
      <alignment horizontal="center"/>
    </xf>
    <xf numFmtId="2" fontId="6" fillId="0" borderId="0" xfId="2" applyNumberFormat="1" applyFont="1" applyFill="1" applyBorder="1"/>
    <xf numFmtId="166" fontId="6" fillId="0" borderId="0" xfId="2" applyNumberFormat="1" applyFont="1" applyFill="1" applyBorder="1"/>
    <xf numFmtId="165" fontId="6" fillId="0" borderId="0" xfId="3" applyNumberFormat="1" applyFont="1" applyFill="1" applyBorder="1"/>
    <xf numFmtId="0" fontId="5" fillId="6" borderId="0" xfId="2" applyFont="1" applyFill="1" applyBorder="1" applyAlignment="1">
      <alignment horizontal="center" textRotation="90"/>
    </xf>
    <xf numFmtId="0" fontId="5" fillId="6" borderId="0" xfId="2" applyFont="1" applyFill="1" applyAlignment="1">
      <alignment horizontal="center" textRotation="90"/>
    </xf>
    <xf numFmtId="0" fontId="5" fillId="6" borderId="0" xfId="2" applyFont="1" applyFill="1" applyBorder="1" applyAlignment="1">
      <alignment horizontal="center"/>
    </xf>
    <xf numFmtId="10" fontId="5" fillId="6" borderId="0" xfId="3" applyNumberFormat="1" applyFont="1" applyFill="1" applyBorder="1" applyAlignment="1">
      <alignment horizontal="center" textRotation="90"/>
    </xf>
    <xf numFmtId="1" fontId="6" fillId="0" borderId="0" xfId="4" applyNumberFormat="1" applyFont="1" applyFill="1" applyBorder="1" applyAlignment="1">
      <alignment horizontal="right"/>
    </xf>
    <xf numFmtId="165" fontId="6" fillId="0" borderId="0" xfId="3" applyNumberFormat="1" applyFont="1" applyFill="1" applyBorder="1" applyAlignment="1">
      <alignment horizontal="right"/>
    </xf>
    <xf numFmtId="1" fontId="6" fillId="0" borderId="0" xfId="4" applyNumberFormat="1" applyFont="1" applyFill="1" applyBorder="1" applyAlignment="1">
      <alignment horizontal="center"/>
    </xf>
    <xf numFmtId="49" fontId="8" fillId="7" borderId="2" xfId="0" applyNumberFormat="1" applyFont="1" applyFill="1" applyBorder="1" applyAlignment="1">
      <alignment vertical="top" wrapText="1"/>
    </xf>
    <xf numFmtId="0" fontId="8" fillId="7" borderId="2" xfId="0" applyFont="1" applyFill="1" applyBorder="1" applyAlignment="1">
      <alignment vertical="top" wrapText="1"/>
    </xf>
    <xf numFmtId="1" fontId="6" fillId="0" borderId="0" xfId="1" applyNumberFormat="1" applyFont="1" applyFill="1" applyBorder="1" applyAlignment="1">
      <alignment horizontal="left"/>
    </xf>
    <xf numFmtId="1" fontId="6" fillId="0" borderId="0" xfId="2" applyNumberFormat="1" applyFont="1" applyFill="1" applyBorder="1" applyAlignment="1">
      <alignment horizontal="left"/>
    </xf>
    <xf numFmtId="0" fontId="7" fillId="0" borderId="3" xfId="0" applyNumberFormat="1" applyFont="1" applyBorder="1" applyAlignment="1">
      <alignment vertical="top" wrapText="1"/>
    </xf>
    <xf numFmtId="0" fontId="7" fillId="0" borderId="3" xfId="0" applyNumberFormat="1" applyFont="1" applyBorder="1" applyAlignment="1">
      <alignment horizontal="center" vertical="top" wrapText="1"/>
    </xf>
    <xf numFmtId="3" fontId="6" fillId="0" borderId="0" xfId="2" applyNumberFormat="1" applyFont="1" applyFill="1" applyBorder="1"/>
    <xf numFmtId="165" fontId="6" fillId="0" borderId="0" xfId="5" applyNumberFormat="1" applyFont="1" applyFill="1" applyBorder="1"/>
    <xf numFmtId="0" fontId="5" fillId="0" borderId="0" xfId="2" applyFont="1" applyFill="1" applyBorder="1" applyAlignment="1">
      <alignment horizontal="center" vertical="center" wrapText="1"/>
    </xf>
    <xf numFmtId="0" fontId="5" fillId="0" borderId="0" xfId="2" applyFont="1" applyFill="1" applyAlignment="1">
      <alignment horizontal="center" vertical="center" wrapText="1"/>
    </xf>
    <xf numFmtId="0" fontId="5" fillId="0" borderId="0" xfId="2" applyFont="1" applyFill="1" applyAlignment="1">
      <alignment vertical="center" wrapText="1"/>
    </xf>
    <xf numFmtId="165" fontId="5" fillId="0" borderId="0" xfId="5" applyNumberFormat="1" applyFont="1" applyFill="1" applyBorder="1" applyAlignment="1">
      <alignment horizontal="center" vertical="center" wrapText="1"/>
    </xf>
    <xf numFmtId="165" fontId="5" fillId="6" borderId="0" xfId="5" applyNumberFormat="1" applyFont="1" applyFill="1" applyBorder="1" applyAlignment="1">
      <alignment horizontal="center" textRotation="90"/>
    </xf>
    <xf numFmtId="0" fontId="6" fillId="0" borderId="0" xfId="2" applyFont="1" applyFill="1"/>
    <xf numFmtId="0" fontId="10" fillId="0" borderId="0" xfId="0" applyFont="1"/>
    <xf numFmtId="164" fontId="0" fillId="0" borderId="0" xfId="1" applyNumberFormat="1" applyFont="1"/>
    <xf numFmtId="164" fontId="10" fillId="0" borderId="0" xfId="1" applyNumberFormat="1" applyFont="1"/>
    <xf numFmtId="10" fontId="6" fillId="0" borderId="0" xfId="2" applyNumberFormat="1" applyFont="1" applyFill="1" applyBorder="1" applyAlignment="1">
      <alignment horizontal="center"/>
    </xf>
    <xf numFmtId="0" fontId="0" fillId="0" borderId="0" xfId="0" applyAlignment="1"/>
    <xf numFmtId="0" fontId="0" fillId="2" borderId="0" xfId="0" applyFill="1" applyAlignment="1"/>
    <xf numFmtId="0" fontId="0" fillId="4" borderId="0" xfId="0" applyFill="1" applyAlignment="1"/>
    <xf numFmtId="0" fontId="0" fillId="8" borderId="6" xfId="0" applyFill="1" applyBorder="1" applyAlignment="1"/>
    <xf numFmtId="0" fontId="0" fillId="3" borderId="1" xfId="0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/>
    </xf>
    <xf numFmtId="14" fontId="3" fillId="4" borderId="1" xfId="0" applyNumberFormat="1" applyFont="1" applyFill="1" applyBorder="1" applyAlignment="1">
      <alignment horizontal="right" vertical="top"/>
    </xf>
    <xf numFmtId="3" fontId="3" fillId="4" borderId="1" xfId="0" applyNumberFormat="1" applyFont="1" applyFill="1" applyBorder="1" applyAlignment="1">
      <alignment horizontal="right" vertical="top"/>
    </xf>
    <xf numFmtId="4" fontId="3" fillId="4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top" wrapText="1"/>
    </xf>
    <xf numFmtId="14" fontId="3" fillId="5" borderId="1" xfId="0" applyNumberFormat="1" applyFont="1" applyFill="1" applyBorder="1" applyAlignment="1">
      <alignment horizontal="right" vertical="top"/>
    </xf>
    <xf numFmtId="3" fontId="3" fillId="5" borderId="1" xfId="0" applyNumberFormat="1" applyFont="1" applyFill="1" applyBorder="1" applyAlignment="1">
      <alignment horizontal="right" vertical="top"/>
    </xf>
    <xf numFmtId="4" fontId="3" fillId="5" borderId="1" xfId="0" applyNumberFormat="1" applyFont="1" applyFill="1" applyBorder="1" applyAlignment="1">
      <alignment horizontal="right" vertical="top"/>
    </xf>
    <xf numFmtId="0" fontId="0" fillId="5" borderId="1" xfId="0" applyFill="1" applyBorder="1"/>
    <xf numFmtId="0" fontId="0" fillId="4" borderId="1" xfId="0" applyFill="1" applyBorder="1"/>
    <xf numFmtId="0" fontId="5" fillId="0" borderId="0" xfId="2" applyFont="1" applyFill="1" applyBorder="1" applyAlignment="1">
      <alignment horizontal="center" vertical="center" wrapText="1"/>
    </xf>
    <xf numFmtId="0" fontId="5" fillId="0" borderId="0" xfId="2" quotePrefix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</cellXfs>
  <cellStyles count="6">
    <cellStyle name="Migliaia" xfId="1" builtinId="3"/>
    <cellStyle name="Migliaia 2" xfId="4" xr:uid="{00000000-0005-0000-0000-000001000000}"/>
    <cellStyle name="Normale" xfId="0" builtinId="0"/>
    <cellStyle name="Normale 2" xfId="2" xr:uid="{00000000-0005-0000-0000-000003000000}"/>
    <cellStyle name="Percentuale" xfId="5" builtinId="5"/>
    <cellStyle name="Percentuale 2" xfId="3" xr:uid="{00000000-0005-0000-0000-000005000000}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0</xdr:rowOff>
    </xdr:from>
    <xdr:to>
      <xdr:col>21</xdr:col>
      <xdr:colOff>518680</xdr:colOff>
      <xdr:row>7</xdr:row>
      <xdr:rowOff>121994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BDD14023-5DAE-4B1B-971E-B73156B6A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548640"/>
          <a:ext cx="6005080" cy="853514"/>
        </a:xfrm>
        <a:prstGeom prst="rect">
          <a:avLst/>
        </a:prstGeom>
      </xdr:spPr>
    </xdr:pic>
    <xdr:clientData/>
  </xdr:twoCellAnchor>
  <xdr:twoCellAnchor editAs="oneCell">
    <xdr:from>
      <xdr:col>12</xdr:col>
      <xdr:colOff>129540</xdr:colOff>
      <xdr:row>9</xdr:row>
      <xdr:rowOff>7620</xdr:rowOff>
    </xdr:from>
    <xdr:to>
      <xdr:col>20</xdr:col>
      <xdr:colOff>518616</xdr:colOff>
      <xdr:row>35</xdr:row>
      <xdr:rowOff>38515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21606181-BE71-4F35-98C6-96C1D4CEE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87940" y="1653540"/>
          <a:ext cx="5265876" cy="47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1"/>
  <sheetViews>
    <sheetView tabSelected="1" workbookViewId="0">
      <pane xSplit="2" topLeftCell="C1" activePane="topRight" state="frozen"/>
      <selection pane="topRight"/>
    </sheetView>
  </sheetViews>
  <sheetFormatPr defaultRowHeight="14.25" customHeight="1" x14ac:dyDescent="0.25"/>
  <cols>
    <col min="1" max="1" width="4.140625" style="43" customWidth="1"/>
    <col min="2" max="2" width="31.42578125" style="43" customWidth="1"/>
    <col min="3" max="3" width="34.28515625" style="43" customWidth="1"/>
    <col min="4" max="4" width="18.28515625" style="43" customWidth="1"/>
    <col min="5" max="5" width="34.28515625" style="43" customWidth="1"/>
    <col min="6" max="39" width="20.42578125" style="43" customWidth="1"/>
    <col min="40" max="40" width="34.28515625" style="44" customWidth="1"/>
    <col min="41" max="41" width="70.28515625" style="44" bestFit="1" customWidth="1"/>
    <col min="42" max="51" width="20.42578125" style="43" customWidth="1"/>
    <col min="52" max="16384" width="9.140625" style="42"/>
  </cols>
  <sheetData>
    <row r="1" spans="1:51" s="50" customFormat="1" ht="63" x14ac:dyDescent="0.25">
      <c r="A1" s="46"/>
      <c r="B1" s="47" t="s">
        <v>0</v>
      </c>
      <c r="C1" s="47" t="s">
        <v>1</v>
      </c>
      <c r="D1" s="48" t="s">
        <v>306</v>
      </c>
      <c r="E1" s="47" t="s">
        <v>263</v>
      </c>
      <c r="F1" s="48" t="s">
        <v>264</v>
      </c>
      <c r="G1" s="48" t="s">
        <v>265</v>
      </c>
      <c r="H1" s="48" t="s">
        <v>266</v>
      </c>
      <c r="I1" s="48" t="s">
        <v>267</v>
      </c>
      <c r="J1" s="48" t="s">
        <v>268</v>
      </c>
      <c r="K1" s="48" t="s">
        <v>269</v>
      </c>
      <c r="L1" s="48" t="s">
        <v>270</v>
      </c>
      <c r="M1" s="48" t="s">
        <v>271</v>
      </c>
      <c r="N1" s="48" t="s">
        <v>272</v>
      </c>
      <c r="O1" s="48" t="s">
        <v>273</v>
      </c>
      <c r="P1" s="48" t="s">
        <v>274</v>
      </c>
      <c r="Q1" s="48" t="s">
        <v>275</v>
      </c>
      <c r="R1" s="48" t="s">
        <v>276</v>
      </c>
      <c r="S1" s="48" t="s">
        <v>277</v>
      </c>
      <c r="T1" s="48" t="s">
        <v>278</v>
      </c>
      <c r="U1" s="48" t="s">
        <v>279</v>
      </c>
      <c r="V1" s="48" t="s">
        <v>280</v>
      </c>
      <c r="W1" s="48" t="s">
        <v>281</v>
      </c>
      <c r="X1" s="48" t="s">
        <v>282</v>
      </c>
      <c r="Y1" s="48" t="s">
        <v>283</v>
      </c>
      <c r="Z1" s="48" t="s">
        <v>284</v>
      </c>
      <c r="AA1" s="48" t="s">
        <v>285</v>
      </c>
      <c r="AB1" s="48" t="s">
        <v>286</v>
      </c>
      <c r="AC1" s="48" t="s">
        <v>287</v>
      </c>
      <c r="AD1" s="48" t="s">
        <v>288</v>
      </c>
      <c r="AE1" s="48" t="s">
        <v>289</v>
      </c>
      <c r="AF1" s="48" t="s">
        <v>290</v>
      </c>
      <c r="AG1" s="48" t="s">
        <v>291</v>
      </c>
      <c r="AH1" s="48" t="s">
        <v>292</v>
      </c>
      <c r="AI1" s="48" t="s">
        <v>293</v>
      </c>
      <c r="AJ1" s="48" t="s">
        <v>294</v>
      </c>
      <c r="AK1" s="48" t="s">
        <v>295</v>
      </c>
      <c r="AL1" s="48" t="s">
        <v>296</v>
      </c>
      <c r="AM1" s="48" t="s">
        <v>297</v>
      </c>
      <c r="AN1" s="47" t="s">
        <v>47</v>
      </c>
      <c r="AO1" s="47" t="s">
        <v>48</v>
      </c>
      <c r="AP1" s="48" t="s">
        <v>298</v>
      </c>
      <c r="AQ1" s="48" t="s">
        <v>299</v>
      </c>
      <c r="AR1" s="48" t="s">
        <v>300</v>
      </c>
      <c r="AS1" s="48" t="s">
        <v>301</v>
      </c>
      <c r="AT1" s="48" t="s">
        <v>302</v>
      </c>
      <c r="AU1" s="48" t="s">
        <v>303</v>
      </c>
      <c r="AV1" s="48" t="s">
        <v>304</v>
      </c>
      <c r="AW1" s="48" t="s">
        <v>305</v>
      </c>
      <c r="AX1" s="48" t="s">
        <v>305</v>
      </c>
      <c r="AY1" s="49" t="s">
        <v>258</v>
      </c>
    </row>
    <row r="2" spans="1:51" customFormat="1" ht="45.6" customHeight="1" x14ac:dyDescent="0.25">
      <c r="A2" s="51" t="s">
        <v>252</v>
      </c>
      <c r="B2" s="52" t="s">
        <v>307</v>
      </c>
      <c r="C2" s="51" t="s">
        <v>308</v>
      </c>
      <c r="D2" s="53">
        <v>45291</v>
      </c>
      <c r="E2" s="51" t="s">
        <v>253</v>
      </c>
      <c r="F2" s="54">
        <v>9120646</v>
      </c>
      <c r="G2" s="54">
        <v>9038616</v>
      </c>
      <c r="H2" s="54">
        <v>0</v>
      </c>
      <c r="I2" s="54">
        <v>6285561</v>
      </c>
      <c r="J2" s="54">
        <v>0</v>
      </c>
      <c r="K2" s="54">
        <v>1015920</v>
      </c>
      <c r="L2" s="54">
        <v>1052480</v>
      </c>
      <c r="M2" s="54">
        <v>99536</v>
      </c>
      <c r="N2" s="54">
        <v>25090</v>
      </c>
      <c r="O2" s="54">
        <v>406552</v>
      </c>
      <c r="P2" s="54">
        <v>23291</v>
      </c>
      <c r="Q2" s="54">
        <v>0</v>
      </c>
      <c r="R2" s="54">
        <v>-103005</v>
      </c>
      <c r="S2" s="54">
        <v>58071</v>
      </c>
      <c r="T2" s="54">
        <v>1031</v>
      </c>
      <c r="U2" s="54">
        <v>39284</v>
      </c>
      <c r="V2" s="54">
        <v>129029</v>
      </c>
      <c r="W2" s="54">
        <v>23967</v>
      </c>
      <c r="X2" s="55">
        <v>5.9102020499574301</v>
      </c>
      <c r="Y2" s="55">
        <v>7.1247440582885799</v>
      </c>
      <c r="Z2" s="55">
        <v>14.224044077012399</v>
      </c>
      <c r="AA2" s="55">
        <v>-11.9730271862063</v>
      </c>
      <c r="AB2" s="54">
        <v>7890573</v>
      </c>
      <c r="AC2" s="54">
        <v>263230</v>
      </c>
      <c r="AD2" s="54">
        <v>0</v>
      </c>
      <c r="AE2" s="54">
        <v>565651</v>
      </c>
      <c r="AF2" s="54">
        <v>0</v>
      </c>
      <c r="AG2" s="54">
        <v>2200792</v>
      </c>
      <c r="AH2" s="54">
        <v>1693049</v>
      </c>
      <c r="AI2" s="54">
        <v>0</v>
      </c>
      <c r="AJ2" s="54">
        <v>2359478</v>
      </c>
      <c r="AK2" s="54">
        <v>3192105</v>
      </c>
      <c r="AL2" s="54">
        <v>252746</v>
      </c>
      <c r="AM2" s="54">
        <v>32110</v>
      </c>
      <c r="AN2" s="51" t="s">
        <v>309</v>
      </c>
      <c r="AO2" s="51" t="s">
        <v>310</v>
      </c>
      <c r="AP2" s="54">
        <v>0</v>
      </c>
      <c r="AQ2" s="54">
        <v>220145</v>
      </c>
      <c r="AR2" s="54">
        <v>5222483</v>
      </c>
      <c r="AS2" s="54">
        <v>1159374</v>
      </c>
      <c r="AT2" s="54">
        <v>402192</v>
      </c>
      <c r="AU2" s="54">
        <v>53307</v>
      </c>
      <c r="AV2" s="54">
        <v>5393411</v>
      </c>
      <c r="AW2" s="54">
        <v>177519</v>
      </c>
      <c r="AX2" s="54">
        <v>14675</v>
      </c>
      <c r="AY2" s="54">
        <v>702930</v>
      </c>
    </row>
    <row r="3" spans="1:51" customFormat="1" ht="31.15" customHeight="1" x14ac:dyDescent="0.25">
      <c r="A3" s="56" t="s">
        <v>311</v>
      </c>
      <c r="B3" s="57" t="s">
        <v>312</v>
      </c>
      <c r="C3" s="56" t="s">
        <v>313</v>
      </c>
      <c r="D3" s="58">
        <v>45351</v>
      </c>
      <c r="E3" s="56" t="s">
        <v>253</v>
      </c>
      <c r="F3" s="59">
        <v>7230231</v>
      </c>
      <c r="G3" s="59">
        <v>7158326</v>
      </c>
      <c r="H3" s="59">
        <v>0</v>
      </c>
      <c r="I3" s="59">
        <v>5027140</v>
      </c>
      <c r="J3" s="59">
        <v>217103</v>
      </c>
      <c r="K3" s="59">
        <v>657621</v>
      </c>
      <c r="L3" s="59">
        <v>673251</v>
      </c>
      <c r="M3" s="59">
        <v>47150</v>
      </c>
      <c r="N3" s="59">
        <v>84069</v>
      </c>
      <c r="O3" s="59">
        <v>226867</v>
      </c>
      <c r="P3" s="59">
        <v>1872</v>
      </c>
      <c r="Q3" s="59">
        <v>262</v>
      </c>
      <c r="R3" s="59">
        <v>-24069</v>
      </c>
      <c r="S3" s="59">
        <v>558</v>
      </c>
      <c r="T3" s="59">
        <v>0</v>
      </c>
      <c r="U3" s="59">
        <v>77452</v>
      </c>
      <c r="V3" s="59">
        <v>193932</v>
      </c>
      <c r="W3" s="59">
        <v>20814</v>
      </c>
      <c r="X3" s="60">
        <v>7.0475599711203101</v>
      </c>
      <c r="Y3" s="60">
        <v>21.644515446773401</v>
      </c>
      <c r="Z3" s="60">
        <v>38.929638389879202</v>
      </c>
      <c r="AA3" s="60">
        <v>37.408385718837998</v>
      </c>
      <c r="AB3" s="59">
        <v>3812743</v>
      </c>
      <c r="AC3" s="59">
        <v>2774</v>
      </c>
      <c r="AD3" s="59">
        <v>0</v>
      </c>
      <c r="AE3" s="59">
        <v>455584</v>
      </c>
      <c r="AF3" s="59">
        <v>3894</v>
      </c>
      <c r="AG3" s="59">
        <v>1902923</v>
      </c>
      <c r="AH3" s="59">
        <v>958299</v>
      </c>
      <c r="AI3" s="59">
        <v>6259</v>
      </c>
      <c r="AJ3" s="59">
        <v>1432997</v>
      </c>
      <c r="AK3" s="59">
        <v>657261</v>
      </c>
      <c r="AL3" s="59">
        <v>72756</v>
      </c>
      <c r="AM3" s="59">
        <v>212878</v>
      </c>
      <c r="AN3" s="56" t="s">
        <v>314</v>
      </c>
      <c r="AO3" s="56" t="s">
        <v>315</v>
      </c>
      <c r="AP3" s="59">
        <v>0</v>
      </c>
      <c r="AQ3" s="59">
        <v>111652</v>
      </c>
      <c r="AR3" s="59">
        <v>2747980</v>
      </c>
      <c r="AS3" s="59">
        <v>8537</v>
      </c>
      <c r="AT3" s="59">
        <v>182206</v>
      </c>
      <c r="AU3" s="59">
        <v>212878</v>
      </c>
      <c r="AV3" s="59">
        <v>1799919</v>
      </c>
      <c r="AW3" s="59">
        <v>20614</v>
      </c>
      <c r="AX3" s="59">
        <v>17256</v>
      </c>
      <c r="AY3" s="59">
        <v>379717</v>
      </c>
    </row>
    <row r="4" spans="1:51" customFormat="1" ht="31.15" customHeight="1" x14ac:dyDescent="0.25">
      <c r="A4" s="51" t="s">
        <v>316</v>
      </c>
      <c r="B4" s="52" t="s">
        <v>259</v>
      </c>
      <c r="C4" s="51" t="s">
        <v>260</v>
      </c>
      <c r="D4" s="53">
        <v>45291</v>
      </c>
      <c r="E4" s="51" t="s">
        <v>253</v>
      </c>
      <c r="F4" s="54">
        <v>4814669</v>
      </c>
      <c r="G4" s="54">
        <v>4712306</v>
      </c>
      <c r="H4" s="54">
        <v>440</v>
      </c>
      <c r="I4" s="54">
        <v>4090111</v>
      </c>
      <c r="J4" s="54">
        <v>5280</v>
      </c>
      <c r="K4" s="54">
        <v>442257</v>
      </c>
      <c r="L4" s="54">
        <v>57265</v>
      </c>
      <c r="M4" s="54">
        <v>13255</v>
      </c>
      <c r="N4" s="54">
        <v>5091</v>
      </c>
      <c r="O4" s="54">
        <v>94636</v>
      </c>
      <c r="P4" s="54">
        <v>0</v>
      </c>
      <c r="Q4" s="54">
        <v>0</v>
      </c>
      <c r="R4" s="54">
        <v>-17934</v>
      </c>
      <c r="S4" s="54">
        <v>0</v>
      </c>
      <c r="T4" s="54">
        <v>0</v>
      </c>
      <c r="U4" s="54">
        <v>21355</v>
      </c>
      <c r="V4" s="54">
        <v>67486</v>
      </c>
      <c r="W4" s="54">
        <v>687</v>
      </c>
      <c r="X4" s="55">
        <v>11.802778659583099</v>
      </c>
      <c r="Y4" s="55">
        <v>24.983947024251702</v>
      </c>
      <c r="Z4" s="55">
        <v>36.766653857718502</v>
      </c>
      <c r="AA4" s="55">
        <v>60.629406322774102</v>
      </c>
      <c r="AB4" s="54">
        <v>1576836</v>
      </c>
      <c r="AC4" s="54">
        <v>397265</v>
      </c>
      <c r="AD4" s="54">
        <v>0</v>
      </c>
      <c r="AE4" s="54">
        <v>27726</v>
      </c>
      <c r="AF4" s="54">
        <v>0</v>
      </c>
      <c r="AG4" s="54">
        <v>475818</v>
      </c>
      <c r="AH4" s="54">
        <v>365804</v>
      </c>
      <c r="AI4" s="54">
        <v>0</v>
      </c>
      <c r="AJ4" s="54">
        <v>825229</v>
      </c>
      <c r="AK4" s="54">
        <v>615258</v>
      </c>
      <c r="AL4" s="54">
        <v>49282</v>
      </c>
      <c r="AM4" s="54">
        <v>0</v>
      </c>
      <c r="AN4" s="51" t="s">
        <v>261</v>
      </c>
      <c r="AO4" s="51" t="s">
        <v>262</v>
      </c>
      <c r="AP4" s="54">
        <v>0</v>
      </c>
      <c r="AQ4" s="54">
        <v>150</v>
      </c>
      <c r="AR4" s="54">
        <v>523919</v>
      </c>
      <c r="AS4" s="54">
        <v>275760</v>
      </c>
      <c r="AT4" s="54">
        <v>585927</v>
      </c>
      <c r="AU4" s="54">
        <v>111758</v>
      </c>
      <c r="AV4" s="54">
        <v>1068841</v>
      </c>
      <c r="AW4" s="54">
        <v>3702</v>
      </c>
      <c r="AX4" s="54">
        <v>2313</v>
      </c>
      <c r="AY4" s="54">
        <v>125388</v>
      </c>
    </row>
    <row r="5" spans="1:51" customFormat="1" ht="31.15" customHeight="1" x14ac:dyDescent="0.25">
      <c r="A5" s="56" t="s">
        <v>317</v>
      </c>
      <c r="B5" s="57" t="s">
        <v>318</v>
      </c>
      <c r="C5" s="56" t="s">
        <v>319</v>
      </c>
      <c r="D5" s="58">
        <v>45291</v>
      </c>
      <c r="E5" s="56" t="s">
        <v>253</v>
      </c>
      <c r="F5" s="59">
        <v>4537962</v>
      </c>
      <c r="G5" s="59">
        <v>3939071</v>
      </c>
      <c r="H5" s="59">
        <v>0</v>
      </c>
      <c r="I5" s="59">
        <v>4036095</v>
      </c>
      <c r="J5" s="59">
        <v>-9543</v>
      </c>
      <c r="K5" s="59">
        <v>337244</v>
      </c>
      <c r="L5" s="59">
        <v>40571</v>
      </c>
      <c r="M5" s="59">
        <v>13047</v>
      </c>
      <c r="N5" s="59">
        <v>31947</v>
      </c>
      <c r="O5" s="59">
        <v>35158</v>
      </c>
      <c r="P5" s="59">
        <v>1000</v>
      </c>
      <c r="Q5" s="59">
        <v>12712</v>
      </c>
      <c r="R5" s="59">
        <v>10320</v>
      </c>
      <c r="S5" s="59">
        <v>0</v>
      </c>
      <c r="T5" s="59">
        <v>0</v>
      </c>
      <c r="U5" s="59">
        <v>7868</v>
      </c>
      <c r="V5" s="59">
        <v>42184</v>
      </c>
      <c r="W5" s="59">
        <v>790</v>
      </c>
      <c r="X5" s="60">
        <v>9.4672910182303198</v>
      </c>
      <c r="Y5" s="60">
        <v>17.6219533133767</v>
      </c>
      <c r="Z5" s="60">
        <v>63.940178520519602</v>
      </c>
      <c r="AA5" s="60">
        <v>18.448106791509801</v>
      </c>
      <c r="AB5" s="59">
        <v>1636025</v>
      </c>
      <c r="AC5" s="59">
        <v>277213</v>
      </c>
      <c r="AD5" s="59">
        <v>0</v>
      </c>
      <c r="AE5" s="59">
        <v>160043</v>
      </c>
      <c r="AF5" s="59">
        <v>0</v>
      </c>
      <c r="AG5" s="59">
        <v>784103</v>
      </c>
      <c r="AH5" s="59">
        <v>704677</v>
      </c>
      <c r="AI5" s="59">
        <v>0</v>
      </c>
      <c r="AJ5" s="59">
        <v>784557</v>
      </c>
      <c r="AK5" s="59">
        <v>48096</v>
      </c>
      <c r="AL5" s="59">
        <v>87591</v>
      </c>
      <c r="AM5" s="59">
        <v>77</v>
      </c>
      <c r="AN5" s="56" t="s">
        <v>320</v>
      </c>
      <c r="AO5" s="56" t="s">
        <v>321</v>
      </c>
      <c r="AP5" s="59">
        <v>3026</v>
      </c>
      <c r="AQ5" s="59">
        <v>37853</v>
      </c>
      <c r="AR5" s="59">
        <v>365022</v>
      </c>
      <c r="AS5" s="59">
        <v>386597</v>
      </c>
      <c r="AT5" s="59">
        <v>540065</v>
      </c>
      <c r="AU5" s="59">
        <v>50083</v>
      </c>
      <c r="AV5" s="59">
        <v>815565</v>
      </c>
      <c r="AW5" s="59">
        <v>4939</v>
      </c>
      <c r="AX5" s="59">
        <v>5745</v>
      </c>
      <c r="AY5" s="59">
        <v>63226</v>
      </c>
    </row>
    <row r="6" spans="1:51" customFormat="1" ht="31.15" customHeight="1" x14ac:dyDescent="0.25">
      <c r="A6" s="51" t="s">
        <v>322</v>
      </c>
      <c r="B6" s="52" t="s">
        <v>323</v>
      </c>
      <c r="C6" s="51" t="s">
        <v>324</v>
      </c>
      <c r="D6" s="53">
        <v>45291</v>
      </c>
      <c r="E6" s="51" t="s">
        <v>253</v>
      </c>
      <c r="F6" s="54">
        <v>4372943</v>
      </c>
      <c r="G6" s="54">
        <v>3895925</v>
      </c>
      <c r="H6" s="54">
        <v>-20509</v>
      </c>
      <c r="I6" s="54">
        <v>3028993</v>
      </c>
      <c r="J6" s="54">
        <v>-16617</v>
      </c>
      <c r="K6" s="54">
        <v>462223</v>
      </c>
      <c r="L6" s="54">
        <v>596887</v>
      </c>
      <c r="M6" s="54">
        <v>79107</v>
      </c>
      <c r="N6" s="54">
        <v>145796</v>
      </c>
      <c r="O6" s="54">
        <v>106806</v>
      </c>
      <c r="P6" s="54">
        <v>5655</v>
      </c>
      <c r="Q6" s="54">
        <v>5500</v>
      </c>
      <c r="R6" s="54">
        <v>93308</v>
      </c>
      <c r="S6" s="54">
        <v>-16956</v>
      </c>
      <c r="T6" s="54">
        <v>0</v>
      </c>
      <c r="U6" s="54">
        <v>14932</v>
      </c>
      <c r="V6" s="54">
        <v>20013</v>
      </c>
      <c r="W6" s="54">
        <v>16244</v>
      </c>
      <c r="X6" s="55">
        <v>1.74548045240004</v>
      </c>
      <c r="Y6" s="55">
        <v>-3.81142231721658</v>
      </c>
      <c r="Z6" s="55">
        <v>6.7572385185120201</v>
      </c>
      <c r="AA6" s="55">
        <v>-148.41823929636999</v>
      </c>
      <c r="AB6" s="54">
        <v>6246398</v>
      </c>
      <c r="AC6" s="54">
        <v>217674</v>
      </c>
      <c r="AD6" s="54">
        <v>8934</v>
      </c>
      <c r="AE6" s="54">
        <v>489231</v>
      </c>
      <c r="AF6" s="54">
        <v>0</v>
      </c>
      <c r="AG6" s="54">
        <v>1586205</v>
      </c>
      <c r="AH6" s="54">
        <v>703634</v>
      </c>
      <c r="AI6" s="54">
        <v>145</v>
      </c>
      <c r="AJ6" s="54">
        <v>3427654</v>
      </c>
      <c r="AK6" s="54">
        <v>3587640</v>
      </c>
      <c r="AL6" s="54">
        <v>225861</v>
      </c>
      <c r="AM6" s="54">
        <v>35328</v>
      </c>
      <c r="AN6" s="51" t="s">
        <v>325</v>
      </c>
      <c r="AO6" s="51" t="s">
        <v>326</v>
      </c>
      <c r="AP6" s="54">
        <v>0</v>
      </c>
      <c r="AQ6" s="54">
        <v>173036</v>
      </c>
      <c r="AR6" s="54">
        <v>1077666</v>
      </c>
      <c r="AS6" s="54">
        <v>2652270</v>
      </c>
      <c r="AT6" s="54">
        <v>338663</v>
      </c>
      <c r="AU6" s="54">
        <v>1273876</v>
      </c>
      <c r="AV6" s="54">
        <v>4475076</v>
      </c>
      <c r="AW6" s="54">
        <v>3580</v>
      </c>
      <c r="AX6" s="54">
        <v>15795</v>
      </c>
      <c r="AY6" s="54">
        <v>-135071</v>
      </c>
    </row>
    <row r="7" spans="1:51" customFormat="1" ht="45.6" customHeight="1" x14ac:dyDescent="0.25">
      <c r="A7" s="56" t="s">
        <v>327</v>
      </c>
      <c r="B7" s="57" t="s">
        <v>328</v>
      </c>
      <c r="C7" s="56" t="s">
        <v>329</v>
      </c>
      <c r="D7" s="58">
        <v>45291</v>
      </c>
      <c r="E7" s="56" t="s">
        <v>253</v>
      </c>
      <c r="F7" s="59">
        <v>4481915</v>
      </c>
      <c r="G7" s="59">
        <v>3836122</v>
      </c>
      <c r="H7" s="59">
        <v>0</v>
      </c>
      <c r="I7" s="59">
        <v>3279750</v>
      </c>
      <c r="J7" s="59">
        <v>9279</v>
      </c>
      <c r="K7" s="59">
        <v>512822</v>
      </c>
      <c r="L7" s="59">
        <v>484359</v>
      </c>
      <c r="M7" s="59">
        <v>23033</v>
      </c>
      <c r="N7" s="59">
        <v>201389</v>
      </c>
      <c r="O7" s="59">
        <v>83298</v>
      </c>
      <c r="P7" s="59">
        <v>501</v>
      </c>
      <c r="Q7" s="59">
        <v>0</v>
      </c>
      <c r="R7" s="59">
        <v>-15793</v>
      </c>
      <c r="S7" s="59">
        <v>0</v>
      </c>
      <c r="T7" s="59">
        <v>0</v>
      </c>
      <c r="U7" s="59">
        <v>435</v>
      </c>
      <c r="V7" s="59">
        <v>-128746</v>
      </c>
      <c r="W7" s="59">
        <v>9392</v>
      </c>
      <c r="X7" s="60">
        <v>-0.192791422056588</v>
      </c>
      <c r="Y7" s="60">
        <v>-1.29216692312047</v>
      </c>
      <c r="Z7" s="60">
        <v>10.353828690047401</v>
      </c>
      <c r="AA7" s="60">
        <v>88.887452324002894</v>
      </c>
      <c r="AB7" s="59">
        <v>1548298</v>
      </c>
      <c r="AC7" s="59">
        <v>131231</v>
      </c>
      <c r="AD7" s="59">
        <v>1153</v>
      </c>
      <c r="AE7" s="59">
        <v>366643</v>
      </c>
      <c r="AF7" s="59">
        <v>0</v>
      </c>
      <c r="AG7" s="59">
        <v>152359</v>
      </c>
      <c r="AH7" s="59">
        <v>747001</v>
      </c>
      <c r="AI7" s="59">
        <v>0</v>
      </c>
      <c r="AJ7" s="59">
        <v>1303331</v>
      </c>
      <c r="AK7" s="59">
        <v>13</v>
      </c>
      <c r="AL7" s="59">
        <v>37962</v>
      </c>
      <c r="AM7" s="59">
        <v>0</v>
      </c>
      <c r="AN7" s="56" t="s">
        <v>309</v>
      </c>
      <c r="AO7" s="56" t="s">
        <v>310</v>
      </c>
      <c r="AP7" s="59">
        <v>0</v>
      </c>
      <c r="AQ7" s="59">
        <v>242393</v>
      </c>
      <c r="AR7" s="59">
        <v>103985</v>
      </c>
      <c r="AS7" s="59">
        <v>340820</v>
      </c>
      <c r="AT7" s="59">
        <v>418326</v>
      </c>
      <c r="AU7" s="59">
        <v>0</v>
      </c>
      <c r="AV7" s="59">
        <v>1309071</v>
      </c>
      <c r="AW7" s="59">
        <v>1409</v>
      </c>
      <c r="AX7" s="59">
        <v>38171</v>
      </c>
      <c r="AY7" s="59">
        <v>-15469</v>
      </c>
    </row>
    <row r="8" spans="1:51" customFormat="1" ht="18" customHeight="1" x14ac:dyDescent="0.25">
      <c r="A8" s="51" t="s">
        <v>330</v>
      </c>
      <c r="B8" s="52" t="s">
        <v>331</v>
      </c>
      <c r="C8" s="51" t="s">
        <v>332</v>
      </c>
      <c r="D8" s="53">
        <v>45291</v>
      </c>
      <c r="E8" s="51" t="s">
        <v>253</v>
      </c>
      <c r="F8" s="54">
        <v>3688201</v>
      </c>
      <c r="G8" s="54">
        <v>3591475</v>
      </c>
      <c r="H8" s="54">
        <v>0</v>
      </c>
      <c r="I8" s="54">
        <v>2769990</v>
      </c>
      <c r="J8" s="54">
        <v>4494</v>
      </c>
      <c r="K8" s="54">
        <v>309641</v>
      </c>
      <c r="L8" s="54">
        <v>281347</v>
      </c>
      <c r="M8" s="54">
        <v>16163</v>
      </c>
      <c r="N8" s="54">
        <v>87258</v>
      </c>
      <c r="O8" s="54">
        <v>89695</v>
      </c>
      <c r="P8" s="54">
        <v>3332</v>
      </c>
      <c r="Q8" s="54">
        <v>0</v>
      </c>
      <c r="R8" s="54">
        <v>-11047</v>
      </c>
      <c r="S8" s="54">
        <v>0</v>
      </c>
      <c r="T8" s="54">
        <v>0</v>
      </c>
      <c r="U8" s="54">
        <v>34984</v>
      </c>
      <c r="V8" s="54">
        <v>80249</v>
      </c>
      <c r="W8" s="54">
        <v>7823</v>
      </c>
      <c r="X8" s="55">
        <v>7.7535383550062003</v>
      </c>
      <c r="Y8" s="55">
        <v>19.5401889490375</v>
      </c>
      <c r="Z8" s="55">
        <v>44.5430833147866</v>
      </c>
      <c r="AA8" s="55">
        <v>58.204472703033296</v>
      </c>
      <c r="AB8" s="54">
        <v>1742231</v>
      </c>
      <c r="AC8" s="54">
        <v>127902</v>
      </c>
      <c r="AD8" s="54">
        <v>0</v>
      </c>
      <c r="AE8" s="54">
        <v>187440</v>
      </c>
      <c r="AF8" s="54">
        <v>0</v>
      </c>
      <c r="AG8" s="54">
        <v>580263</v>
      </c>
      <c r="AH8" s="54">
        <v>712285</v>
      </c>
      <c r="AI8" s="54">
        <v>0</v>
      </c>
      <c r="AJ8" s="54">
        <v>967290</v>
      </c>
      <c r="AK8" s="54">
        <v>321976</v>
      </c>
      <c r="AL8" s="54">
        <v>195835</v>
      </c>
      <c r="AM8" s="54">
        <v>0</v>
      </c>
      <c r="AN8" s="51" t="s">
        <v>325</v>
      </c>
      <c r="AO8" s="51" t="s">
        <v>326</v>
      </c>
      <c r="AP8" s="54">
        <v>0</v>
      </c>
      <c r="AQ8" s="54">
        <v>377888</v>
      </c>
      <c r="AR8" s="54">
        <v>607643</v>
      </c>
      <c r="AS8" s="54">
        <v>186865</v>
      </c>
      <c r="AT8" s="54">
        <v>173715</v>
      </c>
      <c r="AU8" s="54">
        <v>0</v>
      </c>
      <c r="AV8" s="54">
        <v>1116038</v>
      </c>
      <c r="AW8" s="54">
        <v>8794</v>
      </c>
      <c r="AX8" s="54">
        <v>12845</v>
      </c>
      <c r="AY8" s="54">
        <v>136517</v>
      </c>
    </row>
    <row r="9" spans="1:51" customFormat="1" ht="45.6" customHeight="1" x14ac:dyDescent="0.25">
      <c r="A9" s="56" t="s">
        <v>333</v>
      </c>
      <c r="B9" s="57" t="s">
        <v>334</v>
      </c>
      <c r="C9" s="56" t="s">
        <v>335</v>
      </c>
      <c r="D9" s="58">
        <v>45291</v>
      </c>
      <c r="E9" s="56" t="s">
        <v>253</v>
      </c>
      <c r="F9" s="59">
        <v>3181536</v>
      </c>
      <c r="G9" s="59">
        <v>3162613</v>
      </c>
      <c r="H9" s="59">
        <v>0</v>
      </c>
      <c r="I9" s="59">
        <v>2472185</v>
      </c>
      <c r="J9" s="59">
        <v>8250</v>
      </c>
      <c r="K9" s="59">
        <v>212848</v>
      </c>
      <c r="L9" s="59">
        <v>225039</v>
      </c>
      <c r="M9" s="59">
        <v>11545</v>
      </c>
      <c r="N9" s="59">
        <v>13125</v>
      </c>
      <c r="O9" s="59">
        <v>67213</v>
      </c>
      <c r="P9" s="59">
        <v>0</v>
      </c>
      <c r="Q9" s="59">
        <v>0</v>
      </c>
      <c r="R9" s="59">
        <v>2678</v>
      </c>
      <c r="S9" s="59">
        <v>0</v>
      </c>
      <c r="T9" s="59">
        <v>0</v>
      </c>
      <c r="U9" s="59">
        <v>45598</v>
      </c>
      <c r="V9" s="59">
        <v>128413</v>
      </c>
      <c r="W9" s="59">
        <v>5557</v>
      </c>
      <c r="X9" s="60">
        <v>11.617275654645001</v>
      </c>
      <c r="Y9" s="60">
        <v>26.844259665087002</v>
      </c>
      <c r="Z9" s="60">
        <v>47.698139606999199</v>
      </c>
      <c r="AA9" s="60">
        <v>66.959461351101695</v>
      </c>
      <c r="AB9" s="59">
        <v>1359065</v>
      </c>
      <c r="AC9" s="59">
        <v>60566</v>
      </c>
      <c r="AD9" s="59">
        <v>0</v>
      </c>
      <c r="AE9" s="59">
        <v>118661</v>
      </c>
      <c r="AF9" s="59">
        <v>0</v>
      </c>
      <c r="AG9" s="59">
        <v>824811</v>
      </c>
      <c r="AH9" s="59">
        <v>402095</v>
      </c>
      <c r="AI9" s="59">
        <v>0</v>
      </c>
      <c r="AJ9" s="59">
        <v>522944</v>
      </c>
      <c r="AK9" s="59">
        <v>10515</v>
      </c>
      <c r="AL9" s="59">
        <v>37692</v>
      </c>
      <c r="AM9" s="59">
        <v>1561</v>
      </c>
      <c r="AN9" s="56" t="s">
        <v>309</v>
      </c>
      <c r="AO9" s="56" t="s">
        <v>310</v>
      </c>
      <c r="AP9" s="59">
        <v>0</v>
      </c>
      <c r="AQ9" s="59">
        <v>18418</v>
      </c>
      <c r="AR9" s="59">
        <v>1074920</v>
      </c>
      <c r="AS9" s="59">
        <v>858</v>
      </c>
      <c r="AT9" s="59">
        <v>105277</v>
      </c>
      <c r="AU9" s="59">
        <v>1561</v>
      </c>
      <c r="AV9" s="59">
        <v>522997</v>
      </c>
      <c r="AW9" s="59">
        <v>8111</v>
      </c>
      <c r="AX9" s="59">
        <v>1678</v>
      </c>
      <c r="AY9" s="59">
        <v>142876</v>
      </c>
    </row>
    <row r="10" spans="1:51" customFormat="1" ht="45.6" customHeight="1" x14ac:dyDescent="0.25">
      <c r="A10" s="51" t="s">
        <v>336</v>
      </c>
      <c r="B10" s="52" t="s">
        <v>337</v>
      </c>
      <c r="C10" s="51" t="s">
        <v>338</v>
      </c>
      <c r="D10" s="53">
        <v>45291</v>
      </c>
      <c r="E10" s="51" t="s">
        <v>253</v>
      </c>
      <c r="F10" s="54">
        <v>3130808</v>
      </c>
      <c r="G10" s="54">
        <v>3014665</v>
      </c>
      <c r="H10" s="54">
        <v>0</v>
      </c>
      <c r="I10" s="54">
        <v>2397666</v>
      </c>
      <c r="J10" s="54">
        <v>10511</v>
      </c>
      <c r="K10" s="54">
        <v>246066</v>
      </c>
      <c r="L10" s="54">
        <v>290560</v>
      </c>
      <c r="M10" s="54">
        <v>50019</v>
      </c>
      <c r="N10" s="54">
        <v>8481</v>
      </c>
      <c r="O10" s="54">
        <v>99612</v>
      </c>
      <c r="P10" s="54">
        <v>0</v>
      </c>
      <c r="Q10" s="54">
        <v>26954</v>
      </c>
      <c r="R10" s="54">
        <v>37422</v>
      </c>
      <c r="S10" s="54">
        <v>-1420</v>
      </c>
      <c r="T10" s="54">
        <v>0</v>
      </c>
      <c r="U10" s="54">
        <v>11377</v>
      </c>
      <c r="V10" s="54">
        <v>25564</v>
      </c>
      <c r="W10" s="54">
        <v>8172</v>
      </c>
      <c r="X10" s="55">
        <v>11.1996995983456</v>
      </c>
      <c r="Y10" s="55">
        <v>24.896167229486899</v>
      </c>
      <c r="Z10" s="55">
        <v>26.4687633588299</v>
      </c>
      <c r="AA10" s="55">
        <v>-36.931896584166502</v>
      </c>
      <c r="AB10" s="54">
        <v>3806693</v>
      </c>
      <c r="AC10" s="54">
        <v>89563</v>
      </c>
      <c r="AD10" s="54">
        <v>0</v>
      </c>
      <c r="AE10" s="54">
        <v>143722</v>
      </c>
      <c r="AF10" s="54">
        <v>20841</v>
      </c>
      <c r="AG10" s="54">
        <v>1780860</v>
      </c>
      <c r="AH10" s="54">
        <v>429863</v>
      </c>
      <c r="AI10" s="54">
        <v>0</v>
      </c>
      <c r="AJ10" s="54">
        <v>1784883</v>
      </c>
      <c r="AK10" s="54">
        <v>1401171</v>
      </c>
      <c r="AL10" s="54">
        <v>210389</v>
      </c>
      <c r="AM10" s="54">
        <v>5040</v>
      </c>
      <c r="AN10" s="51" t="s">
        <v>325</v>
      </c>
      <c r="AO10" s="51" t="s">
        <v>326</v>
      </c>
      <c r="AP10" s="54">
        <v>0</v>
      </c>
      <c r="AQ10" s="54">
        <v>36851</v>
      </c>
      <c r="AR10" s="54">
        <v>1375389</v>
      </c>
      <c r="AS10" s="54">
        <v>1252493</v>
      </c>
      <c r="AT10" s="54">
        <v>241745</v>
      </c>
      <c r="AU10" s="54">
        <v>513026</v>
      </c>
      <c r="AV10" s="54">
        <v>1934073</v>
      </c>
      <c r="AW10" s="54">
        <v>964</v>
      </c>
      <c r="AX10" s="54">
        <v>12236</v>
      </c>
      <c r="AY10" s="54">
        <v>159434</v>
      </c>
    </row>
    <row r="11" spans="1:51" customFormat="1" ht="45.6" customHeight="1" x14ac:dyDescent="0.25">
      <c r="A11" s="56" t="s">
        <v>339</v>
      </c>
      <c r="B11" s="57" t="s">
        <v>340</v>
      </c>
      <c r="C11" s="56" t="s">
        <v>341</v>
      </c>
      <c r="D11" s="58">
        <v>45291</v>
      </c>
      <c r="E11" s="56" t="s">
        <v>253</v>
      </c>
      <c r="F11" s="59">
        <v>3361341</v>
      </c>
      <c r="G11" s="59">
        <v>2997446</v>
      </c>
      <c r="H11" s="59">
        <v>0</v>
      </c>
      <c r="I11" s="59">
        <v>3024044</v>
      </c>
      <c r="J11" s="59">
        <v>25080</v>
      </c>
      <c r="K11" s="59">
        <v>202421</v>
      </c>
      <c r="L11" s="59">
        <v>31138</v>
      </c>
      <c r="M11" s="59">
        <v>6359</v>
      </c>
      <c r="N11" s="59">
        <v>0</v>
      </c>
      <c r="O11" s="59">
        <v>25543</v>
      </c>
      <c r="P11" s="59">
        <v>0</v>
      </c>
      <c r="Q11" s="59">
        <v>0</v>
      </c>
      <c r="R11" s="59">
        <v>15910</v>
      </c>
      <c r="S11" s="59">
        <v>0</v>
      </c>
      <c r="T11" s="59">
        <v>-448</v>
      </c>
      <c r="U11" s="59">
        <v>1315</v>
      </c>
      <c r="V11" s="59">
        <v>60903</v>
      </c>
      <c r="W11" s="59">
        <v>484</v>
      </c>
      <c r="X11" s="60">
        <v>7.7557884504564303</v>
      </c>
      <c r="Y11" s="60">
        <v>15.8802262053694</v>
      </c>
      <c r="Z11" s="60">
        <v>24.223552546784099</v>
      </c>
      <c r="AA11" s="60">
        <v>36.192216403571599</v>
      </c>
      <c r="AB11" s="59">
        <v>1932957</v>
      </c>
      <c r="AC11" s="59">
        <v>110623</v>
      </c>
      <c r="AD11" s="59">
        <v>3132</v>
      </c>
      <c r="AE11" s="59">
        <v>129504</v>
      </c>
      <c r="AF11" s="59">
        <v>0</v>
      </c>
      <c r="AG11" s="59">
        <v>922469</v>
      </c>
      <c r="AH11" s="59">
        <v>367207</v>
      </c>
      <c r="AI11" s="59">
        <v>0</v>
      </c>
      <c r="AJ11" s="59">
        <v>616647</v>
      </c>
      <c r="AK11" s="59">
        <v>505577</v>
      </c>
      <c r="AL11" s="59">
        <v>156745</v>
      </c>
      <c r="AM11" s="59">
        <v>0</v>
      </c>
      <c r="AN11" s="56" t="s">
        <v>342</v>
      </c>
      <c r="AO11" s="56" t="s">
        <v>343</v>
      </c>
      <c r="AP11" s="59">
        <v>0</v>
      </c>
      <c r="AQ11" s="59">
        <v>75454</v>
      </c>
      <c r="AR11" s="59">
        <v>117115</v>
      </c>
      <c r="AS11" s="59">
        <v>596019</v>
      </c>
      <c r="AT11" s="59">
        <v>644162</v>
      </c>
      <c r="AU11" s="59">
        <v>213958</v>
      </c>
      <c r="AV11" s="59">
        <v>977455</v>
      </c>
      <c r="AW11" s="59">
        <v>4802</v>
      </c>
      <c r="AX11" s="59">
        <v>0</v>
      </c>
      <c r="AY11" s="59">
        <v>53086</v>
      </c>
    </row>
    <row r="12" spans="1:51" customFormat="1" ht="45.6" customHeight="1" x14ac:dyDescent="0.25">
      <c r="A12" s="51" t="s">
        <v>344</v>
      </c>
      <c r="B12" s="52" t="s">
        <v>345</v>
      </c>
      <c r="C12" s="51" t="s">
        <v>346</v>
      </c>
      <c r="D12" s="53">
        <v>45291</v>
      </c>
      <c r="E12" s="51" t="s">
        <v>253</v>
      </c>
      <c r="F12" s="54">
        <v>2938830</v>
      </c>
      <c r="G12" s="54">
        <v>2912605</v>
      </c>
      <c r="H12" s="54">
        <v>10406</v>
      </c>
      <c r="I12" s="54">
        <v>2192596</v>
      </c>
      <c r="J12" s="54">
        <v>-3417</v>
      </c>
      <c r="K12" s="54">
        <v>334610</v>
      </c>
      <c r="L12" s="54">
        <v>300149</v>
      </c>
      <c r="M12" s="54">
        <v>10453</v>
      </c>
      <c r="N12" s="54">
        <v>101593</v>
      </c>
      <c r="O12" s="54">
        <v>1875</v>
      </c>
      <c r="P12" s="54">
        <v>0</v>
      </c>
      <c r="Q12" s="54">
        <v>0</v>
      </c>
      <c r="R12" s="54">
        <v>-758</v>
      </c>
      <c r="S12" s="54">
        <v>0</v>
      </c>
      <c r="T12" s="54">
        <v>0</v>
      </c>
      <c r="U12" s="54">
        <v>23</v>
      </c>
      <c r="V12" s="54">
        <v>191</v>
      </c>
      <c r="W12" s="54">
        <v>6553</v>
      </c>
      <c r="X12" s="55">
        <v>13.8298807809328</v>
      </c>
      <c r="Y12" s="55">
        <v>21.306228355688301</v>
      </c>
      <c r="Z12" s="55">
        <v>31.697985918658102</v>
      </c>
      <c r="AA12" s="55">
        <v>-31.006060606060601</v>
      </c>
      <c r="AB12" s="54">
        <v>459487</v>
      </c>
      <c r="AC12" s="54">
        <v>163391</v>
      </c>
      <c r="AD12" s="54">
        <v>0</v>
      </c>
      <c r="AE12" s="54">
        <v>237989</v>
      </c>
      <c r="AF12" s="54">
        <v>0</v>
      </c>
      <c r="AG12" s="54">
        <v>23651</v>
      </c>
      <c r="AH12" s="54">
        <v>286045</v>
      </c>
      <c r="AI12" s="54">
        <v>0</v>
      </c>
      <c r="AJ12" s="54">
        <v>411046</v>
      </c>
      <c r="AK12" s="54">
        <v>44544</v>
      </c>
      <c r="AL12" s="54">
        <v>622</v>
      </c>
      <c r="AM12" s="54">
        <v>0</v>
      </c>
      <c r="AN12" s="51" t="s">
        <v>347</v>
      </c>
      <c r="AO12" s="51" t="s">
        <v>348</v>
      </c>
      <c r="AP12" s="54">
        <v>0</v>
      </c>
      <c r="AQ12" s="54">
        <v>84</v>
      </c>
      <c r="AR12" s="54">
        <v>11237</v>
      </c>
      <c r="AS12" s="54">
        <v>69</v>
      </c>
      <c r="AT12" s="54">
        <v>209214</v>
      </c>
      <c r="AU12" s="54">
        <v>0</v>
      </c>
      <c r="AV12" s="54">
        <v>411046</v>
      </c>
      <c r="AW12" s="54">
        <v>244</v>
      </c>
      <c r="AX12" s="54">
        <v>271</v>
      </c>
      <c r="AY12" s="54">
        <v>4125</v>
      </c>
    </row>
    <row r="13" spans="1:51" customFormat="1" ht="18" customHeight="1" x14ac:dyDescent="0.25">
      <c r="A13" s="56" t="s">
        <v>349</v>
      </c>
      <c r="B13" s="57" t="s">
        <v>350</v>
      </c>
      <c r="C13" s="56" t="s">
        <v>351</v>
      </c>
      <c r="D13" s="58">
        <v>45291</v>
      </c>
      <c r="E13" s="56" t="s">
        <v>253</v>
      </c>
      <c r="F13" s="59">
        <v>2731583</v>
      </c>
      <c r="G13" s="59">
        <v>2690365</v>
      </c>
      <c r="H13" s="59">
        <v>0</v>
      </c>
      <c r="I13" s="59">
        <v>2036704</v>
      </c>
      <c r="J13" s="59">
        <v>-23468</v>
      </c>
      <c r="K13" s="59">
        <v>251200</v>
      </c>
      <c r="L13" s="59">
        <v>226369</v>
      </c>
      <c r="M13" s="59">
        <v>17801</v>
      </c>
      <c r="N13" s="59">
        <v>40000</v>
      </c>
      <c r="O13" s="59">
        <v>83683</v>
      </c>
      <c r="P13" s="59">
        <v>0</v>
      </c>
      <c r="Q13" s="59">
        <v>800</v>
      </c>
      <c r="R13" s="59">
        <v>1450</v>
      </c>
      <c r="S13" s="59">
        <v>0</v>
      </c>
      <c r="T13" s="59">
        <v>0</v>
      </c>
      <c r="U13" s="59">
        <v>25213</v>
      </c>
      <c r="V13" s="59">
        <v>74731</v>
      </c>
      <c r="W13" s="59">
        <v>6762</v>
      </c>
      <c r="X13" s="60">
        <v>8.9094902755805396</v>
      </c>
      <c r="Y13" s="60">
        <v>12.7125432459992</v>
      </c>
      <c r="Z13" s="60">
        <v>26.621082985800101</v>
      </c>
      <c r="AA13" s="60">
        <v>45.118172331663203</v>
      </c>
      <c r="AB13" s="59">
        <v>1357200</v>
      </c>
      <c r="AC13" s="59">
        <v>28711</v>
      </c>
      <c r="AD13" s="59">
        <v>727</v>
      </c>
      <c r="AE13" s="59">
        <v>292224</v>
      </c>
      <c r="AF13" s="59">
        <v>0</v>
      </c>
      <c r="AG13" s="59">
        <v>719062</v>
      </c>
      <c r="AH13" s="59">
        <v>320714</v>
      </c>
      <c r="AI13" s="59">
        <v>0</v>
      </c>
      <c r="AJ13" s="59">
        <v>444956</v>
      </c>
      <c r="AK13" s="59">
        <v>231308</v>
      </c>
      <c r="AL13" s="59">
        <v>123845</v>
      </c>
      <c r="AM13" s="59">
        <v>0</v>
      </c>
      <c r="AN13" s="56" t="s">
        <v>325</v>
      </c>
      <c r="AO13" s="56" t="s">
        <v>326</v>
      </c>
      <c r="AP13" s="59">
        <v>0</v>
      </c>
      <c r="AQ13" s="59">
        <v>36444</v>
      </c>
      <c r="AR13" s="59">
        <v>771154</v>
      </c>
      <c r="AS13" s="59">
        <v>68729</v>
      </c>
      <c r="AT13" s="59">
        <v>58277</v>
      </c>
      <c r="AU13" s="59">
        <v>0</v>
      </c>
      <c r="AV13" s="59">
        <v>614979</v>
      </c>
      <c r="AW13" s="59">
        <v>8392</v>
      </c>
      <c r="AX13" s="59">
        <v>6528</v>
      </c>
      <c r="AY13" s="59">
        <v>125537</v>
      </c>
    </row>
    <row r="14" spans="1:51" customFormat="1" ht="58.9" customHeight="1" x14ac:dyDescent="0.25">
      <c r="A14" s="51" t="s">
        <v>352</v>
      </c>
      <c r="B14" s="52" t="s">
        <v>353</v>
      </c>
      <c r="C14" s="51" t="s">
        <v>354</v>
      </c>
      <c r="D14" s="53">
        <v>45291</v>
      </c>
      <c r="E14" s="51" t="s">
        <v>253</v>
      </c>
      <c r="F14" s="54">
        <v>2567635</v>
      </c>
      <c r="G14" s="54">
        <v>2565524</v>
      </c>
      <c r="H14" s="54">
        <v>-325</v>
      </c>
      <c r="I14" s="54">
        <v>2305454</v>
      </c>
      <c r="J14" s="54">
        <v>5244</v>
      </c>
      <c r="K14" s="54">
        <v>198566</v>
      </c>
      <c r="L14" s="54">
        <v>27233</v>
      </c>
      <c r="M14" s="54">
        <v>6089</v>
      </c>
      <c r="N14" s="54">
        <v>1669</v>
      </c>
      <c r="O14" s="54">
        <v>10582</v>
      </c>
      <c r="P14" s="54">
        <v>0</v>
      </c>
      <c r="Q14" s="54">
        <v>0</v>
      </c>
      <c r="R14" s="54">
        <v>-143</v>
      </c>
      <c r="S14" s="54">
        <v>-45</v>
      </c>
      <c r="T14" s="54">
        <v>0</v>
      </c>
      <c r="U14" s="54">
        <v>2292</v>
      </c>
      <c r="V14" s="54">
        <v>10318</v>
      </c>
      <c r="W14" s="54">
        <v>255</v>
      </c>
      <c r="X14" s="55">
        <v>10.355892811900301</v>
      </c>
      <c r="Y14" s="55">
        <v>28.2349083595082</v>
      </c>
      <c r="Z14" s="55">
        <v>63.201187238058303</v>
      </c>
      <c r="AA14" s="55">
        <v>185.98391371065301</v>
      </c>
      <c r="AB14" s="54">
        <v>890644</v>
      </c>
      <c r="AC14" s="54">
        <v>486277</v>
      </c>
      <c r="AD14" s="54">
        <v>0</v>
      </c>
      <c r="AE14" s="54">
        <v>40973</v>
      </c>
      <c r="AF14" s="54">
        <v>0</v>
      </c>
      <c r="AG14" s="54">
        <v>159612</v>
      </c>
      <c r="AH14" s="54">
        <v>666303</v>
      </c>
      <c r="AI14" s="54">
        <v>0</v>
      </c>
      <c r="AJ14" s="54">
        <v>680994</v>
      </c>
      <c r="AK14" s="54">
        <v>34737</v>
      </c>
      <c r="AL14" s="54">
        <v>33856</v>
      </c>
      <c r="AM14" s="54">
        <v>0</v>
      </c>
      <c r="AN14" s="51" t="s">
        <v>355</v>
      </c>
      <c r="AO14" s="51" t="s">
        <v>356</v>
      </c>
      <c r="AP14" s="54">
        <v>0</v>
      </c>
      <c r="AQ14" s="54">
        <v>65900</v>
      </c>
      <c r="AR14" s="54">
        <v>9240</v>
      </c>
      <c r="AS14" s="54">
        <v>24550</v>
      </c>
      <c r="AT14" s="54">
        <v>714426</v>
      </c>
      <c r="AU14" s="54">
        <v>0</v>
      </c>
      <c r="AV14" s="54">
        <v>710468</v>
      </c>
      <c r="AW14" s="54">
        <v>214</v>
      </c>
      <c r="AX14" s="54">
        <v>1699</v>
      </c>
      <c r="AY14" s="54">
        <v>8175.2849999999999</v>
      </c>
    </row>
    <row r="15" spans="1:51" customFormat="1" ht="31.15" customHeight="1" x14ac:dyDescent="0.25">
      <c r="A15" s="56" t="s">
        <v>357</v>
      </c>
      <c r="B15" s="57" t="s">
        <v>358</v>
      </c>
      <c r="C15" s="56" t="s">
        <v>359</v>
      </c>
      <c r="D15" s="58">
        <v>45291</v>
      </c>
      <c r="E15" s="56" t="s">
        <v>253</v>
      </c>
      <c r="F15" s="59">
        <v>3540169</v>
      </c>
      <c r="G15" s="59">
        <v>3370648</v>
      </c>
      <c r="H15" s="59">
        <v>-14824</v>
      </c>
      <c r="I15" s="59">
        <v>1422784</v>
      </c>
      <c r="J15" s="59">
        <v>-493</v>
      </c>
      <c r="K15" s="59">
        <v>1446582</v>
      </c>
      <c r="L15" s="59">
        <v>367340</v>
      </c>
      <c r="M15" s="59">
        <v>40930</v>
      </c>
      <c r="N15" s="59">
        <v>14279</v>
      </c>
      <c r="O15" s="59">
        <v>153502</v>
      </c>
      <c r="P15" s="59">
        <v>4906</v>
      </c>
      <c r="Q15" s="59">
        <v>0</v>
      </c>
      <c r="R15" s="59">
        <v>-13672</v>
      </c>
      <c r="S15" s="59">
        <v>-1070</v>
      </c>
      <c r="T15" s="59">
        <v>0</v>
      </c>
      <c r="U15" s="59">
        <v>-25454</v>
      </c>
      <c r="V15" s="59">
        <v>101052</v>
      </c>
      <c r="W15" s="59">
        <v>4130</v>
      </c>
      <c r="X15" s="60">
        <v>4.5056530719685401</v>
      </c>
      <c r="Y15" s="60">
        <v>20.3140700064714</v>
      </c>
      <c r="Z15" s="60">
        <v>29.2620669978003</v>
      </c>
      <c r="AA15" s="60">
        <v>2.0255145375960799</v>
      </c>
      <c r="AB15" s="59">
        <v>2949123</v>
      </c>
      <c r="AC15" s="59">
        <v>194361</v>
      </c>
      <c r="AD15" s="59">
        <v>0</v>
      </c>
      <c r="AE15" s="59">
        <v>214167</v>
      </c>
      <c r="AF15" s="59">
        <v>0</v>
      </c>
      <c r="AG15" s="59">
        <v>1692993</v>
      </c>
      <c r="AH15" s="59">
        <v>619582</v>
      </c>
      <c r="AI15" s="59">
        <v>94</v>
      </c>
      <c r="AJ15" s="59">
        <v>1138536</v>
      </c>
      <c r="AK15" s="59">
        <v>152001</v>
      </c>
      <c r="AL15" s="59">
        <v>58064</v>
      </c>
      <c r="AM15" s="59">
        <v>0</v>
      </c>
      <c r="AN15" s="56" t="s">
        <v>360</v>
      </c>
      <c r="AO15" s="56" t="s">
        <v>361</v>
      </c>
      <c r="AP15" s="59">
        <v>0</v>
      </c>
      <c r="AQ15" s="59">
        <v>706234</v>
      </c>
      <c r="AR15" s="59">
        <v>822970</v>
      </c>
      <c r="AS15" s="59">
        <v>435462</v>
      </c>
      <c r="AT15" s="59">
        <v>705187</v>
      </c>
      <c r="AU15" s="59">
        <v>2928</v>
      </c>
      <c r="AV15" s="59">
        <v>1143325</v>
      </c>
      <c r="AW15" s="59">
        <v>16908</v>
      </c>
      <c r="AX15" s="59">
        <v>4112</v>
      </c>
      <c r="AY15" s="59">
        <v>239001</v>
      </c>
    </row>
    <row r="16" spans="1:51" customFormat="1" ht="45.6" customHeight="1" x14ac:dyDescent="0.25">
      <c r="A16" s="51" t="s">
        <v>362</v>
      </c>
      <c r="B16" s="52" t="s">
        <v>363</v>
      </c>
      <c r="C16" s="51" t="s">
        <v>364</v>
      </c>
      <c r="D16" s="53">
        <v>45291</v>
      </c>
      <c r="E16" s="51" t="s">
        <v>253</v>
      </c>
      <c r="F16" s="54">
        <v>2504263</v>
      </c>
      <c r="G16" s="54">
        <v>2425357</v>
      </c>
      <c r="H16" s="54">
        <v>14</v>
      </c>
      <c r="I16" s="54">
        <v>1732287</v>
      </c>
      <c r="J16" s="54">
        <v>2838</v>
      </c>
      <c r="K16" s="54">
        <v>252355</v>
      </c>
      <c r="L16" s="54">
        <v>318967</v>
      </c>
      <c r="M16" s="54">
        <v>32239</v>
      </c>
      <c r="N16" s="54">
        <v>71975</v>
      </c>
      <c r="O16" s="54">
        <v>100720</v>
      </c>
      <c r="P16" s="54">
        <v>2107</v>
      </c>
      <c r="Q16" s="54">
        <v>2</v>
      </c>
      <c r="R16" s="54">
        <v>-7115</v>
      </c>
      <c r="S16" s="54">
        <v>1941</v>
      </c>
      <c r="T16" s="54">
        <v>0</v>
      </c>
      <c r="U16" s="54">
        <v>-9168</v>
      </c>
      <c r="V16" s="54">
        <v>-5233</v>
      </c>
      <c r="W16" s="54">
        <v>8236</v>
      </c>
      <c r="X16" s="55">
        <v>6.3084446010710797</v>
      </c>
      <c r="Y16" s="55">
        <v>9.8711865021031002</v>
      </c>
      <c r="Z16" s="55">
        <v>17.983025592953801</v>
      </c>
      <c r="AA16" s="55">
        <v>-12.229353133603899</v>
      </c>
      <c r="AB16" s="54">
        <v>1427170</v>
      </c>
      <c r="AC16" s="54">
        <v>133938</v>
      </c>
      <c r="AD16" s="54">
        <v>1636</v>
      </c>
      <c r="AE16" s="54">
        <v>164708</v>
      </c>
      <c r="AF16" s="54">
        <v>0</v>
      </c>
      <c r="AG16" s="54">
        <v>698710</v>
      </c>
      <c r="AH16" s="54">
        <v>299599</v>
      </c>
      <c r="AI16" s="54">
        <v>1149</v>
      </c>
      <c r="AJ16" s="54">
        <v>438784</v>
      </c>
      <c r="AK16" s="54">
        <v>195764</v>
      </c>
      <c r="AL16" s="54">
        <v>55534</v>
      </c>
      <c r="AM16" s="54">
        <v>0</v>
      </c>
      <c r="AN16" s="51" t="s">
        <v>342</v>
      </c>
      <c r="AO16" s="51" t="s">
        <v>343</v>
      </c>
      <c r="AP16" s="54">
        <v>0</v>
      </c>
      <c r="AQ16" s="54">
        <v>44746</v>
      </c>
      <c r="AR16" s="54">
        <v>903354</v>
      </c>
      <c r="AS16" s="54">
        <v>60075</v>
      </c>
      <c r="AT16" s="54">
        <v>192957</v>
      </c>
      <c r="AU16" s="54">
        <v>49</v>
      </c>
      <c r="AV16" s="54">
        <v>684011</v>
      </c>
      <c r="AW16" s="54">
        <v>8047</v>
      </c>
      <c r="AX16" s="54">
        <v>5748</v>
      </c>
      <c r="AY16" s="54">
        <v>104241</v>
      </c>
    </row>
    <row r="17" spans="1:51" customFormat="1" ht="31.15" customHeight="1" x14ac:dyDescent="0.25">
      <c r="A17" s="56" t="s">
        <v>365</v>
      </c>
      <c r="B17" s="57" t="s">
        <v>366</v>
      </c>
      <c r="C17" s="56" t="s">
        <v>367</v>
      </c>
      <c r="D17" s="58">
        <v>45291</v>
      </c>
      <c r="E17" s="56" t="s">
        <v>253</v>
      </c>
      <c r="F17" s="59">
        <v>2321206</v>
      </c>
      <c r="G17" s="59">
        <v>2281641</v>
      </c>
      <c r="H17" s="59">
        <v>0</v>
      </c>
      <c r="I17" s="59">
        <v>2178679</v>
      </c>
      <c r="J17" s="59">
        <v>-289</v>
      </c>
      <c r="K17" s="59">
        <v>102029</v>
      </c>
      <c r="L17" s="59">
        <v>16136</v>
      </c>
      <c r="M17" s="59">
        <v>3481</v>
      </c>
      <c r="N17" s="59">
        <v>15091</v>
      </c>
      <c r="O17" s="59">
        <v>6257</v>
      </c>
      <c r="P17" s="59">
        <v>0</v>
      </c>
      <c r="Q17" s="59">
        <v>0</v>
      </c>
      <c r="R17" s="59">
        <v>211</v>
      </c>
      <c r="S17" s="59">
        <v>0</v>
      </c>
      <c r="T17" s="59">
        <v>0</v>
      </c>
      <c r="U17" s="59">
        <v>31</v>
      </c>
      <c r="V17" s="59">
        <v>0</v>
      </c>
      <c r="W17" s="59">
        <v>293</v>
      </c>
      <c r="X17" s="60">
        <v>5.6198411379481596</v>
      </c>
      <c r="Y17" s="60">
        <v>9.8141769210517804</v>
      </c>
      <c r="Z17" s="60">
        <v>10.6514135735652</v>
      </c>
      <c r="AA17" s="60">
        <v>-2.4554646124217601</v>
      </c>
      <c r="AB17" s="59">
        <v>442146</v>
      </c>
      <c r="AC17" s="59">
        <v>2499</v>
      </c>
      <c r="AD17" s="59">
        <v>0</v>
      </c>
      <c r="AE17" s="59">
        <v>100843</v>
      </c>
      <c r="AF17" s="59">
        <v>0</v>
      </c>
      <c r="AG17" s="59">
        <v>6000</v>
      </c>
      <c r="AH17" s="59">
        <v>252856</v>
      </c>
      <c r="AI17" s="59">
        <v>0</v>
      </c>
      <c r="AJ17" s="59">
        <v>433321</v>
      </c>
      <c r="AK17" s="59">
        <v>0</v>
      </c>
      <c r="AL17" s="59">
        <v>5749</v>
      </c>
      <c r="AM17" s="59">
        <v>0</v>
      </c>
      <c r="AN17" s="56" t="s">
        <v>355</v>
      </c>
      <c r="AO17" s="56" t="s">
        <v>356</v>
      </c>
      <c r="AP17" s="59">
        <v>0</v>
      </c>
      <c r="AQ17" s="59">
        <v>18139</v>
      </c>
      <c r="AR17" s="59">
        <v>4067</v>
      </c>
      <c r="AS17" s="59">
        <v>3568</v>
      </c>
      <c r="AT17" s="59">
        <v>309482</v>
      </c>
      <c r="AU17" s="59">
        <v>0</v>
      </c>
      <c r="AV17" s="59">
        <v>433321</v>
      </c>
      <c r="AW17" s="59">
        <v>196</v>
      </c>
      <c r="AX17" s="59">
        <v>299</v>
      </c>
      <c r="AY17" s="59">
        <v>6231</v>
      </c>
    </row>
    <row r="18" spans="1:51" customFormat="1" ht="45.6" customHeight="1" x14ac:dyDescent="0.25">
      <c r="A18" s="51" t="s">
        <v>368</v>
      </c>
      <c r="B18" s="52" t="s">
        <v>369</v>
      </c>
      <c r="C18" s="51" t="s">
        <v>370</v>
      </c>
      <c r="D18" s="53">
        <v>45291</v>
      </c>
      <c r="E18" s="51" t="s">
        <v>253</v>
      </c>
      <c r="F18" s="54">
        <v>2251820</v>
      </c>
      <c r="G18" s="54">
        <v>2242759</v>
      </c>
      <c r="H18" s="54">
        <v>784</v>
      </c>
      <c r="I18" s="54">
        <v>1977288</v>
      </c>
      <c r="J18" s="54">
        <v>-6949</v>
      </c>
      <c r="K18" s="54">
        <v>225490</v>
      </c>
      <c r="L18" s="54">
        <v>39825</v>
      </c>
      <c r="M18" s="54">
        <v>1207</v>
      </c>
      <c r="N18" s="54">
        <v>5183</v>
      </c>
      <c r="O18" s="54">
        <v>9003</v>
      </c>
      <c r="P18" s="54">
        <v>0</v>
      </c>
      <c r="Q18" s="54">
        <v>0</v>
      </c>
      <c r="R18" s="54">
        <v>-547</v>
      </c>
      <c r="S18" s="54">
        <v>275</v>
      </c>
      <c r="T18" s="54">
        <v>0</v>
      </c>
      <c r="U18" s="54">
        <v>313</v>
      </c>
      <c r="V18" s="54">
        <v>189</v>
      </c>
      <c r="W18" s="54">
        <v>630</v>
      </c>
      <c r="X18" s="55">
        <v>0.42246445209024802</v>
      </c>
      <c r="Y18" s="55">
        <v>28.227451197998601</v>
      </c>
      <c r="Z18" s="55">
        <v>36.630523701121</v>
      </c>
      <c r="AA18" s="55">
        <v>-26.781063547551501</v>
      </c>
      <c r="AB18" s="54">
        <v>779420</v>
      </c>
      <c r="AC18" s="54">
        <v>188886</v>
      </c>
      <c r="AD18" s="54">
        <v>37</v>
      </c>
      <c r="AE18" s="54">
        <v>104986</v>
      </c>
      <c r="AF18" s="54">
        <v>0</v>
      </c>
      <c r="AG18" s="54">
        <v>30295</v>
      </c>
      <c r="AH18" s="54">
        <v>269884</v>
      </c>
      <c r="AI18" s="54">
        <v>0</v>
      </c>
      <c r="AJ18" s="54">
        <v>577018</v>
      </c>
      <c r="AK18" s="54">
        <v>286529</v>
      </c>
      <c r="AL18" s="54">
        <v>38759</v>
      </c>
      <c r="AM18" s="54">
        <v>320197</v>
      </c>
      <c r="AN18" s="51" t="s">
        <v>261</v>
      </c>
      <c r="AO18" s="51" t="s">
        <v>262</v>
      </c>
      <c r="AP18" s="54">
        <v>0</v>
      </c>
      <c r="AQ18" s="54">
        <v>5486</v>
      </c>
      <c r="AR18" s="54">
        <v>51855</v>
      </c>
      <c r="AS18" s="54">
        <v>2242</v>
      </c>
      <c r="AT18" s="54">
        <v>228037</v>
      </c>
      <c r="AU18" s="54">
        <v>345213</v>
      </c>
      <c r="AV18" s="54">
        <v>738546</v>
      </c>
      <c r="AW18" s="54">
        <v>3330</v>
      </c>
      <c r="AX18" s="54">
        <v>2842</v>
      </c>
      <c r="AY18" s="54">
        <v>13353.102999999999</v>
      </c>
    </row>
    <row r="19" spans="1:51" customFormat="1" ht="31.15" customHeight="1" x14ac:dyDescent="0.25">
      <c r="A19" s="56" t="s">
        <v>371</v>
      </c>
      <c r="B19" s="57" t="s">
        <v>372</v>
      </c>
      <c r="C19" s="56" t="s">
        <v>373</v>
      </c>
      <c r="D19" s="58">
        <v>45291</v>
      </c>
      <c r="E19" s="56" t="s">
        <v>253</v>
      </c>
      <c r="F19" s="59">
        <v>1865483.2109999999</v>
      </c>
      <c r="G19" s="59">
        <v>1859482.871</v>
      </c>
      <c r="H19" s="59">
        <v>0</v>
      </c>
      <c r="I19" s="59">
        <v>1718523.9669999999</v>
      </c>
      <c r="J19" s="59">
        <v>-5742.1030000000001</v>
      </c>
      <c r="K19" s="59">
        <v>92309.058000000005</v>
      </c>
      <c r="L19" s="59">
        <v>10012.902</v>
      </c>
      <c r="M19" s="59">
        <v>5296.98</v>
      </c>
      <c r="N19" s="59">
        <v>4636.0200000000004</v>
      </c>
      <c r="O19" s="59">
        <v>6201.6130000000003</v>
      </c>
      <c r="P19" s="59">
        <v>5171.3410000000003</v>
      </c>
      <c r="Q19" s="59">
        <v>1000</v>
      </c>
      <c r="R19" s="59">
        <v>6630.76</v>
      </c>
      <c r="S19" s="59">
        <v>0</v>
      </c>
      <c r="T19" s="59">
        <v>0</v>
      </c>
      <c r="U19" s="59">
        <v>10236.248</v>
      </c>
      <c r="V19" s="59">
        <v>24467.945</v>
      </c>
      <c r="W19" s="59">
        <v>183</v>
      </c>
      <c r="X19" s="60">
        <v>16.3270604637747</v>
      </c>
      <c r="Y19" s="60">
        <v>29.124215237401799</v>
      </c>
      <c r="Z19" s="60">
        <v>61.024656479264301</v>
      </c>
      <c r="AA19" s="60">
        <v>117.12655201724399</v>
      </c>
      <c r="AB19" s="59">
        <v>407080.98200000002</v>
      </c>
      <c r="AC19" s="59">
        <v>171305.72</v>
      </c>
      <c r="AD19" s="59">
        <v>0</v>
      </c>
      <c r="AE19" s="59">
        <v>73337.539000000004</v>
      </c>
      <c r="AF19" s="59">
        <v>0</v>
      </c>
      <c r="AG19" s="59">
        <v>101524.113</v>
      </c>
      <c r="AH19" s="59">
        <v>244947.571</v>
      </c>
      <c r="AI19" s="59">
        <v>0</v>
      </c>
      <c r="AJ19" s="59">
        <v>286627.93300000002</v>
      </c>
      <c r="AK19" s="59">
        <v>1531.672</v>
      </c>
      <c r="AL19" s="59">
        <v>204.923</v>
      </c>
      <c r="AM19" s="59">
        <v>58197.046999999999</v>
      </c>
      <c r="AN19" s="56" t="s">
        <v>314</v>
      </c>
      <c r="AO19" s="56" t="s">
        <v>315</v>
      </c>
      <c r="AP19" s="59">
        <v>0</v>
      </c>
      <c r="AQ19" s="59">
        <v>33029.803999999996</v>
      </c>
      <c r="AR19" s="59">
        <v>11881.547</v>
      </c>
      <c r="AS19" s="59">
        <v>45309.955000000002</v>
      </c>
      <c r="AT19" s="59">
        <v>184169.565</v>
      </c>
      <c r="AU19" s="59">
        <v>58197.046999999999</v>
      </c>
      <c r="AV19" s="59">
        <v>290986.40500000003</v>
      </c>
      <c r="AW19" s="59">
        <v>3777.9319999999998</v>
      </c>
      <c r="AX19" s="59">
        <v>950.60199999999998</v>
      </c>
      <c r="AY19" s="59">
        <v>15785.745999999999</v>
      </c>
    </row>
    <row r="20" spans="1:51" customFormat="1" ht="45.6" customHeight="1" x14ac:dyDescent="0.25">
      <c r="A20" s="51" t="s">
        <v>374</v>
      </c>
      <c r="B20" s="52" t="s">
        <v>375</v>
      </c>
      <c r="C20" s="51" t="s">
        <v>376</v>
      </c>
      <c r="D20" s="53">
        <v>45291</v>
      </c>
      <c r="E20" s="51" t="s">
        <v>253</v>
      </c>
      <c r="F20" s="54">
        <v>2023008</v>
      </c>
      <c r="G20" s="54">
        <v>2001242</v>
      </c>
      <c r="H20" s="54">
        <v>0</v>
      </c>
      <c r="I20" s="54">
        <v>1496221</v>
      </c>
      <c r="J20" s="54">
        <v>-2257</v>
      </c>
      <c r="K20" s="54">
        <v>178083</v>
      </c>
      <c r="L20" s="54">
        <v>172480</v>
      </c>
      <c r="M20" s="54">
        <v>6003</v>
      </c>
      <c r="N20" s="54">
        <v>40492</v>
      </c>
      <c r="O20" s="54">
        <v>31043</v>
      </c>
      <c r="P20" s="54">
        <v>8000</v>
      </c>
      <c r="Q20" s="54">
        <v>0</v>
      </c>
      <c r="R20" s="54">
        <v>-3154</v>
      </c>
      <c r="S20" s="54">
        <v>-1080</v>
      </c>
      <c r="T20" s="54">
        <v>0</v>
      </c>
      <c r="U20" s="54">
        <v>27218</v>
      </c>
      <c r="V20" s="54">
        <v>61491</v>
      </c>
      <c r="W20" s="54">
        <v>5118</v>
      </c>
      <c r="X20" s="55">
        <v>13.788233446326799</v>
      </c>
      <c r="Y20" s="55">
        <v>27.462497480587398</v>
      </c>
      <c r="Z20" s="55">
        <v>46.497355381835298</v>
      </c>
      <c r="AA20" s="55">
        <v>114.58497297360501</v>
      </c>
      <c r="AB20" s="54">
        <v>1003633</v>
      </c>
      <c r="AC20" s="54">
        <v>62927</v>
      </c>
      <c r="AD20" s="54">
        <v>0</v>
      </c>
      <c r="AE20" s="54">
        <v>140154</v>
      </c>
      <c r="AF20" s="54">
        <v>0</v>
      </c>
      <c r="AG20" s="54">
        <v>375673</v>
      </c>
      <c r="AH20" s="54">
        <v>363839</v>
      </c>
      <c r="AI20" s="54">
        <v>0</v>
      </c>
      <c r="AJ20" s="54">
        <v>521425</v>
      </c>
      <c r="AK20" s="54">
        <v>136693</v>
      </c>
      <c r="AL20" s="54">
        <v>207872</v>
      </c>
      <c r="AM20" s="54">
        <v>0</v>
      </c>
      <c r="AN20" s="51" t="s">
        <v>309</v>
      </c>
      <c r="AO20" s="51" t="s">
        <v>310</v>
      </c>
      <c r="AP20" s="54">
        <v>0</v>
      </c>
      <c r="AQ20" s="54">
        <v>39207</v>
      </c>
      <c r="AR20" s="54">
        <v>323996</v>
      </c>
      <c r="AS20" s="54">
        <v>99871</v>
      </c>
      <c r="AT20" s="54">
        <v>188301</v>
      </c>
      <c r="AU20" s="54">
        <v>0</v>
      </c>
      <c r="AV20" s="54">
        <v>589634</v>
      </c>
      <c r="AW20" s="54">
        <v>4820</v>
      </c>
      <c r="AX20" s="54">
        <v>4232</v>
      </c>
      <c r="AY20" s="54">
        <v>57779.442000000003</v>
      </c>
    </row>
    <row r="21" spans="1:51" customFormat="1" ht="45.6" customHeight="1" x14ac:dyDescent="0.25">
      <c r="A21" s="56" t="s">
        <v>377</v>
      </c>
      <c r="B21" s="57" t="s">
        <v>378</v>
      </c>
      <c r="C21" s="56" t="s">
        <v>379</v>
      </c>
      <c r="D21" s="58">
        <v>45291</v>
      </c>
      <c r="E21" s="56" t="s">
        <v>253</v>
      </c>
      <c r="F21" s="59">
        <v>2156169</v>
      </c>
      <c r="G21" s="59">
        <v>2036784</v>
      </c>
      <c r="H21" s="59">
        <v>-19974</v>
      </c>
      <c r="I21" s="59">
        <v>1117285</v>
      </c>
      <c r="J21" s="59">
        <v>94157</v>
      </c>
      <c r="K21" s="59">
        <v>613159</v>
      </c>
      <c r="L21" s="59">
        <v>183869</v>
      </c>
      <c r="M21" s="59">
        <v>11450</v>
      </c>
      <c r="N21" s="59">
        <v>28400</v>
      </c>
      <c r="O21" s="59">
        <v>103326</v>
      </c>
      <c r="P21" s="59">
        <v>3474</v>
      </c>
      <c r="Q21" s="59">
        <v>127</v>
      </c>
      <c r="R21" s="59">
        <v>28915</v>
      </c>
      <c r="S21" s="59">
        <v>-4460</v>
      </c>
      <c r="T21" s="59">
        <v>0</v>
      </c>
      <c r="U21" s="59">
        <v>-14206</v>
      </c>
      <c r="V21" s="59">
        <v>39584</v>
      </c>
      <c r="W21" s="59">
        <v>1837</v>
      </c>
      <c r="X21" s="60">
        <v>5.0309324920341796</v>
      </c>
      <c r="Y21" s="60">
        <v>22.645669974095401</v>
      </c>
      <c r="Z21" s="60">
        <v>34.676405127370998</v>
      </c>
      <c r="AA21" s="60">
        <v>-32.065217391304301</v>
      </c>
      <c r="AB21" s="59">
        <v>3673878</v>
      </c>
      <c r="AC21" s="59">
        <v>123363</v>
      </c>
      <c r="AD21" s="59">
        <v>0</v>
      </c>
      <c r="AE21" s="59">
        <v>348015</v>
      </c>
      <c r="AF21" s="59">
        <v>0</v>
      </c>
      <c r="AG21" s="59">
        <v>2401047</v>
      </c>
      <c r="AH21" s="59">
        <v>147540</v>
      </c>
      <c r="AI21" s="59">
        <v>0</v>
      </c>
      <c r="AJ21" s="59">
        <v>558065</v>
      </c>
      <c r="AK21" s="59">
        <v>702735</v>
      </c>
      <c r="AL21" s="59">
        <v>54670</v>
      </c>
      <c r="AM21" s="59">
        <v>3204</v>
      </c>
      <c r="AN21" s="56" t="s">
        <v>380</v>
      </c>
      <c r="AO21" s="56" t="s">
        <v>381</v>
      </c>
      <c r="AP21" s="59">
        <v>0</v>
      </c>
      <c r="AQ21" s="59">
        <v>518490</v>
      </c>
      <c r="AR21" s="59">
        <v>343249</v>
      </c>
      <c r="AS21" s="59">
        <v>1810719</v>
      </c>
      <c r="AT21" s="59">
        <v>569284</v>
      </c>
      <c r="AU21" s="59">
        <v>3903</v>
      </c>
      <c r="AV21" s="59">
        <v>1146628</v>
      </c>
      <c r="AW21" s="59">
        <v>12895</v>
      </c>
      <c r="AX21" s="59">
        <v>25547</v>
      </c>
      <c r="AY21" s="59">
        <v>153456</v>
      </c>
    </row>
    <row r="22" spans="1:51" customFormat="1" ht="45.6" customHeight="1" x14ac:dyDescent="0.25">
      <c r="A22" s="51" t="s">
        <v>382</v>
      </c>
      <c r="B22" s="52" t="s">
        <v>383</v>
      </c>
      <c r="C22" s="51" t="s">
        <v>384</v>
      </c>
      <c r="D22" s="53">
        <v>45291</v>
      </c>
      <c r="E22" s="51" t="s">
        <v>253</v>
      </c>
      <c r="F22" s="54">
        <v>2249641</v>
      </c>
      <c r="G22" s="54">
        <v>2014909</v>
      </c>
      <c r="H22" s="54">
        <v>0</v>
      </c>
      <c r="I22" s="54">
        <v>1941543</v>
      </c>
      <c r="J22" s="54">
        <v>769</v>
      </c>
      <c r="K22" s="54">
        <v>157295</v>
      </c>
      <c r="L22" s="54">
        <v>26927</v>
      </c>
      <c r="M22" s="54">
        <v>11063</v>
      </c>
      <c r="N22" s="54">
        <v>6923</v>
      </c>
      <c r="O22" s="54">
        <v>48710</v>
      </c>
      <c r="P22" s="54">
        <v>0</v>
      </c>
      <c r="Q22" s="54">
        <v>0</v>
      </c>
      <c r="R22" s="54">
        <v>2093</v>
      </c>
      <c r="S22" s="54">
        <v>-9145</v>
      </c>
      <c r="T22" s="54">
        <v>0</v>
      </c>
      <c r="U22" s="54">
        <v>7881</v>
      </c>
      <c r="V22" s="54">
        <v>41477</v>
      </c>
      <c r="W22" s="54">
        <v>509</v>
      </c>
      <c r="X22" s="55">
        <v>10.3516130957955</v>
      </c>
      <c r="Y22" s="55">
        <v>22.6658817741212</v>
      </c>
      <c r="Z22" s="55">
        <v>64.412170061023502</v>
      </c>
      <c r="AA22" s="55">
        <v>33.629394307354801</v>
      </c>
      <c r="AB22" s="54">
        <v>1328715</v>
      </c>
      <c r="AC22" s="54">
        <v>156098</v>
      </c>
      <c r="AD22" s="54">
        <v>0</v>
      </c>
      <c r="AE22" s="54">
        <v>55927</v>
      </c>
      <c r="AF22" s="54">
        <v>0</v>
      </c>
      <c r="AG22" s="54">
        <v>861092</v>
      </c>
      <c r="AH22" s="54">
        <v>277343</v>
      </c>
      <c r="AI22" s="54">
        <v>0</v>
      </c>
      <c r="AJ22" s="54">
        <v>417032</v>
      </c>
      <c r="AK22" s="54">
        <v>81472</v>
      </c>
      <c r="AL22" s="54">
        <v>111039</v>
      </c>
      <c r="AM22" s="54">
        <v>0</v>
      </c>
      <c r="AN22" s="51" t="s">
        <v>342</v>
      </c>
      <c r="AO22" s="51" t="s">
        <v>343</v>
      </c>
      <c r="AP22" s="54">
        <v>3619</v>
      </c>
      <c r="AQ22" s="54">
        <v>17620</v>
      </c>
      <c r="AR22" s="54">
        <v>702291</v>
      </c>
      <c r="AS22" s="54">
        <v>173370</v>
      </c>
      <c r="AT22" s="54">
        <v>242770</v>
      </c>
      <c r="AU22" s="54">
        <v>20809</v>
      </c>
      <c r="AV22" s="54">
        <v>458571</v>
      </c>
      <c r="AW22" s="54">
        <v>7479</v>
      </c>
      <c r="AX22" s="54">
        <v>1269</v>
      </c>
      <c r="AY22" s="54">
        <v>78665.327000000005</v>
      </c>
    </row>
    <row r="23" spans="1:51" customFormat="1" ht="31.15" customHeight="1" x14ac:dyDescent="0.25">
      <c r="A23" s="51" t="s">
        <v>385</v>
      </c>
      <c r="B23" s="52" t="s">
        <v>386</v>
      </c>
      <c r="C23" s="51" t="s">
        <v>387</v>
      </c>
      <c r="D23" s="53">
        <v>45199</v>
      </c>
      <c r="E23" s="51" t="s">
        <v>253</v>
      </c>
      <c r="F23" s="54">
        <v>1942482</v>
      </c>
      <c r="G23" s="54">
        <v>1917955</v>
      </c>
      <c r="H23" s="54">
        <v>0</v>
      </c>
      <c r="I23" s="54">
        <v>1512468</v>
      </c>
      <c r="J23" s="54">
        <v>-1852</v>
      </c>
      <c r="K23" s="54">
        <v>175002</v>
      </c>
      <c r="L23" s="54">
        <v>175743</v>
      </c>
      <c r="M23" s="54">
        <v>5804</v>
      </c>
      <c r="N23" s="54">
        <v>3853</v>
      </c>
      <c r="O23" s="54">
        <v>73775</v>
      </c>
      <c r="P23" s="54">
        <v>0</v>
      </c>
      <c r="Q23" s="54">
        <v>0</v>
      </c>
      <c r="R23" s="54">
        <v>-10926</v>
      </c>
      <c r="S23" s="54">
        <v>0</v>
      </c>
      <c r="T23" s="54">
        <v>2025</v>
      </c>
      <c r="U23" s="54">
        <v>2815</v>
      </c>
      <c r="V23" s="54">
        <v>-14027</v>
      </c>
      <c r="W23" s="54">
        <v>4018</v>
      </c>
      <c r="X23" s="55">
        <v>8.8986106300710297</v>
      </c>
      <c r="Y23" s="55">
        <v>46.697245881978603</v>
      </c>
      <c r="Z23" s="55">
        <v>12.511871806198201</v>
      </c>
      <c r="AA23" s="55">
        <v>92.143682951092899</v>
      </c>
      <c r="AB23" s="54">
        <v>825804</v>
      </c>
      <c r="AC23" s="54">
        <v>66964</v>
      </c>
      <c r="AD23" s="54">
        <v>0</v>
      </c>
      <c r="AE23" s="54">
        <v>119686</v>
      </c>
      <c r="AF23" s="54">
        <v>0</v>
      </c>
      <c r="AG23" s="54">
        <v>28617</v>
      </c>
      <c r="AH23" s="54">
        <v>304991</v>
      </c>
      <c r="AI23" s="54">
        <v>0</v>
      </c>
      <c r="AJ23" s="54">
        <v>484502</v>
      </c>
      <c r="AK23" s="54">
        <v>259759</v>
      </c>
      <c r="AL23" s="54">
        <v>14007</v>
      </c>
      <c r="AM23" s="54">
        <v>0</v>
      </c>
      <c r="AN23" s="51" t="s">
        <v>314</v>
      </c>
      <c r="AO23" s="51" t="s">
        <v>315</v>
      </c>
      <c r="AP23" s="54">
        <v>0</v>
      </c>
      <c r="AQ23" s="54">
        <v>9240</v>
      </c>
      <c r="AR23" s="54">
        <v>356650</v>
      </c>
      <c r="AS23" s="54">
        <v>80413</v>
      </c>
      <c r="AT23" s="54">
        <v>244870</v>
      </c>
      <c r="AU23" s="54">
        <v>0</v>
      </c>
      <c r="AV23" s="54">
        <v>691477</v>
      </c>
      <c r="AW23" s="54">
        <v>6083</v>
      </c>
      <c r="AX23" s="54">
        <v>938</v>
      </c>
      <c r="AY23" s="54">
        <v>37193</v>
      </c>
    </row>
    <row r="24" spans="1:51" customFormat="1" ht="45.6" customHeight="1" x14ac:dyDescent="0.25">
      <c r="A24" s="56" t="s">
        <v>388</v>
      </c>
      <c r="B24" s="57" t="s">
        <v>389</v>
      </c>
      <c r="C24" s="56" t="s">
        <v>390</v>
      </c>
      <c r="D24" s="58">
        <v>45291</v>
      </c>
      <c r="E24" s="56" t="s">
        <v>253</v>
      </c>
      <c r="F24" s="59">
        <v>1947444.753</v>
      </c>
      <c r="G24" s="59">
        <v>1907363.1540000001</v>
      </c>
      <c r="H24" s="59">
        <v>0</v>
      </c>
      <c r="I24" s="59">
        <v>1450568.2720000001</v>
      </c>
      <c r="J24" s="59">
        <v>-5240.4849999999997</v>
      </c>
      <c r="K24" s="59">
        <v>142280.53099999999</v>
      </c>
      <c r="L24" s="59">
        <v>220045.12299999999</v>
      </c>
      <c r="M24" s="59">
        <v>9983.018</v>
      </c>
      <c r="N24" s="59">
        <v>26114.102999999999</v>
      </c>
      <c r="O24" s="59">
        <v>55376.962</v>
      </c>
      <c r="P24" s="59">
        <v>0</v>
      </c>
      <c r="Q24" s="59">
        <v>0</v>
      </c>
      <c r="R24" s="59">
        <v>10766.411</v>
      </c>
      <c r="S24" s="59">
        <v>-469.98700000000002</v>
      </c>
      <c r="T24" s="59">
        <v>0</v>
      </c>
      <c r="U24" s="59">
        <v>14278.325000000001</v>
      </c>
      <c r="V24" s="59">
        <v>44335.328000000001</v>
      </c>
      <c r="W24" s="59">
        <v>6333</v>
      </c>
      <c r="X24" s="60">
        <v>12.869215597482</v>
      </c>
      <c r="Y24" s="60">
        <v>29.745765410673101</v>
      </c>
      <c r="Z24" s="60">
        <v>25.702415207016699</v>
      </c>
      <c r="AA24" s="60">
        <v>100.34899968661099</v>
      </c>
      <c r="AB24" s="59">
        <v>1195036.26</v>
      </c>
      <c r="AC24" s="59">
        <v>62115.536</v>
      </c>
      <c r="AD24" s="59">
        <v>0</v>
      </c>
      <c r="AE24" s="59">
        <v>128831.83100000001</v>
      </c>
      <c r="AF24" s="59">
        <v>12186.376</v>
      </c>
      <c r="AG24" s="59">
        <v>473319.223</v>
      </c>
      <c r="AH24" s="59">
        <v>215706.864</v>
      </c>
      <c r="AI24" s="59">
        <v>0</v>
      </c>
      <c r="AJ24" s="59">
        <v>479701.29200000002</v>
      </c>
      <c r="AK24" s="59">
        <v>246859.59400000001</v>
      </c>
      <c r="AL24" s="59">
        <v>56213.648999999998</v>
      </c>
      <c r="AM24" s="59">
        <v>5999.0479999999998</v>
      </c>
      <c r="AN24" s="56" t="s">
        <v>309</v>
      </c>
      <c r="AO24" s="56" t="s">
        <v>310</v>
      </c>
      <c r="AP24" s="59">
        <v>0</v>
      </c>
      <c r="AQ24" s="59">
        <v>22171.745999999999</v>
      </c>
      <c r="AR24" s="59">
        <v>524009.14799999999</v>
      </c>
      <c r="AS24" s="59">
        <v>135147.984</v>
      </c>
      <c r="AT24" s="59">
        <v>305436.72700000001</v>
      </c>
      <c r="AU24" s="59">
        <v>5999.0479999999998</v>
      </c>
      <c r="AV24" s="59">
        <v>639438.59100000001</v>
      </c>
      <c r="AW24" s="59">
        <v>6989.9740000000002</v>
      </c>
      <c r="AX24" s="59">
        <v>5039.7510000000002</v>
      </c>
      <c r="AY24" s="59">
        <v>51756.78</v>
      </c>
    </row>
    <row r="25" spans="1:51" customFormat="1" ht="45.6" customHeight="1" x14ac:dyDescent="0.25">
      <c r="A25" s="51" t="s">
        <v>391</v>
      </c>
      <c r="B25" s="52" t="s">
        <v>392</v>
      </c>
      <c r="C25" s="51" t="s">
        <v>393</v>
      </c>
      <c r="D25" s="53">
        <v>45291</v>
      </c>
      <c r="E25" s="51" t="s">
        <v>253</v>
      </c>
      <c r="F25" s="54">
        <v>1935960.216</v>
      </c>
      <c r="G25" s="54">
        <v>1887065.5220000001</v>
      </c>
      <c r="H25" s="54">
        <v>-75.722999999999999</v>
      </c>
      <c r="I25" s="54">
        <v>1373881.595</v>
      </c>
      <c r="J25" s="54">
        <v>-9249.44</v>
      </c>
      <c r="K25" s="54">
        <v>212131.891</v>
      </c>
      <c r="L25" s="54">
        <v>209377.861</v>
      </c>
      <c r="M25" s="54">
        <v>18577.935000000001</v>
      </c>
      <c r="N25" s="54">
        <v>79539.56</v>
      </c>
      <c r="O25" s="54">
        <v>50396.648000000001</v>
      </c>
      <c r="P25" s="54">
        <v>70.45</v>
      </c>
      <c r="Q25" s="54">
        <v>4854.7020000000002</v>
      </c>
      <c r="R25" s="54">
        <v>-2831.6379999999999</v>
      </c>
      <c r="S25" s="54">
        <v>0</v>
      </c>
      <c r="T25" s="54">
        <v>0</v>
      </c>
      <c r="U25" s="54">
        <v>-1751.1759999999999</v>
      </c>
      <c r="V25" s="54">
        <v>-4701.4480000000003</v>
      </c>
      <c r="W25" s="54">
        <v>6432</v>
      </c>
      <c r="X25" s="55">
        <v>6.7163560203346604</v>
      </c>
      <c r="Y25" s="55">
        <v>14.0037751241693</v>
      </c>
      <c r="Z25" s="55">
        <v>11.003620213544201</v>
      </c>
      <c r="AA25" s="55">
        <v>165.71508213817199</v>
      </c>
      <c r="AB25" s="54">
        <v>1026240.5110000001</v>
      </c>
      <c r="AC25" s="54">
        <v>30520.675999999999</v>
      </c>
      <c r="AD25" s="54">
        <v>0</v>
      </c>
      <c r="AE25" s="54">
        <v>179923.965</v>
      </c>
      <c r="AF25" s="54">
        <v>0</v>
      </c>
      <c r="AG25" s="54">
        <v>279970.64</v>
      </c>
      <c r="AH25" s="54">
        <v>405833.60200000001</v>
      </c>
      <c r="AI25" s="54">
        <v>0</v>
      </c>
      <c r="AJ25" s="54">
        <v>478213.55599999998</v>
      </c>
      <c r="AK25" s="54">
        <v>214386.462</v>
      </c>
      <c r="AL25" s="54">
        <v>43886.44</v>
      </c>
      <c r="AM25" s="54">
        <v>25199.546999999999</v>
      </c>
      <c r="AN25" s="51" t="s">
        <v>309</v>
      </c>
      <c r="AO25" s="51" t="s">
        <v>310</v>
      </c>
      <c r="AP25" s="54">
        <v>0</v>
      </c>
      <c r="AQ25" s="54">
        <v>97003.46</v>
      </c>
      <c r="AR25" s="54">
        <v>577463.48400000005</v>
      </c>
      <c r="AS25" s="54">
        <v>8767.8809999999994</v>
      </c>
      <c r="AT25" s="54">
        <v>80369.600000000006</v>
      </c>
      <c r="AU25" s="54">
        <v>25199.546999999999</v>
      </c>
      <c r="AV25" s="54">
        <v>666416.73300000001</v>
      </c>
      <c r="AW25" s="54">
        <v>11211.861999999999</v>
      </c>
      <c r="AX25" s="54">
        <v>13626.134</v>
      </c>
      <c r="AY25" s="54">
        <v>17603.690999999999</v>
      </c>
    </row>
    <row r="26" spans="1:51" customFormat="1" ht="18" customHeight="1" x14ac:dyDescent="0.25">
      <c r="A26" s="56" t="s">
        <v>394</v>
      </c>
      <c r="B26" s="57" t="s">
        <v>395</v>
      </c>
      <c r="C26" s="56" t="s">
        <v>396</v>
      </c>
      <c r="D26" s="58">
        <v>45291</v>
      </c>
      <c r="E26" s="56" t="s">
        <v>253</v>
      </c>
      <c r="F26" s="59">
        <v>1779427.341</v>
      </c>
      <c r="G26" s="59">
        <v>1757110.878</v>
      </c>
      <c r="H26" s="59">
        <v>0</v>
      </c>
      <c r="I26" s="59">
        <v>1340551.3810000001</v>
      </c>
      <c r="J26" s="59">
        <v>14984.672</v>
      </c>
      <c r="K26" s="59">
        <v>116172.467</v>
      </c>
      <c r="L26" s="59">
        <v>119164.27499999999</v>
      </c>
      <c r="M26" s="59">
        <v>6274.9660000000003</v>
      </c>
      <c r="N26" s="59">
        <v>20425.710999999999</v>
      </c>
      <c r="O26" s="59">
        <v>30014.618999999999</v>
      </c>
      <c r="P26" s="59">
        <v>198</v>
      </c>
      <c r="Q26" s="59">
        <v>29.981000000000002</v>
      </c>
      <c r="R26" s="59">
        <v>9180.0560000000005</v>
      </c>
      <c r="S26" s="59">
        <v>0</v>
      </c>
      <c r="T26" s="59">
        <v>1E-3</v>
      </c>
      <c r="U26" s="59">
        <v>38444.457999999999</v>
      </c>
      <c r="V26" s="59">
        <v>102346.868</v>
      </c>
      <c r="W26" s="59">
        <v>3148</v>
      </c>
      <c r="X26" s="60">
        <v>9.1452565428495802</v>
      </c>
      <c r="Y26" s="60">
        <v>22.5742009154717</v>
      </c>
      <c r="Z26" s="60">
        <v>31.6690877812553</v>
      </c>
      <c r="AA26" s="60">
        <v>28.2301588631437</v>
      </c>
      <c r="AB26" s="59">
        <v>946713.41099999996</v>
      </c>
      <c r="AC26" s="59">
        <v>38625.574999999997</v>
      </c>
      <c r="AD26" s="59">
        <v>0</v>
      </c>
      <c r="AE26" s="59">
        <v>78974.649000000005</v>
      </c>
      <c r="AF26" s="59">
        <v>0</v>
      </c>
      <c r="AG26" s="59">
        <v>673107.76399999997</v>
      </c>
      <c r="AH26" s="59">
        <v>219610.89</v>
      </c>
      <c r="AI26" s="59">
        <v>13.42</v>
      </c>
      <c r="AJ26" s="59">
        <v>261719.07800000001</v>
      </c>
      <c r="AK26" s="59">
        <v>9.3629999999999995</v>
      </c>
      <c r="AL26" s="59">
        <v>50393.86</v>
      </c>
      <c r="AM26" s="59">
        <v>248139.027</v>
      </c>
      <c r="AN26" s="56" t="s">
        <v>397</v>
      </c>
      <c r="AO26" s="56" t="s">
        <v>398</v>
      </c>
      <c r="AP26" s="59">
        <v>0</v>
      </c>
      <c r="AQ26" s="59">
        <v>29007.463</v>
      </c>
      <c r="AR26" s="59">
        <v>387478.57299999997</v>
      </c>
      <c r="AS26" s="59">
        <v>1715.39</v>
      </c>
      <c r="AT26" s="59">
        <v>60185.947</v>
      </c>
      <c r="AU26" s="59">
        <v>338139.027</v>
      </c>
      <c r="AV26" s="59">
        <v>261942.93900000001</v>
      </c>
      <c r="AW26" s="59">
        <v>6362.5789999999997</v>
      </c>
      <c r="AX26" s="59">
        <v>818.50199999999995</v>
      </c>
      <c r="AY26" s="59">
        <v>126043.584</v>
      </c>
    </row>
    <row r="27" spans="1:51" customFormat="1" ht="45.6" customHeight="1" x14ac:dyDescent="0.25">
      <c r="A27" s="51" t="s">
        <v>399</v>
      </c>
      <c r="B27" s="52" t="s">
        <v>400</v>
      </c>
      <c r="C27" s="51" t="s">
        <v>401</v>
      </c>
      <c r="D27" s="53">
        <v>45169</v>
      </c>
      <c r="E27" s="51" t="s">
        <v>253</v>
      </c>
      <c r="F27" s="54">
        <v>1779371</v>
      </c>
      <c r="G27" s="54">
        <v>1756637</v>
      </c>
      <c r="H27" s="54">
        <v>0</v>
      </c>
      <c r="I27" s="54">
        <v>1286703</v>
      </c>
      <c r="J27" s="54">
        <v>0</v>
      </c>
      <c r="K27" s="54">
        <v>230346</v>
      </c>
      <c r="L27" s="54">
        <v>84310</v>
      </c>
      <c r="M27" s="54">
        <v>105754</v>
      </c>
      <c r="N27" s="54">
        <v>1954</v>
      </c>
      <c r="O27" s="54">
        <v>3749</v>
      </c>
      <c r="P27" s="54">
        <v>0</v>
      </c>
      <c r="Q27" s="54">
        <v>0</v>
      </c>
      <c r="R27" s="54">
        <v>8048</v>
      </c>
      <c r="S27" s="54">
        <v>0</v>
      </c>
      <c r="T27" s="54">
        <v>0</v>
      </c>
      <c r="U27" s="54">
        <v>21389</v>
      </c>
      <c r="V27" s="54">
        <v>53214</v>
      </c>
      <c r="W27" s="54">
        <v>791</v>
      </c>
      <c r="X27" s="55">
        <v>6.6920747909903397</v>
      </c>
      <c r="Y27" s="55">
        <v>13.7535551284509</v>
      </c>
      <c r="Z27" s="55">
        <v>19.054322219300399</v>
      </c>
      <c r="AA27" s="55">
        <v>33.222163268399903</v>
      </c>
      <c r="AB27" s="54">
        <v>574378</v>
      </c>
      <c r="AC27" s="54">
        <v>103713</v>
      </c>
      <c r="AD27" s="54">
        <v>0</v>
      </c>
      <c r="AE27" s="54">
        <v>64776</v>
      </c>
      <c r="AF27" s="54">
        <v>0</v>
      </c>
      <c r="AG27" s="54">
        <v>104047</v>
      </c>
      <c r="AH27" s="54">
        <v>111687</v>
      </c>
      <c r="AI27" s="54">
        <v>0</v>
      </c>
      <c r="AJ27" s="54">
        <v>411057</v>
      </c>
      <c r="AK27" s="54">
        <v>5764</v>
      </c>
      <c r="AL27" s="54">
        <v>59</v>
      </c>
      <c r="AM27" s="54">
        <v>367709</v>
      </c>
      <c r="AN27" s="51" t="s">
        <v>402</v>
      </c>
      <c r="AO27" s="51" t="s">
        <v>403</v>
      </c>
      <c r="AP27" s="54">
        <v>0</v>
      </c>
      <c r="AQ27" s="54">
        <v>189</v>
      </c>
      <c r="AR27" s="54">
        <v>7713</v>
      </c>
      <c r="AS27" s="54">
        <v>23</v>
      </c>
      <c r="AT27" s="54">
        <v>132827</v>
      </c>
      <c r="AU27" s="54">
        <v>367709</v>
      </c>
      <c r="AV27" s="54">
        <v>414255</v>
      </c>
      <c r="AW27" s="54">
        <v>167</v>
      </c>
      <c r="AX27" s="54">
        <v>1082</v>
      </c>
      <c r="AY27" s="54">
        <v>52772</v>
      </c>
    </row>
    <row r="28" spans="1:51" customFormat="1" ht="45.6" customHeight="1" x14ac:dyDescent="0.25">
      <c r="A28" s="56" t="s">
        <v>404</v>
      </c>
      <c r="B28" s="57" t="s">
        <v>405</v>
      </c>
      <c r="C28" s="56" t="s">
        <v>406</v>
      </c>
      <c r="D28" s="58">
        <v>45291</v>
      </c>
      <c r="E28" s="56" t="s">
        <v>253</v>
      </c>
      <c r="F28" s="59">
        <v>1656280</v>
      </c>
      <c r="G28" s="59">
        <v>1642064</v>
      </c>
      <c r="H28" s="59">
        <v>-644</v>
      </c>
      <c r="I28" s="59">
        <v>1259951</v>
      </c>
      <c r="J28" s="59">
        <v>-3556</v>
      </c>
      <c r="K28" s="59">
        <v>208876</v>
      </c>
      <c r="L28" s="59">
        <v>58722</v>
      </c>
      <c r="M28" s="59">
        <v>18827</v>
      </c>
      <c r="N28" s="59">
        <v>868</v>
      </c>
      <c r="O28" s="59">
        <v>30541</v>
      </c>
      <c r="P28" s="59">
        <v>1245</v>
      </c>
      <c r="Q28" s="59">
        <v>0</v>
      </c>
      <c r="R28" s="59">
        <v>-8807</v>
      </c>
      <c r="S28" s="59">
        <v>-14209</v>
      </c>
      <c r="T28" s="59">
        <v>1002</v>
      </c>
      <c r="U28" s="59">
        <v>22960</v>
      </c>
      <c r="V28" s="59">
        <v>35832</v>
      </c>
      <c r="W28" s="59">
        <v>1046</v>
      </c>
      <c r="X28" s="60">
        <v>2.8830568485052801</v>
      </c>
      <c r="Y28" s="60">
        <v>26.404209819730902</v>
      </c>
      <c r="Z28" s="60">
        <v>36.967873026888697</v>
      </c>
      <c r="AA28" s="60">
        <v>91.525190498305705</v>
      </c>
      <c r="AB28" s="59">
        <v>1418010</v>
      </c>
      <c r="AC28" s="59">
        <v>92022</v>
      </c>
      <c r="AD28" s="59">
        <v>0</v>
      </c>
      <c r="AE28" s="59">
        <v>127285</v>
      </c>
      <c r="AF28" s="59">
        <v>0</v>
      </c>
      <c r="AG28" s="59">
        <v>482716</v>
      </c>
      <c r="AH28" s="59">
        <v>139952</v>
      </c>
      <c r="AI28" s="59">
        <v>0</v>
      </c>
      <c r="AJ28" s="59">
        <v>494395</v>
      </c>
      <c r="AK28" s="59">
        <v>666355</v>
      </c>
      <c r="AL28" s="59">
        <v>14433</v>
      </c>
      <c r="AM28" s="59">
        <v>0</v>
      </c>
      <c r="AN28" s="56" t="s">
        <v>407</v>
      </c>
      <c r="AO28" s="56" t="s">
        <v>408</v>
      </c>
      <c r="AP28" s="59">
        <v>0</v>
      </c>
      <c r="AQ28" s="59">
        <v>15923</v>
      </c>
      <c r="AR28" s="59">
        <v>313397</v>
      </c>
      <c r="AS28" s="59">
        <v>498198</v>
      </c>
      <c r="AT28" s="59">
        <v>444629</v>
      </c>
      <c r="AU28" s="59">
        <v>3055</v>
      </c>
      <c r="AV28" s="59">
        <v>902645</v>
      </c>
      <c r="AW28" s="59">
        <v>1853</v>
      </c>
      <c r="AX28" s="59">
        <v>1090</v>
      </c>
      <c r="AY28" s="59">
        <v>58137</v>
      </c>
    </row>
    <row r="29" spans="1:51" customFormat="1" ht="72" customHeight="1" x14ac:dyDescent="0.25">
      <c r="A29" s="51" t="s">
        <v>409</v>
      </c>
      <c r="B29" s="52" t="s">
        <v>410</v>
      </c>
      <c r="C29" s="51" t="s">
        <v>411</v>
      </c>
      <c r="D29" s="53">
        <v>45291</v>
      </c>
      <c r="E29" s="51" t="s">
        <v>253</v>
      </c>
      <c r="F29" s="54">
        <v>1857647.6259999999</v>
      </c>
      <c r="G29" s="54">
        <v>1566186.129</v>
      </c>
      <c r="H29" s="54">
        <v>0</v>
      </c>
      <c r="I29" s="54">
        <v>1581547.0919999999</v>
      </c>
      <c r="J29" s="54">
        <v>-7396.63</v>
      </c>
      <c r="K29" s="54">
        <v>269509.08399999997</v>
      </c>
      <c r="L29" s="54">
        <v>4399.3789999999999</v>
      </c>
      <c r="M29" s="54">
        <v>597.42999999999995</v>
      </c>
      <c r="N29" s="54">
        <v>3722.5140000000001</v>
      </c>
      <c r="O29" s="54">
        <v>2947.67</v>
      </c>
      <c r="P29" s="54">
        <v>1005.491</v>
      </c>
      <c r="Q29" s="54">
        <v>0</v>
      </c>
      <c r="R29" s="54">
        <v>-1315.597</v>
      </c>
      <c r="S29" s="54">
        <v>0</v>
      </c>
      <c r="T29" s="54">
        <v>1E-3</v>
      </c>
      <c r="U29" s="54">
        <v>119.399</v>
      </c>
      <c r="V29" s="54">
        <v>-119.399</v>
      </c>
      <c r="W29" s="54">
        <v>71</v>
      </c>
      <c r="X29" s="55">
        <v>13.531650986925101</v>
      </c>
      <c r="Y29" s="55">
        <v>28.851915904686599</v>
      </c>
      <c r="Z29" s="55">
        <v>64.156260279574994</v>
      </c>
      <c r="AA29" s="55">
        <v>33.0308835189606</v>
      </c>
      <c r="AB29" s="54">
        <v>574456.79500000004</v>
      </c>
      <c r="AC29" s="54">
        <v>320019.07699999999</v>
      </c>
      <c r="AD29" s="54">
        <v>0</v>
      </c>
      <c r="AE29" s="54">
        <v>88554.577999999994</v>
      </c>
      <c r="AF29" s="54">
        <v>0</v>
      </c>
      <c r="AG29" s="54">
        <v>19893.514999999999</v>
      </c>
      <c r="AH29" s="54">
        <v>238372.11300000001</v>
      </c>
      <c r="AI29" s="54">
        <v>0</v>
      </c>
      <c r="AJ29" s="54">
        <v>537321.054</v>
      </c>
      <c r="AK29" s="54">
        <v>72592.960999999996</v>
      </c>
      <c r="AL29" s="54">
        <v>85.974000000000004</v>
      </c>
      <c r="AM29" s="54">
        <v>0</v>
      </c>
      <c r="AN29" s="51" t="s">
        <v>320</v>
      </c>
      <c r="AO29" s="51" t="s">
        <v>321</v>
      </c>
      <c r="AP29" s="54">
        <v>0</v>
      </c>
      <c r="AQ29" s="54">
        <v>1868.6859999999999</v>
      </c>
      <c r="AR29" s="54">
        <v>61960.127</v>
      </c>
      <c r="AS29" s="54">
        <v>1577.5440000000001</v>
      </c>
      <c r="AT29" s="54">
        <v>420181.50900000002</v>
      </c>
      <c r="AU29" s="54">
        <v>0</v>
      </c>
      <c r="AV29" s="54">
        <v>542219.47900000005</v>
      </c>
      <c r="AW29" s="54">
        <v>173.011</v>
      </c>
      <c r="AX29" s="54">
        <v>228.37700000000001</v>
      </c>
      <c r="AY29" s="54">
        <v>3204.7190000000001</v>
      </c>
    </row>
    <row r="30" spans="1:51" customFormat="1" ht="99.6" customHeight="1" x14ac:dyDescent="0.25">
      <c r="A30" s="56" t="s">
        <v>412</v>
      </c>
      <c r="B30" s="57" t="s">
        <v>413</v>
      </c>
      <c r="C30" s="56" t="s">
        <v>414</v>
      </c>
      <c r="D30" s="58">
        <v>45291</v>
      </c>
      <c r="E30" s="56" t="s">
        <v>253</v>
      </c>
      <c r="F30" s="59">
        <v>1504405.2679999999</v>
      </c>
      <c r="G30" s="59">
        <v>1491775.727</v>
      </c>
      <c r="H30" s="59">
        <v>0</v>
      </c>
      <c r="I30" s="59">
        <v>686433.15</v>
      </c>
      <c r="J30" s="59">
        <v>1992.1510000000001</v>
      </c>
      <c r="K30" s="59">
        <v>671147.94400000002</v>
      </c>
      <c r="L30" s="59">
        <v>49687.472000000002</v>
      </c>
      <c r="M30" s="59">
        <v>12288.572</v>
      </c>
      <c r="N30" s="59">
        <v>62809.811999999998</v>
      </c>
      <c r="O30" s="59">
        <v>18927.732</v>
      </c>
      <c r="P30" s="59">
        <v>676</v>
      </c>
      <c r="Q30" s="59">
        <v>349.322</v>
      </c>
      <c r="R30" s="59">
        <v>12945.164000000001</v>
      </c>
      <c r="S30" s="59">
        <v>0</v>
      </c>
      <c r="T30" s="59">
        <v>0</v>
      </c>
      <c r="U30" s="59">
        <v>3732.163</v>
      </c>
      <c r="V30" s="59">
        <v>9306.1139999999996</v>
      </c>
      <c r="W30" s="59">
        <v>413</v>
      </c>
      <c r="X30" s="60">
        <v>3.59548451171473</v>
      </c>
      <c r="Y30" s="60">
        <v>4.8985658206721299</v>
      </c>
      <c r="Z30" s="60">
        <v>1.39893678133864</v>
      </c>
      <c r="AA30" s="60">
        <v>-21.773707723693001</v>
      </c>
      <c r="AB30" s="59">
        <v>668272.15399999998</v>
      </c>
      <c r="AC30" s="59">
        <v>120897.156</v>
      </c>
      <c r="AD30" s="59">
        <v>0</v>
      </c>
      <c r="AE30" s="59">
        <v>724.48800000000006</v>
      </c>
      <c r="AF30" s="59">
        <v>0</v>
      </c>
      <c r="AG30" s="59">
        <v>368451.93599999999</v>
      </c>
      <c r="AH30" s="59">
        <v>179406.29800000001</v>
      </c>
      <c r="AI30" s="59">
        <v>0</v>
      </c>
      <c r="AJ30" s="59">
        <v>270209.353</v>
      </c>
      <c r="AK30" s="59">
        <v>2123.7020000000002</v>
      </c>
      <c r="AL30" s="59">
        <v>370.935</v>
      </c>
      <c r="AM30" s="59">
        <v>474784.56099999999</v>
      </c>
      <c r="AN30" s="56" t="s">
        <v>314</v>
      </c>
      <c r="AO30" s="56" t="s">
        <v>315</v>
      </c>
      <c r="AP30" s="59">
        <v>0</v>
      </c>
      <c r="AQ30" s="59">
        <v>17545.726999999999</v>
      </c>
      <c r="AR30" s="59">
        <v>23774.561000000002</v>
      </c>
      <c r="AS30" s="59">
        <v>0</v>
      </c>
      <c r="AT30" s="59">
        <v>151028.10399999999</v>
      </c>
      <c r="AU30" s="59">
        <v>474784.56099999999</v>
      </c>
      <c r="AV30" s="59">
        <v>272530.74200000003</v>
      </c>
      <c r="AW30" s="59">
        <v>1452.3530000000001</v>
      </c>
      <c r="AX30" s="59">
        <v>43.777999999999999</v>
      </c>
      <c r="AY30" s="59">
        <v>24315.155999999999</v>
      </c>
    </row>
    <row r="31" spans="1:51" customFormat="1" ht="18" customHeight="1" x14ac:dyDescent="0.25">
      <c r="A31" s="51" t="s">
        <v>415</v>
      </c>
      <c r="B31" s="52" t="s">
        <v>416</v>
      </c>
      <c r="C31" s="51" t="s">
        <v>417</v>
      </c>
      <c r="D31" s="53">
        <v>45291</v>
      </c>
      <c r="E31" s="51" t="s">
        <v>253</v>
      </c>
      <c r="F31" s="54">
        <v>1405941.97</v>
      </c>
      <c r="G31" s="54">
        <v>1397079.0009999999</v>
      </c>
      <c r="H31" s="54">
        <v>0</v>
      </c>
      <c r="I31" s="54">
        <v>1019857.286</v>
      </c>
      <c r="J31" s="54">
        <v>-1749.4110000000001</v>
      </c>
      <c r="K31" s="54">
        <v>113904.023</v>
      </c>
      <c r="L31" s="54">
        <v>114412.651</v>
      </c>
      <c r="M31" s="54">
        <v>3240.7849999999999</v>
      </c>
      <c r="N31" s="54">
        <v>21907.026000000002</v>
      </c>
      <c r="O31" s="54">
        <v>24820.274000000001</v>
      </c>
      <c r="P31" s="54">
        <v>0</v>
      </c>
      <c r="Q31" s="54">
        <v>0</v>
      </c>
      <c r="R31" s="54">
        <v>2832.4430000000002</v>
      </c>
      <c r="S31" s="54">
        <v>0</v>
      </c>
      <c r="T31" s="54">
        <v>0</v>
      </c>
      <c r="U31" s="54">
        <v>29629.077000000001</v>
      </c>
      <c r="V31" s="54">
        <v>82752.702000000005</v>
      </c>
      <c r="W31" s="54">
        <v>4193</v>
      </c>
      <c r="X31" s="55">
        <v>17.2462602068554</v>
      </c>
      <c r="Y31" s="55">
        <v>33.920640292266597</v>
      </c>
      <c r="Z31" s="55">
        <v>0</v>
      </c>
      <c r="AA31" s="55">
        <v>0</v>
      </c>
      <c r="AB31" s="54">
        <v>531958.26</v>
      </c>
      <c r="AC31" s="54">
        <v>27864.388999999999</v>
      </c>
      <c r="AD31" s="54">
        <v>0</v>
      </c>
      <c r="AE31" s="54">
        <v>51022.822999999997</v>
      </c>
      <c r="AF31" s="54">
        <v>0</v>
      </c>
      <c r="AG31" s="54">
        <v>298673.89600000001</v>
      </c>
      <c r="AH31" s="54">
        <v>120255.72</v>
      </c>
      <c r="AI31" s="54">
        <v>0</v>
      </c>
      <c r="AJ31" s="54">
        <v>220620.122</v>
      </c>
      <c r="AK31" s="54">
        <v>0</v>
      </c>
      <c r="AL31" s="54">
        <v>77656.755000000005</v>
      </c>
      <c r="AM31" s="54">
        <v>0</v>
      </c>
      <c r="AN31" s="51" t="s">
        <v>325</v>
      </c>
      <c r="AO31" s="51" t="s">
        <v>326</v>
      </c>
      <c r="AP31" s="54">
        <v>0</v>
      </c>
      <c r="AQ31" s="54">
        <v>73633.384000000005</v>
      </c>
      <c r="AR31" s="54">
        <v>97194.407999999996</v>
      </c>
      <c r="AS31" s="54">
        <v>24780.912</v>
      </c>
      <c r="AT31" s="54">
        <v>191197.592</v>
      </c>
      <c r="AU31" s="54">
        <v>15000</v>
      </c>
      <c r="AV31" s="54">
        <v>220620.122</v>
      </c>
      <c r="AW31" s="54">
        <v>2631.7130000000002</v>
      </c>
      <c r="AX31" s="54">
        <v>1472.386</v>
      </c>
      <c r="AY31" s="62"/>
    </row>
    <row r="32" spans="1:51" customFormat="1" ht="45.6" customHeight="1" x14ac:dyDescent="0.25">
      <c r="A32" s="56" t="s">
        <v>418</v>
      </c>
      <c r="B32" s="57" t="s">
        <v>419</v>
      </c>
      <c r="C32" s="56" t="s">
        <v>420</v>
      </c>
      <c r="D32" s="58">
        <v>45291</v>
      </c>
      <c r="E32" s="56" t="s">
        <v>253</v>
      </c>
      <c r="F32" s="59">
        <v>1430571.6189999999</v>
      </c>
      <c r="G32" s="59">
        <v>1418860.0660000001</v>
      </c>
      <c r="H32" s="59">
        <v>-1427.3589999999999</v>
      </c>
      <c r="I32" s="59">
        <v>1089893.743</v>
      </c>
      <c r="J32" s="59">
        <v>-37702.226999999999</v>
      </c>
      <c r="K32" s="59">
        <v>111842.99800000001</v>
      </c>
      <c r="L32" s="59">
        <v>132961.77900000001</v>
      </c>
      <c r="M32" s="59">
        <v>3808.74</v>
      </c>
      <c r="N32" s="59">
        <v>26942.494999999999</v>
      </c>
      <c r="O32" s="59">
        <v>30872.978999999999</v>
      </c>
      <c r="P32" s="59">
        <v>0</v>
      </c>
      <c r="Q32" s="59">
        <v>0</v>
      </c>
      <c r="R32" s="59">
        <v>-10482.091</v>
      </c>
      <c r="S32" s="59">
        <v>0</v>
      </c>
      <c r="T32" s="59">
        <v>0</v>
      </c>
      <c r="U32" s="59">
        <v>13059.816999999999</v>
      </c>
      <c r="V32" s="59">
        <v>48409.203999999998</v>
      </c>
      <c r="W32" s="59">
        <v>3485</v>
      </c>
      <c r="X32" s="60">
        <v>18.197679422600402</v>
      </c>
      <c r="Y32" s="60">
        <v>39.995527298709703</v>
      </c>
      <c r="Z32" s="60">
        <v>49.547362863717098</v>
      </c>
      <c r="AA32" s="60">
        <v>57.856300017343202</v>
      </c>
      <c r="AB32" s="59">
        <v>1006898.7610000001</v>
      </c>
      <c r="AC32" s="59">
        <v>71148.259999999995</v>
      </c>
      <c r="AD32" s="59">
        <v>0</v>
      </c>
      <c r="AE32" s="59">
        <v>325964.17700000003</v>
      </c>
      <c r="AF32" s="59">
        <v>0</v>
      </c>
      <c r="AG32" s="59">
        <v>400558.25300000003</v>
      </c>
      <c r="AH32" s="59">
        <v>276521.47399999999</v>
      </c>
      <c r="AI32" s="59">
        <v>0</v>
      </c>
      <c r="AJ32" s="59">
        <v>440685.91399999999</v>
      </c>
      <c r="AK32" s="59">
        <v>278762.18599999999</v>
      </c>
      <c r="AL32" s="59">
        <v>60106.156999999999</v>
      </c>
      <c r="AM32" s="59">
        <v>0</v>
      </c>
      <c r="AN32" s="56" t="s">
        <v>309</v>
      </c>
      <c r="AO32" s="56" t="s">
        <v>310</v>
      </c>
      <c r="AP32" s="59">
        <v>0</v>
      </c>
      <c r="AQ32" s="59">
        <v>24715.53</v>
      </c>
      <c r="AR32" s="59">
        <v>430910.37099999998</v>
      </c>
      <c r="AS32" s="59">
        <v>31154.501</v>
      </c>
      <c r="AT32" s="59">
        <v>114655.443</v>
      </c>
      <c r="AU32" s="59">
        <v>0</v>
      </c>
      <c r="AV32" s="59">
        <v>597443.68500000006</v>
      </c>
      <c r="AW32" s="59">
        <v>6188.5290000000005</v>
      </c>
      <c r="AX32" s="59">
        <v>19392.581999999999</v>
      </c>
      <c r="AY32" s="59">
        <v>65137.781000000003</v>
      </c>
    </row>
    <row r="33" spans="1:51" customFormat="1" ht="18" customHeight="1" x14ac:dyDescent="0.25">
      <c r="A33" s="51" t="s">
        <v>421</v>
      </c>
      <c r="B33" s="52" t="s">
        <v>422</v>
      </c>
      <c r="C33" s="51" t="s">
        <v>423</v>
      </c>
      <c r="D33" s="53">
        <v>45291</v>
      </c>
      <c r="E33" s="51" t="s">
        <v>253</v>
      </c>
      <c r="F33" s="54">
        <v>1543201.541</v>
      </c>
      <c r="G33" s="54">
        <v>1459033.324</v>
      </c>
      <c r="H33" s="54">
        <v>0</v>
      </c>
      <c r="I33" s="54">
        <v>1126355.297</v>
      </c>
      <c r="J33" s="54">
        <v>-6595.6980000000003</v>
      </c>
      <c r="K33" s="54">
        <v>154834.78400000001</v>
      </c>
      <c r="L33" s="54">
        <v>151886.70199999999</v>
      </c>
      <c r="M33" s="54">
        <v>8640.1489999999994</v>
      </c>
      <c r="N33" s="54">
        <v>87497.611999999994</v>
      </c>
      <c r="O33" s="54">
        <v>48860.116999999998</v>
      </c>
      <c r="P33" s="54">
        <v>911.34500000000003</v>
      </c>
      <c r="Q33" s="54">
        <v>0</v>
      </c>
      <c r="R33" s="54">
        <v>-5541.848</v>
      </c>
      <c r="S33" s="54">
        <v>8701.2620000000006</v>
      </c>
      <c r="T33" s="54">
        <v>0</v>
      </c>
      <c r="U33" s="54">
        <v>-9309.64</v>
      </c>
      <c r="V33" s="54">
        <v>-16719.713</v>
      </c>
      <c r="W33" s="54">
        <v>4483</v>
      </c>
      <c r="X33" s="55">
        <v>8.8454561688553497</v>
      </c>
      <c r="Y33" s="55">
        <v>18.872335063597301</v>
      </c>
      <c r="Z33" s="55">
        <v>24.0990314359865</v>
      </c>
      <c r="AA33" s="55">
        <v>-534.95954733702297</v>
      </c>
      <c r="AB33" s="54">
        <v>572172.598</v>
      </c>
      <c r="AC33" s="54">
        <v>4923.2460000000001</v>
      </c>
      <c r="AD33" s="54">
        <v>0</v>
      </c>
      <c r="AE33" s="54">
        <v>108331.239</v>
      </c>
      <c r="AF33" s="54">
        <v>0</v>
      </c>
      <c r="AG33" s="54">
        <v>115081.038</v>
      </c>
      <c r="AH33" s="54">
        <v>228594.995</v>
      </c>
      <c r="AI33" s="54">
        <v>0</v>
      </c>
      <c r="AJ33" s="54">
        <v>444553.696</v>
      </c>
      <c r="AK33" s="54">
        <v>0</v>
      </c>
      <c r="AL33" s="54">
        <v>17143.074000000001</v>
      </c>
      <c r="AM33" s="54">
        <v>0</v>
      </c>
      <c r="AN33" s="51" t="s">
        <v>325</v>
      </c>
      <c r="AO33" s="51" t="s">
        <v>326</v>
      </c>
      <c r="AP33" s="54">
        <v>0</v>
      </c>
      <c r="AQ33" s="54">
        <v>69522.858999999997</v>
      </c>
      <c r="AR33" s="54">
        <v>74002.126000000004</v>
      </c>
      <c r="AS33" s="54">
        <v>263138.83500000002</v>
      </c>
      <c r="AT33" s="54">
        <v>35549.572</v>
      </c>
      <c r="AU33" s="54">
        <v>0</v>
      </c>
      <c r="AV33" s="54">
        <v>444553.696</v>
      </c>
      <c r="AW33" s="54">
        <v>859.11500000000001</v>
      </c>
      <c r="AX33" s="54">
        <v>4484.893</v>
      </c>
      <c r="AY33" s="54">
        <v>-4522.57</v>
      </c>
    </row>
    <row r="34" spans="1:51" customFormat="1" ht="31.15" customHeight="1" x14ac:dyDescent="0.25">
      <c r="A34" s="56" t="s">
        <v>424</v>
      </c>
      <c r="B34" s="57" t="s">
        <v>425</v>
      </c>
      <c r="C34" s="56" t="s">
        <v>426</v>
      </c>
      <c r="D34" s="58">
        <v>45291</v>
      </c>
      <c r="E34" s="56" t="s">
        <v>253</v>
      </c>
      <c r="F34" s="59">
        <v>1390461.8130000001</v>
      </c>
      <c r="G34" s="59">
        <v>1348280.442</v>
      </c>
      <c r="H34" s="59">
        <v>0</v>
      </c>
      <c r="I34" s="59">
        <v>1318454.327</v>
      </c>
      <c r="J34" s="59">
        <v>-20463.202000000001</v>
      </c>
      <c r="K34" s="59">
        <v>100084.549</v>
      </c>
      <c r="L34" s="59">
        <v>3887.1509999999998</v>
      </c>
      <c r="M34" s="59">
        <v>454.16800000000001</v>
      </c>
      <c r="N34" s="59">
        <v>580.09799999999996</v>
      </c>
      <c r="O34" s="59">
        <v>799.37800000000004</v>
      </c>
      <c r="P34" s="59">
        <v>0</v>
      </c>
      <c r="Q34" s="59">
        <v>0</v>
      </c>
      <c r="R34" s="59">
        <v>13530.377</v>
      </c>
      <c r="S34" s="59">
        <v>0</v>
      </c>
      <c r="T34" s="59">
        <v>0</v>
      </c>
      <c r="U34" s="59">
        <v>11.832000000000001</v>
      </c>
      <c r="V34" s="59">
        <v>183.88900000000001</v>
      </c>
      <c r="W34" s="59">
        <v>49</v>
      </c>
      <c r="X34" s="60">
        <v>16.602502520068501</v>
      </c>
      <c r="Y34" s="60">
        <v>29.937057684172601</v>
      </c>
      <c r="Z34" s="60">
        <v>61.8413795449354</v>
      </c>
      <c r="AA34" s="60">
        <v>49.792434233796698</v>
      </c>
      <c r="AB34" s="59">
        <v>333359.94</v>
      </c>
      <c r="AC34" s="59">
        <v>178999.94200000001</v>
      </c>
      <c r="AD34" s="59">
        <v>0</v>
      </c>
      <c r="AE34" s="59">
        <v>131856.50700000001</v>
      </c>
      <c r="AF34" s="59">
        <v>0</v>
      </c>
      <c r="AG34" s="59">
        <v>18479.802</v>
      </c>
      <c r="AH34" s="59">
        <v>164594.223</v>
      </c>
      <c r="AI34" s="59">
        <v>0</v>
      </c>
      <c r="AJ34" s="59">
        <v>257361.70699999999</v>
      </c>
      <c r="AK34" s="59">
        <v>89414.115999999995</v>
      </c>
      <c r="AL34" s="59">
        <v>1304.3800000000001</v>
      </c>
      <c r="AM34" s="59">
        <v>0</v>
      </c>
      <c r="AN34" s="56" t="s">
        <v>355</v>
      </c>
      <c r="AO34" s="56" t="s">
        <v>356</v>
      </c>
      <c r="AP34" s="59">
        <v>0</v>
      </c>
      <c r="AQ34" s="59">
        <v>1213.3209999999999</v>
      </c>
      <c r="AR34" s="59">
        <v>4551.34</v>
      </c>
      <c r="AS34" s="59">
        <v>208.886</v>
      </c>
      <c r="AT34" s="59">
        <v>194041.39799999999</v>
      </c>
      <c r="AU34" s="59">
        <v>0</v>
      </c>
      <c r="AV34" s="59">
        <v>313477.70699999999</v>
      </c>
      <c r="AW34" s="59">
        <v>56.326000000000001</v>
      </c>
      <c r="AX34" s="59">
        <v>184.108</v>
      </c>
      <c r="AY34" s="59">
        <v>-8368.4320000000007</v>
      </c>
    </row>
    <row r="35" spans="1:51" customFormat="1" ht="18" customHeight="1" x14ac:dyDescent="0.25">
      <c r="A35" s="51" t="s">
        <v>427</v>
      </c>
      <c r="B35" s="52" t="s">
        <v>428</v>
      </c>
      <c r="C35" s="51" t="s">
        <v>429</v>
      </c>
      <c r="D35" s="53">
        <v>45291</v>
      </c>
      <c r="E35" s="51" t="s">
        <v>253</v>
      </c>
      <c r="F35" s="54">
        <v>1404190.8759999999</v>
      </c>
      <c r="G35" s="54">
        <v>1393094.5360000001</v>
      </c>
      <c r="H35" s="54">
        <v>0</v>
      </c>
      <c r="I35" s="54">
        <v>1011551.205</v>
      </c>
      <c r="J35" s="54">
        <v>5937.7809999999999</v>
      </c>
      <c r="K35" s="54">
        <v>115062.45</v>
      </c>
      <c r="L35" s="54">
        <v>113492.43799999999</v>
      </c>
      <c r="M35" s="54">
        <v>10239.466</v>
      </c>
      <c r="N35" s="54">
        <v>56890.813999999998</v>
      </c>
      <c r="O35" s="54">
        <v>48271.894999999997</v>
      </c>
      <c r="P35" s="54">
        <v>950</v>
      </c>
      <c r="Q35" s="54">
        <v>1659.1179999999999</v>
      </c>
      <c r="R35" s="54">
        <v>-348.95</v>
      </c>
      <c r="S35" s="54">
        <v>0</v>
      </c>
      <c r="T35" s="54">
        <v>0</v>
      </c>
      <c r="U35" s="54">
        <v>10396.178</v>
      </c>
      <c r="V35" s="54">
        <v>29390.580999999998</v>
      </c>
      <c r="W35" s="54">
        <v>3886</v>
      </c>
      <c r="X35" s="55">
        <v>16.146717462452902</v>
      </c>
      <c r="Y35" s="55">
        <v>34.7288541726261</v>
      </c>
      <c r="Z35" s="55">
        <v>74.549958642548702</v>
      </c>
      <c r="AA35" s="55">
        <v>107.17245752539</v>
      </c>
      <c r="AB35" s="54">
        <v>546428.12899999996</v>
      </c>
      <c r="AC35" s="54">
        <v>4692.442</v>
      </c>
      <c r="AD35" s="54">
        <v>0</v>
      </c>
      <c r="AE35" s="54">
        <v>85973.854000000007</v>
      </c>
      <c r="AF35" s="54">
        <v>0</v>
      </c>
      <c r="AG35" s="54">
        <v>199867.04399999999</v>
      </c>
      <c r="AH35" s="54">
        <v>272988.315</v>
      </c>
      <c r="AI35" s="54">
        <v>0</v>
      </c>
      <c r="AJ35" s="54">
        <v>303275.76899999997</v>
      </c>
      <c r="AK35" s="54">
        <v>35792.576000000001</v>
      </c>
      <c r="AL35" s="54">
        <v>42037.216</v>
      </c>
      <c r="AM35" s="54">
        <v>10719.522000000001</v>
      </c>
      <c r="AN35" s="51" t="s">
        <v>397</v>
      </c>
      <c r="AO35" s="51" t="s">
        <v>398</v>
      </c>
      <c r="AP35" s="54">
        <v>0</v>
      </c>
      <c r="AQ35" s="54">
        <v>173686.30900000001</v>
      </c>
      <c r="AR35" s="54">
        <v>216160.47899999999</v>
      </c>
      <c r="AS35" s="54">
        <v>3012.8069999999998</v>
      </c>
      <c r="AT35" s="54">
        <v>13267.007</v>
      </c>
      <c r="AU35" s="54">
        <v>10719.522000000001</v>
      </c>
      <c r="AV35" s="54">
        <v>328100.03899999999</v>
      </c>
      <c r="AW35" s="54">
        <v>5335.9530000000004</v>
      </c>
      <c r="AX35" s="54">
        <v>1570.9349999999999</v>
      </c>
      <c r="AY35" s="54">
        <v>42673.434999999998</v>
      </c>
    </row>
    <row r="36" spans="1:51" customFormat="1" ht="31.15" customHeight="1" x14ac:dyDescent="0.25">
      <c r="A36" s="56" t="s">
        <v>430</v>
      </c>
      <c r="B36" s="57" t="s">
        <v>431</v>
      </c>
      <c r="C36" s="56" t="s">
        <v>432</v>
      </c>
      <c r="D36" s="58">
        <v>45291</v>
      </c>
      <c r="E36" s="56" t="s">
        <v>253</v>
      </c>
      <c r="F36" s="59">
        <v>1564045.7350000001</v>
      </c>
      <c r="G36" s="59">
        <v>1350867.324</v>
      </c>
      <c r="H36" s="59">
        <v>0</v>
      </c>
      <c r="I36" s="59">
        <v>1378249.754</v>
      </c>
      <c r="J36" s="59">
        <v>-7694.86</v>
      </c>
      <c r="K36" s="59">
        <v>83039.305999999997</v>
      </c>
      <c r="L36" s="59">
        <v>13368.226000000001</v>
      </c>
      <c r="M36" s="59">
        <v>13054.62</v>
      </c>
      <c r="N36" s="59">
        <v>26698.633999999998</v>
      </c>
      <c r="O36" s="59">
        <v>15532.584999999999</v>
      </c>
      <c r="P36" s="59">
        <v>0</v>
      </c>
      <c r="Q36" s="59">
        <v>5943.6329999999998</v>
      </c>
      <c r="R36" s="59">
        <v>121.44</v>
      </c>
      <c r="S36" s="59">
        <v>-2886.7779999999998</v>
      </c>
      <c r="T36" s="59">
        <v>0</v>
      </c>
      <c r="U36" s="59">
        <v>3492.4780000000001</v>
      </c>
      <c r="V36" s="59">
        <v>29596.021000000001</v>
      </c>
      <c r="W36" s="59">
        <v>184</v>
      </c>
      <c r="X36" s="60">
        <v>6.9279277252625597</v>
      </c>
      <c r="Y36" s="60">
        <v>13.729253222728801</v>
      </c>
      <c r="Z36" s="60">
        <v>51.263530499609601</v>
      </c>
      <c r="AA36" s="60">
        <v>10.3382382692881</v>
      </c>
      <c r="AB36" s="59">
        <v>763451.31200000003</v>
      </c>
      <c r="AC36" s="59">
        <v>66814.361999999994</v>
      </c>
      <c r="AD36" s="59">
        <v>0</v>
      </c>
      <c r="AE36" s="59">
        <v>59928.235999999997</v>
      </c>
      <c r="AF36" s="59">
        <v>0</v>
      </c>
      <c r="AG36" s="59">
        <v>351566.40100000001</v>
      </c>
      <c r="AH36" s="59">
        <v>239529.715</v>
      </c>
      <c r="AI36" s="59">
        <v>0</v>
      </c>
      <c r="AJ36" s="59">
        <v>321854.75900000002</v>
      </c>
      <c r="AK36" s="59">
        <v>99112.703999999998</v>
      </c>
      <c r="AL36" s="59">
        <v>29445.076000000001</v>
      </c>
      <c r="AM36" s="59">
        <v>0</v>
      </c>
      <c r="AN36" s="56" t="s">
        <v>355</v>
      </c>
      <c r="AO36" s="56" t="s">
        <v>356</v>
      </c>
      <c r="AP36" s="59">
        <v>9417.6869999999999</v>
      </c>
      <c r="AQ36" s="59">
        <v>17383.145</v>
      </c>
      <c r="AR36" s="59">
        <v>284437.12800000003</v>
      </c>
      <c r="AS36" s="59">
        <v>167080.85999999999</v>
      </c>
      <c r="AT36" s="59">
        <v>183491.30900000001</v>
      </c>
      <c r="AU36" s="59">
        <v>759.91399999999999</v>
      </c>
      <c r="AV36" s="59">
        <v>399198.74300000002</v>
      </c>
      <c r="AW36" s="59">
        <v>1221.55</v>
      </c>
      <c r="AX36" s="59">
        <v>11507.957</v>
      </c>
      <c r="AY36" s="59">
        <v>46571.726000000002</v>
      </c>
    </row>
    <row r="37" spans="1:51" customFormat="1" ht="18" customHeight="1" x14ac:dyDescent="0.25">
      <c r="A37" s="51" t="s">
        <v>433</v>
      </c>
      <c r="B37" s="52" t="s">
        <v>434</v>
      </c>
      <c r="C37" s="51" t="s">
        <v>435</v>
      </c>
      <c r="D37" s="53">
        <v>45291</v>
      </c>
      <c r="E37" s="51" t="s">
        <v>253</v>
      </c>
      <c r="F37" s="54">
        <v>1359569.0160000001</v>
      </c>
      <c r="G37" s="54">
        <v>1348522.469</v>
      </c>
      <c r="H37" s="54">
        <v>0</v>
      </c>
      <c r="I37" s="54">
        <v>985872.35100000002</v>
      </c>
      <c r="J37" s="54">
        <v>-9340.9740000000002</v>
      </c>
      <c r="K37" s="54">
        <v>69962.486999999994</v>
      </c>
      <c r="L37" s="54">
        <v>180407.79300000001</v>
      </c>
      <c r="M37" s="54">
        <v>7129.9620000000004</v>
      </c>
      <c r="N37" s="54">
        <v>6352.1469999999999</v>
      </c>
      <c r="O37" s="54">
        <v>43541.771999999997</v>
      </c>
      <c r="P37" s="54">
        <v>0</v>
      </c>
      <c r="Q37" s="54">
        <v>12141.358</v>
      </c>
      <c r="R37" s="54">
        <v>3650.0619999999999</v>
      </c>
      <c r="S37" s="54">
        <v>-3283.328</v>
      </c>
      <c r="T37" s="54">
        <v>0</v>
      </c>
      <c r="U37" s="54">
        <v>15302.644</v>
      </c>
      <c r="V37" s="54">
        <v>48566.21</v>
      </c>
      <c r="W37" s="54">
        <v>4689</v>
      </c>
      <c r="X37" s="55">
        <v>9.2359722733021208</v>
      </c>
      <c r="Y37" s="55">
        <v>16.027265686400199</v>
      </c>
      <c r="Z37" s="55">
        <v>26.588238212978599</v>
      </c>
      <c r="AA37" s="55">
        <v>33.033245569050401</v>
      </c>
      <c r="AB37" s="54">
        <v>1085832.0149999999</v>
      </c>
      <c r="AC37" s="54">
        <v>25149.3</v>
      </c>
      <c r="AD37" s="54">
        <v>0</v>
      </c>
      <c r="AE37" s="54">
        <v>109526.75199999999</v>
      </c>
      <c r="AF37" s="54">
        <v>0</v>
      </c>
      <c r="AG37" s="54">
        <v>852090.40800000005</v>
      </c>
      <c r="AH37" s="54">
        <v>147440.32399999999</v>
      </c>
      <c r="AI37" s="54">
        <v>0</v>
      </c>
      <c r="AJ37" s="54">
        <v>202002.359</v>
      </c>
      <c r="AK37" s="54">
        <v>6.9029999999999996</v>
      </c>
      <c r="AL37" s="54">
        <v>64561.188999999998</v>
      </c>
      <c r="AM37" s="54">
        <v>0</v>
      </c>
      <c r="AN37" s="51" t="s">
        <v>325</v>
      </c>
      <c r="AO37" s="51" t="s">
        <v>326</v>
      </c>
      <c r="AP37" s="54">
        <v>0</v>
      </c>
      <c r="AQ37" s="54">
        <v>2132.5770000000002</v>
      </c>
      <c r="AR37" s="54">
        <v>589016.80500000005</v>
      </c>
      <c r="AS37" s="54">
        <v>1972.4179999999999</v>
      </c>
      <c r="AT37" s="54">
        <v>147051.96400000001</v>
      </c>
      <c r="AU37" s="54">
        <v>169382.63200000001</v>
      </c>
      <c r="AV37" s="54">
        <v>202055.505</v>
      </c>
      <c r="AW37" s="54">
        <v>3398.32</v>
      </c>
      <c r="AX37" s="54">
        <v>2187.6779999999999</v>
      </c>
      <c r="AY37" s="54">
        <v>80464.016000000003</v>
      </c>
    </row>
    <row r="38" spans="1:51" customFormat="1" ht="31.15" customHeight="1" x14ac:dyDescent="0.25">
      <c r="A38" s="56" t="s">
        <v>436</v>
      </c>
      <c r="B38" s="57" t="s">
        <v>437</v>
      </c>
      <c r="C38" s="56" t="s">
        <v>438</v>
      </c>
      <c r="D38" s="58">
        <v>45291</v>
      </c>
      <c r="E38" s="56" t="s">
        <v>253</v>
      </c>
      <c r="F38" s="59">
        <v>1346959.486</v>
      </c>
      <c r="G38" s="59">
        <v>1332694.57</v>
      </c>
      <c r="H38" s="59">
        <v>0</v>
      </c>
      <c r="I38" s="59">
        <v>967660.40300000005</v>
      </c>
      <c r="J38" s="59">
        <v>-6973.3230000000003</v>
      </c>
      <c r="K38" s="59">
        <v>119545.523</v>
      </c>
      <c r="L38" s="59">
        <v>119708.526</v>
      </c>
      <c r="M38" s="59">
        <v>6075.3490000000002</v>
      </c>
      <c r="N38" s="59">
        <v>11325.255999999999</v>
      </c>
      <c r="O38" s="59">
        <v>64773.381999999998</v>
      </c>
      <c r="P38" s="59">
        <v>1332.9010000000001</v>
      </c>
      <c r="Q38" s="59">
        <v>499.97699999999998</v>
      </c>
      <c r="R38" s="59">
        <v>-214.43</v>
      </c>
      <c r="S38" s="59">
        <v>0</v>
      </c>
      <c r="T38" s="59">
        <v>0</v>
      </c>
      <c r="U38" s="59">
        <v>16675.342000000001</v>
      </c>
      <c r="V38" s="59">
        <v>46121.72</v>
      </c>
      <c r="W38" s="59">
        <v>4331</v>
      </c>
      <c r="X38" s="60">
        <v>10.948423279491699</v>
      </c>
      <c r="Y38" s="60">
        <v>18.8133058039693</v>
      </c>
      <c r="Z38" s="60">
        <v>26.9545413344837</v>
      </c>
      <c r="AA38" s="60">
        <v>60.721890721684701</v>
      </c>
      <c r="AB38" s="59">
        <v>1001025.59</v>
      </c>
      <c r="AC38" s="59">
        <v>26768.002</v>
      </c>
      <c r="AD38" s="59">
        <v>0</v>
      </c>
      <c r="AE38" s="59">
        <v>107864.50900000001</v>
      </c>
      <c r="AF38" s="59">
        <v>0</v>
      </c>
      <c r="AG38" s="59">
        <v>735437.96</v>
      </c>
      <c r="AH38" s="59">
        <v>138783.93400000001</v>
      </c>
      <c r="AI38" s="59">
        <v>0</v>
      </c>
      <c r="AJ38" s="59">
        <v>238343.875</v>
      </c>
      <c r="AK38" s="59">
        <v>20059.195</v>
      </c>
      <c r="AL38" s="59">
        <v>69357.038</v>
      </c>
      <c r="AM38" s="59">
        <v>0</v>
      </c>
      <c r="AN38" s="56" t="s">
        <v>314</v>
      </c>
      <c r="AO38" s="56" t="s">
        <v>315</v>
      </c>
      <c r="AP38" s="59">
        <v>0</v>
      </c>
      <c r="AQ38" s="59">
        <v>15570.123</v>
      </c>
      <c r="AR38" s="59">
        <v>654412.82499999995</v>
      </c>
      <c r="AS38" s="59">
        <v>78146.778000000006</v>
      </c>
      <c r="AT38" s="59">
        <v>42796.847000000002</v>
      </c>
      <c r="AU38" s="59">
        <v>20663.186000000002</v>
      </c>
      <c r="AV38" s="59">
        <v>248901.05</v>
      </c>
      <c r="AW38" s="59">
        <v>7468.0780000000004</v>
      </c>
      <c r="AX38" s="59">
        <v>12214.284</v>
      </c>
      <c r="AY38" s="59">
        <v>79506.826000000001</v>
      </c>
    </row>
    <row r="39" spans="1:51" customFormat="1" ht="18" customHeight="1" x14ac:dyDescent="0.25">
      <c r="A39" s="56" t="s">
        <v>439</v>
      </c>
      <c r="B39" s="57" t="s">
        <v>440</v>
      </c>
      <c r="C39" s="56" t="s">
        <v>441</v>
      </c>
      <c r="D39" s="58">
        <v>45291</v>
      </c>
      <c r="E39" s="56" t="s">
        <v>253</v>
      </c>
      <c r="F39" s="59">
        <v>1245159.412</v>
      </c>
      <c r="G39" s="59">
        <v>1187345.1200000001</v>
      </c>
      <c r="H39" s="59">
        <v>-1337.248</v>
      </c>
      <c r="I39" s="59">
        <v>914433.67200000002</v>
      </c>
      <c r="J39" s="59">
        <v>-2602.1320000000001</v>
      </c>
      <c r="K39" s="59">
        <v>73961.313999999998</v>
      </c>
      <c r="L39" s="59">
        <v>118415.774</v>
      </c>
      <c r="M39" s="59">
        <v>13862.375</v>
      </c>
      <c r="N39" s="59">
        <v>17666.07</v>
      </c>
      <c r="O39" s="59">
        <v>39613.786</v>
      </c>
      <c r="P39" s="59">
        <v>27.867999999999999</v>
      </c>
      <c r="Q39" s="59">
        <v>0</v>
      </c>
      <c r="R39" s="59">
        <v>3085.8829999999998</v>
      </c>
      <c r="S39" s="59">
        <v>-1128.0340000000001</v>
      </c>
      <c r="T39" s="59">
        <v>0</v>
      </c>
      <c r="U39" s="59">
        <v>19104.7</v>
      </c>
      <c r="V39" s="59">
        <v>52633.834000000003</v>
      </c>
      <c r="W39" s="59">
        <v>3391</v>
      </c>
      <c r="X39" s="60">
        <v>18.345907236890199</v>
      </c>
      <c r="Y39" s="60">
        <v>34.183512988035901</v>
      </c>
      <c r="Z39" s="60">
        <v>74.131541855309905</v>
      </c>
      <c r="AA39" s="60">
        <v>112.671575973499</v>
      </c>
      <c r="AB39" s="59">
        <v>571787.80200000003</v>
      </c>
      <c r="AC39" s="59">
        <v>43966.163</v>
      </c>
      <c r="AD39" s="59">
        <v>0</v>
      </c>
      <c r="AE39" s="59">
        <v>47648.964</v>
      </c>
      <c r="AF39" s="59">
        <v>0</v>
      </c>
      <c r="AG39" s="59">
        <v>366390.40299999999</v>
      </c>
      <c r="AH39" s="59">
        <v>132115.40599999999</v>
      </c>
      <c r="AI39" s="59">
        <v>0</v>
      </c>
      <c r="AJ39" s="59">
        <v>183048.736</v>
      </c>
      <c r="AK39" s="59">
        <v>29565.684000000001</v>
      </c>
      <c r="AL39" s="59">
        <v>86302.312000000005</v>
      </c>
      <c r="AM39" s="59">
        <v>15302.138000000001</v>
      </c>
      <c r="AN39" s="56" t="s">
        <v>442</v>
      </c>
      <c r="AO39" s="56" t="s">
        <v>443</v>
      </c>
      <c r="AP39" s="59">
        <v>0</v>
      </c>
      <c r="AQ39" s="59">
        <v>19237.944</v>
      </c>
      <c r="AR39" s="59">
        <v>270890.69500000001</v>
      </c>
      <c r="AS39" s="59">
        <v>27382.027999999998</v>
      </c>
      <c r="AT39" s="59">
        <v>66447.805999999997</v>
      </c>
      <c r="AU39" s="59">
        <v>47446.517</v>
      </c>
      <c r="AV39" s="59">
        <v>199345.77</v>
      </c>
      <c r="AW39" s="59">
        <v>3156.01</v>
      </c>
      <c r="AX39" s="59">
        <v>6431.5360000000001</v>
      </c>
      <c r="AY39" s="59">
        <v>51438.218999999997</v>
      </c>
    </row>
    <row r="40" spans="1:51" customFormat="1" ht="58.9" customHeight="1" x14ac:dyDescent="0.25">
      <c r="A40" s="51" t="s">
        <v>444</v>
      </c>
      <c r="B40" s="52" t="s">
        <v>445</v>
      </c>
      <c r="C40" s="51" t="s">
        <v>446</v>
      </c>
      <c r="D40" s="53">
        <v>45291</v>
      </c>
      <c r="E40" s="51" t="s">
        <v>253</v>
      </c>
      <c r="F40" s="54">
        <v>1265540.0930000001</v>
      </c>
      <c r="G40" s="54">
        <v>1282848.899</v>
      </c>
      <c r="H40" s="54">
        <v>-27752.793000000001</v>
      </c>
      <c r="I40" s="54">
        <v>1125735.192</v>
      </c>
      <c r="J40" s="54">
        <v>-29196.920999999998</v>
      </c>
      <c r="K40" s="54">
        <v>111534.79399999999</v>
      </c>
      <c r="L40" s="54">
        <v>11136.28</v>
      </c>
      <c r="M40" s="54">
        <v>5232.5429999999997</v>
      </c>
      <c r="N40" s="54">
        <v>1503.7619999999999</v>
      </c>
      <c r="O40" s="54">
        <v>10167.356</v>
      </c>
      <c r="P40" s="54">
        <v>1030.48</v>
      </c>
      <c r="Q40" s="54">
        <v>0</v>
      </c>
      <c r="R40" s="54">
        <v>-12158.069</v>
      </c>
      <c r="S40" s="54">
        <v>26337.657999999999</v>
      </c>
      <c r="T40" s="54">
        <v>0</v>
      </c>
      <c r="U40" s="54">
        <v>2673.866</v>
      </c>
      <c r="V40" s="54">
        <v>39902.33</v>
      </c>
      <c r="W40" s="54">
        <v>157</v>
      </c>
      <c r="X40" s="55">
        <v>6.4799422360861803</v>
      </c>
      <c r="Y40" s="55">
        <v>34.3282169790049</v>
      </c>
      <c r="Z40" s="55">
        <v>80.314320859860999</v>
      </c>
      <c r="AA40" s="55">
        <v>-227.27617858220799</v>
      </c>
      <c r="AB40" s="54">
        <v>396588.78899999999</v>
      </c>
      <c r="AC40" s="54">
        <v>36172.231</v>
      </c>
      <c r="AD40" s="54">
        <v>0</v>
      </c>
      <c r="AE40" s="54">
        <v>169743.37700000001</v>
      </c>
      <c r="AF40" s="54">
        <v>0</v>
      </c>
      <c r="AG40" s="54">
        <v>92316.115000000005</v>
      </c>
      <c r="AH40" s="54">
        <v>41651.923999999999</v>
      </c>
      <c r="AI40" s="54">
        <v>0</v>
      </c>
      <c r="AJ40" s="54">
        <v>250048.50700000001</v>
      </c>
      <c r="AK40" s="54">
        <v>37735.726999999999</v>
      </c>
      <c r="AL40" s="54">
        <v>20.077000000000002</v>
      </c>
      <c r="AM40" s="54">
        <v>0</v>
      </c>
      <c r="AN40" s="51" t="s">
        <v>447</v>
      </c>
      <c r="AO40" s="51" t="s">
        <v>448</v>
      </c>
      <c r="AP40" s="54">
        <v>0</v>
      </c>
      <c r="AQ40" s="54">
        <v>342.61200000000002</v>
      </c>
      <c r="AR40" s="54">
        <v>78120.929000000004</v>
      </c>
      <c r="AS40" s="54">
        <v>2950.0050000000001</v>
      </c>
      <c r="AT40" s="54">
        <v>55109.171000000002</v>
      </c>
      <c r="AU40" s="54">
        <v>89482.192999999999</v>
      </c>
      <c r="AV40" s="54">
        <v>250048.50700000001</v>
      </c>
      <c r="AW40" s="54">
        <v>0</v>
      </c>
      <c r="AX40" s="54">
        <v>820.42499999999995</v>
      </c>
      <c r="AY40" s="54">
        <v>-30299.435000000001</v>
      </c>
    </row>
    <row r="41" spans="1:51" customFormat="1" ht="45.6" customHeight="1" x14ac:dyDescent="0.25">
      <c r="A41" s="56" t="s">
        <v>449</v>
      </c>
      <c r="B41" s="57" t="s">
        <v>450</v>
      </c>
      <c r="C41" s="56" t="s">
        <v>451</v>
      </c>
      <c r="D41" s="58">
        <v>45291</v>
      </c>
      <c r="E41" s="56" t="s">
        <v>253</v>
      </c>
      <c r="F41" s="59">
        <v>1326233.537</v>
      </c>
      <c r="G41" s="59">
        <v>1273920.7</v>
      </c>
      <c r="H41" s="59">
        <v>-3543.748</v>
      </c>
      <c r="I41" s="59">
        <v>734969.929</v>
      </c>
      <c r="J41" s="59">
        <v>4586.2430000000004</v>
      </c>
      <c r="K41" s="59">
        <v>243057.77</v>
      </c>
      <c r="L41" s="59">
        <v>153016.32800000001</v>
      </c>
      <c r="M41" s="59">
        <v>7187.2889999999998</v>
      </c>
      <c r="N41" s="59">
        <v>23101.190999999999</v>
      </c>
      <c r="O41" s="59">
        <v>34040.175000000003</v>
      </c>
      <c r="P41" s="59">
        <v>0</v>
      </c>
      <c r="Q41" s="59">
        <v>0</v>
      </c>
      <c r="R41" s="59">
        <v>133641.07500000001</v>
      </c>
      <c r="S41" s="59">
        <v>1561.4880000000001</v>
      </c>
      <c r="T41" s="59">
        <v>0</v>
      </c>
      <c r="U41" s="59">
        <v>41257.902999999998</v>
      </c>
      <c r="V41" s="59">
        <v>220219.272</v>
      </c>
      <c r="W41" s="59">
        <v>2001</v>
      </c>
      <c r="X41" s="60">
        <v>10.9662208162993</v>
      </c>
      <c r="Y41" s="60">
        <v>36.0302046941976</v>
      </c>
      <c r="Z41" s="60">
        <v>35.806324433474401</v>
      </c>
      <c r="AA41" s="60">
        <v>55.377520239520202</v>
      </c>
      <c r="AB41" s="59">
        <v>1780839.7279999999</v>
      </c>
      <c r="AC41" s="59">
        <v>250773.79300000001</v>
      </c>
      <c r="AD41" s="59">
        <v>0</v>
      </c>
      <c r="AE41" s="59">
        <v>83872.938999999998</v>
      </c>
      <c r="AF41" s="59">
        <v>1800</v>
      </c>
      <c r="AG41" s="59">
        <v>987779.91599999997</v>
      </c>
      <c r="AH41" s="59">
        <v>167899.9</v>
      </c>
      <c r="AI41" s="59">
        <v>0</v>
      </c>
      <c r="AJ41" s="59">
        <v>755545.31799999997</v>
      </c>
      <c r="AK41" s="59">
        <v>0</v>
      </c>
      <c r="AL41" s="59">
        <v>510.08699999999999</v>
      </c>
      <c r="AM41" s="59">
        <v>88547.578999999998</v>
      </c>
      <c r="AN41" s="56" t="s">
        <v>452</v>
      </c>
      <c r="AO41" s="56" t="s">
        <v>453</v>
      </c>
      <c r="AP41" s="59">
        <v>0</v>
      </c>
      <c r="AQ41" s="59">
        <v>35461.173999999999</v>
      </c>
      <c r="AR41" s="59">
        <v>274243.81400000001</v>
      </c>
      <c r="AS41" s="59">
        <v>1011321.702</v>
      </c>
      <c r="AT41" s="59">
        <v>280872.91800000001</v>
      </c>
      <c r="AU41" s="59">
        <v>91081.567999999999</v>
      </c>
      <c r="AV41" s="59">
        <v>755545.31799999997</v>
      </c>
      <c r="AW41" s="59">
        <v>6298.201</v>
      </c>
      <c r="AX41" s="59">
        <v>1675.5260000000001</v>
      </c>
      <c r="AY41" s="59">
        <v>103177.594</v>
      </c>
    </row>
    <row r="42" spans="1:51" customFormat="1" ht="45.6" customHeight="1" x14ac:dyDescent="0.25">
      <c r="A42" s="51" t="s">
        <v>454</v>
      </c>
      <c r="B42" s="52" t="s">
        <v>455</v>
      </c>
      <c r="C42" s="51" t="s">
        <v>456</v>
      </c>
      <c r="D42" s="53">
        <v>45291</v>
      </c>
      <c r="E42" s="51" t="s">
        <v>253</v>
      </c>
      <c r="F42" s="54">
        <v>1343058.9939999999</v>
      </c>
      <c r="G42" s="54">
        <v>1194099.321</v>
      </c>
      <c r="H42" s="54">
        <v>0</v>
      </c>
      <c r="I42" s="54">
        <v>1197196.2579999999</v>
      </c>
      <c r="J42" s="54">
        <v>-2298.5729999999999</v>
      </c>
      <c r="K42" s="54">
        <v>84016.370999999999</v>
      </c>
      <c r="L42" s="54">
        <v>12657.291999999999</v>
      </c>
      <c r="M42" s="54">
        <v>3211.8649999999998</v>
      </c>
      <c r="N42" s="54">
        <v>5701.3010000000004</v>
      </c>
      <c r="O42" s="54">
        <v>4479.6559999999999</v>
      </c>
      <c r="P42" s="54">
        <v>0</v>
      </c>
      <c r="Q42" s="54">
        <v>685.428</v>
      </c>
      <c r="R42" s="54">
        <v>4375.7160000000003</v>
      </c>
      <c r="S42" s="54">
        <v>-1000</v>
      </c>
      <c r="T42" s="54">
        <v>0</v>
      </c>
      <c r="U42" s="54">
        <v>5739.1850000000004</v>
      </c>
      <c r="V42" s="54">
        <v>35045.927000000003</v>
      </c>
      <c r="W42" s="54">
        <v>339</v>
      </c>
      <c r="X42" s="55">
        <v>7.8274910793921002</v>
      </c>
      <c r="Y42" s="55">
        <v>15.955451189612701</v>
      </c>
      <c r="Z42" s="55">
        <v>50.133545505434398</v>
      </c>
      <c r="AA42" s="55">
        <v>87.235372078716793</v>
      </c>
      <c r="AB42" s="54">
        <v>575588.23699999996</v>
      </c>
      <c r="AC42" s="54">
        <v>102629.32399999999</v>
      </c>
      <c r="AD42" s="54">
        <v>0</v>
      </c>
      <c r="AE42" s="54">
        <v>47991.614999999998</v>
      </c>
      <c r="AF42" s="54">
        <v>0</v>
      </c>
      <c r="AG42" s="54">
        <v>285871.76500000001</v>
      </c>
      <c r="AH42" s="54">
        <v>179243.53200000001</v>
      </c>
      <c r="AI42" s="54">
        <v>0</v>
      </c>
      <c r="AJ42" s="54">
        <v>198316.522</v>
      </c>
      <c r="AK42" s="54">
        <v>91387.614000000001</v>
      </c>
      <c r="AL42" s="54">
        <v>1668.0630000000001</v>
      </c>
      <c r="AM42" s="54">
        <v>126638.43799999999</v>
      </c>
      <c r="AN42" s="51" t="s">
        <v>342</v>
      </c>
      <c r="AO42" s="51" t="s">
        <v>343</v>
      </c>
      <c r="AP42" s="54">
        <v>443.26600000000002</v>
      </c>
      <c r="AQ42" s="54">
        <v>3690.623</v>
      </c>
      <c r="AR42" s="54">
        <v>7023.0069999999996</v>
      </c>
      <c r="AS42" s="54">
        <v>213337.68799999999</v>
      </c>
      <c r="AT42" s="54">
        <v>172521.147</v>
      </c>
      <c r="AU42" s="54">
        <v>126638.43799999999</v>
      </c>
      <c r="AV42" s="54">
        <v>283926.788</v>
      </c>
      <c r="AW42" s="54">
        <v>723.78800000000001</v>
      </c>
      <c r="AX42" s="54">
        <v>2274.39</v>
      </c>
      <c r="AY42" s="54">
        <v>22372.402999999998</v>
      </c>
    </row>
    <row r="43" spans="1:51" customFormat="1" ht="31.15" customHeight="1" x14ac:dyDescent="0.25">
      <c r="A43" s="56" t="s">
        <v>457</v>
      </c>
      <c r="B43" s="57" t="s">
        <v>458</v>
      </c>
      <c r="C43" s="56" t="s">
        <v>459</v>
      </c>
      <c r="D43" s="58">
        <v>45291</v>
      </c>
      <c r="E43" s="56" t="s">
        <v>253</v>
      </c>
      <c r="F43" s="59">
        <v>1207872</v>
      </c>
      <c r="G43" s="59">
        <v>1172535</v>
      </c>
      <c r="H43" s="59">
        <v>27463</v>
      </c>
      <c r="I43" s="59">
        <v>846101</v>
      </c>
      <c r="J43" s="59">
        <v>1457</v>
      </c>
      <c r="K43" s="59">
        <v>200625</v>
      </c>
      <c r="L43" s="59">
        <v>88883</v>
      </c>
      <c r="M43" s="59">
        <v>7183</v>
      </c>
      <c r="N43" s="59">
        <v>6485</v>
      </c>
      <c r="O43" s="59">
        <v>43638</v>
      </c>
      <c r="P43" s="59">
        <v>0</v>
      </c>
      <c r="Q43" s="59">
        <v>156</v>
      </c>
      <c r="R43" s="59">
        <v>-10685</v>
      </c>
      <c r="S43" s="59">
        <v>0</v>
      </c>
      <c r="T43" s="59">
        <v>0</v>
      </c>
      <c r="U43" s="59">
        <v>-5053</v>
      </c>
      <c r="V43" s="59">
        <v>7712</v>
      </c>
      <c r="W43" s="59">
        <v>1272</v>
      </c>
      <c r="X43" s="60">
        <v>10.524232126950601</v>
      </c>
      <c r="Y43" s="60">
        <v>26.383167234700299</v>
      </c>
      <c r="Z43" s="60">
        <v>23.2007708092762</v>
      </c>
      <c r="AA43" s="60">
        <v>11.4322590738423</v>
      </c>
      <c r="AB43" s="59">
        <v>1339820</v>
      </c>
      <c r="AC43" s="59">
        <v>56970</v>
      </c>
      <c r="AD43" s="59">
        <v>0</v>
      </c>
      <c r="AE43" s="59">
        <v>124596</v>
      </c>
      <c r="AF43" s="59">
        <v>0</v>
      </c>
      <c r="AG43" s="59">
        <v>350640</v>
      </c>
      <c r="AH43" s="59">
        <v>315328</v>
      </c>
      <c r="AI43" s="59">
        <v>0</v>
      </c>
      <c r="AJ43" s="59">
        <v>640885</v>
      </c>
      <c r="AK43" s="59">
        <v>497433</v>
      </c>
      <c r="AL43" s="59">
        <v>130704</v>
      </c>
      <c r="AM43" s="59">
        <v>0</v>
      </c>
      <c r="AN43" s="56" t="s">
        <v>460</v>
      </c>
      <c r="AO43" s="56" t="s">
        <v>461</v>
      </c>
      <c r="AP43" s="59">
        <v>0</v>
      </c>
      <c r="AQ43" s="59">
        <v>113182</v>
      </c>
      <c r="AR43" s="59">
        <v>353587</v>
      </c>
      <c r="AS43" s="59">
        <v>214002</v>
      </c>
      <c r="AT43" s="59">
        <v>403749</v>
      </c>
      <c r="AU43" s="59">
        <v>0</v>
      </c>
      <c r="AV43" s="59">
        <v>961452</v>
      </c>
      <c r="AW43" s="59">
        <v>9167</v>
      </c>
      <c r="AX43" s="59">
        <v>0</v>
      </c>
      <c r="AY43" s="59">
        <v>51136</v>
      </c>
    </row>
    <row r="44" spans="1:51" customFormat="1" ht="45.6" customHeight="1" x14ac:dyDescent="0.25">
      <c r="A44" s="51" t="s">
        <v>462</v>
      </c>
      <c r="B44" s="52" t="s">
        <v>463</v>
      </c>
      <c r="C44" s="51" t="s">
        <v>464</v>
      </c>
      <c r="D44" s="53">
        <v>45291</v>
      </c>
      <c r="E44" s="51" t="s">
        <v>253</v>
      </c>
      <c r="F44" s="54">
        <v>1254224.341</v>
      </c>
      <c r="G44" s="54">
        <v>1217410.9140000001</v>
      </c>
      <c r="H44" s="54">
        <v>0</v>
      </c>
      <c r="I44" s="54">
        <v>941080.01199999999</v>
      </c>
      <c r="J44" s="54">
        <v>4624.0060000000003</v>
      </c>
      <c r="K44" s="54">
        <v>88203.79</v>
      </c>
      <c r="L44" s="54">
        <v>82299.152000000002</v>
      </c>
      <c r="M44" s="54">
        <v>5095.5529999999999</v>
      </c>
      <c r="N44" s="54">
        <v>6459.0590000000002</v>
      </c>
      <c r="O44" s="54">
        <v>23981.518</v>
      </c>
      <c r="P44" s="54">
        <v>0</v>
      </c>
      <c r="Q44" s="54">
        <v>0</v>
      </c>
      <c r="R44" s="54">
        <v>6669.277</v>
      </c>
      <c r="S44" s="54">
        <v>0</v>
      </c>
      <c r="T44" s="54">
        <v>-1E-3</v>
      </c>
      <c r="U44" s="54">
        <v>29306.824000000001</v>
      </c>
      <c r="V44" s="54">
        <v>79843.702999999994</v>
      </c>
      <c r="W44" s="54">
        <v>2234</v>
      </c>
      <c r="X44" s="55">
        <v>8.3903234748255802</v>
      </c>
      <c r="Y44" s="55">
        <v>22.673299419021401</v>
      </c>
      <c r="Z44" s="55">
        <v>41.3850811284223</v>
      </c>
      <c r="AA44" s="55">
        <v>49.249232960594902</v>
      </c>
      <c r="AB44" s="54">
        <v>724917.21699999995</v>
      </c>
      <c r="AC44" s="54">
        <v>33604.892999999996</v>
      </c>
      <c r="AD44" s="54">
        <v>0</v>
      </c>
      <c r="AE44" s="54">
        <v>44644.786999999997</v>
      </c>
      <c r="AF44" s="54">
        <v>0</v>
      </c>
      <c r="AG44" s="54">
        <v>536911.76399999997</v>
      </c>
      <c r="AH44" s="54">
        <v>156760.52900000001</v>
      </c>
      <c r="AI44" s="54">
        <v>945.75</v>
      </c>
      <c r="AJ44" s="54">
        <v>182132.57800000001</v>
      </c>
      <c r="AK44" s="54">
        <v>503.21100000000001</v>
      </c>
      <c r="AL44" s="54">
        <v>147600.42600000001</v>
      </c>
      <c r="AM44" s="54">
        <v>0</v>
      </c>
      <c r="AN44" s="51" t="s">
        <v>309</v>
      </c>
      <c r="AO44" s="51" t="s">
        <v>310</v>
      </c>
      <c r="AP44" s="54">
        <v>0</v>
      </c>
      <c r="AQ44" s="54">
        <v>10782.262000000001</v>
      </c>
      <c r="AR44" s="54">
        <v>336560.52500000002</v>
      </c>
      <c r="AS44" s="54">
        <v>15977.814</v>
      </c>
      <c r="AT44" s="54">
        <v>47643.421999999999</v>
      </c>
      <c r="AU44" s="54">
        <v>120000</v>
      </c>
      <c r="AV44" s="54">
        <v>183078.32800000001</v>
      </c>
      <c r="AW44" s="54">
        <v>2483.1030000000001</v>
      </c>
      <c r="AX44" s="54">
        <v>1707.981</v>
      </c>
      <c r="AY44" s="54">
        <v>84732.608999999997</v>
      </c>
    </row>
    <row r="45" spans="1:51" customFormat="1" ht="31.15" customHeight="1" x14ac:dyDescent="0.25">
      <c r="A45" s="56" t="s">
        <v>465</v>
      </c>
      <c r="B45" s="57" t="s">
        <v>466</v>
      </c>
      <c r="C45" s="56" t="s">
        <v>467</v>
      </c>
      <c r="D45" s="58">
        <v>45291</v>
      </c>
      <c r="E45" s="56" t="s">
        <v>253</v>
      </c>
      <c r="F45" s="59">
        <v>1126705.2660000001</v>
      </c>
      <c r="G45" s="59">
        <v>1096056.517</v>
      </c>
      <c r="H45" s="59">
        <v>0</v>
      </c>
      <c r="I45" s="59">
        <v>825959.50899999996</v>
      </c>
      <c r="J45" s="59">
        <v>-12104.306</v>
      </c>
      <c r="K45" s="59">
        <v>96159.387000000002</v>
      </c>
      <c r="L45" s="59">
        <v>105581.80499999999</v>
      </c>
      <c r="M45" s="59">
        <v>5161.9799999999996</v>
      </c>
      <c r="N45" s="59">
        <v>22171.69</v>
      </c>
      <c r="O45" s="59">
        <v>33140.959999999999</v>
      </c>
      <c r="P45" s="59">
        <v>5220.9669999999996</v>
      </c>
      <c r="Q45" s="59">
        <v>0</v>
      </c>
      <c r="R45" s="59">
        <v>1116.856</v>
      </c>
      <c r="S45" s="59">
        <v>0</v>
      </c>
      <c r="T45" s="59">
        <v>-2E-3</v>
      </c>
      <c r="U45" s="59">
        <v>12302.153</v>
      </c>
      <c r="V45" s="59">
        <v>34227.974999999999</v>
      </c>
      <c r="W45" s="59">
        <v>1893</v>
      </c>
      <c r="X45" s="60">
        <v>23.3458773335948</v>
      </c>
      <c r="Y45" s="60">
        <v>34.653309789695399</v>
      </c>
      <c r="Z45" s="60">
        <v>53.245625457273398</v>
      </c>
      <c r="AA45" s="60">
        <v>46.346380547931197</v>
      </c>
      <c r="AB45" s="59">
        <v>570446.41700000002</v>
      </c>
      <c r="AC45" s="59">
        <v>54507.951000000001</v>
      </c>
      <c r="AD45" s="59">
        <v>0</v>
      </c>
      <c r="AE45" s="59">
        <v>73290.508000000002</v>
      </c>
      <c r="AF45" s="59">
        <v>0</v>
      </c>
      <c r="AG45" s="59">
        <v>342161.29499999998</v>
      </c>
      <c r="AH45" s="59">
        <v>160887.86300000001</v>
      </c>
      <c r="AI45" s="59">
        <v>0</v>
      </c>
      <c r="AJ45" s="59">
        <v>195831.61900000001</v>
      </c>
      <c r="AK45" s="59">
        <v>15378.744000000001</v>
      </c>
      <c r="AL45" s="59">
        <v>46208.673999999999</v>
      </c>
      <c r="AM45" s="59">
        <v>0</v>
      </c>
      <c r="AN45" s="56" t="s">
        <v>314</v>
      </c>
      <c r="AO45" s="56" t="s">
        <v>315</v>
      </c>
      <c r="AP45" s="59">
        <v>0</v>
      </c>
      <c r="AQ45" s="59">
        <v>27666.942999999999</v>
      </c>
      <c r="AR45" s="59">
        <v>346078.55</v>
      </c>
      <c r="AS45" s="59">
        <v>10893.322</v>
      </c>
      <c r="AT45" s="59">
        <v>63723.892</v>
      </c>
      <c r="AU45" s="59">
        <v>0</v>
      </c>
      <c r="AV45" s="59">
        <v>209156.52600000001</v>
      </c>
      <c r="AW45" s="59">
        <v>3365.0479999999998</v>
      </c>
      <c r="AX45" s="59">
        <v>2584.5279999999998</v>
      </c>
      <c r="AY45" s="59">
        <v>53676.923000000003</v>
      </c>
    </row>
    <row r="46" spans="1:51" customFormat="1" ht="45.6" customHeight="1" x14ac:dyDescent="0.25">
      <c r="A46" s="51" t="s">
        <v>468</v>
      </c>
      <c r="B46" s="52" t="s">
        <v>469</v>
      </c>
      <c r="C46" s="51" t="s">
        <v>470</v>
      </c>
      <c r="D46" s="53">
        <v>45291</v>
      </c>
      <c r="E46" s="51" t="s">
        <v>253</v>
      </c>
      <c r="F46" s="54">
        <v>1156770.5730000001</v>
      </c>
      <c r="G46" s="54">
        <v>1127709.9890000001</v>
      </c>
      <c r="H46" s="54">
        <v>0</v>
      </c>
      <c r="I46" s="54">
        <v>862259.70200000005</v>
      </c>
      <c r="J46" s="54">
        <v>13356.626</v>
      </c>
      <c r="K46" s="54">
        <v>76483.762000000002</v>
      </c>
      <c r="L46" s="54">
        <v>92266.858999999997</v>
      </c>
      <c r="M46" s="54">
        <v>15269.987999999999</v>
      </c>
      <c r="N46" s="54">
        <v>25364.84</v>
      </c>
      <c r="O46" s="54">
        <v>21794.744999999999</v>
      </c>
      <c r="P46" s="54">
        <v>0</v>
      </c>
      <c r="Q46" s="54">
        <v>0</v>
      </c>
      <c r="R46" s="54">
        <v>-3266.828</v>
      </c>
      <c r="S46" s="54">
        <v>0</v>
      </c>
      <c r="T46" s="54">
        <v>0</v>
      </c>
      <c r="U46" s="54">
        <v>11665.31</v>
      </c>
      <c r="V46" s="54">
        <v>35041.913</v>
      </c>
      <c r="W46" s="54">
        <v>2300</v>
      </c>
      <c r="X46" s="55">
        <v>9.4047347898902007</v>
      </c>
      <c r="Y46" s="55">
        <v>19.781423261173401</v>
      </c>
      <c r="Z46" s="55">
        <v>55.698937016723299</v>
      </c>
      <c r="AA46" s="55">
        <v>124.05520373272201</v>
      </c>
      <c r="AB46" s="54">
        <v>588159.66700000002</v>
      </c>
      <c r="AC46" s="54">
        <v>49929.887999999999</v>
      </c>
      <c r="AD46" s="54">
        <v>0</v>
      </c>
      <c r="AE46" s="54">
        <v>86394.53</v>
      </c>
      <c r="AF46" s="54">
        <v>0</v>
      </c>
      <c r="AG46" s="54">
        <v>224409.348</v>
      </c>
      <c r="AH46" s="54">
        <v>183860.98499999999</v>
      </c>
      <c r="AI46" s="54">
        <v>0</v>
      </c>
      <c r="AJ46" s="54">
        <v>251302.03099999999</v>
      </c>
      <c r="AK46" s="54">
        <v>111246.333</v>
      </c>
      <c r="AL46" s="54">
        <v>78201.967000000004</v>
      </c>
      <c r="AM46" s="54">
        <v>0</v>
      </c>
      <c r="AN46" s="51" t="s">
        <v>309</v>
      </c>
      <c r="AO46" s="51" t="s">
        <v>310</v>
      </c>
      <c r="AP46" s="54">
        <v>0</v>
      </c>
      <c r="AQ46" s="54">
        <v>58311.961000000003</v>
      </c>
      <c r="AR46" s="54">
        <v>257958.68599999999</v>
      </c>
      <c r="AS46" s="54">
        <v>9626.0650000000005</v>
      </c>
      <c r="AT46" s="54">
        <v>78946.94</v>
      </c>
      <c r="AU46" s="54">
        <v>14592.165999999999</v>
      </c>
      <c r="AV46" s="54">
        <v>335755.36800000002</v>
      </c>
      <c r="AW46" s="54">
        <v>24177.080999999998</v>
      </c>
      <c r="AX46" s="54">
        <v>4127.3519999999999</v>
      </c>
      <c r="AY46" s="54">
        <v>32031.746999999999</v>
      </c>
    </row>
    <row r="47" spans="1:51" customFormat="1" ht="18" customHeight="1" x14ac:dyDescent="0.25">
      <c r="A47" s="56" t="s">
        <v>471</v>
      </c>
      <c r="B47" s="57" t="s">
        <v>472</v>
      </c>
      <c r="C47" s="56" t="s">
        <v>473</v>
      </c>
      <c r="D47" s="58">
        <v>45291</v>
      </c>
      <c r="E47" s="56" t="s">
        <v>253</v>
      </c>
      <c r="F47" s="59">
        <v>1549768</v>
      </c>
      <c r="G47" s="59">
        <v>1370312</v>
      </c>
      <c r="H47" s="59">
        <v>0</v>
      </c>
      <c r="I47" s="59">
        <v>1001489</v>
      </c>
      <c r="J47" s="59">
        <v>68463</v>
      </c>
      <c r="K47" s="59">
        <v>137815</v>
      </c>
      <c r="L47" s="59">
        <v>195205</v>
      </c>
      <c r="M47" s="59">
        <v>24302</v>
      </c>
      <c r="N47" s="59">
        <v>14204</v>
      </c>
      <c r="O47" s="59">
        <v>73559</v>
      </c>
      <c r="P47" s="59">
        <v>2900</v>
      </c>
      <c r="Q47" s="59">
        <v>0</v>
      </c>
      <c r="R47" s="59">
        <v>-3367</v>
      </c>
      <c r="S47" s="59">
        <v>2</v>
      </c>
      <c r="T47" s="59">
        <v>2382</v>
      </c>
      <c r="U47" s="59">
        <v>4398</v>
      </c>
      <c r="V47" s="59">
        <v>26450</v>
      </c>
      <c r="W47" s="59">
        <v>6107</v>
      </c>
      <c r="X47" s="60">
        <v>-8.0413303725357199</v>
      </c>
      <c r="Y47" s="60">
        <v>-9.6385176705497901</v>
      </c>
      <c r="Z47" s="60">
        <v>-1.95564682018681</v>
      </c>
      <c r="AA47" s="60">
        <v>28.956867543591301</v>
      </c>
      <c r="AB47" s="59">
        <v>1149207</v>
      </c>
      <c r="AC47" s="59">
        <v>47092</v>
      </c>
      <c r="AD47" s="59">
        <v>0</v>
      </c>
      <c r="AE47" s="59">
        <v>136929</v>
      </c>
      <c r="AF47" s="59">
        <v>0</v>
      </c>
      <c r="AG47" s="59">
        <v>658907</v>
      </c>
      <c r="AH47" s="59">
        <v>208594</v>
      </c>
      <c r="AI47" s="59">
        <v>0</v>
      </c>
      <c r="AJ47" s="59">
        <v>388156</v>
      </c>
      <c r="AK47" s="59">
        <v>108270</v>
      </c>
      <c r="AL47" s="59">
        <v>62436</v>
      </c>
      <c r="AM47" s="59">
        <v>0</v>
      </c>
      <c r="AN47" s="56" t="s">
        <v>474</v>
      </c>
      <c r="AO47" s="56" t="s">
        <v>475</v>
      </c>
      <c r="AP47" s="59">
        <v>0</v>
      </c>
      <c r="AQ47" s="59">
        <v>48496</v>
      </c>
      <c r="AR47" s="59">
        <v>820655</v>
      </c>
      <c r="AS47" s="59">
        <v>5278</v>
      </c>
      <c r="AT47" s="59">
        <v>74590</v>
      </c>
      <c r="AU47" s="59">
        <v>0</v>
      </c>
      <c r="AV47" s="59">
        <v>456934</v>
      </c>
      <c r="AW47" s="59">
        <v>1449</v>
      </c>
      <c r="AX47" s="59">
        <v>823</v>
      </c>
      <c r="AY47" s="59">
        <v>81725</v>
      </c>
    </row>
    <row r="48" spans="1:51" customFormat="1" ht="18" customHeight="1" x14ac:dyDescent="0.25">
      <c r="A48" s="51" t="s">
        <v>476</v>
      </c>
      <c r="B48" s="52" t="s">
        <v>477</v>
      </c>
      <c r="C48" s="51" t="s">
        <v>478</v>
      </c>
      <c r="D48" s="53">
        <v>45291</v>
      </c>
      <c r="E48" s="51" t="s">
        <v>253</v>
      </c>
      <c r="F48" s="54">
        <v>1308800.895</v>
      </c>
      <c r="G48" s="54">
        <v>1186718.1359999999</v>
      </c>
      <c r="H48" s="54">
        <v>0</v>
      </c>
      <c r="I48" s="54">
        <v>950375.05700000003</v>
      </c>
      <c r="J48" s="54">
        <v>139.16399999999999</v>
      </c>
      <c r="K48" s="54">
        <v>128803.63</v>
      </c>
      <c r="L48" s="54">
        <v>149196.269</v>
      </c>
      <c r="M48" s="54">
        <v>10855.485000000001</v>
      </c>
      <c r="N48" s="54">
        <v>12847.245000000001</v>
      </c>
      <c r="O48" s="54">
        <v>30670.756000000001</v>
      </c>
      <c r="P48" s="54">
        <v>0</v>
      </c>
      <c r="Q48" s="54">
        <v>8</v>
      </c>
      <c r="R48" s="54">
        <v>-2862.7069999999999</v>
      </c>
      <c r="S48" s="54">
        <v>-1034.2349999999999</v>
      </c>
      <c r="T48" s="54">
        <v>0</v>
      </c>
      <c r="U48" s="54">
        <v>5558.6319999999996</v>
      </c>
      <c r="V48" s="54">
        <v>16449.715</v>
      </c>
      <c r="W48" s="54">
        <v>4574</v>
      </c>
      <c r="X48" s="55">
        <v>3.9307505882942801</v>
      </c>
      <c r="Y48" s="55">
        <v>9.8768302889387503</v>
      </c>
      <c r="Z48" s="55">
        <v>19.311263629848099</v>
      </c>
      <c r="AA48" s="55">
        <v>108.095162412929</v>
      </c>
      <c r="AB48" s="54">
        <v>584412.75100000005</v>
      </c>
      <c r="AC48" s="54">
        <v>51133.510999999999</v>
      </c>
      <c r="AD48" s="54">
        <v>0</v>
      </c>
      <c r="AE48" s="54">
        <v>118580.93399999999</v>
      </c>
      <c r="AF48" s="54">
        <v>0</v>
      </c>
      <c r="AG48" s="54">
        <v>136131.39499999999</v>
      </c>
      <c r="AH48" s="54">
        <v>262070.12599999999</v>
      </c>
      <c r="AI48" s="54">
        <v>0</v>
      </c>
      <c r="AJ48" s="54">
        <v>327813.255</v>
      </c>
      <c r="AK48" s="54">
        <v>116112.46400000001</v>
      </c>
      <c r="AL48" s="54">
        <v>57447.383000000002</v>
      </c>
      <c r="AM48" s="54">
        <v>0</v>
      </c>
      <c r="AN48" s="51" t="s">
        <v>474</v>
      </c>
      <c r="AO48" s="51" t="s">
        <v>475</v>
      </c>
      <c r="AP48" s="54">
        <v>0</v>
      </c>
      <c r="AQ48" s="54">
        <v>11480.418</v>
      </c>
      <c r="AR48" s="54">
        <v>309667.39399999997</v>
      </c>
      <c r="AS48" s="54">
        <v>5117.277</v>
      </c>
      <c r="AT48" s="54">
        <v>80413.263999999996</v>
      </c>
      <c r="AU48" s="54">
        <v>0</v>
      </c>
      <c r="AV48" s="54">
        <v>403662.24900000001</v>
      </c>
      <c r="AW48" s="54">
        <v>14887.489</v>
      </c>
      <c r="AX48" s="54">
        <v>1706.0809999999999</v>
      </c>
      <c r="AY48" s="54">
        <v>27187.582999999999</v>
      </c>
    </row>
    <row r="49" spans="1:51" customFormat="1" ht="58.9" customHeight="1" x14ac:dyDescent="0.25">
      <c r="A49" s="56" t="s">
        <v>479</v>
      </c>
      <c r="B49" s="57" t="s">
        <v>480</v>
      </c>
      <c r="C49" s="56" t="s">
        <v>481</v>
      </c>
      <c r="D49" s="58">
        <v>45169</v>
      </c>
      <c r="E49" s="56" t="s">
        <v>253</v>
      </c>
      <c r="F49" s="59">
        <v>1342150.081</v>
      </c>
      <c r="G49" s="59">
        <v>1348547.7350000001</v>
      </c>
      <c r="H49" s="59">
        <v>-16874.519</v>
      </c>
      <c r="I49" s="59">
        <v>1087405.0190000001</v>
      </c>
      <c r="J49" s="59">
        <v>89166.553</v>
      </c>
      <c r="K49" s="59">
        <v>64916.423000000003</v>
      </c>
      <c r="L49" s="59">
        <v>11647.538</v>
      </c>
      <c r="M49" s="59">
        <v>7864.4160000000002</v>
      </c>
      <c r="N49" s="59">
        <v>622.35400000000004</v>
      </c>
      <c r="O49" s="59">
        <v>15732.648999999999</v>
      </c>
      <c r="P49" s="59">
        <v>828.42899999999997</v>
      </c>
      <c r="Q49" s="59">
        <v>0</v>
      </c>
      <c r="R49" s="59">
        <v>-232.345</v>
      </c>
      <c r="S49" s="59">
        <v>-8466.9869999999992</v>
      </c>
      <c r="T49" s="59">
        <v>0</v>
      </c>
      <c r="U49" s="59">
        <v>12662.431</v>
      </c>
      <c r="V49" s="59">
        <v>42604.936999999998</v>
      </c>
      <c r="W49" s="59">
        <v>174</v>
      </c>
      <c r="X49" s="60">
        <v>7.1035634283080702</v>
      </c>
      <c r="Y49" s="60">
        <v>42.8083467023406</v>
      </c>
      <c r="Z49" s="60">
        <v>173.713020901308</v>
      </c>
      <c r="AA49" s="60">
        <v>222.70158172439801</v>
      </c>
      <c r="AB49" s="59">
        <v>689668.70200000005</v>
      </c>
      <c r="AC49" s="59">
        <v>109117.003</v>
      </c>
      <c r="AD49" s="59">
        <v>0</v>
      </c>
      <c r="AE49" s="59">
        <v>109850.27800000001</v>
      </c>
      <c r="AF49" s="59">
        <v>0</v>
      </c>
      <c r="AG49" s="59">
        <v>322391.02</v>
      </c>
      <c r="AH49" s="59">
        <v>78887.786999999997</v>
      </c>
      <c r="AI49" s="59">
        <v>189</v>
      </c>
      <c r="AJ49" s="59">
        <v>254879.83499999999</v>
      </c>
      <c r="AK49" s="59">
        <v>160626.75899999999</v>
      </c>
      <c r="AL49" s="59">
        <v>67302.001000000004</v>
      </c>
      <c r="AM49" s="59">
        <v>0</v>
      </c>
      <c r="AN49" s="56" t="s">
        <v>447</v>
      </c>
      <c r="AO49" s="56" t="s">
        <v>448</v>
      </c>
      <c r="AP49" s="59">
        <v>0</v>
      </c>
      <c r="AQ49" s="59">
        <v>36259.271000000001</v>
      </c>
      <c r="AR49" s="59">
        <v>140519.11300000001</v>
      </c>
      <c r="AS49" s="59">
        <v>111204.124</v>
      </c>
      <c r="AT49" s="59">
        <v>190449.52499999999</v>
      </c>
      <c r="AU49" s="59">
        <v>31576.38</v>
      </c>
      <c r="AV49" s="59">
        <v>323508.52100000001</v>
      </c>
      <c r="AW49" s="59">
        <v>4751.2349999999997</v>
      </c>
      <c r="AX49" s="59">
        <v>2508.0100000000002</v>
      </c>
      <c r="AY49" s="59">
        <v>24697.539000000001</v>
      </c>
    </row>
    <row r="50" spans="1:51" customFormat="1" ht="31.15" customHeight="1" x14ac:dyDescent="0.25">
      <c r="A50" s="51" t="s">
        <v>482</v>
      </c>
      <c r="B50" s="52" t="s">
        <v>483</v>
      </c>
      <c r="C50" s="51" t="s">
        <v>484</v>
      </c>
      <c r="D50" s="53">
        <v>45291</v>
      </c>
      <c r="E50" s="51" t="s">
        <v>253</v>
      </c>
      <c r="F50" s="54">
        <v>724269.92</v>
      </c>
      <c r="G50" s="54">
        <v>717787.98600000003</v>
      </c>
      <c r="H50" s="54">
        <v>0</v>
      </c>
      <c r="I50" s="54">
        <v>509520.14500000002</v>
      </c>
      <c r="J50" s="54">
        <v>-49820.292000000001</v>
      </c>
      <c r="K50" s="54">
        <v>58740.002</v>
      </c>
      <c r="L50" s="54">
        <v>84439.271999999997</v>
      </c>
      <c r="M50" s="54">
        <v>3632.703</v>
      </c>
      <c r="N50" s="54">
        <v>38010.841999999997</v>
      </c>
      <c r="O50" s="54">
        <v>11322.172</v>
      </c>
      <c r="P50" s="54">
        <v>1000</v>
      </c>
      <c r="Q50" s="54">
        <v>9</v>
      </c>
      <c r="R50" s="54">
        <v>878.13499999999999</v>
      </c>
      <c r="S50" s="54">
        <v>0</v>
      </c>
      <c r="T50" s="54">
        <v>0</v>
      </c>
      <c r="U50" s="54">
        <v>19737.905999999999</v>
      </c>
      <c r="V50" s="54">
        <v>48556.305</v>
      </c>
      <c r="W50" s="54">
        <v>2558</v>
      </c>
      <c r="X50" s="55">
        <v>28.6407631758752</v>
      </c>
      <c r="Y50" s="55">
        <v>34.411959360626</v>
      </c>
      <c r="Z50" s="55">
        <v>54.229469233947199</v>
      </c>
      <c r="AA50" s="55">
        <v>183.92213148699801</v>
      </c>
      <c r="AB50" s="54">
        <v>439139.23300000001</v>
      </c>
      <c r="AC50" s="54">
        <v>43672.623</v>
      </c>
      <c r="AD50" s="54">
        <v>0</v>
      </c>
      <c r="AE50" s="54">
        <v>198062.318</v>
      </c>
      <c r="AF50" s="54">
        <v>0</v>
      </c>
      <c r="AG50" s="54">
        <v>155471.285</v>
      </c>
      <c r="AH50" s="54">
        <v>214111.348</v>
      </c>
      <c r="AI50" s="54">
        <v>0</v>
      </c>
      <c r="AJ50" s="54">
        <v>276403.429</v>
      </c>
      <c r="AK50" s="54">
        <v>256.137</v>
      </c>
      <c r="AL50" s="54">
        <v>61619.864999999998</v>
      </c>
      <c r="AM50" s="54">
        <v>0</v>
      </c>
      <c r="AN50" s="51" t="s">
        <v>485</v>
      </c>
      <c r="AO50" s="51" t="s">
        <v>486</v>
      </c>
      <c r="AP50" s="54">
        <v>0</v>
      </c>
      <c r="AQ50" s="54">
        <v>4060.4110000000001</v>
      </c>
      <c r="AR50" s="54">
        <v>22639.884999999998</v>
      </c>
      <c r="AS50" s="54">
        <v>28797.606</v>
      </c>
      <c r="AT50" s="54">
        <v>123319.26700000001</v>
      </c>
      <c r="AU50" s="54">
        <v>0</v>
      </c>
      <c r="AV50" s="54">
        <v>276403.429</v>
      </c>
      <c r="AW50" s="54">
        <v>409.66500000000002</v>
      </c>
      <c r="AX50" s="54">
        <v>639.88099999999997</v>
      </c>
      <c r="AY50" s="54">
        <v>27732.339</v>
      </c>
    </row>
    <row r="51" spans="1:51" customFormat="1" ht="31.15" customHeight="1" x14ac:dyDescent="0.25">
      <c r="A51" s="56" t="s">
        <v>487</v>
      </c>
      <c r="B51" s="57" t="s">
        <v>488</v>
      </c>
      <c r="C51" s="56" t="s">
        <v>489</v>
      </c>
      <c r="D51" s="58">
        <v>45291</v>
      </c>
      <c r="E51" s="56" t="s">
        <v>253</v>
      </c>
      <c r="F51" s="59">
        <v>1170089</v>
      </c>
      <c r="G51" s="59">
        <v>1150779</v>
      </c>
      <c r="H51" s="59">
        <v>0</v>
      </c>
      <c r="I51" s="59">
        <v>838029</v>
      </c>
      <c r="J51" s="59">
        <v>-3229</v>
      </c>
      <c r="K51" s="59">
        <v>122007</v>
      </c>
      <c r="L51" s="59">
        <v>151129</v>
      </c>
      <c r="M51" s="59">
        <v>13086</v>
      </c>
      <c r="N51" s="59">
        <v>3667</v>
      </c>
      <c r="O51" s="59">
        <v>33550</v>
      </c>
      <c r="P51" s="59">
        <v>0</v>
      </c>
      <c r="Q51" s="59">
        <v>2872</v>
      </c>
      <c r="R51" s="59">
        <v>39573</v>
      </c>
      <c r="S51" s="59">
        <v>-21765</v>
      </c>
      <c r="T51" s="59">
        <v>0</v>
      </c>
      <c r="U51" s="59">
        <v>-1609</v>
      </c>
      <c r="V51" s="59">
        <v>28395</v>
      </c>
      <c r="W51" s="59">
        <v>4629</v>
      </c>
      <c r="X51" s="60">
        <v>4.1445924006001897</v>
      </c>
      <c r="Y51" s="60">
        <v>9.4472754663577607</v>
      </c>
      <c r="Z51" s="60">
        <v>11.6001058998432</v>
      </c>
      <c r="AA51" s="60">
        <v>-16.544997841359599</v>
      </c>
      <c r="AB51" s="59">
        <v>2044900</v>
      </c>
      <c r="AC51" s="59">
        <v>1884</v>
      </c>
      <c r="AD51" s="59">
        <v>0</v>
      </c>
      <c r="AE51" s="59">
        <v>62119</v>
      </c>
      <c r="AF51" s="59">
        <v>0</v>
      </c>
      <c r="AG51" s="59">
        <v>852462</v>
      </c>
      <c r="AH51" s="59">
        <v>41266</v>
      </c>
      <c r="AI51" s="59">
        <v>0</v>
      </c>
      <c r="AJ51" s="59">
        <v>1106038</v>
      </c>
      <c r="AK51" s="59">
        <v>809239</v>
      </c>
      <c r="AL51" s="59">
        <v>63543</v>
      </c>
      <c r="AM51" s="59">
        <v>0</v>
      </c>
      <c r="AN51" s="56" t="s">
        <v>325</v>
      </c>
      <c r="AO51" s="56" t="s">
        <v>326</v>
      </c>
      <c r="AP51" s="59">
        <v>0</v>
      </c>
      <c r="AQ51" s="59">
        <v>3963</v>
      </c>
      <c r="AR51" s="59">
        <v>694039</v>
      </c>
      <c r="AS51" s="59">
        <v>488368</v>
      </c>
      <c r="AT51" s="59">
        <v>175333</v>
      </c>
      <c r="AU51" s="59">
        <v>557324</v>
      </c>
      <c r="AV51" s="59">
        <v>1147587</v>
      </c>
      <c r="AW51" s="59">
        <v>4168</v>
      </c>
      <c r="AX51" s="59">
        <v>210</v>
      </c>
      <c r="AY51" s="59">
        <v>50958</v>
      </c>
    </row>
    <row r="52" spans="1:51" customFormat="1" ht="18" customHeight="1" x14ac:dyDescent="0.25">
      <c r="A52" s="51" t="s">
        <v>490</v>
      </c>
      <c r="B52" s="52" t="s">
        <v>491</v>
      </c>
      <c r="C52" s="51" t="s">
        <v>492</v>
      </c>
      <c r="D52" s="53">
        <v>45291</v>
      </c>
      <c r="E52" s="51" t="s">
        <v>253</v>
      </c>
      <c r="F52" s="54">
        <v>1081742.5689999999</v>
      </c>
      <c r="G52" s="54">
        <v>1073255.193</v>
      </c>
      <c r="H52" s="54">
        <v>0</v>
      </c>
      <c r="I52" s="54">
        <v>801260.005</v>
      </c>
      <c r="J52" s="54">
        <v>6239.3059999999996</v>
      </c>
      <c r="K52" s="54">
        <v>86165.22</v>
      </c>
      <c r="L52" s="54">
        <v>89519.508000000002</v>
      </c>
      <c r="M52" s="54">
        <v>5998.9780000000001</v>
      </c>
      <c r="N52" s="54">
        <v>5663.8450000000003</v>
      </c>
      <c r="O52" s="54">
        <v>22048.342000000001</v>
      </c>
      <c r="P52" s="54">
        <v>89.2</v>
      </c>
      <c r="Q52" s="54">
        <v>0</v>
      </c>
      <c r="R52" s="54">
        <v>752.524</v>
      </c>
      <c r="S52" s="54">
        <v>0</v>
      </c>
      <c r="T52" s="54">
        <v>0</v>
      </c>
      <c r="U52" s="54">
        <v>17628.75</v>
      </c>
      <c r="V52" s="54">
        <v>47881.938999999998</v>
      </c>
      <c r="W52" s="54">
        <v>3197</v>
      </c>
      <c r="X52" s="55">
        <v>9.1641595588852294</v>
      </c>
      <c r="Y52" s="55">
        <v>24.081299824665599</v>
      </c>
      <c r="Z52" s="55">
        <v>49.691114142049997</v>
      </c>
      <c r="AA52" s="55">
        <v>27.8381826001212</v>
      </c>
      <c r="AB52" s="54">
        <v>522554.652</v>
      </c>
      <c r="AC52" s="54">
        <v>11224.734</v>
      </c>
      <c r="AD52" s="54">
        <v>0</v>
      </c>
      <c r="AE52" s="54">
        <v>43948.095999999998</v>
      </c>
      <c r="AF52" s="54">
        <v>0</v>
      </c>
      <c r="AG52" s="54">
        <v>326412.60600000003</v>
      </c>
      <c r="AH52" s="54">
        <v>144961.30300000001</v>
      </c>
      <c r="AI52" s="54">
        <v>0</v>
      </c>
      <c r="AJ52" s="54">
        <v>184579.11199999999</v>
      </c>
      <c r="AK52" s="54">
        <v>2.649</v>
      </c>
      <c r="AL52" s="54">
        <v>16937.009999999998</v>
      </c>
      <c r="AM52" s="54">
        <v>432.495</v>
      </c>
      <c r="AN52" s="51" t="s">
        <v>397</v>
      </c>
      <c r="AO52" s="51" t="s">
        <v>398</v>
      </c>
      <c r="AP52" s="54">
        <v>0</v>
      </c>
      <c r="AQ52" s="54">
        <v>4399.87</v>
      </c>
      <c r="AR52" s="54">
        <v>417994.53399999999</v>
      </c>
      <c r="AS52" s="54">
        <v>187.459</v>
      </c>
      <c r="AT52" s="54">
        <v>38299.705000000002</v>
      </c>
      <c r="AU52" s="54">
        <v>432.495</v>
      </c>
      <c r="AV52" s="54">
        <v>184579.11199999999</v>
      </c>
      <c r="AW52" s="54">
        <v>10071.022999999999</v>
      </c>
      <c r="AX52" s="54">
        <v>355.483</v>
      </c>
      <c r="AY52" s="54">
        <v>67903.426999999996</v>
      </c>
    </row>
    <row r="53" spans="1:51" customFormat="1" ht="58.9" customHeight="1" x14ac:dyDescent="0.25">
      <c r="A53" s="56" t="s">
        <v>493</v>
      </c>
      <c r="B53" s="57" t="s">
        <v>494</v>
      </c>
      <c r="C53" s="56" t="s">
        <v>495</v>
      </c>
      <c r="D53" s="58">
        <v>45291</v>
      </c>
      <c r="E53" s="56" t="s">
        <v>253</v>
      </c>
      <c r="F53" s="59">
        <v>1139587</v>
      </c>
      <c r="G53" s="59">
        <v>1124074</v>
      </c>
      <c r="H53" s="59">
        <v>1623</v>
      </c>
      <c r="I53" s="59">
        <v>701411</v>
      </c>
      <c r="J53" s="59">
        <v>365</v>
      </c>
      <c r="K53" s="59">
        <v>180969</v>
      </c>
      <c r="L53" s="59">
        <v>83696</v>
      </c>
      <c r="M53" s="59">
        <v>8226</v>
      </c>
      <c r="N53" s="59">
        <v>1361</v>
      </c>
      <c r="O53" s="59">
        <v>30380</v>
      </c>
      <c r="P53" s="59">
        <v>928</v>
      </c>
      <c r="Q53" s="59">
        <v>0</v>
      </c>
      <c r="R53" s="59">
        <v>-1035</v>
      </c>
      <c r="S53" s="59">
        <v>0</v>
      </c>
      <c r="T53" s="59">
        <v>1</v>
      </c>
      <c r="U53" s="59">
        <v>32818</v>
      </c>
      <c r="V53" s="59">
        <v>98399</v>
      </c>
      <c r="W53" s="59">
        <v>1456</v>
      </c>
      <c r="X53" s="60">
        <v>4.5789346861954696</v>
      </c>
      <c r="Y53" s="60">
        <v>21.908589760135701</v>
      </c>
      <c r="Z53" s="60">
        <v>24.9886305639351</v>
      </c>
      <c r="AA53" s="60">
        <v>41.216873328470697</v>
      </c>
      <c r="AB53" s="59">
        <v>886412</v>
      </c>
      <c r="AC53" s="59">
        <v>10638</v>
      </c>
      <c r="AD53" s="59">
        <v>0</v>
      </c>
      <c r="AE53" s="59">
        <v>50640</v>
      </c>
      <c r="AF53" s="59">
        <v>0</v>
      </c>
      <c r="AG53" s="59">
        <v>530334</v>
      </c>
      <c r="AH53" s="59">
        <v>134562</v>
      </c>
      <c r="AI53" s="59">
        <v>0</v>
      </c>
      <c r="AJ53" s="59">
        <v>216572</v>
      </c>
      <c r="AK53" s="59">
        <v>12901</v>
      </c>
      <c r="AL53" s="59">
        <v>39</v>
      </c>
      <c r="AM53" s="59">
        <v>35202</v>
      </c>
      <c r="AN53" s="56" t="s">
        <v>496</v>
      </c>
      <c r="AO53" s="56" t="s">
        <v>497</v>
      </c>
      <c r="AP53" s="59">
        <v>0</v>
      </c>
      <c r="AQ53" s="59">
        <v>410002</v>
      </c>
      <c r="AR53" s="59">
        <v>243720</v>
      </c>
      <c r="AS53" s="59">
        <v>197</v>
      </c>
      <c r="AT53" s="59">
        <v>146608</v>
      </c>
      <c r="AU53" s="59">
        <v>35202</v>
      </c>
      <c r="AV53" s="59">
        <v>225285</v>
      </c>
      <c r="AW53" s="59">
        <v>3586</v>
      </c>
      <c r="AX53" s="59">
        <v>4</v>
      </c>
      <c r="AY53" s="59">
        <v>115164</v>
      </c>
    </row>
    <row r="54" spans="1:51" customFormat="1" ht="45.6" customHeight="1" x14ac:dyDescent="0.25">
      <c r="A54" s="51" t="s">
        <v>498</v>
      </c>
      <c r="B54" s="52" t="s">
        <v>499</v>
      </c>
      <c r="C54" s="51" t="s">
        <v>500</v>
      </c>
      <c r="D54" s="53">
        <v>45291</v>
      </c>
      <c r="E54" s="51" t="s">
        <v>253</v>
      </c>
      <c r="F54" s="54">
        <v>1172817.3870000001</v>
      </c>
      <c r="G54" s="54">
        <v>1157714.9450000001</v>
      </c>
      <c r="H54" s="54">
        <v>0</v>
      </c>
      <c r="I54" s="54">
        <v>855031.147</v>
      </c>
      <c r="J54" s="54">
        <v>-4072.4079999999999</v>
      </c>
      <c r="K54" s="54">
        <v>135339.533</v>
      </c>
      <c r="L54" s="54">
        <v>127371.95600000001</v>
      </c>
      <c r="M54" s="54">
        <v>4822.768</v>
      </c>
      <c r="N54" s="54">
        <v>16544.045999999998</v>
      </c>
      <c r="O54" s="54">
        <v>25123.807000000001</v>
      </c>
      <c r="P54" s="54">
        <v>0</v>
      </c>
      <c r="Q54" s="54">
        <v>0</v>
      </c>
      <c r="R54" s="54">
        <v>1268.2819999999999</v>
      </c>
      <c r="S54" s="54">
        <v>0</v>
      </c>
      <c r="T54" s="54">
        <v>0</v>
      </c>
      <c r="U54" s="54">
        <v>2691.5309999999999</v>
      </c>
      <c r="V54" s="54">
        <v>11233.289000000001</v>
      </c>
      <c r="W54" s="54">
        <v>3003</v>
      </c>
      <c r="X54" s="55">
        <v>7.04587352439684</v>
      </c>
      <c r="Y54" s="55">
        <v>11.001973044428301</v>
      </c>
      <c r="Z54" s="55">
        <v>23.057677698517299</v>
      </c>
      <c r="AA54" s="55">
        <v>-33.0438976361486</v>
      </c>
      <c r="AB54" s="54">
        <v>467433.61700000003</v>
      </c>
      <c r="AC54" s="54">
        <v>52767.224999999999</v>
      </c>
      <c r="AD54" s="54">
        <v>0</v>
      </c>
      <c r="AE54" s="54">
        <v>73019.3</v>
      </c>
      <c r="AF54" s="54">
        <v>0</v>
      </c>
      <c r="AG54" s="54">
        <v>268002.85499999998</v>
      </c>
      <c r="AH54" s="54">
        <v>126623.622</v>
      </c>
      <c r="AI54" s="54">
        <v>0</v>
      </c>
      <c r="AJ54" s="54">
        <v>182379.731</v>
      </c>
      <c r="AK54" s="54">
        <v>0</v>
      </c>
      <c r="AL54" s="54">
        <v>18742.062999999998</v>
      </c>
      <c r="AM54" s="54">
        <v>0</v>
      </c>
      <c r="AN54" s="51" t="s">
        <v>309</v>
      </c>
      <c r="AO54" s="51" t="s">
        <v>310</v>
      </c>
      <c r="AP54" s="54">
        <v>0</v>
      </c>
      <c r="AQ54" s="54">
        <v>38074.07</v>
      </c>
      <c r="AR54" s="54">
        <v>268385.185</v>
      </c>
      <c r="AS54" s="54">
        <v>1352.6320000000001</v>
      </c>
      <c r="AT54" s="54">
        <v>65338.847999999998</v>
      </c>
      <c r="AU54" s="54">
        <v>0</v>
      </c>
      <c r="AV54" s="54">
        <v>182379.731</v>
      </c>
      <c r="AW54" s="54">
        <v>2093.81</v>
      </c>
      <c r="AX54" s="54">
        <v>2521.5189999999998</v>
      </c>
      <c r="AY54" s="54">
        <v>56425.544000000002</v>
      </c>
    </row>
    <row r="55" spans="1:51" customFormat="1" ht="18" customHeight="1" x14ac:dyDescent="0.25">
      <c r="A55" s="56" t="s">
        <v>501</v>
      </c>
      <c r="B55" s="57" t="s">
        <v>502</v>
      </c>
      <c r="C55" s="56" t="s">
        <v>503</v>
      </c>
      <c r="D55" s="58">
        <v>45291</v>
      </c>
      <c r="E55" s="56" t="s">
        <v>253</v>
      </c>
      <c r="F55" s="59">
        <v>1002196.276</v>
      </c>
      <c r="G55" s="59">
        <v>994027.50100000005</v>
      </c>
      <c r="H55" s="59">
        <v>0</v>
      </c>
      <c r="I55" s="59">
        <v>748413.66</v>
      </c>
      <c r="J55" s="59">
        <v>-3522.2840000000001</v>
      </c>
      <c r="K55" s="59">
        <v>66865.251999999993</v>
      </c>
      <c r="L55" s="59">
        <v>79746.301999999996</v>
      </c>
      <c r="M55" s="59">
        <v>5002.8609999999999</v>
      </c>
      <c r="N55" s="59">
        <v>9501.9480000000003</v>
      </c>
      <c r="O55" s="59">
        <v>16310.588</v>
      </c>
      <c r="P55" s="59">
        <v>0</v>
      </c>
      <c r="Q55" s="59">
        <v>0</v>
      </c>
      <c r="R55" s="59">
        <v>3282.8620000000001</v>
      </c>
      <c r="S55" s="59">
        <v>0</v>
      </c>
      <c r="T55" s="59">
        <v>1E-3</v>
      </c>
      <c r="U55" s="59">
        <v>23137.346000000001</v>
      </c>
      <c r="V55" s="59">
        <v>60023.466</v>
      </c>
      <c r="W55" s="59">
        <v>2299</v>
      </c>
      <c r="X55" s="60">
        <v>11.693955885768901</v>
      </c>
      <c r="Y55" s="60">
        <v>25.961009151409701</v>
      </c>
      <c r="Z55" s="60">
        <v>48.020730560703903</v>
      </c>
      <c r="AA55" s="60">
        <v>73.588939038369404</v>
      </c>
      <c r="AB55" s="59">
        <v>449160.33100000001</v>
      </c>
      <c r="AC55" s="59">
        <v>8530.3369999999995</v>
      </c>
      <c r="AD55" s="59">
        <v>0</v>
      </c>
      <c r="AE55" s="59">
        <v>47667.180999999997</v>
      </c>
      <c r="AF55" s="59">
        <v>0</v>
      </c>
      <c r="AG55" s="59">
        <v>288546.31699999998</v>
      </c>
      <c r="AH55" s="59">
        <v>121052.88499999999</v>
      </c>
      <c r="AI55" s="59">
        <v>0</v>
      </c>
      <c r="AJ55" s="59">
        <v>149372.97200000001</v>
      </c>
      <c r="AK55" s="59">
        <v>0</v>
      </c>
      <c r="AL55" s="59">
        <v>47114.491000000002</v>
      </c>
      <c r="AM55" s="59">
        <v>39365.055999999997</v>
      </c>
      <c r="AN55" s="56" t="s">
        <v>397</v>
      </c>
      <c r="AO55" s="56" t="s">
        <v>398</v>
      </c>
      <c r="AP55" s="59">
        <v>0</v>
      </c>
      <c r="AQ55" s="59">
        <v>9557.3989999999994</v>
      </c>
      <c r="AR55" s="59">
        <v>233830.68599999999</v>
      </c>
      <c r="AS55" s="59">
        <v>359.11799999999999</v>
      </c>
      <c r="AT55" s="59">
        <v>28109.667000000001</v>
      </c>
      <c r="AU55" s="59">
        <v>79365.055999999997</v>
      </c>
      <c r="AV55" s="59">
        <v>149372.97200000001</v>
      </c>
      <c r="AW55" s="59">
        <v>8803.3179999999993</v>
      </c>
      <c r="AX55" s="59">
        <v>3156.7330000000002</v>
      </c>
      <c r="AY55" s="59">
        <v>55411.673999999999</v>
      </c>
    </row>
    <row r="56" spans="1:51" customFormat="1" ht="31.15" customHeight="1" x14ac:dyDescent="0.25">
      <c r="A56" s="51" t="s">
        <v>504</v>
      </c>
      <c r="B56" s="52" t="s">
        <v>505</v>
      </c>
      <c r="C56" s="51" t="s">
        <v>506</v>
      </c>
      <c r="D56" s="53">
        <v>45291</v>
      </c>
      <c r="E56" s="51" t="s">
        <v>253</v>
      </c>
      <c r="F56" s="54">
        <v>1063887.5009999999</v>
      </c>
      <c r="G56" s="54">
        <v>1058033.101</v>
      </c>
      <c r="H56" s="54">
        <v>0</v>
      </c>
      <c r="I56" s="54">
        <v>958088.15899999999</v>
      </c>
      <c r="J56" s="54">
        <v>-1574.7619999999999</v>
      </c>
      <c r="K56" s="54">
        <v>59156.95</v>
      </c>
      <c r="L56" s="54">
        <v>11034.036</v>
      </c>
      <c r="M56" s="54">
        <v>2327.4830000000002</v>
      </c>
      <c r="N56" s="54">
        <v>915.20100000000002</v>
      </c>
      <c r="O56" s="54">
        <v>5933.4560000000001</v>
      </c>
      <c r="P56" s="54">
        <v>46.5</v>
      </c>
      <c r="Q56" s="54">
        <v>0</v>
      </c>
      <c r="R56" s="54">
        <v>102.928</v>
      </c>
      <c r="S56" s="54">
        <v>0</v>
      </c>
      <c r="T56" s="54">
        <v>0</v>
      </c>
      <c r="U56" s="54">
        <v>8106.9570000000003</v>
      </c>
      <c r="V56" s="54">
        <v>19956.449000000001</v>
      </c>
      <c r="W56" s="54">
        <v>175</v>
      </c>
      <c r="X56" s="55">
        <v>18.919930885359001</v>
      </c>
      <c r="Y56" s="55">
        <v>38.832581354042901</v>
      </c>
      <c r="Z56" s="55">
        <v>30.699770347675901</v>
      </c>
      <c r="AA56" s="55">
        <v>23.1808725688593</v>
      </c>
      <c r="AB56" s="54">
        <v>366609.38799999998</v>
      </c>
      <c r="AC56" s="54">
        <v>144353.98199999999</v>
      </c>
      <c r="AD56" s="54">
        <v>735.41800000000001</v>
      </c>
      <c r="AE56" s="54">
        <v>56767.945</v>
      </c>
      <c r="AF56" s="54">
        <v>0</v>
      </c>
      <c r="AG56" s="54">
        <v>120827.734</v>
      </c>
      <c r="AH56" s="54">
        <v>138327.236</v>
      </c>
      <c r="AI56" s="54">
        <v>0</v>
      </c>
      <c r="AJ56" s="54">
        <v>205117.33600000001</v>
      </c>
      <c r="AK56" s="54">
        <v>76968.635999999999</v>
      </c>
      <c r="AL56" s="54">
        <v>26348.526999999998</v>
      </c>
      <c r="AM56" s="54">
        <v>1454.337</v>
      </c>
      <c r="AN56" s="51" t="s">
        <v>320</v>
      </c>
      <c r="AO56" s="51" t="s">
        <v>321</v>
      </c>
      <c r="AP56" s="54">
        <v>0</v>
      </c>
      <c r="AQ56" s="54">
        <v>5810.8760000000002</v>
      </c>
      <c r="AR56" s="54">
        <v>80618.880000000005</v>
      </c>
      <c r="AS56" s="54">
        <v>34958.065000000002</v>
      </c>
      <c r="AT56" s="54">
        <v>159486.07399999999</v>
      </c>
      <c r="AU56" s="54">
        <v>1454.337</v>
      </c>
      <c r="AV56" s="54">
        <v>235883.93599999999</v>
      </c>
      <c r="AW56" s="54">
        <v>9033.0069999999996</v>
      </c>
      <c r="AX56" s="54">
        <v>1164.684</v>
      </c>
      <c r="AY56" s="54">
        <v>27515.581999999999</v>
      </c>
    </row>
    <row r="57" spans="1:51" customFormat="1" ht="31.15" customHeight="1" x14ac:dyDescent="0.25">
      <c r="A57" s="56" t="s">
        <v>507</v>
      </c>
      <c r="B57" s="57" t="s">
        <v>508</v>
      </c>
      <c r="C57" s="56" t="s">
        <v>509</v>
      </c>
      <c r="D57" s="58">
        <v>45291</v>
      </c>
      <c r="E57" s="56" t="s">
        <v>253</v>
      </c>
      <c r="F57" s="59">
        <v>1103432</v>
      </c>
      <c r="G57" s="59">
        <v>1072324</v>
      </c>
      <c r="H57" s="59">
        <v>0</v>
      </c>
      <c r="I57" s="59">
        <v>610472</v>
      </c>
      <c r="J57" s="59">
        <v>-3500</v>
      </c>
      <c r="K57" s="59">
        <v>246291</v>
      </c>
      <c r="L57" s="59">
        <v>109565</v>
      </c>
      <c r="M57" s="59">
        <v>3112</v>
      </c>
      <c r="N57" s="59">
        <v>7000</v>
      </c>
      <c r="O57" s="59">
        <v>28958</v>
      </c>
      <c r="P57" s="59">
        <v>900</v>
      </c>
      <c r="Q57" s="59">
        <v>0</v>
      </c>
      <c r="R57" s="59">
        <v>6159</v>
      </c>
      <c r="S57" s="59">
        <v>-21690</v>
      </c>
      <c r="T57" s="59">
        <v>5600</v>
      </c>
      <c r="U57" s="59">
        <v>28538</v>
      </c>
      <c r="V57" s="59">
        <v>62165</v>
      </c>
      <c r="W57" s="59">
        <v>1518</v>
      </c>
      <c r="X57" s="60">
        <v>2.8624927217038598</v>
      </c>
      <c r="Y57" s="60">
        <v>19.297558587774599</v>
      </c>
      <c r="Z57" s="60">
        <v>22.035834919016398</v>
      </c>
      <c r="AA57" s="60">
        <v>52.637158135261799</v>
      </c>
      <c r="AB57" s="59">
        <v>3906458</v>
      </c>
      <c r="AC57" s="59">
        <v>77563</v>
      </c>
      <c r="AD57" s="59">
        <v>0</v>
      </c>
      <c r="AE57" s="59">
        <v>67964</v>
      </c>
      <c r="AF57" s="59">
        <v>0</v>
      </c>
      <c r="AG57" s="59">
        <v>3352739</v>
      </c>
      <c r="AH57" s="59">
        <v>201878</v>
      </c>
      <c r="AI57" s="59">
        <v>0</v>
      </c>
      <c r="AJ57" s="59">
        <v>392411</v>
      </c>
      <c r="AK57" s="59">
        <v>149229</v>
      </c>
      <c r="AL57" s="59">
        <v>17599</v>
      </c>
      <c r="AM57" s="59">
        <v>163629</v>
      </c>
      <c r="AN57" s="56" t="s">
        <v>460</v>
      </c>
      <c r="AO57" s="56" t="s">
        <v>461</v>
      </c>
      <c r="AP57" s="59">
        <v>0</v>
      </c>
      <c r="AQ57" s="59">
        <v>355750</v>
      </c>
      <c r="AR57" s="59">
        <v>168129</v>
      </c>
      <c r="AS57" s="59">
        <v>2976446</v>
      </c>
      <c r="AT57" s="59">
        <v>156241</v>
      </c>
      <c r="AU57" s="59">
        <v>163629</v>
      </c>
      <c r="AV57" s="59">
        <v>417150</v>
      </c>
      <c r="AW57" s="59">
        <v>6000</v>
      </c>
      <c r="AX57" s="59">
        <v>700</v>
      </c>
      <c r="AY57" s="59">
        <v>84902</v>
      </c>
    </row>
    <row r="58" spans="1:51" customFormat="1" ht="45.6" customHeight="1" x14ac:dyDescent="0.25">
      <c r="A58" s="51" t="s">
        <v>510</v>
      </c>
      <c r="B58" s="52" t="s">
        <v>511</v>
      </c>
      <c r="C58" s="51" t="s">
        <v>512</v>
      </c>
      <c r="D58" s="53">
        <v>45291</v>
      </c>
      <c r="E58" s="51" t="s">
        <v>253</v>
      </c>
      <c r="F58" s="54">
        <v>1056252.162</v>
      </c>
      <c r="G58" s="54">
        <v>1010282.877</v>
      </c>
      <c r="H58" s="54">
        <v>-156.9</v>
      </c>
      <c r="I58" s="54">
        <v>740250.60199999996</v>
      </c>
      <c r="J58" s="54">
        <v>-4676.692</v>
      </c>
      <c r="K58" s="54">
        <v>118521.56200000001</v>
      </c>
      <c r="L58" s="54">
        <v>142262.94</v>
      </c>
      <c r="M58" s="54">
        <v>16180.468000000001</v>
      </c>
      <c r="N58" s="54">
        <v>23590.772000000001</v>
      </c>
      <c r="O58" s="54">
        <v>33532.885999999999</v>
      </c>
      <c r="P58" s="54">
        <v>0</v>
      </c>
      <c r="Q58" s="54">
        <v>1707.663</v>
      </c>
      <c r="R58" s="54">
        <v>26058.577000000001</v>
      </c>
      <c r="S58" s="54">
        <v>-8168.6629999999996</v>
      </c>
      <c r="T58" s="54">
        <v>0</v>
      </c>
      <c r="U58" s="54">
        <v>369.21100000000001</v>
      </c>
      <c r="V58" s="54">
        <v>2402.6640000000002</v>
      </c>
      <c r="W58" s="54">
        <v>4410</v>
      </c>
      <c r="X58" s="55">
        <v>1.9511495053221799</v>
      </c>
      <c r="Y58" s="55">
        <v>4.9365443580720303</v>
      </c>
      <c r="Z58" s="55">
        <v>9.7416378881732495</v>
      </c>
      <c r="AA58" s="55">
        <v>70.264411779417998</v>
      </c>
      <c r="AB58" s="54">
        <v>1950499.7479999999</v>
      </c>
      <c r="AC58" s="54">
        <v>4</v>
      </c>
      <c r="AD58" s="54">
        <v>0</v>
      </c>
      <c r="AE58" s="54">
        <v>60093.235999999997</v>
      </c>
      <c r="AF58" s="54">
        <v>2356.7719999999999</v>
      </c>
      <c r="AG58" s="54">
        <v>678564.44200000004</v>
      </c>
      <c r="AH58" s="54">
        <v>37622.82</v>
      </c>
      <c r="AI58" s="54">
        <v>0</v>
      </c>
      <c r="AJ58" s="54">
        <v>978543.62899999996</v>
      </c>
      <c r="AK58" s="54">
        <v>992727.36399999994</v>
      </c>
      <c r="AL58" s="54">
        <v>33390.781000000003</v>
      </c>
      <c r="AM58" s="54">
        <v>51589.887000000002</v>
      </c>
      <c r="AN58" s="51" t="s">
        <v>309</v>
      </c>
      <c r="AO58" s="51" t="s">
        <v>310</v>
      </c>
      <c r="AP58" s="54">
        <v>0</v>
      </c>
      <c r="AQ58" s="54">
        <v>5808.49</v>
      </c>
      <c r="AR58" s="54">
        <v>513519.86700000003</v>
      </c>
      <c r="AS58" s="54">
        <v>741560.02500000002</v>
      </c>
      <c r="AT58" s="54">
        <v>107325.905</v>
      </c>
      <c r="AU58" s="54">
        <v>480223.96100000001</v>
      </c>
      <c r="AV58" s="54">
        <v>1233748.04</v>
      </c>
      <c r="AW58" s="54">
        <v>7644.1530000000002</v>
      </c>
      <c r="AX58" s="54">
        <v>6220.7110000000002</v>
      </c>
      <c r="AY58" s="54">
        <v>10815.441000000001</v>
      </c>
    </row>
    <row r="59" spans="1:51" customFormat="1" ht="58.9" customHeight="1" x14ac:dyDescent="0.25">
      <c r="A59" s="51" t="s">
        <v>513</v>
      </c>
      <c r="B59" s="52" t="s">
        <v>514</v>
      </c>
      <c r="C59" s="51" t="s">
        <v>515</v>
      </c>
      <c r="D59" s="53">
        <v>45291</v>
      </c>
      <c r="E59" s="51" t="s">
        <v>253</v>
      </c>
      <c r="F59" s="54">
        <v>1009075.472</v>
      </c>
      <c r="G59" s="54">
        <v>947278.875</v>
      </c>
      <c r="H59" s="54">
        <v>-38060.845000000001</v>
      </c>
      <c r="I59" s="54">
        <v>653476.527</v>
      </c>
      <c r="J59" s="54">
        <v>3923.232</v>
      </c>
      <c r="K59" s="54">
        <v>194657.86900000001</v>
      </c>
      <c r="L59" s="54">
        <v>46660.209000000003</v>
      </c>
      <c r="M59" s="54">
        <v>7518.6040000000003</v>
      </c>
      <c r="N59" s="54">
        <v>8763.482</v>
      </c>
      <c r="O59" s="54">
        <v>19467.333999999999</v>
      </c>
      <c r="P59" s="54">
        <v>121.90900000000001</v>
      </c>
      <c r="Q59" s="54">
        <v>25000</v>
      </c>
      <c r="R59" s="54">
        <v>-14041.746999999999</v>
      </c>
      <c r="S59" s="54">
        <v>-6062.4470000000001</v>
      </c>
      <c r="T59" s="54">
        <v>0</v>
      </c>
      <c r="U59" s="54">
        <v>9444.0570000000007</v>
      </c>
      <c r="V59" s="54">
        <v>19938.055</v>
      </c>
      <c r="W59" s="54">
        <v>738</v>
      </c>
      <c r="X59" s="55">
        <v>-8.5950045505032495</v>
      </c>
      <c r="Y59" s="55">
        <v>33.426356522586403</v>
      </c>
      <c r="Z59" s="55">
        <v>78.745414133471499</v>
      </c>
      <c r="AA59" s="55">
        <v>-0.114124633869508</v>
      </c>
      <c r="AB59" s="54">
        <v>916935.96299999999</v>
      </c>
      <c r="AC59" s="54">
        <v>97757.403000000006</v>
      </c>
      <c r="AD59" s="54">
        <v>616.43200000000002</v>
      </c>
      <c r="AE59" s="54">
        <v>197132.83100000001</v>
      </c>
      <c r="AF59" s="54">
        <v>0</v>
      </c>
      <c r="AG59" s="54">
        <v>394483.03399999999</v>
      </c>
      <c r="AH59" s="54">
        <v>154342.43299999999</v>
      </c>
      <c r="AI59" s="54">
        <v>0</v>
      </c>
      <c r="AJ59" s="54">
        <v>392927.995</v>
      </c>
      <c r="AK59" s="54">
        <v>302241.35499999998</v>
      </c>
      <c r="AL59" s="54">
        <v>81419.398000000001</v>
      </c>
      <c r="AM59" s="54">
        <v>0</v>
      </c>
      <c r="AN59" s="51" t="s">
        <v>447</v>
      </c>
      <c r="AO59" s="51" t="s">
        <v>448</v>
      </c>
      <c r="AP59" s="54">
        <v>0</v>
      </c>
      <c r="AQ59" s="54">
        <v>36134.788999999997</v>
      </c>
      <c r="AR59" s="54">
        <v>148350.39199999999</v>
      </c>
      <c r="AS59" s="54">
        <v>257603.15700000001</v>
      </c>
      <c r="AT59" s="54">
        <v>187621.7</v>
      </c>
      <c r="AU59" s="54">
        <v>4875.7359999999999</v>
      </c>
      <c r="AV59" s="54">
        <v>485486.82199999999</v>
      </c>
      <c r="AW59" s="54">
        <v>2605.5859999999998</v>
      </c>
      <c r="AX59" s="54">
        <v>3797.96</v>
      </c>
      <c r="AY59" s="54">
        <v>69032.422999999995</v>
      </c>
    </row>
    <row r="60" spans="1:51" customFormat="1" ht="45.6" customHeight="1" x14ac:dyDescent="0.25">
      <c r="A60" s="56" t="s">
        <v>516</v>
      </c>
      <c r="B60" s="57" t="s">
        <v>517</v>
      </c>
      <c r="C60" s="56" t="s">
        <v>518</v>
      </c>
      <c r="D60" s="58">
        <v>45291</v>
      </c>
      <c r="E60" s="56" t="s">
        <v>253</v>
      </c>
      <c r="F60" s="59">
        <v>972013</v>
      </c>
      <c r="G60" s="59">
        <v>971754</v>
      </c>
      <c r="H60" s="59">
        <v>0</v>
      </c>
      <c r="I60" s="59">
        <v>475580</v>
      </c>
      <c r="J60" s="59">
        <v>0</v>
      </c>
      <c r="K60" s="59">
        <v>280567</v>
      </c>
      <c r="L60" s="59">
        <v>132370</v>
      </c>
      <c r="M60" s="59">
        <v>9989</v>
      </c>
      <c r="N60" s="59">
        <v>0</v>
      </c>
      <c r="O60" s="59">
        <v>25605</v>
      </c>
      <c r="P60" s="59">
        <v>573</v>
      </c>
      <c r="Q60" s="59">
        <v>0</v>
      </c>
      <c r="R60" s="59">
        <v>14434</v>
      </c>
      <c r="S60" s="59">
        <v>0</v>
      </c>
      <c r="T60" s="59">
        <v>15617</v>
      </c>
      <c r="U60" s="59">
        <v>11793</v>
      </c>
      <c r="V60" s="59">
        <v>65587</v>
      </c>
      <c r="W60" s="59">
        <v>2005</v>
      </c>
      <c r="X60" s="60">
        <v>7.4844484165258303</v>
      </c>
      <c r="Y60" s="60">
        <v>15.4099396438488</v>
      </c>
      <c r="Z60" s="60">
        <v>0</v>
      </c>
      <c r="AA60" s="60">
        <v>0</v>
      </c>
      <c r="AB60" s="59">
        <v>627703</v>
      </c>
      <c r="AC60" s="59">
        <v>167742</v>
      </c>
      <c r="AD60" s="59">
        <v>0</v>
      </c>
      <c r="AE60" s="59">
        <v>73106</v>
      </c>
      <c r="AF60" s="59">
        <v>0</v>
      </c>
      <c r="AG60" s="59">
        <v>116306</v>
      </c>
      <c r="AH60" s="59">
        <v>231734</v>
      </c>
      <c r="AI60" s="59">
        <v>0</v>
      </c>
      <c r="AJ60" s="59">
        <v>404558</v>
      </c>
      <c r="AK60" s="59">
        <v>26688</v>
      </c>
      <c r="AL60" s="59">
        <v>3</v>
      </c>
      <c r="AM60" s="59">
        <v>0</v>
      </c>
      <c r="AN60" s="56" t="s">
        <v>519</v>
      </c>
      <c r="AO60" s="56" t="s">
        <v>150</v>
      </c>
      <c r="AP60" s="59">
        <v>0</v>
      </c>
      <c r="AQ60" s="59">
        <v>13166</v>
      </c>
      <c r="AR60" s="59">
        <v>138152</v>
      </c>
      <c r="AS60" s="59">
        <v>90161</v>
      </c>
      <c r="AT60" s="59">
        <v>313115</v>
      </c>
      <c r="AU60" s="59">
        <v>0</v>
      </c>
      <c r="AV60" s="59">
        <v>491189</v>
      </c>
      <c r="AW60" s="59">
        <v>1040</v>
      </c>
      <c r="AX60" s="59">
        <v>0</v>
      </c>
      <c r="AY60" s="61"/>
    </row>
    <row r="61" spans="1:51" customFormat="1" ht="31.15" customHeight="1" x14ac:dyDescent="0.25">
      <c r="A61" s="51" t="s">
        <v>520</v>
      </c>
      <c r="B61" s="52" t="s">
        <v>521</v>
      </c>
      <c r="C61" s="51" t="s">
        <v>522</v>
      </c>
      <c r="D61" s="53">
        <v>45291</v>
      </c>
      <c r="E61" s="51" t="s">
        <v>253</v>
      </c>
      <c r="F61" s="54">
        <v>905827</v>
      </c>
      <c r="G61" s="54">
        <v>904542</v>
      </c>
      <c r="H61" s="54">
        <v>0</v>
      </c>
      <c r="I61" s="54">
        <v>667341</v>
      </c>
      <c r="J61" s="54">
        <v>3118</v>
      </c>
      <c r="K61" s="54">
        <v>144736</v>
      </c>
      <c r="L61" s="54">
        <v>52080</v>
      </c>
      <c r="M61" s="54">
        <v>583</v>
      </c>
      <c r="N61" s="54">
        <v>912</v>
      </c>
      <c r="O61" s="54">
        <v>9311</v>
      </c>
      <c r="P61" s="54">
        <v>0</v>
      </c>
      <c r="Q61" s="54">
        <v>0</v>
      </c>
      <c r="R61" s="54">
        <v>4638</v>
      </c>
      <c r="S61" s="54">
        <v>0</v>
      </c>
      <c r="T61" s="54">
        <v>0</v>
      </c>
      <c r="U61" s="54">
        <v>7649</v>
      </c>
      <c r="V61" s="54">
        <v>24735</v>
      </c>
      <c r="W61" s="54">
        <v>807</v>
      </c>
      <c r="X61" s="55">
        <v>5.5690485221603003</v>
      </c>
      <c r="Y61" s="55">
        <v>17.250667565395499</v>
      </c>
      <c r="Z61" s="55">
        <v>15.7550023802577</v>
      </c>
      <c r="AA61" s="55">
        <v>-8.2020412207689297</v>
      </c>
      <c r="AB61" s="54">
        <v>740472</v>
      </c>
      <c r="AC61" s="54">
        <v>37613</v>
      </c>
      <c r="AD61" s="54">
        <v>0</v>
      </c>
      <c r="AE61" s="54">
        <v>23179</v>
      </c>
      <c r="AF61" s="54">
        <v>0</v>
      </c>
      <c r="AG61" s="54">
        <v>463244</v>
      </c>
      <c r="AH61" s="54">
        <v>34357</v>
      </c>
      <c r="AI61" s="54">
        <v>0</v>
      </c>
      <c r="AJ61" s="54">
        <v>223443</v>
      </c>
      <c r="AK61" s="54">
        <v>140630</v>
      </c>
      <c r="AL61" s="54">
        <v>3286</v>
      </c>
      <c r="AM61" s="54">
        <v>194564</v>
      </c>
      <c r="AN61" s="51" t="s">
        <v>523</v>
      </c>
      <c r="AO61" s="51" t="s">
        <v>524</v>
      </c>
      <c r="AP61" s="54">
        <v>0</v>
      </c>
      <c r="AQ61" s="54">
        <v>313680</v>
      </c>
      <c r="AR61" s="54">
        <v>50879</v>
      </c>
      <c r="AS61" s="54">
        <v>88</v>
      </c>
      <c r="AT61" s="54">
        <v>60955</v>
      </c>
      <c r="AU61" s="54">
        <v>288368</v>
      </c>
      <c r="AV61" s="54">
        <v>262761</v>
      </c>
      <c r="AW61" s="54">
        <v>0</v>
      </c>
      <c r="AX61" s="54">
        <v>37</v>
      </c>
      <c r="AY61" s="54">
        <v>40368</v>
      </c>
    </row>
    <row r="62" spans="1:51" customFormat="1" ht="31.15" customHeight="1" x14ac:dyDescent="0.25">
      <c r="A62" s="56" t="s">
        <v>525</v>
      </c>
      <c r="B62" s="57" t="s">
        <v>526</v>
      </c>
      <c r="C62" s="56" t="s">
        <v>527</v>
      </c>
      <c r="D62" s="58">
        <v>45291</v>
      </c>
      <c r="E62" s="56" t="s">
        <v>253</v>
      </c>
      <c r="F62" s="59">
        <v>896178</v>
      </c>
      <c r="G62" s="59">
        <v>865693</v>
      </c>
      <c r="H62" s="59">
        <v>8076</v>
      </c>
      <c r="I62" s="59">
        <v>618523</v>
      </c>
      <c r="J62" s="59">
        <v>-108</v>
      </c>
      <c r="K62" s="59">
        <v>137147</v>
      </c>
      <c r="L62" s="59">
        <v>91358</v>
      </c>
      <c r="M62" s="59">
        <v>4097</v>
      </c>
      <c r="N62" s="59">
        <v>1826</v>
      </c>
      <c r="O62" s="59">
        <v>27621</v>
      </c>
      <c r="P62" s="59">
        <v>0</v>
      </c>
      <c r="Q62" s="59">
        <v>294</v>
      </c>
      <c r="R62" s="59">
        <v>-15677</v>
      </c>
      <c r="S62" s="59">
        <v>847</v>
      </c>
      <c r="T62" s="59">
        <v>760</v>
      </c>
      <c r="U62" s="59">
        <v>-1662</v>
      </c>
      <c r="V62" s="59">
        <v>3012</v>
      </c>
      <c r="W62" s="59">
        <v>1403</v>
      </c>
      <c r="X62" s="60">
        <v>10.0502902239161</v>
      </c>
      <c r="Y62" s="60">
        <v>22.5579525280525</v>
      </c>
      <c r="Z62" s="60">
        <v>31.3253852793626</v>
      </c>
      <c r="AA62" s="60">
        <v>21.440663619434599</v>
      </c>
      <c r="AB62" s="59">
        <v>726189</v>
      </c>
      <c r="AC62" s="59">
        <v>33693</v>
      </c>
      <c r="AD62" s="59">
        <v>0</v>
      </c>
      <c r="AE62" s="59">
        <v>160707</v>
      </c>
      <c r="AF62" s="59">
        <v>0</v>
      </c>
      <c r="AG62" s="59">
        <v>166717</v>
      </c>
      <c r="AH62" s="59">
        <v>216664</v>
      </c>
      <c r="AI62" s="59">
        <v>0</v>
      </c>
      <c r="AJ62" s="59">
        <v>452611</v>
      </c>
      <c r="AK62" s="59">
        <v>259889</v>
      </c>
      <c r="AL62" s="59">
        <v>131899</v>
      </c>
      <c r="AM62" s="59">
        <v>0</v>
      </c>
      <c r="AN62" s="56" t="s">
        <v>528</v>
      </c>
      <c r="AO62" s="56" t="s">
        <v>529</v>
      </c>
      <c r="AP62" s="59">
        <v>0</v>
      </c>
      <c r="AQ62" s="59">
        <v>129214</v>
      </c>
      <c r="AR62" s="59">
        <v>209161</v>
      </c>
      <c r="AS62" s="59">
        <v>4483</v>
      </c>
      <c r="AT62" s="59">
        <v>88062</v>
      </c>
      <c r="AU62" s="59">
        <v>821</v>
      </c>
      <c r="AV62" s="59">
        <v>542915</v>
      </c>
      <c r="AW62" s="59">
        <v>3081</v>
      </c>
      <c r="AX62" s="59">
        <v>1842</v>
      </c>
      <c r="AY62" s="59">
        <v>35442</v>
      </c>
    </row>
    <row r="63" spans="1:51" customFormat="1" ht="99.6" customHeight="1" x14ac:dyDescent="0.25">
      <c r="A63" s="51" t="s">
        <v>530</v>
      </c>
      <c r="B63" s="52" t="s">
        <v>531</v>
      </c>
      <c r="C63" s="51" t="s">
        <v>532</v>
      </c>
      <c r="D63" s="53">
        <v>45107</v>
      </c>
      <c r="E63" s="51" t="s">
        <v>253</v>
      </c>
      <c r="F63" s="54">
        <v>863870.23800000001</v>
      </c>
      <c r="G63" s="54">
        <v>836755.26899999997</v>
      </c>
      <c r="H63" s="54">
        <v>-454.27</v>
      </c>
      <c r="I63" s="54">
        <v>479932.72</v>
      </c>
      <c r="J63" s="54">
        <v>-5759.9070000000002</v>
      </c>
      <c r="K63" s="54">
        <v>244926.715</v>
      </c>
      <c r="L63" s="54">
        <v>79653.979000000007</v>
      </c>
      <c r="M63" s="54">
        <v>2835.0610000000001</v>
      </c>
      <c r="N63" s="54">
        <v>10949.06</v>
      </c>
      <c r="O63" s="54">
        <v>30829.366000000002</v>
      </c>
      <c r="P63" s="54">
        <v>280</v>
      </c>
      <c r="Q63" s="54">
        <v>0</v>
      </c>
      <c r="R63" s="54">
        <v>-13543.036</v>
      </c>
      <c r="S63" s="54">
        <v>0</v>
      </c>
      <c r="T63" s="54">
        <v>0</v>
      </c>
      <c r="U63" s="54">
        <v>12.308999999999999</v>
      </c>
      <c r="V63" s="54">
        <v>6667.8990000000003</v>
      </c>
      <c r="W63" s="54">
        <v>2144</v>
      </c>
      <c r="X63" s="55">
        <v>19.568423198408102</v>
      </c>
      <c r="Y63" s="55">
        <v>33.736204446189397</v>
      </c>
      <c r="Z63" s="55">
        <v>32.534358213210602</v>
      </c>
      <c r="AA63" s="55">
        <v>85.932508383925594</v>
      </c>
      <c r="AB63" s="54">
        <v>874850.98100000003</v>
      </c>
      <c r="AC63" s="54">
        <v>64345.525999999998</v>
      </c>
      <c r="AD63" s="54">
        <v>0</v>
      </c>
      <c r="AE63" s="54">
        <v>196346.83</v>
      </c>
      <c r="AF63" s="54">
        <v>0</v>
      </c>
      <c r="AG63" s="54">
        <v>293481.614</v>
      </c>
      <c r="AH63" s="54">
        <v>223755.30100000001</v>
      </c>
      <c r="AI63" s="54">
        <v>0</v>
      </c>
      <c r="AJ63" s="54">
        <v>432549.75</v>
      </c>
      <c r="AK63" s="54">
        <v>211009.579</v>
      </c>
      <c r="AL63" s="54">
        <v>115897.075</v>
      </c>
      <c r="AM63" s="54">
        <v>0</v>
      </c>
      <c r="AN63" s="51" t="s">
        <v>533</v>
      </c>
      <c r="AO63" s="51" t="s">
        <v>534</v>
      </c>
      <c r="AP63" s="54">
        <v>361.5</v>
      </c>
      <c r="AQ63" s="54">
        <v>50150.658000000003</v>
      </c>
      <c r="AR63" s="54">
        <v>298649.90000000002</v>
      </c>
      <c r="AS63" s="54">
        <v>107299.38499999999</v>
      </c>
      <c r="AT63" s="54">
        <v>104021.266</v>
      </c>
      <c r="AU63" s="54">
        <v>0</v>
      </c>
      <c r="AV63" s="54">
        <v>547761.53700000001</v>
      </c>
      <c r="AW63" s="54">
        <v>10277.299999999999</v>
      </c>
      <c r="AX63" s="54">
        <v>2124.3670000000002</v>
      </c>
      <c r="AY63" s="54">
        <v>27457.602999999999</v>
      </c>
    </row>
    <row r="64" spans="1:51" customFormat="1" ht="45.6" customHeight="1" x14ac:dyDescent="0.25">
      <c r="A64" s="56" t="s">
        <v>535</v>
      </c>
      <c r="B64" s="57" t="s">
        <v>536</v>
      </c>
      <c r="C64" s="56" t="s">
        <v>537</v>
      </c>
      <c r="D64" s="58">
        <v>45291</v>
      </c>
      <c r="E64" s="56" t="s">
        <v>253</v>
      </c>
      <c r="F64" s="59">
        <v>937600.54500000004</v>
      </c>
      <c r="G64" s="59">
        <v>919095.14099999995</v>
      </c>
      <c r="H64" s="59">
        <v>0</v>
      </c>
      <c r="I64" s="59">
        <v>653266.674</v>
      </c>
      <c r="J64" s="59">
        <v>4100.076</v>
      </c>
      <c r="K64" s="59">
        <v>95093.081999999995</v>
      </c>
      <c r="L64" s="59">
        <v>119402.196</v>
      </c>
      <c r="M64" s="59">
        <v>15888.135</v>
      </c>
      <c r="N64" s="59">
        <v>20389.148000000001</v>
      </c>
      <c r="O64" s="59">
        <v>21318.79</v>
      </c>
      <c r="P64" s="59">
        <v>155.80000000000001</v>
      </c>
      <c r="Q64" s="59">
        <v>952.35799999999995</v>
      </c>
      <c r="R64" s="59">
        <v>1156.28</v>
      </c>
      <c r="S64" s="59">
        <v>-7248.9319999999998</v>
      </c>
      <c r="T64" s="59">
        <v>0</v>
      </c>
      <c r="U64" s="59">
        <v>-151.672</v>
      </c>
      <c r="V64" s="59">
        <v>1093.306</v>
      </c>
      <c r="W64" s="59">
        <v>3268</v>
      </c>
      <c r="X64" s="60">
        <v>0.61991247525550996</v>
      </c>
      <c r="Y64" s="60">
        <v>4.5550236956881802</v>
      </c>
      <c r="Z64" s="60">
        <v>1.77200356703734</v>
      </c>
      <c r="AA64" s="60">
        <v>356.002260625188</v>
      </c>
      <c r="AB64" s="59">
        <v>1312192.524</v>
      </c>
      <c r="AC64" s="59">
        <v>64314.135999999999</v>
      </c>
      <c r="AD64" s="59">
        <v>844.13300000000004</v>
      </c>
      <c r="AE64" s="59">
        <v>45160.175000000003</v>
      </c>
      <c r="AF64" s="59">
        <v>0</v>
      </c>
      <c r="AG64" s="59">
        <v>272829.88500000001</v>
      </c>
      <c r="AH64" s="59">
        <v>150386.39499999999</v>
      </c>
      <c r="AI64" s="59">
        <v>388.02199999999999</v>
      </c>
      <c r="AJ64" s="59">
        <v>895446.91200000001</v>
      </c>
      <c r="AK64" s="59">
        <v>783112.826</v>
      </c>
      <c r="AL64" s="59">
        <v>20892.871999999999</v>
      </c>
      <c r="AM64" s="59">
        <v>801.55700000000002</v>
      </c>
      <c r="AN64" s="56" t="s">
        <v>309</v>
      </c>
      <c r="AO64" s="56" t="s">
        <v>310</v>
      </c>
      <c r="AP64" s="59">
        <v>0</v>
      </c>
      <c r="AQ64" s="59">
        <v>148902.242</v>
      </c>
      <c r="AR64" s="59">
        <v>444414.408</v>
      </c>
      <c r="AS64" s="59">
        <v>455430.17599999998</v>
      </c>
      <c r="AT64" s="59">
        <v>130744.628</v>
      </c>
      <c r="AU64" s="59">
        <v>63308.728999999999</v>
      </c>
      <c r="AV64" s="59">
        <v>995056.10900000005</v>
      </c>
      <c r="AW64" s="59">
        <v>8355.7790000000005</v>
      </c>
      <c r="AX64" s="59">
        <v>3339.2939999999999</v>
      </c>
      <c r="AY64" s="59">
        <v>6217.7489999999998</v>
      </c>
    </row>
    <row r="65" spans="1:51" customFormat="1" ht="31.15" customHeight="1" x14ac:dyDescent="0.25">
      <c r="A65" s="51" t="s">
        <v>538</v>
      </c>
      <c r="B65" s="52" t="s">
        <v>539</v>
      </c>
      <c r="C65" s="51" t="s">
        <v>540</v>
      </c>
      <c r="D65" s="53">
        <v>45169</v>
      </c>
      <c r="E65" s="51" t="s">
        <v>253</v>
      </c>
      <c r="F65" s="54">
        <v>869727</v>
      </c>
      <c r="G65" s="54">
        <v>805718</v>
      </c>
      <c r="H65" s="54">
        <v>0</v>
      </c>
      <c r="I65" s="54">
        <v>62200</v>
      </c>
      <c r="J65" s="54">
        <v>0</v>
      </c>
      <c r="K65" s="54">
        <v>324331</v>
      </c>
      <c r="L65" s="54">
        <v>276367</v>
      </c>
      <c r="M65" s="54">
        <v>5153</v>
      </c>
      <c r="N65" s="54">
        <v>682</v>
      </c>
      <c r="O65" s="54">
        <v>120428</v>
      </c>
      <c r="P65" s="54">
        <v>8608</v>
      </c>
      <c r="Q65" s="54">
        <v>0</v>
      </c>
      <c r="R65" s="54">
        <v>-4875</v>
      </c>
      <c r="S65" s="54">
        <v>0</v>
      </c>
      <c r="T65" s="54">
        <v>0</v>
      </c>
      <c r="U65" s="54">
        <v>10588</v>
      </c>
      <c r="V65" s="54">
        <v>56495</v>
      </c>
      <c r="W65" s="54">
        <v>5330</v>
      </c>
      <c r="X65" s="55">
        <v>7.6686653365956996</v>
      </c>
      <c r="Y65" s="55">
        <v>20.256597397906599</v>
      </c>
      <c r="Z65" s="55">
        <v>29.440096134073599</v>
      </c>
      <c r="AA65" s="55">
        <v>26.1241534840727</v>
      </c>
      <c r="AB65" s="54">
        <v>1401204</v>
      </c>
      <c r="AC65" s="54">
        <v>1476</v>
      </c>
      <c r="AD65" s="54">
        <v>0</v>
      </c>
      <c r="AE65" s="54">
        <v>26125</v>
      </c>
      <c r="AF65" s="54">
        <v>0</v>
      </c>
      <c r="AG65" s="54">
        <v>856076</v>
      </c>
      <c r="AH65" s="54">
        <v>123286</v>
      </c>
      <c r="AI65" s="54">
        <v>0</v>
      </c>
      <c r="AJ65" s="54">
        <v>494540</v>
      </c>
      <c r="AK65" s="54">
        <v>16976</v>
      </c>
      <c r="AL65" s="54">
        <v>54</v>
      </c>
      <c r="AM65" s="54">
        <v>0</v>
      </c>
      <c r="AN65" s="51" t="s">
        <v>541</v>
      </c>
      <c r="AO65" s="51" t="s">
        <v>542</v>
      </c>
      <c r="AP65" s="54">
        <v>0</v>
      </c>
      <c r="AQ65" s="54">
        <v>88</v>
      </c>
      <c r="AR65" s="54">
        <v>1122619</v>
      </c>
      <c r="AS65" s="54">
        <v>113</v>
      </c>
      <c r="AT65" s="54">
        <v>234068</v>
      </c>
      <c r="AU65" s="54">
        <v>0</v>
      </c>
      <c r="AV65" s="54">
        <v>505900</v>
      </c>
      <c r="AW65" s="54">
        <v>10017</v>
      </c>
      <c r="AX65" s="54">
        <v>18137</v>
      </c>
      <c r="AY65" s="54">
        <v>152537</v>
      </c>
    </row>
    <row r="66" spans="1:51" customFormat="1" ht="72" customHeight="1" x14ac:dyDescent="0.25">
      <c r="A66" s="56" t="s">
        <v>543</v>
      </c>
      <c r="B66" s="57" t="s">
        <v>544</v>
      </c>
      <c r="C66" s="56" t="s">
        <v>545</v>
      </c>
      <c r="D66" s="58">
        <v>45291</v>
      </c>
      <c r="E66" s="56" t="s">
        <v>253</v>
      </c>
      <c r="F66" s="59">
        <v>837376.45799999998</v>
      </c>
      <c r="G66" s="59">
        <v>827415.51500000001</v>
      </c>
      <c r="H66" s="59">
        <v>-1490.0229999999999</v>
      </c>
      <c r="I66" s="59">
        <v>625295.40399999998</v>
      </c>
      <c r="J66" s="59">
        <v>-1359.124</v>
      </c>
      <c r="K66" s="59">
        <v>58830.671000000002</v>
      </c>
      <c r="L66" s="59">
        <v>127227.81600000001</v>
      </c>
      <c r="M66" s="59">
        <v>578.85599999999999</v>
      </c>
      <c r="N66" s="59">
        <v>8657.4320000000007</v>
      </c>
      <c r="O66" s="59">
        <v>12883.657999999999</v>
      </c>
      <c r="P66" s="59">
        <v>0</v>
      </c>
      <c r="Q66" s="59">
        <v>0</v>
      </c>
      <c r="R66" s="59">
        <v>-5205.9369999999999</v>
      </c>
      <c r="S66" s="59">
        <v>0</v>
      </c>
      <c r="T66" s="59">
        <v>0</v>
      </c>
      <c r="U66" s="59">
        <v>0.60299999999999998</v>
      </c>
      <c r="V66" s="59">
        <v>55.204999999999998</v>
      </c>
      <c r="W66" s="59">
        <v>5481</v>
      </c>
      <c r="X66" s="60">
        <v>-2.2380723885284501</v>
      </c>
      <c r="Y66" s="60">
        <v>27.5260026523524</v>
      </c>
      <c r="Z66" s="60">
        <v>69.549139239812305</v>
      </c>
      <c r="AA66" s="60">
        <v>141.02483689509501</v>
      </c>
      <c r="AB66" s="59">
        <v>206571.239</v>
      </c>
      <c r="AC66" s="59">
        <v>43877.561000000002</v>
      </c>
      <c r="AD66" s="59">
        <v>0</v>
      </c>
      <c r="AE66" s="59">
        <v>13121.923000000001</v>
      </c>
      <c r="AF66" s="59">
        <v>0</v>
      </c>
      <c r="AG66" s="59">
        <v>8335.0689999999995</v>
      </c>
      <c r="AH66" s="59">
        <v>39869.184000000001</v>
      </c>
      <c r="AI66" s="59">
        <v>0</v>
      </c>
      <c r="AJ66" s="59">
        <v>179487.08300000001</v>
      </c>
      <c r="AK66" s="59">
        <v>2.1999999999999999E-2</v>
      </c>
      <c r="AL66" s="59">
        <v>11.353</v>
      </c>
      <c r="AM66" s="59">
        <v>0</v>
      </c>
      <c r="AN66" s="56" t="s">
        <v>546</v>
      </c>
      <c r="AO66" s="56" t="s">
        <v>547</v>
      </c>
      <c r="AP66" s="59">
        <v>0</v>
      </c>
      <c r="AQ66" s="59">
        <v>1004.7329999999999</v>
      </c>
      <c r="AR66" s="59">
        <v>126312.039</v>
      </c>
      <c r="AS66" s="59">
        <v>12327.736000000001</v>
      </c>
      <c r="AT66" s="59">
        <v>52125.444000000003</v>
      </c>
      <c r="AU66" s="59">
        <v>0</v>
      </c>
      <c r="AV66" s="59">
        <v>179487.08300000001</v>
      </c>
      <c r="AW66" s="59">
        <v>9583.4249999999993</v>
      </c>
      <c r="AX66" s="59">
        <v>1668.011</v>
      </c>
      <c r="AY66" s="59">
        <v>7528.4369999999999</v>
      </c>
    </row>
    <row r="67" spans="1:51" customFormat="1" ht="18" customHeight="1" x14ac:dyDescent="0.25">
      <c r="A67" s="51" t="s">
        <v>548</v>
      </c>
      <c r="B67" s="52" t="s">
        <v>549</v>
      </c>
      <c r="C67" s="51" t="s">
        <v>550</v>
      </c>
      <c r="D67" s="53">
        <v>45291</v>
      </c>
      <c r="E67" s="51" t="s">
        <v>253</v>
      </c>
      <c r="F67" s="54">
        <v>855632</v>
      </c>
      <c r="G67" s="54">
        <v>826616</v>
      </c>
      <c r="H67" s="54">
        <v>-17483</v>
      </c>
      <c r="I67" s="54">
        <v>390614</v>
      </c>
      <c r="J67" s="54">
        <v>0</v>
      </c>
      <c r="K67" s="54">
        <v>202318</v>
      </c>
      <c r="L67" s="54">
        <v>84919</v>
      </c>
      <c r="M67" s="54">
        <v>8713</v>
      </c>
      <c r="N67" s="54">
        <v>0</v>
      </c>
      <c r="O67" s="54">
        <v>35256</v>
      </c>
      <c r="P67" s="54">
        <v>1105</v>
      </c>
      <c r="Q67" s="54">
        <v>0</v>
      </c>
      <c r="R67" s="54">
        <v>-5895</v>
      </c>
      <c r="S67" s="54">
        <v>0</v>
      </c>
      <c r="T67" s="54">
        <v>0</v>
      </c>
      <c r="U67" s="54">
        <v>35273</v>
      </c>
      <c r="V67" s="54">
        <v>91539</v>
      </c>
      <c r="W67" s="54">
        <v>1102</v>
      </c>
      <c r="X67" s="55">
        <v>9.7169130139313609</v>
      </c>
      <c r="Y67" s="55">
        <v>21.771590616138202</v>
      </c>
      <c r="Z67" s="55">
        <v>32.103839982612399</v>
      </c>
      <c r="AA67" s="55">
        <v>20.484771100239598</v>
      </c>
      <c r="AB67" s="54">
        <v>710098</v>
      </c>
      <c r="AC67" s="54">
        <v>20253</v>
      </c>
      <c r="AD67" s="54">
        <v>0</v>
      </c>
      <c r="AE67" s="54">
        <v>78751</v>
      </c>
      <c r="AF67" s="54">
        <v>0</v>
      </c>
      <c r="AG67" s="54">
        <v>236362</v>
      </c>
      <c r="AH67" s="54">
        <v>136497</v>
      </c>
      <c r="AI67" s="54">
        <v>0</v>
      </c>
      <c r="AJ67" s="54">
        <v>267207</v>
      </c>
      <c r="AK67" s="54">
        <v>25287</v>
      </c>
      <c r="AL67" s="54">
        <v>6063</v>
      </c>
      <c r="AM67" s="54">
        <v>158592</v>
      </c>
      <c r="AN67" s="51" t="s">
        <v>551</v>
      </c>
      <c r="AO67" s="51" t="s">
        <v>552</v>
      </c>
      <c r="AP67" s="54">
        <v>0</v>
      </c>
      <c r="AQ67" s="54">
        <v>4127</v>
      </c>
      <c r="AR67" s="54">
        <v>228525</v>
      </c>
      <c r="AS67" s="54">
        <v>140755</v>
      </c>
      <c r="AT67" s="54">
        <v>92622</v>
      </c>
      <c r="AU67" s="54">
        <v>158592</v>
      </c>
      <c r="AV67" s="54">
        <v>455762</v>
      </c>
      <c r="AW67" s="54">
        <v>1932</v>
      </c>
      <c r="AX67" s="54">
        <v>663</v>
      </c>
      <c r="AY67" s="54">
        <v>139406</v>
      </c>
    </row>
    <row r="68" spans="1:51" customFormat="1" ht="31.15" customHeight="1" x14ac:dyDescent="0.25">
      <c r="A68" s="56" t="s">
        <v>553</v>
      </c>
      <c r="B68" s="57" t="s">
        <v>554</v>
      </c>
      <c r="C68" s="56" t="s">
        <v>555</v>
      </c>
      <c r="D68" s="58">
        <v>45291</v>
      </c>
      <c r="E68" s="56" t="s">
        <v>253</v>
      </c>
      <c r="F68" s="59">
        <v>832391</v>
      </c>
      <c r="G68" s="59">
        <v>825297</v>
      </c>
      <c r="H68" s="59">
        <v>0</v>
      </c>
      <c r="I68" s="59">
        <v>635633</v>
      </c>
      <c r="J68" s="59">
        <v>-1025</v>
      </c>
      <c r="K68" s="59">
        <v>61351</v>
      </c>
      <c r="L68" s="59">
        <v>71944</v>
      </c>
      <c r="M68" s="59">
        <v>4738</v>
      </c>
      <c r="N68" s="59">
        <v>5629</v>
      </c>
      <c r="O68" s="59">
        <v>25780</v>
      </c>
      <c r="P68" s="59">
        <v>0</v>
      </c>
      <c r="Q68" s="59">
        <v>0</v>
      </c>
      <c r="R68" s="59">
        <v>-1129</v>
      </c>
      <c r="S68" s="59">
        <v>0</v>
      </c>
      <c r="T68" s="59">
        <v>-658</v>
      </c>
      <c r="U68" s="59">
        <v>6907</v>
      </c>
      <c r="V68" s="59">
        <v>19647</v>
      </c>
      <c r="W68" s="59">
        <v>2626</v>
      </c>
      <c r="X68" s="60">
        <v>7.36520433677385</v>
      </c>
      <c r="Y68" s="60">
        <v>15.099849796451201</v>
      </c>
      <c r="Z68" s="60">
        <v>38.051547460932902</v>
      </c>
      <c r="AA68" s="60">
        <v>52.226253761989099</v>
      </c>
      <c r="AB68" s="59">
        <v>370350</v>
      </c>
      <c r="AC68" s="59">
        <v>26076</v>
      </c>
      <c r="AD68" s="59">
        <v>0</v>
      </c>
      <c r="AE68" s="59">
        <v>65590</v>
      </c>
      <c r="AF68" s="59">
        <v>0</v>
      </c>
      <c r="AG68" s="59">
        <v>89314</v>
      </c>
      <c r="AH68" s="59">
        <v>134606</v>
      </c>
      <c r="AI68" s="59">
        <v>0</v>
      </c>
      <c r="AJ68" s="59">
        <v>179216</v>
      </c>
      <c r="AK68" s="59">
        <v>93035</v>
      </c>
      <c r="AL68" s="59">
        <v>46818</v>
      </c>
      <c r="AM68" s="59">
        <v>0</v>
      </c>
      <c r="AN68" s="56" t="s">
        <v>314</v>
      </c>
      <c r="AO68" s="56" t="s">
        <v>315</v>
      </c>
      <c r="AP68" s="59">
        <v>0</v>
      </c>
      <c r="AQ68" s="59">
        <v>76437</v>
      </c>
      <c r="AR68" s="59">
        <v>129674</v>
      </c>
      <c r="AS68" s="59">
        <v>2561</v>
      </c>
      <c r="AT68" s="59">
        <v>41651</v>
      </c>
      <c r="AU68" s="59">
        <v>0</v>
      </c>
      <c r="AV68" s="59">
        <v>264819</v>
      </c>
      <c r="AW68" s="59">
        <v>11551</v>
      </c>
      <c r="AX68" s="59">
        <v>7619</v>
      </c>
      <c r="AY68" s="59">
        <v>35553</v>
      </c>
    </row>
    <row r="69" spans="1:51" customFormat="1" ht="31.15" customHeight="1" x14ac:dyDescent="0.25">
      <c r="A69" s="56" t="s">
        <v>556</v>
      </c>
      <c r="B69" s="57" t="s">
        <v>557</v>
      </c>
      <c r="C69" s="56" t="s">
        <v>558</v>
      </c>
      <c r="D69" s="58">
        <v>45291</v>
      </c>
      <c r="E69" s="56" t="s">
        <v>253</v>
      </c>
      <c r="F69" s="59">
        <v>731727</v>
      </c>
      <c r="G69" s="59">
        <v>727439</v>
      </c>
      <c r="H69" s="59">
        <v>-1191</v>
      </c>
      <c r="I69" s="59">
        <v>617968</v>
      </c>
      <c r="J69" s="59">
        <v>-1212</v>
      </c>
      <c r="K69" s="59">
        <v>50264</v>
      </c>
      <c r="L69" s="59">
        <v>33391</v>
      </c>
      <c r="M69" s="59">
        <v>927</v>
      </c>
      <c r="N69" s="59">
        <v>412</v>
      </c>
      <c r="O69" s="59">
        <v>8894</v>
      </c>
      <c r="P69" s="59">
        <v>170</v>
      </c>
      <c r="Q69" s="59">
        <v>0</v>
      </c>
      <c r="R69" s="59">
        <v>-11148</v>
      </c>
      <c r="S69" s="59">
        <v>0</v>
      </c>
      <c r="T69" s="59">
        <v>20</v>
      </c>
      <c r="U69" s="59">
        <v>3173</v>
      </c>
      <c r="V69" s="59">
        <v>6612</v>
      </c>
      <c r="W69" s="59">
        <v>532</v>
      </c>
      <c r="X69" s="60">
        <v>5.3705079791356098</v>
      </c>
      <c r="Y69" s="60">
        <v>19.087134891609299</v>
      </c>
      <c r="Z69" s="60">
        <v>78.039032365437706</v>
      </c>
      <c r="AA69" s="60">
        <v>59.583467180640298</v>
      </c>
      <c r="AB69" s="59">
        <v>522573</v>
      </c>
      <c r="AC69" s="59">
        <v>122683</v>
      </c>
      <c r="AD69" s="59">
        <v>0</v>
      </c>
      <c r="AE69" s="59">
        <v>251054</v>
      </c>
      <c r="AF69" s="59">
        <v>0</v>
      </c>
      <c r="AG69" s="59">
        <v>53989</v>
      </c>
      <c r="AH69" s="59">
        <v>174078</v>
      </c>
      <c r="AI69" s="59">
        <v>0</v>
      </c>
      <c r="AJ69" s="59">
        <v>373112</v>
      </c>
      <c r="AK69" s="59">
        <v>271712</v>
      </c>
      <c r="AL69" s="59">
        <v>57481</v>
      </c>
      <c r="AM69" s="59">
        <v>0</v>
      </c>
      <c r="AN69" s="56" t="s">
        <v>523</v>
      </c>
      <c r="AO69" s="56" t="s">
        <v>524</v>
      </c>
      <c r="AP69" s="59">
        <v>0</v>
      </c>
      <c r="AQ69" s="59">
        <v>4158</v>
      </c>
      <c r="AR69" s="59">
        <v>56885</v>
      </c>
      <c r="AS69" s="59">
        <v>957</v>
      </c>
      <c r="AT69" s="59">
        <v>151139</v>
      </c>
      <c r="AU69" s="59">
        <v>0</v>
      </c>
      <c r="AV69" s="59">
        <v>460446</v>
      </c>
      <c r="AW69" s="59">
        <v>2020</v>
      </c>
      <c r="AX69" s="59">
        <v>899</v>
      </c>
      <c r="AY69" s="59">
        <v>18678</v>
      </c>
    </row>
    <row r="70" spans="1:51" customFormat="1" ht="31.15" customHeight="1" x14ac:dyDescent="0.25">
      <c r="A70" s="51" t="s">
        <v>559</v>
      </c>
      <c r="B70" s="52" t="s">
        <v>560</v>
      </c>
      <c r="C70" s="51" t="s">
        <v>561</v>
      </c>
      <c r="D70" s="53">
        <v>45291</v>
      </c>
      <c r="E70" s="51" t="s">
        <v>253</v>
      </c>
      <c r="F70" s="54">
        <v>834708.62899999996</v>
      </c>
      <c r="G70" s="54">
        <v>820690.63100000005</v>
      </c>
      <c r="H70" s="54">
        <v>0</v>
      </c>
      <c r="I70" s="54">
        <v>597251.65300000005</v>
      </c>
      <c r="J70" s="54">
        <v>-54.94</v>
      </c>
      <c r="K70" s="54">
        <v>86106.216</v>
      </c>
      <c r="L70" s="54">
        <v>92148.29</v>
      </c>
      <c r="M70" s="54">
        <v>6352.8860000000004</v>
      </c>
      <c r="N70" s="54">
        <v>34685.214999999997</v>
      </c>
      <c r="O70" s="54">
        <v>14516.798000000001</v>
      </c>
      <c r="P70" s="54">
        <v>0</v>
      </c>
      <c r="Q70" s="54">
        <v>4037.502</v>
      </c>
      <c r="R70" s="54">
        <v>30912.419000000002</v>
      </c>
      <c r="S70" s="54">
        <v>-17796.117999999999</v>
      </c>
      <c r="T70" s="54">
        <v>0</v>
      </c>
      <c r="U70" s="54">
        <v>2396.1</v>
      </c>
      <c r="V70" s="54">
        <v>10385.209999999999</v>
      </c>
      <c r="W70" s="54">
        <v>2732</v>
      </c>
      <c r="X70" s="55">
        <v>3.4362660957575</v>
      </c>
      <c r="Y70" s="55">
        <v>9.3962829027422998</v>
      </c>
      <c r="Z70" s="55">
        <v>8.3881135934925606</v>
      </c>
      <c r="AA70" s="55">
        <v>342.59958860335797</v>
      </c>
      <c r="AB70" s="54">
        <v>1658098.9480000001</v>
      </c>
      <c r="AC70" s="54">
        <v>5459.7380000000003</v>
      </c>
      <c r="AD70" s="54">
        <v>0</v>
      </c>
      <c r="AE70" s="54">
        <v>36556.038999999997</v>
      </c>
      <c r="AF70" s="54">
        <v>0</v>
      </c>
      <c r="AG70" s="54">
        <v>779190.745</v>
      </c>
      <c r="AH70" s="54">
        <v>18449.788</v>
      </c>
      <c r="AI70" s="54">
        <v>0</v>
      </c>
      <c r="AJ70" s="54">
        <v>768947.36100000003</v>
      </c>
      <c r="AK70" s="54">
        <v>759495.96799999999</v>
      </c>
      <c r="AL70" s="54">
        <v>51877.608999999997</v>
      </c>
      <c r="AM70" s="54">
        <v>0</v>
      </c>
      <c r="AN70" s="51" t="s">
        <v>325</v>
      </c>
      <c r="AO70" s="51" t="s">
        <v>326</v>
      </c>
      <c r="AP70" s="54">
        <v>0</v>
      </c>
      <c r="AQ70" s="54">
        <v>8077.1170000000002</v>
      </c>
      <c r="AR70" s="54">
        <v>40800.097999999998</v>
      </c>
      <c r="AS70" s="54">
        <v>452084.96899999998</v>
      </c>
      <c r="AT70" s="54">
        <v>414349.90899999999</v>
      </c>
      <c r="AU70" s="54">
        <v>647647.59</v>
      </c>
      <c r="AV70" s="54">
        <v>846504.09</v>
      </c>
      <c r="AW70" s="54">
        <v>2350.7440000000001</v>
      </c>
      <c r="AX70" s="54">
        <v>6705.6170000000002</v>
      </c>
      <c r="AY70" s="54">
        <v>3204.2069999999999</v>
      </c>
    </row>
    <row r="71" spans="1:51" customFormat="1" ht="45.6" customHeight="1" x14ac:dyDescent="0.25">
      <c r="A71" s="56" t="s">
        <v>562</v>
      </c>
      <c r="B71" s="57" t="s">
        <v>563</v>
      </c>
      <c r="C71" s="56" t="s">
        <v>564</v>
      </c>
      <c r="D71" s="58">
        <v>45291</v>
      </c>
      <c r="E71" s="56" t="s">
        <v>253</v>
      </c>
      <c r="F71" s="59">
        <v>819823.19099999999</v>
      </c>
      <c r="G71" s="59">
        <v>805167.70799999998</v>
      </c>
      <c r="H71" s="59">
        <v>0</v>
      </c>
      <c r="I71" s="59">
        <v>722819.07900000003</v>
      </c>
      <c r="J71" s="59">
        <v>-4676.1390000000001</v>
      </c>
      <c r="K71" s="59">
        <v>48057.989000000001</v>
      </c>
      <c r="L71" s="59">
        <v>13321.442999999999</v>
      </c>
      <c r="M71" s="59">
        <v>13421.737999999999</v>
      </c>
      <c r="N71" s="59">
        <v>9835.5290000000005</v>
      </c>
      <c r="O71" s="59">
        <v>5916.2340000000004</v>
      </c>
      <c r="P71" s="59">
        <v>1273.3779999999999</v>
      </c>
      <c r="Q71" s="59">
        <v>0</v>
      </c>
      <c r="R71" s="59">
        <v>-119.67700000000001</v>
      </c>
      <c r="S71" s="59">
        <v>-249.99799999999999</v>
      </c>
      <c r="T71" s="59">
        <v>0</v>
      </c>
      <c r="U71" s="59">
        <v>8922.3279999999995</v>
      </c>
      <c r="V71" s="59">
        <v>561.93700000000001</v>
      </c>
      <c r="W71" s="59">
        <v>327</v>
      </c>
      <c r="X71" s="60">
        <v>8.2543939866504407E-2</v>
      </c>
      <c r="Y71" s="60">
        <v>27.243624133139001</v>
      </c>
      <c r="Z71" s="60">
        <v>33.311329127917404</v>
      </c>
      <c r="AA71" s="60">
        <v>-18.8250171845079</v>
      </c>
      <c r="AB71" s="59">
        <v>331965.47700000001</v>
      </c>
      <c r="AC71" s="59">
        <v>83134.286999999997</v>
      </c>
      <c r="AD71" s="59">
        <v>0</v>
      </c>
      <c r="AE71" s="59">
        <v>53048.792999999998</v>
      </c>
      <c r="AF71" s="59">
        <v>0</v>
      </c>
      <c r="AG71" s="59">
        <v>118345.15</v>
      </c>
      <c r="AH71" s="59">
        <v>141041.51300000001</v>
      </c>
      <c r="AI71" s="59">
        <v>0</v>
      </c>
      <c r="AJ71" s="59">
        <v>170256.77799999999</v>
      </c>
      <c r="AK71" s="59">
        <v>37840.606</v>
      </c>
      <c r="AL71" s="59">
        <v>45474.118000000002</v>
      </c>
      <c r="AM71" s="59">
        <v>0</v>
      </c>
      <c r="AN71" s="56" t="s">
        <v>342</v>
      </c>
      <c r="AO71" s="56" t="s">
        <v>343</v>
      </c>
      <c r="AP71" s="59">
        <v>0</v>
      </c>
      <c r="AQ71" s="59">
        <v>10625.087</v>
      </c>
      <c r="AR71" s="59">
        <v>53216.805</v>
      </c>
      <c r="AS71" s="59">
        <v>4549.0590000000002</v>
      </c>
      <c r="AT71" s="59">
        <v>131540.51500000001</v>
      </c>
      <c r="AU71" s="59">
        <v>31555.437999999998</v>
      </c>
      <c r="AV71" s="59">
        <v>207667.28599999999</v>
      </c>
      <c r="AW71" s="59">
        <v>2018.2090000000001</v>
      </c>
      <c r="AX71" s="59">
        <v>1955.662</v>
      </c>
      <c r="AY71" s="59">
        <v>19427.382000000001</v>
      </c>
    </row>
    <row r="72" spans="1:51" customFormat="1" ht="45.6" customHeight="1" x14ac:dyDescent="0.25">
      <c r="A72" s="51" t="s">
        <v>565</v>
      </c>
      <c r="B72" s="52" t="s">
        <v>566</v>
      </c>
      <c r="C72" s="51" t="s">
        <v>567</v>
      </c>
      <c r="D72" s="53">
        <v>45291</v>
      </c>
      <c r="E72" s="51" t="s">
        <v>253</v>
      </c>
      <c r="F72" s="54">
        <v>752139.83</v>
      </c>
      <c r="G72" s="54">
        <v>745972.88899999997</v>
      </c>
      <c r="H72" s="54">
        <v>0</v>
      </c>
      <c r="I72" s="54">
        <v>540840.86600000004</v>
      </c>
      <c r="J72" s="54">
        <v>7029.1530000000002</v>
      </c>
      <c r="K72" s="54">
        <v>45333.294999999998</v>
      </c>
      <c r="L72" s="54">
        <v>89430.347999999998</v>
      </c>
      <c r="M72" s="54">
        <v>1687.163</v>
      </c>
      <c r="N72" s="54">
        <v>28889.455000000002</v>
      </c>
      <c r="O72" s="54">
        <v>9098.3549999999996</v>
      </c>
      <c r="P72" s="54">
        <v>300</v>
      </c>
      <c r="Q72" s="54">
        <v>0</v>
      </c>
      <c r="R72" s="54">
        <v>1338.0150000000001</v>
      </c>
      <c r="S72" s="54">
        <v>0</v>
      </c>
      <c r="T72" s="54">
        <v>0</v>
      </c>
      <c r="U72" s="54">
        <v>7993.3019999999997</v>
      </c>
      <c r="V72" s="54">
        <v>22875.907999999999</v>
      </c>
      <c r="W72" s="54">
        <v>1825</v>
      </c>
      <c r="X72" s="55">
        <v>16.808230965335799</v>
      </c>
      <c r="Y72" s="55">
        <v>30.0034013332413</v>
      </c>
      <c r="Z72" s="55">
        <v>49.620299320189503</v>
      </c>
      <c r="AA72" s="55">
        <v>50.033285017625097</v>
      </c>
      <c r="AB72" s="54">
        <v>267374.03700000001</v>
      </c>
      <c r="AC72" s="54">
        <v>27920.346000000001</v>
      </c>
      <c r="AD72" s="54">
        <v>0</v>
      </c>
      <c r="AE72" s="54">
        <v>79175.694000000003</v>
      </c>
      <c r="AF72" s="54">
        <v>0</v>
      </c>
      <c r="AG72" s="54">
        <v>137356.66399999999</v>
      </c>
      <c r="AH72" s="54">
        <v>98339.506999999998</v>
      </c>
      <c r="AI72" s="54">
        <v>0</v>
      </c>
      <c r="AJ72" s="54">
        <v>120307.04</v>
      </c>
      <c r="AK72" s="54">
        <v>24.09</v>
      </c>
      <c r="AL72" s="54">
        <v>65083.09</v>
      </c>
      <c r="AM72" s="54">
        <v>0</v>
      </c>
      <c r="AN72" s="51" t="s">
        <v>309</v>
      </c>
      <c r="AO72" s="51" t="s">
        <v>310</v>
      </c>
      <c r="AP72" s="54">
        <v>0</v>
      </c>
      <c r="AQ72" s="54">
        <v>15189.749</v>
      </c>
      <c r="AR72" s="54">
        <v>25334.066999999999</v>
      </c>
      <c r="AS72" s="54">
        <v>31182.223000000002</v>
      </c>
      <c r="AT72" s="54">
        <v>45982.646000000001</v>
      </c>
      <c r="AU72" s="54">
        <v>0</v>
      </c>
      <c r="AV72" s="54">
        <v>120307.04</v>
      </c>
      <c r="AW72" s="54">
        <v>2624.75</v>
      </c>
      <c r="AX72" s="54">
        <v>5426.5680000000002</v>
      </c>
      <c r="AY72" s="54">
        <v>25747.32</v>
      </c>
    </row>
    <row r="73" spans="1:51" customFormat="1" ht="45.6" customHeight="1" x14ac:dyDescent="0.25">
      <c r="A73" s="56" t="s">
        <v>568</v>
      </c>
      <c r="B73" s="57" t="s">
        <v>569</v>
      </c>
      <c r="C73" s="56" t="s">
        <v>570</v>
      </c>
      <c r="D73" s="58">
        <v>45291</v>
      </c>
      <c r="E73" s="56" t="s">
        <v>253</v>
      </c>
      <c r="F73" s="59">
        <v>802915.40899999999</v>
      </c>
      <c r="G73" s="59">
        <v>799838.18200000003</v>
      </c>
      <c r="H73" s="59">
        <v>0</v>
      </c>
      <c r="I73" s="59">
        <v>626207.049</v>
      </c>
      <c r="J73" s="59">
        <v>2814.674</v>
      </c>
      <c r="K73" s="59">
        <v>55120.394999999997</v>
      </c>
      <c r="L73" s="59">
        <v>80165.763999999996</v>
      </c>
      <c r="M73" s="59">
        <v>3082.4160000000002</v>
      </c>
      <c r="N73" s="59">
        <v>20086.214</v>
      </c>
      <c r="O73" s="59">
        <v>7464.82</v>
      </c>
      <c r="P73" s="59">
        <v>0</v>
      </c>
      <c r="Q73" s="59">
        <v>0</v>
      </c>
      <c r="R73" s="59">
        <v>-21.321999999999999</v>
      </c>
      <c r="S73" s="59">
        <v>0</v>
      </c>
      <c r="T73" s="59">
        <v>0</v>
      </c>
      <c r="U73" s="59">
        <v>2940.1509999999998</v>
      </c>
      <c r="V73" s="59">
        <v>5012.6040000000003</v>
      </c>
      <c r="W73" s="59">
        <v>2173</v>
      </c>
      <c r="X73" s="60">
        <v>7.95876587198343</v>
      </c>
      <c r="Y73" s="60">
        <v>51.188758338707302</v>
      </c>
      <c r="Z73" s="60">
        <v>84.406737503047907</v>
      </c>
      <c r="AA73" s="60">
        <v>1035.1696111619301</v>
      </c>
      <c r="AB73" s="59">
        <v>217985.63200000001</v>
      </c>
      <c r="AC73" s="59">
        <v>10569.296</v>
      </c>
      <c r="AD73" s="59">
        <v>0</v>
      </c>
      <c r="AE73" s="59">
        <v>63807.936999999998</v>
      </c>
      <c r="AF73" s="59">
        <v>0</v>
      </c>
      <c r="AG73" s="59">
        <v>35122.684000000001</v>
      </c>
      <c r="AH73" s="59">
        <v>133517.052</v>
      </c>
      <c r="AI73" s="59">
        <v>0</v>
      </c>
      <c r="AJ73" s="59">
        <v>163264.68799999999</v>
      </c>
      <c r="AK73" s="59">
        <v>21438.097000000002</v>
      </c>
      <c r="AL73" s="59">
        <v>53717.428999999996</v>
      </c>
      <c r="AM73" s="59">
        <v>0</v>
      </c>
      <c r="AN73" s="56" t="s">
        <v>342</v>
      </c>
      <c r="AO73" s="56" t="s">
        <v>343</v>
      </c>
      <c r="AP73" s="59">
        <v>0</v>
      </c>
      <c r="AQ73" s="59">
        <v>9786.35</v>
      </c>
      <c r="AR73" s="59">
        <v>55032.264000000003</v>
      </c>
      <c r="AS73" s="59">
        <v>3209.6759999999999</v>
      </c>
      <c r="AT73" s="59">
        <v>24016.79</v>
      </c>
      <c r="AU73" s="59">
        <v>5269.5349999999999</v>
      </c>
      <c r="AV73" s="59">
        <v>175951.78099999999</v>
      </c>
      <c r="AW73" s="59">
        <v>2407.2579999999998</v>
      </c>
      <c r="AX73" s="59">
        <v>3145.6509999999998</v>
      </c>
      <c r="AY73" s="59">
        <v>1360.0519999999999</v>
      </c>
    </row>
    <row r="74" spans="1:51" customFormat="1" ht="45.6" customHeight="1" x14ac:dyDescent="0.25">
      <c r="A74" s="51" t="s">
        <v>571</v>
      </c>
      <c r="B74" s="52" t="s">
        <v>572</v>
      </c>
      <c r="C74" s="51" t="s">
        <v>573</v>
      </c>
      <c r="D74" s="53">
        <v>45291</v>
      </c>
      <c r="E74" s="51" t="s">
        <v>253</v>
      </c>
      <c r="F74" s="54">
        <v>725843.52300000004</v>
      </c>
      <c r="G74" s="54">
        <v>723303.72900000005</v>
      </c>
      <c r="H74" s="54">
        <v>0</v>
      </c>
      <c r="I74" s="54">
        <v>523205.141</v>
      </c>
      <c r="J74" s="54">
        <v>-1769.34</v>
      </c>
      <c r="K74" s="54">
        <v>50191.214999999997</v>
      </c>
      <c r="L74" s="54">
        <v>77126.239000000001</v>
      </c>
      <c r="M74" s="54">
        <v>3854.2190000000001</v>
      </c>
      <c r="N74" s="54">
        <v>29644.530999999999</v>
      </c>
      <c r="O74" s="54">
        <v>6269.5039999999999</v>
      </c>
      <c r="P74" s="54">
        <v>0</v>
      </c>
      <c r="Q74" s="54">
        <v>2482.837</v>
      </c>
      <c r="R74" s="54">
        <v>473.23899999999998</v>
      </c>
      <c r="S74" s="54">
        <v>-226.71799999999999</v>
      </c>
      <c r="T74" s="54">
        <v>0</v>
      </c>
      <c r="U74" s="54">
        <v>10846.53</v>
      </c>
      <c r="V74" s="54">
        <v>24239.168000000001</v>
      </c>
      <c r="W74" s="54">
        <v>3650</v>
      </c>
      <c r="X74" s="55">
        <v>20.556967819714298</v>
      </c>
      <c r="Y74" s="55">
        <v>48.4264251356608</v>
      </c>
      <c r="Z74" s="55">
        <v>102.387159771919</v>
      </c>
      <c r="AA74" s="55">
        <v>372.15132068212</v>
      </c>
      <c r="AB74" s="54">
        <v>195139.34599999999</v>
      </c>
      <c r="AC74" s="54">
        <v>32084.678</v>
      </c>
      <c r="AD74" s="54">
        <v>0</v>
      </c>
      <c r="AE74" s="54">
        <v>20985.478999999999</v>
      </c>
      <c r="AF74" s="54">
        <v>0</v>
      </c>
      <c r="AG74" s="54">
        <v>45806.389000000003</v>
      </c>
      <c r="AH74" s="54">
        <v>97229.879000000001</v>
      </c>
      <c r="AI74" s="54">
        <v>0</v>
      </c>
      <c r="AJ74" s="54">
        <v>118508.06200000001</v>
      </c>
      <c r="AK74" s="54">
        <v>72.552000000000007</v>
      </c>
      <c r="AL74" s="54">
        <v>16143.710999999999</v>
      </c>
      <c r="AM74" s="54">
        <v>61804.853000000003</v>
      </c>
      <c r="AN74" s="51" t="s">
        <v>309</v>
      </c>
      <c r="AO74" s="51" t="s">
        <v>310</v>
      </c>
      <c r="AP74" s="54">
        <v>0</v>
      </c>
      <c r="AQ74" s="54">
        <v>34084.277000000002</v>
      </c>
      <c r="AR74" s="54">
        <v>14921.588</v>
      </c>
      <c r="AS74" s="54">
        <v>1567.296</v>
      </c>
      <c r="AT74" s="54">
        <v>45379.95</v>
      </c>
      <c r="AU74" s="54">
        <v>61804.853000000003</v>
      </c>
      <c r="AV74" s="54">
        <v>118508.06200000001</v>
      </c>
      <c r="AW74" s="54">
        <v>1070.5329999999999</v>
      </c>
      <c r="AX74" s="54">
        <v>252.19200000000001</v>
      </c>
      <c r="AY74" s="54">
        <v>8706.6749999999993</v>
      </c>
    </row>
    <row r="75" spans="1:51" customFormat="1" ht="18" customHeight="1" x14ac:dyDescent="0.25">
      <c r="A75" s="51" t="s">
        <v>574</v>
      </c>
      <c r="B75" s="52" t="s">
        <v>575</v>
      </c>
      <c r="C75" s="51" t="s">
        <v>576</v>
      </c>
      <c r="D75" s="53">
        <v>45291</v>
      </c>
      <c r="E75" s="51" t="s">
        <v>253</v>
      </c>
      <c r="F75" s="54">
        <v>798621</v>
      </c>
      <c r="G75" s="54">
        <v>791384</v>
      </c>
      <c r="H75" s="54">
        <v>-986</v>
      </c>
      <c r="I75" s="54">
        <v>627694</v>
      </c>
      <c r="J75" s="54">
        <v>20226</v>
      </c>
      <c r="K75" s="54">
        <v>108844</v>
      </c>
      <c r="L75" s="54">
        <v>5580</v>
      </c>
      <c r="M75" s="54">
        <v>2695</v>
      </c>
      <c r="N75" s="54">
        <v>920</v>
      </c>
      <c r="O75" s="54">
        <v>19523</v>
      </c>
      <c r="P75" s="54">
        <v>0</v>
      </c>
      <c r="Q75" s="54">
        <v>0</v>
      </c>
      <c r="R75" s="54">
        <v>-10256</v>
      </c>
      <c r="S75" s="54">
        <v>962</v>
      </c>
      <c r="T75" s="54">
        <v>418</v>
      </c>
      <c r="U75" s="54">
        <v>2269</v>
      </c>
      <c r="V75" s="54">
        <v>1994</v>
      </c>
      <c r="W75" s="54">
        <v>73</v>
      </c>
      <c r="X75" s="55">
        <v>-19.1338956812295</v>
      </c>
      <c r="Y75" s="55">
        <v>24.131351387074101</v>
      </c>
      <c r="Z75" s="55">
        <v>69.438298137774396</v>
      </c>
      <c r="AA75" s="55">
        <v>109.30715116318601</v>
      </c>
      <c r="AB75" s="54">
        <v>672249</v>
      </c>
      <c r="AC75" s="54">
        <v>79291</v>
      </c>
      <c r="AD75" s="54">
        <v>0</v>
      </c>
      <c r="AE75" s="54">
        <v>103884</v>
      </c>
      <c r="AF75" s="54">
        <v>0</v>
      </c>
      <c r="AG75" s="54">
        <v>199125</v>
      </c>
      <c r="AH75" s="54">
        <v>39345</v>
      </c>
      <c r="AI75" s="54">
        <v>0</v>
      </c>
      <c r="AJ75" s="54">
        <v>421091</v>
      </c>
      <c r="AK75" s="54">
        <v>228171</v>
      </c>
      <c r="AL75" s="54">
        <v>74043</v>
      </c>
      <c r="AM75" s="54">
        <v>0</v>
      </c>
      <c r="AN75" s="51" t="s">
        <v>577</v>
      </c>
      <c r="AO75" s="51" t="s">
        <v>578</v>
      </c>
      <c r="AP75" s="54">
        <v>0</v>
      </c>
      <c r="AQ75" s="54">
        <v>2700</v>
      </c>
      <c r="AR75" s="54">
        <v>212240</v>
      </c>
      <c r="AS75" s="54">
        <v>18805</v>
      </c>
      <c r="AT75" s="54">
        <v>231497</v>
      </c>
      <c r="AU75" s="54">
        <v>27444</v>
      </c>
      <c r="AV75" s="54">
        <v>467639</v>
      </c>
      <c r="AW75" s="54">
        <v>3268</v>
      </c>
      <c r="AX75" s="54">
        <v>1636</v>
      </c>
      <c r="AY75" s="54">
        <v>15604.817999999999</v>
      </c>
    </row>
    <row r="76" spans="1:51" customFormat="1" ht="31.15" customHeight="1" x14ac:dyDescent="0.25">
      <c r="A76" s="51" t="s">
        <v>579</v>
      </c>
      <c r="B76" s="52" t="s">
        <v>580</v>
      </c>
      <c r="C76" s="51" t="s">
        <v>581</v>
      </c>
      <c r="D76" s="53">
        <v>45291</v>
      </c>
      <c r="E76" s="51" t="s">
        <v>253</v>
      </c>
      <c r="F76" s="54">
        <v>818447</v>
      </c>
      <c r="G76" s="54">
        <v>760880</v>
      </c>
      <c r="H76" s="54">
        <v>34052</v>
      </c>
      <c r="I76" s="54">
        <v>549555</v>
      </c>
      <c r="J76" s="54">
        <v>-6832</v>
      </c>
      <c r="K76" s="54">
        <v>88000</v>
      </c>
      <c r="L76" s="54">
        <v>50614</v>
      </c>
      <c r="M76" s="54">
        <v>16820</v>
      </c>
      <c r="N76" s="54">
        <v>2880</v>
      </c>
      <c r="O76" s="54">
        <v>21263</v>
      </c>
      <c r="P76" s="54">
        <v>1391</v>
      </c>
      <c r="Q76" s="54">
        <v>0</v>
      </c>
      <c r="R76" s="54">
        <v>-24795</v>
      </c>
      <c r="S76" s="54">
        <v>0</v>
      </c>
      <c r="T76" s="54">
        <v>518</v>
      </c>
      <c r="U76" s="54">
        <v>16574</v>
      </c>
      <c r="V76" s="54">
        <v>53905</v>
      </c>
      <c r="W76" s="54">
        <v>804</v>
      </c>
      <c r="X76" s="55">
        <v>25.848494872643101</v>
      </c>
      <c r="Y76" s="55">
        <v>54.833563280140297</v>
      </c>
      <c r="Z76" s="55">
        <v>73.202428403304296</v>
      </c>
      <c r="AA76" s="55">
        <v>176.974312452254</v>
      </c>
      <c r="AB76" s="54">
        <v>882646</v>
      </c>
      <c r="AC76" s="54">
        <v>41069</v>
      </c>
      <c r="AD76" s="54">
        <v>0</v>
      </c>
      <c r="AE76" s="54">
        <v>247063</v>
      </c>
      <c r="AF76" s="54">
        <v>0</v>
      </c>
      <c r="AG76" s="54">
        <v>291339</v>
      </c>
      <c r="AH76" s="54">
        <v>125297</v>
      </c>
      <c r="AI76" s="54">
        <v>0</v>
      </c>
      <c r="AJ76" s="54">
        <v>185273</v>
      </c>
      <c r="AK76" s="54">
        <v>348519</v>
      </c>
      <c r="AL76" s="54">
        <v>93630</v>
      </c>
      <c r="AM76" s="54">
        <v>0</v>
      </c>
      <c r="AN76" s="51" t="s">
        <v>533</v>
      </c>
      <c r="AO76" s="51" t="s">
        <v>534</v>
      </c>
      <c r="AP76" s="54">
        <v>0</v>
      </c>
      <c r="AQ76" s="54">
        <v>152007</v>
      </c>
      <c r="AR76" s="54">
        <v>251375</v>
      </c>
      <c r="AS76" s="54">
        <v>18342</v>
      </c>
      <c r="AT76" s="54">
        <v>116760</v>
      </c>
      <c r="AU76" s="54">
        <v>1652</v>
      </c>
      <c r="AV76" s="54">
        <v>529112</v>
      </c>
      <c r="AW76" s="54">
        <v>1352</v>
      </c>
      <c r="AX76" s="54">
        <v>1817</v>
      </c>
      <c r="AY76" s="54">
        <v>41888</v>
      </c>
    </row>
    <row r="77" spans="1:51" customFormat="1" ht="45.6" customHeight="1" x14ac:dyDescent="0.25">
      <c r="A77" s="56" t="s">
        <v>582</v>
      </c>
      <c r="B77" s="57" t="s">
        <v>583</v>
      </c>
      <c r="C77" s="56" t="s">
        <v>584</v>
      </c>
      <c r="D77" s="58">
        <v>45077</v>
      </c>
      <c r="E77" s="56" t="s">
        <v>253</v>
      </c>
      <c r="F77" s="59">
        <v>941034.89800000004</v>
      </c>
      <c r="G77" s="59">
        <v>893220.80099999998</v>
      </c>
      <c r="H77" s="59">
        <v>7495.7079999999996</v>
      </c>
      <c r="I77" s="59">
        <v>710022.45299999998</v>
      </c>
      <c r="J77" s="59">
        <v>12489.987999999999</v>
      </c>
      <c r="K77" s="59">
        <v>123759.81600000001</v>
      </c>
      <c r="L77" s="59">
        <v>58944.671999999999</v>
      </c>
      <c r="M77" s="59">
        <v>2892.942</v>
      </c>
      <c r="N77" s="59">
        <v>4247.3289999999997</v>
      </c>
      <c r="O77" s="59">
        <v>21338.651000000002</v>
      </c>
      <c r="P77" s="59">
        <v>80</v>
      </c>
      <c r="Q77" s="59">
        <v>6360.1170000000002</v>
      </c>
      <c r="R77" s="59">
        <v>28593.89</v>
      </c>
      <c r="S77" s="59">
        <v>-2148.3409999999999</v>
      </c>
      <c r="T77" s="59">
        <v>0</v>
      </c>
      <c r="U77" s="59">
        <v>2419.4670000000001</v>
      </c>
      <c r="V77" s="59">
        <v>24925.011999999999</v>
      </c>
      <c r="W77" s="59">
        <v>729</v>
      </c>
      <c r="X77" s="60">
        <v>18.897629560203601</v>
      </c>
      <c r="Y77" s="60">
        <v>46.293518904840901</v>
      </c>
      <c r="Z77" s="60">
        <v>222.65784612711701</v>
      </c>
      <c r="AA77" s="60">
        <v>172.761149680838</v>
      </c>
      <c r="AB77" s="59">
        <v>410312.49300000002</v>
      </c>
      <c r="AC77" s="59">
        <v>89693.364000000001</v>
      </c>
      <c r="AD77" s="59">
        <v>0</v>
      </c>
      <c r="AE77" s="59">
        <v>76647.672000000006</v>
      </c>
      <c r="AF77" s="59">
        <v>0</v>
      </c>
      <c r="AG77" s="59">
        <v>234555.90900000001</v>
      </c>
      <c r="AH77" s="59">
        <v>67813.277000000002</v>
      </c>
      <c r="AI77" s="59">
        <v>0</v>
      </c>
      <c r="AJ77" s="59">
        <v>150118.53099999999</v>
      </c>
      <c r="AK77" s="59">
        <v>2936.067</v>
      </c>
      <c r="AL77" s="59">
        <v>3149.9119999999998</v>
      </c>
      <c r="AM77" s="59">
        <v>1054.105</v>
      </c>
      <c r="AN77" s="56" t="s">
        <v>585</v>
      </c>
      <c r="AO77" s="56" t="s">
        <v>586</v>
      </c>
      <c r="AP77" s="59">
        <v>0</v>
      </c>
      <c r="AQ77" s="59">
        <v>15668.025</v>
      </c>
      <c r="AR77" s="59">
        <v>148529.924</v>
      </c>
      <c r="AS77" s="59">
        <v>34.915999999999997</v>
      </c>
      <c r="AT77" s="59">
        <v>162252.29500000001</v>
      </c>
      <c r="AU77" s="59">
        <v>2231.2170000000001</v>
      </c>
      <c r="AV77" s="59">
        <v>150118.53099999999</v>
      </c>
      <c r="AW77" s="59">
        <v>1501.2080000000001</v>
      </c>
      <c r="AX77" s="59">
        <v>1798.5319999999999</v>
      </c>
      <c r="AY77" s="59">
        <v>8152.7669999999998</v>
      </c>
    </row>
    <row r="78" spans="1:51" customFormat="1" ht="31.15" customHeight="1" x14ac:dyDescent="0.25">
      <c r="A78" s="51" t="s">
        <v>587</v>
      </c>
      <c r="B78" s="52" t="s">
        <v>588</v>
      </c>
      <c r="C78" s="51" t="s">
        <v>589</v>
      </c>
      <c r="D78" s="53">
        <v>45291</v>
      </c>
      <c r="E78" s="51" t="s">
        <v>253</v>
      </c>
      <c r="F78" s="54">
        <v>948266.36199999996</v>
      </c>
      <c r="G78" s="54">
        <v>949650.52099999995</v>
      </c>
      <c r="H78" s="54">
        <v>-20241.896000000001</v>
      </c>
      <c r="I78" s="54">
        <v>548851.33400000003</v>
      </c>
      <c r="J78" s="54">
        <v>-27552.276000000002</v>
      </c>
      <c r="K78" s="54">
        <v>281405.00599999999</v>
      </c>
      <c r="L78" s="54">
        <v>52360.415999999997</v>
      </c>
      <c r="M78" s="54">
        <v>3431.0630000000001</v>
      </c>
      <c r="N78" s="54">
        <v>5162.37</v>
      </c>
      <c r="O78" s="54">
        <v>44175.514000000003</v>
      </c>
      <c r="P78" s="54">
        <v>0</v>
      </c>
      <c r="Q78" s="54">
        <v>1857.691</v>
      </c>
      <c r="R78" s="54">
        <v>6842.9459999999999</v>
      </c>
      <c r="S78" s="54">
        <v>-8546.7369999999992</v>
      </c>
      <c r="T78" s="54">
        <v>0</v>
      </c>
      <c r="U78" s="54">
        <v>9956.77</v>
      </c>
      <c r="V78" s="54">
        <v>26914.683000000001</v>
      </c>
      <c r="W78" s="54">
        <v>780</v>
      </c>
      <c r="X78" s="55">
        <v>0.75745223283213903</v>
      </c>
      <c r="Y78" s="55">
        <v>6.1376500926819899</v>
      </c>
      <c r="Z78" s="55">
        <v>13.5758583589305</v>
      </c>
      <c r="AA78" s="55">
        <v>-20.195518128769798</v>
      </c>
      <c r="AB78" s="54">
        <v>1333879.2949999999</v>
      </c>
      <c r="AC78" s="54">
        <v>111060.602</v>
      </c>
      <c r="AD78" s="54">
        <v>0</v>
      </c>
      <c r="AE78" s="54">
        <v>230681.30799999999</v>
      </c>
      <c r="AF78" s="54">
        <v>0</v>
      </c>
      <c r="AG78" s="54">
        <v>1140814.4820000001</v>
      </c>
      <c r="AH78" s="54">
        <v>127365.436</v>
      </c>
      <c r="AI78" s="54">
        <v>0</v>
      </c>
      <c r="AJ78" s="54">
        <v>177250.49400000001</v>
      </c>
      <c r="AK78" s="54">
        <v>0</v>
      </c>
      <c r="AL78" s="54">
        <v>750.07500000000005</v>
      </c>
      <c r="AM78" s="54">
        <v>48783.697999999997</v>
      </c>
      <c r="AN78" s="51" t="s">
        <v>528</v>
      </c>
      <c r="AO78" s="51" t="s">
        <v>529</v>
      </c>
      <c r="AP78" s="54">
        <v>0</v>
      </c>
      <c r="AQ78" s="54">
        <v>439394.272</v>
      </c>
      <c r="AR78" s="54">
        <v>98895.589000000007</v>
      </c>
      <c r="AS78" s="54">
        <v>324529.91399999999</v>
      </c>
      <c r="AT78" s="54">
        <v>189636.019</v>
      </c>
      <c r="AU78" s="54">
        <v>48783.697999999997</v>
      </c>
      <c r="AV78" s="54">
        <v>177250.49400000001</v>
      </c>
      <c r="AW78" s="54">
        <v>3179.3890000000001</v>
      </c>
      <c r="AX78" s="54">
        <v>1208.42</v>
      </c>
      <c r="AY78" s="54">
        <v>103691.868</v>
      </c>
    </row>
    <row r="79" spans="1:51" customFormat="1" ht="18" customHeight="1" x14ac:dyDescent="0.25">
      <c r="A79" s="56" t="s">
        <v>590</v>
      </c>
      <c r="B79" s="57" t="s">
        <v>591</v>
      </c>
      <c r="C79" s="56" t="s">
        <v>592</v>
      </c>
      <c r="D79" s="58">
        <v>45291</v>
      </c>
      <c r="E79" s="56" t="s">
        <v>253</v>
      </c>
      <c r="F79" s="59">
        <v>722441.18</v>
      </c>
      <c r="G79" s="59">
        <v>718190.94099999999</v>
      </c>
      <c r="H79" s="59">
        <v>0</v>
      </c>
      <c r="I79" s="59">
        <v>574952.277</v>
      </c>
      <c r="J79" s="59">
        <v>-5571.6710000000003</v>
      </c>
      <c r="K79" s="59">
        <v>22194.109</v>
      </c>
      <c r="L79" s="59">
        <v>61771.381999999998</v>
      </c>
      <c r="M79" s="59">
        <v>2683.4679999999998</v>
      </c>
      <c r="N79" s="59">
        <v>5231.6859999999997</v>
      </c>
      <c r="O79" s="59">
        <v>19187.948</v>
      </c>
      <c r="P79" s="59">
        <v>1400</v>
      </c>
      <c r="Q79" s="59">
        <v>0</v>
      </c>
      <c r="R79" s="59">
        <v>980.49300000000005</v>
      </c>
      <c r="S79" s="59">
        <v>0</v>
      </c>
      <c r="T79" s="59">
        <v>0</v>
      </c>
      <c r="U79" s="59">
        <v>11060.734</v>
      </c>
      <c r="V79" s="59">
        <v>30511.74</v>
      </c>
      <c r="W79" s="59">
        <v>1399</v>
      </c>
      <c r="X79" s="60">
        <v>6.9967228450993098</v>
      </c>
      <c r="Y79" s="60">
        <v>19.655652445960602</v>
      </c>
      <c r="Z79" s="60">
        <v>22.762802768051301</v>
      </c>
      <c r="AA79" s="60">
        <v>40.764335709634999</v>
      </c>
      <c r="AB79" s="59">
        <v>628763.52</v>
      </c>
      <c r="AC79" s="59">
        <v>14972.489</v>
      </c>
      <c r="AD79" s="59">
        <v>0</v>
      </c>
      <c r="AE79" s="59">
        <v>83999.494000000006</v>
      </c>
      <c r="AF79" s="59">
        <v>0</v>
      </c>
      <c r="AG79" s="59">
        <v>489267.87099999998</v>
      </c>
      <c r="AH79" s="59">
        <v>110955.478</v>
      </c>
      <c r="AI79" s="59">
        <v>0</v>
      </c>
      <c r="AJ79" s="59">
        <v>130120.814</v>
      </c>
      <c r="AK79" s="59">
        <v>407.58100000000002</v>
      </c>
      <c r="AL79" s="59">
        <v>178530.37</v>
      </c>
      <c r="AM79" s="59">
        <v>0</v>
      </c>
      <c r="AN79" s="56" t="s">
        <v>325</v>
      </c>
      <c r="AO79" s="56" t="s">
        <v>326</v>
      </c>
      <c r="AP79" s="59">
        <v>0</v>
      </c>
      <c r="AQ79" s="59">
        <v>76.435000000000002</v>
      </c>
      <c r="AR79" s="59">
        <v>233036.19699999999</v>
      </c>
      <c r="AS79" s="59">
        <v>83517.027000000002</v>
      </c>
      <c r="AT79" s="59">
        <v>23301.306</v>
      </c>
      <c r="AU79" s="59">
        <v>25000</v>
      </c>
      <c r="AV79" s="59">
        <v>130259.314</v>
      </c>
      <c r="AW79" s="59">
        <v>4772.1419999999998</v>
      </c>
      <c r="AX79" s="59">
        <v>1302.691</v>
      </c>
      <c r="AY79" s="59">
        <v>42468.093000000001</v>
      </c>
    </row>
    <row r="80" spans="1:51" customFormat="1" ht="58.9" customHeight="1" x14ac:dyDescent="0.25">
      <c r="A80" s="51" t="s">
        <v>593</v>
      </c>
      <c r="B80" s="52" t="s">
        <v>594</v>
      </c>
      <c r="C80" s="51" t="s">
        <v>595</v>
      </c>
      <c r="D80" s="53">
        <v>45291</v>
      </c>
      <c r="E80" s="51" t="s">
        <v>253</v>
      </c>
      <c r="F80" s="54">
        <v>503736.32000000001</v>
      </c>
      <c r="G80" s="54">
        <v>494860.91700000002</v>
      </c>
      <c r="H80" s="54">
        <v>-83.54</v>
      </c>
      <c r="I80" s="54">
        <v>415486.37300000002</v>
      </c>
      <c r="J80" s="54">
        <v>5536.5820000000003</v>
      </c>
      <c r="K80" s="54">
        <v>14474.142</v>
      </c>
      <c r="L80" s="54">
        <v>2269.7550000000001</v>
      </c>
      <c r="M80" s="54">
        <v>493.25799999999998</v>
      </c>
      <c r="N80" s="54">
        <v>977.19200000000001</v>
      </c>
      <c r="O80" s="54">
        <v>4253.2370000000001</v>
      </c>
      <c r="P80" s="54">
        <v>0</v>
      </c>
      <c r="Q80" s="54">
        <v>0</v>
      </c>
      <c r="R80" s="54">
        <v>6018.02</v>
      </c>
      <c r="S80" s="54">
        <v>13449.55</v>
      </c>
      <c r="T80" s="54">
        <v>0</v>
      </c>
      <c r="U80" s="54">
        <v>16419.536</v>
      </c>
      <c r="V80" s="54">
        <v>63293.815000000002</v>
      </c>
      <c r="W80" s="54">
        <v>43</v>
      </c>
      <c r="X80" s="55">
        <v>29.310386888926299</v>
      </c>
      <c r="Y80" s="55">
        <v>77.052272953447797</v>
      </c>
      <c r="Z80" s="55">
        <v>116.80459767194201</v>
      </c>
      <c r="AA80" s="55">
        <v>1015.1213097567201</v>
      </c>
      <c r="AB80" s="54">
        <v>519780.19</v>
      </c>
      <c r="AC80" s="54">
        <v>66518.948000000004</v>
      </c>
      <c r="AD80" s="54">
        <v>1.214</v>
      </c>
      <c r="AE80" s="54">
        <v>89896.270999999993</v>
      </c>
      <c r="AF80" s="54">
        <v>0</v>
      </c>
      <c r="AG80" s="54">
        <v>425586.63500000001</v>
      </c>
      <c r="AH80" s="54">
        <v>51904.964999999997</v>
      </c>
      <c r="AI80" s="54">
        <v>0</v>
      </c>
      <c r="AJ80" s="54">
        <v>92159.315000000002</v>
      </c>
      <c r="AK80" s="54">
        <v>12929.518</v>
      </c>
      <c r="AL80" s="54">
        <v>340.697</v>
      </c>
      <c r="AM80" s="54">
        <v>178285.65900000001</v>
      </c>
      <c r="AN80" s="51" t="s">
        <v>447</v>
      </c>
      <c r="AO80" s="51" t="s">
        <v>448</v>
      </c>
      <c r="AP80" s="54">
        <v>0</v>
      </c>
      <c r="AQ80" s="54">
        <v>284.565</v>
      </c>
      <c r="AR80" s="54">
        <v>25960.514999999999</v>
      </c>
      <c r="AS80" s="54">
        <v>87837.953999999998</v>
      </c>
      <c r="AT80" s="54">
        <v>137145.57999999999</v>
      </c>
      <c r="AU80" s="54">
        <v>178285.65900000001</v>
      </c>
      <c r="AV80" s="54">
        <v>92159.315000000002</v>
      </c>
      <c r="AW80" s="54">
        <v>1061.2249999999999</v>
      </c>
      <c r="AX80" s="54">
        <v>28.949000000000002</v>
      </c>
      <c r="AY80" s="54">
        <v>5784.0360000000001</v>
      </c>
    </row>
    <row r="81" spans="1:51" customFormat="1" ht="31.15" customHeight="1" x14ac:dyDescent="0.25">
      <c r="A81" s="56"/>
      <c r="B81" s="57"/>
      <c r="C81" s="56"/>
      <c r="D81" s="58"/>
      <c r="E81" s="56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60"/>
      <c r="Y81" s="60"/>
      <c r="Z81" s="60"/>
      <c r="AA81" s="60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6"/>
      <c r="AO81" s="56"/>
      <c r="AP81" s="59"/>
      <c r="AQ81" s="59"/>
      <c r="AR81" s="59"/>
      <c r="AS81" s="59"/>
      <c r="AT81" s="59"/>
      <c r="AU81" s="59"/>
      <c r="AV81" s="59"/>
      <c r="AW81" s="59"/>
      <c r="AX81" s="59"/>
      <c r="AY81" s="59"/>
    </row>
    <row r="82" spans="1:51" customFormat="1" ht="45.6" customHeight="1" x14ac:dyDescent="0.25">
      <c r="A82" s="51"/>
      <c r="B82" s="52"/>
      <c r="C82" s="51"/>
      <c r="D82" s="53"/>
      <c r="E82" s="51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5"/>
      <c r="Y82" s="55"/>
      <c r="Z82" s="55"/>
      <c r="AA82" s="55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1"/>
      <c r="AO82" s="51"/>
      <c r="AP82" s="54"/>
      <c r="AQ82" s="54"/>
      <c r="AR82" s="54"/>
      <c r="AS82" s="54"/>
      <c r="AT82" s="54"/>
      <c r="AU82" s="54"/>
      <c r="AV82" s="54"/>
      <c r="AW82" s="54"/>
      <c r="AX82" s="54"/>
      <c r="AY82" s="54"/>
    </row>
    <row r="83" spans="1:51" customFormat="1" ht="58.9" customHeight="1" x14ac:dyDescent="0.25">
      <c r="A83" s="56"/>
      <c r="B83" s="57"/>
      <c r="C83" s="56"/>
      <c r="D83" s="58"/>
      <c r="E83" s="56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60"/>
      <c r="Y83" s="60"/>
      <c r="Z83" s="60"/>
      <c r="AA83" s="60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6"/>
      <c r="AO83" s="56"/>
      <c r="AP83" s="59"/>
      <c r="AQ83" s="59"/>
      <c r="AR83" s="59"/>
      <c r="AS83" s="59"/>
      <c r="AT83" s="59"/>
      <c r="AU83" s="59"/>
      <c r="AV83" s="59"/>
      <c r="AW83" s="59"/>
      <c r="AX83" s="59"/>
      <c r="AY83" s="59"/>
    </row>
    <row r="84" spans="1:51" customFormat="1" ht="45.6" customHeight="1" x14ac:dyDescent="0.25">
      <c r="A84" s="51"/>
      <c r="B84" s="52"/>
      <c r="C84" s="51"/>
      <c r="D84" s="53"/>
      <c r="E84" s="51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5"/>
      <c r="Y84" s="55"/>
      <c r="Z84" s="55"/>
      <c r="AA84" s="55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1"/>
      <c r="AO84" s="51"/>
      <c r="AP84" s="54"/>
      <c r="AQ84" s="54"/>
      <c r="AR84" s="54"/>
      <c r="AS84" s="54"/>
      <c r="AT84" s="54"/>
      <c r="AU84" s="54"/>
      <c r="AV84" s="54"/>
      <c r="AW84" s="54"/>
      <c r="AX84" s="54"/>
      <c r="AY84" s="54"/>
    </row>
    <row r="85" spans="1:51" customFormat="1" ht="18" customHeight="1" x14ac:dyDescent="0.25">
      <c r="A85" s="56"/>
      <c r="B85" s="57"/>
      <c r="C85" s="56"/>
      <c r="D85" s="58"/>
      <c r="E85" s="56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60"/>
      <c r="Y85" s="60"/>
      <c r="Z85" s="60"/>
      <c r="AA85" s="60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6"/>
      <c r="AO85" s="56"/>
      <c r="AP85" s="59"/>
      <c r="AQ85" s="59"/>
      <c r="AR85" s="59"/>
      <c r="AS85" s="59"/>
      <c r="AT85" s="59"/>
      <c r="AU85" s="59"/>
      <c r="AV85" s="59"/>
      <c r="AW85" s="59"/>
      <c r="AX85" s="59"/>
      <c r="AY85" s="59"/>
    </row>
    <row r="86" spans="1:51" customFormat="1" ht="45.6" customHeight="1" x14ac:dyDescent="0.25">
      <c r="A86" s="51"/>
      <c r="B86" s="52"/>
      <c r="C86" s="51"/>
      <c r="D86" s="53"/>
      <c r="E86" s="51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5"/>
      <c r="Y86" s="55"/>
      <c r="Z86" s="55"/>
      <c r="AA86" s="55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1"/>
      <c r="AO86" s="51"/>
      <c r="AP86" s="54"/>
      <c r="AQ86" s="54"/>
      <c r="AR86" s="54"/>
      <c r="AS86" s="54"/>
      <c r="AT86" s="54"/>
      <c r="AU86" s="54"/>
      <c r="AV86" s="54"/>
      <c r="AW86" s="54"/>
      <c r="AX86" s="54"/>
      <c r="AY86" s="54"/>
    </row>
    <row r="87" spans="1:51" customFormat="1" ht="45.6" customHeight="1" x14ac:dyDescent="0.25">
      <c r="A87" s="56"/>
      <c r="B87" s="57"/>
      <c r="C87" s="56"/>
      <c r="D87" s="58"/>
      <c r="E87" s="56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60"/>
      <c r="Y87" s="60"/>
      <c r="Z87" s="60"/>
      <c r="AA87" s="60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6"/>
      <c r="AO87" s="56"/>
      <c r="AP87" s="59"/>
      <c r="AQ87" s="59"/>
      <c r="AR87" s="59"/>
      <c r="AS87" s="59"/>
      <c r="AT87" s="59"/>
      <c r="AU87" s="59"/>
      <c r="AV87" s="59"/>
      <c r="AW87" s="59"/>
      <c r="AX87" s="59"/>
      <c r="AY87" s="59"/>
    </row>
    <row r="88" spans="1:51" customFormat="1" ht="86.45" customHeight="1" x14ac:dyDescent="0.25">
      <c r="A88" s="51"/>
      <c r="B88" s="52"/>
      <c r="C88" s="51"/>
      <c r="D88" s="53"/>
      <c r="E88" s="51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5"/>
      <c r="Y88" s="55"/>
      <c r="Z88" s="55"/>
      <c r="AA88" s="55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1"/>
      <c r="AO88" s="51"/>
      <c r="AP88" s="54"/>
      <c r="AQ88" s="54"/>
      <c r="AR88" s="54"/>
      <c r="AS88" s="54"/>
      <c r="AT88" s="54"/>
      <c r="AU88" s="54"/>
      <c r="AV88" s="54"/>
      <c r="AW88" s="54"/>
      <c r="AX88" s="54"/>
      <c r="AY88" s="54"/>
    </row>
    <row r="89" spans="1:51" customFormat="1" ht="18" customHeight="1" x14ac:dyDescent="0.25">
      <c r="A89" s="56"/>
      <c r="B89" s="57"/>
      <c r="C89" s="56"/>
      <c r="D89" s="58"/>
      <c r="E89" s="56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60"/>
      <c r="Y89" s="60"/>
      <c r="Z89" s="60"/>
      <c r="AA89" s="60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6"/>
      <c r="AO89" s="56"/>
      <c r="AP89" s="59"/>
      <c r="AQ89" s="59"/>
      <c r="AR89" s="59"/>
      <c r="AS89" s="59"/>
      <c r="AT89" s="59"/>
      <c r="AU89" s="59"/>
      <c r="AV89" s="59"/>
      <c r="AW89" s="59"/>
      <c r="AX89" s="59"/>
      <c r="AY89" s="59"/>
    </row>
    <row r="90" spans="1:51" customFormat="1" ht="31.15" customHeight="1" x14ac:dyDescent="0.25">
      <c r="A90" s="51"/>
      <c r="B90" s="52"/>
      <c r="C90" s="51"/>
      <c r="D90" s="53"/>
      <c r="E90" s="51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5"/>
      <c r="Y90" s="55"/>
      <c r="Z90" s="55"/>
      <c r="AA90" s="55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1"/>
      <c r="AO90" s="51"/>
      <c r="AP90" s="54"/>
      <c r="AQ90" s="54"/>
      <c r="AR90" s="54"/>
      <c r="AS90" s="54"/>
      <c r="AT90" s="54"/>
      <c r="AU90" s="54"/>
      <c r="AV90" s="54"/>
      <c r="AW90" s="54"/>
      <c r="AX90" s="54"/>
      <c r="AY90" s="54"/>
    </row>
    <row r="91" spans="1:51" customFormat="1" ht="58.9" customHeight="1" x14ac:dyDescent="0.25">
      <c r="A91" s="56"/>
      <c r="B91" s="57"/>
      <c r="C91" s="56"/>
      <c r="D91" s="58"/>
      <c r="E91" s="56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60"/>
      <c r="Y91" s="60"/>
      <c r="Z91" s="60"/>
      <c r="AA91" s="60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6"/>
      <c r="AO91" s="56"/>
      <c r="AP91" s="59"/>
      <c r="AQ91" s="59"/>
      <c r="AR91" s="59"/>
      <c r="AS91" s="59"/>
      <c r="AT91" s="59"/>
      <c r="AU91" s="59"/>
      <c r="AV91" s="59"/>
      <c r="AW91" s="59"/>
      <c r="AX91" s="59"/>
      <c r="AY91" s="59"/>
    </row>
    <row r="92" spans="1:51" customFormat="1" ht="31.15" customHeight="1" x14ac:dyDescent="0.25">
      <c r="A92" s="51"/>
      <c r="B92" s="52"/>
      <c r="C92" s="51"/>
      <c r="D92" s="53"/>
      <c r="E92" s="51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5"/>
      <c r="Y92" s="55"/>
      <c r="Z92" s="55"/>
      <c r="AA92" s="55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1"/>
      <c r="AO92" s="51"/>
      <c r="AP92" s="54"/>
      <c r="AQ92" s="54"/>
      <c r="AR92" s="54"/>
      <c r="AS92" s="54"/>
      <c r="AT92" s="54"/>
      <c r="AU92" s="54"/>
      <c r="AV92" s="54"/>
      <c r="AW92" s="54"/>
      <c r="AX92" s="54"/>
      <c r="AY92" s="54"/>
    </row>
    <row r="93" spans="1:51" customFormat="1" ht="58.9" customHeight="1" x14ac:dyDescent="0.25">
      <c r="A93" s="56"/>
      <c r="B93" s="57"/>
      <c r="C93" s="56"/>
      <c r="D93" s="58"/>
      <c r="E93" s="56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60"/>
      <c r="Y93" s="60"/>
      <c r="Z93" s="60"/>
      <c r="AA93" s="60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6"/>
      <c r="AO93" s="56"/>
      <c r="AP93" s="59"/>
      <c r="AQ93" s="59"/>
      <c r="AR93" s="59"/>
      <c r="AS93" s="59"/>
      <c r="AT93" s="59"/>
      <c r="AU93" s="59"/>
      <c r="AV93" s="59"/>
      <c r="AW93" s="59"/>
      <c r="AX93" s="59"/>
      <c r="AY93" s="59"/>
    </row>
    <row r="94" spans="1:51" customFormat="1" ht="31.15" customHeight="1" x14ac:dyDescent="0.25">
      <c r="A94" s="51"/>
      <c r="B94" s="52"/>
      <c r="C94" s="51"/>
      <c r="D94" s="53"/>
      <c r="E94" s="51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5"/>
      <c r="Y94" s="55"/>
      <c r="Z94" s="55"/>
      <c r="AA94" s="55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1"/>
      <c r="AO94" s="51"/>
      <c r="AP94" s="54"/>
      <c r="AQ94" s="54"/>
      <c r="AR94" s="54"/>
      <c r="AS94" s="54"/>
      <c r="AT94" s="54"/>
      <c r="AU94" s="54"/>
      <c r="AV94" s="54"/>
      <c r="AW94" s="54"/>
      <c r="AX94" s="54"/>
      <c r="AY94" s="54"/>
    </row>
    <row r="95" spans="1:51" customFormat="1" ht="72" customHeight="1" x14ac:dyDescent="0.25">
      <c r="A95" s="56"/>
      <c r="B95" s="57"/>
      <c r="C95" s="56"/>
      <c r="D95" s="58"/>
      <c r="E95" s="56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60"/>
      <c r="Y95" s="60"/>
      <c r="Z95" s="60"/>
      <c r="AA95" s="60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6"/>
      <c r="AO95" s="56"/>
      <c r="AP95" s="59"/>
      <c r="AQ95" s="59"/>
      <c r="AR95" s="59"/>
      <c r="AS95" s="59"/>
      <c r="AT95" s="59"/>
      <c r="AU95" s="59"/>
      <c r="AV95" s="59"/>
      <c r="AW95" s="59"/>
      <c r="AX95" s="59"/>
      <c r="AY95" s="59"/>
    </row>
    <row r="96" spans="1:51" customFormat="1" ht="31.15" customHeight="1" x14ac:dyDescent="0.25">
      <c r="A96" s="51"/>
      <c r="B96" s="52"/>
      <c r="C96" s="51"/>
      <c r="D96" s="53"/>
      <c r="E96" s="51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5"/>
      <c r="Y96" s="55"/>
      <c r="Z96" s="55"/>
      <c r="AA96" s="55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1"/>
      <c r="AO96" s="51"/>
      <c r="AP96" s="54"/>
      <c r="AQ96" s="54"/>
      <c r="AR96" s="54"/>
      <c r="AS96" s="54"/>
      <c r="AT96" s="54"/>
      <c r="AU96" s="54"/>
      <c r="AV96" s="54"/>
      <c r="AW96" s="54"/>
      <c r="AX96" s="54"/>
      <c r="AY96" s="54"/>
    </row>
    <row r="97" spans="1:51" customFormat="1" ht="18" customHeight="1" x14ac:dyDescent="0.25">
      <c r="A97" s="56"/>
      <c r="B97" s="57"/>
      <c r="C97" s="56"/>
      <c r="D97" s="58"/>
      <c r="E97" s="56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60"/>
      <c r="Y97" s="60"/>
      <c r="Z97" s="60"/>
      <c r="AA97" s="60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6"/>
      <c r="AO97" s="56"/>
      <c r="AP97" s="59"/>
      <c r="AQ97" s="59"/>
      <c r="AR97" s="59"/>
      <c r="AS97" s="59"/>
      <c r="AT97" s="59"/>
      <c r="AU97" s="59"/>
      <c r="AV97" s="59"/>
      <c r="AW97" s="59"/>
      <c r="AX97" s="59"/>
      <c r="AY97" s="59"/>
    </row>
    <row r="98" spans="1:51" customFormat="1" ht="31.15" customHeight="1" x14ac:dyDescent="0.25">
      <c r="A98" s="51"/>
      <c r="B98" s="52"/>
      <c r="C98" s="51"/>
      <c r="D98" s="53"/>
      <c r="E98" s="51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5"/>
      <c r="Y98" s="55"/>
      <c r="Z98" s="55"/>
      <c r="AA98" s="55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1"/>
      <c r="AO98" s="51"/>
      <c r="AP98" s="54"/>
      <c r="AQ98" s="54"/>
      <c r="AR98" s="54"/>
      <c r="AS98" s="54"/>
      <c r="AT98" s="54"/>
      <c r="AU98" s="54"/>
      <c r="AV98" s="54"/>
      <c r="AW98" s="54"/>
      <c r="AX98" s="54"/>
      <c r="AY98" s="54"/>
    </row>
    <row r="99" spans="1:51" customFormat="1" ht="31.15" customHeight="1" x14ac:dyDescent="0.25">
      <c r="A99" s="56"/>
      <c r="B99" s="57"/>
      <c r="C99" s="56"/>
      <c r="D99" s="58"/>
      <c r="E99" s="56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60"/>
      <c r="Y99" s="60"/>
      <c r="Z99" s="60"/>
      <c r="AA99" s="60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6"/>
      <c r="AO99" s="56"/>
      <c r="AP99" s="59"/>
      <c r="AQ99" s="59"/>
      <c r="AR99" s="59"/>
      <c r="AS99" s="59"/>
      <c r="AT99" s="59"/>
      <c r="AU99" s="59"/>
      <c r="AV99" s="59"/>
      <c r="AW99" s="59"/>
      <c r="AX99" s="59"/>
      <c r="AY99" s="59"/>
    </row>
    <row r="100" spans="1:51" customFormat="1" ht="45.6" customHeight="1" x14ac:dyDescent="0.25">
      <c r="A100" s="51"/>
      <c r="B100" s="52"/>
      <c r="C100" s="51"/>
      <c r="D100" s="53"/>
      <c r="E100" s="51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5"/>
      <c r="Y100" s="55"/>
      <c r="Z100" s="55"/>
      <c r="AA100" s="55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1"/>
      <c r="AO100" s="51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</row>
    <row r="101" spans="1:51" customFormat="1" ht="45.6" customHeight="1" x14ac:dyDescent="0.25">
      <c r="A101" s="56"/>
      <c r="B101" s="57"/>
      <c r="C101" s="56"/>
      <c r="D101" s="58"/>
      <c r="E101" s="56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60"/>
      <c r="Y101" s="60"/>
      <c r="Z101" s="60"/>
      <c r="AA101" s="60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6"/>
      <c r="AO101" s="56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</row>
    <row r="102" spans="1:51" customFormat="1" ht="45.6" customHeight="1" x14ac:dyDescent="0.25">
      <c r="A102" s="51"/>
      <c r="B102" s="52"/>
      <c r="C102" s="51"/>
      <c r="D102" s="53"/>
      <c r="E102" s="51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5"/>
      <c r="Y102" s="55"/>
      <c r="Z102" s="55"/>
      <c r="AA102" s="55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1"/>
      <c r="AO102" s="51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</row>
    <row r="103" spans="1:51" customFormat="1" ht="153.6" customHeight="1" x14ac:dyDescent="0.25">
      <c r="A103" s="56"/>
      <c r="B103" s="57"/>
      <c r="C103" s="56"/>
      <c r="D103" s="58"/>
      <c r="E103" s="56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60"/>
      <c r="Y103" s="60"/>
      <c r="Z103" s="60"/>
      <c r="AA103" s="60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6"/>
      <c r="AO103" s="56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</row>
    <row r="104" spans="1:51" customFormat="1" ht="45.6" customHeight="1" x14ac:dyDescent="0.25">
      <c r="A104" s="51"/>
      <c r="B104" s="52"/>
      <c r="C104" s="51"/>
      <c r="D104" s="53"/>
      <c r="E104" s="51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5"/>
      <c r="Y104" s="55"/>
      <c r="Z104" s="55"/>
      <c r="AA104" s="55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1"/>
      <c r="AO104" s="51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</row>
    <row r="105" spans="1:51" customFormat="1" ht="45.6" customHeight="1" x14ac:dyDescent="0.25">
      <c r="A105" s="56"/>
      <c r="B105" s="57"/>
      <c r="C105" s="56"/>
      <c r="D105" s="58"/>
      <c r="E105" s="56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60"/>
      <c r="Y105" s="60"/>
      <c r="Z105" s="60"/>
      <c r="AA105" s="60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6"/>
      <c r="AO105" s="56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</row>
    <row r="106" spans="1:51" customFormat="1" ht="18" customHeight="1" x14ac:dyDescent="0.25">
      <c r="A106" s="51"/>
      <c r="B106" s="52"/>
      <c r="C106" s="51"/>
      <c r="D106" s="53"/>
      <c r="E106" s="51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5"/>
      <c r="Y106" s="55"/>
      <c r="Z106" s="55"/>
      <c r="AA106" s="55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1"/>
      <c r="AO106" s="51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</row>
    <row r="107" spans="1:51" customFormat="1" ht="45.6" customHeight="1" x14ac:dyDescent="0.25">
      <c r="A107" s="56"/>
      <c r="B107" s="57"/>
      <c r="C107" s="56"/>
      <c r="D107" s="58"/>
      <c r="E107" s="56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60"/>
      <c r="Y107" s="60"/>
      <c r="Z107" s="60"/>
      <c r="AA107" s="60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6"/>
      <c r="AO107" s="56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</row>
    <row r="108" spans="1:51" customFormat="1" ht="18" customHeight="1" x14ac:dyDescent="0.25">
      <c r="A108" s="51"/>
      <c r="B108" s="52"/>
      <c r="C108" s="51"/>
      <c r="D108" s="53"/>
      <c r="E108" s="51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5"/>
      <c r="Y108" s="55"/>
      <c r="Z108" s="55"/>
      <c r="AA108" s="55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1"/>
      <c r="AO108" s="51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</row>
    <row r="109" spans="1:51" customFormat="1" ht="45.6" customHeight="1" x14ac:dyDescent="0.25">
      <c r="A109" s="56"/>
      <c r="B109" s="57"/>
      <c r="C109" s="56"/>
      <c r="D109" s="58"/>
      <c r="E109" s="56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60"/>
      <c r="Y109" s="60"/>
      <c r="Z109" s="60"/>
      <c r="AA109" s="60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6"/>
      <c r="AO109" s="56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</row>
    <row r="110" spans="1:51" customFormat="1" ht="31.15" customHeight="1" x14ac:dyDescent="0.25">
      <c r="A110" s="51"/>
      <c r="B110" s="52"/>
      <c r="C110" s="51"/>
      <c r="D110" s="53"/>
      <c r="E110" s="51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5"/>
      <c r="Y110" s="55"/>
      <c r="Z110" s="55"/>
      <c r="AA110" s="55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1"/>
      <c r="AO110" s="51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</row>
    <row r="111" spans="1:51" customFormat="1" ht="45.6" customHeight="1" x14ac:dyDescent="0.25">
      <c r="A111" s="56"/>
      <c r="B111" s="57"/>
      <c r="C111" s="56"/>
      <c r="D111" s="58"/>
      <c r="E111" s="56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60"/>
      <c r="Y111" s="60"/>
      <c r="Z111" s="60"/>
      <c r="AA111" s="60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6"/>
      <c r="AO111" s="56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</row>
    <row r="112" spans="1:51" customFormat="1" ht="45.6" customHeight="1" x14ac:dyDescent="0.25">
      <c r="A112" s="51"/>
      <c r="B112" s="52"/>
      <c r="C112" s="51"/>
      <c r="D112" s="53"/>
      <c r="E112" s="51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5"/>
      <c r="Y112" s="55"/>
      <c r="Z112" s="55"/>
      <c r="AA112" s="55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1"/>
      <c r="AO112" s="51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</row>
    <row r="113" spans="1:51" customFormat="1" ht="31.15" customHeight="1" x14ac:dyDescent="0.25">
      <c r="A113" s="56"/>
      <c r="B113" s="57"/>
      <c r="C113" s="56"/>
      <c r="D113" s="58"/>
      <c r="E113" s="56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60"/>
      <c r="Y113" s="60"/>
      <c r="Z113" s="60"/>
      <c r="AA113" s="60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6"/>
      <c r="AO113" s="56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</row>
    <row r="114" spans="1:51" customFormat="1" ht="45.6" customHeight="1" x14ac:dyDescent="0.25">
      <c r="A114" s="51"/>
      <c r="B114" s="52"/>
      <c r="C114" s="51"/>
      <c r="D114" s="53"/>
      <c r="E114" s="51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5"/>
      <c r="Y114" s="55"/>
      <c r="Z114" s="55"/>
      <c r="AA114" s="55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1"/>
      <c r="AO114" s="51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</row>
    <row r="115" spans="1:51" customFormat="1" ht="45.6" customHeight="1" x14ac:dyDescent="0.25">
      <c r="A115" s="56"/>
      <c r="B115" s="57"/>
      <c r="C115" s="56"/>
      <c r="D115" s="58"/>
      <c r="E115" s="56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60"/>
      <c r="Y115" s="60"/>
      <c r="Z115" s="60"/>
      <c r="AA115" s="60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6"/>
      <c r="AO115" s="56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</row>
    <row r="116" spans="1:51" customFormat="1" ht="45.6" customHeight="1" x14ac:dyDescent="0.25">
      <c r="A116" s="51"/>
      <c r="B116" s="52"/>
      <c r="C116" s="51"/>
      <c r="D116" s="53"/>
      <c r="E116" s="51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5"/>
      <c r="Y116" s="55"/>
      <c r="Z116" s="55"/>
      <c r="AA116" s="55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1"/>
      <c r="AO116" s="51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</row>
    <row r="117" spans="1:51" customFormat="1" ht="140.44999999999999" customHeight="1" x14ac:dyDescent="0.25">
      <c r="A117" s="56"/>
      <c r="B117" s="57"/>
      <c r="C117" s="56"/>
      <c r="D117" s="58"/>
      <c r="E117" s="56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60"/>
      <c r="Y117" s="60"/>
      <c r="Z117" s="60"/>
      <c r="AA117" s="60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6"/>
      <c r="AO117" s="56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</row>
    <row r="118" spans="1:51" customFormat="1" ht="45.6" customHeight="1" x14ac:dyDescent="0.25">
      <c r="A118" s="51"/>
      <c r="B118" s="52"/>
      <c r="C118" s="51"/>
      <c r="D118" s="53"/>
      <c r="E118" s="51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5"/>
      <c r="Y118" s="55"/>
      <c r="Z118" s="55"/>
      <c r="AA118" s="55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1"/>
      <c r="AO118" s="51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</row>
    <row r="119" spans="1:51" customFormat="1" ht="18" customHeight="1" x14ac:dyDescent="0.25">
      <c r="A119" s="56"/>
      <c r="B119" s="57"/>
      <c r="C119" s="56"/>
      <c r="D119" s="58"/>
      <c r="E119" s="56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60"/>
      <c r="Y119" s="60"/>
      <c r="Z119" s="60"/>
      <c r="AA119" s="60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6"/>
      <c r="AO119" s="56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</row>
    <row r="120" spans="1:51" customFormat="1" ht="31.15" customHeight="1" x14ac:dyDescent="0.25">
      <c r="A120" s="51"/>
      <c r="B120" s="52"/>
      <c r="C120" s="51"/>
      <c r="D120" s="53"/>
      <c r="E120" s="51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5"/>
      <c r="Y120" s="55"/>
      <c r="Z120" s="55"/>
      <c r="AA120" s="55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1"/>
      <c r="AO120" s="51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</row>
    <row r="121" spans="1:51" customFormat="1" ht="45.6" customHeight="1" x14ac:dyDescent="0.25">
      <c r="A121" s="56"/>
      <c r="B121" s="57"/>
      <c r="C121" s="56"/>
      <c r="D121" s="58"/>
      <c r="E121" s="56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60"/>
      <c r="Y121" s="60"/>
      <c r="Z121" s="60"/>
      <c r="AA121" s="60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6"/>
      <c r="AO121" s="56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</row>
    <row r="122" spans="1:51" customFormat="1" ht="45.6" customHeight="1" x14ac:dyDescent="0.25">
      <c r="A122" s="51"/>
      <c r="B122" s="52"/>
      <c r="C122" s="51"/>
      <c r="D122" s="53"/>
      <c r="E122" s="51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5"/>
      <c r="Y122" s="55"/>
      <c r="Z122" s="55"/>
      <c r="AA122" s="55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1"/>
      <c r="AO122" s="51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</row>
    <row r="123" spans="1:51" customFormat="1" ht="45.6" customHeight="1" x14ac:dyDescent="0.25">
      <c r="A123" s="56"/>
      <c r="B123" s="57"/>
      <c r="C123" s="56"/>
      <c r="D123" s="58"/>
      <c r="E123" s="56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60"/>
      <c r="Y123" s="60"/>
      <c r="Z123" s="60"/>
      <c r="AA123" s="60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6"/>
      <c r="AO123" s="56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</row>
    <row r="124" spans="1:51" customFormat="1" ht="31.15" customHeight="1" x14ac:dyDescent="0.25">
      <c r="A124" s="51"/>
      <c r="B124" s="52"/>
      <c r="C124" s="51"/>
      <c r="D124" s="53"/>
      <c r="E124" s="51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5"/>
      <c r="Y124" s="55"/>
      <c r="Z124" s="55"/>
      <c r="AA124" s="55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1"/>
      <c r="AO124" s="51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</row>
    <row r="125" spans="1:51" customFormat="1" ht="45.6" customHeight="1" x14ac:dyDescent="0.25">
      <c r="A125" s="56"/>
      <c r="B125" s="57"/>
      <c r="C125" s="56"/>
      <c r="D125" s="58"/>
      <c r="E125" s="56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60"/>
      <c r="Y125" s="60"/>
      <c r="Z125" s="60"/>
      <c r="AA125" s="60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6"/>
      <c r="AO125" s="56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</row>
    <row r="126" spans="1:51" customFormat="1" ht="153.6" customHeight="1" x14ac:dyDescent="0.25">
      <c r="A126" s="51"/>
      <c r="B126" s="52"/>
      <c r="C126" s="51"/>
      <c r="D126" s="53"/>
      <c r="E126" s="51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5"/>
      <c r="Y126" s="55"/>
      <c r="Z126" s="55"/>
      <c r="AA126" s="55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1"/>
      <c r="AO126" s="51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</row>
    <row r="127" spans="1:51" customFormat="1" ht="18" customHeight="1" x14ac:dyDescent="0.25">
      <c r="A127" s="56"/>
      <c r="B127" s="57"/>
      <c r="C127" s="56"/>
      <c r="D127" s="58"/>
      <c r="E127" s="56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60"/>
      <c r="Y127" s="60"/>
      <c r="Z127" s="60"/>
      <c r="AA127" s="60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6"/>
      <c r="AO127" s="56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</row>
    <row r="128" spans="1:51" customFormat="1" ht="18" customHeight="1" x14ac:dyDescent="0.25">
      <c r="A128" s="51"/>
      <c r="B128" s="52"/>
      <c r="C128" s="51"/>
      <c r="D128" s="53"/>
      <c r="E128" s="51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5"/>
      <c r="Y128" s="55"/>
      <c r="Z128" s="55"/>
      <c r="AA128" s="55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1"/>
      <c r="AO128" s="51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</row>
    <row r="129" spans="1:51" customFormat="1" ht="99.6" customHeight="1" x14ac:dyDescent="0.25">
      <c r="A129" s="56"/>
      <c r="B129" s="57"/>
      <c r="C129" s="56"/>
      <c r="D129" s="58"/>
      <c r="E129" s="56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60"/>
      <c r="Y129" s="60"/>
      <c r="Z129" s="60"/>
      <c r="AA129" s="60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6"/>
      <c r="AO129" s="56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</row>
    <row r="130" spans="1:51" customFormat="1" ht="31.15" customHeight="1" x14ac:dyDescent="0.25">
      <c r="A130" s="51"/>
      <c r="B130" s="52"/>
      <c r="C130" s="51"/>
      <c r="D130" s="53"/>
      <c r="E130" s="51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5"/>
      <c r="Y130" s="55"/>
      <c r="Z130" s="55"/>
      <c r="AA130" s="55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1"/>
      <c r="AO130" s="51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</row>
    <row r="131" spans="1:51" customFormat="1" ht="31.15" customHeight="1" x14ac:dyDescent="0.25">
      <c r="A131" s="56"/>
      <c r="B131" s="57"/>
      <c r="C131" s="56"/>
      <c r="D131" s="58"/>
      <c r="E131" s="56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60"/>
      <c r="Y131" s="60"/>
      <c r="Z131" s="60"/>
      <c r="AA131" s="60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6"/>
      <c r="AO131" s="56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</row>
    <row r="132" spans="1:51" customFormat="1" ht="31.15" customHeight="1" x14ac:dyDescent="0.25">
      <c r="A132" s="51"/>
      <c r="B132" s="52"/>
      <c r="C132" s="51"/>
      <c r="D132" s="53"/>
      <c r="E132" s="51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5"/>
      <c r="Y132" s="55"/>
      <c r="Z132" s="55"/>
      <c r="AA132" s="55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1"/>
      <c r="AO132" s="51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</row>
    <row r="133" spans="1:51" customFormat="1" ht="45.6" customHeight="1" x14ac:dyDescent="0.25">
      <c r="A133" s="56"/>
      <c r="B133" s="57"/>
      <c r="C133" s="56"/>
      <c r="D133" s="58"/>
      <c r="E133" s="56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60"/>
      <c r="Y133" s="60"/>
      <c r="Z133" s="60"/>
      <c r="AA133" s="60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6"/>
      <c r="AO133" s="56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</row>
    <row r="134" spans="1:51" customFormat="1" ht="31.15" customHeight="1" x14ac:dyDescent="0.25">
      <c r="A134" s="51"/>
      <c r="B134" s="52"/>
      <c r="C134" s="51"/>
      <c r="D134" s="53"/>
      <c r="E134" s="51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5"/>
      <c r="Y134" s="55"/>
      <c r="Z134" s="55"/>
      <c r="AA134" s="55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1"/>
      <c r="AO134" s="51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</row>
    <row r="135" spans="1:51" customFormat="1" ht="31.15" customHeight="1" x14ac:dyDescent="0.25">
      <c r="A135" s="56"/>
      <c r="B135" s="57"/>
      <c r="C135" s="56"/>
      <c r="D135" s="58"/>
      <c r="E135" s="56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60"/>
      <c r="Y135" s="60"/>
      <c r="Z135" s="60"/>
      <c r="AA135" s="60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6"/>
      <c r="AO135" s="56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</row>
    <row r="136" spans="1:51" customFormat="1" ht="31.15" customHeight="1" x14ac:dyDescent="0.25">
      <c r="A136" s="51"/>
      <c r="B136" s="52"/>
      <c r="C136" s="51"/>
      <c r="D136" s="53"/>
      <c r="E136" s="51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5"/>
      <c r="Y136" s="55"/>
      <c r="Z136" s="55"/>
      <c r="AA136" s="55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1"/>
      <c r="AO136" s="51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</row>
    <row r="137" spans="1:51" customFormat="1" ht="45.6" customHeight="1" x14ac:dyDescent="0.25">
      <c r="A137" s="56"/>
      <c r="B137" s="57"/>
      <c r="C137" s="56"/>
      <c r="D137" s="58"/>
      <c r="E137" s="56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60"/>
      <c r="Y137" s="60"/>
      <c r="Z137" s="60"/>
      <c r="AA137" s="60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6"/>
      <c r="AO137" s="56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</row>
    <row r="138" spans="1:51" customFormat="1" ht="31.15" customHeight="1" x14ac:dyDescent="0.25">
      <c r="A138" s="51"/>
      <c r="B138" s="52"/>
      <c r="C138" s="51"/>
      <c r="D138" s="53"/>
      <c r="E138" s="51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5"/>
      <c r="Y138" s="55"/>
      <c r="Z138" s="55"/>
      <c r="AA138" s="55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1"/>
      <c r="AO138" s="51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</row>
    <row r="139" spans="1:51" customFormat="1" ht="45.6" customHeight="1" x14ac:dyDescent="0.25">
      <c r="A139" s="56"/>
      <c r="B139" s="57"/>
      <c r="C139" s="56"/>
      <c r="D139" s="58"/>
      <c r="E139" s="56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60"/>
      <c r="Y139" s="60"/>
      <c r="Z139" s="60"/>
      <c r="AA139" s="60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6"/>
      <c r="AO139" s="56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</row>
    <row r="140" spans="1:51" customFormat="1" ht="31.15" customHeight="1" x14ac:dyDescent="0.25">
      <c r="A140" s="51"/>
      <c r="B140" s="52"/>
      <c r="C140" s="51"/>
      <c r="D140" s="53"/>
      <c r="E140" s="51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5"/>
      <c r="Y140" s="55"/>
      <c r="Z140" s="55"/>
      <c r="AA140" s="55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1"/>
      <c r="AO140" s="51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</row>
    <row r="141" spans="1:51" customFormat="1" ht="58.9" customHeight="1" x14ac:dyDescent="0.25">
      <c r="A141" s="56"/>
      <c r="B141" s="57"/>
      <c r="C141" s="56"/>
      <c r="D141" s="58"/>
      <c r="E141" s="56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60"/>
      <c r="Y141" s="60"/>
      <c r="Z141" s="60"/>
      <c r="AA141" s="60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6"/>
      <c r="AO141" s="56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</row>
    <row r="142" spans="1:51" customFormat="1" ht="45.6" customHeight="1" x14ac:dyDescent="0.25">
      <c r="A142" s="51"/>
      <c r="B142" s="52"/>
      <c r="C142" s="51"/>
      <c r="D142" s="53"/>
      <c r="E142" s="51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5"/>
      <c r="Y142" s="55"/>
      <c r="Z142" s="55"/>
      <c r="AA142" s="55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1"/>
      <c r="AO142" s="51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</row>
    <row r="143" spans="1:51" customFormat="1" ht="31.15" customHeight="1" x14ac:dyDescent="0.25">
      <c r="A143" s="56"/>
      <c r="B143" s="57"/>
      <c r="C143" s="56"/>
      <c r="D143" s="58"/>
      <c r="E143" s="56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60"/>
      <c r="Y143" s="60"/>
      <c r="Z143" s="60"/>
      <c r="AA143" s="60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6"/>
      <c r="AO143" s="56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</row>
    <row r="144" spans="1:51" customFormat="1" ht="18" customHeight="1" x14ac:dyDescent="0.25">
      <c r="A144" s="51"/>
      <c r="B144" s="52"/>
      <c r="C144" s="51"/>
      <c r="D144" s="53"/>
      <c r="E144" s="51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5"/>
      <c r="Y144" s="55"/>
      <c r="Z144" s="55"/>
      <c r="AA144" s="55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1"/>
      <c r="AO144" s="51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</row>
    <row r="145" spans="1:51" customFormat="1" ht="18" customHeight="1" x14ac:dyDescent="0.25">
      <c r="A145" s="56"/>
      <c r="B145" s="57"/>
      <c r="C145" s="56"/>
      <c r="D145" s="58"/>
      <c r="E145" s="56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60"/>
      <c r="Y145" s="60"/>
      <c r="Z145" s="60"/>
      <c r="AA145" s="60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6"/>
      <c r="AO145" s="56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</row>
    <row r="146" spans="1:51" customFormat="1" ht="31.15" customHeight="1" x14ac:dyDescent="0.25">
      <c r="A146" s="51"/>
      <c r="B146" s="52"/>
      <c r="C146" s="51"/>
      <c r="D146" s="53"/>
      <c r="E146" s="51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5"/>
      <c r="Y146" s="55"/>
      <c r="Z146" s="55"/>
      <c r="AA146" s="55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1"/>
      <c r="AO146" s="51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</row>
    <row r="147" spans="1:51" customFormat="1" ht="31.15" customHeight="1" x14ac:dyDescent="0.25">
      <c r="A147" s="56"/>
      <c r="B147" s="57"/>
      <c r="C147" s="56"/>
      <c r="D147" s="58"/>
      <c r="E147" s="56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60"/>
      <c r="Y147" s="60"/>
      <c r="Z147" s="60"/>
      <c r="AA147" s="60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6"/>
      <c r="AO147" s="56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</row>
    <row r="148" spans="1:51" customFormat="1" ht="72" customHeight="1" x14ac:dyDescent="0.25">
      <c r="A148" s="51"/>
      <c r="B148" s="52"/>
      <c r="C148" s="51"/>
      <c r="D148" s="53"/>
      <c r="E148" s="51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5"/>
      <c r="Y148" s="55"/>
      <c r="Z148" s="55"/>
      <c r="AA148" s="55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1"/>
      <c r="AO148" s="51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</row>
    <row r="149" spans="1:51" customFormat="1" ht="45.6" customHeight="1" x14ac:dyDescent="0.25">
      <c r="A149" s="56"/>
      <c r="B149" s="57"/>
      <c r="C149" s="56"/>
      <c r="D149" s="58"/>
      <c r="E149" s="56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60"/>
      <c r="Y149" s="60"/>
      <c r="Z149" s="60"/>
      <c r="AA149" s="60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6"/>
      <c r="AO149" s="56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</row>
    <row r="150" spans="1:51" customFormat="1" ht="45.6" customHeight="1" x14ac:dyDescent="0.25">
      <c r="A150" s="51"/>
      <c r="B150" s="52"/>
      <c r="C150" s="51"/>
      <c r="D150" s="53"/>
      <c r="E150" s="51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5"/>
      <c r="Y150" s="55"/>
      <c r="Z150" s="55"/>
      <c r="AA150" s="55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1"/>
      <c r="AO150" s="51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</row>
    <row r="151" spans="1:51" customFormat="1" ht="45.6" customHeight="1" x14ac:dyDescent="0.25">
      <c r="A151" s="56"/>
      <c r="B151" s="57"/>
      <c r="C151" s="56"/>
      <c r="D151" s="58"/>
      <c r="E151" s="56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60"/>
      <c r="Y151" s="60"/>
      <c r="Z151" s="60"/>
      <c r="AA151" s="60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6"/>
      <c r="AO151" s="56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</row>
    <row r="152" spans="1:51" customFormat="1" ht="18" customHeight="1" x14ac:dyDescent="0.25">
      <c r="A152" s="51"/>
      <c r="B152" s="52"/>
      <c r="C152" s="51"/>
      <c r="D152" s="53"/>
      <c r="E152" s="51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5"/>
      <c r="Y152" s="55"/>
      <c r="Z152" s="55"/>
      <c r="AA152" s="55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1"/>
      <c r="AO152" s="51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</row>
    <row r="153" spans="1:51" customFormat="1" ht="45.6" customHeight="1" x14ac:dyDescent="0.25">
      <c r="A153" s="56"/>
      <c r="B153" s="57"/>
      <c r="C153" s="56"/>
      <c r="D153" s="58"/>
      <c r="E153" s="56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60"/>
      <c r="Y153" s="60"/>
      <c r="Z153" s="60"/>
      <c r="AA153" s="60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6"/>
      <c r="AO153" s="56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</row>
    <row r="154" spans="1:51" customFormat="1" ht="58.9" customHeight="1" x14ac:dyDescent="0.25">
      <c r="A154" s="51"/>
      <c r="B154" s="52"/>
      <c r="C154" s="51"/>
      <c r="D154" s="53"/>
      <c r="E154" s="51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5"/>
      <c r="Y154" s="55"/>
      <c r="Z154" s="55"/>
      <c r="AA154" s="55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1"/>
      <c r="AO154" s="51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</row>
    <row r="155" spans="1:51" customFormat="1" ht="31.15" customHeight="1" x14ac:dyDescent="0.25">
      <c r="A155" s="56"/>
      <c r="B155" s="57"/>
      <c r="C155" s="56"/>
      <c r="D155" s="58"/>
      <c r="E155" s="56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60"/>
      <c r="Y155" s="60"/>
      <c r="Z155" s="60"/>
      <c r="AA155" s="60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6"/>
      <c r="AO155" s="56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</row>
    <row r="156" spans="1:51" customFormat="1" ht="31.15" customHeight="1" x14ac:dyDescent="0.25">
      <c r="A156" s="51"/>
      <c r="B156" s="52"/>
      <c r="C156" s="51"/>
      <c r="D156" s="53"/>
      <c r="E156" s="51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5"/>
      <c r="Y156" s="55"/>
      <c r="Z156" s="55"/>
      <c r="AA156" s="55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1"/>
      <c r="AO156" s="51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</row>
    <row r="157" spans="1:51" customFormat="1" ht="31.15" customHeight="1" x14ac:dyDescent="0.25">
      <c r="A157" s="56"/>
      <c r="B157" s="57"/>
      <c r="C157" s="56"/>
      <c r="D157" s="58"/>
      <c r="E157" s="56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60"/>
      <c r="Y157" s="60"/>
      <c r="Z157" s="60"/>
      <c r="AA157" s="60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6"/>
      <c r="AO157" s="56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</row>
    <row r="158" spans="1:51" customFormat="1" ht="45.6" customHeight="1" x14ac:dyDescent="0.25">
      <c r="A158" s="51"/>
      <c r="B158" s="52"/>
      <c r="C158" s="51"/>
      <c r="D158" s="53"/>
      <c r="E158" s="51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5"/>
      <c r="Y158" s="55"/>
      <c r="Z158" s="55"/>
      <c r="AA158" s="55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1"/>
      <c r="AO158" s="51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</row>
    <row r="159" spans="1:51" customFormat="1" ht="45.6" customHeight="1" x14ac:dyDescent="0.25">
      <c r="A159" s="56"/>
      <c r="B159" s="57"/>
      <c r="C159" s="56"/>
      <c r="D159" s="58"/>
      <c r="E159" s="56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60"/>
      <c r="Y159" s="60"/>
      <c r="Z159" s="60"/>
      <c r="AA159" s="60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6"/>
      <c r="AO159" s="56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</row>
    <row r="160" spans="1:51" customFormat="1" ht="45.6" customHeight="1" x14ac:dyDescent="0.25">
      <c r="A160" s="51"/>
      <c r="B160" s="52"/>
      <c r="C160" s="51"/>
      <c r="D160" s="53"/>
      <c r="E160" s="51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5"/>
      <c r="Y160" s="55"/>
      <c r="Z160" s="55"/>
      <c r="AA160" s="55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1"/>
      <c r="AO160" s="51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</row>
    <row r="161" spans="1:51" customFormat="1" ht="45.6" customHeight="1" x14ac:dyDescent="0.25">
      <c r="A161" s="56"/>
      <c r="B161" s="57"/>
      <c r="C161" s="56"/>
      <c r="D161" s="58"/>
      <c r="E161" s="56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60"/>
      <c r="Y161" s="60"/>
      <c r="Z161" s="60"/>
      <c r="AA161" s="60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6"/>
      <c r="AO161" s="56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</row>
    <row r="162" spans="1:51" customFormat="1" ht="58.9" customHeight="1" x14ac:dyDescent="0.25">
      <c r="A162" s="51"/>
      <c r="B162" s="52"/>
      <c r="C162" s="51"/>
      <c r="D162" s="53"/>
      <c r="E162" s="51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5"/>
      <c r="Y162" s="55"/>
      <c r="Z162" s="55"/>
      <c r="AA162" s="55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1"/>
      <c r="AO162" s="51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</row>
    <row r="163" spans="1:51" customFormat="1" ht="31.15" customHeight="1" x14ac:dyDescent="0.25">
      <c r="A163" s="56"/>
      <c r="B163" s="57"/>
      <c r="C163" s="56"/>
      <c r="D163" s="58"/>
      <c r="E163" s="56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60"/>
      <c r="Y163" s="60"/>
      <c r="Z163" s="60"/>
      <c r="AA163" s="60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6"/>
      <c r="AO163" s="56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</row>
    <row r="164" spans="1:51" customFormat="1" ht="45.6" customHeight="1" x14ac:dyDescent="0.25">
      <c r="A164" s="51"/>
      <c r="B164" s="52"/>
      <c r="C164" s="51"/>
      <c r="D164" s="53"/>
      <c r="E164" s="51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5"/>
      <c r="Y164" s="55"/>
      <c r="Z164" s="55"/>
      <c r="AA164" s="55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1"/>
      <c r="AO164" s="51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</row>
    <row r="165" spans="1:51" customFormat="1" ht="112.9" customHeight="1" x14ac:dyDescent="0.25">
      <c r="A165" s="56"/>
      <c r="B165" s="57"/>
      <c r="C165" s="56"/>
      <c r="D165" s="58"/>
      <c r="E165" s="56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60"/>
      <c r="Y165" s="60"/>
      <c r="Z165" s="60"/>
      <c r="AA165" s="60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6"/>
      <c r="AO165" s="56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</row>
    <row r="166" spans="1:51" customFormat="1" ht="18" customHeight="1" x14ac:dyDescent="0.25">
      <c r="A166" s="51"/>
      <c r="B166" s="52"/>
      <c r="C166" s="51"/>
      <c r="D166" s="53"/>
      <c r="E166" s="51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5"/>
      <c r="Y166" s="55"/>
      <c r="Z166" s="55"/>
      <c r="AA166" s="55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1"/>
      <c r="AO166" s="51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</row>
    <row r="167" spans="1:51" customFormat="1" ht="18" customHeight="1" x14ac:dyDescent="0.25">
      <c r="A167" s="56"/>
      <c r="B167" s="57"/>
      <c r="C167" s="56"/>
      <c r="D167" s="58"/>
      <c r="E167" s="56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60"/>
      <c r="Y167" s="60"/>
      <c r="Z167" s="60"/>
      <c r="AA167" s="60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6"/>
      <c r="AO167" s="56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</row>
    <row r="168" spans="1:51" customFormat="1" ht="31.15" customHeight="1" x14ac:dyDescent="0.25">
      <c r="A168" s="51"/>
      <c r="B168" s="52"/>
      <c r="C168" s="51"/>
      <c r="D168" s="53"/>
      <c r="E168" s="51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5"/>
      <c r="Y168" s="55"/>
      <c r="Z168" s="55"/>
      <c r="AA168" s="55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1"/>
      <c r="AO168" s="51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</row>
    <row r="169" spans="1:51" customFormat="1" ht="58.9" customHeight="1" x14ac:dyDescent="0.25">
      <c r="A169" s="56"/>
      <c r="B169" s="57"/>
      <c r="C169" s="56"/>
      <c r="D169" s="58"/>
      <c r="E169" s="56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60"/>
      <c r="Y169" s="60"/>
      <c r="Z169" s="60"/>
      <c r="AA169" s="60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6"/>
      <c r="AO169" s="56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</row>
    <row r="170" spans="1:51" customFormat="1" ht="31.15" customHeight="1" x14ac:dyDescent="0.25">
      <c r="A170" s="51"/>
      <c r="B170" s="52"/>
      <c r="C170" s="51"/>
      <c r="D170" s="53"/>
      <c r="E170" s="51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5"/>
      <c r="Y170" s="55"/>
      <c r="Z170" s="55"/>
      <c r="AA170" s="55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1"/>
      <c r="AO170" s="51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</row>
    <row r="171" spans="1:51" customFormat="1" ht="31.15" customHeight="1" x14ac:dyDescent="0.25">
      <c r="A171" s="56"/>
      <c r="B171" s="57"/>
      <c r="C171" s="56"/>
      <c r="D171" s="58"/>
      <c r="E171" s="56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60"/>
      <c r="Y171" s="60"/>
      <c r="Z171" s="60"/>
      <c r="AA171" s="60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6"/>
      <c r="AO171" s="56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</row>
    <row r="172" spans="1:51" customFormat="1" ht="18" customHeight="1" x14ac:dyDescent="0.25">
      <c r="A172" s="51"/>
      <c r="B172" s="52"/>
      <c r="C172" s="51"/>
      <c r="D172" s="53"/>
      <c r="E172" s="51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5"/>
      <c r="Y172" s="55"/>
      <c r="Z172" s="55"/>
      <c r="AA172" s="55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1"/>
      <c r="AO172" s="51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</row>
    <row r="173" spans="1:51" customFormat="1" ht="18" customHeight="1" x14ac:dyDescent="0.25">
      <c r="A173" s="56"/>
      <c r="B173" s="57"/>
      <c r="C173" s="56"/>
      <c r="D173" s="58"/>
      <c r="E173" s="56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60"/>
      <c r="Y173" s="60"/>
      <c r="Z173" s="60"/>
      <c r="AA173" s="60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6"/>
      <c r="AO173" s="56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</row>
    <row r="174" spans="1:51" customFormat="1" ht="31.15" customHeight="1" x14ac:dyDescent="0.25">
      <c r="A174" s="51"/>
      <c r="B174" s="52"/>
      <c r="C174" s="51"/>
      <c r="D174" s="53"/>
      <c r="E174" s="51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5"/>
      <c r="Y174" s="55"/>
      <c r="Z174" s="55"/>
      <c r="AA174" s="55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1"/>
      <c r="AO174" s="51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</row>
    <row r="175" spans="1:51" customFormat="1" ht="31.15" customHeight="1" x14ac:dyDescent="0.25">
      <c r="A175" s="56"/>
      <c r="B175" s="57"/>
      <c r="C175" s="56"/>
      <c r="D175" s="58"/>
      <c r="E175" s="56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60"/>
      <c r="Y175" s="60"/>
      <c r="Z175" s="60"/>
      <c r="AA175" s="60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6"/>
      <c r="AO175" s="56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</row>
    <row r="176" spans="1:51" customFormat="1" ht="18" customHeight="1" x14ac:dyDescent="0.25">
      <c r="A176" s="51"/>
      <c r="B176" s="52"/>
      <c r="C176" s="51"/>
      <c r="D176" s="53"/>
      <c r="E176" s="51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5"/>
      <c r="Y176" s="55"/>
      <c r="Z176" s="55"/>
      <c r="AA176" s="55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1"/>
      <c r="AO176" s="51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</row>
    <row r="177" spans="1:51" customFormat="1" ht="58.9" customHeight="1" x14ac:dyDescent="0.25">
      <c r="A177" s="56"/>
      <c r="B177" s="57"/>
      <c r="C177" s="56"/>
      <c r="D177" s="58"/>
      <c r="E177" s="56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60"/>
      <c r="Y177" s="60"/>
      <c r="Z177" s="60"/>
      <c r="AA177" s="60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6"/>
      <c r="AO177" s="56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</row>
    <row r="178" spans="1:51" customFormat="1" ht="31.15" customHeight="1" x14ac:dyDescent="0.25">
      <c r="A178" s="51"/>
      <c r="B178" s="52"/>
      <c r="C178" s="51"/>
      <c r="D178" s="53"/>
      <c r="E178" s="51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5"/>
      <c r="Y178" s="55"/>
      <c r="Z178" s="55"/>
      <c r="AA178" s="55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1"/>
      <c r="AO178" s="51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</row>
    <row r="179" spans="1:51" customFormat="1" ht="31.15" customHeight="1" x14ac:dyDescent="0.25">
      <c r="A179" s="56"/>
      <c r="B179" s="57"/>
      <c r="C179" s="56"/>
      <c r="D179" s="58"/>
      <c r="E179" s="56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60"/>
      <c r="Y179" s="60"/>
      <c r="Z179" s="60"/>
      <c r="AA179" s="60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6"/>
      <c r="AO179" s="56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</row>
    <row r="180" spans="1:51" customFormat="1" ht="31.15" customHeight="1" x14ac:dyDescent="0.25">
      <c r="A180" s="51"/>
      <c r="B180" s="52"/>
      <c r="C180" s="51"/>
      <c r="D180" s="53"/>
      <c r="E180" s="51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5"/>
      <c r="Y180" s="55"/>
      <c r="Z180" s="55"/>
      <c r="AA180" s="55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1"/>
      <c r="AO180" s="51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</row>
    <row r="181" spans="1:51" customFormat="1" ht="31.15" customHeight="1" x14ac:dyDescent="0.25">
      <c r="A181" s="56"/>
      <c r="B181" s="57"/>
      <c r="C181" s="56"/>
      <c r="D181" s="58"/>
      <c r="E181" s="56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60"/>
      <c r="Y181" s="60"/>
      <c r="Z181" s="60"/>
      <c r="AA181" s="60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6"/>
      <c r="AO181" s="56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</row>
    <row r="182" spans="1:51" customFormat="1" ht="18" customHeight="1" x14ac:dyDescent="0.25">
      <c r="A182" s="51"/>
      <c r="B182" s="52"/>
      <c r="C182" s="51"/>
      <c r="D182" s="53"/>
      <c r="E182" s="51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5"/>
      <c r="Y182" s="55"/>
      <c r="Z182" s="55"/>
      <c r="AA182" s="55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1"/>
      <c r="AO182" s="51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</row>
    <row r="183" spans="1:51" customFormat="1" ht="45.6" customHeight="1" x14ac:dyDescent="0.25">
      <c r="A183" s="56"/>
      <c r="B183" s="57"/>
      <c r="C183" s="56"/>
      <c r="D183" s="58"/>
      <c r="E183" s="56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61"/>
      <c r="Y183" s="60"/>
      <c r="Z183" s="60"/>
      <c r="AA183" s="60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6"/>
      <c r="AO183" s="56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</row>
    <row r="184" spans="1:51" customFormat="1" ht="45.6" customHeight="1" x14ac:dyDescent="0.25">
      <c r="A184" s="51"/>
      <c r="B184" s="52"/>
      <c r="C184" s="51"/>
      <c r="D184" s="53"/>
      <c r="E184" s="51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5"/>
      <c r="Y184" s="55"/>
      <c r="Z184" s="55"/>
      <c r="AA184" s="55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1"/>
      <c r="AO184" s="51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</row>
    <row r="185" spans="1:51" customFormat="1" ht="18" customHeight="1" x14ac:dyDescent="0.25">
      <c r="A185" s="56"/>
      <c r="B185" s="57"/>
      <c r="C185" s="56"/>
      <c r="D185" s="58"/>
      <c r="E185" s="56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60"/>
      <c r="Y185" s="60"/>
      <c r="Z185" s="60"/>
      <c r="AA185" s="60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6"/>
      <c r="AO185" s="56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</row>
    <row r="186" spans="1:51" customFormat="1" ht="45.6" customHeight="1" x14ac:dyDescent="0.25">
      <c r="A186" s="51"/>
      <c r="B186" s="52"/>
      <c r="C186" s="51"/>
      <c r="D186" s="53"/>
      <c r="E186" s="51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5"/>
      <c r="Y186" s="55"/>
      <c r="Z186" s="55"/>
      <c r="AA186" s="55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1"/>
      <c r="AO186" s="51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</row>
    <row r="187" spans="1:51" customFormat="1" ht="58.9" customHeight="1" x14ac:dyDescent="0.25">
      <c r="A187" s="56"/>
      <c r="B187" s="57"/>
      <c r="C187" s="56"/>
      <c r="D187" s="58"/>
      <c r="E187" s="56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60"/>
      <c r="Y187" s="60"/>
      <c r="Z187" s="60"/>
      <c r="AA187" s="60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6"/>
      <c r="AO187" s="56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</row>
    <row r="188" spans="1:51" customFormat="1" ht="31.15" customHeight="1" x14ac:dyDescent="0.25">
      <c r="A188" s="51"/>
      <c r="B188" s="52"/>
      <c r="C188" s="51"/>
      <c r="D188" s="53"/>
      <c r="E188" s="51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5"/>
      <c r="Y188" s="55"/>
      <c r="Z188" s="55"/>
      <c r="AA188" s="55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1"/>
      <c r="AO188" s="51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</row>
    <row r="189" spans="1:51" customFormat="1" ht="45.6" customHeight="1" x14ac:dyDescent="0.25">
      <c r="A189" s="56"/>
      <c r="B189" s="57"/>
      <c r="C189" s="56"/>
      <c r="D189" s="58"/>
      <c r="E189" s="56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60"/>
      <c r="Y189" s="60"/>
      <c r="Z189" s="60"/>
      <c r="AA189" s="60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6"/>
      <c r="AO189" s="56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</row>
    <row r="190" spans="1:51" customFormat="1" ht="31.15" customHeight="1" x14ac:dyDescent="0.25">
      <c r="A190" s="51"/>
      <c r="B190" s="52"/>
      <c r="C190" s="51"/>
      <c r="D190" s="53"/>
      <c r="E190" s="51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5"/>
      <c r="Y190" s="55"/>
      <c r="Z190" s="55"/>
      <c r="AA190" s="55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1"/>
      <c r="AO190" s="51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</row>
    <row r="191" spans="1:51" customFormat="1" ht="45.6" customHeight="1" x14ac:dyDescent="0.25">
      <c r="A191" s="56"/>
      <c r="B191" s="57"/>
      <c r="C191" s="56"/>
      <c r="D191" s="58"/>
      <c r="E191" s="56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60"/>
      <c r="Y191" s="60"/>
      <c r="Z191" s="60"/>
      <c r="AA191" s="60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6"/>
      <c r="AO191" s="56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</row>
    <row r="192" spans="1:51" customFormat="1" ht="58.9" customHeight="1" x14ac:dyDescent="0.25">
      <c r="A192" s="51"/>
      <c r="B192" s="52"/>
      <c r="C192" s="51"/>
      <c r="D192" s="53"/>
      <c r="E192" s="51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5"/>
      <c r="Y192" s="55"/>
      <c r="Z192" s="55"/>
      <c r="AA192" s="55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1"/>
      <c r="AO192" s="51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</row>
    <row r="193" spans="1:51" customFormat="1" ht="31.15" customHeight="1" x14ac:dyDescent="0.25">
      <c r="A193" s="56"/>
      <c r="B193" s="57"/>
      <c r="C193" s="56"/>
      <c r="D193" s="58"/>
      <c r="E193" s="56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60"/>
      <c r="Y193" s="60"/>
      <c r="Z193" s="60"/>
      <c r="AA193" s="60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6"/>
      <c r="AO193" s="56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</row>
    <row r="194" spans="1:51" customFormat="1" ht="45.6" customHeight="1" x14ac:dyDescent="0.25">
      <c r="A194" s="51"/>
      <c r="B194" s="52"/>
      <c r="C194" s="51"/>
      <c r="D194" s="53"/>
      <c r="E194" s="51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5"/>
      <c r="Y194" s="55"/>
      <c r="Z194" s="55"/>
      <c r="AA194" s="55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1"/>
      <c r="AO194" s="51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</row>
    <row r="195" spans="1:51" customFormat="1" ht="31.15" customHeight="1" x14ac:dyDescent="0.25">
      <c r="A195" s="56"/>
      <c r="B195" s="57"/>
      <c r="C195" s="56"/>
      <c r="D195" s="58"/>
      <c r="E195" s="56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60"/>
      <c r="Y195" s="60"/>
      <c r="Z195" s="60"/>
      <c r="AA195" s="60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6"/>
      <c r="AO195" s="56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</row>
    <row r="196" spans="1:51" customFormat="1" ht="45.6" customHeight="1" x14ac:dyDescent="0.25">
      <c r="A196" s="51"/>
      <c r="B196" s="52"/>
      <c r="C196" s="51"/>
      <c r="D196" s="53"/>
      <c r="E196" s="51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5"/>
      <c r="Y196" s="55"/>
      <c r="Z196" s="55"/>
      <c r="AA196" s="55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1"/>
      <c r="AO196" s="51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</row>
    <row r="197" spans="1:51" customFormat="1" ht="72" customHeight="1" x14ac:dyDescent="0.25">
      <c r="A197" s="56"/>
      <c r="B197" s="57"/>
      <c r="C197" s="56"/>
      <c r="D197" s="58"/>
      <c r="E197" s="56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60"/>
      <c r="Y197" s="60"/>
      <c r="Z197" s="60"/>
      <c r="AA197" s="60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6"/>
      <c r="AO197" s="56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</row>
    <row r="198" spans="1:51" customFormat="1" ht="18" customHeight="1" x14ac:dyDescent="0.25">
      <c r="A198" s="51"/>
      <c r="B198" s="52"/>
      <c r="C198" s="51"/>
      <c r="D198" s="53"/>
      <c r="E198" s="51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5"/>
      <c r="Y198" s="55"/>
      <c r="Z198" s="55"/>
      <c r="AA198" s="55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1"/>
      <c r="AO198" s="51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</row>
    <row r="199" spans="1:51" customFormat="1" ht="31.15" customHeight="1" x14ac:dyDescent="0.25">
      <c r="A199" s="56"/>
      <c r="B199" s="57"/>
      <c r="C199" s="56"/>
      <c r="D199" s="58"/>
      <c r="E199" s="56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60"/>
      <c r="Y199" s="60"/>
      <c r="Z199" s="60"/>
      <c r="AA199" s="60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6"/>
      <c r="AO199" s="56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</row>
    <row r="200" spans="1:51" customFormat="1" ht="45.6" customHeight="1" x14ac:dyDescent="0.25">
      <c r="A200" s="51"/>
      <c r="B200" s="52"/>
      <c r="C200" s="51"/>
      <c r="D200" s="53"/>
      <c r="E200" s="51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5"/>
      <c r="Y200" s="55"/>
      <c r="Z200" s="55"/>
      <c r="AA200" s="55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1"/>
      <c r="AO200" s="51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</row>
    <row r="201" spans="1:51" customFormat="1" ht="45.6" customHeight="1" x14ac:dyDescent="0.25">
      <c r="A201" s="56"/>
      <c r="B201" s="57"/>
      <c r="C201" s="56"/>
      <c r="D201" s="58"/>
      <c r="E201" s="56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60"/>
      <c r="Y201" s="60"/>
      <c r="Z201" s="60"/>
      <c r="AA201" s="60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6"/>
      <c r="AO201" s="56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</row>
    <row r="202" spans="1:51" customFormat="1" ht="31.15" customHeight="1" x14ac:dyDescent="0.25">
      <c r="A202" s="51"/>
      <c r="B202" s="52"/>
      <c r="C202" s="51"/>
      <c r="D202" s="53"/>
      <c r="E202" s="51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5"/>
      <c r="Y202" s="55"/>
      <c r="Z202" s="55"/>
      <c r="AA202" s="55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1"/>
      <c r="AO202" s="51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</row>
    <row r="203" spans="1:51" customFormat="1" ht="45.6" customHeight="1" x14ac:dyDescent="0.25">
      <c r="A203" s="56"/>
      <c r="B203" s="57"/>
      <c r="C203" s="56"/>
      <c r="D203" s="58"/>
      <c r="E203" s="56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60"/>
      <c r="Y203" s="60"/>
      <c r="Z203" s="60"/>
      <c r="AA203" s="60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6"/>
      <c r="AO203" s="56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</row>
    <row r="204" spans="1:51" customFormat="1" ht="31.15" customHeight="1" x14ac:dyDescent="0.25">
      <c r="A204" s="51"/>
      <c r="B204" s="52"/>
      <c r="C204" s="51"/>
      <c r="D204" s="53"/>
      <c r="E204" s="51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5"/>
      <c r="Y204" s="55"/>
      <c r="Z204" s="55"/>
      <c r="AA204" s="55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1"/>
      <c r="AO204" s="51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</row>
    <row r="205" spans="1:51" customFormat="1" ht="31.15" customHeight="1" x14ac:dyDescent="0.25">
      <c r="A205" s="56"/>
      <c r="B205" s="57"/>
      <c r="C205" s="56"/>
      <c r="D205" s="58"/>
      <c r="E205" s="56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60"/>
      <c r="Y205" s="60"/>
      <c r="Z205" s="60"/>
      <c r="AA205" s="60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6"/>
      <c r="AO205" s="56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</row>
    <row r="206" spans="1:51" customFormat="1" ht="18" customHeight="1" x14ac:dyDescent="0.25">
      <c r="A206" s="51"/>
      <c r="B206" s="52"/>
      <c r="C206" s="51"/>
      <c r="D206" s="53"/>
      <c r="E206" s="51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5"/>
      <c r="Y206" s="55"/>
      <c r="Z206" s="55"/>
      <c r="AA206" s="55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1"/>
      <c r="AO206" s="51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</row>
    <row r="207" spans="1:51" customFormat="1" ht="31.15" customHeight="1" x14ac:dyDescent="0.25">
      <c r="A207" s="56"/>
      <c r="B207" s="57"/>
      <c r="C207" s="56"/>
      <c r="D207" s="58"/>
      <c r="E207" s="56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60"/>
      <c r="Y207" s="60"/>
      <c r="Z207" s="60"/>
      <c r="AA207" s="60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6"/>
      <c r="AO207" s="56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</row>
    <row r="208" spans="1:51" customFormat="1" ht="31.15" customHeight="1" x14ac:dyDescent="0.25">
      <c r="A208" s="51"/>
      <c r="B208" s="52"/>
      <c r="C208" s="51"/>
      <c r="D208" s="53"/>
      <c r="E208" s="51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5"/>
      <c r="Y208" s="55"/>
      <c r="Z208" s="55"/>
      <c r="AA208" s="55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1"/>
      <c r="AO208" s="51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</row>
    <row r="209" spans="1:51" customFormat="1" ht="31.15" customHeight="1" x14ac:dyDescent="0.25">
      <c r="A209" s="56"/>
      <c r="B209" s="57"/>
      <c r="C209" s="56"/>
      <c r="D209" s="58"/>
      <c r="E209" s="56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60"/>
      <c r="Y209" s="60"/>
      <c r="Z209" s="60"/>
      <c r="AA209" s="60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6"/>
      <c r="AO209" s="56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</row>
    <row r="210" spans="1:51" customFormat="1" ht="45.6" customHeight="1" x14ac:dyDescent="0.25">
      <c r="A210" s="51"/>
      <c r="B210" s="52"/>
      <c r="C210" s="51"/>
      <c r="D210" s="53"/>
      <c r="E210" s="51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5"/>
      <c r="Y210" s="55"/>
      <c r="Z210" s="55"/>
      <c r="AA210" s="55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1"/>
      <c r="AO210" s="51"/>
      <c r="AP210" s="54"/>
      <c r="AQ210" s="54"/>
      <c r="AR210" s="54"/>
      <c r="AS210" s="54"/>
      <c r="AT210" s="54"/>
      <c r="AU210" s="54"/>
      <c r="AV210" s="54"/>
      <c r="AW210" s="54"/>
      <c r="AX210" s="54"/>
      <c r="AY210" s="54"/>
    </row>
    <row r="211" spans="1:51" customFormat="1" ht="31.15" customHeight="1" x14ac:dyDescent="0.25">
      <c r="A211" s="56"/>
      <c r="B211" s="57"/>
      <c r="C211" s="56"/>
      <c r="D211" s="58"/>
      <c r="E211" s="56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60"/>
      <c r="Y211" s="60"/>
      <c r="Z211" s="60"/>
      <c r="AA211" s="60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6"/>
      <c r="AO211" s="56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</row>
    <row r="212" spans="1:51" customFormat="1" ht="31.15" customHeight="1" x14ac:dyDescent="0.25">
      <c r="A212" s="51"/>
      <c r="B212" s="52"/>
      <c r="C212" s="51"/>
      <c r="D212" s="53"/>
      <c r="E212" s="51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5"/>
      <c r="Y212" s="55"/>
      <c r="Z212" s="55"/>
      <c r="AA212" s="55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1"/>
      <c r="AO212" s="51"/>
      <c r="AP212" s="54"/>
      <c r="AQ212" s="54"/>
      <c r="AR212" s="54"/>
      <c r="AS212" s="54"/>
      <c r="AT212" s="54"/>
      <c r="AU212" s="54"/>
      <c r="AV212" s="54"/>
      <c r="AW212" s="54"/>
      <c r="AX212" s="54"/>
      <c r="AY212" s="54"/>
    </row>
    <row r="213" spans="1:51" customFormat="1" ht="72" customHeight="1" x14ac:dyDescent="0.25">
      <c r="A213" s="56"/>
      <c r="B213" s="57"/>
      <c r="C213" s="56"/>
      <c r="D213" s="58"/>
      <c r="E213" s="56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60"/>
      <c r="Y213" s="60"/>
      <c r="Z213" s="60"/>
      <c r="AA213" s="60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6"/>
      <c r="AO213" s="56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</row>
    <row r="214" spans="1:51" customFormat="1" ht="72" customHeight="1" x14ac:dyDescent="0.25">
      <c r="A214" s="51"/>
      <c r="B214" s="52"/>
      <c r="C214" s="51"/>
      <c r="D214" s="53"/>
      <c r="E214" s="51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5"/>
      <c r="Y214" s="55"/>
      <c r="Z214" s="55"/>
      <c r="AA214" s="55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1"/>
      <c r="AO214" s="51"/>
      <c r="AP214" s="54"/>
      <c r="AQ214" s="54"/>
      <c r="AR214" s="54"/>
      <c r="AS214" s="54"/>
      <c r="AT214" s="54"/>
      <c r="AU214" s="54"/>
      <c r="AV214" s="54"/>
      <c r="AW214" s="54"/>
      <c r="AX214" s="54"/>
      <c r="AY214" s="54"/>
    </row>
    <row r="215" spans="1:51" customFormat="1" ht="168" customHeight="1" x14ac:dyDescent="0.25">
      <c r="A215" s="56"/>
      <c r="B215" s="57"/>
      <c r="C215" s="56"/>
      <c r="D215" s="58"/>
      <c r="E215" s="56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60"/>
      <c r="Y215" s="60"/>
      <c r="Z215" s="60"/>
      <c r="AA215" s="60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6"/>
      <c r="AO215" s="56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</row>
    <row r="216" spans="1:51" customFormat="1" ht="31.15" customHeight="1" x14ac:dyDescent="0.25">
      <c r="A216" s="51"/>
      <c r="B216" s="52"/>
      <c r="C216" s="51"/>
      <c r="D216" s="53"/>
      <c r="E216" s="51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5"/>
      <c r="Y216" s="55"/>
      <c r="Z216" s="55"/>
      <c r="AA216" s="55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4"/>
      <c r="AM216" s="54"/>
      <c r="AN216" s="51"/>
      <c r="AO216" s="51"/>
      <c r="AP216" s="54"/>
      <c r="AQ216" s="54"/>
      <c r="AR216" s="54"/>
      <c r="AS216" s="54"/>
      <c r="AT216" s="54"/>
      <c r="AU216" s="54"/>
      <c r="AV216" s="54"/>
      <c r="AW216" s="54"/>
      <c r="AX216" s="54"/>
      <c r="AY216" s="54"/>
    </row>
    <row r="217" spans="1:51" customFormat="1" ht="31.15" customHeight="1" x14ac:dyDescent="0.25">
      <c r="A217" s="56"/>
      <c r="B217" s="57"/>
      <c r="C217" s="56"/>
      <c r="D217" s="58"/>
      <c r="E217" s="56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60"/>
      <c r="Y217" s="60"/>
      <c r="Z217" s="60"/>
      <c r="AA217" s="60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6"/>
      <c r="AO217" s="56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</row>
    <row r="218" spans="1:51" customFormat="1" ht="31.15" customHeight="1" x14ac:dyDescent="0.25">
      <c r="A218" s="51"/>
      <c r="B218" s="52"/>
      <c r="C218" s="51"/>
      <c r="D218" s="53"/>
      <c r="E218" s="51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5"/>
      <c r="Y218" s="55"/>
      <c r="Z218" s="55"/>
      <c r="AA218" s="55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54"/>
      <c r="AN218" s="51"/>
      <c r="AO218" s="51"/>
      <c r="AP218" s="54"/>
      <c r="AQ218" s="54"/>
      <c r="AR218" s="54"/>
      <c r="AS218" s="54"/>
      <c r="AT218" s="54"/>
      <c r="AU218" s="54"/>
      <c r="AV218" s="54"/>
      <c r="AW218" s="54"/>
      <c r="AX218" s="54"/>
      <c r="AY218" s="54"/>
    </row>
    <row r="219" spans="1:51" customFormat="1" ht="45.6" customHeight="1" x14ac:dyDescent="0.25">
      <c r="A219" s="56"/>
      <c r="B219" s="57"/>
      <c r="C219" s="56"/>
      <c r="D219" s="58"/>
      <c r="E219" s="56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60"/>
      <c r="Y219" s="60"/>
      <c r="Z219" s="60"/>
      <c r="AA219" s="60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6"/>
      <c r="AO219" s="56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</row>
    <row r="220" spans="1:51" customFormat="1" ht="58.9" customHeight="1" x14ac:dyDescent="0.25">
      <c r="A220" s="51"/>
      <c r="B220" s="52"/>
      <c r="C220" s="51"/>
      <c r="D220" s="53"/>
      <c r="E220" s="51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5"/>
      <c r="Y220" s="55"/>
      <c r="Z220" s="55"/>
      <c r="AA220" s="55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  <c r="AL220" s="54"/>
      <c r="AM220" s="54"/>
      <c r="AN220" s="51"/>
      <c r="AO220" s="51"/>
      <c r="AP220" s="54"/>
      <c r="AQ220" s="54"/>
      <c r="AR220" s="54"/>
      <c r="AS220" s="54"/>
      <c r="AT220" s="54"/>
      <c r="AU220" s="54"/>
      <c r="AV220" s="54"/>
      <c r="AW220" s="54"/>
      <c r="AX220" s="54"/>
      <c r="AY220" s="54"/>
    </row>
    <row r="221" spans="1:51" customFormat="1" ht="45.6" customHeight="1" x14ac:dyDescent="0.25">
      <c r="A221" s="56"/>
      <c r="B221" s="57"/>
      <c r="C221" s="56"/>
      <c r="D221" s="58"/>
      <c r="E221" s="56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60"/>
      <c r="Y221" s="60"/>
      <c r="Z221" s="60"/>
      <c r="AA221" s="60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6"/>
      <c r="AO221" s="56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</row>
    <row r="222" spans="1:51" customFormat="1" ht="18" customHeight="1" x14ac:dyDescent="0.25">
      <c r="A222" s="51"/>
      <c r="B222" s="52"/>
      <c r="C222" s="51"/>
      <c r="D222" s="53"/>
      <c r="E222" s="51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5"/>
      <c r="Y222" s="55"/>
      <c r="Z222" s="55"/>
      <c r="AA222" s="55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  <c r="AL222" s="54"/>
      <c r="AM222" s="54"/>
      <c r="AN222" s="51"/>
      <c r="AO222" s="51"/>
      <c r="AP222" s="54"/>
      <c r="AQ222" s="54"/>
      <c r="AR222" s="54"/>
      <c r="AS222" s="54"/>
      <c r="AT222" s="54"/>
      <c r="AU222" s="54"/>
      <c r="AV222" s="54"/>
      <c r="AW222" s="54"/>
      <c r="AX222" s="54"/>
      <c r="AY222" s="54"/>
    </row>
    <row r="223" spans="1:51" customFormat="1" ht="18" customHeight="1" x14ac:dyDescent="0.25">
      <c r="A223" s="56"/>
      <c r="B223" s="57"/>
      <c r="C223" s="56"/>
      <c r="D223" s="58"/>
      <c r="E223" s="56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60"/>
      <c r="Y223" s="60"/>
      <c r="Z223" s="60"/>
      <c r="AA223" s="60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6"/>
      <c r="AO223" s="56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</row>
    <row r="224" spans="1:51" customFormat="1" ht="45.6" customHeight="1" x14ac:dyDescent="0.25">
      <c r="A224" s="51"/>
      <c r="B224" s="52"/>
      <c r="C224" s="51"/>
      <c r="D224" s="53"/>
      <c r="E224" s="51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5"/>
      <c r="Y224" s="55"/>
      <c r="Z224" s="55"/>
      <c r="AA224" s="55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1"/>
      <c r="AO224" s="51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</row>
    <row r="225" spans="1:51" customFormat="1" ht="45.6" customHeight="1" x14ac:dyDescent="0.25">
      <c r="A225" s="56"/>
      <c r="B225" s="57"/>
      <c r="C225" s="56"/>
      <c r="D225" s="58"/>
      <c r="E225" s="56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60"/>
      <c r="Y225" s="60"/>
      <c r="Z225" s="60"/>
      <c r="AA225" s="60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6"/>
      <c r="AO225" s="56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</row>
    <row r="226" spans="1:51" customFormat="1" ht="45.6" customHeight="1" x14ac:dyDescent="0.25">
      <c r="A226" s="51"/>
      <c r="B226" s="52"/>
      <c r="C226" s="51"/>
      <c r="D226" s="53"/>
      <c r="E226" s="51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5"/>
      <c r="Y226" s="55"/>
      <c r="Z226" s="55"/>
      <c r="AA226" s="55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/>
      <c r="AN226" s="51"/>
      <c r="AO226" s="51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</row>
    <row r="227" spans="1:51" customFormat="1" ht="31.15" customHeight="1" x14ac:dyDescent="0.25">
      <c r="A227" s="56"/>
      <c r="B227" s="57"/>
      <c r="C227" s="56"/>
      <c r="D227" s="58"/>
      <c r="E227" s="56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60"/>
      <c r="Y227" s="60"/>
      <c r="Z227" s="60"/>
      <c r="AA227" s="60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6"/>
      <c r="AO227" s="56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</row>
    <row r="228" spans="1:51" customFormat="1" ht="31.15" customHeight="1" x14ac:dyDescent="0.25">
      <c r="A228" s="51"/>
      <c r="B228" s="52"/>
      <c r="C228" s="51"/>
      <c r="D228" s="53"/>
      <c r="E228" s="51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5"/>
      <c r="Y228" s="55"/>
      <c r="Z228" s="55"/>
      <c r="AA228" s="55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1"/>
      <c r="AO228" s="51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</row>
    <row r="229" spans="1:51" customFormat="1" ht="18" customHeight="1" x14ac:dyDescent="0.25">
      <c r="A229" s="56"/>
      <c r="B229" s="57"/>
      <c r="C229" s="56"/>
      <c r="D229" s="58"/>
      <c r="E229" s="56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60"/>
      <c r="Y229" s="60"/>
      <c r="Z229" s="60"/>
      <c r="AA229" s="60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6"/>
      <c r="AO229" s="56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</row>
    <row r="230" spans="1:51" customFormat="1" ht="31.15" customHeight="1" x14ac:dyDescent="0.25">
      <c r="A230" s="51"/>
      <c r="B230" s="52"/>
      <c r="C230" s="51"/>
      <c r="D230" s="53"/>
      <c r="E230" s="51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5"/>
      <c r="Y230" s="55"/>
      <c r="Z230" s="55"/>
      <c r="AA230" s="55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4"/>
      <c r="AM230" s="54"/>
      <c r="AN230" s="51"/>
      <c r="AO230" s="51"/>
      <c r="AP230" s="54"/>
      <c r="AQ230" s="54"/>
      <c r="AR230" s="54"/>
      <c r="AS230" s="54"/>
      <c r="AT230" s="54"/>
      <c r="AU230" s="54"/>
      <c r="AV230" s="54"/>
      <c r="AW230" s="54"/>
      <c r="AX230" s="54"/>
      <c r="AY230" s="54"/>
    </row>
    <row r="231" spans="1:51" customFormat="1" ht="45.6" customHeight="1" x14ac:dyDescent="0.25">
      <c r="A231" s="56"/>
      <c r="B231" s="57"/>
      <c r="C231" s="56"/>
      <c r="D231" s="58"/>
      <c r="E231" s="56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60"/>
      <c r="Y231" s="60"/>
      <c r="Z231" s="60"/>
      <c r="AA231" s="60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6"/>
      <c r="AO231" s="56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</row>
    <row r="232" spans="1:51" customFormat="1" ht="31.15" customHeight="1" x14ac:dyDescent="0.25">
      <c r="A232" s="51"/>
      <c r="B232" s="52"/>
      <c r="C232" s="51"/>
      <c r="D232" s="53"/>
      <c r="E232" s="51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5"/>
      <c r="Y232" s="55"/>
      <c r="Z232" s="55"/>
      <c r="AA232" s="55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/>
      <c r="AN232" s="51"/>
      <c r="AO232" s="51"/>
      <c r="AP232" s="54"/>
      <c r="AQ232" s="54"/>
      <c r="AR232" s="54"/>
      <c r="AS232" s="54"/>
      <c r="AT232" s="54"/>
      <c r="AU232" s="54"/>
      <c r="AV232" s="54"/>
      <c r="AW232" s="54"/>
      <c r="AX232" s="54"/>
      <c r="AY232" s="54"/>
    </row>
    <row r="233" spans="1:51" customFormat="1" ht="45.6" customHeight="1" x14ac:dyDescent="0.25">
      <c r="A233" s="56"/>
      <c r="B233" s="57"/>
      <c r="C233" s="56"/>
      <c r="D233" s="58"/>
      <c r="E233" s="56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60"/>
      <c r="Y233" s="60"/>
      <c r="Z233" s="60"/>
      <c r="AA233" s="60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6"/>
      <c r="AO233" s="56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</row>
    <row r="234" spans="1:51" customFormat="1" ht="18" customHeight="1" x14ac:dyDescent="0.25">
      <c r="A234" s="51"/>
      <c r="B234" s="52"/>
      <c r="C234" s="51"/>
      <c r="D234" s="53"/>
      <c r="E234" s="51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5"/>
      <c r="Y234" s="55"/>
      <c r="Z234" s="55"/>
      <c r="AA234" s="55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1"/>
      <c r="AO234" s="51"/>
      <c r="AP234" s="54"/>
      <c r="AQ234" s="54"/>
      <c r="AR234" s="54"/>
      <c r="AS234" s="54"/>
      <c r="AT234" s="54"/>
      <c r="AU234" s="54"/>
      <c r="AV234" s="54"/>
      <c r="AW234" s="54"/>
      <c r="AX234" s="54"/>
      <c r="AY234" s="54"/>
    </row>
    <row r="235" spans="1:51" customFormat="1" ht="31.15" customHeight="1" x14ac:dyDescent="0.25">
      <c r="A235" s="56"/>
      <c r="B235" s="57"/>
      <c r="C235" s="56"/>
      <c r="D235" s="58"/>
      <c r="E235" s="56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60"/>
      <c r="Y235" s="60"/>
      <c r="Z235" s="60"/>
      <c r="AA235" s="60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6"/>
      <c r="AO235" s="56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</row>
    <row r="236" spans="1:51" customFormat="1" ht="153.6" customHeight="1" x14ac:dyDescent="0.25">
      <c r="A236" s="51"/>
      <c r="B236" s="52"/>
      <c r="C236" s="51"/>
      <c r="D236" s="53"/>
      <c r="E236" s="51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5"/>
      <c r="Y236" s="55"/>
      <c r="Z236" s="55"/>
      <c r="AA236" s="55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1"/>
      <c r="AO236" s="51"/>
      <c r="AP236" s="54"/>
      <c r="AQ236" s="54"/>
      <c r="AR236" s="54"/>
      <c r="AS236" s="54"/>
      <c r="AT236" s="54"/>
      <c r="AU236" s="54"/>
      <c r="AV236" s="54"/>
      <c r="AW236" s="54"/>
      <c r="AX236" s="54"/>
      <c r="AY236" s="54"/>
    </row>
    <row r="237" spans="1:51" customFormat="1" ht="18" customHeight="1" x14ac:dyDescent="0.25">
      <c r="A237" s="56"/>
      <c r="B237" s="57"/>
      <c r="C237" s="56"/>
      <c r="D237" s="58"/>
      <c r="E237" s="56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60"/>
      <c r="Y237" s="60"/>
      <c r="Z237" s="60"/>
      <c r="AA237" s="60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6"/>
      <c r="AO237" s="56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</row>
    <row r="238" spans="1:51" customFormat="1" ht="45.6" customHeight="1" x14ac:dyDescent="0.25">
      <c r="A238" s="51"/>
      <c r="B238" s="52"/>
      <c r="C238" s="51"/>
      <c r="D238" s="53"/>
      <c r="E238" s="51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5"/>
      <c r="Y238" s="55"/>
      <c r="Z238" s="55"/>
      <c r="AA238" s="55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1"/>
      <c r="AO238" s="51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</row>
    <row r="239" spans="1:51" customFormat="1" ht="45.6" customHeight="1" x14ac:dyDescent="0.25">
      <c r="A239" s="56"/>
      <c r="B239" s="57"/>
      <c r="C239" s="56"/>
      <c r="D239" s="58"/>
      <c r="E239" s="56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60"/>
      <c r="Y239" s="60"/>
      <c r="Z239" s="60"/>
      <c r="AA239" s="60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6"/>
      <c r="AO239" s="56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</row>
    <row r="240" spans="1:51" customFormat="1" ht="31.15" customHeight="1" x14ac:dyDescent="0.25">
      <c r="A240" s="51"/>
      <c r="B240" s="52"/>
      <c r="C240" s="51"/>
      <c r="D240" s="53"/>
      <c r="E240" s="51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5"/>
      <c r="Y240" s="55"/>
      <c r="Z240" s="55"/>
      <c r="AA240" s="55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1"/>
      <c r="AO240" s="51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</row>
    <row r="241" spans="1:51" customFormat="1" ht="18" customHeight="1" x14ac:dyDescent="0.25">
      <c r="A241" s="56"/>
      <c r="B241" s="57"/>
      <c r="C241" s="56"/>
      <c r="D241" s="58"/>
      <c r="E241" s="56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60"/>
      <c r="Y241" s="60"/>
      <c r="Z241" s="60"/>
      <c r="AA241" s="60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6"/>
      <c r="AO241" s="56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</row>
    <row r="242" spans="1:51" customFormat="1" ht="86.45" customHeight="1" x14ac:dyDescent="0.25">
      <c r="A242" s="51"/>
      <c r="B242" s="52"/>
      <c r="C242" s="51"/>
      <c r="D242" s="53"/>
      <c r="E242" s="51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5"/>
      <c r="Y242" s="55"/>
      <c r="Z242" s="55"/>
      <c r="AA242" s="55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1"/>
      <c r="AO242" s="51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</row>
    <row r="243" spans="1:51" customFormat="1" ht="58.9" customHeight="1" x14ac:dyDescent="0.25">
      <c r="A243" s="56"/>
      <c r="B243" s="57"/>
      <c r="C243" s="56"/>
      <c r="D243" s="58"/>
      <c r="E243" s="56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60"/>
      <c r="Y243" s="60"/>
      <c r="Z243" s="60"/>
      <c r="AA243" s="60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6"/>
      <c r="AO243" s="56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</row>
    <row r="244" spans="1:51" customFormat="1" ht="18" customHeight="1" x14ac:dyDescent="0.25">
      <c r="A244" s="51"/>
      <c r="B244" s="52"/>
      <c r="C244" s="51"/>
      <c r="D244" s="53"/>
      <c r="E244" s="51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5"/>
      <c r="Y244" s="55"/>
      <c r="Z244" s="55"/>
      <c r="AA244" s="55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1"/>
      <c r="AO244" s="51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</row>
    <row r="245" spans="1:51" customFormat="1" ht="31.15" customHeight="1" x14ac:dyDescent="0.25">
      <c r="A245" s="56"/>
      <c r="B245" s="57"/>
      <c r="C245" s="56"/>
      <c r="D245" s="58"/>
      <c r="E245" s="56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60"/>
      <c r="Y245" s="60"/>
      <c r="Z245" s="60"/>
      <c r="AA245" s="60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6"/>
      <c r="AO245" s="56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</row>
    <row r="246" spans="1:51" customFormat="1" ht="45.6" customHeight="1" x14ac:dyDescent="0.25">
      <c r="A246" s="51"/>
      <c r="B246" s="52"/>
      <c r="C246" s="51"/>
      <c r="D246" s="53"/>
      <c r="E246" s="51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5"/>
      <c r="Y246" s="55"/>
      <c r="Z246" s="55"/>
      <c r="AA246" s="55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1"/>
      <c r="AO246" s="51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</row>
    <row r="247" spans="1:51" customFormat="1" ht="45.6" customHeight="1" x14ac:dyDescent="0.25">
      <c r="A247" s="56"/>
      <c r="B247" s="57"/>
      <c r="C247" s="56"/>
      <c r="D247" s="58"/>
      <c r="E247" s="56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60"/>
      <c r="Y247" s="60"/>
      <c r="Z247" s="60"/>
      <c r="AA247" s="60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6"/>
      <c r="AO247" s="56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</row>
    <row r="248" spans="1:51" customFormat="1" ht="31.15" customHeight="1" x14ac:dyDescent="0.25">
      <c r="A248" s="51"/>
      <c r="B248" s="52"/>
      <c r="C248" s="51"/>
      <c r="D248" s="53"/>
      <c r="E248" s="51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5"/>
      <c r="Y248" s="55"/>
      <c r="Z248" s="55"/>
      <c r="AA248" s="55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1"/>
      <c r="AO248" s="51"/>
      <c r="AP248" s="54"/>
      <c r="AQ248" s="54"/>
      <c r="AR248" s="54"/>
      <c r="AS248" s="54"/>
      <c r="AT248" s="54"/>
      <c r="AU248" s="54"/>
      <c r="AV248" s="54"/>
      <c r="AW248" s="54"/>
      <c r="AX248" s="54"/>
      <c r="AY248" s="54"/>
    </row>
    <row r="249" spans="1:51" customFormat="1" ht="18" customHeight="1" x14ac:dyDescent="0.25">
      <c r="A249" s="56"/>
      <c r="B249" s="57"/>
      <c r="C249" s="56"/>
      <c r="D249" s="58"/>
      <c r="E249" s="56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60"/>
      <c r="Y249" s="60"/>
      <c r="Z249" s="60"/>
      <c r="AA249" s="60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6"/>
      <c r="AO249" s="56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</row>
    <row r="250" spans="1:51" customFormat="1" ht="45.6" customHeight="1" x14ac:dyDescent="0.25">
      <c r="A250" s="51"/>
      <c r="B250" s="52"/>
      <c r="C250" s="51"/>
      <c r="D250" s="53"/>
      <c r="E250" s="51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5"/>
      <c r="Y250" s="55"/>
      <c r="Z250" s="55"/>
      <c r="AA250" s="55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1"/>
      <c r="AO250" s="51"/>
      <c r="AP250" s="54"/>
      <c r="AQ250" s="54"/>
      <c r="AR250" s="54"/>
      <c r="AS250" s="54"/>
      <c r="AT250" s="54"/>
      <c r="AU250" s="54"/>
      <c r="AV250" s="54"/>
      <c r="AW250" s="54"/>
      <c r="AX250" s="54"/>
      <c r="AY250" s="54"/>
    </row>
    <row r="251" spans="1:51" customFormat="1" ht="45.6" customHeight="1" x14ac:dyDescent="0.25">
      <c r="A251" s="56"/>
      <c r="B251" s="57"/>
      <c r="C251" s="56"/>
      <c r="D251" s="58"/>
      <c r="E251" s="56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60"/>
      <c r="Y251" s="60"/>
      <c r="Z251" s="60"/>
      <c r="AA251" s="60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6"/>
      <c r="AO251" s="56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</row>
    <row r="252" spans="1:51" customFormat="1" ht="45.6" customHeight="1" x14ac:dyDescent="0.25">
      <c r="A252" s="51"/>
      <c r="B252" s="52"/>
      <c r="C252" s="51"/>
      <c r="D252" s="53"/>
      <c r="E252" s="51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5"/>
      <c r="Y252" s="55"/>
      <c r="Z252" s="55"/>
      <c r="AA252" s="55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1"/>
      <c r="AO252" s="51"/>
      <c r="AP252" s="54"/>
      <c r="AQ252" s="54"/>
      <c r="AR252" s="54"/>
      <c r="AS252" s="54"/>
      <c r="AT252" s="54"/>
      <c r="AU252" s="54"/>
      <c r="AV252" s="54"/>
      <c r="AW252" s="54"/>
      <c r="AX252" s="54"/>
      <c r="AY252" s="54"/>
    </row>
    <row r="253" spans="1:51" customFormat="1" ht="31.15" customHeight="1" x14ac:dyDescent="0.25">
      <c r="A253" s="56"/>
      <c r="B253" s="57"/>
      <c r="C253" s="56"/>
      <c r="D253" s="58"/>
      <c r="E253" s="56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60"/>
      <c r="Y253" s="60"/>
      <c r="Z253" s="60"/>
      <c r="AA253" s="60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6"/>
      <c r="AO253" s="56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</row>
    <row r="254" spans="1:51" customFormat="1" ht="31.15" customHeight="1" x14ac:dyDescent="0.25">
      <c r="A254" s="51"/>
      <c r="B254" s="52"/>
      <c r="C254" s="51"/>
      <c r="D254" s="53"/>
      <c r="E254" s="51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5"/>
      <c r="Y254" s="55"/>
      <c r="Z254" s="55"/>
      <c r="AA254" s="55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1"/>
      <c r="AO254" s="51"/>
      <c r="AP254" s="54"/>
      <c r="AQ254" s="54"/>
      <c r="AR254" s="54"/>
      <c r="AS254" s="54"/>
      <c r="AT254" s="54"/>
      <c r="AU254" s="54"/>
      <c r="AV254" s="54"/>
      <c r="AW254" s="54"/>
      <c r="AX254" s="54"/>
      <c r="AY254" s="54"/>
    </row>
    <row r="255" spans="1:51" customFormat="1" ht="58.9" customHeight="1" x14ac:dyDescent="0.25">
      <c r="A255" s="56"/>
      <c r="B255" s="57"/>
      <c r="C255" s="56"/>
      <c r="D255" s="58"/>
      <c r="E255" s="56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60"/>
      <c r="Y255" s="60"/>
      <c r="Z255" s="60"/>
      <c r="AA255" s="60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6"/>
      <c r="AO255" s="56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</row>
    <row r="256" spans="1:51" customFormat="1" ht="31.15" customHeight="1" x14ac:dyDescent="0.25">
      <c r="A256" s="51"/>
      <c r="B256" s="52"/>
      <c r="C256" s="51"/>
      <c r="D256" s="53"/>
      <c r="E256" s="51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5"/>
      <c r="Y256" s="55"/>
      <c r="Z256" s="55"/>
      <c r="AA256" s="55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1"/>
      <c r="AO256" s="51"/>
      <c r="AP256" s="54"/>
      <c r="AQ256" s="54"/>
      <c r="AR256" s="54"/>
      <c r="AS256" s="54"/>
      <c r="AT256" s="54"/>
      <c r="AU256" s="54"/>
      <c r="AV256" s="54"/>
      <c r="AW256" s="54"/>
      <c r="AX256" s="54"/>
      <c r="AY256" s="54"/>
    </row>
    <row r="257" spans="1:51" customFormat="1" ht="31.15" customHeight="1" x14ac:dyDescent="0.25">
      <c r="A257" s="56"/>
      <c r="B257" s="57"/>
      <c r="C257" s="56"/>
      <c r="D257" s="58"/>
      <c r="E257" s="56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60"/>
      <c r="Y257" s="60"/>
      <c r="Z257" s="60"/>
      <c r="AA257" s="60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6"/>
      <c r="AO257" s="56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</row>
    <row r="258" spans="1:51" customFormat="1" ht="58.9" customHeight="1" x14ac:dyDescent="0.25">
      <c r="A258" s="51"/>
      <c r="B258" s="52"/>
      <c r="C258" s="51"/>
      <c r="D258" s="53"/>
      <c r="E258" s="51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5"/>
      <c r="Y258" s="55"/>
      <c r="Z258" s="55"/>
      <c r="AA258" s="55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1"/>
      <c r="AO258" s="51"/>
      <c r="AP258" s="54"/>
      <c r="AQ258" s="54"/>
      <c r="AR258" s="54"/>
      <c r="AS258" s="54"/>
      <c r="AT258" s="54"/>
      <c r="AU258" s="54"/>
      <c r="AV258" s="54"/>
      <c r="AW258" s="54"/>
      <c r="AX258" s="54"/>
      <c r="AY258" s="54"/>
    </row>
    <row r="259" spans="1:51" customFormat="1" ht="140.44999999999999" customHeight="1" x14ac:dyDescent="0.25">
      <c r="A259" s="56"/>
      <c r="B259" s="57"/>
      <c r="C259" s="56"/>
      <c r="D259" s="58"/>
      <c r="E259" s="56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60"/>
      <c r="Y259" s="60"/>
      <c r="Z259" s="60"/>
      <c r="AA259" s="60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6"/>
      <c r="AO259" s="56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</row>
    <row r="260" spans="1:51" customFormat="1" ht="45.6" customHeight="1" x14ac:dyDescent="0.25">
      <c r="A260" s="51"/>
      <c r="B260" s="52"/>
      <c r="C260" s="51"/>
      <c r="D260" s="53"/>
      <c r="E260" s="51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5"/>
      <c r="Y260" s="55"/>
      <c r="Z260" s="55"/>
      <c r="AA260" s="55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1"/>
      <c r="AO260" s="51"/>
      <c r="AP260" s="54"/>
      <c r="AQ260" s="54"/>
      <c r="AR260" s="54"/>
      <c r="AS260" s="54"/>
      <c r="AT260" s="54"/>
      <c r="AU260" s="54"/>
      <c r="AV260" s="54"/>
      <c r="AW260" s="54"/>
      <c r="AX260" s="54"/>
      <c r="AY260" s="54"/>
    </row>
    <row r="261" spans="1:51" customFormat="1" ht="31.15" customHeight="1" x14ac:dyDescent="0.25">
      <c r="A261" s="56"/>
      <c r="B261" s="57"/>
      <c r="C261" s="56"/>
      <c r="D261" s="58"/>
      <c r="E261" s="56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60"/>
      <c r="Y261" s="60"/>
      <c r="Z261" s="60"/>
      <c r="AA261" s="60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6"/>
      <c r="AO261" s="56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</row>
    <row r="262" spans="1:51" customFormat="1" ht="140.44999999999999" customHeight="1" x14ac:dyDescent="0.25">
      <c r="A262" s="51"/>
      <c r="B262" s="52"/>
      <c r="C262" s="51"/>
      <c r="D262" s="53"/>
      <c r="E262" s="51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5"/>
      <c r="Y262" s="55"/>
      <c r="Z262" s="55"/>
      <c r="AA262" s="55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1"/>
      <c r="AO262" s="51"/>
      <c r="AP262" s="54"/>
      <c r="AQ262" s="54"/>
      <c r="AR262" s="54"/>
      <c r="AS262" s="54"/>
      <c r="AT262" s="54"/>
      <c r="AU262" s="54"/>
      <c r="AV262" s="54"/>
      <c r="AW262" s="54"/>
      <c r="AX262" s="54"/>
      <c r="AY262" s="54"/>
    </row>
    <row r="263" spans="1:51" customFormat="1" ht="45.6" customHeight="1" x14ac:dyDescent="0.25">
      <c r="A263" s="56"/>
      <c r="B263" s="57"/>
      <c r="C263" s="56"/>
      <c r="D263" s="58"/>
      <c r="E263" s="56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60"/>
      <c r="Y263" s="60"/>
      <c r="Z263" s="60"/>
      <c r="AA263" s="60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6"/>
      <c r="AO263" s="56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</row>
    <row r="264" spans="1:51" customFormat="1" ht="45.6" customHeight="1" x14ac:dyDescent="0.25">
      <c r="A264" s="51"/>
      <c r="B264" s="52"/>
      <c r="C264" s="51"/>
      <c r="D264" s="53"/>
      <c r="E264" s="51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5"/>
      <c r="Y264" s="55"/>
      <c r="Z264" s="55"/>
      <c r="AA264" s="55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/>
      <c r="AN264" s="51"/>
      <c r="AO264" s="51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</row>
    <row r="265" spans="1:51" customFormat="1" ht="45.6" customHeight="1" x14ac:dyDescent="0.25">
      <c r="A265" s="56"/>
      <c r="B265" s="57"/>
      <c r="C265" s="56"/>
      <c r="D265" s="58"/>
      <c r="E265" s="56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60"/>
      <c r="Y265" s="60"/>
      <c r="Z265" s="60"/>
      <c r="AA265" s="60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6"/>
      <c r="AO265" s="56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</row>
    <row r="266" spans="1:51" customFormat="1" ht="18" customHeight="1" x14ac:dyDescent="0.25">
      <c r="A266" s="51"/>
      <c r="B266" s="52"/>
      <c r="C266" s="51"/>
      <c r="D266" s="53"/>
      <c r="E266" s="51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5"/>
      <c r="Y266" s="55"/>
      <c r="Z266" s="55"/>
      <c r="AA266" s="55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1"/>
      <c r="AO266" s="51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</row>
    <row r="267" spans="1:51" customFormat="1" ht="45.6" customHeight="1" x14ac:dyDescent="0.25">
      <c r="A267" s="56"/>
      <c r="B267" s="57"/>
      <c r="C267" s="56"/>
      <c r="D267" s="58"/>
      <c r="E267" s="56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60"/>
      <c r="Y267" s="60"/>
      <c r="Z267" s="60"/>
      <c r="AA267" s="60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6"/>
      <c r="AO267" s="56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</row>
    <row r="268" spans="1:51" customFormat="1" ht="45.6" customHeight="1" x14ac:dyDescent="0.25">
      <c r="A268" s="51"/>
      <c r="B268" s="52"/>
      <c r="C268" s="51"/>
      <c r="D268" s="53"/>
      <c r="E268" s="51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5"/>
      <c r="Y268" s="55"/>
      <c r="Z268" s="55"/>
      <c r="AA268" s="55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1"/>
      <c r="AO268" s="51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</row>
    <row r="269" spans="1:51" customFormat="1" ht="45.6" customHeight="1" x14ac:dyDescent="0.25">
      <c r="A269" s="56"/>
      <c r="B269" s="57"/>
      <c r="C269" s="56"/>
      <c r="D269" s="58"/>
      <c r="E269" s="56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60"/>
      <c r="Y269" s="60"/>
      <c r="Z269" s="60"/>
      <c r="AA269" s="60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6"/>
      <c r="AO269" s="56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</row>
    <row r="270" spans="1:51" customFormat="1" ht="45.6" customHeight="1" x14ac:dyDescent="0.25">
      <c r="A270" s="51"/>
      <c r="B270" s="52"/>
      <c r="C270" s="51"/>
      <c r="D270" s="53"/>
      <c r="E270" s="51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5"/>
      <c r="Y270" s="55"/>
      <c r="Z270" s="55"/>
      <c r="AA270" s="55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1"/>
      <c r="AO270" s="51"/>
      <c r="AP270" s="54"/>
      <c r="AQ270" s="54"/>
      <c r="AR270" s="54"/>
      <c r="AS270" s="54"/>
      <c r="AT270" s="54"/>
      <c r="AU270" s="54"/>
      <c r="AV270" s="54"/>
      <c r="AW270" s="54"/>
      <c r="AX270" s="54"/>
      <c r="AY270" s="54"/>
    </row>
    <row r="271" spans="1:51" customFormat="1" ht="45.6" customHeight="1" x14ac:dyDescent="0.25">
      <c r="A271" s="56"/>
      <c r="B271" s="57"/>
      <c r="C271" s="56"/>
      <c r="D271" s="58"/>
      <c r="E271" s="56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60"/>
      <c r="Y271" s="60"/>
      <c r="Z271" s="60"/>
      <c r="AA271" s="60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6"/>
      <c r="AO271" s="56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</row>
    <row r="272" spans="1:51" customFormat="1" ht="45.6" customHeight="1" x14ac:dyDescent="0.25">
      <c r="A272" s="51"/>
      <c r="B272" s="52"/>
      <c r="C272" s="51"/>
      <c r="D272" s="53"/>
      <c r="E272" s="51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5"/>
      <c r="Y272" s="55"/>
      <c r="Z272" s="55"/>
      <c r="AA272" s="55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1"/>
      <c r="AO272" s="51"/>
      <c r="AP272" s="54"/>
      <c r="AQ272" s="54"/>
      <c r="AR272" s="54"/>
      <c r="AS272" s="54"/>
      <c r="AT272" s="54"/>
      <c r="AU272" s="54"/>
      <c r="AV272" s="54"/>
      <c r="AW272" s="54"/>
      <c r="AX272" s="54"/>
      <c r="AY272" s="54"/>
    </row>
    <row r="273" spans="1:51" customFormat="1" ht="140.44999999999999" customHeight="1" x14ac:dyDescent="0.25">
      <c r="A273" s="56"/>
      <c r="B273" s="57"/>
      <c r="C273" s="56"/>
      <c r="D273" s="58"/>
      <c r="E273" s="56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60"/>
      <c r="Y273" s="60"/>
      <c r="Z273" s="60"/>
      <c r="AA273" s="60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6"/>
      <c r="AO273" s="56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</row>
    <row r="274" spans="1:51" customFormat="1" ht="45.6" customHeight="1" x14ac:dyDescent="0.25">
      <c r="A274" s="51"/>
      <c r="B274" s="52"/>
      <c r="C274" s="51"/>
      <c r="D274" s="53"/>
      <c r="E274" s="51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5"/>
      <c r="Y274" s="55"/>
      <c r="Z274" s="55"/>
      <c r="AA274" s="55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1"/>
      <c r="AO274" s="51"/>
      <c r="AP274" s="54"/>
      <c r="AQ274" s="54"/>
      <c r="AR274" s="54"/>
      <c r="AS274" s="54"/>
      <c r="AT274" s="54"/>
      <c r="AU274" s="54"/>
      <c r="AV274" s="54"/>
      <c r="AW274" s="54"/>
      <c r="AX274" s="54"/>
      <c r="AY274" s="54"/>
    </row>
    <row r="275" spans="1:51" customFormat="1" ht="45.6" customHeight="1" x14ac:dyDescent="0.25">
      <c r="A275" s="56"/>
      <c r="B275" s="57"/>
      <c r="C275" s="56"/>
      <c r="D275" s="58"/>
      <c r="E275" s="56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60"/>
      <c r="Y275" s="60"/>
      <c r="Z275" s="60"/>
      <c r="AA275" s="60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6"/>
      <c r="AO275" s="56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</row>
    <row r="276" spans="1:51" customFormat="1" ht="45.6" customHeight="1" x14ac:dyDescent="0.25">
      <c r="A276" s="51"/>
      <c r="B276" s="52"/>
      <c r="C276" s="51"/>
      <c r="D276" s="53"/>
      <c r="E276" s="51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5"/>
      <c r="Y276" s="55"/>
      <c r="Z276" s="55"/>
      <c r="AA276" s="55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1"/>
      <c r="AO276" s="51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</row>
    <row r="277" spans="1:51" customFormat="1" ht="18" customHeight="1" x14ac:dyDescent="0.25">
      <c r="A277" s="56"/>
      <c r="B277" s="57"/>
      <c r="C277" s="56"/>
      <c r="D277" s="58"/>
      <c r="E277" s="56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60"/>
      <c r="Y277" s="60"/>
      <c r="Z277" s="60"/>
      <c r="AA277" s="60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6"/>
      <c r="AO277" s="56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</row>
    <row r="278" spans="1:51" customFormat="1" ht="31.15" customHeight="1" x14ac:dyDescent="0.25">
      <c r="A278" s="51"/>
      <c r="B278" s="52"/>
      <c r="C278" s="51"/>
      <c r="D278" s="53"/>
      <c r="E278" s="51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5"/>
      <c r="Y278" s="55"/>
      <c r="Z278" s="55"/>
      <c r="AA278" s="55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1"/>
      <c r="AO278" s="51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</row>
    <row r="279" spans="1:51" customFormat="1" ht="45.6" customHeight="1" x14ac:dyDescent="0.25">
      <c r="A279" s="56"/>
      <c r="B279" s="57"/>
      <c r="C279" s="56"/>
      <c r="D279" s="58"/>
      <c r="E279" s="56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60"/>
      <c r="Y279" s="60"/>
      <c r="Z279" s="60"/>
      <c r="AA279" s="60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6"/>
      <c r="AO279" s="56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</row>
    <row r="280" spans="1:51" customFormat="1" ht="31.15" customHeight="1" x14ac:dyDescent="0.25">
      <c r="A280" s="51"/>
      <c r="B280" s="52"/>
      <c r="C280" s="51"/>
      <c r="D280" s="53"/>
      <c r="E280" s="51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5"/>
      <c r="Y280" s="55"/>
      <c r="Z280" s="55"/>
      <c r="AA280" s="55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1"/>
      <c r="AO280" s="51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</row>
    <row r="281" spans="1:51" customFormat="1" ht="58.9" customHeight="1" x14ac:dyDescent="0.25">
      <c r="A281" s="56"/>
      <c r="B281" s="57"/>
      <c r="C281" s="56"/>
      <c r="D281" s="58"/>
      <c r="E281" s="56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60"/>
      <c r="Y281" s="60"/>
      <c r="Z281" s="60"/>
      <c r="AA281" s="60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6"/>
      <c r="AO281" s="56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</row>
    <row r="282" spans="1:51" customFormat="1" ht="31.15" customHeight="1" x14ac:dyDescent="0.25">
      <c r="A282" s="51"/>
      <c r="B282" s="52"/>
      <c r="C282" s="51"/>
      <c r="D282" s="53"/>
      <c r="E282" s="51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5"/>
      <c r="Y282" s="55"/>
      <c r="Z282" s="55"/>
      <c r="AA282" s="55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1"/>
      <c r="AO282" s="51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</row>
    <row r="283" spans="1:51" customFormat="1" ht="45.6" customHeight="1" x14ac:dyDescent="0.25">
      <c r="A283" s="56"/>
      <c r="B283" s="57"/>
      <c r="C283" s="56"/>
      <c r="D283" s="58"/>
      <c r="E283" s="56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60"/>
      <c r="Y283" s="60"/>
      <c r="Z283" s="60"/>
      <c r="AA283" s="60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6"/>
      <c r="AO283" s="56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</row>
    <row r="284" spans="1:51" customFormat="1" ht="31.15" customHeight="1" x14ac:dyDescent="0.25">
      <c r="A284" s="51"/>
      <c r="B284" s="52"/>
      <c r="C284" s="51"/>
      <c r="D284" s="53"/>
      <c r="E284" s="51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5"/>
      <c r="Y284" s="55"/>
      <c r="Z284" s="55"/>
      <c r="AA284" s="55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1"/>
      <c r="AO284" s="51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</row>
    <row r="285" spans="1:51" customFormat="1" ht="18" customHeight="1" x14ac:dyDescent="0.25">
      <c r="A285" s="56"/>
      <c r="B285" s="57"/>
      <c r="C285" s="56"/>
      <c r="D285" s="58"/>
      <c r="E285" s="56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60"/>
      <c r="Y285" s="60"/>
      <c r="Z285" s="60"/>
      <c r="AA285" s="60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6"/>
      <c r="AO285" s="56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</row>
    <row r="286" spans="1:51" customFormat="1" ht="45.6" customHeight="1" x14ac:dyDescent="0.25">
      <c r="A286" s="51"/>
      <c r="B286" s="52"/>
      <c r="C286" s="51"/>
      <c r="D286" s="53"/>
      <c r="E286" s="51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5"/>
      <c r="Y286" s="55"/>
      <c r="Z286" s="55"/>
      <c r="AA286" s="55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1"/>
      <c r="AO286" s="51"/>
      <c r="AP286" s="54"/>
      <c r="AQ286" s="54"/>
      <c r="AR286" s="54"/>
      <c r="AS286" s="54"/>
      <c r="AT286" s="54"/>
      <c r="AU286" s="54"/>
      <c r="AV286" s="54"/>
      <c r="AW286" s="54"/>
      <c r="AX286" s="54"/>
      <c r="AY286" s="54"/>
    </row>
    <row r="287" spans="1:51" customFormat="1" ht="140.44999999999999" customHeight="1" x14ac:dyDescent="0.25">
      <c r="A287" s="56"/>
      <c r="B287" s="57"/>
      <c r="C287" s="56"/>
      <c r="D287" s="58"/>
      <c r="E287" s="56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60"/>
      <c r="Y287" s="60"/>
      <c r="Z287" s="60"/>
      <c r="AA287" s="60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6"/>
      <c r="AO287" s="56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</row>
    <row r="288" spans="1:51" customFormat="1" ht="86.45" customHeight="1" x14ac:dyDescent="0.25">
      <c r="A288" s="51"/>
      <c r="B288" s="52"/>
      <c r="C288" s="51"/>
      <c r="D288" s="53"/>
      <c r="E288" s="51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5"/>
      <c r="Y288" s="55"/>
      <c r="Z288" s="55"/>
      <c r="AA288" s="55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1"/>
      <c r="AO288" s="51"/>
      <c r="AP288" s="54"/>
      <c r="AQ288" s="54"/>
      <c r="AR288" s="54"/>
      <c r="AS288" s="54"/>
      <c r="AT288" s="54"/>
      <c r="AU288" s="54"/>
      <c r="AV288" s="54"/>
      <c r="AW288" s="54"/>
      <c r="AX288" s="54"/>
      <c r="AY288" s="54"/>
    </row>
    <row r="289" spans="1:51" customFormat="1" ht="18" customHeight="1" x14ac:dyDescent="0.25">
      <c r="A289" s="56"/>
      <c r="B289" s="57"/>
      <c r="C289" s="56"/>
      <c r="D289" s="58"/>
      <c r="E289" s="56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60"/>
      <c r="Y289" s="60"/>
      <c r="Z289" s="60"/>
      <c r="AA289" s="60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6"/>
      <c r="AO289" s="56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</row>
    <row r="290" spans="1:51" customFormat="1" ht="31.15" customHeight="1" x14ac:dyDescent="0.25">
      <c r="A290" s="51"/>
      <c r="B290" s="52"/>
      <c r="C290" s="51"/>
      <c r="D290" s="53"/>
      <c r="E290" s="51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5"/>
      <c r="Y290" s="55"/>
      <c r="Z290" s="55"/>
      <c r="AA290" s="55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1"/>
      <c r="AO290" s="51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</row>
    <row r="291" spans="1:51" customFormat="1" ht="45.6" customHeight="1" x14ac:dyDescent="0.25">
      <c r="A291" s="56"/>
      <c r="B291" s="57"/>
      <c r="C291" s="56"/>
      <c r="D291" s="58"/>
      <c r="E291" s="56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60"/>
      <c r="Y291" s="60"/>
      <c r="Z291" s="60"/>
      <c r="AA291" s="60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6"/>
      <c r="AO291" s="56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</row>
    <row r="292" spans="1:51" customFormat="1" ht="112.9" customHeight="1" x14ac:dyDescent="0.25">
      <c r="A292" s="51"/>
      <c r="B292" s="52"/>
      <c r="C292" s="51"/>
      <c r="D292" s="53"/>
      <c r="E292" s="51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5"/>
      <c r="Y292" s="55"/>
      <c r="Z292" s="55"/>
      <c r="AA292" s="55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1"/>
      <c r="AO292" s="51"/>
      <c r="AP292" s="54"/>
      <c r="AQ292" s="54"/>
      <c r="AR292" s="54"/>
      <c r="AS292" s="54"/>
      <c r="AT292" s="54"/>
      <c r="AU292" s="54"/>
      <c r="AV292" s="54"/>
      <c r="AW292" s="54"/>
      <c r="AX292" s="54"/>
      <c r="AY292" s="54"/>
    </row>
    <row r="293" spans="1:51" customFormat="1" ht="45.6" customHeight="1" x14ac:dyDescent="0.25">
      <c r="A293" s="56"/>
      <c r="B293" s="57"/>
      <c r="C293" s="56"/>
      <c r="D293" s="58"/>
      <c r="E293" s="56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60"/>
      <c r="Y293" s="60"/>
      <c r="Z293" s="60"/>
      <c r="AA293" s="60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6"/>
      <c r="AO293" s="56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</row>
    <row r="294" spans="1:51" customFormat="1" ht="45.6" customHeight="1" x14ac:dyDescent="0.25">
      <c r="A294" s="51"/>
      <c r="B294" s="52"/>
      <c r="C294" s="51"/>
      <c r="D294" s="53"/>
      <c r="E294" s="51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5"/>
      <c r="Y294" s="55"/>
      <c r="Z294" s="55"/>
      <c r="AA294" s="55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1"/>
      <c r="AO294" s="51"/>
      <c r="AP294" s="54"/>
      <c r="AQ294" s="54"/>
      <c r="AR294" s="54"/>
      <c r="AS294" s="54"/>
      <c r="AT294" s="54"/>
      <c r="AU294" s="54"/>
      <c r="AV294" s="54"/>
      <c r="AW294" s="54"/>
      <c r="AX294" s="54"/>
      <c r="AY294" s="54"/>
    </row>
    <row r="295" spans="1:51" customFormat="1" ht="45.6" customHeight="1" x14ac:dyDescent="0.25">
      <c r="A295" s="56"/>
      <c r="B295" s="57"/>
      <c r="C295" s="56"/>
      <c r="D295" s="58"/>
      <c r="E295" s="56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60"/>
      <c r="Y295" s="60"/>
      <c r="Z295" s="60"/>
      <c r="AA295" s="60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6"/>
      <c r="AO295" s="56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</row>
    <row r="296" spans="1:51" customFormat="1" ht="72" customHeight="1" x14ac:dyDescent="0.25">
      <c r="A296" s="51"/>
      <c r="B296" s="52"/>
      <c r="C296" s="51"/>
      <c r="D296" s="53"/>
      <c r="E296" s="51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5"/>
      <c r="Y296" s="55"/>
      <c r="Z296" s="55"/>
      <c r="AA296" s="55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1"/>
      <c r="AO296" s="51"/>
      <c r="AP296" s="54"/>
      <c r="AQ296" s="54"/>
      <c r="AR296" s="54"/>
      <c r="AS296" s="54"/>
      <c r="AT296" s="54"/>
      <c r="AU296" s="54"/>
      <c r="AV296" s="54"/>
      <c r="AW296" s="54"/>
      <c r="AX296" s="54"/>
      <c r="AY296" s="54"/>
    </row>
    <row r="297" spans="1:51" customFormat="1" ht="153.6" customHeight="1" x14ac:dyDescent="0.25">
      <c r="A297" s="56"/>
      <c r="B297" s="57"/>
      <c r="C297" s="56"/>
      <c r="D297" s="58"/>
      <c r="E297" s="56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60"/>
      <c r="Y297" s="60"/>
      <c r="Z297" s="60"/>
      <c r="AA297" s="60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6"/>
      <c r="AO297" s="56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</row>
    <row r="298" spans="1:51" customFormat="1" ht="45.6" customHeight="1" x14ac:dyDescent="0.25">
      <c r="A298" s="51"/>
      <c r="B298" s="52"/>
      <c r="C298" s="51"/>
      <c r="D298" s="53"/>
      <c r="E298" s="51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5"/>
      <c r="Y298" s="55"/>
      <c r="Z298" s="55"/>
      <c r="AA298" s="55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1"/>
      <c r="AO298" s="51"/>
      <c r="AP298" s="54"/>
      <c r="AQ298" s="54"/>
      <c r="AR298" s="54"/>
      <c r="AS298" s="54"/>
      <c r="AT298" s="54"/>
      <c r="AU298" s="54"/>
      <c r="AV298" s="54"/>
      <c r="AW298" s="54"/>
      <c r="AX298" s="54"/>
      <c r="AY298" s="54"/>
    </row>
    <row r="299" spans="1:51" customFormat="1" ht="31.15" customHeight="1" x14ac:dyDescent="0.25">
      <c r="A299" s="56"/>
      <c r="B299" s="57"/>
      <c r="C299" s="56"/>
      <c r="D299" s="58"/>
      <c r="E299" s="56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60"/>
      <c r="Y299" s="60"/>
      <c r="Z299" s="60"/>
      <c r="AA299" s="60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6"/>
      <c r="AO299" s="56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</row>
    <row r="300" spans="1:51" customFormat="1" ht="18" customHeight="1" x14ac:dyDescent="0.25">
      <c r="A300" s="51"/>
      <c r="B300" s="52"/>
      <c r="C300" s="51"/>
      <c r="D300" s="53"/>
      <c r="E300" s="51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5"/>
      <c r="Y300" s="55"/>
      <c r="Z300" s="55"/>
      <c r="AA300" s="55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4"/>
      <c r="AM300" s="54"/>
      <c r="AN300" s="51"/>
      <c r="AO300" s="51"/>
      <c r="AP300" s="54"/>
      <c r="AQ300" s="54"/>
      <c r="AR300" s="54"/>
      <c r="AS300" s="54"/>
      <c r="AT300" s="54"/>
      <c r="AU300" s="54"/>
      <c r="AV300" s="54"/>
      <c r="AW300" s="54"/>
      <c r="AX300" s="54"/>
      <c r="AY300" s="54"/>
    </row>
    <row r="301" spans="1:51" customFormat="1" ht="31.15" customHeight="1" x14ac:dyDescent="0.25">
      <c r="A301" s="56"/>
      <c r="B301" s="57"/>
      <c r="C301" s="56"/>
      <c r="D301" s="58"/>
      <c r="E301" s="56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60"/>
      <c r="Y301" s="60"/>
      <c r="Z301" s="60"/>
      <c r="AA301" s="60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6"/>
      <c r="AO301" s="56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</row>
    <row r="302" spans="1:51" customFormat="1" ht="31.15" customHeight="1" x14ac:dyDescent="0.25">
      <c r="A302" s="51"/>
      <c r="B302" s="52"/>
      <c r="C302" s="51"/>
      <c r="D302" s="53"/>
      <c r="E302" s="51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5"/>
      <c r="Y302" s="55"/>
      <c r="Z302" s="55"/>
      <c r="AA302" s="55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  <c r="AL302" s="54"/>
      <c r="AM302" s="54"/>
      <c r="AN302" s="51"/>
      <c r="AO302" s="51"/>
      <c r="AP302" s="54"/>
      <c r="AQ302" s="54"/>
      <c r="AR302" s="54"/>
      <c r="AS302" s="54"/>
      <c r="AT302" s="54"/>
      <c r="AU302" s="54"/>
      <c r="AV302" s="54"/>
      <c r="AW302" s="54"/>
      <c r="AX302" s="54"/>
      <c r="AY302" s="54"/>
    </row>
    <row r="303" spans="1:51" customFormat="1" ht="18" customHeight="1" x14ac:dyDescent="0.25">
      <c r="A303" s="56"/>
      <c r="B303" s="57"/>
      <c r="C303" s="56"/>
      <c r="D303" s="58"/>
      <c r="E303" s="56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60"/>
      <c r="Y303" s="60"/>
      <c r="Z303" s="60"/>
      <c r="AA303" s="60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6"/>
      <c r="AO303" s="56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</row>
    <row r="304" spans="1:51" customFormat="1" ht="58.9" customHeight="1" x14ac:dyDescent="0.25">
      <c r="A304" s="51"/>
      <c r="B304" s="52"/>
      <c r="C304" s="51"/>
      <c r="D304" s="53"/>
      <c r="E304" s="51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5"/>
      <c r="Y304" s="55"/>
      <c r="Z304" s="55"/>
      <c r="AA304" s="55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/>
      <c r="AN304" s="51"/>
      <c r="AO304" s="51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</row>
    <row r="305" spans="1:51" customFormat="1" ht="31.15" customHeight="1" x14ac:dyDescent="0.25">
      <c r="A305" s="56"/>
      <c r="B305" s="57"/>
      <c r="C305" s="56"/>
      <c r="D305" s="58"/>
      <c r="E305" s="56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60"/>
      <c r="Y305" s="60"/>
      <c r="Z305" s="60"/>
      <c r="AA305" s="60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6"/>
      <c r="AO305" s="56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</row>
    <row r="306" spans="1:51" customFormat="1" ht="86.45" customHeight="1" x14ac:dyDescent="0.25">
      <c r="A306" s="51"/>
      <c r="B306" s="52"/>
      <c r="C306" s="51"/>
      <c r="D306" s="53"/>
      <c r="E306" s="51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5"/>
      <c r="Y306" s="55"/>
      <c r="Z306" s="55"/>
      <c r="AA306" s="55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/>
      <c r="AN306" s="51"/>
      <c r="AO306" s="51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</row>
    <row r="307" spans="1:51" customFormat="1" ht="18" customHeight="1" x14ac:dyDescent="0.25">
      <c r="A307" s="56"/>
      <c r="B307" s="57"/>
      <c r="C307" s="56"/>
      <c r="D307" s="58"/>
      <c r="E307" s="56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60"/>
      <c r="Y307" s="60"/>
      <c r="Z307" s="60"/>
      <c r="AA307" s="60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6"/>
      <c r="AO307" s="56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</row>
    <row r="308" spans="1:51" customFormat="1" ht="18" customHeight="1" x14ac:dyDescent="0.25">
      <c r="A308" s="51"/>
      <c r="B308" s="52"/>
      <c r="C308" s="51"/>
      <c r="D308" s="53"/>
      <c r="E308" s="51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5"/>
      <c r="Y308" s="55"/>
      <c r="Z308" s="55"/>
      <c r="AA308" s="55"/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/>
      <c r="AN308" s="51"/>
      <c r="AO308" s="51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</row>
    <row r="309" spans="1:51" customFormat="1" ht="31.15" customHeight="1" x14ac:dyDescent="0.25">
      <c r="A309" s="56"/>
      <c r="B309" s="57"/>
      <c r="C309" s="56"/>
      <c r="D309" s="58"/>
      <c r="E309" s="56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60"/>
      <c r="Y309" s="60"/>
      <c r="Z309" s="60"/>
      <c r="AA309" s="60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6"/>
      <c r="AO309" s="56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</row>
    <row r="310" spans="1:51" customFormat="1" ht="31.15" customHeight="1" x14ac:dyDescent="0.25">
      <c r="A310" s="51"/>
      <c r="B310" s="52"/>
      <c r="C310" s="51"/>
      <c r="D310" s="53"/>
      <c r="E310" s="51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5"/>
      <c r="Y310" s="55"/>
      <c r="Z310" s="55"/>
      <c r="AA310" s="55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1"/>
      <c r="AO310" s="51"/>
      <c r="AP310" s="54"/>
      <c r="AQ310" s="54"/>
      <c r="AR310" s="54"/>
      <c r="AS310" s="54"/>
      <c r="AT310" s="54"/>
      <c r="AU310" s="54"/>
      <c r="AV310" s="54"/>
      <c r="AW310" s="54"/>
      <c r="AX310" s="54"/>
      <c r="AY310" s="54"/>
    </row>
    <row r="311" spans="1:51" customFormat="1" ht="18" customHeight="1" x14ac:dyDescent="0.25">
      <c r="A311" s="56"/>
      <c r="B311" s="57"/>
      <c r="C311" s="56"/>
      <c r="D311" s="58"/>
      <c r="E311" s="56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60"/>
      <c r="Y311" s="60"/>
      <c r="Z311" s="60"/>
      <c r="AA311" s="60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6"/>
      <c r="AO311" s="56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</row>
    <row r="312" spans="1:51" customFormat="1" ht="31.15" customHeight="1" x14ac:dyDescent="0.25">
      <c r="A312" s="51"/>
      <c r="B312" s="52"/>
      <c r="C312" s="51"/>
      <c r="D312" s="53"/>
      <c r="E312" s="51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5"/>
      <c r="Y312" s="55"/>
      <c r="Z312" s="55"/>
      <c r="AA312" s="55"/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/>
      <c r="AN312" s="51"/>
      <c r="AO312" s="51"/>
      <c r="AP312" s="54"/>
      <c r="AQ312" s="54"/>
      <c r="AR312" s="54"/>
      <c r="AS312" s="54"/>
      <c r="AT312" s="54"/>
      <c r="AU312" s="54"/>
      <c r="AV312" s="54"/>
      <c r="AW312" s="54"/>
      <c r="AX312" s="54"/>
      <c r="AY312" s="54"/>
    </row>
    <row r="313" spans="1:51" customFormat="1" ht="45.6" customHeight="1" x14ac:dyDescent="0.25">
      <c r="A313" s="56"/>
      <c r="B313" s="57"/>
      <c r="C313" s="56"/>
      <c r="D313" s="58"/>
      <c r="E313" s="56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60"/>
      <c r="Y313" s="60"/>
      <c r="Z313" s="60"/>
      <c r="AA313" s="60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6"/>
      <c r="AO313" s="56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</row>
    <row r="314" spans="1:51" customFormat="1" ht="45.6" customHeight="1" x14ac:dyDescent="0.25">
      <c r="A314" s="51"/>
      <c r="B314" s="52"/>
      <c r="C314" s="51"/>
      <c r="D314" s="53"/>
      <c r="E314" s="51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5"/>
      <c r="Y314" s="55"/>
      <c r="Z314" s="55"/>
      <c r="AA314" s="55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1"/>
      <c r="AO314" s="51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</row>
    <row r="315" spans="1:51" customFormat="1" ht="18" customHeight="1" x14ac:dyDescent="0.25">
      <c r="A315" s="56"/>
      <c r="B315" s="57"/>
      <c r="C315" s="56"/>
      <c r="D315" s="58"/>
      <c r="E315" s="56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60"/>
      <c r="Y315" s="60"/>
      <c r="Z315" s="60"/>
      <c r="AA315" s="60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6"/>
      <c r="AO315" s="56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</row>
    <row r="316" spans="1:51" customFormat="1" ht="31.15" customHeight="1" x14ac:dyDescent="0.25">
      <c r="A316" s="51"/>
      <c r="B316" s="52"/>
      <c r="C316" s="51"/>
      <c r="D316" s="53"/>
      <c r="E316" s="51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5"/>
      <c r="Y316" s="55"/>
      <c r="Z316" s="55"/>
      <c r="AA316" s="55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1"/>
      <c r="AO316" s="51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</row>
    <row r="317" spans="1:51" customFormat="1" ht="31.15" customHeight="1" x14ac:dyDescent="0.25">
      <c r="A317" s="56"/>
      <c r="B317" s="57"/>
      <c r="C317" s="56"/>
      <c r="D317" s="58"/>
      <c r="E317" s="56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60"/>
      <c r="Y317" s="60"/>
      <c r="Z317" s="60"/>
      <c r="AA317" s="60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6"/>
      <c r="AO317" s="56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</row>
    <row r="318" spans="1:51" customFormat="1" ht="45.6" customHeight="1" x14ac:dyDescent="0.25">
      <c r="A318" s="51"/>
      <c r="B318" s="52"/>
      <c r="C318" s="51"/>
      <c r="D318" s="53"/>
      <c r="E318" s="51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5"/>
      <c r="Y318" s="55"/>
      <c r="Z318" s="55"/>
      <c r="AA318" s="55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1"/>
      <c r="AO318" s="51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</row>
    <row r="319" spans="1:51" customFormat="1" ht="72" customHeight="1" x14ac:dyDescent="0.25">
      <c r="A319" s="56"/>
      <c r="B319" s="57"/>
      <c r="C319" s="56"/>
      <c r="D319" s="58"/>
      <c r="E319" s="56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60"/>
      <c r="Y319" s="60"/>
      <c r="Z319" s="60"/>
      <c r="AA319" s="60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6"/>
      <c r="AO319" s="56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</row>
    <row r="320" spans="1:51" customFormat="1" ht="45.6" customHeight="1" x14ac:dyDescent="0.25">
      <c r="A320" s="51"/>
      <c r="B320" s="52"/>
      <c r="C320" s="51"/>
      <c r="D320" s="53"/>
      <c r="E320" s="51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5"/>
      <c r="Y320" s="55"/>
      <c r="Z320" s="55"/>
      <c r="AA320" s="55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1"/>
      <c r="AO320" s="51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</row>
    <row r="321" spans="1:51" customFormat="1" ht="45.6" customHeight="1" x14ac:dyDescent="0.25">
      <c r="A321" s="56"/>
      <c r="B321" s="57"/>
      <c r="C321" s="56"/>
      <c r="D321" s="58"/>
      <c r="E321" s="56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60"/>
      <c r="Y321" s="60"/>
      <c r="Z321" s="60"/>
      <c r="AA321" s="60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6"/>
      <c r="AO321" s="56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</row>
    <row r="322" spans="1:51" customFormat="1" ht="31.15" customHeight="1" x14ac:dyDescent="0.25">
      <c r="A322" s="51"/>
      <c r="B322" s="52"/>
      <c r="C322" s="51"/>
      <c r="D322" s="53"/>
      <c r="E322" s="51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5"/>
      <c r="Y322" s="55"/>
      <c r="Z322" s="55"/>
      <c r="AA322" s="55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1"/>
      <c r="AO322" s="51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</row>
    <row r="323" spans="1:51" customFormat="1" ht="45.6" customHeight="1" x14ac:dyDescent="0.25">
      <c r="A323" s="56"/>
      <c r="B323" s="57"/>
      <c r="C323" s="56"/>
      <c r="D323" s="58"/>
      <c r="E323" s="56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60"/>
      <c r="Y323" s="60"/>
      <c r="Z323" s="60"/>
      <c r="AA323" s="60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6"/>
      <c r="AO323" s="56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</row>
    <row r="324" spans="1:51" customFormat="1" ht="31.15" customHeight="1" x14ac:dyDescent="0.25">
      <c r="A324" s="51"/>
      <c r="B324" s="52"/>
      <c r="C324" s="51"/>
      <c r="D324" s="53"/>
      <c r="E324" s="51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5"/>
      <c r="Y324" s="55"/>
      <c r="Z324" s="55"/>
      <c r="AA324" s="55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  <c r="AL324" s="54"/>
      <c r="AM324" s="54"/>
      <c r="AN324" s="51"/>
      <c r="AO324" s="51"/>
      <c r="AP324" s="54"/>
      <c r="AQ324" s="54"/>
      <c r="AR324" s="54"/>
      <c r="AS324" s="54"/>
      <c r="AT324" s="54"/>
      <c r="AU324" s="54"/>
      <c r="AV324" s="54"/>
      <c r="AW324" s="54"/>
      <c r="AX324" s="54"/>
      <c r="AY324" s="54"/>
    </row>
    <row r="325" spans="1:51" customFormat="1" ht="153.6" customHeight="1" x14ac:dyDescent="0.25">
      <c r="A325" s="56"/>
      <c r="B325" s="57"/>
      <c r="C325" s="56"/>
      <c r="D325" s="58"/>
      <c r="E325" s="56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60"/>
      <c r="Y325" s="60"/>
      <c r="Z325" s="60"/>
      <c r="AA325" s="60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6"/>
      <c r="AO325" s="56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</row>
    <row r="326" spans="1:51" customFormat="1" ht="31.15" customHeight="1" x14ac:dyDescent="0.25">
      <c r="A326" s="51"/>
      <c r="B326" s="52"/>
      <c r="C326" s="51"/>
      <c r="D326" s="53"/>
      <c r="E326" s="51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5"/>
      <c r="Y326" s="55"/>
      <c r="Z326" s="55"/>
      <c r="AA326" s="55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1"/>
      <c r="AO326" s="51"/>
      <c r="AP326" s="54"/>
      <c r="AQ326" s="54"/>
      <c r="AR326" s="54"/>
      <c r="AS326" s="54"/>
      <c r="AT326" s="54"/>
      <c r="AU326" s="54"/>
      <c r="AV326" s="54"/>
      <c r="AW326" s="54"/>
      <c r="AX326" s="54"/>
      <c r="AY326" s="54"/>
    </row>
    <row r="327" spans="1:51" customFormat="1" ht="18" customHeight="1" x14ac:dyDescent="0.25">
      <c r="A327" s="56"/>
      <c r="B327" s="57"/>
      <c r="C327" s="56"/>
      <c r="D327" s="58"/>
      <c r="E327" s="56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60"/>
      <c r="Y327" s="60"/>
      <c r="Z327" s="60"/>
      <c r="AA327" s="60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6"/>
      <c r="AO327" s="56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</row>
    <row r="328" spans="1:51" customFormat="1" ht="31.15" customHeight="1" x14ac:dyDescent="0.25">
      <c r="A328" s="51"/>
      <c r="B328" s="52"/>
      <c r="C328" s="51"/>
      <c r="D328" s="53"/>
      <c r="E328" s="51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5"/>
      <c r="Y328" s="55"/>
      <c r="Z328" s="55"/>
      <c r="AA328" s="55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  <c r="AL328" s="54"/>
      <c r="AM328" s="54"/>
      <c r="AN328" s="51"/>
      <c r="AO328" s="51"/>
      <c r="AP328" s="54"/>
      <c r="AQ328" s="54"/>
      <c r="AR328" s="54"/>
      <c r="AS328" s="54"/>
      <c r="AT328" s="54"/>
      <c r="AU328" s="54"/>
      <c r="AV328" s="54"/>
      <c r="AW328" s="54"/>
      <c r="AX328" s="54"/>
      <c r="AY328" s="54"/>
    </row>
    <row r="329" spans="1:51" customFormat="1" ht="45.6" customHeight="1" x14ac:dyDescent="0.25">
      <c r="A329" s="56"/>
      <c r="B329" s="57"/>
      <c r="C329" s="56"/>
      <c r="D329" s="58"/>
      <c r="E329" s="56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60"/>
      <c r="Y329" s="60"/>
      <c r="Z329" s="60"/>
      <c r="AA329" s="60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6"/>
      <c r="AO329" s="56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</row>
    <row r="330" spans="1:51" customFormat="1" ht="45.6" customHeight="1" x14ac:dyDescent="0.25">
      <c r="A330" s="51"/>
      <c r="B330" s="52"/>
      <c r="C330" s="51"/>
      <c r="D330" s="53"/>
      <c r="E330" s="51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5"/>
      <c r="Y330" s="55"/>
      <c r="Z330" s="55"/>
      <c r="AA330" s="55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1"/>
      <c r="AO330" s="51"/>
      <c r="AP330" s="54"/>
      <c r="AQ330" s="54"/>
      <c r="AR330" s="54"/>
      <c r="AS330" s="54"/>
      <c r="AT330" s="54"/>
      <c r="AU330" s="54"/>
      <c r="AV330" s="54"/>
      <c r="AW330" s="54"/>
      <c r="AX330" s="54"/>
      <c r="AY330" s="54"/>
    </row>
    <row r="331" spans="1:51" customFormat="1" ht="45.6" customHeight="1" x14ac:dyDescent="0.25">
      <c r="A331" s="56"/>
      <c r="B331" s="57"/>
      <c r="C331" s="56"/>
      <c r="D331" s="58"/>
      <c r="E331" s="56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60"/>
      <c r="Y331" s="60"/>
      <c r="Z331" s="60"/>
      <c r="AA331" s="60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6"/>
      <c r="AO331" s="56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</row>
    <row r="332" spans="1:51" customFormat="1" ht="31.15" customHeight="1" x14ac:dyDescent="0.25">
      <c r="A332" s="51"/>
      <c r="B332" s="52"/>
      <c r="C332" s="51"/>
      <c r="D332" s="53"/>
      <c r="E332" s="51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5"/>
      <c r="Y332" s="55"/>
      <c r="Z332" s="55"/>
      <c r="AA332" s="55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1"/>
      <c r="AO332" s="51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</row>
    <row r="333" spans="1:51" customFormat="1" ht="45.6" customHeight="1" x14ac:dyDescent="0.25">
      <c r="A333" s="56"/>
      <c r="B333" s="57"/>
      <c r="C333" s="56"/>
      <c r="D333" s="58"/>
      <c r="E333" s="56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60"/>
      <c r="Y333" s="60"/>
      <c r="Z333" s="60"/>
      <c r="AA333" s="60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6"/>
      <c r="AO333" s="56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</row>
    <row r="334" spans="1:51" customFormat="1" ht="127.15" customHeight="1" x14ac:dyDescent="0.25">
      <c r="A334" s="51"/>
      <c r="B334" s="52"/>
      <c r="C334" s="51"/>
      <c r="D334" s="53"/>
      <c r="E334" s="51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5"/>
      <c r="Y334" s="55"/>
      <c r="Z334" s="55"/>
      <c r="AA334" s="55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1"/>
      <c r="AO334" s="51"/>
      <c r="AP334" s="54"/>
      <c r="AQ334" s="54"/>
      <c r="AR334" s="54"/>
      <c r="AS334" s="54"/>
      <c r="AT334" s="54"/>
      <c r="AU334" s="54"/>
      <c r="AV334" s="54"/>
      <c r="AW334" s="54"/>
      <c r="AX334" s="54"/>
      <c r="AY334" s="54"/>
    </row>
    <row r="335" spans="1:51" customFormat="1" ht="58.9" customHeight="1" x14ac:dyDescent="0.25">
      <c r="A335" s="56"/>
      <c r="B335" s="57"/>
      <c r="C335" s="56"/>
      <c r="D335" s="58"/>
      <c r="E335" s="56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60"/>
      <c r="Y335" s="60"/>
      <c r="Z335" s="60"/>
      <c r="AA335" s="60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6"/>
      <c r="AO335" s="56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</row>
    <row r="336" spans="1:51" customFormat="1" ht="45.6" customHeight="1" x14ac:dyDescent="0.25">
      <c r="A336" s="51"/>
      <c r="B336" s="52"/>
      <c r="C336" s="51"/>
      <c r="D336" s="53"/>
      <c r="E336" s="51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5"/>
      <c r="Y336" s="55"/>
      <c r="Z336" s="55"/>
      <c r="AA336" s="55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1"/>
      <c r="AO336" s="51"/>
      <c r="AP336" s="54"/>
      <c r="AQ336" s="54"/>
      <c r="AR336" s="54"/>
      <c r="AS336" s="54"/>
      <c r="AT336" s="54"/>
      <c r="AU336" s="54"/>
      <c r="AV336" s="54"/>
      <c r="AW336" s="54"/>
      <c r="AX336" s="54"/>
      <c r="AY336" s="54"/>
    </row>
    <row r="337" spans="1:51" customFormat="1" ht="18" customHeight="1" x14ac:dyDescent="0.25">
      <c r="A337" s="56"/>
      <c r="B337" s="57"/>
      <c r="C337" s="56"/>
      <c r="D337" s="58"/>
      <c r="E337" s="56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60"/>
      <c r="Y337" s="60"/>
      <c r="Z337" s="60"/>
      <c r="AA337" s="60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6"/>
      <c r="AO337" s="56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</row>
    <row r="338" spans="1:51" customFormat="1" ht="45.6" customHeight="1" x14ac:dyDescent="0.25">
      <c r="A338" s="51"/>
      <c r="B338" s="52"/>
      <c r="C338" s="51"/>
      <c r="D338" s="53"/>
      <c r="E338" s="51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5"/>
      <c r="Y338" s="55"/>
      <c r="Z338" s="55"/>
      <c r="AA338" s="55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1"/>
      <c r="AO338" s="51"/>
      <c r="AP338" s="54"/>
      <c r="AQ338" s="54"/>
      <c r="AR338" s="54"/>
      <c r="AS338" s="54"/>
      <c r="AT338" s="54"/>
      <c r="AU338" s="54"/>
      <c r="AV338" s="54"/>
      <c r="AW338" s="54"/>
      <c r="AX338" s="54"/>
      <c r="AY338" s="54"/>
    </row>
    <row r="339" spans="1:51" customFormat="1" ht="45.6" customHeight="1" x14ac:dyDescent="0.25">
      <c r="A339" s="56"/>
      <c r="B339" s="57"/>
      <c r="C339" s="56"/>
      <c r="D339" s="58"/>
      <c r="E339" s="56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60"/>
      <c r="Y339" s="60"/>
      <c r="Z339" s="60"/>
      <c r="AA339" s="60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6"/>
      <c r="AO339" s="56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</row>
    <row r="340" spans="1:51" customFormat="1" ht="45.6" customHeight="1" x14ac:dyDescent="0.25">
      <c r="A340" s="51"/>
      <c r="B340" s="52"/>
      <c r="C340" s="51"/>
      <c r="D340" s="53"/>
      <c r="E340" s="51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5"/>
      <c r="Y340" s="55"/>
      <c r="Z340" s="55"/>
      <c r="AA340" s="55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4"/>
      <c r="AM340" s="54"/>
      <c r="AN340" s="51"/>
      <c r="AO340" s="51"/>
      <c r="AP340" s="54"/>
      <c r="AQ340" s="54"/>
      <c r="AR340" s="54"/>
      <c r="AS340" s="54"/>
      <c r="AT340" s="54"/>
      <c r="AU340" s="54"/>
      <c r="AV340" s="54"/>
      <c r="AW340" s="54"/>
      <c r="AX340" s="54"/>
      <c r="AY340" s="54"/>
    </row>
    <row r="341" spans="1:51" customFormat="1" ht="45.6" customHeight="1" x14ac:dyDescent="0.25">
      <c r="A341" s="56"/>
      <c r="B341" s="57"/>
      <c r="C341" s="56"/>
      <c r="D341" s="58"/>
      <c r="E341" s="56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60"/>
      <c r="Y341" s="60"/>
      <c r="Z341" s="60"/>
      <c r="AA341" s="60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6"/>
      <c r="AO341" s="56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</row>
    <row r="342" spans="1:51" customFormat="1" ht="31.15" customHeight="1" x14ac:dyDescent="0.25">
      <c r="A342" s="51"/>
      <c r="B342" s="52"/>
      <c r="C342" s="51"/>
      <c r="D342" s="53"/>
      <c r="E342" s="51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5"/>
      <c r="Y342" s="55"/>
      <c r="Z342" s="55"/>
      <c r="AA342" s="55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4"/>
      <c r="AM342" s="54"/>
      <c r="AN342" s="51"/>
      <c r="AO342" s="51"/>
      <c r="AP342" s="54"/>
      <c r="AQ342" s="54"/>
      <c r="AR342" s="54"/>
      <c r="AS342" s="54"/>
      <c r="AT342" s="54"/>
      <c r="AU342" s="54"/>
      <c r="AV342" s="54"/>
      <c r="AW342" s="54"/>
      <c r="AX342" s="54"/>
      <c r="AY342" s="54"/>
    </row>
    <row r="343" spans="1:51" customFormat="1" ht="31.15" customHeight="1" x14ac:dyDescent="0.25">
      <c r="A343" s="56"/>
      <c r="B343" s="57"/>
      <c r="C343" s="56"/>
      <c r="D343" s="58"/>
      <c r="E343" s="56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60"/>
      <c r="Y343" s="60"/>
      <c r="Z343" s="60"/>
      <c r="AA343" s="60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6"/>
      <c r="AO343" s="56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</row>
    <row r="344" spans="1:51" customFormat="1" ht="45.6" customHeight="1" x14ac:dyDescent="0.25">
      <c r="A344" s="51"/>
      <c r="B344" s="52"/>
      <c r="C344" s="51"/>
      <c r="D344" s="53"/>
      <c r="E344" s="51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5"/>
      <c r="Y344" s="55"/>
      <c r="Z344" s="55"/>
      <c r="AA344" s="55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/>
      <c r="AN344" s="51"/>
      <c r="AO344" s="51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</row>
    <row r="345" spans="1:51" customFormat="1" ht="45.6" customHeight="1" x14ac:dyDescent="0.25">
      <c r="A345" s="56"/>
      <c r="B345" s="57"/>
      <c r="C345" s="56"/>
      <c r="D345" s="58"/>
      <c r="E345" s="56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60"/>
      <c r="Y345" s="60"/>
      <c r="Z345" s="60"/>
      <c r="AA345" s="60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6"/>
      <c r="AO345" s="56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</row>
    <row r="346" spans="1:51" customFormat="1" ht="45.6" customHeight="1" x14ac:dyDescent="0.25">
      <c r="A346" s="51"/>
      <c r="B346" s="52"/>
      <c r="C346" s="51"/>
      <c r="D346" s="53"/>
      <c r="E346" s="51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5"/>
      <c r="Y346" s="55"/>
      <c r="Z346" s="55"/>
      <c r="AA346" s="55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1"/>
      <c r="AO346" s="51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</row>
    <row r="347" spans="1:51" customFormat="1" ht="31.15" customHeight="1" x14ac:dyDescent="0.25">
      <c r="A347" s="56"/>
      <c r="B347" s="57"/>
      <c r="C347" s="56"/>
      <c r="D347" s="58"/>
      <c r="E347" s="56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60"/>
      <c r="Y347" s="60"/>
      <c r="Z347" s="60"/>
      <c r="AA347" s="60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6"/>
      <c r="AO347" s="56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</row>
    <row r="348" spans="1:51" customFormat="1" ht="31.15" customHeight="1" x14ac:dyDescent="0.25">
      <c r="A348" s="51"/>
      <c r="B348" s="52"/>
      <c r="C348" s="51"/>
      <c r="D348" s="53"/>
      <c r="E348" s="51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5"/>
      <c r="Y348" s="55"/>
      <c r="Z348" s="55"/>
      <c r="AA348" s="55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1"/>
      <c r="AO348" s="51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</row>
    <row r="349" spans="1:51" customFormat="1" ht="18" customHeight="1" x14ac:dyDescent="0.25">
      <c r="A349" s="56"/>
      <c r="B349" s="57"/>
      <c r="C349" s="56"/>
      <c r="D349" s="58"/>
      <c r="E349" s="56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60"/>
      <c r="Y349" s="60"/>
      <c r="Z349" s="60"/>
      <c r="AA349" s="60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6"/>
      <c r="AO349" s="56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</row>
    <row r="350" spans="1:51" customFormat="1" ht="45.6" customHeight="1" x14ac:dyDescent="0.25">
      <c r="A350" s="51"/>
      <c r="B350" s="52"/>
      <c r="C350" s="51"/>
      <c r="D350" s="53"/>
      <c r="E350" s="51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5"/>
      <c r="Y350" s="55"/>
      <c r="Z350" s="55"/>
      <c r="AA350" s="55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  <c r="AL350" s="54"/>
      <c r="AM350" s="54"/>
      <c r="AN350" s="51"/>
      <c r="AO350" s="51"/>
      <c r="AP350" s="54"/>
      <c r="AQ350" s="54"/>
      <c r="AR350" s="54"/>
      <c r="AS350" s="54"/>
      <c r="AT350" s="54"/>
      <c r="AU350" s="54"/>
      <c r="AV350" s="54"/>
      <c r="AW350" s="54"/>
      <c r="AX350" s="54"/>
      <c r="AY350" s="54"/>
    </row>
    <row r="351" spans="1:51" customFormat="1" ht="45.6" customHeight="1" x14ac:dyDescent="0.25">
      <c r="A351" s="56"/>
      <c r="B351" s="57"/>
      <c r="C351" s="56"/>
      <c r="D351" s="58"/>
      <c r="E351" s="56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60"/>
      <c r="Y351" s="60"/>
      <c r="Z351" s="60"/>
      <c r="AA351" s="60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6"/>
      <c r="AO351" s="56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</row>
    <row r="352" spans="1:51" customFormat="1" ht="45.6" customHeight="1" x14ac:dyDescent="0.25">
      <c r="A352" s="51"/>
      <c r="B352" s="52"/>
      <c r="C352" s="51"/>
      <c r="D352" s="53"/>
      <c r="E352" s="51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5"/>
      <c r="Y352" s="55"/>
      <c r="Z352" s="55"/>
      <c r="AA352" s="55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1"/>
      <c r="AO352" s="51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</row>
    <row r="353" spans="1:51" customFormat="1" ht="31.15" customHeight="1" x14ac:dyDescent="0.25">
      <c r="A353" s="56"/>
      <c r="B353" s="57"/>
      <c r="C353" s="56"/>
      <c r="D353" s="58"/>
      <c r="E353" s="56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60"/>
      <c r="Y353" s="60"/>
      <c r="Z353" s="60"/>
      <c r="AA353" s="60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6"/>
      <c r="AO353" s="56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</row>
    <row r="354" spans="1:51" customFormat="1" ht="45.6" customHeight="1" x14ac:dyDescent="0.25">
      <c r="A354" s="51"/>
      <c r="B354" s="52"/>
      <c r="C354" s="51"/>
      <c r="D354" s="53"/>
      <c r="E354" s="51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5"/>
      <c r="Y354" s="55"/>
      <c r="Z354" s="55"/>
      <c r="AA354" s="55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1"/>
      <c r="AO354" s="51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</row>
    <row r="355" spans="1:51" customFormat="1" ht="18" customHeight="1" x14ac:dyDescent="0.25">
      <c r="A355" s="56"/>
      <c r="B355" s="57"/>
      <c r="C355" s="56"/>
      <c r="D355" s="58"/>
      <c r="E355" s="56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60"/>
      <c r="Y355" s="60"/>
      <c r="Z355" s="60"/>
      <c r="AA355" s="60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6"/>
      <c r="AO355" s="56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</row>
    <row r="356" spans="1:51" customFormat="1" ht="31.15" customHeight="1" x14ac:dyDescent="0.25">
      <c r="A356" s="51"/>
      <c r="B356" s="52"/>
      <c r="C356" s="51"/>
      <c r="D356" s="53"/>
      <c r="E356" s="51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5"/>
      <c r="Y356" s="55"/>
      <c r="Z356" s="55"/>
      <c r="AA356" s="55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1"/>
      <c r="AO356" s="51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</row>
    <row r="357" spans="1:51" customFormat="1" ht="31.15" customHeight="1" x14ac:dyDescent="0.25">
      <c r="A357" s="56"/>
      <c r="B357" s="57"/>
      <c r="C357" s="56"/>
      <c r="D357" s="58"/>
      <c r="E357" s="56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60"/>
      <c r="Y357" s="60"/>
      <c r="Z357" s="60"/>
      <c r="AA357" s="60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6"/>
      <c r="AO357" s="56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</row>
    <row r="358" spans="1:51" customFormat="1" ht="18" customHeight="1" x14ac:dyDescent="0.25">
      <c r="A358" s="51"/>
      <c r="B358" s="52"/>
      <c r="C358" s="51"/>
      <c r="D358" s="53"/>
      <c r="E358" s="51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5"/>
      <c r="Y358" s="55"/>
      <c r="Z358" s="55"/>
      <c r="AA358" s="55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1"/>
      <c r="AO358" s="51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</row>
    <row r="359" spans="1:51" customFormat="1" ht="86.45" customHeight="1" x14ac:dyDescent="0.25">
      <c r="A359" s="56"/>
      <c r="B359" s="57"/>
      <c r="C359" s="56"/>
      <c r="D359" s="58"/>
      <c r="E359" s="56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60"/>
      <c r="Y359" s="60"/>
      <c r="Z359" s="60"/>
      <c r="AA359" s="60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6"/>
      <c r="AO359" s="56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</row>
    <row r="360" spans="1:51" customFormat="1" ht="112.9" customHeight="1" x14ac:dyDescent="0.25">
      <c r="A360" s="51"/>
      <c r="B360" s="52"/>
      <c r="C360" s="51"/>
      <c r="D360" s="53"/>
      <c r="E360" s="51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5"/>
      <c r="Y360" s="55"/>
      <c r="Z360" s="55"/>
      <c r="AA360" s="55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1"/>
      <c r="AO360" s="51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</row>
    <row r="361" spans="1:51" customFormat="1" ht="18" customHeight="1" x14ac:dyDescent="0.25">
      <c r="A361" s="56"/>
      <c r="B361" s="57"/>
      <c r="C361" s="56"/>
      <c r="D361" s="58"/>
      <c r="E361" s="56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60"/>
      <c r="Y361" s="60"/>
      <c r="Z361" s="60"/>
      <c r="AA361" s="60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6"/>
      <c r="AO361" s="56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</row>
    <row r="362" spans="1:51" customFormat="1" ht="45.6" customHeight="1" x14ac:dyDescent="0.25">
      <c r="A362" s="51"/>
      <c r="B362" s="52"/>
      <c r="C362" s="51"/>
      <c r="D362" s="53"/>
      <c r="E362" s="51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5"/>
      <c r="Y362" s="55"/>
      <c r="Z362" s="55"/>
      <c r="AA362" s="55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1"/>
      <c r="AO362" s="51"/>
      <c r="AP362" s="54"/>
      <c r="AQ362" s="54"/>
      <c r="AR362" s="54"/>
      <c r="AS362" s="54"/>
      <c r="AT362" s="54"/>
      <c r="AU362" s="54"/>
      <c r="AV362" s="54"/>
      <c r="AW362" s="54"/>
      <c r="AX362" s="54"/>
      <c r="AY362" s="54"/>
    </row>
    <row r="363" spans="1:51" customFormat="1" ht="31.15" customHeight="1" x14ac:dyDescent="0.25">
      <c r="A363" s="56"/>
      <c r="B363" s="57"/>
      <c r="C363" s="56"/>
      <c r="D363" s="58"/>
      <c r="E363" s="56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60"/>
      <c r="Y363" s="60"/>
      <c r="Z363" s="60"/>
      <c r="AA363" s="60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6"/>
      <c r="AO363" s="56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</row>
    <row r="364" spans="1:51" customFormat="1" ht="45.6" customHeight="1" x14ac:dyDescent="0.25">
      <c r="A364" s="51"/>
      <c r="B364" s="52"/>
      <c r="C364" s="51"/>
      <c r="D364" s="53"/>
      <c r="E364" s="51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5"/>
      <c r="Y364" s="55"/>
      <c r="Z364" s="55"/>
      <c r="AA364" s="55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1"/>
      <c r="AO364" s="51"/>
      <c r="AP364" s="54"/>
      <c r="AQ364" s="54"/>
      <c r="AR364" s="54"/>
      <c r="AS364" s="54"/>
      <c r="AT364" s="54"/>
      <c r="AU364" s="54"/>
      <c r="AV364" s="54"/>
      <c r="AW364" s="54"/>
      <c r="AX364" s="54"/>
      <c r="AY364" s="54"/>
    </row>
    <row r="365" spans="1:51" customFormat="1" ht="31.15" customHeight="1" x14ac:dyDescent="0.25">
      <c r="A365" s="56"/>
      <c r="B365" s="57"/>
      <c r="C365" s="56"/>
      <c r="D365" s="58"/>
      <c r="E365" s="56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60"/>
      <c r="Y365" s="60"/>
      <c r="Z365" s="60"/>
      <c r="AA365" s="60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6"/>
      <c r="AO365" s="56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</row>
    <row r="366" spans="1:51" customFormat="1" ht="31.15" customHeight="1" x14ac:dyDescent="0.25">
      <c r="A366" s="51"/>
      <c r="B366" s="52"/>
      <c r="C366" s="51"/>
      <c r="D366" s="53"/>
      <c r="E366" s="51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5"/>
      <c r="Y366" s="55"/>
      <c r="Z366" s="55"/>
      <c r="AA366" s="55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1"/>
      <c r="AO366" s="51"/>
      <c r="AP366" s="54"/>
      <c r="AQ366" s="54"/>
      <c r="AR366" s="54"/>
      <c r="AS366" s="54"/>
      <c r="AT366" s="54"/>
      <c r="AU366" s="54"/>
      <c r="AV366" s="54"/>
      <c r="AW366" s="54"/>
      <c r="AX366" s="54"/>
      <c r="AY366" s="54"/>
    </row>
    <row r="367" spans="1:51" customFormat="1" ht="18" customHeight="1" x14ac:dyDescent="0.25">
      <c r="A367" s="56"/>
      <c r="B367" s="57"/>
      <c r="C367" s="56"/>
      <c r="D367" s="58"/>
      <c r="E367" s="56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60"/>
      <c r="Y367" s="60"/>
      <c r="Z367" s="60"/>
      <c r="AA367" s="60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6"/>
      <c r="AO367" s="56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</row>
    <row r="368" spans="1:51" customFormat="1" ht="18" customHeight="1" x14ac:dyDescent="0.25">
      <c r="A368" s="51"/>
      <c r="B368" s="52"/>
      <c r="C368" s="51"/>
      <c r="D368" s="53"/>
      <c r="E368" s="51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5"/>
      <c r="Y368" s="55"/>
      <c r="Z368" s="55"/>
      <c r="AA368" s="55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1"/>
      <c r="AO368" s="51"/>
      <c r="AP368" s="54"/>
      <c r="AQ368" s="54"/>
      <c r="AR368" s="54"/>
      <c r="AS368" s="54"/>
      <c r="AT368" s="54"/>
      <c r="AU368" s="54"/>
      <c r="AV368" s="54"/>
      <c r="AW368" s="54"/>
      <c r="AX368" s="54"/>
      <c r="AY368" s="54"/>
    </row>
    <row r="369" spans="1:51" customFormat="1" ht="86.45" customHeight="1" x14ac:dyDescent="0.25">
      <c r="A369" s="56"/>
      <c r="B369" s="57"/>
      <c r="C369" s="56"/>
      <c r="D369" s="58"/>
      <c r="E369" s="56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60"/>
      <c r="Y369" s="60"/>
      <c r="Z369" s="60"/>
      <c r="AA369" s="60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6"/>
      <c r="AO369" s="56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</row>
    <row r="370" spans="1:51" customFormat="1" ht="31.15" customHeight="1" x14ac:dyDescent="0.25">
      <c r="A370" s="51"/>
      <c r="B370" s="52"/>
      <c r="C370" s="51"/>
      <c r="D370" s="53"/>
      <c r="E370" s="51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5"/>
      <c r="Y370" s="55"/>
      <c r="Z370" s="55"/>
      <c r="AA370" s="55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1"/>
      <c r="AO370" s="51"/>
      <c r="AP370" s="54"/>
      <c r="AQ370" s="54"/>
      <c r="AR370" s="54"/>
      <c r="AS370" s="54"/>
      <c r="AT370" s="54"/>
      <c r="AU370" s="54"/>
      <c r="AV370" s="54"/>
      <c r="AW370" s="54"/>
      <c r="AX370" s="54"/>
      <c r="AY370" s="54"/>
    </row>
    <row r="371" spans="1:51" customFormat="1" ht="31.15" customHeight="1" x14ac:dyDescent="0.25">
      <c r="A371" s="56"/>
      <c r="B371" s="57"/>
      <c r="C371" s="56"/>
      <c r="D371" s="58"/>
      <c r="E371" s="56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60"/>
      <c r="Y371" s="60"/>
      <c r="Z371" s="60"/>
      <c r="AA371" s="60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6"/>
      <c r="AO371" s="56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</row>
    <row r="372" spans="1:51" customFormat="1" ht="45.6" customHeight="1" x14ac:dyDescent="0.25">
      <c r="A372" s="51"/>
      <c r="B372" s="52"/>
      <c r="C372" s="51"/>
      <c r="D372" s="53"/>
      <c r="E372" s="51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5"/>
      <c r="Y372" s="55"/>
      <c r="Z372" s="55"/>
      <c r="AA372" s="55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1"/>
      <c r="AO372" s="51"/>
      <c r="AP372" s="54"/>
      <c r="AQ372" s="54"/>
      <c r="AR372" s="54"/>
      <c r="AS372" s="54"/>
      <c r="AT372" s="54"/>
      <c r="AU372" s="54"/>
      <c r="AV372" s="54"/>
      <c r="AW372" s="54"/>
      <c r="AX372" s="54"/>
      <c r="AY372" s="54"/>
    </row>
    <row r="373" spans="1:51" customFormat="1" ht="45.6" customHeight="1" x14ac:dyDescent="0.25">
      <c r="A373" s="56"/>
      <c r="B373" s="57"/>
      <c r="C373" s="56"/>
      <c r="D373" s="58"/>
      <c r="E373" s="56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60"/>
      <c r="Y373" s="60"/>
      <c r="Z373" s="60"/>
      <c r="AA373" s="60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6"/>
      <c r="AO373" s="56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</row>
    <row r="374" spans="1:51" customFormat="1" ht="18" customHeight="1" x14ac:dyDescent="0.25">
      <c r="A374" s="51"/>
      <c r="B374" s="52"/>
      <c r="C374" s="51"/>
      <c r="D374" s="53"/>
      <c r="E374" s="51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5"/>
      <c r="Y374" s="55"/>
      <c r="Z374" s="55"/>
      <c r="AA374" s="55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1"/>
      <c r="AO374" s="51"/>
      <c r="AP374" s="54"/>
      <c r="AQ374" s="54"/>
      <c r="AR374" s="54"/>
      <c r="AS374" s="54"/>
      <c r="AT374" s="54"/>
      <c r="AU374" s="54"/>
      <c r="AV374" s="54"/>
      <c r="AW374" s="54"/>
      <c r="AX374" s="54"/>
      <c r="AY374" s="54"/>
    </row>
    <row r="375" spans="1:51" customFormat="1" ht="31.15" customHeight="1" x14ac:dyDescent="0.25">
      <c r="A375" s="56"/>
      <c r="B375" s="57"/>
      <c r="C375" s="56"/>
      <c r="D375" s="58"/>
      <c r="E375" s="56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60"/>
      <c r="Y375" s="60"/>
      <c r="Z375" s="60"/>
      <c r="AA375" s="60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6"/>
      <c r="AO375" s="56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</row>
    <row r="376" spans="1:51" customFormat="1" ht="45.6" customHeight="1" x14ac:dyDescent="0.25">
      <c r="A376" s="51"/>
      <c r="B376" s="52"/>
      <c r="C376" s="51"/>
      <c r="D376" s="53"/>
      <c r="E376" s="51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5"/>
      <c r="Y376" s="55"/>
      <c r="Z376" s="55"/>
      <c r="AA376" s="55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1"/>
      <c r="AO376" s="51"/>
      <c r="AP376" s="54"/>
      <c r="AQ376" s="54"/>
      <c r="AR376" s="54"/>
      <c r="AS376" s="54"/>
      <c r="AT376" s="54"/>
      <c r="AU376" s="54"/>
      <c r="AV376" s="54"/>
      <c r="AW376" s="54"/>
      <c r="AX376" s="54"/>
      <c r="AY376" s="54"/>
    </row>
    <row r="377" spans="1:51" customFormat="1" ht="31.15" customHeight="1" x14ac:dyDescent="0.25">
      <c r="A377" s="56"/>
      <c r="B377" s="57"/>
      <c r="C377" s="56"/>
      <c r="D377" s="58"/>
      <c r="E377" s="56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60"/>
      <c r="Y377" s="60"/>
      <c r="Z377" s="60"/>
      <c r="AA377" s="60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6"/>
      <c r="AO377" s="56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</row>
    <row r="378" spans="1:51" customFormat="1" ht="45.6" customHeight="1" x14ac:dyDescent="0.25">
      <c r="A378" s="51"/>
      <c r="B378" s="52"/>
      <c r="C378" s="51"/>
      <c r="D378" s="53"/>
      <c r="E378" s="51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5"/>
      <c r="Y378" s="55"/>
      <c r="Z378" s="55"/>
      <c r="AA378" s="55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1"/>
      <c r="AO378" s="51"/>
      <c r="AP378" s="54"/>
      <c r="AQ378" s="54"/>
      <c r="AR378" s="54"/>
      <c r="AS378" s="54"/>
      <c r="AT378" s="54"/>
      <c r="AU378" s="54"/>
      <c r="AV378" s="54"/>
      <c r="AW378" s="54"/>
      <c r="AX378" s="54"/>
      <c r="AY378" s="54"/>
    </row>
    <row r="379" spans="1:51" customFormat="1" ht="45.6" customHeight="1" x14ac:dyDescent="0.25">
      <c r="A379" s="56"/>
      <c r="B379" s="57"/>
      <c r="C379" s="56"/>
      <c r="D379" s="58"/>
      <c r="E379" s="56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60"/>
      <c r="Y379" s="60"/>
      <c r="Z379" s="60"/>
      <c r="AA379" s="60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6"/>
      <c r="AO379" s="56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</row>
    <row r="380" spans="1:51" customFormat="1" ht="31.15" customHeight="1" x14ac:dyDescent="0.25">
      <c r="A380" s="51"/>
      <c r="B380" s="52"/>
      <c r="C380" s="51"/>
      <c r="D380" s="53"/>
      <c r="E380" s="51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5"/>
      <c r="Y380" s="55"/>
      <c r="Z380" s="55"/>
      <c r="AA380" s="55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4"/>
      <c r="AM380" s="54"/>
      <c r="AN380" s="51"/>
      <c r="AO380" s="51"/>
      <c r="AP380" s="54"/>
      <c r="AQ380" s="54"/>
      <c r="AR380" s="54"/>
      <c r="AS380" s="54"/>
      <c r="AT380" s="54"/>
      <c r="AU380" s="54"/>
      <c r="AV380" s="54"/>
      <c r="AW380" s="54"/>
      <c r="AX380" s="54"/>
      <c r="AY380" s="54"/>
    </row>
    <row r="381" spans="1:51" customFormat="1" ht="31.15" customHeight="1" x14ac:dyDescent="0.25">
      <c r="A381" s="56"/>
      <c r="B381" s="57"/>
      <c r="C381" s="56"/>
      <c r="D381" s="58"/>
      <c r="E381" s="56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60"/>
      <c r="Y381" s="60"/>
      <c r="Z381" s="60"/>
      <c r="AA381" s="60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6"/>
      <c r="AO381" s="56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</row>
    <row r="382" spans="1:51" customFormat="1" ht="18" customHeight="1" x14ac:dyDescent="0.25">
      <c r="A382" s="51"/>
      <c r="B382" s="52"/>
      <c r="C382" s="51"/>
      <c r="D382" s="53"/>
      <c r="E382" s="51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5"/>
      <c r="Y382" s="55"/>
      <c r="Z382" s="55"/>
      <c r="AA382" s="55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4"/>
      <c r="AM382" s="54"/>
      <c r="AN382" s="51"/>
      <c r="AO382" s="51"/>
      <c r="AP382" s="54"/>
      <c r="AQ382" s="54"/>
      <c r="AR382" s="54"/>
      <c r="AS382" s="54"/>
      <c r="AT382" s="54"/>
      <c r="AU382" s="54"/>
      <c r="AV382" s="54"/>
      <c r="AW382" s="54"/>
      <c r="AX382" s="54"/>
      <c r="AY382" s="54"/>
    </row>
    <row r="383" spans="1:51" customFormat="1" ht="45.6" customHeight="1" x14ac:dyDescent="0.25">
      <c r="A383" s="56"/>
      <c r="B383" s="57"/>
      <c r="C383" s="56"/>
      <c r="D383" s="58"/>
      <c r="E383" s="56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60"/>
      <c r="Y383" s="60"/>
      <c r="Z383" s="60"/>
      <c r="AA383" s="60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6"/>
      <c r="AO383" s="56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</row>
    <row r="384" spans="1:51" customFormat="1" ht="45.6" customHeight="1" x14ac:dyDescent="0.25">
      <c r="A384" s="51"/>
      <c r="B384" s="52"/>
      <c r="C384" s="51"/>
      <c r="D384" s="53"/>
      <c r="E384" s="51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5"/>
      <c r="Y384" s="55"/>
      <c r="Z384" s="55"/>
      <c r="AA384" s="55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/>
      <c r="AN384" s="51"/>
      <c r="AO384" s="51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</row>
    <row r="385" spans="1:51" customFormat="1" ht="18" customHeight="1" x14ac:dyDescent="0.25">
      <c r="A385" s="56"/>
      <c r="B385" s="57"/>
      <c r="C385" s="56"/>
      <c r="D385" s="58"/>
      <c r="E385" s="56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60"/>
      <c r="Y385" s="60"/>
      <c r="Z385" s="60"/>
      <c r="AA385" s="60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6"/>
      <c r="AO385" s="56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</row>
    <row r="386" spans="1:51" customFormat="1" ht="45.6" customHeight="1" x14ac:dyDescent="0.25">
      <c r="A386" s="51"/>
      <c r="B386" s="52"/>
      <c r="C386" s="51"/>
      <c r="D386" s="53"/>
      <c r="E386" s="51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5"/>
      <c r="Y386" s="55"/>
      <c r="Z386" s="55"/>
      <c r="AA386" s="55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1"/>
      <c r="AO386" s="51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</row>
    <row r="387" spans="1:51" customFormat="1" ht="45.6" customHeight="1" x14ac:dyDescent="0.25">
      <c r="A387" s="56"/>
      <c r="B387" s="57"/>
      <c r="C387" s="56"/>
      <c r="D387" s="58"/>
      <c r="E387" s="56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60"/>
      <c r="Y387" s="60"/>
      <c r="Z387" s="60"/>
      <c r="AA387" s="60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6"/>
      <c r="AO387" s="56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</row>
    <row r="388" spans="1:51" customFormat="1" ht="31.15" customHeight="1" x14ac:dyDescent="0.25">
      <c r="A388" s="51"/>
      <c r="B388" s="52"/>
      <c r="C388" s="51"/>
      <c r="D388" s="53"/>
      <c r="E388" s="51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5"/>
      <c r="Y388" s="55"/>
      <c r="Z388" s="55"/>
      <c r="AA388" s="55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1"/>
      <c r="AO388" s="51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</row>
    <row r="389" spans="1:51" customFormat="1" ht="18" customHeight="1" x14ac:dyDescent="0.25">
      <c r="A389" s="56"/>
      <c r="B389" s="57"/>
      <c r="C389" s="56"/>
      <c r="D389" s="58"/>
      <c r="E389" s="56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60"/>
      <c r="Y389" s="60"/>
      <c r="Z389" s="60"/>
      <c r="AA389" s="60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6"/>
      <c r="AO389" s="56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</row>
    <row r="390" spans="1:51" customFormat="1" ht="31.15" customHeight="1" x14ac:dyDescent="0.25">
      <c r="A390" s="51"/>
      <c r="B390" s="52"/>
      <c r="C390" s="51"/>
      <c r="D390" s="53"/>
      <c r="E390" s="51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5"/>
      <c r="Y390" s="55"/>
      <c r="Z390" s="55"/>
      <c r="AA390" s="55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1"/>
      <c r="AO390" s="51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</row>
    <row r="391" spans="1:51" customFormat="1" ht="18" customHeight="1" x14ac:dyDescent="0.25">
      <c r="A391" s="56"/>
      <c r="B391" s="57"/>
      <c r="C391" s="56"/>
      <c r="D391" s="58"/>
      <c r="E391" s="56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60"/>
      <c r="Y391" s="60"/>
      <c r="Z391" s="60"/>
      <c r="AA391" s="60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6"/>
      <c r="AO391" s="56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</row>
    <row r="392" spans="1:51" customFormat="1" ht="45.6" customHeight="1" x14ac:dyDescent="0.25">
      <c r="A392" s="51"/>
      <c r="B392" s="52"/>
      <c r="C392" s="51"/>
      <c r="D392" s="53"/>
      <c r="E392" s="51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5"/>
      <c r="Y392" s="55"/>
      <c r="Z392" s="55"/>
      <c r="AA392" s="55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1"/>
      <c r="AO392" s="51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</row>
    <row r="393" spans="1:51" customFormat="1" ht="127.15" customHeight="1" x14ac:dyDescent="0.25">
      <c r="A393" s="56"/>
      <c r="B393" s="57"/>
      <c r="C393" s="56"/>
      <c r="D393" s="58"/>
      <c r="E393" s="56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60"/>
      <c r="Y393" s="60"/>
      <c r="Z393" s="60"/>
      <c r="AA393" s="60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6"/>
      <c r="AO393" s="56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</row>
    <row r="394" spans="1:51" customFormat="1" ht="31.15" customHeight="1" x14ac:dyDescent="0.25">
      <c r="A394" s="51"/>
      <c r="B394" s="52"/>
      <c r="C394" s="51"/>
      <c r="D394" s="53"/>
      <c r="E394" s="51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5"/>
      <c r="Y394" s="55"/>
      <c r="Z394" s="55"/>
      <c r="AA394" s="55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1"/>
      <c r="AO394" s="51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</row>
    <row r="395" spans="1:51" customFormat="1" ht="31.15" customHeight="1" x14ac:dyDescent="0.25">
      <c r="A395" s="56"/>
      <c r="B395" s="57"/>
      <c r="C395" s="56"/>
      <c r="D395" s="58"/>
      <c r="E395" s="56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60"/>
      <c r="Y395" s="60"/>
      <c r="Z395" s="60"/>
      <c r="AA395" s="60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6"/>
      <c r="AO395" s="56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</row>
    <row r="396" spans="1:51" customFormat="1" ht="72" customHeight="1" x14ac:dyDescent="0.25">
      <c r="A396" s="51"/>
      <c r="B396" s="52"/>
      <c r="C396" s="51"/>
      <c r="D396" s="53"/>
      <c r="E396" s="51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5"/>
      <c r="Y396" s="55"/>
      <c r="Z396" s="55"/>
      <c r="AA396" s="55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1"/>
      <c r="AO396" s="51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</row>
    <row r="397" spans="1:51" customFormat="1" ht="45.6" customHeight="1" x14ac:dyDescent="0.25">
      <c r="A397" s="56"/>
      <c r="B397" s="57"/>
      <c r="C397" s="56"/>
      <c r="D397" s="58"/>
      <c r="E397" s="56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60"/>
      <c r="Y397" s="60"/>
      <c r="Z397" s="60"/>
      <c r="AA397" s="60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6"/>
      <c r="AO397" s="56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</row>
    <row r="398" spans="1:51" customFormat="1" ht="31.15" customHeight="1" x14ac:dyDescent="0.25">
      <c r="A398" s="51"/>
      <c r="B398" s="52"/>
      <c r="C398" s="51"/>
      <c r="D398" s="53"/>
      <c r="E398" s="51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5"/>
      <c r="Y398" s="55"/>
      <c r="Z398" s="55"/>
      <c r="AA398" s="55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1"/>
      <c r="AO398" s="51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</row>
    <row r="399" spans="1:51" customFormat="1" ht="31.15" customHeight="1" x14ac:dyDescent="0.25">
      <c r="A399" s="56"/>
      <c r="B399" s="57"/>
      <c r="C399" s="56"/>
      <c r="D399" s="58"/>
      <c r="E399" s="56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60"/>
      <c r="Y399" s="60"/>
      <c r="Z399" s="60"/>
      <c r="AA399" s="60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6"/>
      <c r="AO399" s="56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</row>
    <row r="400" spans="1:51" customFormat="1" ht="18" customHeight="1" x14ac:dyDescent="0.25">
      <c r="A400" s="51"/>
      <c r="B400" s="52"/>
      <c r="C400" s="51"/>
      <c r="D400" s="53"/>
      <c r="E400" s="51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5"/>
      <c r="Y400" s="55"/>
      <c r="Z400" s="55"/>
      <c r="AA400" s="55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4"/>
      <c r="AM400" s="54"/>
      <c r="AN400" s="51"/>
      <c r="AO400" s="51"/>
      <c r="AP400" s="54"/>
      <c r="AQ400" s="54"/>
      <c r="AR400" s="54"/>
      <c r="AS400" s="54"/>
      <c r="AT400" s="54"/>
      <c r="AU400" s="54"/>
      <c r="AV400" s="54"/>
      <c r="AW400" s="54"/>
      <c r="AX400" s="54"/>
      <c r="AY400" s="54"/>
    </row>
    <row r="401" spans="1:51" customFormat="1" ht="99.6" customHeight="1" x14ac:dyDescent="0.25">
      <c r="A401" s="56"/>
      <c r="B401" s="57"/>
      <c r="C401" s="56"/>
      <c r="D401" s="58"/>
      <c r="E401" s="56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60"/>
      <c r="Y401" s="60"/>
      <c r="Z401" s="60"/>
      <c r="AA401" s="60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6"/>
      <c r="AO401" s="56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</row>
    <row r="402" spans="1:51" customFormat="1" ht="45.6" customHeight="1" x14ac:dyDescent="0.25">
      <c r="A402" s="51"/>
      <c r="B402" s="52"/>
      <c r="C402" s="51"/>
      <c r="D402" s="53"/>
      <c r="E402" s="51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5"/>
      <c r="Y402" s="55"/>
      <c r="Z402" s="55"/>
      <c r="AA402" s="55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4"/>
      <c r="AM402" s="54"/>
      <c r="AN402" s="51"/>
      <c r="AO402" s="51"/>
      <c r="AP402" s="54"/>
      <c r="AQ402" s="54"/>
      <c r="AR402" s="54"/>
      <c r="AS402" s="54"/>
      <c r="AT402" s="54"/>
      <c r="AU402" s="54"/>
      <c r="AV402" s="54"/>
      <c r="AW402" s="54"/>
      <c r="AX402" s="54"/>
      <c r="AY402" s="54"/>
    </row>
    <row r="403" spans="1:51" customFormat="1" ht="45.6" customHeight="1" x14ac:dyDescent="0.25">
      <c r="A403" s="56"/>
      <c r="B403" s="57"/>
      <c r="C403" s="56"/>
      <c r="D403" s="58"/>
      <c r="E403" s="56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60"/>
      <c r="Y403" s="60"/>
      <c r="Z403" s="60"/>
      <c r="AA403" s="60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6"/>
      <c r="AO403" s="56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</row>
    <row r="404" spans="1:51" customFormat="1" ht="18" customHeight="1" x14ac:dyDescent="0.25">
      <c r="A404" s="51"/>
      <c r="B404" s="52"/>
      <c r="C404" s="51"/>
      <c r="D404" s="53"/>
      <c r="E404" s="51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5"/>
      <c r="Y404" s="55"/>
      <c r="Z404" s="55"/>
      <c r="AA404" s="55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1"/>
      <c r="AO404" s="51"/>
      <c r="AP404" s="54"/>
      <c r="AQ404" s="54"/>
      <c r="AR404" s="54"/>
      <c r="AS404" s="54"/>
      <c r="AT404" s="54"/>
      <c r="AU404" s="54"/>
      <c r="AV404" s="54"/>
      <c r="AW404" s="54"/>
      <c r="AX404" s="54"/>
      <c r="AY404" s="54"/>
    </row>
    <row r="405" spans="1:51" customFormat="1" ht="31.15" customHeight="1" x14ac:dyDescent="0.25">
      <c r="A405" s="56"/>
      <c r="B405" s="57"/>
      <c r="C405" s="56"/>
      <c r="D405" s="58"/>
      <c r="E405" s="56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60"/>
      <c r="Y405" s="60"/>
      <c r="Z405" s="60"/>
      <c r="AA405" s="60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6"/>
      <c r="AO405" s="56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</row>
    <row r="406" spans="1:51" customFormat="1" ht="18" customHeight="1" x14ac:dyDescent="0.25">
      <c r="A406" s="51"/>
      <c r="B406" s="52"/>
      <c r="C406" s="51"/>
      <c r="D406" s="53"/>
      <c r="E406" s="51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5"/>
      <c r="Y406" s="55"/>
      <c r="Z406" s="55"/>
      <c r="AA406" s="55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1"/>
      <c r="AO406" s="51"/>
      <c r="AP406" s="54"/>
      <c r="AQ406" s="54"/>
      <c r="AR406" s="54"/>
      <c r="AS406" s="54"/>
      <c r="AT406" s="54"/>
      <c r="AU406" s="54"/>
      <c r="AV406" s="54"/>
      <c r="AW406" s="54"/>
      <c r="AX406" s="54"/>
      <c r="AY406" s="54"/>
    </row>
    <row r="407" spans="1:51" customFormat="1" ht="18" customHeight="1" x14ac:dyDescent="0.25">
      <c r="A407" s="56"/>
      <c r="B407" s="57"/>
      <c r="C407" s="56"/>
      <c r="D407" s="58"/>
      <c r="E407" s="56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60"/>
      <c r="Y407" s="60"/>
      <c r="Z407" s="60"/>
      <c r="AA407" s="60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6"/>
      <c r="AO407" s="56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</row>
    <row r="408" spans="1:51" customFormat="1" ht="31.15" customHeight="1" x14ac:dyDescent="0.25">
      <c r="A408" s="51"/>
      <c r="B408" s="52"/>
      <c r="C408" s="51"/>
      <c r="D408" s="53"/>
      <c r="E408" s="51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5"/>
      <c r="Y408" s="55"/>
      <c r="Z408" s="55"/>
      <c r="AA408" s="55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4"/>
      <c r="AM408" s="54"/>
      <c r="AN408" s="51"/>
      <c r="AO408" s="51"/>
      <c r="AP408" s="54"/>
      <c r="AQ408" s="54"/>
      <c r="AR408" s="54"/>
      <c r="AS408" s="54"/>
      <c r="AT408" s="54"/>
      <c r="AU408" s="54"/>
      <c r="AV408" s="54"/>
      <c r="AW408" s="54"/>
      <c r="AX408" s="54"/>
      <c r="AY408" s="54"/>
    </row>
    <row r="409" spans="1:51" customFormat="1" ht="31.15" customHeight="1" x14ac:dyDescent="0.25">
      <c r="A409" s="56"/>
      <c r="B409" s="57"/>
      <c r="C409" s="56"/>
      <c r="D409" s="58"/>
      <c r="E409" s="56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60"/>
      <c r="Y409" s="60"/>
      <c r="Z409" s="60"/>
      <c r="AA409" s="60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6"/>
      <c r="AO409" s="56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</row>
    <row r="410" spans="1:51" customFormat="1" ht="45.6" customHeight="1" x14ac:dyDescent="0.25">
      <c r="A410" s="51"/>
      <c r="B410" s="52"/>
      <c r="C410" s="51"/>
      <c r="D410" s="53"/>
      <c r="E410" s="51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5"/>
      <c r="Y410" s="55"/>
      <c r="Z410" s="55"/>
      <c r="AA410" s="55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1"/>
      <c r="AO410" s="51"/>
      <c r="AP410" s="54"/>
      <c r="AQ410" s="54"/>
      <c r="AR410" s="54"/>
      <c r="AS410" s="54"/>
      <c r="AT410" s="54"/>
      <c r="AU410" s="54"/>
      <c r="AV410" s="54"/>
      <c r="AW410" s="54"/>
      <c r="AX410" s="54"/>
      <c r="AY410" s="54"/>
    </row>
    <row r="411" spans="1:51" customFormat="1" ht="45.6" customHeight="1" x14ac:dyDescent="0.25">
      <c r="A411" s="56"/>
      <c r="B411" s="57"/>
      <c r="C411" s="56"/>
      <c r="D411" s="58"/>
      <c r="E411" s="56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60"/>
      <c r="Y411" s="60"/>
      <c r="Z411" s="60"/>
      <c r="AA411" s="60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6"/>
      <c r="AO411" s="56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</row>
    <row r="412" spans="1:51" customFormat="1" ht="45.6" customHeight="1" x14ac:dyDescent="0.25">
      <c r="A412" s="51"/>
      <c r="B412" s="52"/>
      <c r="C412" s="51"/>
      <c r="D412" s="53"/>
      <c r="E412" s="51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5"/>
      <c r="Y412" s="55"/>
      <c r="Z412" s="55"/>
      <c r="AA412" s="55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1"/>
      <c r="AO412" s="51"/>
      <c r="AP412" s="54"/>
      <c r="AQ412" s="54"/>
      <c r="AR412" s="54"/>
      <c r="AS412" s="54"/>
      <c r="AT412" s="54"/>
      <c r="AU412" s="54"/>
      <c r="AV412" s="54"/>
      <c r="AW412" s="54"/>
      <c r="AX412" s="54"/>
      <c r="AY412" s="54"/>
    </row>
    <row r="413" spans="1:51" customFormat="1" ht="45.6" customHeight="1" x14ac:dyDescent="0.25">
      <c r="A413" s="56"/>
      <c r="B413" s="57"/>
      <c r="C413" s="56"/>
      <c r="D413" s="58"/>
      <c r="E413" s="56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60"/>
      <c r="Y413" s="60"/>
      <c r="Z413" s="60"/>
      <c r="AA413" s="60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6"/>
      <c r="AO413" s="56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</row>
    <row r="414" spans="1:51" customFormat="1" ht="31.15" customHeight="1" x14ac:dyDescent="0.25">
      <c r="A414" s="51"/>
      <c r="B414" s="52"/>
      <c r="C414" s="51"/>
      <c r="D414" s="53"/>
      <c r="E414" s="51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5"/>
      <c r="Y414" s="55"/>
      <c r="Z414" s="55"/>
      <c r="AA414" s="55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1"/>
      <c r="AO414" s="51"/>
      <c r="AP414" s="54"/>
      <c r="AQ414" s="54"/>
      <c r="AR414" s="54"/>
      <c r="AS414" s="54"/>
      <c r="AT414" s="54"/>
      <c r="AU414" s="54"/>
      <c r="AV414" s="54"/>
      <c r="AW414" s="54"/>
      <c r="AX414" s="54"/>
      <c r="AY414" s="54"/>
    </row>
    <row r="415" spans="1:51" customFormat="1" ht="31.15" customHeight="1" x14ac:dyDescent="0.25">
      <c r="A415" s="56"/>
      <c r="B415" s="57"/>
      <c r="C415" s="56"/>
      <c r="D415" s="58"/>
      <c r="E415" s="56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60"/>
      <c r="Y415" s="60"/>
      <c r="Z415" s="60"/>
      <c r="AA415" s="60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6"/>
      <c r="AO415" s="56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</row>
    <row r="416" spans="1:51" customFormat="1" ht="45.6" customHeight="1" x14ac:dyDescent="0.25">
      <c r="A416" s="51"/>
      <c r="B416" s="52"/>
      <c r="C416" s="51"/>
      <c r="D416" s="53"/>
      <c r="E416" s="51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5"/>
      <c r="Y416" s="55"/>
      <c r="Z416" s="55"/>
      <c r="AA416" s="55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1"/>
      <c r="AO416" s="51"/>
      <c r="AP416" s="54"/>
      <c r="AQ416" s="54"/>
      <c r="AR416" s="54"/>
      <c r="AS416" s="54"/>
      <c r="AT416" s="54"/>
      <c r="AU416" s="54"/>
      <c r="AV416" s="54"/>
      <c r="AW416" s="54"/>
      <c r="AX416" s="54"/>
      <c r="AY416" s="54"/>
    </row>
    <row r="417" spans="1:51" customFormat="1" ht="31.15" customHeight="1" x14ac:dyDescent="0.25">
      <c r="A417" s="56"/>
      <c r="B417" s="57"/>
      <c r="C417" s="56"/>
      <c r="D417" s="58"/>
      <c r="E417" s="56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60"/>
      <c r="Y417" s="60"/>
      <c r="Z417" s="60"/>
      <c r="AA417" s="60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6"/>
      <c r="AO417" s="56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</row>
    <row r="418" spans="1:51" customFormat="1" ht="18" customHeight="1" x14ac:dyDescent="0.25">
      <c r="A418" s="51"/>
      <c r="B418" s="52"/>
      <c r="C418" s="51"/>
      <c r="D418" s="53"/>
      <c r="E418" s="51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5"/>
      <c r="Y418" s="55"/>
      <c r="Z418" s="55"/>
      <c r="AA418" s="55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1"/>
      <c r="AO418" s="51"/>
      <c r="AP418" s="54"/>
      <c r="AQ418" s="54"/>
      <c r="AR418" s="54"/>
      <c r="AS418" s="54"/>
      <c r="AT418" s="54"/>
      <c r="AU418" s="54"/>
      <c r="AV418" s="54"/>
      <c r="AW418" s="54"/>
      <c r="AX418" s="54"/>
      <c r="AY418" s="62"/>
    </row>
    <row r="419" spans="1:51" customFormat="1" ht="31.15" customHeight="1" x14ac:dyDescent="0.25">
      <c r="A419" s="56"/>
      <c r="B419" s="57"/>
      <c r="C419" s="56"/>
      <c r="D419" s="58"/>
      <c r="E419" s="56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60"/>
      <c r="Y419" s="60"/>
      <c r="Z419" s="60"/>
      <c r="AA419" s="60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6"/>
      <c r="AO419" s="56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</row>
    <row r="420" spans="1:51" customFormat="1" ht="45.6" customHeight="1" x14ac:dyDescent="0.25">
      <c r="A420" s="51"/>
      <c r="B420" s="52"/>
      <c r="C420" s="51"/>
      <c r="D420" s="53"/>
      <c r="E420" s="51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5"/>
      <c r="Y420" s="55"/>
      <c r="Z420" s="55"/>
      <c r="AA420" s="55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4"/>
      <c r="AM420" s="54"/>
      <c r="AN420" s="51"/>
      <c r="AO420" s="51"/>
      <c r="AP420" s="54"/>
      <c r="AQ420" s="54"/>
      <c r="AR420" s="54"/>
      <c r="AS420" s="54"/>
      <c r="AT420" s="54"/>
      <c r="AU420" s="54"/>
      <c r="AV420" s="54"/>
      <c r="AW420" s="54"/>
      <c r="AX420" s="54"/>
      <c r="AY420" s="54"/>
    </row>
    <row r="421" spans="1:51" customFormat="1" ht="45.6" customHeight="1" x14ac:dyDescent="0.25">
      <c r="A421" s="56"/>
      <c r="B421" s="57"/>
      <c r="C421" s="56"/>
      <c r="D421" s="58"/>
      <c r="E421" s="56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60"/>
      <c r="Y421" s="60"/>
      <c r="Z421" s="60"/>
      <c r="AA421" s="60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6"/>
      <c r="AO421" s="56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</row>
    <row r="422" spans="1:51" customFormat="1" ht="31.15" customHeight="1" x14ac:dyDescent="0.25">
      <c r="A422" s="51"/>
      <c r="B422" s="52"/>
      <c r="C422" s="51"/>
      <c r="D422" s="53"/>
      <c r="E422" s="51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5"/>
      <c r="Y422" s="55"/>
      <c r="Z422" s="55"/>
      <c r="AA422" s="55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4"/>
      <c r="AM422" s="54"/>
      <c r="AN422" s="51"/>
      <c r="AO422" s="51"/>
      <c r="AP422" s="54"/>
      <c r="AQ422" s="54"/>
      <c r="AR422" s="54"/>
      <c r="AS422" s="54"/>
      <c r="AT422" s="54"/>
      <c r="AU422" s="54"/>
      <c r="AV422" s="54"/>
      <c r="AW422" s="54"/>
      <c r="AX422" s="54"/>
      <c r="AY422" s="54"/>
    </row>
    <row r="423" spans="1:51" customFormat="1" ht="31.15" customHeight="1" x14ac:dyDescent="0.25">
      <c r="A423" s="56"/>
      <c r="B423" s="57"/>
      <c r="C423" s="56"/>
      <c r="D423" s="58"/>
      <c r="E423" s="56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60"/>
      <c r="Y423" s="60"/>
      <c r="Z423" s="60"/>
      <c r="AA423" s="60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6"/>
      <c r="AO423" s="56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</row>
    <row r="424" spans="1:51" customFormat="1" ht="45.6" customHeight="1" x14ac:dyDescent="0.25">
      <c r="A424" s="51"/>
      <c r="B424" s="52"/>
      <c r="C424" s="51"/>
      <c r="D424" s="53"/>
      <c r="E424" s="51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5"/>
      <c r="Y424" s="55"/>
      <c r="Z424" s="55"/>
      <c r="AA424" s="55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1"/>
      <c r="AO424" s="51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</row>
    <row r="425" spans="1:51" customFormat="1" ht="31.15" customHeight="1" x14ac:dyDescent="0.25">
      <c r="A425" s="56"/>
      <c r="B425" s="57"/>
      <c r="C425" s="56"/>
      <c r="D425" s="58"/>
      <c r="E425" s="56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60"/>
      <c r="Y425" s="60"/>
      <c r="Z425" s="60"/>
      <c r="AA425" s="60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6"/>
      <c r="AO425" s="56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</row>
    <row r="426" spans="1:51" customFormat="1" ht="31.15" customHeight="1" x14ac:dyDescent="0.25">
      <c r="A426" s="51"/>
      <c r="B426" s="52"/>
      <c r="C426" s="51"/>
      <c r="D426" s="53"/>
      <c r="E426" s="51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5"/>
      <c r="Y426" s="55"/>
      <c r="Z426" s="55"/>
      <c r="AA426" s="55"/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/>
      <c r="AN426" s="51"/>
      <c r="AO426" s="51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</row>
    <row r="427" spans="1:51" customFormat="1" ht="31.15" customHeight="1" x14ac:dyDescent="0.25">
      <c r="A427" s="56"/>
      <c r="B427" s="57"/>
      <c r="C427" s="56"/>
      <c r="D427" s="58"/>
      <c r="E427" s="56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60"/>
      <c r="Y427" s="60"/>
      <c r="Z427" s="60"/>
      <c r="AA427" s="60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6"/>
      <c r="AO427" s="56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</row>
    <row r="428" spans="1:51" customFormat="1" ht="45.6" customHeight="1" x14ac:dyDescent="0.25">
      <c r="A428" s="51"/>
      <c r="B428" s="52"/>
      <c r="C428" s="51"/>
      <c r="D428" s="53"/>
      <c r="E428" s="51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5"/>
      <c r="Y428" s="55"/>
      <c r="Z428" s="55"/>
      <c r="AA428" s="55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1"/>
      <c r="AO428" s="51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</row>
    <row r="429" spans="1:51" customFormat="1" ht="45.6" customHeight="1" x14ac:dyDescent="0.25">
      <c r="A429" s="56"/>
      <c r="B429" s="57"/>
      <c r="C429" s="56"/>
      <c r="D429" s="58"/>
      <c r="E429" s="56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60"/>
      <c r="Y429" s="60"/>
      <c r="Z429" s="60"/>
      <c r="AA429" s="60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6"/>
      <c r="AO429" s="56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</row>
    <row r="430" spans="1:51" customFormat="1" ht="31.15" customHeight="1" x14ac:dyDescent="0.25">
      <c r="A430" s="51"/>
      <c r="B430" s="52"/>
      <c r="C430" s="51"/>
      <c r="D430" s="53"/>
      <c r="E430" s="51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5"/>
      <c r="Y430" s="55"/>
      <c r="Z430" s="55"/>
      <c r="AA430" s="55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1"/>
      <c r="AO430" s="51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</row>
    <row r="431" spans="1:51" customFormat="1" ht="18" customHeight="1" x14ac:dyDescent="0.25">
      <c r="A431" s="56"/>
      <c r="B431" s="57"/>
      <c r="C431" s="56"/>
      <c r="D431" s="58"/>
      <c r="E431" s="56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60"/>
      <c r="Y431" s="60"/>
      <c r="Z431" s="60"/>
      <c r="AA431" s="60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6"/>
      <c r="AO431" s="56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</row>
    <row r="432" spans="1:51" customFormat="1" ht="31.15" customHeight="1" x14ac:dyDescent="0.25">
      <c r="A432" s="51"/>
      <c r="B432" s="52"/>
      <c r="C432" s="51"/>
      <c r="D432" s="53"/>
      <c r="E432" s="51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5"/>
      <c r="Y432" s="55"/>
      <c r="Z432" s="55"/>
      <c r="AA432" s="55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1"/>
      <c r="AO432" s="51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</row>
    <row r="433" spans="1:51" customFormat="1" ht="31.15" customHeight="1" x14ac:dyDescent="0.25">
      <c r="A433" s="56"/>
      <c r="B433" s="57"/>
      <c r="C433" s="56"/>
      <c r="D433" s="58"/>
      <c r="E433" s="56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60"/>
      <c r="Y433" s="60"/>
      <c r="Z433" s="60"/>
      <c r="AA433" s="60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6"/>
      <c r="AO433" s="56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</row>
    <row r="434" spans="1:51" customFormat="1" ht="72" customHeight="1" x14ac:dyDescent="0.25">
      <c r="A434" s="51"/>
      <c r="B434" s="52"/>
      <c r="C434" s="51"/>
      <c r="D434" s="53"/>
      <c r="E434" s="51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5"/>
      <c r="Y434" s="55"/>
      <c r="Z434" s="55"/>
      <c r="AA434" s="55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1"/>
      <c r="AO434" s="51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</row>
    <row r="435" spans="1:51" customFormat="1" ht="18" customHeight="1" x14ac:dyDescent="0.25">
      <c r="A435" s="56"/>
      <c r="B435" s="57"/>
      <c r="C435" s="56"/>
      <c r="D435" s="58"/>
      <c r="E435" s="56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60"/>
      <c r="Y435" s="60"/>
      <c r="Z435" s="60"/>
      <c r="AA435" s="60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6"/>
      <c r="AO435" s="56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</row>
    <row r="436" spans="1:51" customFormat="1" ht="58.9" customHeight="1" x14ac:dyDescent="0.25">
      <c r="A436" s="51"/>
      <c r="B436" s="52"/>
      <c r="C436" s="51"/>
      <c r="D436" s="53"/>
      <c r="E436" s="51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5"/>
      <c r="Y436" s="55"/>
      <c r="Z436" s="55"/>
      <c r="AA436" s="55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1"/>
      <c r="AO436" s="51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</row>
    <row r="437" spans="1:51" customFormat="1" ht="18" customHeight="1" x14ac:dyDescent="0.25">
      <c r="A437" s="56"/>
      <c r="B437" s="57"/>
      <c r="C437" s="56"/>
      <c r="D437" s="58"/>
      <c r="E437" s="56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60"/>
      <c r="Y437" s="60"/>
      <c r="Z437" s="60"/>
      <c r="AA437" s="60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6"/>
      <c r="AO437" s="56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</row>
    <row r="438" spans="1:51" customFormat="1" ht="45.6" customHeight="1" x14ac:dyDescent="0.25">
      <c r="A438" s="51"/>
      <c r="B438" s="52"/>
      <c r="C438" s="51"/>
      <c r="D438" s="53"/>
      <c r="E438" s="51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5"/>
      <c r="Y438" s="55"/>
      <c r="Z438" s="55"/>
      <c r="AA438" s="55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  <c r="AL438" s="54"/>
      <c r="AM438" s="54"/>
      <c r="AN438" s="51"/>
      <c r="AO438" s="51"/>
      <c r="AP438" s="54"/>
      <c r="AQ438" s="54"/>
      <c r="AR438" s="54"/>
      <c r="AS438" s="54"/>
      <c r="AT438" s="54"/>
      <c r="AU438" s="54"/>
      <c r="AV438" s="54"/>
      <c r="AW438" s="54"/>
      <c r="AX438" s="54"/>
      <c r="AY438" s="54"/>
    </row>
    <row r="439" spans="1:51" customFormat="1" ht="45.6" customHeight="1" x14ac:dyDescent="0.25">
      <c r="A439" s="56"/>
      <c r="B439" s="57"/>
      <c r="C439" s="56"/>
      <c r="D439" s="58"/>
      <c r="E439" s="56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60"/>
      <c r="Y439" s="60"/>
      <c r="Z439" s="60"/>
      <c r="AA439" s="60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6"/>
      <c r="AO439" s="56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</row>
    <row r="440" spans="1:51" customFormat="1" ht="18" customHeight="1" x14ac:dyDescent="0.25">
      <c r="A440" s="51"/>
      <c r="B440" s="52"/>
      <c r="C440" s="51"/>
      <c r="D440" s="53"/>
      <c r="E440" s="51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5"/>
      <c r="Y440" s="55"/>
      <c r="Z440" s="55"/>
      <c r="AA440" s="55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1"/>
      <c r="AO440" s="51"/>
      <c r="AP440" s="54"/>
      <c r="AQ440" s="54"/>
      <c r="AR440" s="54"/>
      <c r="AS440" s="54"/>
      <c r="AT440" s="54"/>
      <c r="AU440" s="54"/>
      <c r="AV440" s="54"/>
      <c r="AW440" s="54"/>
      <c r="AX440" s="54"/>
      <c r="AY440" s="54"/>
    </row>
    <row r="441" spans="1:51" customFormat="1" ht="31.15" customHeight="1" x14ac:dyDescent="0.25">
      <c r="A441" s="56"/>
      <c r="B441" s="57"/>
      <c r="C441" s="56"/>
      <c r="D441" s="58"/>
      <c r="E441" s="56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60"/>
      <c r="Y441" s="60"/>
      <c r="Z441" s="60"/>
      <c r="AA441" s="60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6"/>
      <c r="AO441" s="56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</row>
    <row r="442" spans="1:51" customFormat="1" ht="45.6" customHeight="1" x14ac:dyDescent="0.25">
      <c r="A442" s="51"/>
      <c r="B442" s="52"/>
      <c r="C442" s="51"/>
      <c r="D442" s="53"/>
      <c r="E442" s="51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5"/>
      <c r="Y442" s="55"/>
      <c r="Z442" s="55"/>
      <c r="AA442" s="55"/>
      <c r="AB442" s="54"/>
      <c r="AC442" s="54"/>
      <c r="AD442" s="54"/>
      <c r="AE442" s="54"/>
      <c r="AF442" s="54"/>
      <c r="AG442" s="54"/>
      <c r="AH442" s="54"/>
      <c r="AI442" s="54"/>
      <c r="AJ442" s="54"/>
      <c r="AK442" s="54"/>
      <c r="AL442" s="54"/>
      <c r="AM442" s="54"/>
      <c r="AN442" s="51"/>
      <c r="AO442" s="51"/>
      <c r="AP442" s="54"/>
      <c r="AQ442" s="54"/>
      <c r="AR442" s="54"/>
      <c r="AS442" s="54"/>
      <c r="AT442" s="54"/>
      <c r="AU442" s="54"/>
      <c r="AV442" s="54"/>
      <c r="AW442" s="54"/>
      <c r="AX442" s="54"/>
      <c r="AY442" s="54"/>
    </row>
    <row r="443" spans="1:51" customFormat="1" ht="18" customHeight="1" x14ac:dyDescent="0.25">
      <c r="A443" s="56"/>
      <c r="B443" s="57"/>
      <c r="C443" s="56"/>
      <c r="D443" s="58"/>
      <c r="E443" s="56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60"/>
      <c r="Y443" s="60"/>
      <c r="Z443" s="60"/>
      <c r="AA443" s="60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6"/>
      <c r="AO443" s="56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</row>
    <row r="444" spans="1:51" customFormat="1" ht="31.15" customHeight="1" x14ac:dyDescent="0.25">
      <c r="A444" s="51"/>
      <c r="B444" s="52"/>
      <c r="C444" s="51"/>
      <c r="D444" s="53"/>
      <c r="E444" s="51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5"/>
      <c r="Y444" s="55"/>
      <c r="Z444" s="55"/>
      <c r="AA444" s="55"/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  <c r="AL444" s="54"/>
      <c r="AM444" s="54"/>
      <c r="AN444" s="51"/>
      <c r="AO444" s="51"/>
      <c r="AP444" s="54"/>
      <c r="AQ444" s="54"/>
      <c r="AR444" s="54"/>
      <c r="AS444" s="54"/>
      <c r="AT444" s="54"/>
      <c r="AU444" s="54"/>
      <c r="AV444" s="54"/>
      <c r="AW444" s="54"/>
      <c r="AX444" s="54"/>
      <c r="AY444" s="54"/>
    </row>
    <row r="445" spans="1:51" customFormat="1" ht="18" customHeight="1" x14ac:dyDescent="0.25">
      <c r="A445" s="56"/>
      <c r="B445" s="57"/>
      <c r="C445" s="56"/>
      <c r="D445" s="58"/>
      <c r="E445" s="56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60"/>
      <c r="Y445" s="60"/>
      <c r="Z445" s="60"/>
      <c r="AA445" s="60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6"/>
      <c r="AO445" s="56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</row>
    <row r="446" spans="1:51" customFormat="1" ht="99.6" customHeight="1" x14ac:dyDescent="0.25">
      <c r="A446" s="51"/>
      <c r="B446" s="52"/>
      <c r="C446" s="51"/>
      <c r="D446" s="53"/>
      <c r="E446" s="51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5"/>
      <c r="Y446" s="55"/>
      <c r="Z446" s="55"/>
      <c r="AA446" s="55"/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  <c r="AL446" s="54"/>
      <c r="AM446" s="54"/>
      <c r="AN446" s="51"/>
      <c r="AO446" s="51"/>
      <c r="AP446" s="54"/>
      <c r="AQ446" s="54"/>
      <c r="AR446" s="54"/>
      <c r="AS446" s="54"/>
      <c r="AT446" s="54"/>
      <c r="AU446" s="54"/>
      <c r="AV446" s="54"/>
      <c r="AW446" s="54"/>
      <c r="AX446" s="54"/>
      <c r="AY446" s="54"/>
    </row>
    <row r="447" spans="1:51" customFormat="1" ht="31.15" customHeight="1" x14ac:dyDescent="0.25">
      <c r="A447" s="56"/>
      <c r="B447" s="57"/>
      <c r="C447" s="56"/>
      <c r="D447" s="58"/>
      <c r="E447" s="56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60"/>
      <c r="Y447" s="60"/>
      <c r="Z447" s="60"/>
      <c r="AA447" s="60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6"/>
      <c r="AO447" s="56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</row>
    <row r="448" spans="1:51" customFormat="1" ht="45.6" customHeight="1" x14ac:dyDescent="0.25">
      <c r="A448" s="51"/>
      <c r="B448" s="52"/>
      <c r="C448" s="51"/>
      <c r="D448" s="53"/>
      <c r="E448" s="51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5"/>
      <c r="Y448" s="55"/>
      <c r="Z448" s="55"/>
      <c r="AA448" s="55"/>
      <c r="AB448" s="54"/>
      <c r="AC448" s="54"/>
      <c r="AD448" s="54"/>
      <c r="AE448" s="54"/>
      <c r="AF448" s="54"/>
      <c r="AG448" s="54"/>
      <c r="AH448" s="54"/>
      <c r="AI448" s="54"/>
      <c r="AJ448" s="54"/>
      <c r="AK448" s="54"/>
      <c r="AL448" s="54"/>
      <c r="AM448" s="54"/>
      <c r="AN448" s="51"/>
      <c r="AO448" s="51"/>
      <c r="AP448" s="54"/>
      <c r="AQ448" s="54"/>
      <c r="AR448" s="54"/>
      <c r="AS448" s="54"/>
      <c r="AT448" s="54"/>
      <c r="AU448" s="54"/>
      <c r="AV448" s="54"/>
      <c r="AW448" s="54"/>
      <c r="AX448" s="54"/>
      <c r="AY448" s="54"/>
    </row>
    <row r="449" spans="1:51" customFormat="1" ht="86.45" customHeight="1" x14ac:dyDescent="0.25">
      <c r="A449" s="56"/>
      <c r="B449" s="57"/>
      <c r="C449" s="56"/>
      <c r="D449" s="58"/>
      <c r="E449" s="56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60"/>
      <c r="Y449" s="60"/>
      <c r="Z449" s="60"/>
      <c r="AA449" s="60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6"/>
      <c r="AO449" s="56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</row>
    <row r="450" spans="1:51" customFormat="1" ht="45.6" customHeight="1" x14ac:dyDescent="0.25">
      <c r="A450" s="51"/>
      <c r="B450" s="52"/>
      <c r="C450" s="51"/>
      <c r="D450" s="53"/>
      <c r="E450" s="51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5"/>
      <c r="Y450" s="55"/>
      <c r="Z450" s="55"/>
      <c r="AA450" s="55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  <c r="AL450" s="54"/>
      <c r="AM450" s="54"/>
      <c r="AN450" s="51"/>
      <c r="AO450" s="51"/>
      <c r="AP450" s="54"/>
      <c r="AQ450" s="54"/>
      <c r="AR450" s="54"/>
      <c r="AS450" s="54"/>
      <c r="AT450" s="54"/>
      <c r="AU450" s="54"/>
      <c r="AV450" s="54"/>
      <c r="AW450" s="54"/>
      <c r="AX450" s="54"/>
      <c r="AY450" s="54"/>
    </row>
    <row r="451" spans="1:51" customFormat="1" ht="45.6" customHeight="1" x14ac:dyDescent="0.25">
      <c r="A451" s="56"/>
      <c r="B451" s="57"/>
      <c r="C451" s="56"/>
      <c r="D451" s="58"/>
      <c r="E451" s="56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60"/>
      <c r="Y451" s="60"/>
      <c r="Z451" s="60"/>
      <c r="AA451" s="60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6"/>
      <c r="AO451" s="56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</row>
    <row r="452" spans="1:51" customFormat="1" ht="18" customHeight="1" x14ac:dyDescent="0.25">
      <c r="A452" s="51"/>
      <c r="B452" s="52"/>
      <c r="C452" s="51"/>
      <c r="D452" s="53"/>
      <c r="E452" s="51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5"/>
      <c r="Y452" s="55"/>
      <c r="Z452" s="55"/>
      <c r="AA452" s="55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1"/>
      <c r="AO452" s="51"/>
      <c r="AP452" s="54"/>
      <c r="AQ452" s="54"/>
      <c r="AR452" s="54"/>
      <c r="AS452" s="54"/>
      <c r="AT452" s="54"/>
      <c r="AU452" s="54"/>
      <c r="AV452" s="54"/>
      <c r="AW452" s="54"/>
      <c r="AX452" s="54"/>
      <c r="AY452" s="54"/>
    </row>
    <row r="453" spans="1:51" customFormat="1" ht="18" customHeight="1" x14ac:dyDescent="0.25">
      <c r="A453" s="56"/>
      <c r="B453" s="57"/>
      <c r="C453" s="56"/>
      <c r="D453" s="58"/>
      <c r="E453" s="56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60"/>
      <c r="Y453" s="60"/>
      <c r="Z453" s="60"/>
      <c r="AA453" s="60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6"/>
      <c r="AO453" s="56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</row>
    <row r="454" spans="1:51" customFormat="1" ht="31.15" customHeight="1" x14ac:dyDescent="0.25">
      <c r="A454" s="51"/>
      <c r="B454" s="52"/>
      <c r="C454" s="51"/>
      <c r="D454" s="53"/>
      <c r="E454" s="51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5"/>
      <c r="Y454" s="55"/>
      <c r="Z454" s="55"/>
      <c r="AA454" s="55"/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  <c r="AL454" s="54"/>
      <c r="AM454" s="54"/>
      <c r="AN454" s="51"/>
      <c r="AO454" s="51"/>
      <c r="AP454" s="54"/>
      <c r="AQ454" s="54"/>
      <c r="AR454" s="54"/>
      <c r="AS454" s="54"/>
      <c r="AT454" s="54"/>
      <c r="AU454" s="54"/>
      <c r="AV454" s="54"/>
      <c r="AW454" s="54"/>
      <c r="AX454" s="54"/>
      <c r="AY454" s="54"/>
    </row>
    <row r="455" spans="1:51" customFormat="1" ht="31.15" customHeight="1" x14ac:dyDescent="0.25">
      <c r="A455" s="56"/>
      <c r="B455" s="57"/>
      <c r="C455" s="56"/>
      <c r="D455" s="58"/>
      <c r="E455" s="56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60"/>
      <c r="Y455" s="60"/>
      <c r="Z455" s="60"/>
      <c r="AA455" s="60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6"/>
      <c r="AO455" s="56"/>
      <c r="AP455" s="59"/>
      <c r="AQ455" s="59"/>
      <c r="AR455" s="59"/>
      <c r="AS455" s="59"/>
      <c r="AT455" s="59"/>
      <c r="AU455" s="59"/>
      <c r="AV455" s="59"/>
      <c r="AW455" s="59"/>
      <c r="AX455" s="59"/>
      <c r="AY455" s="61"/>
    </row>
    <row r="456" spans="1:51" customFormat="1" ht="31.15" customHeight="1" x14ac:dyDescent="0.25">
      <c r="A456" s="51"/>
      <c r="B456" s="52"/>
      <c r="C456" s="51"/>
      <c r="D456" s="53"/>
      <c r="E456" s="51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5"/>
      <c r="Y456" s="55"/>
      <c r="Z456" s="55"/>
      <c r="AA456" s="55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1"/>
      <c r="AO456" s="51"/>
      <c r="AP456" s="54"/>
      <c r="AQ456" s="54"/>
      <c r="AR456" s="54"/>
      <c r="AS456" s="54"/>
      <c r="AT456" s="54"/>
      <c r="AU456" s="54"/>
      <c r="AV456" s="54"/>
      <c r="AW456" s="54"/>
      <c r="AX456" s="54"/>
      <c r="AY456" s="54"/>
    </row>
    <row r="457" spans="1:51" customFormat="1" ht="45.6" customHeight="1" x14ac:dyDescent="0.25">
      <c r="A457" s="56"/>
      <c r="B457" s="57"/>
      <c r="C457" s="56"/>
      <c r="D457" s="58"/>
      <c r="E457" s="56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60"/>
      <c r="Y457" s="60"/>
      <c r="Z457" s="60"/>
      <c r="AA457" s="60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6"/>
      <c r="AO457" s="56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</row>
    <row r="458" spans="1:51" customFormat="1" ht="45.6" customHeight="1" x14ac:dyDescent="0.25">
      <c r="A458" s="51"/>
      <c r="B458" s="52"/>
      <c r="C458" s="51"/>
      <c r="D458" s="53"/>
      <c r="E458" s="51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5"/>
      <c r="Y458" s="55"/>
      <c r="Z458" s="55"/>
      <c r="AA458" s="55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1"/>
      <c r="AO458" s="51"/>
      <c r="AP458" s="54"/>
      <c r="AQ458" s="54"/>
      <c r="AR458" s="54"/>
      <c r="AS458" s="54"/>
      <c r="AT458" s="54"/>
      <c r="AU458" s="54"/>
      <c r="AV458" s="54"/>
      <c r="AW458" s="54"/>
      <c r="AX458" s="54"/>
      <c r="AY458" s="54"/>
    </row>
    <row r="459" spans="1:51" customFormat="1" ht="18" customHeight="1" x14ac:dyDescent="0.25">
      <c r="A459" s="56"/>
      <c r="B459" s="57"/>
      <c r="C459" s="56"/>
      <c r="D459" s="58"/>
      <c r="E459" s="56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60"/>
      <c r="Y459" s="60"/>
      <c r="Z459" s="60"/>
      <c r="AA459" s="60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6"/>
      <c r="AO459" s="56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</row>
    <row r="460" spans="1:51" customFormat="1" ht="31.15" customHeight="1" x14ac:dyDescent="0.25">
      <c r="A460" s="51"/>
      <c r="B460" s="52"/>
      <c r="C460" s="51"/>
      <c r="D460" s="53"/>
      <c r="E460" s="51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5"/>
      <c r="Y460" s="55"/>
      <c r="Z460" s="55"/>
      <c r="AA460" s="55"/>
      <c r="AB460" s="54"/>
      <c r="AC460" s="54"/>
      <c r="AD460" s="54"/>
      <c r="AE460" s="54"/>
      <c r="AF460" s="54"/>
      <c r="AG460" s="54"/>
      <c r="AH460" s="54"/>
      <c r="AI460" s="54"/>
      <c r="AJ460" s="54"/>
      <c r="AK460" s="54"/>
      <c r="AL460" s="54"/>
      <c r="AM460" s="54"/>
      <c r="AN460" s="51"/>
      <c r="AO460" s="51"/>
      <c r="AP460" s="54"/>
      <c r="AQ460" s="54"/>
      <c r="AR460" s="54"/>
      <c r="AS460" s="54"/>
      <c r="AT460" s="54"/>
      <c r="AU460" s="54"/>
      <c r="AV460" s="54"/>
      <c r="AW460" s="54"/>
      <c r="AX460" s="54"/>
      <c r="AY460" s="54"/>
    </row>
    <row r="461" spans="1:51" customFormat="1" ht="31.15" customHeight="1" x14ac:dyDescent="0.25">
      <c r="A461" s="56"/>
      <c r="B461" s="57"/>
      <c r="C461" s="56"/>
      <c r="D461" s="58"/>
      <c r="E461" s="56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60"/>
      <c r="Y461" s="60"/>
      <c r="Z461" s="60"/>
      <c r="AA461" s="60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6"/>
      <c r="AO461" s="56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</row>
    <row r="462" spans="1:51" customFormat="1" ht="45.6" customHeight="1" x14ac:dyDescent="0.25">
      <c r="A462" s="51"/>
      <c r="B462" s="52"/>
      <c r="C462" s="51"/>
      <c r="D462" s="53"/>
      <c r="E462" s="51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5"/>
      <c r="Y462" s="55"/>
      <c r="Z462" s="55"/>
      <c r="AA462" s="55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1"/>
      <c r="AO462" s="51"/>
      <c r="AP462" s="54"/>
      <c r="AQ462" s="54"/>
      <c r="AR462" s="54"/>
      <c r="AS462" s="54"/>
      <c r="AT462" s="54"/>
      <c r="AU462" s="54"/>
      <c r="AV462" s="54"/>
      <c r="AW462" s="54"/>
      <c r="AX462" s="54"/>
      <c r="AY462" s="54"/>
    </row>
    <row r="463" spans="1:51" customFormat="1" ht="18" customHeight="1" x14ac:dyDescent="0.25">
      <c r="A463" s="56"/>
      <c r="B463" s="57"/>
      <c r="C463" s="56"/>
      <c r="D463" s="58"/>
      <c r="E463" s="56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60"/>
      <c r="Y463" s="60"/>
      <c r="Z463" s="60"/>
      <c r="AA463" s="60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6"/>
      <c r="AO463" s="56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</row>
    <row r="464" spans="1:51" customFormat="1" ht="18" customHeight="1" x14ac:dyDescent="0.25">
      <c r="A464" s="51"/>
      <c r="B464" s="52"/>
      <c r="C464" s="51"/>
      <c r="D464" s="53"/>
      <c r="E464" s="51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5"/>
      <c r="Y464" s="55"/>
      <c r="Z464" s="55"/>
      <c r="AA464" s="55"/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/>
      <c r="AN464" s="51"/>
      <c r="AO464" s="51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</row>
    <row r="465" spans="1:51" customFormat="1" ht="18" customHeight="1" x14ac:dyDescent="0.25">
      <c r="A465" s="56"/>
      <c r="B465" s="57"/>
      <c r="C465" s="56"/>
      <c r="D465" s="58"/>
      <c r="E465" s="56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60"/>
      <c r="Y465" s="60"/>
      <c r="Z465" s="60"/>
      <c r="AA465" s="60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6"/>
      <c r="AO465" s="56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</row>
    <row r="466" spans="1:51" customFormat="1" ht="86.45" customHeight="1" x14ac:dyDescent="0.25">
      <c r="A466" s="51"/>
      <c r="B466" s="52"/>
      <c r="C466" s="51"/>
      <c r="D466" s="53"/>
      <c r="E466" s="51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5"/>
      <c r="Y466" s="55"/>
      <c r="Z466" s="55"/>
      <c r="AA466" s="55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1"/>
      <c r="AO466" s="51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</row>
    <row r="467" spans="1:51" customFormat="1" ht="45.6" customHeight="1" x14ac:dyDescent="0.25">
      <c r="A467" s="56"/>
      <c r="B467" s="57"/>
      <c r="C467" s="56"/>
      <c r="D467" s="58"/>
      <c r="E467" s="56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60"/>
      <c r="Y467" s="60"/>
      <c r="Z467" s="60"/>
      <c r="AA467" s="60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6"/>
      <c r="AO467" s="56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</row>
    <row r="468" spans="1:51" customFormat="1" ht="45.6" customHeight="1" x14ac:dyDescent="0.25">
      <c r="A468" s="51"/>
      <c r="B468" s="52"/>
      <c r="C468" s="51"/>
      <c r="D468" s="53"/>
      <c r="E468" s="51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5"/>
      <c r="Y468" s="55"/>
      <c r="Z468" s="55"/>
      <c r="AA468" s="55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1"/>
      <c r="AO468" s="51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</row>
    <row r="469" spans="1:51" customFormat="1" ht="45.6" customHeight="1" x14ac:dyDescent="0.25">
      <c r="A469" s="56"/>
      <c r="B469" s="57"/>
      <c r="C469" s="56"/>
      <c r="D469" s="58"/>
      <c r="E469" s="56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60"/>
      <c r="Y469" s="60"/>
      <c r="Z469" s="60"/>
      <c r="AA469" s="60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6"/>
      <c r="AO469" s="56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</row>
    <row r="470" spans="1:51" customFormat="1" ht="18" customHeight="1" x14ac:dyDescent="0.25">
      <c r="A470" s="51"/>
      <c r="B470" s="52"/>
      <c r="C470" s="51"/>
      <c r="D470" s="53"/>
      <c r="E470" s="51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5"/>
      <c r="Y470" s="55"/>
      <c r="Z470" s="55"/>
      <c r="AA470" s="55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1"/>
      <c r="AO470" s="51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</row>
    <row r="471" spans="1:51" customFormat="1" ht="31.15" customHeight="1" x14ac:dyDescent="0.25">
      <c r="A471" s="56"/>
      <c r="B471" s="57"/>
      <c r="C471" s="56"/>
      <c r="D471" s="58"/>
      <c r="E471" s="56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60"/>
      <c r="Y471" s="60"/>
      <c r="Z471" s="60"/>
      <c r="AA471" s="60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6"/>
      <c r="AO471" s="56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</row>
    <row r="472" spans="1:51" customFormat="1" ht="31.15" customHeight="1" x14ac:dyDescent="0.25">
      <c r="A472" s="51"/>
      <c r="B472" s="52"/>
      <c r="C472" s="51"/>
      <c r="D472" s="53"/>
      <c r="E472" s="51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5"/>
      <c r="Y472" s="55"/>
      <c r="Z472" s="55"/>
      <c r="AA472" s="55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1"/>
      <c r="AO472" s="51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</row>
    <row r="473" spans="1:51" customFormat="1" ht="18" customHeight="1" x14ac:dyDescent="0.25">
      <c r="A473" s="56"/>
      <c r="B473" s="57"/>
      <c r="C473" s="56"/>
      <c r="D473" s="58"/>
      <c r="E473" s="56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60"/>
      <c r="Y473" s="60"/>
      <c r="Z473" s="60"/>
      <c r="AA473" s="60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6"/>
      <c r="AO473" s="56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</row>
    <row r="474" spans="1:51" customFormat="1" ht="31.15" customHeight="1" x14ac:dyDescent="0.25">
      <c r="A474" s="51"/>
      <c r="B474" s="52"/>
      <c r="C474" s="51"/>
      <c r="D474" s="53"/>
      <c r="E474" s="51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5"/>
      <c r="Y474" s="55"/>
      <c r="Z474" s="55"/>
      <c r="AA474" s="55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1"/>
      <c r="AO474" s="51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</row>
    <row r="475" spans="1:51" customFormat="1" ht="31.15" customHeight="1" x14ac:dyDescent="0.25">
      <c r="A475" s="56"/>
      <c r="B475" s="57"/>
      <c r="C475" s="56"/>
      <c r="D475" s="58"/>
      <c r="E475" s="56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60"/>
      <c r="Y475" s="60"/>
      <c r="Z475" s="60"/>
      <c r="AA475" s="60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6"/>
      <c r="AO475" s="56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</row>
    <row r="476" spans="1:51" customFormat="1" ht="31.15" customHeight="1" x14ac:dyDescent="0.25">
      <c r="A476" s="51"/>
      <c r="B476" s="52"/>
      <c r="C476" s="51"/>
      <c r="D476" s="53"/>
      <c r="E476" s="51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5"/>
      <c r="Y476" s="55"/>
      <c r="Z476" s="55"/>
      <c r="AA476" s="55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54"/>
      <c r="AN476" s="51"/>
      <c r="AO476" s="51"/>
      <c r="AP476" s="54"/>
      <c r="AQ476" s="54"/>
      <c r="AR476" s="54"/>
      <c r="AS476" s="54"/>
      <c r="AT476" s="54"/>
      <c r="AU476" s="54"/>
      <c r="AV476" s="54"/>
      <c r="AW476" s="54"/>
      <c r="AX476" s="54"/>
      <c r="AY476" s="62"/>
    </row>
    <row r="477" spans="1:51" customFormat="1" ht="18" customHeight="1" x14ac:dyDescent="0.25">
      <c r="A477" s="56"/>
      <c r="B477" s="57"/>
      <c r="C477" s="56"/>
      <c r="D477" s="58"/>
      <c r="E477" s="56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60"/>
      <c r="Y477" s="60"/>
      <c r="Z477" s="60"/>
      <c r="AA477" s="60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6"/>
      <c r="AO477" s="56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</row>
    <row r="478" spans="1:51" customFormat="1" ht="45.6" customHeight="1" x14ac:dyDescent="0.25">
      <c r="A478" s="51"/>
      <c r="B478" s="52"/>
      <c r="C478" s="51"/>
      <c r="D478" s="53"/>
      <c r="E478" s="51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5"/>
      <c r="Y478" s="55"/>
      <c r="Z478" s="55"/>
      <c r="AA478" s="55"/>
      <c r="AB478" s="54"/>
      <c r="AC478" s="54"/>
      <c r="AD478" s="54"/>
      <c r="AE478" s="54"/>
      <c r="AF478" s="54"/>
      <c r="AG478" s="54"/>
      <c r="AH478" s="54"/>
      <c r="AI478" s="54"/>
      <c r="AJ478" s="54"/>
      <c r="AK478" s="54"/>
      <c r="AL478" s="54"/>
      <c r="AM478" s="54"/>
      <c r="AN478" s="51"/>
      <c r="AO478" s="51"/>
      <c r="AP478" s="54"/>
      <c r="AQ478" s="54"/>
      <c r="AR478" s="54"/>
      <c r="AS478" s="54"/>
      <c r="AT478" s="54"/>
      <c r="AU478" s="54"/>
      <c r="AV478" s="54"/>
      <c r="AW478" s="54"/>
      <c r="AX478" s="54"/>
      <c r="AY478" s="54"/>
    </row>
    <row r="479" spans="1:51" customFormat="1" ht="18" customHeight="1" x14ac:dyDescent="0.25">
      <c r="A479" s="56"/>
      <c r="B479" s="57"/>
      <c r="C479" s="56"/>
      <c r="D479" s="58"/>
      <c r="E479" s="56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60"/>
      <c r="Y479" s="60"/>
      <c r="Z479" s="60"/>
      <c r="AA479" s="60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6"/>
      <c r="AO479" s="56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</row>
    <row r="480" spans="1:51" customFormat="1" ht="31.15" customHeight="1" x14ac:dyDescent="0.25">
      <c r="A480" s="51"/>
      <c r="B480" s="52"/>
      <c r="C480" s="51"/>
      <c r="D480" s="53"/>
      <c r="E480" s="51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5"/>
      <c r="Y480" s="55"/>
      <c r="Z480" s="55"/>
      <c r="AA480" s="55"/>
      <c r="AB480" s="54"/>
      <c r="AC480" s="54"/>
      <c r="AD480" s="54"/>
      <c r="AE480" s="54"/>
      <c r="AF480" s="54"/>
      <c r="AG480" s="54"/>
      <c r="AH480" s="54"/>
      <c r="AI480" s="54"/>
      <c r="AJ480" s="54"/>
      <c r="AK480" s="54"/>
      <c r="AL480" s="54"/>
      <c r="AM480" s="54"/>
      <c r="AN480" s="51"/>
      <c r="AO480" s="51"/>
      <c r="AP480" s="54"/>
      <c r="AQ480" s="54"/>
      <c r="AR480" s="54"/>
      <c r="AS480" s="54"/>
      <c r="AT480" s="54"/>
      <c r="AU480" s="54"/>
      <c r="AV480" s="54"/>
      <c r="AW480" s="54"/>
      <c r="AX480" s="54"/>
      <c r="AY480" s="62"/>
    </row>
    <row r="481" spans="1:51" customFormat="1" ht="31.15" customHeight="1" x14ac:dyDescent="0.25">
      <c r="A481" s="56"/>
      <c r="B481" s="57"/>
      <c r="C481" s="56"/>
      <c r="D481" s="58"/>
      <c r="E481" s="56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60"/>
      <c r="Y481" s="60"/>
      <c r="Z481" s="60"/>
      <c r="AA481" s="60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6"/>
      <c r="AO481" s="56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</row>
    <row r="482" spans="1:51" customFormat="1" ht="31.15" customHeight="1" x14ac:dyDescent="0.25">
      <c r="A482" s="51"/>
      <c r="B482" s="52"/>
      <c r="C482" s="51"/>
      <c r="D482" s="53"/>
      <c r="E482" s="51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5"/>
      <c r="Y482" s="55"/>
      <c r="Z482" s="55"/>
      <c r="AA482" s="55"/>
      <c r="AB482" s="54"/>
      <c r="AC482" s="54"/>
      <c r="AD482" s="54"/>
      <c r="AE482" s="54"/>
      <c r="AF482" s="54"/>
      <c r="AG482" s="54"/>
      <c r="AH482" s="54"/>
      <c r="AI482" s="54"/>
      <c r="AJ482" s="54"/>
      <c r="AK482" s="54"/>
      <c r="AL482" s="54"/>
      <c r="AM482" s="54"/>
      <c r="AN482" s="51"/>
      <c r="AO482" s="51"/>
      <c r="AP482" s="54"/>
      <c r="AQ482" s="54"/>
      <c r="AR482" s="54"/>
      <c r="AS482" s="54"/>
      <c r="AT482" s="54"/>
      <c r="AU482" s="54"/>
      <c r="AV482" s="54"/>
      <c r="AW482" s="54"/>
      <c r="AX482" s="54"/>
      <c r="AY482" s="54"/>
    </row>
    <row r="483" spans="1:51" customFormat="1" ht="45.6" customHeight="1" x14ac:dyDescent="0.25">
      <c r="A483" s="56"/>
      <c r="B483" s="57"/>
      <c r="C483" s="56"/>
      <c r="D483" s="58"/>
      <c r="E483" s="56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60"/>
      <c r="Y483" s="60"/>
      <c r="Z483" s="60"/>
      <c r="AA483" s="60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6"/>
      <c r="AO483" s="56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</row>
    <row r="484" spans="1:51" customFormat="1" ht="45.6" customHeight="1" x14ac:dyDescent="0.25">
      <c r="A484" s="51"/>
      <c r="B484" s="52"/>
      <c r="C484" s="51"/>
      <c r="D484" s="53"/>
      <c r="E484" s="51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5"/>
      <c r="Y484" s="55"/>
      <c r="Z484" s="55"/>
      <c r="AA484" s="55"/>
      <c r="AB484" s="54"/>
      <c r="AC484" s="54"/>
      <c r="AD484" s="54"/>
      <c r="AE484" s="54"/>
      <c r="AF484" s="54"/>
      <c r="AG484" s="54"/>
      <c r="AH484" s="54"/>
      <c r="AI484" s="54"/>
      <c r="AJ484" s="54"/>
      <c r="AK484" s="54"/>
      <c r="AL484" s="54"/>
      <c r="AM484" s="54"/>
      <c r="AN484" s="51"/>
      <c r="AO484" s="51"/>
      <c r="AP484" s="54"/>
      <c r="AQ484" s="54"/>
      <c r="AR484" s="54"/>
      <c r="AS484" s="54"/>
      <c r="AT484" s="54"/>
      <c r="AU484" s="54"/>
      <c r="AV484" s="54"/>
      <c r="AW484" s="54"/>
      <c r="AX484" s="54"/>
      <c r="AY484" s="54"/>
    </row>
    <row r="485" spans="1:51" customFormat="1" ht="45.6" customHeight="1" x14ac:dyDescent="0.25">
      <c r="A485" s="56"/>
      <c r="B485" s="57"/>
      <c r="C485" s="56"/>
      <c r="D485" s="58"/>
      <c r="E485" s="56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60"/>
      <c r="Y485" s="60"/>
      <c r="Z485" s="60"/>
      <c r="AA485" s="60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6"/>
      <c r="AO485" s="56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</row>
    <row r="486" spans="1:51" customFormat="1" ht="45.6" customHeight="1" x14ac:dyDescent="0.25">
      <c r="A486" s="51"/>
      <c r="B486" s="52"/>
      <c r="C486" s="51"/>
      <c r="D486" s="53"/>
      <c r="E486" s="51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5"/>
      <c r="Y486" s="55"/>
      <c r="Z486" s="55"/>
      <c r="AA486" s="55"/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  <c r="AL486" s="54"/>
      <c r="AM486" s="54"/>
      <c r="AN486" s="51"/>
      <c r="AO486" s="51"/>
      <c r="AP486" s="54"/>
      <c r="AQ486" s="54"/>
      <c r="AR486" s="54"/>
      <c r="AS486" s="54"/>
      <c r="AT486" s="54"/>
      <c r="AU486" s="54"/>
      <c r="AV486" s="54"/>
      <c r="AW486" s="54"/>
      <c r="AX486" s="54"/>
      <c r="AY486" s="54"/>
    </row>
    <row r="487" spans="1:51" customFormat="1" ht="31.15" customHeight="1" x14ac:dyDescent="0.25">
      <c r="A487" s="56"/>
      <c r="B487" s="57"/>
      <c r="C487" s="56"/>
      <c r="D487" s="58"/>
      <c r="E487" s="56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60"/>
      <c r="Y487" s="60"/>
      <c r="Z487" s="60"/>
      <c r="AA487" s="60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6"/>
      <c r="AO487" s="56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</row>
    <row r="488" spans="1:51" customFormat="1" ht="45.6" customHeight="1" x14ac:dyDescent="0.25">
      <c r="A488" s="51"/>
      <c r="B488" s="52"/>
      <c r="C488" s="51"/>
      <c r="D488" s="53"/>
      <c r="E488" s="51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5"/>
      <c r="Y488" s="55"/>
      <c r="Z488" s="55"/>
      <c r="AA488" s="55"/>
      <c r="AB488" s="54"/>
      <c r="AC488" s="54"/>
      <c r="AD488" s="54"/>
      <c r="AE488" s="54"/>
      <c r="AF488" s="54"/>
      <c r="AG488" s="54"/>
      <c r="AH488" s="54"/>
      <c r="AI488" s="54"/>
      <c r="AJ488" s="54"/>
      <c r="AK488" s="54"/>
      <c r="AL488" s="54"/>
      <c r="AM488" s="54"/>
      <c r="AN488" s="51"/>
      <c r="AO488" s="51"/>
      <c r="AP488" s="54"/>
      <c r="AQ488" s="54"/>
      <c r="AR488" s="54"/>
      <c r="AS488" s="54"/>
      <c r="AT488" s="54"/>
      <c r="AU488" s="54"/>
      <c r="AV488" s="54"/>
      <c r="AW488" s="54"/>
      <c r="AX488" s="54"/>
      <c r="AY488" s="54"/>
    </row>
    <row r="489" spans="1:51" customFormat="1" ht="58.9" customHeight="1" x14ac:dyDescent="0.25">
      <c r="A489" s="56"/>
      <c r="B489" s="57"/>
      <c r="C489" s="56"/>
      <c r="D489" s="58"/>
      <c r="E489" s="56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60"/>
      <c r="Y489" s="60"/>
      <c r="Z489" s="60"/>
      <c r="AA489" s="60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6"/>
      <c r="AO489" s="56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</row>
    <row r="490" spans="1:51" customFormat="1" ht="45.6" customHeight="1" x14ac:dyDescent="0.25">
      <c r="A490" s="51"/>
      <c r="B490" s="52"/>
      <c r="C490" s="51"/>
      <c r="D490" s="53"/>
      <c r="E490" s="51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5"/>
      <c r="Y490" s="55"/>
      <c r="Z490" s="55"/>
      <c r="AA490" s="55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  <c r="AL490" s="54"/>
      <c r="AM490" s="54"/>
      <c r="AN490" s="51"/>
      <c r="AO490" s="51"/>
      <c r="AP490" s="54"/>
      <c r="AQ490" s="54"/>
      <c r="AR490" s="54"/>
      <c r="AS490" s="54"/>
      <c r="AT490" s="54"/>
      <c r="AU490" s="54"/>
      <c r="AV490" s="54"/>
      <c r="AW490" s="54"/>
      <c r="AX490" s="54"/>
      <c r="AY490" s="54"/>
    </row>
    <row r="491" spans="1:51" customFormat="1" ht="45.6" customHeight="1" x14ac:dyDescent="0.25">
      <c r="A491" s="56"/>
      <c r="B491" s="57"/>
      <c r="C491" s="56"/>
      <c r="D491" s="58"/>
      <c r="E491" s="56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60"/>
      <c r="Y491" s="60"/>
      <c r="Z491" s="60"/>
      <c r="AA491" s="60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6"/>
      <c r="AO491" s="56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</row>
    <row r="492" spans="1:51" customFormat="1" ht="45.6" customHeight="1" x14ac:dyDescent="0.25">
      <c r="A492" s="51"/>
      <c r="B492" s="52"/>
      <c r="C492" s="51"/>
      <c r="D492" s="53"/>
      <c r="E492" s="51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5"/>
      <c r="Y492" s="55"/>
      <c r="Z492" s="55"/>
      <c r="AA492" s="55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  <c r="AL492" s="54"/>
      <c r="AM492" s="54"/>
      <c r="AN492" s="51"/>
      <c r="AO492" s="51"/>
      <c r="AP492" s="54"/>
      <c r="AQ492" s="54"/>
      <c r="AR492" s="54"/>
      <c r="AS492" s="54"/>
      <c r="AT492" s="54"/>
      <c r="AU492" s="54"/>
      <c r="AV492" s="54"/>
      <c r="AW492" s="54"/>
      <c r="AX492" s="54"/>
      <c r="AY492" s="54"/>
    </row>
    <row r="493" spans="1:51" customFormat="1" ht="45.6" customHeight="1" x14ac:dyDescent="0.25">
      <c r="A493" s="56"/>
      <c r="B493" s="57"/>
      <c r="C493" s="56"/>
      <c r="D493" s="58"/>
      <c r="E493" s="56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60"/>
      <c r="Y493" s="60"/>
      <c r="Z493" s="60"/>
      <c r="AA493" s="60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6"/>
      <c r="AO493" s="56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</row>
    <row r="494" spans="1:51" customFormat="1" ht="31.15" customHeight="1" x14ac:dyDescent="0.25">
      <c r="A494" s="51"/>
      <c r="B494" s="52"/>
      <c r="C494" s="51"/>
      <c r="D494" s="53"/>
      <c r="E494" s="51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5"/>
      <c r="Y494" s="55"/>
      <c r="Z494" s="55"/>
      <c r="AA494" s="55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1"/>
      <c r="AO494" s="51"/>
      <c r="AP494" s="54"/>
      <c r="AQ494" s="54"/>
      <c r="AR494" s="54"/>
      <c r="AS494" s="54"/>
      <c r="AT494" s="54"/>
      <c r="AU494" s="54"/>
      <c r="AV494" s="54"/>
      <c r="AW494" s="54"/>
      <c r="AX494" s="54"/>
      <c r="AY494" s="54"/>
    </row>
    <row r="495" spans="1:51" customFormat="1" ht="58.9" customHeight="1" x14ac:dyDescent="0.25">
      <c r="A495" s="56"/>
      <c r="B495" s="57"/>
      <c r="C495" s="56"/>
      <c r="D495" s="58"/>
      <c r="E495" s="56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60"/>
      <c r="Y495" s="60"/>
      <c r="Z495" s="60"/>
      <c r="AA495" s="60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6"/>
      <c r="AO495" s="56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</row>
    <row r="496" spans="1:51" customFormat="1" ht="31.15" customHeight="1" x14ac:dyDescent="0.25">
      <c r="A496" s="51"/>
      <c r="B496" s="52"/>
      <c r="C496" s="51"/>
      <c r="D496" s="53"/>
      <c r="E496" s="51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5"/>
      <c r="Y496" s="55"/>
      <c r="Z496" s="55"/>
      <c r="AA496" s="55"/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1"/>
      <c r="AO496" s="51"/>
      <c r="AP496" s="54"/>
      <c r="AQ496" s="54"/>
      <c r="AR496" s="54"/>
      <c r="AS496" s="54"/>
      <c r="AT496" s="54"/>
      <c r="AU496" s="54"/>
      <c r="AV496" s="54"/>
      <c r="AW496" s="54"/>
      <c r="AX496" s="54"/>
      <c r="AY496" s="54"/>
    </row>
    <row r="497" spans="1:51" customFormat="1" ht="18" customHeight="1" x14ac:dyDescent="0.25">
      <c r="A497" s="56"/>
      <c r="B497" s="57"/>
      <c r="C497" s="56"/>
      <c r="D497" s="58"/>
      <c r="E497" s="56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60"/>
      <c r="Y497" s="60"/>
      <c r="Z497" s="60"/>
      <c r="AA497" s="60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6"/>
      <c r="AO497" s="56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</row>
    <row r="498" spans="1:51" customFormat="1" ht="45.6" customHeight="1" x14ac:dyDescent="0.25">
      <c r="A498" s="51"/>
      <c r="B498" s="52"/>
      <c r="C498" s="51"/>
      <c r="D498" s="53"/>
      <c r="E498" s="51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5"/>
      <c r="Y498" s="55"/>
      <c r="Z498" s="55"/>
      <c r="AA498" s="55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  <c r="AL498" s="54"/>
      <c r="AM498" s="54"/>
      <c r="AN498" s="51"/>
      <c r="AO498" s="51"/>
      <c r="AP498" s="54"/>
      <c r="AQ498" s="54"/>
      <c r="AR498" s="54"/>
      <c r="AS498" s="54"/>
      <c r="AT498" s="54"/>
      <c r="AU498" s="54"/>
      <c r="AV498" s="54"/>
      <c r="AW498" s="54"/>
      <c r="AX498" s="54"/>
      <c r="AY498" s="54"/>
    </row>
    <row r="499" spans="1:51" customFormat="1" ht="31.15" customHeight="1" x14ac:dyDescent="0.25">
      <c r="A499" s="56"/>
      <c r="B499" s="57"/>
      <c r="C499" s="56"/>
      <c r="D499" s="58"/>
      <c r="E499" s="56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60"/>
      <c r="Y499" s="60"/>
      <c r="Z499" s="60"/>
      <c r="AA499" s="60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6"/>
      <c r="AO499" s="56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</row>
    <row r="501" spans="1:51" s="45" customFormat="1" ht="14.2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P502"/>
  <sheetViews>
    <sheetView workbookViewId="0"/>
  </sheetViews>
  <sheetFormatPr defaultColWidth="8.7109375" defaultRowHeight="12.75" x14ac:dyDescent="0.2"/>
  <cols>
    <col min="1" max="1" width="13.28515625" style="9" bestFit="1" customWidth="1"/>
    <col min="2" max="2" width="31.5703125" style="9" customWidth="1"/>
    <col min="3" max="3" width="13.7109375" style="9" bestFit="1" customWidth="1"/>
    <col min="4" max="4" width="11.85546875" style="9" bestFit="1" customWidth="1"/>
    <col min="5" max="5" width="14" style="9" bestFit="1" customWidth="1"/>
    <col min="6" max="6" width="19.42578125" style="9" customWidth="1"/>
    <col min="7" max="7" width="23.42578125" style="9" customWidth="1"/>
    <col min="8" max="8" width="13.28515625" style="9" customWidth="1"/>
    <col min="9" max="9" width="15.7109375" style="9" bestFit="1" customWidth="1"/>
    <col min="10" max="10" width="7.5703125" style="9" bestFit="1" customWidth="1"/>
    <col min="11" max="11" width="4.5703125" style="9" bestFit="1" customWidth="1"/>
    <col min="12" max="12" width="15.7109375" style="9" bestFit="1" customWidth="1"/>
    <col min="13" max="13" width="7.5703125" style="9" bestFit="1" customWidth="1"/>
    <col min="14" max="14" width="4.5703125" style="9" bestFit="1" customWidth="1"/>
    <col min="15" max="15" width="15.7109375" style="9" bestFit="1" customWidth="1"/>
    <col min="16" max="16" width="6.42578125" style="9" bestFit="1" customWidth="1"/>
    <col min="17" max="17" width="4.5703125" style="9" bestFit="1" customWidth="1"/>
    <col min="18" max="18" width="14" style="9" bestFit="1" customWidth="1"/>
    <col min="19" max="19" width="9.140625" style="9" bestFit="1" customWidth="1"/>
    <col min="20" max="20" width="11" style="9" customWidth="1"/>
    <col min="21" max="21" width="14" style="9" bestFit="1" customWidth="1"/>
    <col min="22" max="22" width="9.140625" style="9" bestFit="1" customWidth="1"/>
    <col min="23" max="23" width="11" style="9" customWidth="1"/>
    <col min="24" max="24" width="14" style="9" bestFit="1" customWidth="1"/>
    <col min="25" max="25" width="6.7109375" style="9" bestFit="1" customWidth="1"/>
    <col min="26" max="26" width="4.5703125" style="9" bestFit="1" customWidth="1"/>
    <col min="27" max="27" width="14" style="9" bestFit="1" customWidth="1"/>
    <col min="28" max="28" width="6.7109375" style="9" bestFit="1" customWidth="1"/>
    <col min="29" max="29" width="4.5703125" style="9" bestFit="1" customWidth="1"/>
    <col min="30" max="30" width="14" style="9" bestFit="1" customWidth="1"/>
    <col min="31" max="31" width="6.42578125" style="9" bestFit="1" customWidth="1"/>
    <col min="32" max="32" width="4.5703125" style="9" bestFit="1" customWidth="1"/>
    <col min="33" max="33" width="12.7109375" style="9" bestFit="1" customWidth="1"/>
    <col min="34" max="34" width="8.42578125" style="9" customWidth="1"/>
    <col min="35" max="35" width="4.5703125" style="9" bestFit="1" customWidth="1"/>
    <col min="36" max="36" width="14" style="9" bestFit="1" customWidth="1"/>
    <col min="37" max="37" width="8.28515625" style="9" bestFit="1" customWidth="1"/>
    <col min="38" max="38" width="4.5703125" style="9" bestFit="1" customWidth="1"/>
    <col min="39" max="39" width="12.7109375" style="9" bestFit="1" customWidth="1"/>
    <col min="40" max="40" width="6.7109375" style="9" bestFit="1" customWidth="1"/>
    <col min="41" max="41" width="4.5703125" style="9" bestFit="1" customWidth="1"/>
    <col min="42" max="42" width="12.7109375" style="9" bestFit="1" customWidth="1"/>
    <col min="43" max="43" width="8.5703125" style="9" customWidth="1"/>
    <col min="44" max="44" width="7.5703125" style="9" customWidth="1"/>
    <col min="45" max="45" width="12.7109375" style="9" bestFit="1" customWidth="1"/>
    <col min="46" max="46" width="6.7109375" style="9" bestFit="1" customWidth="1"/>
    <col min="47" max="47" width="4.5703125" style="9" bestFit="1" customWidth="1"/>
    <col min="48" max="48" width="11.5703125" style="9" bestFit="1" customWidth="1"/>
    <col min="49" max="49" width="8.28515625" style="9" bestFit="1" customWidth="1"/>
    <col min="50" max="50" width="4.5703125" style="9" bestFit="1" customWidth="1"/>
    <col min="51" max="51" width="9.85546875" style="9" bestFit="1" customWidth="1"/>
    <col min="52" max="52" width="6.7109375" style="9" bestFit="1" customWidth="1"/>
    <col min="53" max="53" width="4.5703125" style="9" bestFit="1" customWidth="1"/>
    <col min="54" max="54" width="9.85546875" style="9" bestFit="1" customWidth="1"/>
    <col min="55" max="55" width="6.7109375" style="9" bestFit="1" customWidth="1"/>
    <col min="56" max="56" width="4.5703125" style="9" bestFit="1" customWidth="1"/>
    <col min="57" max="57" width="11.5703125" style="9" bestFit="1" customWidth="1"/>
    <col min="58" max="58" width="7.7109375" style="9" bestFit="1" customWidth="1"/>
    <col min="59" max="59" width="4.5703125" style="9" bestFit="1" customWidth="1"/>
    <col min="60" max="60" width="11.5703125" style="9" bestFit="1" customWidth="1"/>
    <col min="61" max="61" width="8.28515625" style="9" bestFit="1" customWidth="1"/>
    <col min="62" max="62" width="5.140625" style="9" customWidth="1"/>
    <col min="63" max="63" width="13.28515625" style="9" bestFit="1" customWidth="1"/>
    <col min="64" max="65" width="10.5703125" style="9" bestFit="1" customWidth="1"/>
    <col min="66" max="66" width="12.42578125" style="9" bestFit="1" customWidth="1"/>
    <col min="67" max="67" width="10" style="9" bestFit="1" customWidth="1"/>
    <col min="68" max="68" width="7.28515625" style="9" bestFit="1" customWidth="1"/>
    <col min="69" max="69" width="8.28515625" style="9" bestFit="1" customWidth="1"/>
    <col min="70" max="70" width="10.85546875" style="9" bestFit="1" customWidth="1"/>
    <col min="71" max="71" width="13.42578125" style="9" bestFit="1" customWidth="1"/>
    <col min="72" max="72" width="12.7109375" style="9" bestFit="1" customWidth="1"/>
    <col min="73" max="73" width="13.5703125" style="9" bestFit="1" customWidth="1"/>
    <col min="74" max="74" width="14.5703125" style="9" bestFit="1" customWidth="1"/>
    <col min="75" max="75" width="15" style="9" bestFit="1" customWidth="1"/>
    <col min="76" max="76" width="10.5703125" style="9" bestFit="1" customWidth="1"/>
    <col min="77" max="77" width="12.5703125" style="9" bestFit="1" customWidth="1"/>
    <col min="78" max="78" width="12.28515625" style="9" customWidth="1"/>
    <col min="79" max="79" width="9.42578125" style="9" customWidth="1"/>
    <col min="80" max="80" width="12.7109375" style="9" customWidth="1"/>
    <col min="81" max="81" width="7.28515625" style="31" customWidth="1"/>
    <col min="82" max="82" width="12.7109375" style="9" customWidth="1"/>
    <col min="83" max="83" width="7.28515625" style="31" customWidth="1"/>
    <col min="84" max="84" width="12.7109375" style="9" customWidth="1"/>
    <col min="85" max="85" width="7.28515625" style="31" customWidth="1"/>
    <col min="86" max="86" width="12.7109375" style="9" hidden="1" customWidth="1"/>
    <col min="87" max="87" width="7.28515625" style="31" hidden="1" customWidth="1"/>
    <col min="88" max="88" width="12.7109375" style="9" hidden="1" customWidth="1"/>
    <col min="89" max="89" width="7.28515625" style="31" hidden="1" customWidth="1"/>
    <col min="90" max="90" width="12.7109375" style="9" customWidth="1"/>
    <col min="91" max="91" width="7.28515625" style="31" customWidth="1"/>
    <col min="92" max="92" width="12.7109375" style="9" hidden="1" customWidth="1"/>
    <col min="93" max="93" width="7.28515625" style="31" hidden="1" customWidth="1"/>
    <col min="94" max="94" width="12.7109375" style="9" hidden="1" customWidth="1"/>
    <col min="95" max="95" width="7.28515625" style="31" hidden="1" customWidth="1"/>
    <col min="96" max="96" width="12.7109375" style="9" hidden="1" customWidth="1"/>
    <col min="97" max="97" width="7.28515625" style="31" hidden="1" customWidth="1"/>
    <col min="98" max="98" width="12.7109375" style="9" hidden="1" customWidth="1"/>
    <col min="99" max="99" width="7.28515625" style="31" customWidth="1"/>
    <col min="100" max="100" width="12.7109375" style="9" customWidth="1"/>
    <col min="101" max="101" width="7.28515625" style="31" customWidth="1"/>
    <col min="102" max="102" width="12.7109375" style="9" customWidth="1"/>
    <col min="103" max="103" width="7.28515625" style="31" customWidth="1"/>
    <col min="104" max="104" width="12.7109375" style="9" customWidth="1"/>
    <col min="105" max="105" width="7.28515625" style="31" customWidth="1"/>
    <col min="106" max="106" width="12.7109375" style="9" customWidth="1"/>
    <col min="107" max="107" width="7.28515625" style="31" customWidth="1"/>
    <col min="108" max="108" width="12.7109375" style="9" customWidth="1"/>
    <col min="109" max="109" width="7.28515625" style="31" customWidth="1"/>
    <col min="110" max="110" width="12.7109375" style="9" customWidth="1"/>
    <col min="111" max="111" width="7.28515625" style="31" customWidth="1"/>
    <col min="112" max="112" width="12.7109375" style="9" customWidth="1"/>
    <col min="113" max="113" width="7.28515625" style="31" customWidth="1"/>
    <col min="114" max="114" width="12.7109375" style="9" customWidth="1"/>
    <col min="115" max="115" width="7.28515625" style="31" customWidth="1"/>
    <col min="116" max="116" width="12.7109375" style="9" customWidth="1"/>
    <col min="117" max="117" width="7.28515625" style="31" customWidth="1"/>
    <col min="118" max="122" width="15.28515625" style="9" customWidth="1"/>
    <col min="123" max="16384" width="8.7109375" style="9"/>
  </cols>
  <sheetData>
    <row r="1" spans="1:120" s="3" customFormat="1" ht="76.5" x14ac:dyDescent="0.25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2" t="s">
        <v>6</v>
      </c>
      <c r="G1" s="2" t="s">
        <v>7</v>
      </c>
      <c r="H1" s="1" t="s">
        <v>8</v>
      </c>
      <c r="I1" s="63" t="s">
        <v>46</v>
      </c>
      <c r="J1" s="63"/>
      <c r="K1" s="63"/>
      <c r="L1" s="63" t="s">
        <v>9</v>
      </c>
      <c r="M1" s="63"/>
      <c r="N1" s="63"/>
      <c r="O1" s="64" t="s">
        <v>10</v>
      </c>
      <c r="P1" s="64"/>
      <c r="Q1" s="64"/>
      <c r="R1" s="63" t="s">
        <v>11</v>
      </c>
      <c r="S1" s="63"/>
      <c r="T1" s="63"/>
      <c r="U1" s="63" t="s">
        <v>12</v>
      </c>
      <c r="V1" s="63"/>
      <c r="W1" s="63"/>
      <c r="X1" s="64" t="s">
        <v>139</v>
      </c>
      <c r="Y1" s="64"/>
      <c r="Z1" s="64"/>
      <c r="AA1" s="64" t="s">
        <v>14</v>
      </c>
      <c r="AB1" s="64"/>
      <c r="AC1" s="64"/>
      <c r="AD1" s="64" t="s">
        <v>15</v>
      </c>
      <c r="AE1" s="64"/>
      <c r="AF1" s="64"/>
      <c r="AG1" s="64" t="s">
        <v>16</v>
      </c>
      <c r="AH1" s="64"/>
      <c r="AI1" s="64"/>
      <c r="AJ1" s="64" t="s">
        <v>17</v>
      </c>
      <c r="AK1" s="64"/>
      <c r="AL1" s="64"/>
      <c r="AM1" s="64" t="s">
        <v>18</v>
      </c>
      <c r="AN1" s="64"/>
      <c r="AO1" s="64"/>
      <c r="AP1" s="64" t="s">
        <v>19</v>
      </c>
      <c r="AQ1" s="64"/>
      <c r="AR1" s="64"/>
      <c r="AS1" s="64" t="s">
        <v>20</v>
      </c>
      <c r="AT1" s="64"/>
      <c r="AU1" s="64"/>
      <c r="AV1" s="64" t="s">
        <v>21</v>
      </c>
      <c r="AW1" s="64"/>
      <c r="AX1" s="64"/>
      <c r="AY1" s="64" t="s">
        <v>22</v>
      </c>
      <c r="AZ1" s="64"/>
      <c r="BA1" s="64"/>
      <c r="BB1" s="63" t="s">
        <v>23</v>
      </c>
      <c r="BC1" s="63"/>
      <c r="BD1" s="63"/>
      <c r="BE1" s="64" t="s">
        <v>24</v>
      </c>
      <c r="BF1" s="64"/>
      <c r="BG1" s="64"/>
      <c r="BH1" s="64" t="s">
        <v>25</v>
      </c>
      <c r="BI1" s="64"/>
      <c r="BJ1" s="64"/>
      <c r="BK1" s="3" t="s">
        <v>26</v>
      </c>
      <c r="BL1" s="3" t="s">
        <v>27</v>
      </c>
      <c r="BM1" s="3" t="s">
        <v>28</v>
      </c>
      <c r="BN1" s="3" t="s">
        <v>29</v>
      </c>
      <c r="BO1" s="3" t="s">
        <v>30</v>
      </c>
      <c r="BP1" s="3" t="s">
        <v>31</v>
      </c>
      <c r="BQ1" s="3" t="s">
        <v>32</v>
      </c>
      <c r="BR1" s="3" t="s">
        <v>33</v>
      </c>
      <c r="BS1" s="3" t="s">
        <v>34</v>
      </c>
      <c r="BT1" s="3" t="s">
        <v>35</v>
      </c>
      <c r="BU1" s="3" t="s">
        <v>36</v>
      </c>
      <c r="BV1" s="3" t="s">
        <v>37</v>
      </c>
      <c r="BW1" s="3" t="s">
        <v>38</v>
      </c>
      <c r="BX1" s="3" t="s">
        <v>39</v>
      </c>
      <c r="BY1" s="3" t="s">
        <v>40</v>
      </c>
      <c r="BZ1" s="3" t="s">
        <v>41</v>
      </c>
      <c r="CA1" s="4" t="s">
        <v>42</v>
      </c>
      <c r="CB1" s="3" t="s">
        <v>233</v>
      </c>
      <c r="CC1" s="35" t="s">
        <v>44</v>
      </c>
      <c r="CD1" s="3" t="s">
        <v>234</v>
      </c>
      <c r="CE1" s="35" t="s">
        <v>44</v>
      </c>
      <c r="CF1" s="3" t="s">
        <v>235</v>
      </c>
      <c r="CG1" s="35" t="s">
        <v>44</v>
      </c>
      <c r="CH1" s="3" t="s">
        <v>236</v>
      </c>
      <c r="CI1" s="35" t="s">
        <v>44</v>
      </c>
      <c r="CJ1" s="3" t="s">
        <v>243</v>
      </c>
      <c r="CK1" s="35" t="s">
        <v>44</v>
      </c>
      <c r="CL1" s="3" t="s">
        <v>237</v>
      </c>
      <c r="CM1" s="35" t="s">
        <v>44</v>
      </c>
      <c r="CN1" s="3" t="s">
        <v>238</v>
      </c>
      <c r="CO1" s="35" t="s">
        <v>44</v>
      </c>
      <c r="CP1" s="3" t="s">
        <v>239</v>
      </c>
      <c r="CQ1" s="35" t="s">
        <v>44</v>
      </c>
      <c r="CR1" s="3" t="s">
        <v>240</v>
      </c>
      <c r="CS1" s="35" t="s">
        <v>44</v>
      </c>
      <c r="CT1" s="3" t="s">
        <v>242</v>
      </c>
      <c r="CU1" s="35" t="s">
        <v>44</v>
      </c>
      <c r="CV1" s="3" t="s">
        <v>241</v>
      </c>
      <c r="CW1" s="35" t="s">
        <v>44</v>
      </c>
      <c r="CX1" s="3" t="s">
        <v>244</v>
      </c>
      <c r="CY1" s="35" t="s">
        <v>44</v>
      </c>
      <c r="CZ1" s="3" t="s">
        <v>245</v>
      </c>
      <c r="DA1" s="35" t="s">
        <v>44</v>
      </c>
      <c r="DB1" s="3" t="s">
        <v>249</v>
      </c>
      <c r="DC1" s="35" t="s">
        <v>44</v>
      </c>
      <c r="DD1" s="3" t="s">
        <v>246</v>
      </c>
      <c r="DE1" s="35" t="s">
        <v>44</v>
      </c>
      <c r="DF1" s="3" t="s">
        <v>247</v>
      </c>
      <c r="DG1" s="35" t="s">
        <v>44</v>
      </c>
      <c r="DH1" s="3" t="s">
        <v>248</v>
      </c>
      <c r="DI1" s="35" t="s">
        <v>44</v>
      </c>
      <c r="DJ1" s="3" t="s">
        <v>250</v>
      </c>
      <c r="DK1" s="35" t="s">
        <v>44</v>
      </c>
      <c r="DL1" s="3" t="s">
        <v>251</v>
      </c>
      <c r="DM1" s="35" t="s">
        <v>44</v>
      </c>
    </row>
    <row r="2" spans="1:120" s="17" customFormat="1" x14ac:dyDescent="0.2">
      <c r="F2" s="18"/>
      <c r="G2" s="18"/>
      <c r="I2" s="19" t="s">
        <v>43</v>
      </c>
      <c r="J2" s="19" t="s">
        <v>44</v>
      </c>
      <c r="K2" s="19" t="s">
        <v>45</v>
      </c>
      <c r="L2" s="19" t="s">
        <v>43</v>
      </c>
      <c r="M2" s="19" t="s">
        <v>44</v>
      </c>
      <c r="N2" s="19" t="s">
        <v>45</v>
      </c>
      <c r="O2" s="19" t="s">
        <v>43</v>
      </c>
      <c r="P2" s="19" t="s">
        <v>44</v>
      </c>
      <c r="Q2" s="19" t="s">
        <v>45</v>
      </c>
      <c r="R2" s="19" t="s">
        <v>43</v>
      </c>
      <c r="S2" s="19" t="s">
        <v>44</v>
      </c>
      <c r="T2" s="19" t="s">
        <v>45</v>
      </c>
      <c r="U2" s="19" t="s">
        <v>43</v>
      </c>
      <c r="V2" s="19" t="s">
        <v>44</v>
      </c>
      <c r="W2" s="19" t="s">
        <v>45</v>
      </c>
      <c r="X2" s="19" t="s">
        <v>43</v>
      </c>
      <c r="Y2" s="19" t="s">
        <v>44</v>
      </c>
      <c r="Z2" s="19" t="s">
        <v>45</v>
      </c>
      <c r="AA2" s="19" t="s">
        <v>43</v>
      </c>
      <c r="AB2" s="19" t="s">
        <v>44</v>
      </c>
      <c r="AC2" s="19" t="s">
        <v>45</v>
      </c>
      <c r="AD2" s="19" t="s">
        <v>43</v>
      </c>
      <c r="AE2" s="19" t="s">
        <v>44</v>
      </c>
      <c r="AF2" s="19" t="s">
        <v>45</v>
      </c>
      <c r="AG2" s="19" t="s">
        <v>43</v>
      </c>
      <c r="AH2" s="19" t="s">
        <v>44</v>
      </c>
      <c r="AI2" s="19" t="s">
        <v>45</v>
      </c>
      <c r="AJ2" s="19" t="s">
        <v>43</v>
      </c>
      <c r="AK2" s="19" t="s">
        <v>44</v>
      </c>
      <c r="AL2" s="19" t="s">
        <v>45</v>
      </c>
      <c r="AM2" s="19" t="s">
        <v>43</v>
      </c>
      <c r="AN2" s="19" t="s">
        <v>44</v>
      </c>
      <c r="AO2" s="19" t="s">
        <v>45</v>
      </c>
      <c r="AP2" s="19" t="s">
        <v>43</v>
      </c>
      <c r="AQ2" s="19" t="s">
        <v>44</v>
      </c>
      <c r="AR2" s="19" t="s">
        <v>45</v>
      </c>
      <c r="AS2" s="19" t="s">
        <v>43</v>
      </c>
      <c r="AT2" s="19" t="s">
        <v>44</v>
      </c>
      <c r="AU2" s="19" t="s">
        <v>45</v>
      </c>
      <c r="AV2" s="19" t="s">
        <v>43</v>
      </c>
      <c r="AW2" s="19" t="s">
        <v>44</v>
      </c>
      <c r="AX2" s="19" t="s">
        <v>45</v>
      </c>
      <c r="AY2" s="19" t="s">
        <v>43</v>
      </c>
      <c r="AZ2" s="19" t="s">
        <v>44</v>
      </c>
      <c r="BA2" s="19" t="s">
        <v>45</v>
      </c>
      <c r="BB2" s="19" t="s">
        <v>43</v>
      </c>
      <c r="BC2" s="19" t="s">
        <v>44</v>
      </c>
      <c r="BD2" s="19" t="s">
        <v>45</v>
      </c>
      <c r="BE2" s="19" t="s">
        <v>43</v>
      </c>
      <c r="BF2" s="19" t="s">
        <v>44</v>
      </c>
      <c r="BG2" s="19" t="s">
        <v>45</v>
      </c>
      <c r="BH2" s="19" t="s">
        <v>43</v>
      </c>
      <c r="BI2" s="19" t="s">
        <v>44</v>
      </c>
      <c r="BJ2" s="19" t="s">
        <v>45</v>
      </c>
      <c r="BK2" s="20"/>
      <c r="BL2" s="20"/>
      <c r="BM2" s="20"/>
      <c r="BN2" s="20"/>
      <c r="BO2" s="20"/>
      <c r="BP2" s="20"/>
      <c r="BQ2" s="20"/>
      <c r="BR2" s="20"/>
      <c r="CA2" s="18"/>
      <c r="CB2" s="19"/>
      <c r="CC2" s="36"/>
      <c r="CD2" s="19"/>
      <c r="CE2" s="36"/>
      <c r="CF2" s="19"/>
      <c r="CG2" s="36"/>
      <c r="CH2" s="19"/>
      <c r="CI2" s="36"/>
      <c r="CJ2" s="19"/>
      <c r="CK2" s="36"/>
      <c r="CL2" s="19"/>
      <c r="CM2" s="36"/>
      <c r="CN2" s="19"/>
      <c r="CO2" s="36"/>
      <c r="CP2" s="19"/>
      <c r="CQ2" s="36"/>
      <c r="CR2" s="19"/>
      <c r="CS2" s="36"/>
      <c r="CT2" s="19"/>
      <c r="CU2" s="36"/>
      <c r="CV2" s="19"/>
      <c r="CW2" s="36"/>
      <c r="CX2" s="19"/>
      <c r="CY2" s="36"/>
      <c r="CZ2" s="19"/>
      <c r="DA2" s="36"/>
      <c r="DB2" s="19"/>
      <c r="DC2" s="36"/>
      <c r="DD2" s="19"/>
      <c r="DE2" s="36"/>
      <c r="DF2" s="19"/>
      <c r="DG2" s="36"/>
      <c r="DH2" s="19"/>
      <c r="DI2" s="36"/>
      <c r="DJ2" s="19"/>
      <c r="DK2" s="36"/>
      <c r="DL2" s="19"/>
      <c r="DM2" s="36"/>
    </row>
    <row r="3" spans="1:120" x14ac:dyDescent="0.2">
      <c r="A3" s="5"/>
      <c r="B3" s="6" t="str">
        <f>+Risultati!B2</f>
        <v>ESSELUNGA SPA</v>
      </c>
      <c r="C3" s="6" t="str">
        <f>+Risultati!C2</f>
        <v>04916380159</v>
      </c>
      <c r="D3" s="26">
        <f>IF(YEAR(Risultati!D2)=1900,(MID(Risultati!$AP$1,29,4)),YEAR(Risultati!D2))</f>
        <v>2023</v>
      </c>
      <c r="E3" s="6" t="str">
        <f>+Risultati!E2</f>
        <v>Dettagliato</v>
      </c>
      <c r="F3" s="37" t="str">
        <f>(LEFT(Risultati!AN2,2)&amp;"-")&amp;VLOOKUP((LEFT(Risultati!AN2,2)),ateco!$B$4:$C$93,2,FALSE)</f>
        <v>47-Commercio al dettaglio (escluso quello di autoveicoli e di motocicli)</v>
      </c>
      <c r="G3" s="37" t="str">
        <f>SUBSTITUTE((Risultati!AN2&amp;"-"&amp;Risultati!AO2),",",";")</f>
        <v>471100-Commercio al dettaglio in esercizi non specializzati con prevalenza di prodotti alimentari e bevande</v>
      </c>
      <c r="I3" s="10">
        <f>+Risultati!G2</f>
        <v>9038616</v>
      </c>
      <c r="J3" s="11">
        <f>IF(L3&lt;&gt;0,(I3/L3),"0")</f>
        <v>1</v>
      </c>
      <c r="K3" s="12"/>
      <c r="L3" s="10">
        <f>+Risultati!G2+Risultati!H2</f>
        <v>9038616</v>
      </c>
      <c r="M3" s="11">
        <f>IF(L3&lt;&gt;0,(L3/(L3+U3)),"0")</f>
        <v>0.99100611952267414</v>
      </c>
      <c r="N3" s="12"/>
      <c r="O3" s="10">
        <f>+Risultati!I2+Risultati!J2</f>
        <v>6285561</v>
      </c>
      <c r="P3" s="11">
        <f>IF(L3&lt;&gt;0,(O3/(L3+U3)),"0")</f>
        <v>0.68915743468171009</v>
      </c>
      <c r="Q3" s="12"/>
      <c r="R3" s="13">
        <f>+L3-O3</f>
        <v>2753055</v>
      </c>
      <c r="S3" s="11">
        <f>IF(L3&lt;&gt;0,(R3/(L3+U3)),"0")</f>
        <v>0.30184868484096411</v>
      </c>
      <c r="T3" s="12"/>
      <c r="U3" s="10">
        <f>+Risultati!F2-(Risultati!G2+Risultati!H2)</f>
        <v>82030</v>
      </c>
      <c r="V3" s="12">
        <f>IF(L3&lt;&gt;0,(U3/(L3+U3)),"0")</f>
        <v>8.9938804773258378E-3</v>
      </c>
      <c r="W3" s="12"/>
      <c r="X3" s="10">
        <f>+U3+R3</f>
        <v>2835085</v>
      </c>
      <c r="Y3" s="12">
        <f>IF(L3&lt;&gt;0,(X3/(L3+U3)),"0")</f>
        <v>0.31084256531828997</v>
      </c>
      <c r="Z3" s="12"/>
      <c r="AA3" s="10">
        <f>+Risultati!K2</f>
        <v>1015920</v>
      </c>
      <c r="AB3" s="12">
        <f>IF(L3&lt;&gt;0,(AA3/(L3+U3)),"0")</f>
        <v>0.11138684694044698</v>
      </c>
      <c r="AC3" s="12"/>
      <c r="AD3" s="10">
        <f>+Risultati!L2</f>
        <v>1052480</v>
      </c>
      <c r="AE3" s="12">
        <f>IF(L3&lt;&gt;0,(AD3/(L3+U3)),"0")</f>
        <v>0.11539533493570521</v>
      </c>
      <c r="AF3" s="12"/>
      <c r="AG3" s="10">
        <f>+Risultati!M2+Risultati!P2+Risultati!Q2</f>
        <v>122827</v>
      </c>
      <c r="AH3" s="12">
        <f>IF(L3&lt;&gt;0,(AG3/(L3+U3)),"0")</f>
        <v>1.3466918900262109E-2</v>
      </c>
      <c r="AI3" s="12"/>
      <c r="AJ3" s="13">
        <f>+X3-AA3-AD3-AG3</f>
        <v>643858</v>
      </c>
      <c r="AK3" s="11">
        <f>IF(L3&lt;&gt;0,(AJ3/(L3+U3)),"0")</f>
        <v>7.059346454187565E-2</v>
      </c>
      <c r="AL3" s="12"/>
      <c r="AM3" s="10">
        <f>+Risultati!N2</f>
        <v>25090</v>
      </c>
      <c r="AN3" s="12">
        <f>IF(L3&lt;&gt;0,(AM3/(L3+U3)),"0")</f>
        <v>2.7509016356955418E-3</v>
      </c>
      <c r="AO3" s="12"/>
      <c r="AP3" s="10">
        <f>+AJ3-AM3</f>
        <v>618768</v>
      </c>
      <c r="AQ3" s="41">
        <f>IF(L3&lt;&gt;0,(AP3/(L3+U3)),"0")</f>
        <v>6.7842562906180112E-2</v>
      </c>
      <c r="AR3" s="41"/>
      <c r="AS3" s="10">
        <f>+Risultati!O2</f>
        <v>406552</v>
      </c>
      <c r="AT3" s="12">
        <f>IF(L3&lt;&gt;0,(AS3/(L3+U3)),"0")</f>
        <v>4.457491278578294E-2</v>
      </c>
      <c r="AU3" s="12"/>
      <c r="AV3" s="10">
        <f>+AP3-AS3</f>
        <v>212216</v>
      </c>
      <c r="AW3" s="12">
        <f>IF(L3&lt;&gt;0,(AV3/(L3+U3)),"0")</f>
        <v>2.3267650120397172E-2</v>
      </c>
      <c r="AX3" s="12"/>
      <c r="AY3" s="10">
        <f>+Risultati!R2+Risultati!S2</f>
        <v>-44934</v>
      </c>
      <c r="AZ3" s="12">
        <f>IF(L3&lt;&gt;0,(AY3/(L3+U3)),"0")</f>
        <v>-4.9266247149598831E-3</v>
      </c>
      <c r="BA3" s="12"/>
      <c r="BB3" s="10">
        <f>+Risultati!T2</f>
        <v>1031</v>
      </c>
      <c r="BC3" s="12">
        <f>IF(L3&lt;&gt;0,(BB3/(L3+U3)),"0")</f>
        <v>1.1304023859713446E-4</v>
      </c>
      <c r="BD3" s="12"/>
      <c r="BE3" s="10">
        <f>+Risultati!U2</f>
        <v>39284</v>
      </c>
      <c r="BF3" s="12">
        <f>IF(L3&lt;&gt;0,(BE3/(L3+U3)),"0")</f>
        <v>4.3071510504848016E-3</v>
      </c>
      <c r="BG3" s="12"/>
      <c r="BH3" s="10">
        <f>+AV3+AY3+BB3-BE3</f>
        <v>129029</v>
      </c>
      <c r="BI3" s="12">
        <f>IF(L3&lt;&gt;0,(+BH3/(L3+U3)),"0")</f>
        <v>1.4146914593549624E-2</v>
      </c>
      <c r="BJ3" s="10"/>
      <c r="BK3" s="16">
        <f>IF(ISNUMBER(Risultati!X2/100),(Risultati!X2/100))</f>
        <v>5.9102020499574304E-2</v>
      </c>
      <c r="BL3" s="16">
        <f>IF(ISNUMBER(Risultati!Y2/100),(Risultati!Y2/100))</f>
        <v>7.1247440582885804E-2</v>
      </c>
      <c r="BM3" s="16">
        <f>IF(ISNUMBER(Risultati!Z2/100),(Risultati!Z2/100))</f>
        <v>0.14224044077012399</v>
      </c>
      <c r="BN3" s="16">
        <f>IF(AND(Risultati!AY2&lt;0,calcoli!AP3&lt;0),-IF(ISNUMBER(Risultati!AA2/100),(Risultati!AA2/100)),IF(ISNUMBER(Risultati!AA2/100),(Risultati!AA2/100)))</f>
        <v>-0.119730271862063</v>
      </c>
      <c r="BO3" s="16">
        <f t="shared" ref="BO3:BO66" si="0">+BI3</f>
        <v>1.4146914593549624E-2</v>
      </c>
      <c r="BP3" s="16">
        <f>IF(Risultati!AB2&gt;0,(AV3/Risultati!AB2),"0")</f>
        <v>2.6894878230009404E-2</v>
      </c>
      <c r="BQ3" s="16">
        <f>IF(Risultati!AG2&lt;&gt;0,(BH3/Risultati!AG2),"0")</f>
        <v>5.862843921642754E-2</v>
      </c>
      <c r="BR3" s="16">
        <f t="shared" ref="BR3:BR66" si="1">+BI3</f>
        <v>1.4146914593549624E-2</v>
      </c>
      <c r="BS3" s="14">
        <f>IF(Risultati!AB2&gt;0,(Risultati!G2/Risultati!AB2),"0")</f>
        <v>1.1454955172457058</v>
      </c>
      <c r="BT3" s="15">
        <f>IF(Risultati!AG2&lt;&gt;0,(Risultati!AB2/Risultati!AG2),"0")</f>
        <v>3.5853333708955684</v>
      </c>
      <c r="BU3" s="23">
        <f>IF(AND(Risultati!G2&gt;0,(Risultati!AE2-Risultati!AF2)&gt;=0),((Risultati!AE2-Risultati!AF2)/Risultati!G2*360),"0")</f>
        <v>22.529373966102774</v>
      </c>
      <c r="BV3" s="21">
        <f>IF(OR(E3="abbreviato",Risultati!G2=0),"0",((Risultati!AC2+Risultati!AD2)/Risultati!G2*360))</f>
        <v>10.484215725062333</v>
      </c>
      <c r="BW3" s="21">
        <f>IF(OR(E3="abbreviato",Risultati!G2=0,SUM(Risultati!I2+Risultati!K2+Risultati!M2)=0),"0",(((Risultati!AH2+Risultati!AI2)/(Risultati!I2+Risultati!K2+Risultati!N2)*360)))</f>
        <v>83.190027094530308</v>
      </c>
      <c r="BX3" s="16">
        <f>IF(Risultati!AB2&gt;0,(+Risultati!AG2/Risultati!AB2),"0")</f>
        <v>0.278914091536825</v>
      </c>
      <c r="BY3" s="22">
        <f>IF(OR(E3="abbreviato",Risultati!G2=0),"0",(((Risultati!AK2-(Risultati!AL2+Risultati!AM2))/Risultati!G2)))</f>
        <v>0.32164758409915856</v>
      </c>
      <c r="BZ3" s="16">
        <f>IF(Risultati!G2&gt;0,(Risultati!AJ2/Risultati!G2),"0")</f>
        <v>0.26104416870901476</v>
      </c>
      <c r="CA3" s="37"/>
      <c r="CB3" s="10">
        <f>+Risultati!AP2</f>
        <v>0</v>
      </c>
      <c r="CC3" s="31">
        <f>IF($CX3&gt;0,(CB3/$CX3),"0")</f>
        <v>0</v>
      </c>
      <c r="CD3" s="10">
        <f>+Risultati!AQ2</f>
        <v>220145</v>
      </c>
      <c r="CE3" s="31">
        <f>IF($CX3&gt;0,(CD3/$CX3),"0")</f>
        <v>2.7899748218538755E-2</v>
      </c>
      <c r="CF3" s="10">
        <f>+Risultati!AR2</f>
        <v>5222483</v>
      </c>
      <c r="CG3" s="31">
        <f>IF($CX3&gt;0,(CF3/$CX3),"0")</f>
        <v>0.66186359342978007</v>
      </c>
      <c r="CH3" s="10">
        <f>+Risultati!AS2</f>
        <v>1159374</v>
      </c>
      <c r="CI3" s="31">
        <f>IF($CX3&gt;0,(CH3/$CX3),"0")</f>
        <v>0.14693153462999456</v>
      </c>
      <c r="CJ3" s="10">
        <f>+CH3+CF3+CD3</f>
        <v>6602002</v>
      </c>
      <c r="CK3" s="31">
        <f>IF($CX3&gt;0,(CJ3/$CX3),"0")</f>
        <v>0.8366948762783134</v>
      </c>
      <c r="CL3" s="10">
        <f>+Risultati!AE2+Risultati!AF2</f>
        <v>565651</v>
      </c>
      <c r="CM3" s="31">
        <f>IF($CX3&gt;0,(CL3/$CX3),"0")</f>
        <v>7.1686935790341202E-2</v>
      </c>
      <c r="CN3" s="10">
        <f>+Risultati!AT2</f>
        <v>402192</v>
      </c>
      <c r="CO3" s="31">
        <f>IF($CX3&gt;0,(CN3/$CX3),"0")</f>
        <v>5.0971203232008627E-2</v>
      </c>
      <c r="CP3" s="10">
        <f>+Risultati!AU2</f>
        <v>53307</v>
      </c>
      <c r="CQ3" s="31">
        <f>IF($CX3&gt;0,(CP3/$CX3),"0")</f>
        <v>6.7557831351411357E-3</v>
      </c>
      <c r="CR3" s="10">
        <f>+Risultati!AL2</f>
        <v>252746</v>
      </c>
      <c r="CS3" s="31">
        <f>IF($CX3&gt;0,(CR3/$CX3),"0")</f>
        <v>3.2031387327637675E-2</v>
      </c>
      <c r="CT3" s="10">
        <f>+CR3+CP3+CN3+CL3</f>
        <v>1273896</v>
      </c>
      <c r="CU3" s="31">
        <f>IF($CX3&gt;0,(CT3/$CX3),"0")</f>
        <v>0.16144530948512864</v>
      </c>
      <c r="CV3" s="10">
        <f>+Risultati!AX2</f>
        <v>14675</v>
      </c>
      <c r="CW3" s="31">
        <f>IF($CX3&gt;0,(CV3/$CX3),"0")</f>
        <v>1.8598142365579787E-3</v>
      </c>
      <c r="CX3" s="10">
        <f>+CV3+CT3+CJ3</f>
        <v>7890573</v>
      </c>
      <c r="CY3" s="31">
        <f>IF($CX3&gt;0,(CX3/$CX3),"0")</f>
        <v>1</v>
      </c>
      <c r="CZ3" s="10">
        <f>+Risultati!AG2</f>
        <v>2200792</v>
      </c>
      <c r="DA3" s="31">
        <f>IF($CX3&gt;0,(CZ3/$CX3),"0")</f>
        <v>0.278914091536825</v>
      </c>
      <c r="DB3" s="10">
        <f>+DL3-CZ3-DD3-DJ3</f>
        <v>118851</v>
      </c>
      <c r="DC3" s="31">
        <f>IF($CX3&gt;0,(DB3/$CX3),"0")</f>
        <v>1.5062404213230142E-2</v>
      </c>
      <c r="DD3" s="10">
        <f>+Risultati!AV2</f>
        <v>5393411</v>
      </c>
      <c r="DE3" s="31">
        <f>IF($CX3&gt;0,(DD3/$CX3),"0")</f>
        <v>0.68352589856275325</v>
      </c>
      <c r="DF3" s="10">
        <f>+Risultati!AJ2</f>
        <v>2359478</v>
      </c>
      <c r="DG3" s="31">
        <f>IF($CX3&gt;0,(DF3/$CX3),"0")</f>
        <v>0.29902492505930811</v>
      </c>
      <c r="DH3" s="10">
        <f>+DD3-DF3</f>
        <v>3033933</v>
      </c>
      <c r="DI3" s="31">
        <f>IF($CX3&gt;0,(DH3/$CX3),"0")</f>
        <v>0.3845009735034452</v>
      </c>
      <c r="DJ3" s="10">
        <f>+Risultati!AW2</f>
        <v>177519</v>
      </c>
      <c r="DK3" s="31">
        <f>IF($CX3&gt;0,(DJ3/$CX3),"0")</f>
        <v>2.249760568719154E-2</v>
      </c>
      <c r="DL3" s="10">
        <f>+CX3</f>
        <v>7890573</v>
      </c>
      <c r="DM3" s="31">
        <f>IF($CX3&gt;0,(DL3/$CX3),"0")</f>
        <v>1</v>
      </c>
      <c r="DO3" s="30"/>
      <c r="DP3" s="30"/>
    </row>
    <row r="4" spans="1:120" x14ac:dyDescent="0.2">
      <c r="A4" s="5"/>
      <c r="B4" s="6" t="str">
        <f>+Risultati!B3</f>
        <v>LIDL ITALIA S.R.L.</v>
      </c>
      <c r="C4" s="6" t="str">
        <f>+Risultati!C3</f>
        <v>02275030233</v>
      </c>
      <c r="D4" s="26">
        <f>IF(YEAR(Risultati!D3)=1900,(MID(Risultati!$AP$1,29,4)),YEAR(Risultati!D3))</f>
        <v>2024</v>
      </c>
      <c r="E4" s="6" t="str">
        <f>+Risultati!E3</f>
        <v>Dettagliato</v>
      </c>
      <c r="F4" s="37" t="str">
        <f>(LEFT(Risultati!AN3,2)&amp;"-")&amp;VLOOKUP((LEFT(Risultati!AN3,2)),ateco!$B$4:$C$93,2,FALSE)</f>
        <v>46-Commercio all'ingrosso (escluso quello di autoveicoli e di motocicli)</v>
      </c>
      <c r="G4" s="37" t="str">
        <f>SUBSTITUTE((Risultati!AN3&amp;"-"&amp;Risultati!AO3),",",";")</f>
        <v>469000-Commercio all'ingrosso non specializzato</v>
      </c>
      <c r="I4" s="10">
        <f>+Risultati!G3</f>
        <v>7158326</v>
      </c>
      <c r="J4" s="11">
        <f t="shared" ref="J4:J67" si="2">IF(L4&lt;&gt;0,(I4/L4),"0")</f>
        <v>1</v>
      </c>
      <c r="K4" s="12"/>
      <c r="L4" s="10">
        <f>+Risultati!G3+Risultati!H3</f>
        <v>7158326</v>
      </c>
      <c r="M4" s="11">
        <f t="shared" ref="M4:M67" si="3">IF(L4&lt;&gt;0,(L4/(L4+U4)),"0")</f>
        <v>0.99005495121801779</v>
      </c>
      <c r="N4" s="12"/>
      <c r="O4" s="10">
        <f>+Risultati!I3+Risultati!J3</f>
        <v>5244243</v>
      </c>
      <c r="P4" s="11">
        <f t="shared" ref="P4:P67" si="4">IF(L4&lt;&gt;0,(O4/(L4+U4)),"0")</f>
        <v>0.72532163910115732</v>
      </c>
      <c r="Q4" s="12"/>
      <c r="R4" s="13">
        <f t="shared" ref="R4:R25" si="5">+L4-O4</f>
        <v>1914083</v>
      </c>
      <c r="S4" s="11">
        <f t="shared" ref="S4:S67" si="6">IF(L4&lt;&gt;0,(R4/(L4+U4)),"0")</f>
        <v>0.26473331211686046</v>
      </c>
      <c r="T4" s="12"/>
      <c r="U4" s="10">
        <f>+Risultati!F3-(Risultati!G3+Risultati!H3)</f>
        <v>71905</v>
      </c>
      <c r="V4" s="12">
        <f t="shared" ref="V4:V67" si="7">IF(L4&lt;&gt;0,(U4/(L4+U4)),"0")</f>
        <v>9.9450487819822079E-3</v>
      </c>
      <c r="W4" s="12"/>
      <c r="X4" s="10">
        <f t="shared" ref="X4:X25" si="8">+U4+R4</f>
        <v>1985988</v>
      </c>
      <c r="Y4" s="12">
        <f t="shared" ref="Y4:Y67" si="9">IF(L4&lt;&gt;0,(X4/(L4+U4)),"0")</f>
        <v>0.27467836089884268</v>
      </c>
      <c r="Z4" s="12"/>
      <c r="AA4" s="10">
        <f>+Risultati!K3</f>
        <v>657621</v>
      </c>
      <c r="AB4" s="12">
        <f t="shared" ref="AB4:AB67" si="10">IF(L4&lt;&gt;0,(AA4/(L4+U4)),"0")</f>
        <v>9.0954355400263143E-2</v>
      </c>
      <c r="AC4" s="12"/>
      <c r="AD4" s="10">
        <f>+Risultati!L3</f>
        <v>673251</v>
      </c>
      <c r="AE4" s="12">
        <f t="shared" ref="AE4:AE67" si="11">IF(L4&lt;&gt;0,(AD4/(L4+U4)),"0")</f>
        <v>9.3116112057830519E-2</v>
      </c>
      <c r="AF4" s="12"/>
      <c r="AG4" s="10">
        <f>+Risultati!M3+Risultati!P3+Risultati!Q3</f>
        <v>49284</v>
      </c>
      <c r="AH4" s="12">
        <f t="shared" ref="AH4:AH67" si="12">IF(L4&lt;&gt;0,(AG4/(L4+U4)),"0")</f>
        <v>6.8163797256270238E-3</v>
      </c>
      <c r="AI4" s="12"/>
      <c r="AJ4" s="13">
        <f t="shared" ref="AJ4:AJ25" si="13">+X4-AA4-AD4-AG4</f>
        <v>605832</v>
      </c>
      <c r="AK4" s="11">
        <f t="shared" ref="AK4:AK67" si="14">IF(L4&lt;&gt;0,(AJ4/(L4+U4)),"0")</f>
        <v>8.379151371512196E-2</v>
      </c>
      <c r="AL4" s="12"/>
      <c r="AM4" s="10">
        <f>+Risultati!N3</f>
        <v>84069</v>
      </c>
      <c r="AN4" s="12">
        <f t="shared" ref="AN4:AN67" si="15">IF(L4&lt;&gt;0,(AM4/(L4+U4)),"0")</f>
        <v>1.162742933109606E-2</v>
      </c>
      <c r="AO4" s="12"/>
      <c r="AP4" s="10">
        <f>+AJ4-AM4</f>
        <v>521763</v>
      </c>
      <c r="AQ4" s="41">
        <f t="shared" ref="AQ4:AQ67" si="16">IF(L4&lt;&gt;0,(AP4/(L4+U4)),"0")</f>
        <v>7.2164084384025898E-2</v>
      </c>
      <c r="AR4" s="41"/>
      <c r="AS4" s="10">
        <f>+Risultati!O3</f>
        <v>226867</v>
      </c>
      <c r="AT4" s="12">
        <f t="shared" ref="AT4:AT67" si="17">IF(L4&lt;&gt;0,(AS4/(L4+U4)),"0")</f>
        <v>3.1377559029580109E-2</v>
      </c>
      <c r="AU4" s="12"/>
      <c r="AV4" s="10">
        <f t="shared" ref="AV4:AV25" si="18">+AP4-AS4</f>
        <v>294896</v>
      </c>
      <c r="AW4" s="12">
        <f t="shared" ref="AW4:AW67" si="19">IF(L4&lt;&gt;0,(AV4/(L4+U4)),"0")</f>
        <v>4.0786525354445796E-2</v>
      </c>
      <c r="AX4" s="12"/>
      <c r="AY4" s="10">
        <f>+Risultati!R3+Risultati!S3</f>
        <v>-23511</v>
      </c>
      <c r="AZ4" s="12">
        <f t="shared" ref="AZ4:AZ67" si="20">IF(L4&lt;&gt;0,(AY4/(L4+U4)),"0")</f>
        <v>-3.2517633254041259E-3</v>
      </c>
      <c r="BA4" s="12"/>
      <c r="BB4" s="10">
        <f>+Risultati!T3</f>
        <v>0</v>
      </c>
      <c r="BC4" s="12">
        <f t="shared" ref="BC4:BC67" si="21">IF(L4&lt;&gt;0,(BB4/(L4+U4)),"0")</f>
        <v>0</v>
      </c>
      <c r="BD4" s="12"/>
      <c r="BE4" s="10">
        <f>+Risultati!U3</f>
        <v>77452</v>
      </c>
      <c r="BF4" s="12">
        <f t="shared" ref="BF4:BF67" si="22">IF(L4&lt;&gt;0,(BE4/(L4+U4)),"0")</f>
        <v>1.0712244186942298E-2</v>
      </c>
      <c r="BG4" s="12"/>
      <c r="BH4" s="10">
        <f t="shared" ref="BH4:BH25" si="23">+AV4+AY4+BB4-BE4</f>
        <v>193933</v>
      </c>
      <c r="BI4" s="12">
        <f t="shared" ref="BI4:BI67" si="24">IF(L4&lt;&gt;0,(+BH4/(L4+U4)),"0")</f>
        <v>2.6822517842099373E-2</v>
      </c>
      <c r="BJ4" s="10"/>
      <c r="BK4" s="16">
        <f>IF(ISNUMBER(Risultati!X3/100),(Risultati!X3/100))</f>
        <v>7.0475599711203096E-2</v>
      </c>
      <c r="BL4" s="16">
        <f>IF(ISNUMBER(Risultati!Y3/100),(Risultati!Y3/100))</f>
        <v>0.21644515446773402</v>
      </c>
      <c r="BM4" s="16">
        <f>IF(ISNUMBER(Risultati!Z3/100),(Risultati!Z3/100))</f>
        <v>0.38929638389879201</v>
      </c>
      <c r="BN4" s="16">
        <f>IF(AND(Risultati!AY3&lt;0,calcoli!AP4&lt;0),-IF(ISNUMBER(Risultati!AA3/100),(Risultati!AA3/100)),IF(ISNUMBER(Risultati!AA3/100),(Risultati!AA3/100)))</f>
        <v>0.37408385718838</v>
      </c>
      <c r="BO4" s="16">
        <f t="shared" si="0"/>
        <v>2.6822517842099373E-2</v>
      </c>
      <c r="BP4" s="16">
        <f>IF(Risultati!AB3&gt;0,(AV4/Risultati!AB3),"0")</f>
        <v>7.7344840709169221E-2</v>
      </c>
      <c r="BQ4" s="16">
        <f>IF(Risultati!AG3&lt;&gt;0,(BH4/Risultati!AG3),"0")</f>
        <v>0.10191321456517158</v>
      </c>
      <c r="BR4" s="16">
        <f t="shared" si="1"/>
        <v>2.6822517842099373E-2</v>
      </c>
      <c r="BS4" s="14">
        <f>IF(Risultati!AB3&gt;0,(Risultati!G3/Risultati!AB3),"0")</f>
        <v>1.8774740390317417</v>
      </c>
      <c r="BT4" s="15">
        <f>IF(Risultati!AG3&lt;&gt;0,(Risultati!AB3/Risultati!AG3),"0")</f>
        <v>2.0036244241096459</v>
      </c>
      <c r="BU4" s="23">
        <f>IF(AND(Risultati!G3&gt;0,(Risultati!AE3-Risultati!AF3)&gt;=0),((Risultati!AE3-Risultati!AF3)/Risultati!G3*360),"0")</f>
        <v>22.715981362122935</v>
      </c>
      <c r="BV4" s="21">
        <f>IF(OR(E4="abbreviato",Risultati!G3=0),"0",((Risultati!AC3+Risultati!AD3)/Risultati!G3*360))</f>
        <v>0.13950747702745026</v>
      </c>
      <c r="BW4" s="21">
        <f>IF(OR(E4="abbreviato",Risultati!G3=0,SUM(Risultati!I3+Risultati!K3+Risultati!M3)=0),"0",(((Risultati!AH3+Risultati!AI3)/(Risultati!I3+Risultati!K3+Risultati!N3)*360)))</f>
        <v>60.192600579320242</v>
      </c>
      <c r="BX4" s="16">
        <f>IF(Risultati!AB3&gt;0,(+Risultati!AG3/Risultati!AB3),"0")</f>
        <v>0.49909553305848309</v>
      </c>
      <c r="BY4" s="22">
        <f>IF(OR(E4="abbreviato",Risultati!G3=0),"0",(((Risultati!AK3-(Risultati!AL3+Risultati!AM3))/Risultati!G3)))</f>
        <v>5.1915350041336482E-2</v>
      </c>
      <c r="BZ4" s="16">
        <f>IF(Risultati!G3&gt;0,(Risultati!AJ3/Risultati!G3),"0")</f>
        <v>0.20018604908466028</v>
      </c>
      <c r="CA4" s="37"/>
      <c r="CB4" s="10">
        <f>+Risultati!AP3</f>
        <v>0</v>
      </c>
      <c r="CC4" s="31">
        <f t="shared" ref="CC4:CC25" si="25">IF($CX4&gt;0,(CB4/$CX4),"0")</f>
        <v>0</v>
      </c>
      <c r="CD4" s="10">
        <f>+Risultati!AQ3</f>
        <v>111652</v>
      </c>
      <c r="CE4" s="31">
        <f t="shared" ref="CE4:CE25" si="26">IF($CX4&gt;0,(CD4/$CX4),"0")</f>
        <v>2.9283904002971088E-2</v>
      </c>
      <c r="CF4" s="10">
        <f>+Risultati!AR3</f>
        <v>2747980</v>
      </c>
      <c r="CG4" s="31">
        <f t="shared" ref="CG4:CG25" si="27">IF($CX4&gt;0,(CF4/$CX4),"0")</f>
        <v>0.72073570130480868</v>
      </c>
      <c r="CH4" s="10">
        <f>+Risultati!AS3</f>
        <v>8537</v>
      </c>
      <c r="CI4" s="31">
        <f t="shared" ref="CI4:CI25" si="28">IF($CX4&gt;0,(CH4/$CX4),"0")</f>
        <v>2.2390704015455539E-3</v>
      </c>
      <c r="CJ4" s="10">
        <f t="shared" ref="CJ4:CJ25" si="29">+CH4+CF4+CD4</f>
        <v>2868169</v>
      </c>
      <c r="CK4" s="31">
        <f t="shared" ref="CK4:CK25" si="30">IF($CX4&gt;0,(CJ4/$CX4),"0")</f>
        <v>0.75225867570932525</v>
      </c>
      <c r="CL4" s="10">
        <f>+Risultati!AE3+Risultati!AF3</f>
        <v>459478</v>
      </c>
      <c r="CM4" s="31">
        <f t="shared" ref="CM4:CM25" si="31">IF($CX4&gt;0,(CL4/$CX4),"0")</f>
        <v>0.12051113856874171</v>
      </c>
      <c r="CN4" s="10">
        <f>+Risultati!AT3</f>
        <v>182206</v>
      </c>
      <c r="CO4" s="31">
        <f t="shared" ref="CO4:CO25" si="32">IF($CX4&gt;0,(CN4/$CX4),"0")</f>
        <v>4.7788691763383996E-2</v>
      </c>
      <c r="CP4" s="10">
        <f>+Risultati!AU3</f>
        <v>212878</v>
      </c>
      <c r="CQ4" s="31">
        <f t="shared" ref="CQ4:CQ25" si="33">IF($CX4&gt;0,(CP4/$CX4),"0")</f>
        <v>5.5833293773013284E-2</v>
      </c>
      <c r="CR4" s="10">
        <f>+Risultati!AL3</f>
        <v>72756</v>
      </c>
      <c r="CS4" s="31">
        <f t="shared" ref="CS4:CS25" si="34">IF($CX4&gt;0,(CR4/$CX4),"0")</f>
        <v>1.9082324720024402E-2</v>
      </c>
      <c r="CT4" s="10">
        <f>+CR4+CP4+CN4+CL4</f>
        <v>927318</v>
      </c>
      <c r="CU4" s="31">
        <f t="shared" ref="CU4:CU25" si="35">IF($CX4&gt;0,(CT4/$CX4),"0")</f>
        <v>0.24321544882516341</v>
      </c>
      <c r="CV4" s="10">
        <f>+Risultati!AX3</f>
        <v>17256</v>
      </c>
      <c r="CW4" s="31">
        <f t="shared" ref="CW4:CW25" si="36">IF($CX4&gt;0,(CV4/$CX4),"0")</f>
        <v>4.525875465511313E-3</v>
      </c>
      <c r="CX4" s="10">
        <f>+CV4+CT4+CJ4</f>
        <v>3812743</v>
      </c>
      <c r="CY4" s="31">
        <f t="shared" ref="CY4:CY25" si="37">IF($CX4&gt;0,(CX4/$CX4),"0")</f>
        <v>1</v>
      </c>
      <c r="CZ4" s="10">
        <f>+Risultati!AG3</f>
        <v>1902923</v>
      </c>
      <c r="DA4" s="31">
        <f t="shared" ref="DA4:DA25" si="38">IF($CX4&gt;0,(CZ4/$CX4),"0")</f>
        <v>0.49909553305848309</v>
      </c>
      <c r="DB4" s="10">
        <f>+DL4-CZ4-DD4-DJ4</f>
        <v>89287</v>
      </c>
      <c r="DC4" s="31">
        <f t="shared" ref="DC4:DC25" si="39">IF($CX4&gt;0,(DB4/$CX4),"0")</f>
        <v>2.3418048370949733E-2</v>
      </c>
      <c r="DD4" s="10">
        <f>+Risultati!AV3</f>
        <v>1799919</v>
      </c>
      <c r="DE4" s="31">
        <f t="shared" ref="DE4:DE25" si="40">IF($CX4&gt;0,(DD4/$CX4),"0")</f>
        <v>0.47207981235556656</v>
      </c>
      <c r="DF4" s="10">
        <f>+Risultati!AJ3</f>
        <v>1432997</v>
      </c>
      <c r="DG4" s="31">
        <f t="shared" ref="DG4:DG25" si="41">IF($CX4&gt;0,(DF4/$CX4),"0")</f>
        <v>0.37584411013278368</v>
      </c>
      <c r="DH4" s="10">
        <f t="shared" ref="DH4:DH25" si="42">+DD4-DF4</f>
        <v>366922</v>
      </c>
      <c r="DI4" s="31">
        <f t="shared" ref="DI4:DI25" si="43">IF($CX4&gt;0,(DH4/$CX4),"0")</f>
        <v>9.623570222278291E-2</v>
      </c>
      <c r="DJ4" s="10">
        <f>+Risultati!AW3</f>
        <v>20614</v>
      </c>
      <c r="DK4" s="31">
        <f t="shared" ref="DK4:DK25" si="44">IF($CX4&gt;0,(DJ4/$CX4),"0")</f>
        <v>5.4066062150005915E-3</v>
      </c>
      <c r="DL4" s="10">
        <f>+CX4</f>
        <v>3812743</v>
      </c>
      <c r="DM4" s="31">
        <f t="shared" ref="DM4:DM25" si="45">IF($CX4&gt;0,(DL4/$CX4),"0")</f>
        <v>1</v>
      </c>
      <c r="DO4" s="30"/>
      <c r="DP4" s="30"/>
    </row>
    <row r="5" spans="1:120" x14ac:dyDescent="0.2">
      <c r="A5" s="5"/>
      <c r="B5" s="6" t="str">
        <f>+Risultati!B4</f>
        <v>A.I.A. - AGRICOLA ITALIANA ALIMENTARE - S.P.A.</v>
      </c>
      <c r="C5" s="6" t="str">
        <f>+Risultati!C4</f>
        <v>00233470236</v>
      </c>
      <c r="D5" s="26">
        <f>IF(YEAR(Risultati!D4)=1900,(MID(Risultati!$AP$1,29,4)),YEAR(Risultati!D4))</f>
        <v>2023</v>
      </c>
      <c r="E5" s="6" t="str">
        <f>+Risultati!E4</f>
        <v>Dettagliato</v>
      </c>
      <c r="F5" s="37" t="str">
        <f>(LEFT(Risultati!AN4,2)&amp;"-")&amp;VLOOKUP((LEFT(Risultati!AN4,2)),ateco!$B$4:$C$93,2,FALSE)</f>
        <v>46-Commercio all'ingrosso (escluso quello di autoveicoli e di motocicli)</v>
      </c>
      <c r="G5" s="37" t="str">
        <f>SUBSTITUTE((Risultati!AN4&amp;"-"&amp;Risultati!AO4),",",";")</f>
        <v>463210-Commercio all'ingrosso di carne fresca; congelata e surgelata</v>
      </c>
      <c r="I5" s="10">
        <f>+Risultati!G4</f>
        <v>4712306</v>
      </c>
      <c r="J5" s="11">
        <f t="shared" si="2"/>
        <v>0.99990663617347508</v>
      </c>
      <c r="K5" s="12"/>
      <c r="L5" s="10">
        <f>+Risultati!G4+Risultati!H4</f>
        <v>4712746</v>
      </c>
      <c r="M5" s="11">
        <f t="shared" si="3"/>
        <v>0.97883073582005331</v>
      </c>
      <c r="N5" s="12"/>
      <c r="O5" s="10">
        <f>+Risultati!I4+Risultati!J4</f>
        <v>4095391</v>
      </c>
      <c r="P5" s="11">
        <f t="shared" si="4"/>
        <v>0.85060696799717694</v>
      </c>
      <c r="Q5" s="12"/>
      <c r="R5" s="13">
        <f t="shared" si="5"/>
        <v>617355</v>
      </c>
      <c r="S5" s="11">
        <f t="shared" si="6"/>
        <v>0.12822376782287631</v>
      </c>
      <c r="T5" s="12"/>
      <c r="U5" s="10">
        <f>+Risultati!F4-(Risultati!G4+Risultati!H4)</f>
        <v>101923</v>
      </c>
      <c r="V5" s="12">
        <f t="shared" si="7"/>
        <v>2.1169264179946742E-2</v>
      </c>
      <c r="W5" s="12"/>
      <c r="X5" s="10">
        <f t="shared" si="8"/>
        <v>719278</v>
      </c>
      <c r="Y5" s="12">
        <f t="shared" si="9"/>
        <v>0.14939303200282303</v>
      </c>
      <c r="Z5" s="12"/>
      <c r="AA5" s="10">
        <f>+Risultati!K4</f>
        <v>442257</v>
      </c>
      <c r="AB5" s="12">
        <f t="shared" si="10"/>
        <v>9.1856158751515427E-2</v>
      </c>
      <c r="AC5" s="12"/>
      <c r="AD5" s="10">
        <f>+Risultati!L4</f>
        <v>57265</v>
      </c>
      <c r="AE5" s="12">
        <f t="shared" si="11"/>
        <v>1.1893860200981625E-2</v>
      </c>
      <c r="AF5" s="12"/>
      <c r="AG5" s="10">
        <f>+Risultati!M4+Risultati!P4+Risultati!Q4</f>
        <v>13255</v>
      </c>
      <c r="AH5" s="12">
        <f t="shared" si="12"/>
        <v>2.7530449133678762E-3</v>
      </c>
      <c r="AI5" s="12"/>
      <c r="AJ5" s="13">
        <f t="shared" si="13"/>
        <v>206501</v>
      </c>
      <c r="AK5" s="11">
        <f t="shared" si="14"/>
        <v>4.2889968136958119E-2</v>
      </c>
      <c r="AL5" s="12"/>
      <c r="AM5" s="10">
        <f>+Risultati!N4</f>
        <v>5091</v>
      </c>
      <c r="AN5" s="12">
        <f t="shared" si="15"/>
        <v>1.05739356121885E-3</v>
      </c>
      <c r="AO5" s="12"/>
      <c r="AP5" s="10">
        <f t="shared" ref="AP5:AP25" si="46">+AJ5-AM5</f>
        <v>201410</v>
      </c>
      <c r="AQ5" s="41">
        <f t="shared" si="16"/>
        <v>4.1832574575739266E-2</v>
      </c>
      <c r="AR5" s="41"/>
      <c r="AS5" s="10">
        <f>+Risultati!O4</f>
        <v>94636</v>
      </c>
      <c r="AT5" s="12">
        <f t="shared" si="17"/>
        <v>1.9655764498037145E-2</v>
      </c>
      <c r="AU5" s="12"/>
      <c r="AV5" s="10">
        <f t="shared" si="18"/>
        <v>106774</v>
      </c>
      <c r="AW5" s="12">
        <f t="shared" si="19"/>
        <v>2.2176810077702121E-2</v>
      </c>
      <c r="AX5" s="12"/>
      <c r="AY5" s="10">
        <f>+Risultati!R4+Risultati!S4</f>
        <v>-17934</v>
      </c>
      <c r="AZ5" s="12">
        <f t="shared" si="20"/>
        <v>-3.7248666523077702E-3</v>
      </c>
      <c r="BA5" s="12"/>
      <c r="BB5" s="10">
        <f>+Risultati!T4</f>
        <v>0</v>
      </c>
      <c r="BC5" s="12">
        <f t="shared" si="21"/>
        <v>0</v>
      </c>
      <c r="BD5" s="12"/>
      <c r="BE5" s="10">
        <f>+Risultati!U4</f>
        <v>21355</v>
      </c>
      <c r="BF5" s="12">
        <f t="shared" si="22"/>
        <v>4.435403555259977E-3</v>
      </c>
      <c r="BG5" s="12"/>
      <c r="BH5" s="10">
        <f t="shared" si="23"/>
        <v>67485</v>
      </c>
      <c r="BI5" s="12">
        <f t="shared" si="24"/>
        <v>1.4016539870134374E-2</v>
      </c>
      <c r="BJ5" s="10"/>
      <c r="BK5" s="16">
        <f>IF(ISNUMBER(Risultati!X4/100),(Risultati!X4/100))</f>
        <v>0.11802778659583099</v>
      </c>
      <c r="BL5" s="16">
        <f>IF(ISNUMBER(Risultati!Y4/100),(Risultati!Y4/100))</f>
        <v>0.24983947024251701</v>
      </c>
      <c r="BM5" s="16">
        <f>IF(ISNUMBER(Risultati!Z4/100),(Risultati!Z4/100))</f>
        <v>0.36766653857718501</v>
      </c>
      <c r="BN5" s="16">
        <f>IF(AND(Risultati!AY4&lt;0,calcoli!AP5&lt;0),-IF(ISNUMBER(Risultati!AA4/100),(Risultati!AA4/100)),IF(ISNUMBER(Risultati!AA4/100),(Risultati!AA4/100)))</f>
        <v>0.60629406322774104</v>
      </c>
      <c r="BO5" s="16">
        <f t="shared" si="0"/>
        <v>1.4016539870134374E-2</v>
      </c>
      <c r="BP5" s="16">
        <f>IF(Risultati!AB4&gt;0,(AV5/Risultati!AB4),"0")</f>
        <v>6.7714080601914209E-2</v>
      </c>
      <c r="BQ5" s="16">
        <f>IF(Risultati!AG4&lt;&gt;0,(BH5/Risultati!AG4),"0")</f>
        <v>0.14182943898717576</v>
      </c>
      <c r="BR5" s="16">
        <f t="shared" si="1"/>
        <v>1.4016539870134374E-2</v>
      </c>
      <c r="BS5" s="14">
        <f>IF(Risultati!AB4&gt;0,(Risultati!G4/Risultati!AB4),"0")</f>
        <v>2.9884566308734706</v>
      </c>
      <c r="BT5" s="15">
        <f>IF(Risultati!AG4&lt;&gt;0,(Risultati!AB4/Risultati!AG4),"0")</f>
        <v>3.3139477699456514</v>
      </c>
      <c r="BU5" s="23">
        <f>IF(AND(Risultati!G4&gt;0,(Risultati!AE4-Risultati!AF4)&gt;=0),((Risultati!AE4-Risultati!AF4)/Risultati!G4*360),"0")</f>
        <v>2.1181476754692925</v>
      </c>
      <c r="BV5" s="21">
        <f>IF(OR(E5="abbreviato",Risultati!G4=0),"0",((Risultati!AC4+Risultati!AD4)/Risultati!G4*360))</f>
        <v>30.349344885497672</v>
      </c>
      <c r="BW5" s="21">
        <f>IF(OR(E5="abbreviato",Risultati!G4=0,SUM(Risultati!I4+Risultati!K4+Risultati!M4)=0),"0",(((Risultati!AH4+Risultati!AI4)/(Risultati!I4+Risultati!K4+Risultati!N4)*360)))</f>
        <v>29.022728359639174</v>
      </c>
      <c r="BX5" s="16">
        <f>IF(Risultati!AB4&gt;0,(+Risultati!AG4/Risultati!AB4),"0")</f>
        <v>0.30175490666118732</v>
      </c>
      <c r="BY5" s="22">
        <f>IF(OR(E5="abbreviato",Risultati!G4=0),"0",(((Risultati!AK4-(Risultati!AL4+Risultati!AM4))/Risultati!G4)))</f>
        <v>0.12010595237236292</v>
      </c>
      <c r="BZ5" s="16">
        <f>IF(Risultati!G4&gt;0,(Risultati!AJ4/Risultati!G4),"0")</f>
        <v>0.17512211643301603</v>
      </c>
      <c r="CA5" s="37"/>
      <c r="CB5" s="10">
        <f>+Risultati!AP4</f>
        <v>0</v>
      </c>
      <c r="CC5" s="31">
        <f t="shared" si="25"/>
        <v>0</v>
      </c>
      <c r="CD5" s="10">
        <f>+Risultati!AQ4</f>
        <v>150</v>
      </c>
      <c r="CE5" s="31">
        <f t="shared" si="26"/>
        <v>9.5127264425256918E-5</v>
      </c>
      <c r="CF5" s="10">
        <f>+Risultati!AR4</f>
        <v>523919</v>
      </c>
      <c r="CG5" s="31">
        <f t="shared" si="27"/>
        <v>0.33225987500277454</v>
      </c>
      <c r="CH5" s="10">
        <f>+Risultati!AS4</f>
        <v>275760</v>
      </c>
      <c r="CI5" s="31">
        <f t="shared" si="28"/>
        <v>0.17488196291939231</v>
      </c>
      <c r="CJ5" s="10">
        <f t="shared" si="29"/>
        <v>799829</v>
      </c>
      <c r="CK5" s="31">
        <f t="shared" si="30"/>
        <v>0.50723696518659211</v>
      </c>
      <c r="CL5" s="10">
        <f>+Risultati!AE4+Risultati!AF4</f>
        <v>27726</v>
      </c>
      <c r="CM5" s="31">
        <f t="shared" si="31"/>
        <v>1.7583323556364491E-2</v>
      </c>
      <c r="CN5" s="10">
        <f>+Risultati!AT4</f>
        <v>585927</v>
      </c>
      <c r="CO5" s="31">
        <f t="shared" si="32"/>
        <v>0.3715842177526501</v>
      </c>
      <c r="CP5" s="10">
        <f>+Risultati!AU4</f>
        <v>111758</v>
      </c>
      <c r="CQ5" s="31">
        <f t="shared" si="33"/>
        <v>7.0874885450919092E-2</v>
      </c>
      <c r="CR5" s="10">
        <f>+Risultati!AL4</f>
        <v>49282</v>
      </c>
      <c r="CS5" s="31">
        <f t="shared" si="34"/>
        <v>3.1253745636036744E-2</v>
      </c>
      <c r="CT5" s="10">
        <f t="shared" ref="CT5:CT25" si="47">+CR5+CP5+CN5+CL5</f>
        <v>774693</v>
      </c>
      <c r="CU5" s="31">
        <f t="shared" si="35"/>
        <v>0.4912961723959704</v>
      </c>
      <c r="CV5" s="10">
        <f>+Risultati!AX4</f>
        <v>2313</v>
      </c>
      <c r="CW5" s="31">
        <f t="shared" si="36"/>
        <v>1.4668624174374618E-3</v>
      </c>
      <c r="CX5" s="10">
        <f t="shared" ref="CX5:CX25" si="48">+CV5+CT5+CJ5</f>
        <v>1576835</v>
      </c>
      <c r="CY5" s="31">
        <f t="shared" si="37"/>
        <v>1</v>
      </c>
      <c r="CZ5" s="10">
        <f>+Risultati!AG4</f>
        <v>475818</v>
      </c>
      <c r="DA5" s="31">
        <f t="shared" si="38"/>
        <v>0.30175509802864597</v>
      </c>
      <c r="DB5" s="10">
        <f t="shared" ref="DB5:DB25" si="49">+DL5-CZ5-DD5-DJ5</f>
        <v>28474</v>
      </c>
      <c r="DC5" s="31">
        <f t="shared" si="39"/>
        <v>1.8057691514965103E-2</v>
      </c>
      <c r="DD5" s="10">
        <f>+Risultati!AV4</f>
        <v>1068841</v>
      </c>
      <c r="DE5" s="31">
        <f t="shared" si="40"/>
        <v>0.67783946957037355</v>
      </c>
      <c r="DF5" s="10">
        <f>+Risultati!AJ4</f>
        <v>825229</v>
      </c>
      <c r="DG5" s="31">
        <f t="shared" si="41"/>
        <v>0.52334518196260227</v>
      </c>
      <c r="DH5" s="10">
        <f t="shared" si="42"/>
        <v>243612</v>
      </c>
      <c r="DI5" s="31">
        <f t="shared" si="43"/>
        <v>0.15449428760777126</v>
      </c>
      <c r="DJ5" s="10">
        <f>+Risultati!AW4</f>
        <v>3702</v>
      </c>
      <c r="DK5" s="31">
        <f t="shared" si="44"/>
        <v>2.347740886015341E-3</v>
      </c>
      <c r="DL5" s="10">
        <f t="shared" ref="DL5:DL67" si="50">+CX5</f>
        <v>1576835</v>
      </c>
      <c r="DM5" s="31">
        <f t="shared" si="45"/>
        <v>1</v>
      </c>
      <c r="DO5" s="30"/>
      <c r="DP5" s="30"/>
    </row>
    <row r="6" spans="1:120" x14ac:dyDescent="0.2">
      <c r="A6" s="5"/>
      <c r="B6" s="6" t="str">
        <f>+Risultati!B5</f>
        <v>PAC 2000 A SOCIETA' COOPERATIVA</v>
      </c>
      <c r="C6" s="6" t="str">
        <f>+Risultati!C5</f>
        <v>00163040546</v>
      </c>
      <c r="D6" s="26">
        <f>IF(YEAR(Risultati!D5)=1900,(MID(Risultati!$AP$1,29,4)),YEAR(Risultati!D5))</f>
        <v>2023</v>
      </c>
      <c r="E6" s="6" t="str">
        <f>+Risultati!E5</f>
        <v>Dettagliato</v>
      </c>
      <c r="F6" s="37" t="str">
        <f>(LEFT(Risultati!AN5,2)&amp;"-")&amp;VLOOKUP((LEFT(Risultati!AN5,2)),ateco!$B$4:$C$93,2,FALSE)</f>
        <v>46-Commercio all'ingrosso (escluso quello di autoveicoli e di motocicli)</v>
      </c>
      <c r="G6" s="37" t="str">
        <f>SUBSTITUTE((Risultati!AN5&amp;"-"&amp;Risultati!AO5),",",";")</f>
        <v>463890-Commercio all'ingrosso di altri prodotti alimentari</v>
      </c>
      <c r="I6" s="10">
        <f>+Risultati!G5</f>
        <v>3939071</v>
      </c>
      <c r="J6" s="11">
        <f t="shared" si="2"/>
        <v>1</v>
      </c>
      <c r="K6" s="12"/>
      <c r="L6" s="10">
        <f>+Risultati!G5+Risultati!H5</f>
        <v>3939071</v>
      </c>
      <c r="M6" s="11">
        <f t="shared" si="3"/>
        <v>0.86802644006274177</v>
      </c>
      <c r="N6" s="12"/>
      <c r="O6" s="10">
        <f>+Risultati!I5+Risultati!J5</f>
        <v>4026552</v>
      </c>
      <c r="P6" s="11">
        <f t="shared" si="4"/>
        <v>0.88730403648157474</v>
      </c>
      <c r="Q6" s="12"/>
      <c r="R6" s="13">
        <f t="shared" si="5"/>
        <v>-87481</v>
      </c>
      <c r="S6" s="11">
        <f t="shared" si="6"/>
        <v>-1.9277596418832948E-2</v>
      </c>
      <c r="T6" s="12"/>
      <c r="U6" s="10">
        <f>+Risultati!F5-(Risultati!G5+Risultati!H5)</f>
        <v>598891</v>
      </c>
      <c r="V6" s="12">
        <f t="shared" si="7"/>
        <v>0.13197355993725818</v>
      </c>
      <c r="W6" s="12"/>
      <c r="X6" s="10">
        <f t="shared" si="8"/>
        <v>511410</v>
      </c>
      <c r="Y6" s="12">
        <f t="shared" si="9"/>
        <v>0.11269596351842523</v>
      </c>
      <c r="Z6" s="12"/>
      <c r="AA6" s="10">
        <f>+Risultati!K5</f>
        <v>337244</v>
      </c>
      <c r="AB6" s="12">
        <f t="shared" si="10"/>
        <v>7.4316179818165073E-2</v>
      </c>
      <c r="AC6" s="12"/>
      <c r="AD6" s="10">
        <f>+Risultati!L5</f>
        <v>40571</v>
      </c>
      <c r="AE6" s="12">
        <f t="shared" si="11"/>
        <v>8.9403569267437668E-3</v>
      </c>
      <c r="AF6" s="12"/>
      <c r="AG6" s="10">
        <f>+Risultati!M5+Risultati!P5+Risultati!Q5</f>
        <v>26759</v>
      </c>
      <c r="AH6" s="12">
        <f t="shared" si="12"/>
        <v>5.8966998842211547E-3</v>
      </c>
      <c r="AI6" s="12"/>
      <c r="AJ6" s="13">
        <f t="shared" si="13"/>
        <v>106836</v>
      </c>
      <c r="AK6" s="11">
        <f t="shared" si="14"/>
        <v>2.3542726889295238E-2</v>
      </c>
      <c r="AL6" s="12"/>
      <c r="AM6" s="10">
        <f>+Risultati!N5</f>
        <v>31947</v>
      </c>
      <c r="AN6" s="12">
        <f t="shared" si="15"/>
        <v>7.0399443626896832E-3</v>
      </c>
      <c r="AO6" s="12"/>
      <c r="AP6" s="10">
        <f t="shared" si="46"/>
        <v>74889</v>
      </c>
      <c r="AQ6" s="41">
        <f t="shared" si="16"/>
        <v>1.6502782526605555E-2</v>
      </c>
      <c r="AR6" s="41"/>
      <c r="AS6" s="10">
        <f>+Risultati!O5</f>
        <v>35158</v>
      </c>
      <c r="AT6" s="12">
        <f t="shared" si="17"/>
        <v>7.7475307197371864E-3</v>
      </c>
      <c r="AU6" s="12"/>
      <c r="AV6" s="10">
        <f t="shared" si="18"/>
        <v>39731</v>
      </c>
      <c r="AW6" s="12">
        <f t="shared" si="19"/>
        <v>8.7552518068683693E-3</v>
      </c>
      <c r="AX6" s="12"/>
      <c r="AY6" s="10">
        <f>+Risultati!R5+Risultati!S5</f>
        <v>10320</v>
      </c>
      <c r="AZ6" s="12">
        <f t="shared" si="20"/>
        <v>2.2741486156120302E-3</v>
      </c>
      <c r="BA6" s="12"/>
      <c r="BB6" s="10">
        <f>+Risultati!T5</f>
        <v>0</v>
      </c>
      <c r="BC6" s="12">
        <f t="shared" si="21"/>
        <v>0</v>
      </c>
      <c r="BD6" s="12"/>
      <c r="BE6" s="10">
        <f>+Risultati!U5</f>
        <v>7868</v>
      </c>
      <c r="BF6" s="12">
        <f t="shared" si="22"/>
        <v>1.7338179561662262E-3</v>
      </c>
      <c r="BG6" s="12"/>
      <c r="BH6" s="10">
        <f t="shared" si="23"/>
        <v>42183</v>
      </c>
      <c r="BI6" s="12">
        <f t="shared" si="24"/>
        <v>9.2955824663141732E-3</v>
      </c>
      <c r="BJ6" s="10"/>
      <c r="BK6" s="16">
        <f>IF(ISNUMBER(Risultati!X5/100),(Risultati!X5/100))</f>
        <v>9.4672910182303199E-2</v>
      </c>
      <c r="BL6" s="16">
        <f>IF(ISNUMBER(Risultati!Y5/100),(Risultati!Y5/100))</f>
        <v>0.17621953313376701</v>
      </c>
      <c r="BM6" s="16">
        <f>IF(ISNUMBER(Risultati!Z5/100),(Risultati!Z5/100))</f>
        <v>0.63940178520519597</v>
      </c>
      <c r="BN6" s="16">
        <f>IF(AND(Risultati!AY5&lt;0,calcoli!AP6&lt;0),-IF(ISNUMBER(Risultati!AA5/100),(Risultati!AA5/100)),IF(ISNUMBER(Risultati!AA5/100),(Risultati!AA5/100)))</f>
        <v>0.184481067915098</v>
      </c>
      <c r="BO6" s="16">
        <f t="shared" si="0"/>
        <v>9.2955824663141732E-3</v>
      </c>
      <c r="BP6" s="16">
        <f>IF(Risultati!AB5&gt;0,(AV6/Risultati!AB5),"0")</f>
        <v>2.4285081218196544E-2</v>
      </c>
      <c r="BQ6" s="16">
        <f>IF(Risultati!AG5&lt;&gt;0,(BH6/Risultati!AG5),"0")</f>
        <v>5.3797779118304613E-2</v>
      </c>
      <c r="BR6" s="16">
        <f t="shared" si="1"/>
        <v>9.2955824663141732E-3</v>
      </c>
      <c r="BS6" s="14">
        <f>IF(Risultati!AB5&gt;0,(Risultati!G5/Risultati!AB5),"0")</f>
        <v>2.4077083174156875</v>
      </c>
      <c r="BT6" s="15">
        <f>IF(Risultati!AG5&lt;&gt;0,(Risultati!AB5/Risultati!AG5),"0")</f>
        <v>2.0864924633625939</v>
      </c>
      <c r="BU6" s="23">
        <f>IF(AND(Risultati!G5&gt;0,(Risultati!AE5-Risultati!AF5)&gt;=0),((Risultati!AE5-Risultati!AF5)/Risultati!G5*360),"0")</f>
        <v>14.626667049159561</v>
      </c>
      <c r="BV6" s="21">
        <f>IF(OR(E6="abbreviato",Risultati!G5=0),"0",((Risultati!AC5+Risultati!AD5)/Risultati!G5*360))</f>
        <v>25.33508027654236</v>
      </c>
      <c r="BW6" s="21">
        <f>IF(OR(E6="abbreviato",Risultati!G5=0,SUM(Risultati!I5+Risultati!K5+Risultati!M5)=0),"0",(((Risultati!AH5+Risultati!AI5)/(Risultati!I5+Risultati!K5+Risultati!N5)*360)))</f>
        <v>57.5862089317243</v>
      </c>
      <c r="BX6" s="16">
        <f>IF(Risultati!AB5&gt;0,(+Risultati!AG5/Risultati!AB5),"0")</f>
        <v>0.47927323848963188</v>
      </c>
      <c r="BY6" s="22">
        <f>IF(OR(E6="abbreviato",Risultati!G5=0),"0",(((Risultati!AK5-(Risultati!AL5+Risultati!AM5))/Risultati!G5)))</f>
        <v>-1.0046023542099139E-2</v>
      </c>
      <c r="BZ6" s="16">
        <f>IF(Risultati!G5&gt;0,(Risultati!AJ5/Risultati!G5),"0")</f>
        <v>0.19917310452134526</v>
      </c>
      <c r="CA6" s="37"/>
      <c r="CB6" s="10">
        <f>+Risultati!AP5</f>
        <v>3026</v>
      </c>
      <c r="CC6" s="31">
        <f t="shared" si="25"/>
        <v>1.8530323656046331E-3</v>
      </c>
      <c r="CD6" s="10">
        <f>+Risultati!AQ5</f>
        <v>37853</v>
      </c>
      <c r="CE6" s="31">
        <f t="shared" si="26"/>
        <v>2.3180050936957096E-2</v>
      </c>
      <c r="CF6" s="10">
        <f>+Risultati!AR5</f>
        <v>365022</v>
      </c>
      <c r="CG6" s="31">
        <f t="shared" si="27"/>
        <v>0.22352861208120764</v>
      </c>
      <c r="CH6" s="10">
        <f>+Risultati!AS5</f>
        <v>386597</v>
      </c>
      <c r="CI6" s="31">
        <f t="shared" si="28"/>
        <v>0.23674050014727505</v>
      </c>
      <c r="CJ6" s="10">
        <f t="shared" si="29"/>
        <v>789472</v>
      </c>
      <c r="CK6" s="31">
        <f t="shared" si="30"/>
        <v>0.48344916316543979</v>
      </c>
      <c r="CL6" s="10">
        <f>+Risultati!AE5+Risultati!AF5</f>
        <v>160043</v>
      </c>
      <c r="CM6" s="31">
        <f t="shared" si="31"/>
        <v>9.8005571344501746E-2</v>
      </c>
      <c r="CN6" s="10">
        <f>+Risultati!AT5</f>
        <v>540065</v>
      </c>
      <c r="CO6" s="31">
        <f t="shared" si="32"/>
        <v>0.33071973712170061</v>
      </c>
      <c r="CP6" s="10">
        <f>+Risultati!AU5</f>
        <v>50083</v>
      </c>
      <c r="CQ6" s="31">
        <f t="shared" si="33"/>
        <v>3.0669339050421955E-2</v>
      </c>
      <c r="CR6" s="10">
        <f>+Risultati!AL5</f>
        <v>87591</v>
      </c>
      <c r="CS6" s="31">
        <f t="shared" si="34"/>
        <v>5.3638122252371252E-2</v>
      </c>
      <c r="CT6" s="10">
        <f t="shared" si="47"/>
        <v>837782</v>
      </c>
      <c r="CU6" s="31">
        <f t="shared" si="35"/>
        <v>0.51303276976899559</v>
      </c>
      <c r="CV6" s="10">
        <f>+Risultati!AX5</f>
        <v>5745</v>
      </c>
      <c r="CW6" s="31">
        <f t="shared" si="36"/>
        <v>3.518067065564645E-3</v>
      </c>
      <c r="CX6" s="10">
        <f t="shared" si="48"/>
        <v>1632999</v>
      </c>
      <c r="CY6" s="31">
        <f t="shared" si="37"/>
        <v>1</v>
      </c>
      <c r="CZ6" s="10">
        <f>+Risultati!AG5</f>
        <v>784103</v>
      </c>
      <c r="DA6" s="31">
        <f t="shared" si="38"/>
        <v>0.4801613473125213</v>
      </c>
      <c r="DB6" s="10">
        <f t="shared" si="49"/>
        <v>28392</v>
      </c>
      <c r="DC6" s="31">
        <f t="shared" si="39"/>
        <v>1.738641603577222E-2</v>
      </c>
      <c r="DD6" s="10">
        <f>+Risultati!AV5</f>
        <v>815565</v>
      </c>
      <c r="DE6" s="31">
        <f t="shared" si="40"/>
        <v>0.49942774000473977</v>
      </c>
      <c r="DF6" s="10">
        <f>+Risultati!AJ5</f>
        <v>784557</v>
      </c>
      <c r="DG6" s="31">
        <f t="shared" si="41"/>
        <v>0.48043936340438664</v>
      </c>
      <c r="DH6" s="10">
        <f t="shared" si="42"/>
        <v>31008</v>
      </c>
      <c r="DI6" s="31">
        <f t="shared" si="43"/>
        <v>1.8988376600353091E-2</v>
      </c>
      <c r="DJ6" s="10">
        <f>+Risultati!AW5</f>
        <v>4939</v>
      </c>
      <c r="DK6" s="31">
        <f t="shared" si="44"/>
        <v>3.0244966469667157E-3</v>
      </c>
      <c r="DL6" s="10">
        <f t="shared" si="50"/>
        <v>1632999</v>
      </c>
      <c r="DM6" s="31">
        <f t="shared" si="45"/>
        <v>1</v>
      </c>
      <c r="DO6" s="30"/>
      <c r="DP6" s="30"/>
    </row>
    <row r="7" spans="1:120" x14ac:dyDescent="0.2">
      <c r="A7" s="5"/>
      <c r="B7" s="6" t="str">
        <f>+Risultati!B6</f>
        <v>COOP ALLEANZA 3.0 SOCIETA' COOPERATIVA</v>
      </c>
      <c r="C7" s="6" t="str">
        <f>+Risultati!C6</f>
        <v>03503411203</v>
      </c>
      <c r="D7" s="26">
        <f>IF(YEAR(Risultati!D6)=1900,(MID(Risultati!$AP$1,29,4)),YEAR(Risultati!D6))</f>
        <v>2023</v>
      </c>
      <c r="E7" s="6" t="str">
        <f>+Risultati!E6</f>
        <v>Dettagliato</v>
      </c>
      <c r="F7" s="37" t="str">
        <f>(LEFT(Risultati!AN6,2)&amp;"-")&amp;VLOOKUP((LEFT(Risultati!AN6,2)),ateco!$B$4:$C$93,2,FALSE)</f>
        <v>47-Commercio al dettaglio (escluso quello di autoveicoli e di motocicli)</v>
      </c>
      <c r="G7" s="37" t="str">
        <f>SUBSTITUTE((Risultati!AN6&amp;"-"&amp;Risultati!AO6),",",";")</f>
        <v>471120-Supermercati</v>
      </c>
      <c r="I7" s="10">
        <f>+Risultati!G6</f>
        <v>3895925</v>
      </c>
      <c r="J7" s="11">
        <f t="shared" si="2"/>
        <v>1.0052920770312141</v>
      </c>
      <c r="K7" s="12"/>
      <c r="L7" s="10">
        <f>+Risultati!G6+Risultati!H6</f>
        <v>3875416</v>
      </c>
      <c r="M7" s="11">
        <f t="shared" si="3"/>
        <v>0.88622604959634732</v>
      </c>
      <c r="N7" s="12"/>
      <c r="O7" s="10">
        <f>+Risultati!I6+Risultati!J6</f>
        <v>3012376</v>
      </c>
      <c r="P7" s="11">
        <f t="shared" si="4"/>
        <v>0.68886697128226915</v>
      </c>
      <c r="Q7" s="12"/>
      <c r="R7" s="13">
        <f t="shared" si="5"/>
        <v>863040</v>
      </c>
      <c r="S7" s="11">
        <f t="shared" si="6"/>
        <v>0.19735907831407817</v>
      </c>
      <c r="T7" s="12"/>
      <c r="U7" s="10">
        <f>+Risultati!F6-(Risultati!G6+Risultati!H6)</f>
        <v>497527</v>
      </c>
      <c r="V7" s="12">
        <f t="shared" si="7"/>
        <v>0.11377395040365264</v>
      </c>
      <c r="W7" s="12"/>
      <c r="X7" s="10">
        <f t="shared" si="8"/>
        <v>1360567</v>
      </c>
      <c r="Y7" s="12">
        <f t="shared" si="9"/>
        <v>0.31113302871773085</v>
      </c>
      <c r="Z7" s="12"/>
      <c r="AA7" s="10">
        <f>+Risultati!K6</f>
        <v>462223</v>
      </c>
      <c r="AB7" s="12">
        <f t="shared" si="10"/>
        <v>0.10570066886305172</v>
      </c>
      <c r="AC7" s="12"/>
      <c r="AD7" s="10">
        <f>+Risultati!L6</f>
        <v>596887</v>
      </c>
      <c r="AE7" s="12">
        <f t="shared" si="11"/>
        <v>0.13649549056550703</v>
      </c>
      <c r="AF7" s="12"/>
      <c r="AG7" s="10">
        <f>+Risultati!M6+Risultati!P6+Risultati!Q6</f>
        <v>90262</v>
      </c>
      <c r="AH7" s="12">
        <f t="shared" si="12"/>
        <v>2.0641019103153184E-2</v>
      </c>
      <c r="AI7" s="12"/>
      <c r="AJ7" s="13">
        <f t="shared" si="13"/>
        <v>211195</v>
      </c>
      <c r="AK7" s="11">
        <f t="shared" si="14"/>
        <v>4.8295850186018889E-2</v>
      </c>
      <c r="AL7" s="12"/>
      <c r="AM7" s="10">
        <f>+Risultati!N6</f>
        <v>145796</v>
      </c>
      <c r="AN7" s="12">
        <f t="shared" si="15"/>
        <v>3.3340475739107506E-2</v>
      </c>
      <c r="AO7" s="12"/>
      <c r="AP7" s="10">
        <f t="shared" si="46"/>
        <v>65399</v>
      </c>
      <c r="AQ7" s="41">
        <f t="shared" si="16"/>
        <v>1.4955374446911382E-2</v>
      </c>
      <c r="AR7" s="41"/>
      <c r="AS7" s="10">
        <f>+Risultati!O6</f>
        <v>106806</v>
      </c>
      <c r="AT7" s="12">
        <f t="shared" si="17"/>
        <v>2.4424283600312194E-2</v>
      </c>
      <c r="AU7" s="12"/>
      <c r="AV7" s="10">
        <f t="shared" si="18"/>
        <v>-41407</v>
      </c>
      <c r="AW7" s="12">
        <f t="shared" si="19"/>
        <v>-9.4689091534008105E-3</v>
      </c>
      <c r="AX7" s="12"/>
      <c r="AY7" s="10">
        <f>+Risultati!R6+Risultati!S6</f>
        <v>76352</v>
      </c>
      <c r="AZ7" s="12">
        <f t="shared" si="20"/>
        <v>1.7460094952072323E-2</v>
      </c>
      <c r="BA7" s="12"/>
      <c r="BB7" s="10">
        <f>+Risultati!T6</f>
        <v>0</v>
      </c>
      <c r="BC7" s="12">
        <f t="shared" si="21"/>
        <v>0</v>
      </c>
      <c r="BD7" s="12"/>
      <c r="BE7" s="10">
        <f>+Risultati!U6</f>
        <v>14932</v>
      </c>
      <c r="BF7" s="12">
        <f t="shared" si="22"/>
        <v>3.4146340347907577E-3</v>
      </c>
      <c r="BG7" s="12"/>
      <c r="BH7" s="10">
        <f t="shared" si="23"/>
        <v>20013</v>
      </c>
      <c r="BI7" s="12">
        <f t="shared" si="24"/>
        <v>4.5765517638807545E-3</v>
      </c>
      <c r="BJ7" s="10"/>
      <c r="BK7" s="16">
        <f>IF(ISNUMBER(Risultati!X6/100),(Risultati!X6/100))</f>
        <v>1.7454804524000399E-2</v>
      </c>
      <c r="BL7" s="16">
        <f>IF(ISNUMBER(Risultati!Y6/100),(Risultati!Y6/100))</f>
        <v>-3.8114223172165798E-2</v>
      </c>
      <c r="BM7" s="16">
        <f>IF(ISNUMBER(Risultati!Z6/100),(Risultati!Z6/100))</f>
        <v>6.7572385185120196E-2</v>
      </c>
      <c r="BN7" s="16">
        <f>IF(AND(Risultati!AY6&lt;0,calcoli!AP7&lt;0),-IF(ISNUMBER(Risultati!AA6/100),(Risultati!AA6/100)),IF(ISNUMBER(Risultati!AA6/100),(Risultati!AA6/100)))</f>
        <v>-1.4841823929636999</v>
      </c>
      <c r="BO7" s="16">
        <f t="shared" si="0"/>
        <v>4.5765517638807545E-3</v>
      </c>
      <c r="BP7" s="16">
        <f>IF(Risultati!AB6&gt;0,(AV7/Risultati!AB6),"0")</f>
        <v>-6.6289403909260986E-3</v>
      </c>
      <c r="BQ7" s="16">
        <f>IF(Risultati!AG6&lt;&gt;0,(BH7/Risultati!AG6),"0")</f>
        <v>1.261690638977938E-2</v>
      </c>
      <c r="BR7" s="16">
        <f t="shared" si="1"/>
        <v>4.5765517638807545E-3</v>
      </c>
      <c r="BS7" s="14">
        <f>IF(Risultati!AB6&gt;0,(Risultati!G6/Risultati!AB6),"0")</f>
        <v>0.62370745508051195</v>
      </c>
      <c r="BT7" s="15">
        <f>IF(Risultati!AG6&lt;&gt;0,(Risultati!AB6/Risultati!AG6),"0")</f>
        <v>3.9379512736373923</v>
      </c>
      <c r="BU7" s="23">
        <f>IF(AND(Risultati!G6&gt;0,(Risultati!AE6-Risultati!AF6)&gt;=0),((Risultati!AE6-Risultati!AF6)/Risultati!G6*360),"0")</f>
        <v>45.207020155675487</v>
      </c>
      <c r="BV7" s="21">
        <f>IF(OR(E7="abbreviato",Risultati!G6=0),"0",((Risultati!AC6+Risultati!AD6)/Risultati!G6*360))</f>
        <v>20.939540673909278</v>
      </c>
      <c r="BW7" s="21">
        <f>IF(OR(E7="abbreviato",Risultati!G6=0,SUM(Risultati!I6+Risultati!K6+Risultati!M6)=0),"0",(((Risultati!AH6+Risultati!AI6)/(Risultati!I6+Risultati!K6+Risultati!N6)*360)))</f>
        <v>69.661700318833155</v>
      </c>
      <c r="BX7" s="16">
        <f>IF(Risultati!AB6&gt;0,(+Risultati!AG6/Risultati!AB6),"0")</f>
        <v>0.25393915021104962</v>
      </c>
      <c r="BY7" s="22">
        <f>IF(OR(E7="abbreviato",Risultati!G6=0),"0",(((Risultati!AK6-(Risultati!AL6+Risultati!AM6))/Risultati!G6)))</f>
        <v>0.85382829494920975</v>
      </c>
      <c r="BZ7" s="16">
        <f>IF(Risultati!G6&gt;0,(Risultati!AJ6/Risultati!G6),"0")</f>
        <v>0.87980492437611091</v>
      </c>
      <c r="CA7" s="37"/>
      <c r="CB7" s="10">
        <f>+Risultati!AP6</f>
        <v>0</v>
      </c>
      <c r="CC7" s="31">
        <f t="shared" si="25"/>
        <v>0</v>
      </c>
      <c r="CD7" s="10">
        <f>+Risultati!AQ6</f>
        <v>173036</v>
      </c>
      <c r="CE7" s="31">
        <f t="shared" si="26"/>
        <v>2.7701725058185533E-2</v>
      </c>
      <c r="CF7" s="10">
        <f>+Risultati!AR6</f>
        <v>1077666</v>
      </c>
      <c r="CG7" s="31">
        <f t="shared" si="27"/>
        <v>0.17252599017865977</v>
      </c>
      <c r="CH7" s="10">
        <f>+Risultati!AS6</f>
        <v>2652270</v>
      </c>
      <c r="CI7" s="31">
        <f t="shared" si="28"/>
        <v>0.42460791003070891</v>
      </c>
      <c r="CJ7" s="10">
        <f t="shared" si="29"/>
        <v>3902972</v>
      </c>
      <c r="CK7" s="31">
        <f t="shared" si="30"/>
        <v>0.62483562526755421</v>
      </c>
      <c r="CL7" s="10">
        <f>+Risultati!AE6+Risultati!AF6</f>
        <v>489231</v>
      </c>
      <c r="CM7" s="31">
        <f t="shared" si="31"/>
        <v>7.8322098591860456E-2</v>
      </c>
      <c r="CN7" s="10">
        <f>+Risultati!AT6</f>
        <v>338663</v>
      </c>
      <c r="CO7" s="31">
        <f t="shared" si="32"/>
        <v>5.4217326529625555E-2</v>
      </c>
      <c r="CP7" s="10">
        <f>+Risultati!AU6</f>
        <v>1273876</v>
      </c>
      <c r="CQ7" s="31">
        <f t="shared" si="33"/>
        <v>0.20393769337144382</v>
      </c>
      <c r="CR7" s="10">
        <f>+Risultati!AL6</f>
        <v>225861</v>
      </c>
      <c r="CS7" s="31">
        <f t="shared" si="34"/>
        <v>3.6158598923731723E-2</v>
      </c>
      <c r="CT7" s="10">
        <f t="shared" si="47"/>
        <v>2327631</v>
      </c>
      <c r="CU7" s="31">
        <f t="shared" si="35"/>
        <v>0.37263571741666157</v>
      </c>
      <c r="CV7" s="10">
        <f>+Risultati!AX6</f>
        <v>15795</v>
      </c>
      <c r="CW7" s="31">
        <f t="shared" si="36"/>
        <v>2.5286573157842327E-3</v>
      </c>
      <c r="CX7" s="10">
        <f t="shared" si="48"/>
        <v>6246398</v>
      </c>
      <c r="CY7" s="31">
        <f t="shared" si="37"/>
        <v>1</v>
      </c>
      <c r="CZ7" s="10">
        <f>+Risultati!AG6</f>
        <v>1586205</v>
      </c>
      <c r="DA7" s="31">
        <f t="shared" si="38"/>
        <v>0.25393915021104962</v>
      </c>
      <c r="DB7" s="10">
        <f t="shared" si="49"/>
        <v>181537</v>
      </c>
      <c r="DC7" s="31">
        <f t="shared" si="39"/>
        <v>2.9062669397627239E-2</v>
      </c>
      <c r="DD7" s="10">
        <f>+Risultati!AV6</f>
        <v>4475076</v>
      </c>
      <c r="DE7" s="31">
        <f t="shared" si="40"/>
        <v>0.7164250500848649</v>
      </c>
      <c r="DF7" s="10">
        <f>+Risultati!AJ6</f>
        <v>3427654</v>
      </c>
      <c r="DG7" s="31">
        <f t="shared" si="41"/>
        <v>0.54874089034992646</v>
      </c>
      <c r="DH7" s="10">
        <f t="shared" si="42"/>
        <v>1047422</v>
      </c>
      <c r="DI7" s="31">
        <f t="shared" si="43"/>
        <v>0.16768415973493844</v>
      </c>
      <c r="DJ7" s="10">
        <f>+Risultati!AW6</f>
        <v>3580</v>
      </c>
      <c r="DK7" s="31">
        <f t="shared" si="44"/>
        <v>5.73130306458218E-4</v>
      </c>
      <c r="DL7" s="10">
        <f t="shared" si="50"/>
        <v>6246398</v>
      </c>
      <c r="DM7" s="31">
        <f t="shared" si="45"/>
        <v>1</v>
      </c>
      <c r="DO7" s="30"/>
      <c r="DP7" s="30"/>
    </row>
    <row r="8" spans="1:120" x14ac:dyDescent="0.2">
      <c r="A8" s="5"/>
      <c r="B8" s="6" t="str">
        <f>+Risultati!B7</f>
        <v>GS SPA</v>
      </c>
      <c r="C8" s="6" t="str">
        <f>+Risultati!C7</f>
        <v>12683790153</v>
      </c>
      <c r="D8" s="26">
        <f>IF(YEAR(Risultati!D7)=1900,(MID(Risultati!$AP$1,29,4)),YEAR(Risultati!D7))</f>
        <v>2023</v>
      </c>
      <c r="E8" s="6" t="str">
        <f>+Risultati!E7</f>
        <v>Dettagliato</v>
      </c>
      <c r="F8" s="37" t="str">
        <f>(LEFT(Risultati!AN7,2)&amp;"-")&amp;VLOOKUP((LEFT(Risultati!AN7,2)),ateco!$B$4:$C$93,2,FALSE)</f>
        <v>47-Commercio al dettaglio (escluso quello di autoveicoli e di motocicli)</v>
      </c>
      <c r="G8" s="37" t="str">
        <f>SUBSTITUTE((Risultati!AN7&amp;"-"&amp;Risultati!AO7),",",";")</f>
        <v>471100-Commercio al dettaglio in esercizi non specializzati con prevalenza di prodotti alimentari e bevande</v>
      </c>
      <c r="I8" s="10">
        <f>+Risultati!G7</f>
        <v>3836122</v>
      </c>
      <c r="J8" s="11">
        <f t="shared" si="2"/>
        <v>1</v>
      </c>
      <c r="K8" s="12"/>
      <c r="L8" s="10">
        <f>+Risultati!G7+Risultati!H7</f>
        <v>3836122</v>
      </c>
      <c r="M8" s="11">
        <f t="shared" si="3"/>
        <v>0.85591136824326208</v>
      </c>
      <c r="N8" s="12"/>
      <c r="O8" s="10">
        <f>+Risultati!I7+Risultati!J7</f>
        <v>3289029</v>
      </c>
      <c r="P8" s="11">
        <f t="shared" si="4"/>
        <v>0.73384457313447493</v>
      </c>
      <c r="Q8" s="12"/>
      <c r="R8" s="13">
        <f t="shared" si="5"/>
        <v>547093</v>
      </c>
      <c r="S8" s="11">
        <f t="shared" si="6"/>
        <v>0.12206679510878721</v>
      </c>
      <c r="T8" s="12"/>
      <c r="U8" s="10">
        <f>+Risultati!F7-(Risultati!G7+Risultati!H7)</f>
        <v>645793</v>
      </c>
      <c r="V8" s="12">
        <f t="shared" si="7"/>
        <v>0.14408863175673792</v>
      </c>
      <c r="W8" s="12"/>
      <c r="X8" s="10">
        <f t="shared" si="8"/>
        <v>1192886</v>
      </c>
      <c r="Y8" s="12">
        <f t="shared" si="9"/>
        <v>0.26615542686552512</v>
      </c>
      <c r="Z8" s="12"/>
      <c r="AA8" s="10">
        <f>+Risultati!K7</f>
        <v>512822</v>
      </c>
      <c r="AB8" s="12">
        <f t="shared" si="10"/>
        <v>0.1144202868639856</v>
      </c>
      <c r="AC8" s="12"/>
      <c r="AD8" s="10">
        <f>+Risultati!L7</f>
        <v>484359</v>
      </c>
      <c r="AE8" s="12">
        <f t="shared" si="11"/>
        <v>0.10806965326205428</v>
      </c>
      <c r="AF8" s="12"/>
      <c r="AG8" s="10">
        <f>+Risultati!M7+Risultati!P7+Risultati!Q7</f>
        <v>23534</v>
      </c>
      <c r="AH8" s="12">
        <f t="shared" si="12"/>
        <v>5.2508804830078215E-3</v>
      </c>
      <c r="AI8" s="12"/>
      <c r="AJ8" s="13">
        <f t="shared" si="13"/>
        <v>172171</v>
      </c>
      <c r="AK8" s="11">
        <f t="shared" si="14"/>
        <v>3.841460625647742E-2</v>
      </c>
      <c r="AL8" s="12"/>
      <c r="AM8" s="10">
        <f>+Risultati!N7</f>
        <v>201389</v>
      </c>
      <c r="AN8" s="12">
        <f t="shared" si="15"/>
        <v>4.493369463722538E-2</v>
      </c>
      <c r="AO8" s="12"/>
      <c r="AP8" s="10">
        <f t="shared" si="46"/>
        <v>-29218</v>
      </c>
      <c r="AQ8" s="41">
        <f t="shared" si="16"/>
        <v>-6.5190883807479619E-3</v>
      </c>
      <c r="AR8" s="41"/>
      <c r="AS8" s="10">
        <f>+Risultati!O7</f>
        <v>83298</v>
      </c>
      <c r="AT8" s="12">
        <f t="shared" si="17"/>
        <v>1.8585359160091165E-2</v>
      </c>
      <c r="AU8" s="12"/>
      <c r="AV8" s="10">
        <f t="shared" si="18"/>
        <v>-112516</v>
      </c>
      <c r="AW8" s="12">
        <f t="shared" si="19"/>
        <v>-2.5104447540839129E-2</v>
      </c>
      <c r="AX8" s="12"/>
      <c r="AY8" s="10">
        <f>+Risultati!R7+Risultati!S7</f>
        <v>-15793</v>
      </c>
      <c r="AZ8" s="12">
        <f t="shared" si="20"/>
        <v>-3.5237169825844531E-3</v>
      </c>
      <c r="BA8" s="12"/>
      <c r="BB8" s="10">
        <f>+Risultati!T7</f>
        <v>0</v>
      </c>
      <c r="BC8" s="12">
        <f t="shared" si="21"/>
        <v>0</v>
      </c>
      <c r="BD8" s="12"/>
      <c r="BE8" s="10">
        <f>+Risultati!U7</f>
        <v>435</v>
      </c>
      <c r="BF8" s="12">
        <f t="shared" si="22"/>
        <v>9.705672686786787E-5</v>
      </c>
      <c r="BG8" s="12"/>
      <c r="BH8" s="10">
        <f t="shared" si="23"/>
        <v>-128744</v>
      </c>
      <c r="BI8" s="12">
        <f t="shared" si="24"/>
        <v>-2.8725221250291449E-2</v>
      </c>
      <c r="BK8" s="16">
        <f>IF(ISNUMBER(Risultati!X7/100),(Risultati!X7/100))</f>
        <v>-1.92791422056588E-3</v>
      </c>
      <c r="BL8" s="16">
        <f>IF(ISNUMBER(Risultati!Y7/100),(Risultati!Y7/100))</f>
        <v>-1.29216692312047E-2</v>
      </c>
      <c r="BM8" s="16">
        <f>IF(ISNUMBER(Risultati!Z7/100),(Risultati!Z7/100))</f>
        <v>0.10353828690047401</v>
      </c>
      <c r="BN8" s="16">
        <f>IF(AND(Risultati!AY7&lt;0,calcoli!AP8&lt;0),-IF(ISNUMBER(Risultati!AA7/100),(Risultati!AA7/100)),IF(ISNUMBER(Risultati!AA7/100),(Risultati!AA7/100)))</f>
        <v>-0.88887452324002891</v>
      </c>
      <c r="BO8" s="16">
        <f t="shared" si="0"/>
        <v>-2.8725221250291449E-2</v>
      </c>
      <c r="BP8" s="16">
        <f>IF(Risultati!AB7&gt;0,(AV8/Risultati!AB7),"0")</f>
        <v>-7.2670764930265364E-2</v>
      </c>
      <c r="BQ8" s="16">
        <f>IF(Risultati!AG7&lt;&gt;0,(BH8/Risultati!AG7),"0")</f>
        <v>-0.8450042334223774</v>
      </c>
      <c r="BR8" s="16">
        <f t="shared" si="1"/>
        <v>-2.8725221250291449E-2</v>
      </c>
      <c r="BS8" s="14">
        <f>IF(Risultati!AB7&gt;0,(Risultati!G7/Risultati!AB7),"0")</f>
        <v>2.4776380257547319</v>
      </c>
      <c r="BT8" s="15">
        <f>IF(Risultati!AG7&lt;&gt;0,(Risultati!AB7/Risultati!AG7),"0")</f>
        <v>10.16216961255981</v>
      </c>
      <c r="BU8" s="23">
        <f>IF(AND(Risultati!G7&gt;0,(Risultati!AE7-Risultati!AF7)&gt;=0),((Risultati!AE7-Risultati!AF7)/Risultati!G7*360),"0")</f>
        <v>34.407529270445515</v>
      </c>
      <c r="BV8" s="21">
        <f>IF(OR(E8="abbreviato",Risultati!G7=0),"0",((Risultati!AC7+Risultati!AD7)/Risultati!G7*360))</f>
        <v>12.423546487833287</v>
      </c>
      <c r="BW8" s="21">
        <f>IF(OR(E8="abbreviato",Risultati!G7=0,SUM(Risultati!I7+Risultati!K7+Risultati!M7)=0),"0",(((Risultati!AH7+Risultati!AI7)/(Risultati!I7+Risultati!K7+Risultati!N7)*360)))</f>
        <v>67.331744100655968</v>
      </c>
      <c r="BX8" s="16">
        <f>IF(Risultati!AB7&gt;0,(+Risultati!AG7/Risultati!AB7),"0")</f>
        <v>9.8404183174040136E-2</v>
      </c>
      <c r="BY8" s="22">
        <f>IF(OR(E8="abbreviato",Risultati!G7=0),"0",(((Risultati!AK7-(Risultati!AL7+Risultati!AM7))/Risultati!G7)))</f>
        <v>-9.892542520806168E-3</v>
      </c>
      <c r="BZ8" s="16">
        <f>IF(Risultati!G7&gt;0,(Risultati!AJ7/Risultati!G7),"0")</f>
        <v>0.33975222894370932</v>
      </c>
      <c r="CA8" s="37"/>
      <c r="CB8" s="10">
        <f>+Risultati!AP7</f>
        <v>0</v>
      </c>
      <c r="CC8" s="31">
        <f t="shared" si="25"/>
        <v>0</v>
      </c>
      <c r="CD8" s="10">
        <f>+Risultati!AQ7</f>
        <v>242393</v>
      </c>
      <c r="CE8" s="31">
        <f t="shared" si="26"/>
        <v>0.15655428534521734</v>
      </c>
      <c r="CF8" s="10">
        <f>+Risultati!AR7</f>
        <v>103985</v>
      </c>
      <c r="CG8" s="31">
        <f t="shared" si="27"/>
        <v>6.7160756959245629E-2</v>
      </c>
      <c r="CH8" s="10">
        <f>+Risultati!AS7</f>
        <v>340820</v>
      </c>
      <c r="CI8" s="31">
        <f t="shared" si="28"/>
        <v>0.22012529871471936</v>
      </c>
      <c r="CJ8" s="10">
        <f t="shared" si="29"/>
        <v>687198</v>
      </c>
      <c r="CK8" s="31">
        <f t="shared" si="30"/>
        <v>0.44384034101918235</v>
      </c>
      <c r="CL8" s="10">
        <f>+Risultati!AE7+Risultati!AF7</f>
        <v>366643</v>
      </c>
      <c r="CM8" s="31">
        <f t="shared" si="31"/>
        <v>0.23680359103532908</v>
      </c>
      <c r="CN8" s="10">
        <f>+Risultati!AT7</f>
        <v>418326</v>
      </c>
      <c r="CO8" s="31">
        <f t="shared" si="32"/>
        <v>0.27018407285409807</v>
      </c>
      <c r="CP8" s="10">
        <f>+Risultati!AU7</f>
        <v>0</v>
      </c>
      <c r="CQ8" s="31">
        <f t="shared" si="33"/>
        <v>0</v>
      </c>
      <c r="CR8" s="10">
        <f>+Risultati!AL7</f>
        <v>37962</v>
      </c>
      <c r="CS8" s="31">
        <f t="shared" si="34"/>
        <v>2.451850416585933E-2</v>
      </c>
      <c r="CT8" s="10">
        <f t="shared" si="47"/>
        <v>822931</v>
      </c>
      <c r="CU8" s="31">
        <f t="shared" si="35"/>
        <v>0.5315061680552865</v>
      </c>
      <c r="CV8" s="10">
        <f>+Risultati!AX7</f>
        <v>38171</v>
      </c>
      <c r="CW8" s="31">
        <f t="shared" si="36"/>
        <v>2.4653490925531228E-2</v>
      </c>
      <c r="CX8" s="10">
        <f t="shared" si="48"/>
        <v>1548300</v>
      </c>
      <c r="CY8" s="31">
        <f t="shared" si="37"/>
        <v>1</v>
      </c>
      <c r="CZ8" s="10">
        <f>+Risultati!AG7</f>
        <v>152359</v>
      </c>
      <c r="DA8" s="31">
        <f t="shared" si="38"/>
        <v>9.8404056061486792E-2</v>
      </c>
      <c r="DB8" s="10">
        <f t="shared" si="49"/>
        <v>85461</v>
      </c>
      <c r="DC8" s="31">
        <f t="shared" si="39"/>
        <v>5.5196667312536328E-2</v>
      </c>
      <c r="DD8" s="10">
        <f>+Risultati!AV7</f>
        <v>1309071</v>
      </c>
      <c r="DE8" s="31">
        <f t="shared" si="40"/>
        <v>0.84548924627010269</v>
      </c>
      <c r="DF8" s="10">
        <f>+Risultati!AJ7</f>
        <v>1303331</v>
      </c>
      <c r="DG8" s="31">
        <f t="shared" si="41"/>
        <v>0.84178195440160175</v>
      </c>
      <c r="DH8" s="10">
        <f t="shared" si="42"/>
        <v>5740</v>
      </c>
      <c r="DI8" s="31">
        <f t="shared" si="43"/>
        <v>3.7072918685009367E-3</v>
      </c>
      <c r="DJ8" s="10">
        <f>+Risultati!AW7</f>
        <v>1409</v>
      </c>
      <c r="DK8" s="31">
        <f t="shared" si="44"/>
        <v>9.1003035587418455E-4</v>
      </c>
      <c r="DL8" s="10">
        <f t="shared" si="50"/>
        <v>1548300</v>
      </c>
      <c r="DM8" s="31">
        <f t="shared" si="45"/>
        <v>1</v>
      </c>
      <c r="DP8" s="30"/>
    </row>
    <row r="9" spans="1:120" x14ac:dyDescent="0.2">
      <c r="A9" s="5"/>
      <c r="B9" s="6" t="str">
        <f>+Risultati!B8</f>
        <v>MD S.P.A.</v>
      </c>
      <c r="C9" s="6" t="str">
        <f>+Risultati!C8</f>
        <v>03185210618</v>
      </c>
      <c r="D9" s="26">
        <f>IF(YEAR(Risultati!D8)=1900,(MID(Risultati!$AP$1,29,4)),YEAR(Risultati!D8))</f>
        <v>2023</v>
      </c>
      <c r="E9" s="6" t="str">
        <f>+Risultati!E8</f>
        <v>Dettagliato</v>
      </c>
      <c r="F9" s="8" t="str">
        <f>(LEFT(Risultati!AN8,2)&amp;"-")&amp;VLOOKUP((LEFT(Risultati!AN8,2)),ateco!$B$4:$C$93,2,FALSE)</f>
        <v>47-Commercio al dettaglio (escluso quello di autoveicoli e di motocicli)</v>
      </c>
      <c r="G9" s="8" t="str">
        <f>SUBSTITUTE((Risultati!AN8&amp;"-"&amp;Risultati!AO8),",",";")</f>
        <v>471120-Supermercati</v>
      </c>
      <c r="I9" s="10">
        <f>+Risultati!G8</f>
        <v>3591475</v>
      </c>
      <c r="J9" s="11">
        <f t="shared" si="2"/>
        <v>1</v>
      </c>
      <c r="K9" s="12"/>
      <c r="L9" s="10">
        <f>+Risultati!G8+Risultati!H8</f>
        <v>3591475</v>
      </c>
      <c r="M9" s="11">
        <f t="shared" si="3"/>
        <v>0.97377420590689068</v>
      </c>
      <c r="N9" s="12"/>
      <c r="O9" s="10">
        <f>+Risultati!I8+Risultati!J8</f>
        <v>2774484</v>
      </c>
      <c r="P9" s="11">
        <f t="shared" si="4"/>
        <v>0.75225943488437863</v>
      </c>
      <c r="Q9" s="12"/>
      <c r="R9" s="13">
        <f t="shared" si="5"/>
        <v>816991</v>
      </c>
      <c r="S9" s="11">
        <f t="shared" si="6"/>
        <v>0.22151477102251205</v>
      </c>
      <c r="T9" s="12"/>
      <c r="U9" s="10">
        <f>+Risultati!F8-(Risultati!G8+Risultati!H8)</f>
        <v>96726</v>
      </c>
      <c r="V9" s="12">
        <f t="shared" si="7"/>
        <v>2.622579409310935E-2</v>
      </c>
      <c r="W9" s="12"/>
      <c r="X9" s="10">
        <f t="shared" si="8"/>
        <v>913717</v>
      </c>
      <c r="Y9" s="12">
        <f t="shared" si="9"/>
        <v>0.2477405651156214</v>
      </c>
      <c r="Z9" s="12"/>
      <c r="AA9" s="10">
        <f>+Risultati!K8</f>
        <v>309641</v>
      </c>
      <c r="AB9" s="12">
        <f t="shared" si="10"/>
        <v>8.395448078887241E-2</v>
      </c>
      <c r="AC9" s="12"/>
      <c r="AD9" s="10">
        <f>+Risultati!L8</f>
        <v>281347</v>
      </c>
      <c r="AE9" s="12">
        <f t="shared" si="11"/>
        <v>7.6282989999731571E-2</v>
      </c>
      <c r="AF9" s="12"/>
      <c r="AG9" s="10">
        <f>+Risultati!M8+Risultati!P8+Risultati!Q8</f>
        <v>19495</v>
      </c>
      <c r="AH9" s="12">
        <f t="shared" si="12"/>
        <v>5.2857748262635359E-3</v>
      </c>
      <c r="AI9" s="12"/>
      <c r="AJ9" s="13">
        <f t="shared" si="13"/>
        <v>303234</v>
      </c>
      <c r="AK9" s="11">
        <f t="shared" si="14"/>
        <v>8.2217319500753894E-2</v>
      </c>
      <c r="AL9" s="12"/>
      <c r="AM9" s="10">
        <f>+Risultati!N8</f>
        <v>87258</v>
      </c>
      <c r="AN9" s="12">
        <f t="shared" si="15"/>
        <v>2.365868888382168E-2</v>
      </c>
      <c r="AO9" s="12"/>
      <c r="AP9" s="10">
        <f t="shared" si="46"/>
        <v>215976</v>
      </c>
      <c r="AQ9" s="41">
        <f t="shared" si="16"/>
        <v>5.8558630616932214E-2</v>
      </c>
      <c r="AR9" s="41"/>
      <c r="AS9" s="10">
        <f>+Risultati!O8</f>
        <v>89695</v>
      </c>
      <c r="AT9" s="12">
        <f t="shared" si="17"/>
        <v>2.4319444628966805E-2</v>
      </c>
      <c r="AU9" s="12"/>
      <c r="AV9" s="10">
        <f t="shared" si="18"/>
        <v>126281</v>
      </c>
      <c r="AW9" s="12">
        <f t="shared" si="19"/>
        <v>3.4239185987965409E-2</v>
      </c>
      <c r="AX9" s="12"/>
      <c r="AY9" s="10">
        <f>+Risultati!R8+Risultati!S8</f>
        <v>-11047</v>
      </c>
      <c r="AZ9" s="12">
        <f t="shared" si="20"/>
        <v>-2.995227212399758E-3</v>
      </c>
      <c r="BA9" s="12"/>
      <c r="BB9" s="10">
        <f>+Risultati!T8</f>
        <v>0</v>
      </c>
      <c r="BC9" s="12">
        <f t="shared" si="21"/>
        <v>0</v>
      </c>
      <c r="BD9" s="12"/>
      <c r="BE9" s="10">
        <f>+Risultati!U8</f>
        <v>34984</v>
      </c>
      <c r="BF9" s="12">
        <f t="shared" si="22"/>
        <v>9.4853832532446041E-3</v>
      </c>
      <c r="BG9" s="12"/>
      <c r="BH9" s="10">
        <f t="shared" si="23"/>
        <v>80250</v>
      </c>
      <c r="BI9" s="12">
        <f t="shared" si="24"/>
        <v>2.1758575522321046E-2</v>
      </c>
      <c r="BK9" s="16">
        <f>IF(ISNUMBER(Risultati!X8/100),(Risultati!X8/100))</f>
        <v>7.7535383550062009E-2</v>
      </c>
      <c r="BL9" s="16">
        <f>IF(ISNUMBER(Risultati!Y8/100),(Risultati!Y8/100))</f>
        <v>0.19540188949037499</v>
      </c>
      <c r="BM9" s="16">
        <f>IF(ISNUMBER(Risultati!Z8/100),(Risultati!Z8/100))</f>
        <v>0.44543083314786602</v>
      </c>
      <c r="BN9" s="16">
        <f>IF(AND(Risultati!AY8&lt;0,calcoli!AP9&lt;0),-IF(ISNUMBER(Risultati!AA8/100),(Risultati!AA8/100)),IF(ISNUMBER(Risultati!AA8/100),(Risultati!AA8/100)))</f>
        <v>0.58204472703033294</v>
      </c>
      <c r="BO9" s="16">
        <f t="shared" si="0"/>
        <v>2.1758575522321046E-2</v>
      </c>
      <c r="BP9" s="16">
        <f>IF(Risultati!AB8&gt;0,(AV9/Risultati!AB8),"0")</f>
        <v>7.248235165141706E-2</v>
      </c>
      <c r="BQ9" s="16">
        <f>IF(Risultati!AG8&lt;&gt;0,(BH9/Risultati!AG8),"0")</f>
        <v>0.13829935736036936</v>
      </c>
      <c r="BR9" s="16">
        <f t="shared" si="1"/>
        <v>2.1758575522321046E-2</v>
      </c>
      <c r="BS9" s="14">
        <f>IF(Risultati!AB8&gt;0,(Risultati!G8/Risultati!AB8),"0")</f>
        <v>2.0614229685960126</v>
      </c>
      <c r="BT9" s="15">
        <f>IF(Risultati!AG8&lt;&gt;0,(Risultati!AB8/Risultati!AG8),"0")</f>
        <v>3.0024850800412914</v>
      </c>
      <c r="BU9" s="23">
        <f>IF(AND(Risultati!G8&gt;0,(Risultati!AE8-Risultati!AF8)&gt;=0),((Risultati!AE8-Risultati!AF8)/Risultati!G8*360),"0")</f>
        <v>18.788492193318902</v>
      </c>
      <c r="BV9" s="21">
        <f>IF(OR(E9="abbreviato",Risultati!G8=0),"0",((Risultati!AC8+Risultati!AD8)/Risultati!G8*360))</f>
        <v>12.820559797854642</v>
      </c>
      <c r="BW9" s="21">
        <f>IF(OR(E9="abbreviato",Risultati!G8=0,SUM(Risultati!I8+Risultati!K8+Risultati!M8)=0),"0",(((Risultati!AH8+Risultati!AI8)/(Risultati!I8+Risultati!K8+Risultati!N8)*360)))</f>
        <v>80.969872957340783</v>
      </c>
      <c r="BX9" s="16">
        <f>IF(Risultati!AB8&gt;0,(+Risultati!AG8/Risultati!AB8),"0")</f>
        <v>0.3330574418662049</v>
      </c>
      <c r="BY9" s="22">
        <f>IF(OR(E9="abbreviato",Risultati!G8=0),"0",(((Risultati!AK8-(Risultati!AL8+Risultati!AM8))/Risultati!G8)))</f>
        <v>3.5122338315037693E-2</v>
      </c>
      <c r="BZ9" s="16">
        <f>IF(Risultati!G8&gt;0,(Risultati!AJ8/Risultati!G8),"0")</f>
        <v>0.26932945377595557</v>
      </c>
      <c r="CA9" s="8"/>
      <c r="CB9" s="10">
        <f>+Risultati!AP8</f>
        <v>0</v>
      </c>
      <c r="CC9" s="31">
        <f t="shared" si="25"/>
        <v>0</v>
      </c>
      <c r="CD9" s="10">
        <f>+Risultati!AQ8</f>
        <v>377888</v>
      </c>
      <c r="CE9" s="31">
        <f t="shared" si="26"/>
        <v>0.21689890720576088</v>
      </c>
      <c r="CF9" s="10">
        <f>+Risultati!AR8</f>
        <v>607643</v>
      </c>
      <c r="CG9" s="31">
        <f t="shared" si="27"/>
        <v>0.34877292391192671</v>
      </c>
      <c r="CH9" s="10">
        <f>+Risultati!AS8</f>
        <v>186865</v>
      </c>
      <c r="CI9" s="31">
        <f t="shared" si="28"/>
        <v>0.10725615604360157</v>
      </c>
      <c r="CJ9" s="10">
        <f t="shared" si="29"/>
        <v>1172396</v>
      </c>
      <c r="CK9" s="31">
        <f t="shared" si="30"/>
        <v>0.67292798716128921</v>
      </c>
      <c r="CL9" s="10">
        <f>+Risultati!AE8+Risultati!AF8</f>
        <v>187440</v>
      </c>
      <c r="CM9" s="31">
        <f t="shared" si="31"/>
        <v>0.10758619264609573</v>
      </c>
      <c r="CN9" s="10">
        <f>+Risultati!AT8</f>
        <v>173715</v>
      </c>
      <c r="CO9" s="31">
        <f t="shared" si="32"/>
        <v>9.9708362438735168E-2</v>
      </c>
      <c r="CP9" s="10">
        <f>+Risultati!AU8</f>
        <v>0</v>
      </c>
      <c r="CQ9" s="31">
        <f t="shared" si="33"/>
        <v>0</v>
      </c>
      <c r="CR9" s="10">
        <f>+Risultati!AL8</f>
        <v>195835</v>
      </c>
      <c r="CS9" s="31">
        <f t="shared" si="34"/>
        <v>0.11240472704251044</v>
      </c>
      <c r="CT9" s="10">
        <f t="shared" si="47"/>
        <v>556990</v>
      </c>
      <c r="CU9" s="31">
        <f t="shared" si="35"/>
        <v>0.31969928212734133</v>
      </c>
      <c r="CV9" s="10">
        <f>+Risultati!AX8</f>
        <v>12845</v>
      </c>
      <c r="CW9" s="31">
        <f t="shared" si="36"/>
        <v>7.3727307113695024E-3</v>
      </c>
      <c r="CX9" s="10">
        <f t="shared" si="48"/>
        <v>1742231</v>
      </c>
      <c r="CY9" s="31">
        <f t="shared" si="37"/>
        <v>1</v>
      </c>
      <c r="CZ9" s="10">
        <f>+Risultati!AG8</f>
        <v>580263</v>
      </c>
      <c r="DA9" s="31">
        <f t="shared" si="38"/>
        <v>0.3330574418662049</v>
      </c>
      <c r="DB9" s="10">
        <f t="shared" si="49"/>
        <v>37136</v>
      </c>
      <c r="DC9" s="31">
        <f t="shared" si="39"/>
        <v>2.1315198730822722E-2</v>
      </c>
      <c r="DD9" s="10">
        <f>+Risultati!AV8</f>
        <v>1116038</v>
      </c>
      <c r="DE9" s="31">
        <f t="shared" si="40"/>
        <v>0.64057980830326178</v>
      </c>
      <c r="DF9" s="10">
        <f>+Risultati!AJ8</f>
        <v>967290</v>
      </c>
      <c r="DG9" s="31">
        <f t="shared" si="41"/>
        <v>0.55520192213317288</v>
      </c>
      <c r="DH9" s="10">
        <f t="shared" si="42"/>
        <v>148748</v>
      </c>
      <c r="DI9" s="31">
        <f t="shared" si="43"/>
        <v>8.5377886170088818E-2</v>
      </c>
      <c r="DJ9" s="10">
        <f>+Risultati!AW8</f>
        <v>8794</v>
      </c>
      <c r="DK9" s="31">
        <f t="shared" si="44"/>
        <v>5.0475510997106581E-3</v>
      </c>
      <c r="DL9" s="10">
        <f t="shared" si="50"/>
        <v>1742231</v>
      </c>
      <c r="DM9" s="31">
        <f t="shared" si="45"/>
        <v>1</v>
      </c>
      <c r="DO9" s="30"/>
      <c r="DP9" s="30"/>
    </row>
    <row r="10" spans="1:120" x14ac:dyDescent="0.2">
      <c r="A10" s="5"/>
      <c r="B10" s="6" t="str">
        <f>+Risultati!B9</f>
        <v>SPESA INTELLIGENTE S.P.A.</v>
      </c>
      <c r="C10" s="6" t="str">
        <f>+Risultati!C9</f>
        <v>02416840235</v>
      </c>
      <c r="D10" s="26">
        <f>IF(YEAR(Risultati!D9)=1900,(MID(Risultati!$AP$1,29,4)),YEAR(Risultati!D9))</f>
        <v>2023</v>
      </c>
      <c r="E10" s="6" t="str">
        <f>+Risultati!E9</f>
        <v>Dettagliato</v>
      </c>
      <c r="F10" s="8" t="str">
        <f>(LEFT(Risultati!AN9,2)&amp;"-")&amp;VLOOKUP((LEFT(Risultati!AN9,2)),ateco!$B$4:$C$93,2,FALSE)</f>
        <v>47-Commercio al dettaglio (escluso quello di autoveicoli e di motocicli)</v>
      </c>
      <c r="G10" s="8" t="str">
        <f>SUBSTITUTE((Risultati!AN9&amp;"-"&amp;Risultati!AO9),",",";")</f>
        <v>471100-Commercio al dettaglio in esercizi non specializzati con prevalenza di prodotti alimentari e bevande</v>
      </c>
      <c r="I10" s="10">
        <f>+Risultati!G9</f>
        <v>3162613</v>
      </c>
      <c r="J10" s="11">
        <f t="shared" si="2"/>
        <v>1</v>
      </c>
      <c r="K10" s="12"/>
      <c r="L10" s="10">
        <f>+Risultati!G9+Risultati!H9</f>
        <v>3162613</v>
      </c>
      <c r="M10" s="11">
        <f t="shared" si="3"/>
        <v>0.99405224394757752</v>
      </c>
      <c r="N10" s="12"/>
      <c r="O10" s="10">
        <f>+Risultati!I9+Risultati!J9</f>
        <v>2480435</v>
      </c>
      <c r="P10" s="11">
        <f t="shared" si="4"/>
        <v>0.77963442815042794</v>
      </c>
      <c r="Q10" s="12"/>
      <c r="R10" s="13">
        <f t="shared" si="5"/>
        <v>682178</v>
      </c>
      <c r="S10" s="11">
        <f t="shared" si="6"/>
        <v>0.21441781579714955</v>
      </c>
      <c r="T10" s="12"/>
      <c r="U10" s="10">
        <f>+Risultati!F9-(Risultati!G9+Risultati!H9)</f>
        <v>18923</v>
      </c>
      <c r="V10" s="12">
        <f t="shared" si="7"/>
        <v>5.947756052422478E-3</v>
      </c>
      <c r="W10" s="12"/>
      <c r="X10" s="10">
        <f t="shared" si="8"/>
        <v>701101</v>
      </c>
      <c r="Y10" s="12">
        <f t="shared" si="9"/>
        <v>0.22036557184957203</v>
      </c>
      <c r="Z10" s="12"/>
      <c r="AA10" s="10">
        <f>+Risultati!K9</f>
        <v>212848</v>
      </c>
      <c r="AB10" s="12">
        <f t="shared" si="10"/>
        <v>6.6901018878931434E-2</v>
      </c>
      <c r="AC10" s="12"/>
      <c r="AD10" s="10">
        <f>+Risultati!L9</f>
        <v>225039</v>
      </c>
      <c r="AE10" s="12">
        <f t="shared" si="11"/>
        <v>7.0732815847439734E-2</v>
      </c>
      <c r="AF10" s="12"/>
      <c r="AG10" s="10">
        <f>+Risultati!M9+Risultati!P9+Risultati!Q9</f>
        <v>11545</v>
      </c>
      <c r="AH10" s="12">
        <f t="shared" si="12"/>
        <v>3.6287503897488508E-3</v>
      </c>
      <c r="AI10" s="12"/>
      <c r="AJ10" s="13">
        <f t="shared" si="13"/>
        <v>251669</v>
      </c>
      <c r="AK10" s="11">
        <f t="shared" si="14"/>
        <v>7.9102986733452021E-2</v>
      </c>
      <c r="AL10" s="12"/>
      <c r="AM10" s="10">
        <f>+Risultati!N9</f>
        <v>13125</v>
      </c>
      <c r="AN10" s="12">
        <f t="shared" si="15"/>
        <v>4.1253658610180743E-3</v>
      </c>
      <c r="AO10" s="12"/>
      <c r="AP10" s="10">
        <f t="shared" si="46"/>
        <v>238544</v>
      </c>
      <c r="AQ10" s="41">
        <f t="shared" si="16"/>
        <v>7.4977620872433939E-2</v>
      </c>
      <c r="AR10" s="41"/>
      <c r="AS10" s="10">
        <f>+Risultati!O9</f>
        <v>67213</v>
      </c>
      <c r="AT10" s="12">
        <f t="shared" si="17"/>
        <v>2.1125959285074884E-2</v>
      </c>
      <c r="AU10" s="12"/>
      <c r="AV10" s="10">
        <f t="shared" si="18"/>
        <v>171331</v>
      </c>
      <c r="AW10" s="12">
        <f t="shared" si="19"/>
        <v>5.3851661587359059E-2</v>
      </c>
      <c r="AX10" s="12"/>
      <c r="AY10" s="10">
        <f>+Risultati!R9+Risultati!S9</f>
        <v>2678</v>
      </c>
      <c r="AZ10" s="12">
        <f t="shared" si="20"/>
        <v>8.417317924423926E-4</v>
      </c>
      <c r="BA10" s="12"/>
      <c r="BB10" s="10">
        <f>+Risultati!T9</f>
        <v>0</v>
      </c>
      <c r="BC10" s="12">
        <f t="shared" si="21"/>
        <v>0</v>
      </c>
      <c r="BD10" s="12"/>
      <c r="BE10" s="10">
        <f>+Risultati!U9</f>
        <v>45598</v>
      </c>
      <c r="BF10" s="12">
        <f t="shared" si="22"/>
        <v>1.433207104995826E-2</v>
      </c>
      <c r="BG10" s="12"/>
      <c r="BH10" s="10">
        <f t="shared" si="23"/>
        <v>128411</v>
      </c>
      <c r="BI10" s="12">
        <f t="shared" si="24"/>
        <v>4.0361322329843193E-2</v>
      </c>
      <c r="BK10" s="16">
        <f>IF(ISNUMBER(Risultati!X9/100),(Risultati!X9/100))</f>
        <v>0.11617275654645001</v>
      </c>
      <c r="BL10" s="16">
        <f>IF(ISNUMBER(Risultati!Y9/100),(Risultati!Y9/100))</f>
        <v>0.26844259665087</v>
      </c>
      <c r="BM10" s="16">
        <f>IF(ISNUMBER(Risultati!Z9/100),(Risultati!Z9/100))</f>
        <v>0.47698139606999201</v>
      </c>
      <c r="BN10" s="16">
        <f>IF(AND(Risultati!AY9&lt;0,calcoli!AP10&lt;0),-IF(ISNUMBER(Risultati!AA9/100),(Risultati!AA9/100)),IF(ISNUMBER(Risultati!AA9/100),(Risultati!AA9/100)))</f>
        <v>0.6695946135110169</v>
      </c>
      <c r="BO10" s="16">
        <f t="shared" si="0"/>
        <v>4.0361322329843193E-2</v>
      </c>
      <c r="BP10" s="16">
        <f>IF(Risultati!AB9&gt;0,(AV10/Risultati!AB9),"0")</f>
        <v>0.12606534639623565</v>
      </c>
      <c r="BQ10" s="16">
        <f>IF(Risultati!AG9&lt;&gt;0,(BH10/Risultati!AG9),"0")</f>
        <v>0.15568536307105507</v>
      </c>
      <c r="BR10" s="16">
        <f t="shared" si="1"/>
        <v>4.0361322329843193E-2</v>
      </c>
      <c r="BS10" s="14">
        <f>IF(Risultati!AB9&gt;0,(Risultati!G9/Risultati!AB9),"0")</f>
        <v>2.3270505825696342</v>
      </c>
      <c r="BT10" s="15">
        <f>IF(Risultati!AG9&lt;&gt;0,(Risultati!AB9/Risultati!AG9),"0")</f>
        <v>1.6477289948848888</v>
      </c>
      <c r="BU10" s="23">
        <f>IF(AND(Risultati!G9&gt;0,(Risultati!AE9-Risultati!AF9)&gt;=0),((Risultati!AE9-Risultati!AF9)/Risultati!G9*360),"0")</f>
        <v>13.507172708137228</v>
      </c>
      <c r="BV10" s="21">
        <f>IF(OR(E10="abbreviato",Risultati!G9=0),"0",((Risultati!AC9+Risultati!AD9)/Risultati!G9*360))</f>
        <v>6.894223226174053</v>
      </c>
      <c r="BW10" s="21">
        <f>IF(OR(E10="abbreviato",Risultati!G9=0,SUM(Risultati!I9+Risultati!K9+Risultati!M9)=0),"0",(((Risultati!AH9+Risultati!AI9)/(Risultati!I9+Risultati!K9+Risultati!N9)*360)))</f>
        <v>53.649267389085438</v>
      </c>
      <c r="BX10" s="16">
        <f>IF(Risultati!AB9&gt;0,(+Risultati!AG9/Risultati!AB9),"0")</f>
        <v>0.60689591741381022</v>
      </c>
      <c r="BY10" s="22">
        <f>IF(OR(E10="abbreviato",Risultati!G9=0),"0",(((Risultati!AK9-(Risultati!AL9+Risultati!AM9))/Risultati!G9)))</f>
        <v>-9.0867899423672759E-3</v>
      </c>
      <c r="BZ10" s="16">
        <f>IF(Risultati!G9&gt;0,(Risultati!AJ9/Risultati!G9),"0")</f>
        <v>0.16535187833604681</v>
      </c>
      <c r="CA10" s="8"/>
      <c r="CB10" s="10">
        <f>+Risultati!AP9</f>
        <v>0</v>
      </c>
      <c r="CC10" s="31">
        <f t="shared" si="25"/>
        <v>0</v>
      </c>
      <c r="CD10" s="10">
        <f>+Risultati!AQ9</f>
        <v>18418</v>
      </c>
      <c r="CE10" s="31">
        <f t="shared" si="26"/>
        <v>1.3551964034096971E-2</v>
      </c>
      <c r="CF10" s="10">
        <f>+Risultati!AR9</f>
        <v>1074920</v>
      </c>
      <c r="CG10" s="31">
        <f t="shared" si="27"/>
        <v>0.79092611464499496</v>
      </c>
      <c r="CH10" s="10">
        <f>+Risultati!AS9</f>
        <v>858</v>
      </c>
      <c r="CI10" s="31">
        <f t="shared" si="28"/>
        <v>6.3131638295445768E-4</v>
      </c>
      <c r="CJ10" s="10">
        <f t="shared" si="29"/>
        <v>1094196</v>
      </c>
      <c r="CK10" s="31">
        <f t="shared" si="30"/>
        <v>0.80510939506204637</v>
      </c>
      <c r="CL10" s="10">
        <f>+Risultati!AE9+Risultati!AF9</f>
        <v>118661</v>
      </c>
      <c r="CM10" s="31">
        <f t="shared" si="31"/>
        <v>8.7310761442609436E-2</v>
      </c>
      <c r="CN10" s="10">
        <f>+Risultati!AT9</f>
        <v>105277</v>
      </c>
      <c r="CO10" s="31">
        <f t="shared" si="32"/>
        <v>7.7462814508504008E-2</v>
      </c>
      <c r="CP10" s="10">
        <f>+Risultati!AU9</f>
        <v>1561</v>
      </c>
      <c r="CQ10" s="31">
        <f t="shared" si="33"/>
        <v>1.1485837689882382E-3</v>
      </c>
      <c r="CR10" s="10">
        <f>+Risultati!AL9</f>
        <v>37692</v>
      </c>
      <c r="CS10" s="31">
        <f t="shared" si="34"/>
        <v>2.7733772851188134E-2</v>
      </c>
      <c r="CT10" s="10">
        <f t="shared" si="47"/>
        <v>263191</v>
      </c>
      <c r="CU10" s="31">
        <f t="shared" si="35"/>
        <v>0.19365593257128982</v>
      </c>
      <c r="CV10" s="10">
        <f>+Risultati!AX9</f>
        <v>1678</v>
      </c>
      <c r="CW10" s="31">
        <f t="shared" si="36"/>
        <v>1.234672366663846E-3</v>
      </c>
      <c r="CX10" s="10">
        <f t="shared" si="48"/>
        <v>1359065</v>
      </c>
      <c r="CY10" s="31">
        <f t="shared" si="37"/>
        <v>1</v>
      </c>
      <c r="CZ10" s="10">
        <f>+Risultati!AG9</f>
        <v>824811</v>
      </c>
      <c r="DA10" s="31">
        <f t="shared" si="38"/>
        <v>0.60689591741381022</v>
      </c>
      <c r="DB10" s="10">
        <f t="shared" si="49"/>
        <v>3146</v>
      </c>
      <c r="DC10" s="31">
        <f t="shared" si="39"/>
        <v>2.3148267374996779E-3</v>
      </c>
      <c r="DD10" s="10">
        <f>+Risultati!AV9</f>
        <v>522997</v>
      </c>
      <c r="DE10" s="31">
        <f t="shared" si="40"/>
        <v>0.38482118220982808</v>
      </c>
      <c r="DF10" s="10">
        <f>+Risultati!AJ9</f>
        <v>522944</v>
      </c>
      <c r="DG10" s="31">
        <f t="shared" si="41"/>
        <v>0.384782184810881</v>
      </c>
      <c r="DH10" s="10">
        <f t="shared" si="42"/>
        <v>53</v>
      </c>
      <c r="DI10" s="31">
        <f t="shared" si="43"/>
        <v>3.899739894707023E-5</v>
      </c>
      <c r="DJ10" s="10">
        <f>+Risultati!AW9</f>
        <v>8111</v>
      </c>
      <c r="DK10" s="31">
        <f t="shared" si="44"/>
        <v>5.9680736388620119E-3</v>
      </c>
      <c r="DL10" s="10">
        <f t="shared" si="50"/>
        <v>1359065</v>
      </c>
      <c r="DM10" s="31">
        <f t="shared" si="45"/>
        <v>1</v>
      </c>
      <c r="DO10" s="30"/>
      <c r="DP10" s="30"/>
    </row>
    <row r="11" spans="1:120" x14ac:dyDescent="0.2">
      <c r="A11" s="5"/>
      <c r="B11" s="6" t="str">
        <f>+Risultati!B10</f>
        <v>UNICOOP FIRENZE SOCIETA' COOPERATIVA IN SIGLA UNICOOP FIRENZE SC</v>
      </c>
      <c r="C11" s="6" t="str">
        <f>+Risultati!C10</f>
        <v>00407780485</v>
      </c>
      <c r="D11" s="26">
        <f>IF(YEAR(Risultati!D10)=1900,(MID(Risultati!$AP$1,29,4)),YEAR(Risultati!D10))</f>
        <v>2023</v>
      </c>
      <c r="E11" s="6" t="str">
        <f>+Risultati!E10</f>
        <v>Dettagliato</v>
      </c>
      <c r="F11" s="8" t="str">
        <f>(LEFT(Risultati!AN10,2)&amp;"-")&amp;VLOOKUP((LEFT(Risultati!AN10,2)),ateco!$B$4:$C$93,2,FALSE)</f>
        <v>47-Commercio al dettaglio (escluso quello di autoveicoli e di motocicli)</v>
      </c>
      <c r="G11" s="8" t="str">
        <f>SUBSTITUTE((Risultati!AN10&amp;"-"&amp;Risultati!AO10),",",";")</f>
        <v>471120-Supermercati</v>
      </c>
      <c r="I11" s="10">
        <f>+Risultati!G10</f>
        <v>3014665</v>
      </c>
      <c r="J11" s="11">
        <f t="shared" si="2"/>
        <v>1</v>
      </c>
      <c r="K11" s="12"/>
      <c r="L11" s="10">
        <f>+Risultati!G10+Risultati!H10</f>
        <v>3014665</v>
      </c>
      <c r="M11" s="11">
        <f t="shared" si="3"/>
        <v>0.96290318665341346</v>
      </c>
      <c r="N11" s="12"/>
      <c r="O11" s="10">
        <f>+Risultati!I10+Risultati!J10</f>
        <v>2408177</v>
      </c>
      <c r="P11" s="11">
        <f t="shared" si="4"/>
        <v>0.76918705969832712</v>
      </c>
      <c r="Q11" s="12"/>
      <c r="R11" s="13">
        <f t="shared" si="5"/>
        <v>606488</v>
      </c>
      <c r="S11" s="11">
        <f t="shared" si="6"/>
        <v>0.19371612695508636</v>
      </c>
      <c r="T11" s="12"/>
      <c r="U11" s="10">
        <f>+Risultati!F10-(Risultati!G10+Risultati!H10)</f>
        <v>116143</v>
      </c>
      <c r="V11" s="12">
        <f t="shared" si="7"/>
        <v>3.7096813346586571E-2</v>
      </c>
      <c r="W11" s="12"/>
      <c r="X11" s="10">
        <f t="shared" si="8"/>
        <v>722631</v>
      </c>
      <c r="Y11" s="12">
        <f t="shared" si="9"/>
        <v>0.23081294030167293</v>
      </c>
      <c r="Z11" s="12"/>
      <c r="AA11" s="10">
        <f>+Risultati!K10</f>
        <v>246066</v>
      </c>
      <c r="AB11" s="12">
        <f t="shared" si="10"/>
        <v>7.859504639058032E-2</v>
      </c>
      <c r="AC11" s="12"/>
      <c r="AD11" s="10">
        <f>+Risultati!L10</f>
        <v>290560</v>
      </c>
      <c r="AE11" s="12">
        <f t="shared" si="11"/>
        <v>9.280671315519827E-2</v>
      </c>
      <c r="AF11" s="12"/>
      <c r="AG11" s="10">
        <f>+Risultati!M10+Risultati!P10+Risultati!Q10</f>
        <v>76973</v>
      </c>
      <c r="AH11" s="12">
        <f t="shared" si="12"/>
        <v>2.4585666064479202E-2</v>
      </c>
      <c r="AI11" s="12"/>
      <c r="AJ11" s="13">
        <f t="shared" si="13"/>
        <v>109032</v>
      </c>
      <c r="AK11" s="11">
        <f t="shared" si="14"/>
        <v>3.4825514691415121E-2</v>
      </c>
      <c r="AL11" s="12"/>
      <c r="AM11" s="10">
        <f>+Risultati!N10</f>
        <v>8481</v>
      </c>
      <c r="AN11" s="12">
        <f t="shared" si="15"/>
        <v>2.7088853739992997E-3</v>
      </c>
      <c r="AO11" s="12"/>
      <c r="AP11" s="10">
        <f t="shared" si="46"/>
        <v>100551</v>
      </c>
      <c r="AQ11" s="41">
        <f t="shared" si="16"/>
        <v>3.2116629317415823E-2</v>
      </c>
      <c r="AR11" s="41"/>
      <c r="AS11" s="10">
        <f>+Risultati!O10</f>
        <v>99612</v>
      </c>
      <c r="AT11" s="12">
        <f t="shared" si="17"/>
        <v>3.1816706741518486E-2</v>
      </c>
      <c r="AU11" s="12"/>
      <c r="AV11" s="10">
        <f t="shared" si="18"/>
        <v>939</v>
      </c>
      <c r="AW11" s="12">
        <f t="shared" si="19"/>
        <v>2.9992257589734022E-4</v>
      </c>
      <c r="AX11" s="12"/>
      <c r="AY11" s="10">
        <f>+Risultati!R10+Risultati!S10</f>
        <v>36002</v>
      </c>
      <c r="AZ11" s="12">
        <f t="shared" si="20"/>
        <v>1.1499267920613464E-2</v>
      </c>
      <c r="BA11" s="12"/>
      <c r="BB11" s="10">
        <f>+Risultati!T10</f>
        <v>0</v>
      </c>
      <c r="BC11" s="12">
        <f t="shared" si="21"/>
        <v>0</v>
      </c>
      <c r="BD11" s="12"/>
      <c r="BE11" s="10">
        <f>+Risultati!U10</f>
        <v>11377</v>
      </c>
      <c r="BF11" s="12">
        <f t="shared" si="22"/>
        <v>3.6338862044558466E-3</v>
      </c>
      <c r="BG11" s="12"/>
      <c r="BH11" s="10">
        <f t="shared" si="23"/>
        <v>25564</v>
      </c>
      <c r="BI11" s="12">
        <f t="shared" si="24"/>
        <v>8.1653042920549583E-3</v>
      </c>
      <c r="BK11" s="16">
        <f>IF(ISNUMBER(Risultati!X10/100),(Risultati!X10/100))</f>
        <v>0.111996995983456</v>
      </c>
      <c r="BL11" s="16">
        <f>IF(ISNUMBER(Risultati!Y10/100),(Risultati!Y10/100))</f>
        <v>0.24896167229486899</v>
      </c>
      <c r="BM11" s="16">
        <f>IF(ISNUMBER(Risultati!Z10/100),(Risultati!Z10/100))</f>
        <v>0.264687633588299</v>
      </c>
      <c r="BN11" s="16">
        <f>IF(AND(Risultati!AY10&lt;0,calcoli!AP11&lt;0),-IF(ISNUMBER(Risultati!AA10/100),(Risultati!AA10/100)),IF(ISNUMBER(Risultati!AA10/100),(Risultati!AA10/100)))</f>
        <v>-0.36931896584166501</v>
      </c>
      <c r="BO11" s="16">
        <f t="shared" si="0"/>
        <v>8.1653042920549583E-3</v>
      </c>
      <c r="BP11" s="16">
        <f>IF(Risultati!AB10&gt;0,(AV11/Risultati!AB10),"0")</f>
        <v>2.4667079798659889E-4</v>
      </c>
      <c r="BQ11" s="16">
        <f>IF(Risultati!AG10&lt;&gt;0,(BH11/Risultati!AG10),"0")</f>
        <v>1.4354862257560953E-2</v>
      </c>
      <c r="BR11" s="16">
        <f t="shared" si="1"/>
        <v>8.1653042920549583E-3</v>
      </c>
      <c r="BS11" s="14">
        <f>IF(Risultati!AB10&gt;0,(Risultati!G10/Risultati!AB10),"0")</f>
        <v>0.79193804175960603</v>
      </c>
      <c r="BT11" s="15">
        <f>IF(Risultati!AG10&lt;&gt;0,(Risultati!AB10/Risultati!AG10),"0")</f>
        <v>2.1375588198960052</v>
      </c>
      <c r="BU11" s="23">
        <f>IF(AND(Risultati!G10&gt;0,(Risultati!AE10-Risultati!AF10)&gt;=0),((Risultati!AE10-Risultati!AF10)/Risultati!G10*360),"0")</f>
        <v>14.673988652138796</v>
      </c>
      <c r="BV11" s="21">
        <f>IF(OR(E11="abbreviato",Risultati!G10=0),"0",((Risultati!AC10+Risultati!AD10)/Risultati!G10*360))</f>
        <v>10.695277916451746</v>
      </c>
      <c r="BW11" s="21">
        <f>IF(OR(E11="abbreviato",Risultati!G10=0,SUM(Risultati!I10+Risultati!K10+Risultati!M10)=0),"0",(((Risultati!AH10+Risultati!AI10)/(Risultati!I10+Risultati!K10+Risultati!N10)*360)))</f>
        <v>58.34775713715301</v>
      </c>
      <c r="BX11" s="16">
        <f>IF(Risultati!AB10&gt;0,(+Risultati!AG10/Risultati!AB10),"0")</f>
        <v>0.46782338370864157</v>
      </c>
      <c r="BY11" s="22">
        <f>IF(OR(E11="abbreviato",Risultati!G10=0),"0",(((Risultati!AK10-(Risultati!AL10+Risultati!AM10))/Risultati!G10)))</f>
        <v>0.39332463142670909</v>
      </c>
      <c r="BZ11" s="16">
        <f>IF(Risultati!G10&gt;0,(Risultati!AJ10/Risultati!G10),"0")</f>
        <v>0.59206678022267811</v>
      </c>
      <c r="CA11" s="8"/>
      <c r="CB11" s="10">
        <f>+Risultati!AP10</f>
        <v>0</v>
      </c>
      <c r="CC11" s="31">
        <f t="shared" si="25"/>
        <v>0</v>
      </c>
      <c r="CD11" s="10">
        <f>+Risultati!AQ10</f>
        <v>36851</v>
      </c>
      <c r="CE11" s="31">
        <f t="shared" si="26"/>
        <v>9.6805835617906569E-3</v>
      </c>
      <c r="CF11" s="10">
        <f>+Risultati!AR10</f>
        <v>1375389</v>
      </c>
      <c r="CG11" s="31">
        <f t="shared" si="27"/>
        <v>0.36130819094373801</v>
      </c>
      <c r="CH11" s="10">
        <f>+Risultati!AS10</f>
        <v>1252493</v>
      </c>
      <c r="CI11" s="31">
        <f t="shared" si="28"/>
        <v>0.32902399248481357</v>
      </c>
      <c r="CJ11" s="10">
        <f t="shared" si="29"/>
        <v>2664733</v>
      </c>
      <c r="CK11" s="31">
        <f t="shared" si="30"/>
        <v>0.70001276699034232</v>
      </c>
      <c r="CL11" s="10">
        <f>+Risultati!AE10+Risultati!AF10</f>
        <v>164563</v>
      </c>
      <c r="CM11" s="31">
        <f t="shared" si="31"/>
        <v>4.3229922462862766E-2</v>
      </c>
      <c r="CN11" s="10">
        <f>+Risultati!AT10</f>
        <v>241745</v>
      </c>
      <c r="CO11" s="31">
        <f t="shared" si="32"/>
        <v>6.3505269141816575E-2</v>
      </c>
      <c r="CP11" s="10">
        <f>+Risultati!AU10</f>
        <v>513026</v>
      </c>
      <c r="CQ11" s="31">
        <f t="shared" si="33"/>
        <v>0.13476950591221984</v>
      </c>
      <c r="CR11" s="10">
        <f>+Risultati!AL10</f>
        <v>210389</v>
      </c>
      <c r="CS11" s="31">
        <f t="shared" si="34"/>
        <v>5.5268196113581032E-2</v>
      </c>
      <c r="CT11" s="10">
        <f t="shared" si="47"/>
        <v>1129723</v>
      </c>
      <c r="CU11" s="31">
        <f t="shared" si="35"/>
        <v>0.29677289363048021</v>
      </c>
      <c r="CV11" s="10">
        <f>+Risultati!AX10</f>
        <v>12236</v>
      </c>
      <c r="CW11" s="31">
        <f t="shared" si="36"/>
        <v>3.2143393791775115E-3</v>
      </c>
      <c r="CX11" s="10">
        <f t="shared" si="48"/>
        <v>3806692</v>
      </c>
      <c r="CY11" s="31">
        <f t="shared" si="37"/>
        <v>1</v>
      </c>
      <c r="CZ11" s="10">
        <f>+Risultati!AG10</f>
        <v>1780860</v>
      </c>
      <c r="DA11" s="31">
        <f t="shared" si="38"/>
        <v>0.46782350660363381</v>
      </c>
      <c r="DB11" s="10">
        <f t="shared" si="49"/>
        <v>90795</v>
      </c>
      <c r="DC11" s="31">
        <f t="shared" si="39"/>
        <v>2.3851417451162323E-2</v>
      </c>
      <c r="DD11" s="10">
        <f>+Risultati!AV10</f>
        <v>1934073</v>
      </c>
      <c r="DE11" s="31">
        <f t="shared" si="40"/>
        <v>0.50807183770055475</v>
      </c>
      <c r="DF11" s="10">
        <f>+Risultati!AJ10</f>
        <v>1784883</v>
      </c>
      <c r="DG11" s="31">
        <f t="shared" si="41"/>
        <v>0.46888032969307736</v>
      </c>
      <c r="DH11" s="10">
        <f t="shared" si="42"/>
        <v>149190</v>
      </c>
      <c r="DI11" s="31">
        <f t="shared" si="43"/>
        <v>3.9191508007477359E-2</v>
      </c>
      <c r="DJ11" s="10">
        <f>+Risultati!AW10</f>
        <v>964</v>
      </c>
      <c r="DK11" s="31">
        <f t="shared" si="44"/>
        <v>2.5323824464915996E-4</v>
      </c>
      <c r="DL11" s="10">
        <f t="shared" si="50"/>
        <v>3806692</v>
      </c>
      <c r="DM11" s="31">
        <f t="shared" si="45"/>
        <v>1</v>
      </c>
      <c r="DO11" s="30"/>
      <c r="DP11" s="30"/>
    </row>
    <row r="12" spans="1:120" x14ac:dyDescent="0.2">
      <c r="A12" s="5"/>
      <c r="B12" s="6" t="str">
        <f>+Risultati!B11</f>
        <v>CONAD NORD OVEST SOCIETA' COOPERATIVA</v>
      </c>
      <c r="C12" s="6" t="str">
        <f>+Risultati!C11</f>
        <v>01977130473</v>
      </c>
      <c r="D12" s="26">
        <f>IF(YEAR(Risultati!D11)=1900,(MID(Risultati!$AP$1,29,4)),YEAR(Risultati!D11))</f>
        <v>2023</v>
      </c>
      <c r="E12" s="6" t="str">
        <f>+Risultati!E11</f>
        <v>Dettagliato</v>
      </c>
      <c r="F12" s="8" t="str">
        <f>(LEFT(Risultati!AN11,2)&amp;"-")&amp;VLOOKUP((LEFT(Risultati!AN11,2)),ateco!$B$4:$C$93,2,FALSE)</f>
        <v>46-Commercio all'ingrosso (escluso quello di autoveicoli e di motocicli)</v>
      </c>
      <c r="G12" s="8" t="str">
        <f>SUBSTITUTE((Risultati!AN11&amp;"-"&amp;Risultati!AO11),",",";")</f>
        <v>463920-Commercio all'ingrosso non specializzato di prodotti alimentari; bevande e tabacco</v>
      </c>
      <c r="I12" s="10">
        <f>+Risultati!G11</f>
        <v>2997446</v>
      </c>
      <c r="J12" s="11">
        <f t="shared" si="2"/>
        <v>1</v>
      </c>
      <c r="K12" s="12"/>
      <c r="L12" s="10">
        <f>+Risultati!G11+Risultati!H11</f>
        <v>2997446</v>
      </c>
      <c r="M12" s="11">
        <f t="shared" si="3"/>
        <v>0.89174112355753254</v>
      </c>
      <c r="N12" s="12"/>
      <c r="O12" s="10">
        <f>+Risultati!I11+Risultati!J11</f>
        <v>3049124</v>
      </c>
      <c r="P12" s="11">
        <f t="shared" si="4"/>
        <v>0.90711534473890032</v>
      </c>
      <c r="Q12" s="12"/>
      <c r="R12" s="13">
        <f t="shared" si="5"/>
        <v>-51678</v>
      </c>
      <c r="S12" s="11">
        <f t="shared" si="6"/>
        <v>-1.5374221181367793E-2</v>
      </c>
      <c r="T12" s="12"/>
      <c r="U12" s="10">
        <f>+Risultati!F11-(Risultati!G11+Risultati!H11)</f>
        <v>363895</v>
      </c>
      <c r="V12" s="12">
        <f t="shared" si="7"/>
        <v>0.10825887644246746</v>
      </c>
      <c r="W12" s="12"/>
      <c r="X12" s="10">
        <f t="shared" si="8"/>
        <v>312217</v>
      </c>
      <c r="Y12" s="12">
        <f t="shared" si="9"/>
        <v>9.2884655261099666E-2</v>
      </c>
      <c r="Z12" s="12"/>
      <c r="AA12" s="10">
        <f>+Risultati!K11</f>
        <v>202421</v>
      </c>
      <c r="AB12" s="12">
        <f t="shared" si="10"/>
        <v>6.0220310881877202E-2</v>
      </c>
      <c r="AC12" s="12"/>
      <c r="AD12" s="10">
        <f>+Risultati!L11</f>
        <v>31138</v>
      </c>
      <c r="AE12" s="12">
        <f t="shared" si="11"/>
        <v>9.2635647499018994E-3</v>
      </c>
      <c r="AF12" s="12"/>
      <c r="AG12" s="10">
        <f>+Risultati!M11+Risultati!P11+Risultati!Q11</f>
        <v>6359</v>
      </c>
      <c r="AH12" s="12">
        <f t="shared" si="12"/>
        <v>1.891804491124227E-3</v>
      </c>
      <c r="AI12" s="12"/>
      <c r="AJ12" s="13">
        <f t="shared" si="13"/>
        <v>72299</v>
      </c>
      <c r="AK12" s="11">
        <f t="shared" si="14"/>
        <v>2.1508975138196332E-2</v>
      </c>
      <c r="AL12" s="12"/>
      <c r="AM12" s="10">
        <f>+Risultati!N11</f>
        <v>0</v>
      </c>
      <c r="AN12" s="12">
        <f t="shared" si="15"/>
        <v>0</v>
      </c>
      <c r="AO12" s="12"/>
      <c r="AP12" s="10">
        <f t="shared" si="46"/>
        <v>72299</v>
      </c>
      <c r="AQ12" s="41">
        <f t="shared" si="16"/>
        <v>2.1508975138196332E-2</v>
      </c>
      <c r="AR12" s="41"/>
      <c r="AS12" s="10">
        <f>+Risultati!O11</f>
        <v>25543</v>
      </c>
      <c r="AT12" s="12">
        <f t="shared" si="17"/>
        <v>7.599050498000649E-3</v>
      </c>
      <c r="AU12" s="12"/>
      <c r="AV12" s="10">
        <f t="shared" si="18"/>
        <v>46756</v>
      </c>
      <c r="AW12" s="12">
        <f t="shared" si="19"/>
        <v>1.3909924640195684E-2</v>
      </c>
      <c r="AX12" s="12"/>
      <c r="AY12" s="10">
        <f>+Risultati!R11+Risultati!S11</f>
        <v>15910</v>
      </c>
      <c r="AZ12" s="12">
        <f t="shared" si="20"/>
        <v>4.7332299817245561E-3</v>
      </c>
      <c r="BA12" s="12"/>
      <c r="BB12" s="10">
        <f>+Risultati!T11</f>
        <v>-448</v>
      </c>
      <c r="BC12" s="12">
        <f t="shared" si="21"/>
        <v>-1.3328014027734765E-4</v>
      </c>
      <c r="BD12" s="12"/>
      <c r="BE12" s="10">
        <f>+Risultati!U11</f>
        <v>1315</v>
      </c>
      <c r="BF12" s="12">
        <f t="shared" si="22"/>
        <v>3.9121291175158964E-4</v>
      </c>
      <c r="BG12" s="12"/>
      <c r="BH12" s="10">
        <f t="shared" si="23"/>
        <v>60903</v>
      </c>
      <c r="BI12" s="12">
        <f t="shared" si="24"/>
        <v>1.8118661569891302E-2</v>
      </c>
      <c r="BK12" s="16">
        <f>IF(ISNUMBER(Risultati!X11/100),(Risultati!X11/100))</f>
        <v>7.7557884504564301E-2</v>
      </c>
      <c r="BL12" s="16">
        <f>IF(ISNUMBER(Risultati!Y11/100),(Risultati!Y11/100))</f>
        <v>0.15880226205369399</v>
      </c>
      <c r="BM12" s="16">
        <f>IF(ISNUMBER(Risultati!Z11/100),(Risultati!Z11/100))</f>
        <v>0.242235525467841</v>
      </c>
      <c r="BN12" s="16">
        <f>IF(AND(Risultati!AY11&lt;0,calcoli!AP12&lt;0),-IF(ISNUMBER(Risultati!AA11/100),(Risultati!AA11/100)),IF(ISNUMBER(Risultati!AA11/100),(Risultati!AA11/100)))</f>
        <v>0.36192216403571598</v>
      </c>
      <c r="BO12" s="16">
        <f t="shared" si="0"/>
        <v>1.8118661569891302E-2</v>
      </c>
      <c r="BP12" s="16">
        <f>IF(Risultati!AB11&gt;0,(AV12/Risultati!AB11),"0")</f>
        <v>2.4188846415103906E-2</v>
      </c>
      <c r="BQ12" s="16">
        <f>IF(Risultati!AG11&lt;&gt;0,(BH12/Risultati!AG11),"0")</f>
        <v>6.6021730811550314E-2</v>
      </c>
      <c r="BR12" s="16">
        <f t="shared" si="1"/>
        <v>1.8118661569891302E-2</v>
      </c>
      <c r="BS12" s="14">
        <f>IF(Risultati!AB11&gt;0,(Risultati!G11/Risultati!AB11),"0")</f>
        <v>1.5507049561888857</v>
      </c>
      <c r="BT12" s="15">
        <f>IF(Risultati!AG11&lt;&gt;0,(Risultati!AB11/Risultati!AG11),"0")</f>
        <v>2.0954167565522526</v>
      </c>
      <c r="BU12" s="23">
        <f>IF(AND(Risultati!G11&gt;0,(Risultati!AE11-Risultati!AF11)&gt;=0),((Risultati!AE11-Risultati!AF11)/Risultati!G11*360),"0")</f>
        <v>15.553721401486465</v>
      </c>
      <c r="BV12" s="21">
        <f>IF(OR(E12="abbreviato",Risultati!G11=0),"0",((Risultati!AC11+Risultati!AD11)/Risultati!G11*360))</f>
        <v>13.662231112753991</v>
      </c>
      <c r="BW12" s="21">
        <f>IF(OR(E12="abbreviato",Risultati!G11=0,SUM(Risultati!I11+Risultati!K11+Risultati!M11)=0),"0",(((Risultati!AH11+Risultati!AI11)/(Risultati!I11+Risultati!K11+Risultati!N11)*360)))</f>
        <v>40.971936779106542</v>
      </c>
      <c r="BX12" s="16">
        <f>IF(Risultati!AB11&gt;0,(+Risultati!AG11/Risultati!AB11),"0")</f>
        <v>0.47723203361481914</v>
      </c>
      <c r="BY12" s="22">
        <f>IF(OR(E12="abbreviato",Risultati!G11=0),"0",(((Risultati!AK11-(Risultati!AL11+Risultati!AM11))/Risultati!G11)))</f>
        <v>0.11637640844905964</v>
      </c>
      <c r="BZ12" s="16">
        <f>IF(Risultati!G11&gt;0,(Risultati!AJ11/Risultati!G11),"0")</f>
        <v>0.20572413981769813</v>
      </c>
      <c r="CA12" s="8"/>
      <c r="CB12" s="10">
        <f>+Risultati!AP11</f>
        <v>0</v>
      </c>
      <c r="CC12" s="31">
        <f t="shared" si="25"/>
        <v>0</v>
      </c>
      <c r="CD12" s="10">
        <f>+Risultati!AQ11</f>
        <v>75454</v>
      </c>
      <c r="CE12" s="31">
        <f t="shared" si="26"/>
        <v>3.9035529502208274E-2</v>
      </c>
      <c r="CF12" s="10">
        <f>+Risultati!AR11</f>
        <v>117115</v>
      </c>
      <c r="CG12" s="31">
        <f t="shared" si="27"/>
        <v>6.0588518006349859E-2</v>
      </c>
      <c r="CH12" s="10">
        <f>+Risultati!AS11</f>
        <v>596019</v>
      </c>
      <c r="CI12" s="31">
        <f t="shared" si="28"/>
        <v>0.3083457107426601</v>
      </c>
      <c r="CJ12" s="10">
        <f t="shared" si="29"/>
        <v>788588</v>
      </c>
      <c r="CK12" s="31">
        <f t="shared" si="30"/>
        <v>0.40796975825121823</v>
      </c>
      <c r="CL12" s="10">
        <f>+Risultati!AE11+Risultati!AF11</f>
        <v>129504</v>
      </c>
      <c r="CM12" s="31">
        <f t="shared" si="31"/>
        <v>6.699786906796168E-2</v>
      </c>
      <c r="CN12" s="10">
        <f>+Risultati!AT11</f>
        <v>644162</v>
      </c>
      <c r="CO12" s="31">
        <f t="shared" si="32"/>
        <v>0.33325211062636156</v>
      </c>
      <c r="CP12" s="10">
        <f>+Risultati!AU11</f>
        <v>213958</v>
      </c>
      <c r="CQ12" s="31">
        <f t="shared" si="33"/>
        <v>0.11068947731377367</v>
      </c>
      <c r="CR12" s="10">
        <f>+Risultati!AL11</f>
        <v>156745</v>
      </c>
      <c r="CS12" s="31">
        <f t="shared" si="34"/>
        <v>8.1090784740684874E-2</v>
      </c>
      <c r="CT12" s="10">
        <f t="shared" si="47"/>
        <v>1144369</v>
      </c>
      <c r="CU12" s="31">
        <f t="shared" si="35"/>
        <v>0.59203024174878183</v>
      </c>
      <c r="CV12" s="10">
        <f>+Risultati!AX11</f>
        <v>0</v>
      </c>
      <c r="CW12" s="31">
        <f t="shared" si="36"/>
        <v>0</v>
      </c>
      <c r="CX12" s="10">
        <f t="shared" si="48"/>
        <v>1932957</v>
      </c>
      <c r="CY12" s="31">
        <f t="shared" si="37"/>
        <v>1</v>
      </c>
      <c r="CZ12" s="10">
        <f>+Risultati!AG11</f>
        <v>922469</v>
      </c>
      <c r="DA12" s="31">
        <f t="shared" si="38"/>
        <v>0.47723203361481914</v>
      </c>
      <c r="DB12" s="10">
        <f t="shared" si="49"/>
        <v>28231</v>
      </c>
      <c r="DC12" s="31">
        <f t="shared" si="39"/>
        <v>1.4605084334519599E-2</v>
      </c>
      <c r="DD12" s="10">
        <f>+Risultati!AV11</f>
        <v>977455</v>
      </c>
      <c r="DE12" s="31">
        <f t="shared" si="40"/>
        <v>0.50567860536990739</v>
      </c>
      <c r="DF12" s="10">
        <f>+Risultati!AJ11</f>
        <v>616647</v>
      </c>
      <c r="DG12" s="31">
        <f t="shared" si="41"/>
        <v>0.3190174432229998</v>
      </c>
      <c r="DH12" s="10">
        <f t="shared" si="42"/>
        <v>360808</v>
      </c>
      <c r="DI12" s="31">
        <f t="shared" si="43"/>
        <v>0.18666116214690756</v>
      </c>
      <c r="DJ12" s="10">
        <f>+Risultati!AW11</f>
        <v>4802</v>
      </c>
      <c r="DK12" s="31">
        <f t="shared" si="44"/>
        <v>2.4842766807538917E-3</v>
      </c>
      <c r="DL12" s="10">
        <f t="shared" si="50"/>
        <v>1932957</v>
      </c>
      <c r="DM12" s="31">
        <f t="shared" si="45"/>
        <v>1</v>
      </c>
      <c r="DO12" s="30"/>
      <c r="DP12" s="30"/>
    </row>
    <row r="13" spans="1:120" x14ac:dyDescent="0.2">
      <c r="A13" s="5"/>
      <c r="B13" s="6" t="str">
        <f>+Risultati!B12</f>
        <v>AGRICOLA TRE VALLI - SOCIETA' COOPERATIVA</v>
      </c>
      <c r="C13" s="6" t="str">
        <f>+Risultati!C12</f>
        <v>02447620234</v>
      </c>
      <c r="D13" s="26">
        <f>IF(YEAR(Risultati!D12)=1900,(MID(Risultati!$AP$1,29,4)),YEAR(Risultati!D12))</f>
        <v>2023</v>
      </c>
      <c r="E13" s="6" t="str">
        <f>+Risultati!E12</f>
        <v>Dettagliato</v>
      </c>
      <c r="F13" s="8" t="str">
        <f>(LEFT(Risultati!AN12,2)&amp;"-")&amp;VLOOKUP((LEFT(Risultati!AN12,2)),ateco!$B$4:$C$93,2,FALSE)</f>
        <v>10-Industrie alimentari</v>
      </c>
      <c r="G13" s="8" t="str">
        <f>SUBSTITUTE((Risultati!AN12&amp;"-"&amp;Risultati!AO12),",",";")</f>
        <v>101200-Produzione di carne di volatili e prodotti della loro macellazione (attività dei mattatoi)</v>
      </c>
      <c r="I13" s="10">
        <f>+Risultati!G12</f>
        <v>2912605</v>
      </c>
      <c r="J13" s="11">
        <f t="shared" si="2"/>
        <v>0.99643997234358683</v>
      </c>
      <c r="K13" s="12"/>
      <c r="L13" s="10">
        <f>+Risultati!G12+Risultati!H12</f>
        <v>2923011</v>
      </c>
      <c r="M13" s="11">
        <f t="shared" si="3"/>
        <v>0.99461724563857046</v>
      </c>
      <c r="N13" s="12"/>
      <c r="O13" s="10">
        <f>+Risultati!I12+Risultati!J12</f>
        <v>2189179</v>
      </c>
      <c r="P13" s="11">
        <f t="shared" si="4"/>
        <v>0.74491515330931013</v>
      </c>
      <c r="Q13" s="12"/>
      <c r="R13" s="13">
        <f t="shared" si="5"/>
        <v>733832</v>
      </c>
      <c r="S13" s="11">
        <f t="shared" si="6"/>
        <v>0.24970209232926027</v>
      </c>
      <c r="T13" s="12"/>
      <c r="U13" s="10">
        <f>+Risultati!F12-(Risultati!G12+Risultati!H12)</f>
        <v>15819</v>
      </c>
      <c r="V13" s="12">
        <f t="shared" si="7"/>
        <v>5.3827543614295486E-3</v>
      </c>
      <c r="W13" s="12"/>
      <c r="X13" s="10">
        <f t="shared" si="8"/>
        <v>749651</v>
      </c>
      <c r="Y13" s="12">
        <f t="shared" si="9"/>
        <v>0.25508484669068981</v>
      </c>
      <c r="Z13" s="12"/>
      <c r="AA13" s="10">
        <f>+Risultati!K12</f>
        <v>334610</v>
      </c>
      <c r="AB13" s="12">
        <f t="shared" si="10"/>
        <v>0.11385823610076119</v>
      </c>
      <c r="AC13" s="12"/>
      <c r="AD13" s="10">
        <f>+Risultati!L12</f>
        <v>300149</v>
      </c>
      <c r="AE13" s="12">
        <f t="shared" si="11"/>
        <v>0.10213214102210744</v>
      </c>
      <c r="AF13" s="12"/>
      <c r="AG13" s="10">
        <f>+Risultati!M12+Risultati!P12+Risultati!Q12</f>
        <v>10453</v>
      </c>
      <c r="AH13" s="12">
        <f t="shared" si="12"/>
        <v>3.5568576610419795E-3</v>
      </c>
      <c r="AI13" s="12"/>
      <c r="AJ13" s="13">
        <f t="shared" si="13"/>
        <v>104439</v>
      </c>
      <c r="AK13" s="11">
        <f t="shared" si="14"/>
        <v>3.5537611906779232E-2</v>
      </c>
      <c r="AL13" s="12"/>
      <c r="AM13" s="10">
        <f>+Risultati!N12</f>
        <v>101593</v>
      </c>
      <c r="AN13" s="12">
        <f t="shared" si="15"/>
        <v>3.4569199307207289E-2</v>
      </c>
      <c r="AO13" s="12"/>
      <c r="AP13" s="10">
        <f t="shared" si="46"/>
        <v>2846</v>
      </c>
      <c r="AQ13" s="41">
        <f t="shared" si="16"/>
        <v>9.6841259957193852E-4</v>
      </c>
      <c r="AR13" s="41"/>
      <c r="AS13" s="10">
        <f>+Risultati!O12</f>
        <v>1875</v>
      </c>
      <c r="AT13" s="12">
        <f t="shared" si="17"/>
        <v>6.3800900358305858E-4</v>
      </c>
      <c r="AU13" s="12"/>
      <c r="AV13" s="10">
        <f t="shared" si="18"/>
        <v>971</v>
      </c>
      <c r="AW13" s="12">
        <f t="shared" si="19"/>
        <v>3.3040359598887994E-4</v>
      </c>
      <c r="AX13" s="12"/>
      <c r="AY13" s="10">
        <f>+Risultati!R12+Risultati!S12</f>
        <v>-758</v>
      </c>
      <c r="AZ13" s="12">
        <f t="shared" si="20"/>
        <v>-2.579257731818445E-4</v>
      </c>
      <c r="BA13" s="12"/>
      <c r="BB13" s="10">
        <f>+Risultati!T12</f>
        <v>0</v>
      </c>
      <c r="BC13" s="12">
        <f t="shared" si="21"/>
        <v>0</v>
      </c>
      <c r="BD13" s="12"/>
      <c r="BE13" s="10">
        <f>+Risultati!U12</f>
        <v>23</v>
      </c>
      <c r="BF13" s="12">
        <f t="shared" si="22"/>
        <v>7.8262437772855191E-6</v>
      </c>
      <c r="BG13" s="12"/>
      <c r="BH13" s="10">
        <f t="shared" si="23"/>
        <v>190</v>
      </c>
      <c r="BI13" s="12">
        <f t="shared" si="24"/>
        <v>6.465157902974993E-5</v>
      </c>
      <c r="BK13" s="16">
        <f>IF(ISNUMBER(Risultati!X12/100),(Risultati!X12/100))</f>
        <v>0.13829880780932802</v>
      </c>
      <c r="BL13" s="16">
        <f>IF(ISNUMBER(Risultati!Y12/100),(Risultati!Y12/100))</f>
        <v>0.213062283556883</v>
      </c>
      <c r="BM13" s="16">
        <f>IF(ISNUMBER(Risultati!Z12/100),(Risultati!Z12/100))</f>
        <v>0.316979859186581</v>
      </c>
      <c r="BN13" s="16">
        <f>IF(AND(Risultati!AY12&lt;0,calcoli!AP13&lt;0),-IF(ISNUMBER(Risultati!AA12/100),(Risultati!AA12/100)),IF(ISNUMBER(Risultati!AA12/100),(Risultati!AA12/100)))</f>
        <v>-0.31006060606060598</v>
      </c>
      <c r="BO13" s="16">
        <f t="shared" si="0"/>
        <v>6.465157902974993E-5</v>
      </c>
      <c r="BP13" s="16">
        <f>IF(Risultati!AB12&gt;0,(AV13/Risultati!AB12),"0")</f>
        <v>2.1132262719075839E-3</v>
      </c>
      <c r="BQ13" s="16">
        <f>IF(Risultati!AG12&lt;&gt;0,(BH13/Risultati!AG12),"0")</f>
        <v>8.0334869561540737E-3</v>
      </c>
      <c r="BR13" s="16">
        <f t="shared" si="1"/>
        <v>6.465157902974993E-5</v>
      </c>
      <c r="BS13" s="14">
        <f>IF(Risultati!AB12&gt;0,(Risultati!G12/Risultati!AB12),"0")</f>
        <v>6.3388191613690923</v>
      </c>
      <c r="BT13" s="15">
        <f>IF(Risultati!AG12&lt;&gt;0,(Risultati!AB12/Risultati!AG12),"0")</f>
        <v>19.427804321170353</v>
      </c>
      <c r="BU13" s="23">
        <f>IF(AND(Risultati!G12&gt;0,(Risultati!AE12-Risultati!AF12)&gt;=0),((Risultati!AE12-Risultati!AF12)/Risultati!G12*360),"0")</f>
        <v>29.415605617651551</v>
      </c>
      <c r="BV13" s="21">
        <f>IF(OR(E13="abbreviato",Risultati!G12=0),"0",((Risultati!AC12+Risultati!AD12)/Risultati!G12*360))</f>
        <v>20.195241029937119</v>
      </c>
      <c r="BW13" s="21">
        <f>IF(OR(E13="abbreviato",Risultati!G12=0,SUM(Risultati!I12+Risultati!K12+Risultati!M12)=0),"0",(((Risultati!AH12+Risultati!AI12)/(Risultati!I12+Risultati!K12+Risultati!N12)*360)))</f>
        <v>39.172336873226136</v>
      </c>
      <c r="BX13" s="16">
        <f>IF(Risultati!AB12&gt;0,(+Risultati!AG12/Risultati!AB12),"0")</f>
        <v>5.1472620552920977E-2</v>
      </c>
      <c r="BY13" s="22">
        <f>IF(OR(E13="abbreviato",Risultati!G12=0),"0",(((Risultati!AK12-(Risultati!AL12+Risultati!AM12))/Risultati!G12)))</f>
        <v>1.5079971365839171E-2</v>
      </c>
      <c r="BZ13" s="16">
        <f>IF(Risultati!G12&gt;0,(Risultati!AJ12/Risultati!G12),"0")</f>
        <v>0.14112658599432468</v>
      </c>
      <c r="CA13" s="8"/>
      <c r="CB13" s="10">
        <f>+Risultati!AP12</f>
        <v>0</v>
      </c>
      <c r="CC13" s="31">
        <f t="shared" si="25"/>
        <v>0</v>
      </c>
      <c r="CD13" s="10">
        <f>+Risultati!AQ12</f>
        <v>84</v>
      </c>
      <c r="CE13" s="31">
        <f t="shared" si="26"/>
        <v>1.8281296927436308E-4</v>
      </c>
      <c r="CF13" s="10">
        <f>+Risultati!AR12</f>
        <v>11237</v>
      </c>
      <c r="CG13" s="31">
        <f t="shared" si="27"/>
        <v>2.4455587330190692E-2</v>
      </c>
      <c r="CH13" s="10">
        <f>+Risultati!AS12</f>
        <v>69</v>
      </c>
      <c r="CI13" s="31">
        <f t="shared" si="28"/>
        <v>1.501677961896554E-4</v>
      </c>
      <c r="CJ13" s="10">
        <f t="shared" si="29"/>
        <v>11390</v>
      </c>
      <c r="CK13" s="31">
        <f t="shared" si="30"/>
        <v>2.478856809565471E-2</v>
      </c>
      <c r="CL13" s="10">
        <f>+Risultati!AE12+Risultati!AF12</f>
        <v>237989</v>
      </c>
      <c r="CM13" s="31">
        <f t="shared" si="31"/>
        <v>0.51794613981710003</v>
      </c>
      <c r="CN13" s="10">
        <f>+Risultati!AT12</f>
        <v>209214</v>
      </c>
      <c r="CO13" s="31">
        <f t="shared" si="32"/>
        <v>0.45532181611626904</v>
      </c>
      <c r="CP13" s="10">
        <f>+Risultati!AU12</f>
        <v>0</v>
      </c>
      <c r="CQ13" s="31">
        <f t="shared" si="33"/>
        <v>0</v>
      </c>
      <c r="CR13" s="10">
        <f>+Risultati!AL12</f>
        <v>622</v>
      </c>
      <c r="CS13" s="31">
        <f t="shared" si="34"/>
        <v>1.3536865105792124E-3</v>
      </c>
      <c r="CT13" s="10">
        <f t="shared" si="47"/>
        <v>447825</v>
      </c>
      <c r="CU13" s="31">
        <f t="shared" si="35"/>
        <v>0.97462164244394822</v>
      </c>
      <c r="CV13" s="10">
        <f>+Risultati!AX12</f>
        <v>271</v>
      </c>
      <c r="CW13" s="31">
        <f t="shared" si="36"/>
        <v>5.8978946039705236E-4</v>
      </c>
      <c r="CX13" s="10">
        <f t="shared" si="48"/>
        <v>459486</v>
      </c>
      <c r="CY13" s="31">
        <f t="shared" si="37"/>
        <v>1</v>
      </c>
      <c r="CZ13" s="10">
        <f>+Risultati!AG12</f>
        <v>23651</v>
      </c>
      <c r="DA13" s="31">
        <f t="shared" si="38"/>
        <v>5.1472732575094778E-2</v>
      </c>
      <c r="DB13" s="10">
        <f t="shared" si="49"/>
        <v>24545</v>
      </c>
      <c r="DC13" s="31">
        <f t="shared" si="39"/>
        <v>5.341838489094336E-2</v>
      </c>
      <c r="DD13" s="10">
        <f>+Risultati!AV12</f>
        <v>411046</v>
      </c>
      <c r="DE13" s="31">
        <f t="shared" si="40"/>
        <v>0.89457785438511728</v>
      </c>
      <c r="DF13" s="10">
        <f>+Risultati!AJ12</f>
        <v>411046</v>
      </c>
      <c r="DG13" s="31">
        <f t="shared" si="41"/>
        <v>0.89457785438511728</v>
      </c>
      <c r="DH13" s="10">
        <f t="shared" si="42"/>
        <v>0</v>
      </c>
      <c r="DI13" s="31">
        <f t="shared" si="43"/>
        <v>0</v>
      </c>
      <c r="DJ13" s="10">
        <f>+Risultati!AW12</f>
        <v>244</v>
      </c>
      <c r="DK13" s="31">
        <f t="shared" si="44"/>
        <v>5.3102814884457849E-4</v>
      </c>
      <c r="DL13" s="10">
        <f t="shared" si="50"/>
        <v>459486</v>
      </c>
      <c r="DM13" s="31">
        <f t="shared" si="45"/>
        <v>1</v>
      </c>
      <c r="DO13" s="30"/>
      <c r="DP13" s="30"/>
    </row>
    <row r="14" spans="1:120" x14ac:dyDescent="0.2">
      <c r="A14" s="5"/>
      <c r="B14" s="6" t="str">
        <f>+Risultati!B13</f>
        <v>MAXI DI S.R.L.</v>
      </c>
      <c r="C14" s="6" t="str">
        <f>+Risultati!C13</f>
        <v>00542090238</v>
      </c>
      <c r="D14" s="26">
        <f>IF(YEAR(Risultati!D13)=1900,(MID(Risultati!$AP$1,29,4)),YEAR(Risultati!D13))</f>
        <v>2023</v>
      </c>
      <c r="E14" s="6" t="str">
        <f>+Risultati!E13</f>
        <v>Dettagliato</v>
      </c>
      <c r="F14" s="8" t="str">
        <f>(LEFT(Risultati!AN13,2)&amp;"-")&amp;VLOOKUP((LEFT(Risultati!AN13,2)),ateco!$B$4:$C$93,2,FALSE)</f>
        <v>47-Commercio al dettaglio (escluso quello di autoveicoli e di motocicli)</v>
      </c>
      <c r="G14" s="8" t="str">
        <f>SUBSTITUTE((Risultati!AN13&amp;"-"&amp;Risultati!AO13),",",";")</f>
        <v>471120-Supermercati</v>
      </c>
      <c r="I14" s="10">
        <f>+Risultati!G13</f>
        <v>2690365</v>
      </c>
      <c r="J14" s="11">
        <f t="shared" si="2"/>
        <v>1</v>
      </c>
      <c r="K14" s="12"/>
      <c r="L14" s="10">
        <f>+Risultati!G13+Risultati!H13</f>
        <v>2690365</v>
      </c>
      <c r="M14" s="11">
        <f t="shared" si="3"/>
        <v>0.98491058115385843</v>
      </c>
      <c r="N14" s="12"/>
      <c r="O14" s="10">
        <f>+Risultati!I13+Risultati!J13</f>
        <v>2013236</v>
      </c>
      <c r="P14" s="11">
        <f t="shared" si="4"/>
        <v>0.73702171964022323</v>
      </c>
      <c r="Q14" s="12"/>
      <c r="R14" s="13">
        <f t="shared" si="5"/>
        <v>677129</v>
      </c>
      <c r="S14" s="11">
        <f t="shared" si="6"/>
        <v>0.24788886151363512</v>
      </c>
      <c r="T14" s="12"/>
      <c r="U14" s="10">
        <f>+Risultati!F13-(Risultati!G13+Risultati!H13)</f>
        <v>41218</v>
      </c>
      <c r="V14" s="12">
        <f t="shared" si="7"/>
        <v>1.5089418846141596E-2</v>
      </c>
      <c r="W14" s="12"/>
      <c r="X14" s="10">
        <f t="shared" si="8"/>
        <v>718347</v>
      </c>
      <c r="Y14" s="12">
        <f t="shared" si="9"/>
        <v>0.26297828035977672</v>
      </c>
      <c r="Z14" s="12"/>
      <c r="AA14" s="10">
        <f>+Risultati!K13</f>
        <v>251200</v>
      </c>
      <c r="AB14" s="12">
        <f t="shared" si="10"/>
        <v>9.1961327918646446E-2</v>
      </c>
      <c r="AC14" s="12"/>
      <c r="AD14" s="10">
        <f>+Risultati!L13</f>
        <v>226369</v>
      </c>
      <c r="AE14" s="12">
        <f t="shared" si="11"/>
        <v>8.2870994584458901E-2</v>
      </c>
      <c r="AF14" s="12"/>
      <c r="AG14" s="10">
        <f>+Risultati!M13+Risultati!P13+Risultati!Q13</f>
        <v>18601</v>
      </c>
      <c r="AH14" s="12">
        <f t="shared" si="12"/>
        <v>6.8096045406637832E-3</v>
      </c>
      <c r="AI14" s="12"/>
      <c r="AJ14" s="13">
        <f t="shared" si="13"/>
        <v>222177</v>
      </c>
      <c r="AK14" s="11">
        <f t="shared" si="14"/>
        <v>8.1336353316007609E-2</v>
      </c>
      <c r="AL14" s="12"/>
      <c r="AM14" s="10">
        <f>+Risultati!N13</f>
        <v>40000</v>
      </c>
      <c r="AN14" s="12">
        <f t="shared" si="15"/>
        <v>1.4643523553924592E-2</v>
      </c>
      <c r="AO14" s="12"/>
      <c r="AP14" s="10">
        <f t="shared" si="46"/>
        <v>182177</v>
      </c>
      <c r="AQ14" s="41">
        <f t="shared" si="16"/>
        <v>6.6692829762083017E-2</v>
      </c>
      <c r="AR14" s="41"/>
      <c r="AS14" s="10">
        <f>+Risultati!O13</f>
        <v>83683</v>
      </c>
      <c r="AT14" s="12">
        <f t="shared" si="17"/>
        <v>3.0635349539076793E-2</v>
      </c>
      <c r="AU14" s="12"/>
      <c r="AV14" s="10">
        <f t="shared" si="18"/>
        <v>98494</v>
      </c>
      <c r="AW14" s="12">
        <f t="shared" si="19"/>
        <v>3.6057480223006221E-2</v>
      </c>
      <c r="AX14" s="12"/>
      <c r="AY14" s="10">
        <f>+Risultati!R13+Risultati!S13</f>
        <v>1450</v>
      </c>
      <c r="AZ14" s="12">
        <f t="shared" si="20"/>
        <v>5.308277288297665E-4</v>
      </c>
      <c r="BA14" s="12"/>
      <c r="BB14" s="10">
        <f>+Risultati!T13</f>
        <v>0</v>
      </c>
      <c r="BC14" s="12">
        <f t="shared" si="21"/>
        <v>0</v>
      </c>
      <c r="BD14" s="12"/>
      <c r="BE14" s="10">
        <f>+Risultati!U13</f>
        <v>25213</v>
      </c>
      <c r="BF14" s="12">
        <f t="shared" si="22"/>
        <v>9.2301789841275194E-3</v>
      </c>
      <c r="BG14" s="12"/>
      <c r="BH14" s="10">
        <f t="shared" si="23"/>
        <v>74731</v>
      </c>
      <c r="BI14" s="12">
        <f t="shared" si="24"/>
        <v>2.7358128967708468E-2</v>
      </c>
      <c r="BK14" s="16">
        <f>IF(ISNUMBER(Risultati!X13/100),(Risultati!X13/100))</f>
        <v>8.9094902755805394E-2</v>
      </c>
      <c r="BL14" s="16">
        <f>IF(ISNUMBER(Risultati!Y13/100),(Risultati!Y13/100))</f>
        <v>0.127125432459992</v>
      </c>
      <c r="BM14" s="16">
        <f>IF(ISNUMBER(Risultati!Z13/100),(Risultati!Z13/100))</f>
        <v>0.26621082985800099</v>
      </c>
      <c r="BN14" s="16">
        <f>IF(AND(Risultati!AY13&lt;0,calcoli!AP14&lt;0),-IF(ISNUMBER(Risultati!AA13/100),(Risultati!AA13/100)),IF(ISNUMBER(Risultati!AA13/100),(Risultati!AA13/100)))</f>
        <v>0.45118172331663203</v>
      </c>
      <c r="BO14" s="16">
        <f t="shared" si="0"/>
        <v>2.7358128967708468E-2</v>
      </c>
      <c r="BP14" s="16">
        <f>IF(Risultati!AB13&gt;0,(AV14/Risultati!AB13),"0")</f>
        <v>7.2571470674918953E-2</v>
      </c>
      <c r="BQ14" s="16">
        <f>IF(Risultati!AG13&lt;&gt;0,(BH14/Risultati!AG13),"0")</f>
        <v>0.10392845123229985</v>
      </c>
      <c r="BR14" s="16">
        <f t="shared" si="1"/>
        <v>2.7358128967708468E-2</v>
      </c>
      <c r="BS14" s="14">
        <f>IF(Risultati!AB13&gt;0,(Risultati!G13/Risultati!AB13),"0")</f>
        <v>1.9822907456528147</v>
      </c>
      <c r="BT14" s="15">
        <f>IF(Risultati!AG13&lt;&gt;0,(Risultati!AB13/Risultati!AG13),"0")</f>
        <v>1.8874589395629306</v>
      </c>
      <c r="BU14" s="23">
        <f>IF(AND(Risultati!G13&gt;0,(Risultati!AE13-Risultati!AF13)&gt;=0),((Risultati!AE13-Risultati!AF13)/Risultati!G13*360),"0")</f>
        <v>39.102738847702817</v>
      </c>
      <c r="BV14" s="21">
        <f>IF(OR(E14="abbreviato",Risultati!G13=0),"0",((Risultati!AC13+Risultati!AD13)/Risultati!G13*360))</f>
        <v>3.9391235018296777</v>
      </c>
      <c r="BW14" s="21">
        <f>IF(OR(E14="abbreviato",Risultati!G13=0,SUM(Risultati!I13+Risultati!K13+Risultati!M13)=0),"0",(((Risultati!AH13+Risultati!AI13)/(Risultati!I13+Risultati!K13+Risultati!N13)*360)))</f>
        <v>49.59699369046146</v>
      </c>
      <c r="BX14" s="16">
        <f>IF(Risultati!AB13&gt;0,(+Risultati!AG13/Risultati!AB13),"0")</f>
        <v>0.52981284998526379</v>
      </c>
      <c r="BY14" s="22">
        <f>IF(OR(E14="abbreviato",Risultati!G13=0),"0",(((Risultati!AK13-(Risultati!AL13+Risultati!AM13))/Risultati!G13)))</f>
        <v>3.9943650768576013E-2</v>
      </c>
      <c r="BZ14" s="16">
        <f>IF(Risultati!G13&gt;0,(Risultati!AJ13/Risultati!G13),"0")</f>
        <v>0.16538871119717957</v>
      </c>
      <c r="CA14" s="8"/>
      <c r="CB14" s="10">
        <f>+Risultati!AP13</f>
        <v>0</v>
      </c>
      <c r="CC14" s="31">
        <f t="shared" si="25"/>
        <v>0</v>
      </c>
      <c r="CD14" s="10">
        <f>+Risultati!AQ13</f>
        <v>36444</v>
      </c>
      <c r="CE14" s="31">
        <f t="shared" si="26"/>
        <v>2.6852323274150255E-2</v>
      </c>
      <c r="CF14" s="10">
        <f>+Risultati!AR13</f>
        <v>771154</v>
      </c>
      <c r="CG14" s="31">
        <f t="shared" si="27"/>
        <v>0.56819439419805906</v>
      </c>
      <c r="CH14" s="10">
        <f>+Risultati!AS13</f>
        <v>68729</v>
      </c>
      <c r="CI14" s="31">
        <f t="shared" si="28"/>
        <v>5.0640251517645507E-2</v>
      </c>
      <c r="CJ14" s="10">
        <f t="shared" si="29"/>
        <v>876327</v>
      </c>
      <c r="CK14" s="31">
        <f t="shared" si="30"/>
        <v>0.64568696898985489</v>
      </c>
      <c r="CL14" s="10">
        <f>+Risultati!AE13+Risultati!AF13</f>
        <v>292224</v>
      </c>
      <c r="CM14" s="31">
        <f t="shared" si="31"/>
        <v>0.21531372287524103</v>
      </c>
      <c r="CN14" s="10">
        <f>+Risultati!AT13</f>
        <v>58277</v>
      </c>
      <c r="CO14" s="31">
        <f t="shared" si="32"/>
        <v>4.2939107766646209E-2</v>
      </c>
      <c r="CP14" s="10">
        <f>+Risultati!AU13</f>
        <v>0</v>
      </c>
      <c r="CQ14" s="31">
        <f t="shared" si="33"/>
        <v>0</v>
      </c>
      <c r="CR14" s="10">
        <f>+Risultati!AL13</f>
        <v>123845</v>
      </c>
      <c r="CS14" s="31">
        <f t="shared" si="34"/>
        <v>9.125030117130771E-2</v>
      </c>
      <c r="CT14" s="10">
        <f t="shared" si="47"/>
        <v>474346</v>
      </c>
      <c r="CU14" s="31">
        <f t="shared" si="35"/>
        <v>0.34950313181319492</v>
      </c>
      <c r="CV14" s="10">
        <f>+Risultati!AX13</f>
        <v>6528</v>
      </c>
      <c r="CW14" s="31">
        <f t="shared" si="36"/>
        <v>4.8098991969501934E-3</v>
      </c>
      <c r="CX14" s="10">
        <f t="shared" si="48"/>
        <v>1357201</v>
      </c>
      <c r="CY14" s="31">
        <f t="shared" si="37"/>
        <v>1</v>
      </c>
      <c r="CZ14" s="10">
        <f>+Risultati!AG13</f>
        <v>719062</v>
      </c>
      <c r="DA14" s="31">
        <f t="shared" si="38"/>
        <v>0.52981245961357237</v>
      </c>
      <c r="DB14" s="10">
        <f t="shared" si="49"/>
        <v>14768</v>
      </c>
      <c r="DC14" s="31">
        <f t="shared" si="39"/>
        <v>1.0881218036237816E-2</v>
      </c>
      <c r="DD14" s="10">
        <f>+Risultati!AV13</f>
        <v>614979</v>
      </c>
      <c r="DE14" s="31">
        <f t="shared" si="40"/>
        <v>0.45312300830901242</v>
      </c>
      <c r="DF14" s="10">
        <f>+Risultati!AJ13</f>
        <v>444956</v>
      </c>
      <c r="DG14" s="31">
        <f t="shared" si="41"/>
        <v>0.32784827007937661</v>
      </c>
      <c r="DH14" s="10">
        <f t="shared" si="42"/>
        <v>170023</v>
      </c>
      <c r="DI14" s="31">
        <f t="shared" si="43"/>
        <v>0.12527473822963583</v>
      </c>
      <c r="DJ14" s="10">
        <f>+Risultati!AW13</f>
        <v>8392</v>
      </c>
      <c r="DK14" s="31">
        <f t="shared" si="44"/>
        <v>6.1833140411773936E-3</v>
      </c>
      <c r="DL14" s="10">
        <f t="shared" si="50"/>
        <v>1357201</v>
      </c>
      <c r="DM14" s="31">
        <f t="shared" si="45"/>
        <v>1</v>
      </c>
      <c r="DO14" s="30"/>
      <c r="DP14" s="30"/>
    </row>
    <row r="15" spans="1:120" x14ac:dyDescent="0.2">
      <c r="A15" s="5"/>
      <c r="B15" s="6" t="str">
        <f>+Risultati!B14</f>
        <v>CONAD - CONSORZIO NAZIONALE DETTAGLIANTI - SOCIETA' COOPERATIVA IN SIGLA CONAD</v>
      </c>
      <c r="C15" s="6" t="str">
        <f>+Risultati!C14</f>
        <v>03320960374</v>
      </c>
      <c r="D15" s="26">
        <f>IF(YEAR(Risultati!D14)=1900,(MID(Risultati!$AP$1,29,4)),YEAR(Risultati!D14))</f>
        <v>2023</v>
      </c>
      <c r="E15" s="6" t="str">
        <f>+Risultati!E14</f>
        <v>Dettagliato</v>
      </c>
      <c r="F15" s="8" t="str">
        <f>(LEFT(Risultati!AN14,2)&amp;"-")&amp;VLOOKUP((LEFT(Risultati!AN14,2)),ateco!$B$4:$C$93,2,FALSE)</f>
        <v>46-Commercio all'ingrosso (escluso quello di autoveicoli e di motocicli)</v>
      </c>
      <c r="G15" s="8" t="str">
        <f>SUBSTITUTE((Risultati!AN14&amp;"-"&amp;Risultati!AO14),",",";")</f>
        <v>461904-Gruppi di acquisto; mandatari agli acquisti; buyer</v>
      </c>
      <c r="I15" s="10">
        <f>+Risultati!G14</f>
        <v>2565524</v>
      </c>
      <c r="J15" s="11">
        <f t="shared" si="2"/>
        <v>1.0001266958235988</v>
      </c>
      <c r="K15" s="12"/>
      <c r="L15" s="10">
        <f>+Risultati!G14+Risultati!H14</f>
        <v>2565199</v>
      </c>
      <c r="M15" s="11">
        <f t="shared" si="3"/>
        <v>0.99905126702198721</v>
      </c>
      <c r="N15" s="12"/>
      <c r="O15" s="10">
        <f>+Risultati!I14+Risultati!J14</f>
        <v>2310698</v>
      </c>
      <c r="P15" s="11">
        <f t="shared" si="4"/>
        <v>0.89993242809044116</v>
      </c>
      <c r="Q15" s="12"/>
      <c r="R15" s="13">
        <f t="shared" si="5"/>
        <v>254501</v>
      </c>
      <c r="S15" s="11">
        <f t="shared" si="6"/>
        <v>9.9118838931545952E-2</v>
      </c>
      <c r="T15" s="12"/>
      <c r="U15" s="10">
        <f>+Risultati!F14-(Risultati!G14+Risultati!H14)</f>
        <v>2436</v>
      </c>
      <c r="V15" s="12">
        <f t="shared" si="7"/>
        <v>9.4873297801284062E-4</v>
      </c>
      <c r="W15" s="12"/>
      <c r="X15" s="10">
        <f t="shared" si="8"/>
        <v>256937</v>
      </c>
      <c r="Y15" s="12">
        <f t="shared" si="9"/>
        <v>0.1000675719095588</v>
      </c>
      <c r="Z15" s="12"/>
      <c r="AA15" s="10">
        <f>+Risultati!K14</f>
        <v>198566</v>
      </c>
      <c r="AB15" s="12">
        <f t="shared" si="10"/>
        <v>7.7334200538627954E-2</v>
      </c>
      <c r="AC15" s="12"/>
      <c r="AD15" s="10">
        <f>+Risultati!L14</f>
        <v>27233</v>
      </c>
      <c r="AE15" s="12">
        <f t="shared" si="11"/>
        <v>1.0606258288269166E-2</v>
      </c>
      <c r="AF15" s="12"/>
      <c r="AG15" s="10">
        <f>+Risultati!M14+Risultati!P14+Risultati!Q14</f>
        <v>6089</v>
      </c>
      <c r="AH15" s="12">
        <f t="shared" si="12"/>
        <v>2.3714429815764313E-3</v>
      </c>
      <c r="AI15" s="12"/>
      <c r="AJ15" s="13">
        <f t="shared" si="13"/>
        <v>25049</v>
      </c>
      <c r="AK15" s="11">
        <f t="shared" si="14"/>
        <v>9.7556701010852401E-3</v>
      </c>
      <c r="AL15" s="12"/>
      <c r="AM15" s="10">
        <f>+Risultati!N14</f>
        <v>1669</v>
      </c>
      <c r="AN15" s="12">
        <f t="shared" si="15"/>
        <v>6.5001450751372373E-4</v>
      </c>
      <c r="AO15" s="12"/>
      <c r="AP15" s="10">
        <f t="shared" si="46"/>
        <v>23380</v>
      </c>
      <c r="AQ15" s="41">
        <f t="shared" si="16"/>
        <v>9.1056555935715155E-3</v>
      </c>
      <c r="AR15" s="41"/>
      <c r="AS15" s="10">
        <f>+Risultati!O14</f>
        <v>10582</v>
      </c>
      <c r="AT15" s="12">
        <f t="shared" si="17"/>
        <v>4.1213022879030706E-3</v>
      </c>
      <c r="AU15" s="12"/>
      <c r="AV15" s="10">
        <f t="shared" si="18"/>
        <v>12798</v>
      </c>
      <c r="AW15" s="12">
        <f t="shared" si="19"/>
        <v>4.9843533056684458E-3</v>
      </c>
      <c r="AX15" s="12"/>
      <c r="AY15" s="10">
        <f>+Risultati!R14+Risultati!S14</f>
        <v>-188</v>
      </c>
      <c r="AZ15" s="12">
        <f t="shared" si="20"/>
        <v>-7.3219129666015614E-5</v>
      </c>
      <c r="BA15" s="12"/>
      <c r="BB15" s="10">
        <f>+Risultati!T14</f>
        <v>0</v>
      </c>
      <c r="BC15" s="12">
        <f t="shared" si="21"/>
        <v>0</v>
      </c>
      <c r="BD15" s="12"/>
      <c r="BE15" s="10">
        <f>+Risultati!U14</f>
        <v>2292</v>
      </c>
      <c r="BF15" s="12">
        <f t="shared" si="22"/>
        <v>8.9265024039631802E-4</v>
      </c>
      <c r="BG15" s="12"/>
      <c r="BH15" s="10">
        <f t="shared" si="23"/>
        <v>10318</v>
      </c>
      <c r="BI15" s="12">
        <f t="shared" si="24"/>
        <v>4.0184839356061123E-3</v>
      </c>
      <c r="BK15" s="16">
        <f>IF(ISNUMBER(Risultati!X14/100),(Risultati!X14/100))</f>
        <v>0.10355892811900301</v>
      </c>
      <c r="BL15" s="16">
        <f>IF(ISNUMBER(Risultati!Y14/100),(Risultati!Y14/100))</f>
        <v>0.28234908359508198</v>
      </c>
      <c r="BM15" s="16">
        <f>IF(ISNUMBER(Risultati!Z14/100),(Risultati!Z14/100))</f>
        <v>0.63201187238058298</v>
      </c>
      <c r="BN15" s="16">
        <f>IF(AND(Risultati!AY14&lt;0,calcoli!AP15&lt;0),-IF(ISNUMBER(Risultati!AA14/100),(Risultati!AA14/100)),IF(ISNUMBER(Risultati!AA14/100),(Risultati!AA14/100)))</f>
        <v>1.8598391371065301</v>
      </c>
      <c r="BO15" s="16">
        <f t="shared" si="0"/>
        <v>4.0184839356061123E-3</v>
      </c>
      <c r="BP15" s="16">
        <f>IF(Risultati!AB14&gt;0,(AV15/Risultati!AB14),"0")</f>
        <v>1.4369377663802821E-2</v>
      </c>
      <c r="BQ15" s="16">
        <f>IF(Risultati!AG14&lt;&gt;0,(BH15/Risultati!AG14),"0")</f>
        <v>6.4644262336165201E-2</v>
      </c>
      <c r="BR15" s="16">
        <f t="shared" si="1"/>
        <v>4.0184839356061123E-3</v>
      </c>
      <c r="BS15" s="14">
        <f>IF(Risultati!AB14&gt;0,(Risultati!G14/Risultati!AB14),"0")</f>
        <v>2.8805268996366675</v>
      </c>
      <c r="BT15" s="15">
        <f>IF(Risultati!AG14&lt;&gt;0,(Risultati!AB14/Risultati!AG14),"0")</f>
        <v>5.5800566373455629</v>
      </c>
      <c r="BU15" s="23">
        <f>IF(AND(Risultati!G14&gt;0,(Risultati!AE14-Risultati!AF14)&gt;=0),((Risultati!AE14-Risultati!AF14)/Risultati!G14*360),"0")</f>
        <v>5.7494219504475499</v>
      </c>
      <c r="BV15" s="21">
        <f>IF(OR(E15="abbreviato",Risultati!G14=0),"0",((Risultati!AC14+Risultati!AD14)/Risultati!G14*360))</f>
        <v>68.235463788294325</v>
      </c>
      <c r="BW15" s="21">
        <f>IF(OR(E15="abbreviato",Risultati!G14=0,SUM(Risultati!I14+Risultati!K14+Risultati!M14)=0),"0",(((Risultati!AH14+Risultati!AI14)/(Risultati!I14+Risultati!K14+Risultati!N14)*360)))</f>
        <v>95.729789291488288</v>
      </c>
      <c r="BX15" s="16">
        <f>IF(Risultati!AB14&gt;0,(+Risultati!AG14/Risultati!AB14),"0")</f>
        <v>0.17920965054499891</v>
      </c>
      <c r="BY15" s="22">
        <f>IF(OR(E15="abbreviato",Risultati!G14=0),"0",(((Risultati!AK14-(Risultati!AL14+Risultati!AM14))/Risultati!G14)))</f>
        <v>3.4339963297946153E-4</v>
      </c>
      <c r="BZ15" s="16">
        <f>IF(Risultati!G14&gt;0,(Risultati!AJ14/Risultati!G14),"0")</f>
        <v>0.2654405103986554</v>
      </c>
      <c r="CA15" s="8"/>
      <c r="CB15" s="10">
        <f>+Risultati!AP14</f>
        <v>0</v>
      </c>
      <c r="CC15" s="31">
        <f t="shared" si="25"/>
        <v>0</v>
      </c>
      <c r="CD15" s="10">
        <f>+Risultati!AQ14</f>
        <v>65900</v>
      </c>
      <c r="CE15" s="31">
        <f t="shared" si="26"/>
        <v>7.3991403972855599E-2</v>
      </c>
      <c r="CF15" s="10">
        <f>+Risultati!AR14</f>
        <v>9240</v>
      </c>
      <c r="CG15" s="31">
        <f t="shared" si="27"/>
        <v>1.0374515519107522E-2</v>
      </c>
      <c r="CH15" s="10">
        <f>+Risultati!AS14</f>
        <v>24550</v>
      </c>
      <c r="CI15" s="31">
        <f t="shared" si="28"/>
        <v>2.7564324241784597E-2</v>
      </c>
      <c r="CJ15" s="10">
        <f t="shared" si="29"/>
        <v>99690</v>
      </c>
      <c r="CK15" s="31">
        <f t="shared" si="30"/>
        <v>0.11193024373374771</v>
      </c>
      <c r="CL15" s="10">
        <f>+Risultati!AE14+Risultati!AF14</f>
        <v>40973</v>
      </c>
      <c r="CM15" s="31">
        <f t="shared" si="31"/>
        <v>4.6003790515626898E-2</v>
      </c>
      <c r="CN15" s="10">
        <f>+Risultati!AT14</f>
        <v>714426</v>
      </c>
      <c r="CO15" s="31">
        <f t="shared" si="32"/>
        <v>0.80214541388029337</v>
      </c>
      <c r="CP15" s="10">
        <f>+Risultati!AU14</f>
        <v>0</v>
      </c>
      <c r="CQ15" s="31">
        <f t="shared" si="33"/>
        <v>0</v>
      </c>
      <c r="CR15" s="10">
        <f>+Risultati!AL14</f>
        <v>33856</v>
      </c>
      <c r="CS15" s="31">
        <f t="shared" si="34"/>
        <v>3.8012943443171458E-2</v>
      </c>
      <c r="CT15" s="10">
        <f t="shared" si="47"/>
        <v>789255</v>
      </c>
      <c r="CU15" s="31">
        <f t="shared" si="35"/>
        <v>0.88616214783909175</v>
      </c>
      <c r="CV15" s="10">
        <f>+Risultati!AX14</f>
        <v>1699</v>
      </c>
      <c r="CW15" s="31">
        <f t="shared" si="36"/>
        <v>1.9076084271605715E-3</v>
      </c>
      <c r="CX15" s="10">
        <f t="shared" si="48"/>
        <v>890644</v>
      </c>
      <c r="CY15" s="31">
        <f t="shared" si="37"/>
        <v>1</v>
      </c>
      <c r="CZ15" s="10">
        <f>+Risultati!AG14</f>
        <v>159612</v>
      </c>
      <c r="DA15" s="31">
        <f t="shared" si="38"/>
        <v>0.17920965054499891</v>
      </c>
      <c r="DB15" s="10">
        <f t="shared" si="49"/>
        <v>20350</v>
      </c>
      <c r="DC15" s="31">
        <f t="shared" si="39"/>
        <v>2.2848635369462994E-2</v>
      </c>
      <c r="DD15" s="10">
        <f>+Risultati!AV14</f>
        <v>710468</v>
      </c>
      <c r="DE15" s="31">
        <f t="shared" si="40"/>
        <v>0.79770143850966269</v>
      </c>
      <c r="DF15" s="10">
        <f>+Risultati!AJ14</f>
        <v>680994</v>
      </c>
      <c r="DG15" s="31">
        <f t="shared" si="41"/>
        <v>0.76460853045661337</v>
      </c>
      <c r="DH15" s="10">
        <f t="shared" si="42"/>
        <v>29474</v>
      </c>
      <c r="DI15" s="31">
        <f t="shared" si="43"/>
        <v>3.3092908053049257E-2</v>
      </c>
      <c r="DJ15" s="10">
        <f>+Risultati!AW14</f>
        <v>214</v>
      </c>
      <c r="DK15" s="31">
        <f t="shared" si="44"/>
        <v>2.4027557587543395E-4</v>
      </c>
      <c r="DL15" s="10">
        <f t="shared" si="50"/>
        <v>890644</v>
      </c>
      <c r="DM15" s="31">
        <f t="shared" si="45"/>
        <v>1</v>
      </c>
      <c r="DP15" s="30"/>
    </row>
    <row r="16" spans="1:120" x14ac:dyDescent="0.2">
      <c r="A16" s="5"/>
      <c r="B16" s="6" t="str">
        <f>+Risultati!B15</f>
        <v>BARILLA G. E R. FRATELLI - SOCIETA' PER AZIONI</v>
      </c>
      <c r="C16" s="6" t="str">
        <f>+Risultati!C15</f>
        <v>01654010345</v>
      </c>
      <c r="D16" s="26">
        <f>IF(YEAR(Risultati!D15)=1900,(MID(Risultati!$AP$1,29,4)),YEAR(Risultati!D15))</f>
        <v>2023</v>
      </c>
      <c r="E16" s="6" t="str">
        <f>+Risultati!E15</f>
        <v>Dettagliato</v>
      </c>
      <c r="F16" s="8" t="str">
        <f>(LEFT(Risultati!AN15,2)&amp;"-")&amp;VLOOKUP((LEFT(Risultati!AN15,2)),ateco!$B$4:$C$93,2,FALSE)</f>
        <v>10-Industrie alimentari</v>
      </c>
      <c r="G16" s="8" t="str">
        <f>SUBSTITUTE((Risultati!AN15&amp;"-"&amp;Risultati!AO15),",",";")</f>
        <v>107300-Produzione di paste alimentari; di cuscus e di prodotti farinacei simili</v>
      </c>
      <c r="I16" s="10">
        <f>+Risultati!G15</f>
        <v>3370648</v>
      </c>
      <c r="J16" s="11">
        <f t="shared" si="2"/>
        <v>1.0044173949527746</v>
      </c>
      <c r="K16" s="12"/>
      <c r="L16" s="10">
        <f>+Risultati!G15+Risultati!H15</f>
        <v>3355824</v>
      </c>
      <c r="M16" s="11">
        <f t="shared" si="3"/>
        <v>0.9479276271839</v>
      </c>
      <c r="N16" s="12"/>
      <c r="O16" s="10">
        <f>+Risultati!I15+Risultati!J15</f>
        <v>1422291</v>
      </c>
      <c r="P16" s="11">
        <f t="shared" si="4"/>
        <v>0.40175793867467907</v>
      </c>
      <c r="Q16" s="12"/>
      <c r="R16" s="13">
        <f t="shared" si="5"/>
        <v>1933533</v>
      </c>
      <c r="S16" s="11">
        <f t="shared" si="6"/>
        <v>0.54616968850922087</v>
      </c>
      <c r="T16" s="12"/>
      <c r="U16" s="10">
        <f>+Risultati!F15-(Risultati!G15+Risultati!H15)</f>
        <v>184345</v>
      </c>
      <c r="V16" s="12">
        <f t="shared" si="7"/>
        <v>5.207237281610002E-2</v>
      </c>
      <c r="W16" s="12"/>
      <c r="X16" s="10">
        <f t="shared" si="8"/>
        <v>2117878</v>
      </c>
      <c r="Y16" s="12">
        <f t="shared" si="9"/>
        <v>0.59824206132532087</v>
      </c>
      <c r="Z16" s="12"/>
      <c r="AA16" s="10">
        <f>+Risultati!K15</f>
        <v>1446582</v>
      </c>
      <c r="AB16" s="12">
        <f t="shared" si="10"/>
        <v>0.40861947551091488</v>
      </c>
      <c r="AC16" s="12"/>
      <c r="AD16" s="10">
        <f>+Risultati!L15</f>
        <v>367340</v>
      </c>
      <c r="AE16" s="12">
        <f t="shared" si="11"/>
        <v>0.10376340790510284</v>
      </c>
      <c r="AF16" s="12"/>
      <c r="AG16" s="10">
        <f>+Risultati!M15+Risultati!P15+Risultati!Q15</f>
        <v>45836</v>
      </c>
      <c r="AH16" s="12">
        <f t="shared" si="12"/>
        <v>1.2947404488316801E-2</v>
      </c>
      <c r="AI16" s="12"/>
      <c r="AJ16" s="13">
        <f t="shared" si="13"/>
        <v>258120</v>
      </c>
      <c r="AK16" s="11">
        <f t="shared" si="14"/>
        <v>7.2911773420986398E-2</v>
      </c>
      <c r="AL16" s="12"/>
      <c r="AM16" s="10">
        <f>+Risultati!N15</f>
        <v>14279</v>
      </c>
      <c r="AN16" s="12">
        <f t="shared" si="15"/>
        <v>4.033423263126704E-3</v>
      </c>
      <c r="AO16" s="12"/>
      <c r="AP16" s="10">
        <f t="shared" si="46"/>
        <v>243841</v>
      </c>
      <c r="AQ16" s="41">
        <f t="shared" si="16"/>
        <v>6.8878350157859689E-2</v>
      </c>
      <c r="AR16" s="41"/>
      <c r="AS16" s="10">
        <f>+Risultati!O15</f>
        <v>153502</v>
      </c>
      <c r="AT16" s="12">
        <f t="shared" si="17"/>
        <v>4.3360076877685783E-2</v>
      </c>
      <c r="AU16" s="12"/>
      <c r="AV16" s="10">
        <f t="shared" si="18"/>
        <v>90339</v>
      </c>
      <c r="AW16" s="12">
        <f t="shared" si="19"/>
        <v>2.5518273280173913E-2</v>
      </c>
      <c r="AX16" s="12"/>
      <c r="AY16" s="10">
        <f>+Risultati!R15+Risultati!S15</f>
        <v>-14742</v>
      </c>
      <c r="AZ16" s="12">
        <f t="shared" si="20"/>
        <v>-4.1642079799015241E-3</v>
      </c>
      <c r="BA16" s="12"/>
      <c r="BB16" s="10">
        <f>+Risultati!T15</f>
        <v>0</v>
      </c>
      <c r="BC16" s="12">
        <f t="shared" si="21"/>
        <v>0</v>
      </c>
      <c r="BD16" s="12"/>
      <c r="BE16" s="10">
        <f>+Risultati!U15</f>
        <v>-25454</v>
      </c>
      <c r="BF16" s="12">
        <f t="shared" si="22"/>
        <v>-7.1900522263202687E-3</v>
      </c>
      <c r="BG16" s="12"/>
      <c r="BH16" s="10">
        <f t="shared" si="23"/>
        <v>101051</v>
      </c>
      <c r="BI16" s="12">
        <f t="shared" si="24"/>
        <v>2.8544117526592656E-2</v>
      </c>
      <c r="BK16" s="16">
        <f>IF(ISNUMBER(Risultati!X15/100),(Risultati!X15/100))</f>
        <v>4.5056530719685399E-2</v>
      </c>
      <c r="BL16" s="16">
        <f>IF(ISNUMBER(Risultati!Y15/100),(Risultati!Y15/100))</f>
        <v>0.20314070006471399</v>
      </c>
      <c r="BM16" s="16">
        <f>IF(ISNUMBER(Risultati!Z15/100),(Risultati!Z15/100))</f>
        <v>0.29262066997800301</v>
      </c>
      <c r="BN16" s="16">
        <f>IF(AND(Risultati!AY15&lt;0,calcoli!AP16&lt;0),-IF(ISNUMBER(Risultati!AA15/100),(Risultati!AA15/100)),IF(ISNUMBER(Risultati!AA15/100),(Risultati!AA15/100)))</f>
        <v>2.0255145375960799E-2</v>
      </c>
      <c r="BO16" s="16">
        <f t="shared" si="0"/>
        <v>2.8544117526592656E-2</v>
      </c>
      <c r="BP16" s="16">
        <f>IF(Risultati!AB15&gt;0,(AV16/Risultati!AB15),"0")</f>
        <v>3.0632496508283986E-2</v>
      </c>
      <c r="BQ16" s="16">
        <f>IF(Risultati!AG15&lt;&gt;0,(BH16/Risultati!AG15),"0")</f>
        <v>5.9687783706134638E-2</v>
      </c>
      <c r="BR16" s="16">
        <f t="shared" si="1"/>
        <v>2.8544117526592656E-2</v>
      </c>
      <c r="BS16" s="14">
        <f>IF(Risultati!AB15&gt;0,(Risultati!G15/Risultati!AB15),"0")</f>
        <v>1.1429323225921739</v>
      </c>
      <c r="BT16" s="15">
        <f>IF(Risultati!AG15&lt;&gt;0,(Risultati!AB15/Risultati!AG15),"0")</f>
        <v>1.741958177027312</v>
      </c>
      <c r="BU16" s="23">
        <f>IF(AND(Risultati!G15&gt;0,(Risultati!AE15-Risultati!AF15)&gt;=0),((Risultati!AE15-Risultati!AF15)/Risultati!G15*360),"0")</f>
        <v>22.873975567902672</v>
      </c>
      <c r="BV16" s="21">
        <f>IF(OR(E16="abbreviato",Risultati!G15=0),"0",((Risultati!AC15+Risultati!AD15)/Risultati!G15*360))</f>
        <v>20.75860784039152</v>
      </c>
      <c r="BW16" s="21">
        <f>IF(OR(E16="abbreviato",Risultati!G15=0,SUM(Risultati!I15+Risultati!K15+Risultati!M15)=0),"0",(((Risultati!AH15+Risultati!AI15)/(Risultati!I15+Risultati!K15+Risultati!N15)*360)))</f>
        <v>77.361589238619871</v>
      </c>
      <c r="BX16" s="16">
        <f>IF(Risultati!AB15&gt;0,(+Risultati!AG15/Risultati!AB15),"0")</f>
        <v>0.57406659539124005</v>
      </c>
      <c r="BY16" s="22">
        <f>IF(OR(E16="abbreviato",Risultati!G15=0),"0",(((Risultati!AK15-(Risultati!AL15+Risultati!AM15))/Risultati!G15)))</f>
        <v>2.7869121901782683E-2</v>
      </c>
      <c r="BZ16" s="16">
        <f>IF(Risultati!G15&gt;0,(Risultati!AJ15/Risultati!G15),"0")</f>
        <v>0.33777956048807234</v>
      </c>
      <c r="CA16" s="8"/>
      <c r="CB16" s="10">
        <f>+Risultati!AP15</f>
        <v>0</v>
      </c>
      <c r="CC16" s="31">
        <f t="shared" si="25"/>
        <v>0</v>
      </c>
      <c r="CD16" s="10">
        <f>+Risultati!AQ15</f>
        <v>706234</v>
      </c>
      <c r="CE16" s="31">
        <f t="shared" si="26"/>
        <v>0.23947246707835954</v>
      </c>
      <c r="CF16" s="10">
        <f>+Risultati!AR15</f>
        <v>822970</v>
      </c>
      <c r="CG16" s="31">
        <f t="shared" si="27"/>
        <v>0.27905574672343381</v>
      </c>
      <c r="CH16" s="10">
        <f>+Risultati!AS15</f>
        <v>435462</v>
      </c>
      <c r="CI16" s="31">
        <f t="shared" si="28"/>
        <v>0.14765808423111404</v>
      </c>
      <c r="CJ16" s="10">
        <f t="shared" si="29"/>
        <v>1964666</v>
      </c>
      <c r="CK16" s="31">
        <f t="shared" si="30"/>
        <v>0.66618629803290741</v>
      </c>
      <c r="CL16" s="10">
        <f>+Risultati!AE15+Risultati!AF15</f>
        <v>214167</v>
      </c>
      <c r="CM16" s="31">
        <f t="shared" si="31"/>
        <v>7.2620547660932538E-2</v>
      </c>
      <c r="CN16" s="10">
        <f>+Risultati!AT15</f>
        <v>705187</v>
      </c>
      <c r="CO16" s="31">
        <f t="shared" si="32"/>
        <v>0.239117446401033</v>
      </c>
      <c r="CP16" s="10">
        <f>+Risultati!AU15</f>
        <v>2928</v>
      </c>
      <c r="CQ16" s="31">
        <f t="shared" si="33"/>
        <v>9.9283719504503708E-4</v>
      </c>
      <c r="CR16" s="10">
        <f>+Risultati!AL15</f>
        <v>58064</v>
      </c>
      <c r="CS16" s="31">
        <f t="shared" si="34"/>
        <v>1.9688558365128086E-2</v>
      </c>
      <c r="CT16" s="10">
        <f t="shared" si="47"/>
        <v>980346</v>
      </c>
      <c r="CU16" s="31">
        <f t="shared" si="35"/>
        <v>0.33241938962213863</v>
      </c>
      <c r="CV16" s="10">
        <f>+Risultati!AX15</f>
        <v>4112</v>
      </c>
      <c r="CW16" s="31">
        <f t="shared" si="36"/>
        <v>1.3943123449539593E-3</v>
      </c>
      <c r="CX16" s="10">
        <f t="shared" si="48"/>
        <v>2949124</v>
      </c>
      <c r="CY16" s="31">
        <f t="shared" si="37"/>
        <v>1</v>
      </c>
      <c r="CZ16" s="10">
        <f>+Risultati!AG15</f>
        <v>1692993</v>
      </c>
      <c r="DA16" s="31">
        <f t="shared" si="38"/>
        <v>0.57406640073459103</v>
      </c>
      <c r="DB16" s="10">
        <f t="shared" si="49"/>
        <v>95898</v>
      </c>
      <c r="DC16" s="31">
        <f t="shared" si="39"/>
        <v>3.2517452640173826E-2</v>
      </c>
      <c r="DD16" s="10">
        <f>+Risultati!AV15</f>
        <v>1143325</v>
      </c>
      <c r="DE16" s="31">
        <f t="shared" si="40"/>
        <v>0.38768291872433985</v>
      </c>
      <c r="DF16" s="10">
        <f>+Risultati!AJ15</f>
        <v>1138536</v>
      </c>
      <c r="DG16" s="31">
        <f t="shared" si="41"/>
        <v>0.38605904668640584</v>
      </c>
      <c r="DH16" s="10">
        <f t="shared" si="42"/>
        <v>4789</v>
      </c>
      <c r="DI16" s="31">
        <f t="shared" si="43"/>
        <v>1.6238720379339762E-3</v>
      </c>
      <c r="DJ16" s="10">
        <f>+Risultati!AW15</f>
        <v>16908</v>
      </c>
      <c r="DK16" s="31">
        <f t="shared" si="44"/>
        <v>5.7332279008953171E-3</v>
      </c>
      <c r="DL16" s="10">
        <f t="shared" si="50"/>
        <v>2949124</v>
      </c>
      <c r="DM16" s="31">
        <f t="shared" si="45"/>
        <v>1</v>
      </c>
      <c r="DP16" s="30"/>
    </row>
    <row r="17" spans="1:120" x14ac:dyDescent="0.2">
      <c r="A17" s="5"/>
      <c r="B17" s="6" t="str">
        <f>+Risultati!B16</f>
        <v>ASPIAG SERVICE S.R.L.</v>
      </c>
      <c r="C17" s="6" t="str">
        <f>+Risultati!C16</f>
        <v>00882800212</v>
      </c>
      <c r="D17" s="26">
        <f>IF(YEAR(Risultati!D16)=1900,(MID(Risultati!$AP$1,29,4)),YEAR(Risultati!D16))</f>
        <v>2023</v>
      </c>
      <c r="E17" s="6" t="str">
        <f>+Risultati!E16</f>
        <v>Dettagliato</v>
      </c>
      <c r="F17" s="8" t="str">
        <f>(LEFT(Risultati!AN16,2)&amp;"-")&amp;VLOOKUP((LEFT(Risultati!AN16,2)),ateco!$B$4:$C$93,2,FALSE)</f>
        <v>46-Commercio all'ingrosso (escluso quello di autoveicoli e di motocicli)</v>
      </c>
      <c r="G17" s="8" t="str">
        <f>SUBSTITUTE((Risultati!AN16&amp;"-"&amp;Risultati!AO16),",",";")</f>
        <v>463920-Commercio all'ingrosso non specializzato di prodotti alimentari; bevande e tabacco</v>
      </c>
      <c r="I17" s="10">
        <f>+Risultati!G16</f>
        <v>2425357</v>
      </c>
      <c r="J17" s="11">
        <f t="shared" si="2"/>
        <v>0.99999422768722801</v>
      </c>
      <c r="K17" s="12"/>
      <c r="L17" s="10">
        <f>+Risultati!G16+Risultati!H16</f>
        <v>2425371</v>
      </c>
      <c r="M17" s="11">
        <f t="shared" si="3"/>
        <v>0.96849691905362978</v>
      </c>
      <c r="N17" s="12"/>
      <c r="O17" s="10">
        <f>+Risultati!I16+Risultati!J16</f>
        <v>1735125</v>
      </c>
      <c r="P17" s="11">
        <f t="shared" si="4"/>
        <v>0.6928685205986751</v>
      </c>
      <c r="Q17" s="12"/>
      <c r="R17" s="13">
        <f t="shared" si="5"/>
        <v>690246</v>
      </c>
      <c r="S17" s="11">
        <f t="shared" si="6"/>
        <v>0.27562839845495463</v>
      </c>
      <c r="T17" s="12"/>
      <c r="U17" s="10">
        <f>+Risultati!F16-(Risultati!G16+Risultati!H16)</f>
        <v>78892</v>
      </c>
      <c r="V17" s="12">
        <f t="shared" si="7"/>
        <v>3.1503080946370249E-2</v>
      </c>
      <c r="W17" s="12"/>
      <c r="X17" s="10">
        <f t="shared" si="8"/>
        <v>769138</v>
      </c>
      <c r="Y17" s="12">
        <f t="shared" si="9"/>
        <v>0.30713147940132485</v>
      </c>
      <c r="Z17" s="12"/>
      <c r="AA17" s="10">
        <f>+Risultati!K16</f>
        <v>252355</v>
      </c>
      <c r="AB17" s="12">
        <f t="shared" si="10"/>
        <v>0.10077016671172317</v>
      </c>
      <c r="AC17" s="12"/>
      <c r="AD17" s="10">
        <f>+Risultati!L16</f>
        <v>318967</v>
      </c>
      <c r="AE17" s="12">
        <f t="shared" si="11"/>
        <v>0.12736960934214978</v>
      </c>
      <c r="AF17" s="12"/>
      <c r="AG17" s="10">
        <f>+Risultati!M16+Risultati!P16+Risultati!Q16</f>
        <v>34348</v>
      </c>
      <c r="AH17" s="12">
        <f t="shared" si="12"/>
        <v>1.3715811797722523E-2</v>
      </c>
      <c r="AI17" s="12"/>
      <c r="AJ17" s="13">
        <f t="shared" si="13"/>
        <v>163468</v>
      </c>
      <c r="AK17" s="11">
        <f t="shared" si="14"/>
        <v>6.5275891549729403E-2</v>
      </c>
      <c r="AL17" s="12"/>
      <c r="AM17" s="10">
        <f>+Risultati!N16</f>
        <v>71975</v>
      </c>
      <c r="AN17" s="12">
        <f t="shared" si="15"/>
        <v>2.8740990862381466E-2</v>
      </c>
      <c r="AO17" s="12"/>
      <c r="AP17" s="10">
        <f t="shared" si="46"/>
        <v>91493</v>
      </c>
      <c r="AQ17" s="41">
        <f t="shared" si="16"/>
        <v>3.6534900687347938E-2</v>
      </c>
      <c r="AR17" s="41"/>
      <c r="AS17" s="10">
        <f>+Risultati!O16</f>
        <v>100720</v>
      </c>
      <c r="AT17" s="12">
        <f t="shared" si="17"/>
        <v>4.0219417848684422E-2</v>
      </c>
      <c r="AU17" s="12"/>
      <c r="AV17" s="10">
        <f t="shared" si="18"/>
        <v>-9227</v>
      </c>
      <c r="AW17" s="12">
        <f t="shared" si="19"/>
        <v>-3.6845171613364889E-3</v>
      </c>
      <c r="AX17" s="12"/>
      <c r="AY17" s="10">
        <f>+Risultati!R16+Risultati!S16</f>
        <v>-5174</v>
      </c>
      <c r="AZ17" s="12">
        <f t="shared" si="20"/>
        <v>-2.0660769256264219E-3</v>
      </c>
      <c r="BA17" s="12"/>
      <c r="BB17" s="10">
        <f>+Risultati!T16</f>
        <v>0</v>
      </c>
      <c r="BC17" s="12">
        <f t="shared" si="21"/>
        <v>0</v>
      </c>
      <c r="BD17" s="12"/>
      <c r="BE17" s="10">
        <f>+Risultati!U16</f>
        <v>-9168</v>
      </c>
      <c r="BF17" s="12">
        <f t="shared" si="22"/>
        <v>-3.6609573355514177E-3</v>
      </c>
      <c r="BG17" s="12"/>
      <c r="BH17" s="10">
        <f t="shared" si="23"/>
        <v>-5233</v>
      </c>
      <c r="BI17" s="12">
        <f t="shared" si="24"/>
        <v>-2.0896367514114931E-3</v>
      </c>
      <c r="BK17" s="16">
        <f>IF(ISNUMBER(Risultati!X16/100),(Risultati!X16/100))</f>
        <v>6.3084446010710796E-2</v>
      </c>
      <c r="BL17" s="16">
        <f>IF(ISNUMBER(Risultati!Y16/100),(Risultati!Y16/100))</f>
        <v>9.8711865021031006E-2</v>
      </c>
      <c r="BM17" s="16">
        <f>IF(ISNUMBER(Risultati!Z16/100),(Risultati!Z16/100))</f>
        <v>0.17983025592953802</v>
      </c>
      <c r="BN17" s="16">
        <f>IF(AND(Risultati!AY16&lt;0,calcoli!AP17&lt;0),-IF(ISNUMBER(Risultati!AA16/100),(Risultati!AA16/100)),IF(ISNUMBER(Risultati!AA16/100),(Risultati!AA16/100)))</f>
        <v>-0.12229353133603899</v>
      </c>
      <c r="BO17" s="16">
        <f t="shared" si="0"/>
        <v>-2.0896367514114931E-3</v>
      </c>
      <c r="BP17" s="16">
        <f>IF(Risultati!AB16&gt;0,(AV17/Risultati!AB16),"0")</f>
        <v>-6.4652424027971441E-3</v>
      </c>
      <c r="BQ17" s="16">
        <f>IF(Risultati!AG16&lt;&gt;0,(BH17/Risultati!AG16),"0")</f>
        <v>-7.4895163944984329E-3</v>
      </c>
      <c r="BR17" s="16">
        <f t="shared" si="1"/>
        <v>-2.0896367514114931E-3</v>
      </c>
      <c r="BS17" s="14">
        <f>IF(Risultati!AB16&gt;0,(Risultati!G16/Risultati!AB16),"0")</f>
        <v>1.6994170281045706</v>
      </c>
      <c r="BT17" s="15">
        <f>IF(Risultati!AG16&lt;&gt;0,(Risultati!AB16/Risultati!AG16),"0")</f>
        <v>2.0425784660302559</v>
      </c>
      <c r="BU17" s="23">
        <f>IF(AND(Risultati!G16&gt;0,(Risultati!AE16-Risultati!AF16)&gt;=0),((Risultati!AE16-Risultati!AF16)/Risultati!G16*360),"0")</f>
        <v>24.447897773399959</v>
      </c>
      <c r="BV17" s="21">
        <f>IF(OR(E17="abbreviato",Risultati!G16=0),"0",((Risultati!AC16+Risultati!AD16)/Risultati!G16*360))</f>
        <v>20.123486975319508</v>
      </c>
      <c r="BW17" s="21">
        <f>IF(OR(E17="abbreviato",Risultati!G16=0,SUM(Risultati!I16+Risultati!K16+Risultati!M16)=0),"0",(((Risultati!AH16+Risultati!AI16)/(Risultati!I16+Risultati!K16+Risultati!N16)*360)))</f>
        <v>52.644357213812775</v>
      </c>
      <c r="BX17" s="16">
        <f>IF(Risultati!AB16&gt;0,(+Risultati!AG16/Risultati!AB16),"0")</f>
        <v>0.48957727530707623</v>
      </c>
      <c r="BY17" s="22">
        <f>IF(OR(E17="abbreviato",Risultati!G16=0),"0",(((Risultati!AK16-(Risultati!AL16+Risultati!AM16))/Risultati!G16)))</f>
        <v>5.7818292317378429E-2</v>
      </c>
      <c r="BZ17" s="16">
        <f>IF(Risultati!G16&gt;0,(Risultati!AJ16/Risultati!G16),"0")</f>
        <v>0.18091522196526119</v>
      </c>
      <c r="CA17" s="8"/>
      <c r="CB17" s="10">
        <f>+Risultati!AP16</f>
        <v>0</v>
      </c>
      <c r="CC17" s="31">
        <f t="shared" si="25"/>
        <v>0</v>
      </c>
      <c r="CD17" s="10">
        <f>+Risultati!AQ16</f>
        <v>44746</v>
      </c>
      <c r="CE17" s="31">
        <f t="shared" si="26"/>
        <v>3.1352935282457396E-2</v>
      </c>
      <c r="CF17" s="10">
        <f>+Risultati!AR16</f>
        <v>903354</v>
      </c>
      <c r="CG17" s="31">
        <f t="shared" si="27"/>
        <v>0.63296829882333649</v>
      </c>
      <c r="CH17" s="10">
        <f>+Risultati!AS16</f>
        <v>60075</v>
      </c>
      <c r="CI17" s="31">
        <f t="shared" si="28"/>
        <v>4.2093764517356365E-2</v>
      </c>
      <c r="CJ17" s="10">
        <f t="shared" si="29"/>
        <v>1008175</v>
      </c>
      <c r="CK17" s="31">
        <f t="shared" si="30"/>
        <v>0.70641499862315027</v>
      </c>
      <c r="CL17" s="10">
        <f>+Risultati!AE16+Risultati!AF16</f>
        <v>164708</v>
      </c>
      <c r="CM17" s="31">
        <f t="shared" si="31"/>
        <v>0.11540873518309999</v>
      </c>
      <c r="CN17" s="10">
        <f>+Risultati!AT16</f>
        <v>192957</v>
      </c>
      <c r="CO17" s="31">
        <f t="shared" si="32"/>
        <v>0.13520243895090356</v>
      </c>
      <c r="CP17" s="10">
        <f>+Risultati!AU16</f>
        <v>49</v>
      </c>
      <c r="CQ17" s="31">
        <f t="shared" si="33"/>
        <v>3.4333657284235738E-5</v>
      </c>
      <c r="CR17" s="10">
        <f>+Risultati!AL16</f>
        <v>55534</v>
      </c>
      <c r="CS17" s="31">
        <f t="shared" si="34"/>
        <v>3.8911945380056066E-2</v>
      </c>
      <c r="CT17" s="10">
        <f t="shared" si="47"/>
        <v>413248</v>
      </c>
      <c r="CU17" s="31">
        <f t="shared" si="35"/>
        <v>0.28955745317134385</v>
      </c>
      <c r="CV17" s="10">
        <f>+Risultati!AX16</f>
        <v>5748</v>
      </c>
      <c r="CW17" s="31">
        <f t="shared" si="36"/>
        <v>4.0275482055058577E-3</v>
      </c>
      <c r="CX17" s="10">
        <f t="shared" si="48"/>
        <v>1427171</v>
      </c>
      <c r="CY17" s="31">
        <f t="shared" si="37"/>
        <v>1</v>
      </c>
      <c r="CZ17" s="10">
        <f>+Risultati!AG16</f>
        <v>698710</v>
      </c>
      <c r="DA17" s="31">
        <f t="shared" si="38"/>
        <v>0.48957693226670107</v>
      </c>
      <c r="DB17" s="10">
        <f t="shared" si="49"/>
        <v>36403</v>
      </c>
      <c r="DC17" s="31">
        <f t="shared" si="39"/>
        <v>2.5507104614653744E-2</v>
      </c>
      <c r="DD17" s="10">
        <f>+Risultati!AV16</f>
        <v>684011</v>
      </c>
      <c r="DE17" s="31">
        <f t="shared" si="40"/>
        <v>0.47927753576831367</v>
      </c>
      <c r="DF17" s="10">
        <f>+Risultati!AJ16</f>
        <v>438784</v>
      </c>
      <c r="DG17" s="31">
        <f t="shared" si="41"/>
        <v>0.30745019342461416</v>
      </c>
      <c r="DH17" s="10">
        <f t="shared" si="42"/>
        <v>245227</v>
      </c>
      <c r="DI17" s="31">
        <f t="shared" si="43"/>
        <v>0.17182734234369954</v>
      </c>
      <c r="DJ17" s="10">
        <f>+Risultati!AW16</f>
        <v>8047</v>
      </c>
      <c r="DK17" s="31">
        <f t="shared" si="44"/>
        <v>5.63842735033153E-3</v>
      </c>
      <c r="DL17" s="10">
        <f t="shared" si="50"/>
        <v>1427171</v>
      </c>
      <c r="DM17" s="31">
        <f t="shared" si="45"/>
        <v>1</v>
      </c>
      <c r="DP17" s="30"/>
    </row>
    <row r="18" spans="1:120" x14ac:dyDescent="0.2">
      <c r="A18" s="5"/>
      <c r="B18" s="6" t="str">
        <f>+Risultati!B17</f>
        <v>COOP CONSORZIO NORD OVEST SOC. CONSORTILE A R.L.</v>
      </c>
      <c r="C18" s="6" t="str">
        <f>+Risultati!C17</f>
        <v>04117520967</v>
      </c>
      <c r="D18" s="26">
        <f>IF(YEAR(Risultati!D17)=1900,(MID(Risultati!$AP$1,29,4)),YEAR(Risultati!D17))</f>
        <v>2023</v>
      </c>
      <c r="E18" s="6" t="str">
        <f>+Risultati!E17</f>
        <v>Dettagliato</v>
      </c>
      <c r="F18" s="8" t="str">
        <f>(LEFT(Risultati!AN17,2)&amp;"-")&amp;VLOOKUP((LEFT(Risultati!AN17,2)),ateco!$B$4:$C$93,2,FALSE)</f>
        <v>46-Commercio all'ingrosso (escluso quello di autoveicoli e di motocicli)</v>
      </c>
      <c r="G18" s="8" t="str">
        <f>SUBSTITUTE((Risultati!AN17&amp;"-"&amp;Risultati!AO17),",",";")</f>
        <v>461904-Gruppi di acquisto; mandatari agli acquisti; buyer</v>
      </c>
      <c r="I18" s="10">
        <f>+Risultati!G17</f>
        <v>2281641</v>
      </c>
      <c r="J18" s="11">
        <f t="shared" si="2"/>
        <v>1</v>
      </c>
      <c r="K18" s="12"/>
      <c r="L18" s="10">
        <f>+Risultati!G17+Risultati!H17</f>
        <v>2281641</v>
      </c>
      <c r="M18" s="11">
        <f t="shared" si="3"/>
        <v>0.98295498116065527</v>
      </c>
      <c r="N18" s="12"/>
      <c r="O18" s="10">
        <f>+Risultati!I17+Risultati!J17</f>
        <v>2178390</v>
      </c>
      <c r="P18" s="11">
        <f t="shared" si="4"/>
        <v>0.93847336255377589</v>
      </c>
      <c r="Q18" s="12"/>
      <c r="R18" s="13">
        <f t="shared" si="5"/>
        <v>103251</v>
      </c>
      <c r="S18" s="11">
        <f t="shared" si="6"/>
        <v>4.4481618606879353E-2</v>
      </c>
      <c r="T18" s="12"/>
      <c r="U18" s="10">
        <f>+Risultati!F17-(Risultati!G17+Risultati!H17)</f>
        <v>39565</v>
      </c>
      <c r="V18" s="12">
        <f t="shared" si="7"/>
        <v>1.7045018839344721E-2</v>
      </c>
      <c r="W18" s="12"/>
      <c r="X18" s="10">
        <f t="shared" si="8"/>
        <v>142816</v>
      </c>
      <c r="Y18" s="12">
        <f t="shared" si="9"/>
        <v>6.1526637446224074E-2</v>
      </c>
      <c r="Z18" s="12"/>
      <c r="AA18" s="10">
        <f>+Risultati!K17</f>
        <v>102029</v>
      </c>
      <c r="AB18" s="12">
        <f t="shared" si="10"/>
        <v>4.395516813242771E-2</v>
      </c>
      <c r="AC18" s="12"/>
      <c r="AD18" s="10">
        <f>+Risultati!L17</f>
        <v>16136</v>
      </c>
      <c r="AE18" s="12">
        <f t="shared" si="11"/>
        <v>6.9515588017608088E-3</v>
      </c>
      <c r="AF18" s="12"/>
      <c r="AG18" s="10">
        <f>+Risultati!M17+Risultati!P17+Risultati!Q17</f>
        <v>3481</v>
      </c>
      <c r="AH18" s="12">
        <f t="shared" si="12"/>
        <v>1.4996514742767338E-3</v>
      </c>
      <c r="AI18" s="12"/>
      <c r="AJ18" s="13">
        <f t="shared" si="13"/>
        <v>21170</v>
      </c>
      <c r="AK18" s="11">
        <f t="shared" si="14"/>
        <v>9.1202590377588207E-3</v>
      </c>
      <c r="AL18" s="12"/>
      <c r="AM18" s="10">
        <f>+Risultati!N17</f>
        <v>15091</v>
      </c>
      <c r="AN18" s="12">
        <f t="shared" si="15"/>
        <v>6.5013617921028978E-3</v>
      </c>
      <c r="AO18" s="12"/>
      <c r="AP18" s="10">
        <f t="shared" si="46"/>
        <v>6079</v>
      </c>
      <c r="AQ18" s="41">
        <f t="shared" si="16"/>
        <v>2.6188972456559221E-3</v>
      </c>
      <c r="AR18" s="41"/>
      <c r="AS18" s="10">
        <f>+Risultati!O17</f>
        <v>6257</v>
      </c>
      <c r="AT18" s="12">
        <f t="shared" si="17"/>
        <v>2.6955815209852118E-3</v>
      </c>
      <c r="AU18" s="12"/>
      <c r="AV18" s="10">
        <f t="shared" si="18"/>
        <v>-178</v>
      </c>
      <c r="AW18" s="12">
        <f t="shared" si="19"/>
        <v>-7.6684275329290033E-5</v>
      </c>
      <c r="AX18" s="12"/>
      <c r="AY18" s="10">
        <f>+Risultati!R17+Risultati!S17</f>
        <v>211</v>
      </c>
      <c r="AZ18" s="12">
        <f t="shared" si="20"/>
        <v>9.0901023002697731E-5</v>
      </c>
      <c r="BA18" s="12"/>
      <c r="BB18" s="10">
        <f>+Risultati!T17</f>
        <v>0</v>
      </c>
      <c r="BC18" s="12">
        <f t="shared" si="21"/>
        <v>0</v>
      </c>
      <c r="BD18" s="12"/>
      <c r="BE18" s="10">
        <f>+Risultati!U17</f>
        <v>31</v>
      </c>
      <c r="BF18" s="12">
        <f t="shared" si="22"/>
        <v>1.3355126602292084E-5</v>
      </c>
      <c r="BG18" s="12"/>
      <c r="BH18" s="10">
        <f t="shared" si="23"/>
        <v>2</v>
      </c>
      <c r="BI18" s="12">
        <f t="shared" si="24"/>
        <v>8.6162107111561833E-7</v>
      </c>
      <c r="BK18" s="16">
        <f>IF(ISNUMBER(Risultati!X17/100),(Risultati!X17/100))</f>
        <v>5.6198411379481596E-2</v>
      </c>
      <c r="BL18" s="16">
        <f>IF(ISNUMBER(Risultati!Y17/100),(Risultati!Y17/100))</f>
        <v>9.8141769210517801E-2</v>
      </c>
      <c r="BM18" s="16">
        <f>IF(ISNUMBER(Risultati!Z17/100),(Risultati!Z17/100))</f>
        <v>0.10651413573565201</v>
      </c>
      <c r="BN18" s="16">
        <f>IF(AND(Risultati!AY17&lt;0,calcoli!AP18&lt;0),-IF(ISNUMBER(Risultati!AA17/100),(Risultati!AA17/100)),IF(ISNUMBER(Risultati!AA17/100),(Risultati!AA17/100)))</f>
        <v>-2.4554646124217601E-2</v>
      </c>
      <c r="BO18" s="16">
        <f t="shared" si="0"/>
        <v>8.6162107111561833E-7</v>
      </c>
      <c r="BP18" s="16">
        <f>IF(Risultati!AB17&gt;0,(AV18/Risultati!AB17),"0")</f>
        <v>-4.0258195256770386E-4</v>
      </c>
      <c r="BQ18" s="16">
        <f>IF(Risultati!AG17&lt;&gt;0,(BH18/Risultati!AG17),"0")</f>
        <v>3.3333333333333332E-4</v>
      </c>
      <c r="BR18" s="16">
        <f t="shared" si="1"/>
        <v>8.6162107111561833E-7</v>
      </c>
      <c r="BS18" s="14">
        <f>IF(Risultati!AB17&gt;0,(Risultati!G17/Risultati!AB17),"0")</f>
        <v>5.1603791507782502</v>
      </c>
      <c r="BT18" s="15">
        <f>IF(Risultati!AG17&lt;&gt;0,(Risultati!AB17/Risultati!AG17),"0")</f>
        <v>73.691000000000003</v>
      </c>
      <c r="BU18" s="23">
        <f>IF(AND(Risultati!G17&gt;0,(Risultati!AE17-Risultati!AF17)&gt;=0),((Risultati!AE17-Risultati!AF17)/Risultati!G17*360),"0")</f>
        <v>15.911127122978593</v>
      </c>
      <c r="BV18" s="21">
        <f>IF(OR(E18="abbreviato",Risultati!G17=0),"0",((Risultati!AC17+Risultati!AD17)/Risultati!G17*360))</f>
        <v>0.39429515861610126</v>
      </c>
      <c r="BW18" s="21">
        <f>IF(OR(E18="abbreviato",Risultati!G17=0,SUM(Risultati!I17+Risultati!K17+Risultati!M17)=0),"0",(((Risultati!AH17+Risultati!AI17)/(Risultati!I17+Risultati!K17+Risultati!N17)*360)))</f>
        <v>39.649882241433154</v>
      </c>
      <c r="BX18" s="16">
        <f>IF(Risultati!AB17&gt;0,(+Risultati!AG17/Risultati!AB17),"0")</f>
        <v>1.3570178176439457E-2</v>
      </c>
      <c r="BY18" s="22">
        <f>IF(OR(E18="abbreviato",Risultati!G17=0),"0",(((Risultati!AK17-(Risultati!AL17+Risultati!AM17))/Risultati!G17)))</f>
        <v>-2.5196777231825691E-3</v>
      </c>
      <c r="BZ18" s="16">
        <f>IF(Risultati!G17&gt;0,(Risultati!AJ17/Risultati!G17),"0")</f>
        <v>0.18991638035957453</v>
      </c>
      <c r="CA18" s="8"/>
      <c r="CB18" s="10">
        <f>+Risultati!AP17</f>
        <v>0</v>
      </c>
      <c r="CC18" s="31">
        <f t="shared" si="25"/>
        <v>0</v>
      </c>
      <c r="CD18" s="10">
        <f>+Risultati!AQ17</f>
        <v>18139</v>
      </c>
      <c r="CE18" s="31">
        <f t="shared" si="26"/>
        <v>4.102481753805861E-2</v>
      </c>
      <c r="CF18" s="10">
        <f>+Risultati!AR17</f>
        <v>4067</v>
      </c>
      <c r="CG18" s="31">
        <f t="shared" si="27"/>
        <v>9.198298303505395E-3</v>
      </c>
      <c r="CH18" s="10">
        <f>+Risultati!AS17</f>
        <v>3568</v>
      </c>
      <c r="CI18" s="31">
        <f t="shared" si="28"/>
        <v>8.0697143710123549E-3</v>
      </c>
      <c r="CJ18" s="10">
        <f t="shared" si="29"/>
        <v>25774</v>
      </c>
      <c r="CK18" s="31">
        <f t="shared" si="30"/>
        <v>5.8292830212576363E-2</v>
      </c>
      <c r="CL18" s="10">
        <f>+Risultati!AE17+Risultati!AF17</f>
        <v>100843</v>
      </c>
      <c r="CM18" s="31">
        <f t="shared" si="31"/>
        <v>0.22807573046973065</v>
      </c>
      <c r="CN18" s="10">
        <f>+Risultati!AT17</f>
        <v>309482</v>
      </c>
      <c r="CO18" s="31">
        <f t="shared" si="32"/>
        <v>0.69995273065292762</v>
      </c>
      <c r="CP18" s="10">
        <f>+Risultati!AU17</f>
        <v>0</v>
      </c>
      <c r="CQ18" s="31">
        <f t="shared" si="33"/>
        <v>0</v>
      </c>
      <c r="CR18" s="10">
        <f>+Risultati!AL17</f>
        <v>5749</v>
      </c>
      <c r="CS18" s="31">
        <f t="shared" si="34"/>
        <v>1.3002462981768506E-2</v>
      </c>
      <c r="CT18" s="10">
        <f t="shared" si="47"/>
        <v>416074</v>
      </c>
      <c r="CU18" s="31">
        <f t="shared" si="35"/>
        <v>0.94103092410442679</v>
      </c>
      <c r="CV18" s="10">
        <f>+Risultati!AX17</f>
        <v>299</v>
      </c>
      <c r="CW18" s="31">
        <f t="shared" si="36"/>
        <v>6.7624568299683142E-4</v>
      </c>
      <c r="CX18" s="10">
        <f t="shared" si="48"/>
        <v>442147</v>
      </c>
      <c r="CY18" s="31">
        <f t="shared" si="37"/>
        <v>1</v>
      </c>
      <c r="CZ18" s="10">
        <f>+Risultati!AG17</f>
        <v>6000</v>
      </c>
      <c r="DA18" s="31">
        <f t="shared" si="38"/>
        <v>1.3570147484886249E-2</v>
      </c>
      <c r="DB18" s="10">
        <f t="shared" si="49"/>
        <v>2630</v>
      </c>
      <c r="DC18" s="31">
        <f t="shared" si="39"/>
        <v>5.9482479808751392E-3</v>
      </c>
      <c r="DD18" s="10">
        <f>+Risultati!AV17</f>
        <v>433321</v>
      </c>
      <c r="DE18" s="31">
        <f t="shared" si="40"/>
        <v>0.98003831304973232</v>
      </c>
      <c r="DF18" s="10">
        <f>+Risultati!AJ17</f>
        <v>433321</v>
      </c>
      <c r="DG18" s="31">
        <f t="shared" si="41"/>
        <v>0.98003831304973232</v>
      </c>
      <c r="DH18" s="10">
        <f t="shared" si="42"/>
        <v>0</v>
      </c>
      <c r="DI18" s="31">
        <f t="shared" si="43"/>
        <v>0</v>
      </c>
      <c r="DJ18" s="10">
        <f>+Risultati!AW17</f>
        <v>196</v>
      </c>
      <c r="DK18" s="31">
        <f t="shared" si="44"/>
        <v>4.4329148450628411E-4</v>
      </c>
      <c r="DL18" s="10">
        <f t="shared" si="50"/>
        <v>442147</v>
      </c>
      <c r="DM18" s="31">
        <f t="shared" si="45"/>
        <v>1</v>
      </c>
      <c r="DP18" s="30"/>
    </row>
    <row r="19" spans="1:120" x14ac:dyDescent="0.2">
      <c r="A19" s="5"/>
      <c r="B19" s="6" t="str">
        <f>+Risultati!B18</f>
        <v>GESCO SOCIETA' COOPERATIVA AGRICOLA IN BREVE GESCO S.C.A.</v>
      </c>
      <c r="C19" s="6" t="str">
        <f>+Risultati!C18</f>
        <v>02522130406</v>
      </c>
      <c r="D19" s="26">
        <f>IF(YEAR(Risultati!D18)=1900,(MID(Risultati!$AP$1,29,4)),YEAR(Risultati!D18))</f>
        <v>2023</v>
      </c>
      <c r="E19" s="6" t="str">
        <f>+Risultati!E18</f>
        <v>Dettagliato</v>
      </c>
      <c r="F19" s="8" t="str">
        <f>(LEFT(Risultati!AN18,2)&amp;"-")&amp;VLOOKUP((LEFT(Risultati!AN18,2)),ateco!$B$4:$C$93,2,FALSE)</f>
        <v>46-Commercio all'ingrosso (escluso quello di autoveicoli e di motocicli)</v>
      </c>
      <c r="G19" s="8" t="str">
        <f>SUBSTITUTE((Risultati!AN18&amp;"-"&amp;Risultati!AO18),",",";")</f>
        <v>463210-Commercio all'ingrosso di carne fresca; congelata e surgelata</v>
      </c>
      <c r="I19" s="10">
        <f>+Risultati!G18</f>
        <v>2242759</v>
      </c>
      <c r="J19" s="11">
        <f t="shared" si="2"/>
        <v>0.99965055271951553</v>
      </c>
      <c r="K19" s="12"/>
      <c r="L19" s="10">
        <f>+Risultati!G18+Risultati!H18</f>
        <v>2243543</v>
      </c>
      <c r="M19" s="11">
        <f t="shared" si="3"/>
        <v>0.9963243065609152</v>
      </c>
      <c r="N19" s="12"/>
      <c r="O19" s="10">
        <f>+Risultati!I18+Risultati!J18</f>
        <v>1970339</v>
      </c>
      <c r="P19" s="11">
        <f t="shared" si="4"/>
        <v>0.87499844570169905</v>
      </c>
      <c r="Q19" s="12"/>
      <c r="R19" s="13">
        <f t="shared" si="5"/>
        <v>273204</v>
      </c>
      <c r="S19" s="11">
        <f t="shared" si="6"/>
        <v>0.12132586085921609</v>
      </c>
      <c r="T19" s="12"/>
      <c r="U19" s="10">
        <f>+Risultati!F18-(Risultati!G18+Risultati!H18)</f>
        <v>8277</v>
      </c>
      <c r="V19" s="12">
        <f t="shared" si="7"/>
        <v>3.6756934390848291E-3</v>
      </c>
      <c r="W19" s="12"/>
      <c r="X19" s="10">
        <f t="shared" si="8"/>
        <v>281481</v>
      </c>
      <c r="Y19" s="12">
        <f t="shared" si="9"/>
        <v>0.12500155429830093</v>
      </c>
      <c r="Z19" s="12"/>
      <c r="AA19" s="10">
        <f>+Risultati!K18</f>
        <v>225490</v>
      </c>
      <c r="AB19" s="12">
        <f t="shared" si="10"/>
        <v>0.10013677825048184</v>
      </c>
      <c r="AC19" s="12"/>
      <c r="AD19" s="10">
        <f>+Risultati!L18</f>
        <v>39825</v>
      </c>
      <c r="AE19" s="12">
        <f t="shared" si="11"/>
        <v>1.768569423843824E-2</v>
      </c>
      <c r="AF19" s="12"/>
      <c r="AG19" s="10">
        <f>+Risultati!M18+Risultati!P18+Risultati!Q18</f>
        <v>1207</v>
      </c>
      <c r="AH19" s="12">
        <f t="shared" si="12"/>
        <v>5.360108712064019E-4</v>
      </c>
      <c r="AI19" s="12"/>
      <c r="AJ19" s="13">
        <f t="shared" si="13"/>
        <v>14959</v>
      </c>
      <c r="AK19" s="11">
        <f t="shared" si="14"/>
        <v>6.6430709381744548E-3</v>
      </c>
      <c r="AL19" s="12"/>
      <c r="AM19" s="10">
        <f>+Risultati!N18</f>
        <v>5183</v>
      </c>
      <c r="AN19" s="12">
        <f t="shared" si="15"/>
        <v>2.301693741062785E-3</v>
      </c>
      <c r="AO19" s="12"/>
      <c r="AP19" s="10">
        <f t="shared" si="46"/>
        <v>9776</v>
      </c>
      <c r="AQ19" s="41">
        <f t="shared" si="16"/>
        <v>4.3413771971116694E-3</v>
      </c>
      <c r="AR19" s="41"/>
      <c r="AS19" s="10">
        <f>+Risultati!O18</f>
        <v>9003</v>
      </c>
      <c r="AT19" s="12">
        <f t="shared" si="17"/>
        <v>3.9980993152205768E-3</v>
      </c>
      <c r="AU19" s="12"/>
      <c r="AV19" s="10">
        <f t="shared" si="18"/>
        <v>773</v>
      </c>
      <c r="AW19" s="12">
        <f t="shared" si="19"/>
        <v>3.4327788189109256E-4</v>
      </c>
      <c r="AX19" s="12"/>
      <c r="AY19" s="10">
        <f>+Risultati!R18+Risultati!S18</f>
        <v>-272</v>
      </c>
      <c r="AZ19" s="12">
        <f t="shared" si="20"/>
        <v>-1.2079118224369621E-4</v>
      </c>
      <c r="BA19" s="12"/>
      <c r="BB19" s="10">
        <f>+Risultati!T18</f>
        <v>0</v>
      </c>
      <c r="BC19" s="12">
        <f t="shared" si="21"/>
        <v>0</v>
      </c>
      <c r="BD19" s="12"/>
      <c r="BE19" s="10">
        <f>+Risultati!U18</f>
        <v>313</v>
      </c>
      <c r="BF19" s="12">
        <f t="shared" si="22"/>
        <v>1.3899867662601806E-4</v>
      </c>
      <c r="BG19" s="12"/>
      <c r="BH19" s="10">
        <f t="shared" si="23"/>
        <v>188</v>
      </c>
      <c r="BI19" s="12">
        <f t="shared" si="24"/>
        <v>8.3488023021378258E-5</v>
      </c>
      <c r="BK19" s="16">
        <f>IF(ISNUMBER(Risultati!X18/100),(Risultati!X18/100))</f>
        <v>4.2246445209024805E-3</v>
      </c>
      <c r="BL19" s="16">
        <f>IF(ISNUMBER(Risultati!Y18/100),(Risultati!Y18/100))</f>
        <v>0.28227451197998599</v>
      </c>
      <c r="BM19" s="16">
        <f>IF(ISNUMBER(Risultati!Z18/100),(Risultati!Z18/100))</f>
        <v>0.36630523701120998</v>
      </c>
      <c r="BN19" s="16">
        <f>IF(AND(Risultati!AY18&lt;0,calcoli!AP19&lt;0),-IF(ISNUMBER(Risultati!AA18/100),(Risultati!AA18/100)),IF(ISNUMBER(Risultati!AA18/100),(Risultati!AA18/100)))</f>
        <v>-0.26781063547551498</v>
      </c>
      <c r="BO19" s="16">
        <f t="shared" si="0"/>
        <v>8.3488023021378258E-5</v>
      </c>
      <c r="BP19" s="16">
        <f>IF(Risultati!AB18&gt;0,(AV19/Risultati!AB18),"0")</f>
        <v>9.9176310589925844E-4</v>
      </c>
      <c r="BQ19" s="16">
        <f>IF(Risultati!AG18&lt;&gt;0,(BH19/Risultati!AG18),"0")</f>
        <v>6.2056444957913851E-3</v>
      </c>
      <c r="BR19" s="16">
        <f t="shared" si="1"/>
        <v>8.3488023021378258E-5</v>
      </c>
      <c r="BS19" s="14">
        <f>IF(Risultati!AB18&gt;0,(Risultati!G18/Risultati!AB18),"0")</f>
        <v>2.8774717097328781</v>
      </c>
      <c r="BT19" s="15">
        <f>IF(Risultati!AG18&lt;&gt;0,(Risultati!AB18/Risultati!AG18),"0")</f>
        <v>25.727677834626174</v>
      </c>
      <c r="BU19" s="23">
        <f>IF(AND(Risultati!G18&gt;0,(Risultati!AE18-Risultati!AF18)&gt;=0),((Risultati!AE18-Risultati!AF18)/Risultati!G18*360),"0")</f>
        <v>16.851993459841204</v>
      </c>
      <c r="BV19" s="21">
        <f>IF(OR(E19="abbreviato",Risultati!G18=0),"0",((Risultati!AC18+Risultati!AD18)/Risultati!G18*360))</f>
        <v>30.325273468972817</v>
      </c>
      <c r="BW19" s="21">
        <f>IF(OR(E19="abbreviato",Risultati!G18=0,SUM(Risultati!I18+Risultati!K18+Risultati!M18)=0),"0",(((Risultati!AH18+Risultati!AI18)/(Risultati!I18+Risultati!K18+Risultati!N18)*360)))</f>
        <v>44.003603324515247</v>
      </c>
      <c r="BX19" s="16">
        <f>IF(Risultati!AB18&gt;0,(+Risultati!AG18/Risultati!AB18),"0")</f>
        <v>3.8868645916194093E-2</v>
      </c>
      <c r="BY19" s="22">
        <f>IF(OR(E19="abbreviato",Risultati!G18=0),"0",(((Risultati!AK18-(Risultati!AL18+Risultati!AM18))/Risultati!G18)))</f>
        <v>-3.229370610038796E-2</v>
      </c>
      <c r="BZ19" s="16">
        <f>IF(Risultati!G18&gt;0,(Risultati!AJ18/Risultati!G18),"0")</f>
        <v>0.25728043004174767</v>
      </c>
      <c r="CA19" s="8"/>
      <c r="CB19" s="10">
        <f>+Risultati!AP18</f>
        <v>0</v>
      </c>
      <c r="CC19" s="31">
        <f t="shared" si="25"/>
        <v>0</v>
      </c>
      <c r="CD19" s="10">
        <f>+Risultati!AQ18</f>
        <v>5486</v>
      </c>
      <c r="CE19" s="31">
        <f t="shared" si="26"/>
        <v>7.0385671396679585E-3</v>
      </c>
      <c r="CF19" s="10">
        <f>+Risultati!AR18</f>
        <v>51855</v>
      </c>
      <c r="CG19" s="31">
        <f t="shared" si="27"/>
        <v>6.6530240435195398E-2</v>
      </c>
      <c r="CH19" s="10">
        <f>+Risultati!AS18</f>
        <v>2242</v>
      </c>
      <c r="CI19" s="31">
        <f t="shared" si="28"/>
        <v>2.876497908701342E-3</v>
      </c>
      <c r="CJ19" s="10">
        <f t="shared" si="29"/>
        <v>59583</v>
      </c>
      <c r="CK19" s="31">
        <f t="shared" si="30"/>
        <v>7.6445305483564707E-2</v>
      </c>
      <c r="CL19" s="10">
        <f>+Risultati!AE18+Risultati!AF18</f>
        <v>104986</v>
      </c>
      <c r="CM19" s="31">
        <f t="shared" si="31"/>
        <v>0.13469759564804598</v>
      </c>
      <c r="CN19" s="10">
        <f>+Risultati!AT18</f>
        <v>228037</v>
      </c>
      <c r="CO19" s="31">
        <f t="shared" si="32"/>
        <v>0.29257268225090449</v>
      </c>
      <c r="CP19" s="10">
        <f>+Risultati!AU18</f>
        <v>345213</v>
      </c>
      <c r="CQ19" s="31">
        <f t="shared" si="33"/>
        <v>0.44291011264786634</v>
      </c>
      <c r="CR19" s="10">
        <f>+Risultati!AL18</f>
        <v>38759</v>
      </c>
      <c r="CS19" s="31">
        <f t="shared" si="34"/>
        <v>4.9728002873931899E-2</v>
      </c>
      <c r="CT19" s="10">
        <f t="shared" si="47"/>
        <v>716995</v>
      </c>
      <c r="CU19" s="31">
        <f t="shared" si="35"/>
        <v>0.91990839342074882</v>
      </c>
      <c r="CV19" s="10">
        <f>+Risultati!AX18</f>
        <v>2842</v>
      </c>
      <c r="CW19" s="31">
        <f t="shared" si="36"/>
        <v>3.6463010956865362E-3</v>
      </c>
      <c r="CX19" s="10">
        <f t="shared" si="48"/>
        <v>779420</v>
      </c>
      <c r="CY19" s="31">
        <f t="shared" si="37"/>
        <v>1</v>
      </c>
      <c r="CZ19" s="10">
        <f>+Risultati!AG18</f>
        <v>30295</v>
      </c>
      <c r="DA19" s="31">
        <f t="shared" si="38"/>
        <v>3.8868645916194093E-2</v>
      </c>
      <c r="DB19" s="10">
        <f t="shared" si="49"/>
        <v>7249</v>
      </c>
      <c r="DC19" s="31">
        <f t="shared" si="39"/>
        <v>9.3005055040927872E-3</v>
      </c>
      <c r="DD19" s="10">
        <f>+Risultati!AV18</f>
        <v>738546</v>
      </c>
      <c r="DE19" s="31">
        <f t="shared" si="40"/>
        <v>0.9475584408919453</v>
      </c>
      <c r="DF19" s="10">
        <f>+Risultati!AJ18</f>
        <v>577018</v>
      </c>
      <c r="DG19" s="31">
        <f t="shared" si="41"/>
        <v>0.74031715891303795</v>
      </c>
      <c r="DH19" s="10">
        <f t="shared" si="42"/>
        <v>161528</v>
      </c>
      <c r="DI19" s="31">
        <f t="shared" si="43"/>
        <v>0.2072412819789074</v>
      </c>
      <c r="DJ19" s="10">
        <f>+Risultati!AW18</f>
        <v>3330</v>
      </c>
      <c r="DK19" s="31">
        <f t="shared" si="44"/>
        <v>4.2724076877678277E-3</v>
      </c>
      <c r="DL19" s="10">
        <f t="shared" si="50"/>
        <v>779420</v>
      </c>
      <c r="DM19" s="31">
        <f t="shared" si="45"/>
        <v>1</v>
      </c>
      <c r="DP19" s="30"/>
    </row>
    <row r="20" spans="1:120" x14ac:dyDescent="0.2">
      <c r="A20" s="5"/>
      <c r="B20" s="6" t="str">
        <f>+Risultati!B19</f>
        <v>MEGAMARK S.R.L.</v>
      </c>
      <c r="C20" s="6" t="str">
        <f>+Risultati!C19</f>
        <v>02969690615</v>
      </c>
      <c r="D20" s="26">
        <f>IF(YEAR(Risultati!D19)=1900,(MID(Risultati!$AP$1,29,4)),YEAR(Risultati!D19))</f>
        <v>2023</v>
      </c>
      <c r="E20" s="6" t="str">
        <f>+Risultati!E19</f>
        <v>Dettagliato</v>
      </c>
      <c r="F20" s="8" t="str">
        <f>(LEFT(Risultati!AN19,2)&amp;"-")&amp;VLOOKUP((LEFT(Risultati!AN19,2)),ateco!$B$4:$C$93,2,FALSE)</f>
        <v>46-Commercio all'ingrosso (escluso quello di autoveicoli e di motocicli)</v>
      </c>
      <c r="G20" s="8" t="str">
        <f>SUBSTITUTE((Risultati!AN19&amp;"-"&amp;Risultati!AO19),",",";")</f>
        <v>469000-Commercio all'ingrosso non specializzato</v>
      </c>
      <c r="I20" s="10">
        <f>+Risultati!G19</f>
        <v>1859482.871</v>
      </c>
      <c r="J20" s="11">
        <f t="shared" si="2"/>
        <v>1</v>
      </c>
      <c r="K20" s="12"/>
      <c r="L20" s="10">
        <f>+Risultati!G19+Risultati!H19</f>
        <v>1859482.871</v>
      </c>
      <c r="M20" s="11">
        <f t="shared" si="3"/>
        <v>0.99678349289630785</v>
      </c>
      <c r="N20" s="12"/>
      <c r="O20" s="10">
        <f>+Risultati!I19+Risultati!J19</f>
        <v>1712781.8640000001</v>
      </c>
      <c r="P20" s="11">
        <f t="shared" si="4"/>
        <v>0.91814381062258732</v>
      </c>
      <c r="Q20" s="12"/>
      <c r="R20" s="13">
        <f t="shared" si="5"/>
        <v>146701.00699999998</v>
      </c>
      <c r="S20" s="11">
        <f t="shared" si="6"/>
        <v>7.8639682273720549E-2</v>
      </c>
      <c r="T20" s="12"/>
      <c r="U20" s="10">
        <f>+Risultati!F19-(Risultati!G19+Risultati!H19)</f>
        <v>6000.339999999851</v>
      </c>
      <c r="V20" s="12">
        <f t="shared" si="7"/>
        <v>3.2165071036921013E-3</v>
      </c>
      <c r="W20" s="12"/>
      <c r="X20" s="10">
        <f t="shared" si="8"/>
        <v>152701.34699999983</v>
      </c>
      <c r="Y20" s="12">
        <f t="shared" si="9"/>
        <v>8.1856189377412653E-2</v>
      </c>
      <c r="Z20" s="12"/>
      <c r="AA20" s="10">
        <f>+Risultati!K19</f>
        <v>92309.058000000005</v>
      </c>
      <c r="AB20" s="12">
        <f t="shared" si="10"/>
        <v>4.9482652781697972E-2</v>
      </c>
      <c r="AC20" s="12"/>
      <c r="AD20" s="10">
        <f>+Risultati!L19</f>
        <v>10012.902</v>
      </c>
      <c r="AE20" s="12">
        <f t="shared" si="11"/>
        <v>5.3674575793327796E-3</v>
      </c>
      <c r="AF20" s="12"/>
      <c r="AG20" s="10">
        <f>+Risultati!M19+Risultati!P19+Risultati!Q19</f>
        <v>11468.321</v>
      </c>
      <c r="AH20" s="12">
        <f t="shared" si="12"/>
        <v>6.1476409609992465E-3</v>
      </c>
      <c r="AI20" s="12"/>
      <c r="AJ20" s="13">
        <f t="shared" si="13"/>
        <v>38911.065999999832</v>
      </c>
      <c r="AK20" s="11">
        <f t="shared" si="14"/>
        <v>2.0858438055382657E-2</v>
      </c>
      <c r="AL20" s="12"/>
      <c r="AM20" s="10">
        <f>+Risultati!N19</f>
        <v>4636.0200000000004</v>
      </c>
      <c r="AN20" s="12">
        <f t="shared" si="15"/>
        <v>2.4851577182058064E-3</v>
      </c>
      <c r="AO20" s="12"/>
      <c r="AP20" s="10">
        <f t="shared" si="46"/>
        <v>34275.045999999827</v>
      </c>
      <c r="AQ20" s="41">
        <f t="shared" si="16"/>
        <v>1.8373280337176848E-2</v>
      </c>
      <c r="AR20" s="41"/>
      <c r="AS20" s="10">
        <f>+Risultati!O19</f>
        <v>6201.6130000000003</v>
      </c>
      <c r="AT20" s="12">
        <f t="shared" si="17"/>
        <v>3.3244003287896651E-3</v>
      </c>
      <c r="AU20" s="12"/>
      <c r="AV20" s="10">
        <f t="shared" si="18"/>
        <v>28073.432999999826</v>
      </c>
      <c r="AW20" s="12">
        <f t="shared" si="19"/>
        <v>1.5048880008387182E-2</v>
      </c>
      <c r="AX20" s="12"/>
      <c r="AY20" s="10">
        <f>+Risultati!R19+Risultati!S19</f>
        <v>6630.76</v>
      </c>
      <c r="AZ20" s="12">
        <f t="shared" si="20"/>
        <v>3.5544463551862009E-3</v>
      </c>
      <c r="BA20" s="12"/>
      <c r="BB20" s="10">
        <f>+Risultati!T19</f>
        <v>0</v>
      </c>
      <c r="BC20" s="12">
        <f t="shared" si="21"/>
        <v>0</v>
      </c>
      <c r="BD20" s="12"/>
      <c r="BE20" s="10">
        <f>+Risultati!U19</f>
        <v>10236.248</v>
      </c>
      <c r="BF20" s="12">
        <f t="shared" si="22"/>
        <v>5.4871831274819231E-3</v>
      </c>
      <c r="BG20" s="12"/>
      <c r="BH20" s="10">
        <f t="shared" si="23"/>
        <v>24467.944999999825</v>
      </c>
      <c r="BI20" s="12">
        <f t="shared" si="24"/>
        <v>1.3116143236091459E-2</v>
      </c>
      <c r="BK20" s="16">
        <f>IF(ISNUMBER(Risultati!X19/100),(Risultati!X19/100))</f>
        <v>0.16327060463774701</v>
      </c>
      <c r="BL20" s="16">
        <f>IF(ISNUMBER(Risultati!Y19/100),(Risultati!Y19/100))</f>
        <v>0.29124215237401802</v>
      </c>
      <c r="BM20" s="16">
        <f>IF(ISNUMBER(Risultati!Z19/100),(Risultati!Z19/100))</f>
        <v>0.61024656479264305</v>
      </c>
      <c r="BN20" s="16">
        <f>IF(AND(Risultati!AY19&lt;0,calcoli!AP20&lt;0),-IF(ISNUMBER(Risultati!AA19/100),(Risultati!AA19/100)),IF(ISNUMBER(Risultati!AA19/100),(Risultati!AA19/100)))</f>
        <v>1.17126552017244</v>
      </c>
      <c r="BO20" s="16">
        <f t="shared" si="0"/>
        <v>1.3116143236091459E-2</v>
      </c>
      <c r="BP20" s="16">
        <f>IF(Risultati!AB19&gt;0,(AV20/Risultati!AB19),"0")</f>
        <v>6.8962772129698327E-2</v>
      </c>
      <c r="BQ20" s="16">
        <f>IF(Risultati!AG19&lt;&gt;0,(BH20/Risultati!AG19),"0")</f>
        <v>0.24100624252683522</v>
      </c>
      <c r="BR20" s="16">
        <f t="shared" si="1"/>
        <v>1.3116143236091459E-2</v>
      </c>
      <c r="BS20" s="14">
        <f>IF(Risultati!AB19&gt;0,(Risultati!G19/Risultati!AB19),"0")</f>
        <v>4.5678451050803446</v>
      </c>
      <c r="BT20" s="15">
        <f>IF(Risultati!AG19&lt;&gt;0,(Risultati!AB19/Risultati!AG19),"0")</f>
        <v>4.0096974991547087</v>
      </c>
      <c r="BU20" s="23">
        <f>IF(AND(Risultati!G19&gt;0,(Risultati!AE19-Risultati!AF19)&gt;=0),((Risultati!AE19-Risultati!AF19)/Risultati!G19*360),"0")</f>
        <v>14.19830989128805</v>
      </c>
      <c r="BV20" s="21">
        <f>IF(OR(E20="abbreviato",Risultati!G19=0),"0",((Risultati!AC19+Risultati!AD19)/Risultati!G19*360))</f>
        <v>33.16516659647143</v>
      </c>
      <c r="BW20" s="21">
        <f>IF(OR(E20="abbreviato",Risultati!G19=0,SUM(Risultati!I19+Risultati!K19+Risultati!M19)=0),"0",(((Risultati!AH19+Risultati!AI19)/(Risultati!I19+Risultati!K19+Risultati!N19)*360)))</f>
        <v>48.572089842490264</v>
      </c>
      <c r="BX20" s="16">
        <f>IF(Risultati!AB19&gt;0,(+Risultati!AG19/Risultati!AB19),"0")</f>
        <v>0.24939537214735322</v>
      </c>
      <c r="BY20" s="22">
        <f>IF(OR(E20="abbreviato",Risultati!G19=0),"0",(((Risultati!AK19-(Risultati!AL19+Risultati!AM19))/Risultati!G19)))</f>
        <v>-3.0583932171107372E-2</v>
      </c>
      <c r="BZ20" s="16">
        <f>IF(Risultati!G19&gt;0,(Risultati!AJ19/Risultati!G19),"0")</f>
        <v>0.15414389531098832</v>
      </c>
      <c r="CA20" s="8"/>
      <c r="CB20" s="10">
        <f>+Risultati!AP19</f>
        <v>0</v>
      </c>
      <c r="CC20" s="31">
        <f t="shared" si="25"/>
        <v>0</v>
      </c>
      <c r="CD20" s="10">
        <f>+Risultati!AQ19</f>
        <v>33029.803999999996</v>
      </c>
      <c r="CE20" s="31">
        <f t="shared" si="26"/>
        <v>8.1138165280342164E-2</v>
      </c>
      <c r="CF20" s="10">
        <f>+Risultati!AR19</f>
        <v>11881.547</v>
      </c>
      <c r="CG20" s="31">
        <f t="shared" si="27"/>
        <v>2.9187182711473365E-2</v>
      </c>
      <c r="CH20" s="10">
        <f>+Risultati!AS19</f>
        <v>45309.955000000002</v>
      </c>
      <c r="CI20" s="31">
        <f t="shared" si="28"/>
        <v>0.1113045241695914</v>
      </c>
      <c r="CJ20" s="10">
        <f t="shared" si="29"/>
        <v>90221.305999999997</v>
      </c>
      <c r="CK20" s="31">
        <f t="shared" si="30"/>
        <v>0.22162987216140692</v>
      </c>
      <c r="CL20" s="10">
        <f>+Risultati!AE19+Risultati!AF19</f>
        <v>73337.539000000004</v>
      </c>
      <c r="CM20" s="31">
        <f t="shared" si="31"/>
        <v>0.18015466760370544</v>
      </c>
      <c r="CN20" s="10">
        <f>+Risultati!AT19</f>
        <v>184169.565</v>
      </c>
      <c r="CO20" s="31">
        <f t="shared" si="32"/>
        <v>0.45241505534149468</v>
      </c>
      <c r="CP20" s="10">
        <f>+Risultati!AU19</f>
        <v>58197.046999999999</v>
      </c>
      <c r="CQ20" s="31">
        <f t="shared" si="33"/>
        <v>0.14296184192657763</v>
      </c>
      <c r="CR20" s="10">
        <f>+Risultati!AL19</f>
        <v>204.923</v>
      </c>
      <c r="CS20" s="31">
        <f t="shared" si="34"/>
        <v>5.0339615226731467E-4</v>
      </c>
      <c r="CT20" s="10">
        <f t="shared" si="47"/>
        <v>315909.07400000002</v>
      </c>
      <c r="CU20" s="31">
        <f t="shared" si="35"/>
        <v>0.77603496102404512</v>
      </c>
      <c r="CV20" s="10">
        <f>+Risultati!AX19</f>
        <v>950.60199999999998</v>
      </c>
      <c r="CW20" s="31">
        <f t="shared" si="36"/>
        <v>2.3351668145479712E-3</v>
      </c>
      <c r="CX20" s="10">
        <f t="shared" si="48"/>
        <v>407080.98200000002</v>
      </c>
      <c r="CY20" s="31">
        <f t="shared" si="37"/>
        <v>1</v>
      </c>
      <c r="CZ20" s="10">
        <f>+Risultati!AG19</f>
        <v>101524.113</v>
      </c>
      <c r="DA20" s="31">
        <f t="shared" si="38"/>
        <v>0.24939537214735322</v>
      </c>
      <c r="DB20" s="10">
        <f t="shared" si="49"/>
        <v>10792.531999999977</v>
      </c>
      <c r="DC20" s="31">
        <f t="shared" si="39"/>
        <v>2.6512002469326796E-2</v>
      </c>
      <c r="DD20" s="10">
        <f>+Risultati!AV19</f>
        <v>290986.40500000003</v>
      </c>
      <c r="DE20" s="31">
        <f t="shared" si="40"/>
        <v>0.7148120837538906</v>
      </c>
      <c r="DF20" s="10">
        <f>+Risultati!AJ19</f>
        <v>286627.93300000002</v>
      </c>
      <c r="DG20" s="31">
        <f t="shared" si="41"/>
        <v>0.7041054376743151</v>
      </c>
      <c r="DH20" s="10">
        <f t="shared" si="42"/>
        <v>4358.4720000000088</v>
      </c>
      <c r="DI20" s="31">
        <f t="shared" si="43"/>
        <v>1.0706646079575411E-2</v>
      </c>
      <c r="DJ20" s="10">
        <f>+Risultati!AW19</f>
        <v>3777.9319999999998</v>
      </c>
      <c r="DK20" s="31">
        <f t="shared" si="44"/>
        <v>9.280541629429399E-3</v>
      </c>
      <c r="DL20" s="10">
        <f t="shared" si="50"/>
        <v>407080.98200000002</v>
      </c>
      <c r="DM20" s="31">
        <f t="shared" si="45"/>
        <v>1</v>
      </c>
      <c r="DO20" s="30"/>
      <c r="DP20" s="30"/>
    </row>
    <row r="21" spans="1:120" x14ac:dyDescent="0.2">
      <c r="A21" s="5"/>
      <c r="B21" s="6" t="str">
        <f>+Risultati!B20</f>
        <v>UNICOMM - S.R.L.</v>
      </c>
      <c r="C21" s="6" t="str">
        <f>+Risultati!C20</f>
        <v>01274580248</v>
      </c>
      <c r="D21" s="26">
        <f>IF(YEAR(Risultati!D20)=1900,(MID(Risultati!$AP$1,29,4)),YEAR(Risultati!D20))</f>
        <v>2023</v>
      </c>
      <c r="E21" s="6" t="str">
        <f>+Risultati!E20</f>
        <v>Dettagliato</v>
      </c>
      <c r="F21" s="8" t="str">
        <f>(LEFT(Risultati!AN20,2)&amp;"-")&amp;VLOOKUP((LEFT(Risultati!AN20,2)),ateco!$B$4:$C$93,2,FALSE)</f>
        <v>47-Commercio al dettaglio (escluso quello di autoveicoli e di motocicli)</v>
      </c>
      <c r="G21" s="8" t="str">
        <f>SUBSTITUTE((Risultati!AN20&amp;"-"&amp;Risultati!AO20),",",";")</f>
        <v>471100-Commercio al dettaglio in esercizi non specializzati con prevalenza di prodotti alimentari e bevande</v>
      </c>
      <c r="I21" s="10">
        <f>+Risultati!G20</f>
        <v>2001242</v>
      </c>
      <c r="J21" s="11">
        <f t="shared" si="2"/>
        <v>1</v>
      </c>
      <c r="K21" s="12"/>
      <c r="L21" s="10">
        <f>+Risultati!G20+Risultati!H20</f>
        <v>2001242</v>
      </c>
      <c r="M21" s="11">
        <f t="shared" si="3"/>
        <v>0.98924077413435829</v>
      </c>
      <c r="N21" s="12"/>
      <c r="O21" s="10">
        <f>+Risultati!I20+Risultati!J20</f>
        <v>1493964</v>
      </c>
      <c r="P21" s="11">
        <f t="shared" si="4"/>
        <v>0.73848645185782757</v>
      </c>
      <c r="Q21" s="12"/>
      <c r="R21" s="13">
        <f t="shared" si="5"/>
        <v>507278</v>
      </c>
      <c r="S21" s="11">
        <f t="shared" si="6"/>
        <v>0.25075432227653077</v>
      </c>
      <c r="T21" s="12"/>
      <c r="U21" s="10">
        <f>+Risultati!F20-(Risultati!G20+Risultati!H20)</f>
        <v>21766</v>
      </c>
      <c r="V21" s="12">
        <f t="shared" si="7"/>
        <v>1.0759225865641658E-2</v>
      </c>
      <c r="W21" s="12"/>
      <c r="X21" s="10">
        <f t="shared" si="8"/>
        <v>529044</v>
      </c>
      <c r="Y21" s="12">
        <f t="shared" si="9"/>
        <v>0.26151354814217243</v>
      </c>
      <c r="Z21" s="12"/>
      <c r="AA21" s="10">
        <f>+Risultati!K20</f>
        <v>178083</v>
      </c>
      <c r="AB21" s="12">
        <f t="shared" si="10"/>
        <v>8.8028816495041046E-2</v>
      </c>
      <c r="AC21" s="12"/>
      <c r="AD21" s="10">
        <f>+Risultati!L20</f>
        <v>172480</v>
      </c>
      <c r="AE21" s="12">
        <f t="shared" si="11"/>
        <v>8.5259178411553491E-2</v>
      </c>
      <c r="AF21" s="12"/>
      <c r="AG21" s="10">
        <f>+Risultati!M20+Risultati!P20+Risultati!Q20</f>
        <v>14003</v>
      </c>
      <c r="AH21" s="12">
        <f t="shared" si="12"/>
        <v>6.9218707983359435E-3</v>
      </c>
      <c r="AI21" s="12"/>
      <c r="AJ21" s="13">
        <f t="shared" si="13"/>
        <v>164478</v>
      </c>
      <c r="AK21" s="11">
        <f t="shared" si="14"/>
        <v>8.1303682437241967E-2</v>
      </c>
      <c r="AL21" s="12"/>
      <c r="AM21" s="10">
        <f>+Risultati!N20</f>
        <v>40492</v>
      </c>
      <c r="AN21" s="12">
        <f t="shared" si="15"/>
        <v>2.0015738939242949E-2</v>
      </c>
      <c r="AO21" s="12"/>
      <c r="AP21" s="10">
        <f t="shared" si="46"/>
        <v>123986</v>
      </c>
      <c r="AQ21" s="41">
        <f t="shared" si="16"/>
        <v>6.1287943497999021E-2</v>
      </c>
      <c r="AR21" s="41"/>
      <c r="AS21" s="10">
        <f>+Risultati!O20</f>
        <v>31043</v>
      </c>
      <c r="AT21" s="12">
        <f t="shared" si="17"/>
        <v>1.5344971448456951E-2</v>
      </c>
      <c r="AU21" s="12"/>
      <c r="AV21" s="10">
        <f t="shared" si="18"/>
        <v>92943</v>
      </c>
      <c r="AW21" s="12">
        <f t="shared" si="19"/>
        <v>4.594297204954207E-2</v>
      </c>
      <c r="AX21" s="12"/>
      <c r="AY21" s="10">
        <f>+Risultati!R20+Risultati!S20</f>
        <v>-4234</v>
      </c>
      <c r="AZ21" s="12">
        <f t="shared" si="20"/>
        <v>-2.0929230136509593E-3</v>
      </c>
      <c r="BA21" s="12"/>
      <c r="BB21" s="10">
        <f>+Risultati!T20</f>
        <v>0</v>
      </c>
      <c r="BC21" s="12">
        <f t="shared" si="21"/>
        <v>0</v>
      </c>
      <c r="BD21" s="12"/>
      <c r="BE21" s="10">
        <f>+Risultati!U20</f>
        <v>27218</v>
      </c>
      <c r="BF21" s="12">
        <f t="shared" si="22"/>
        <v>1.3454222622945633E-2</v>
      </c>
      <c r="BG21" s="12"/>
      <c r="BH21" s="10">
        <f t="shared" si="23"/>
        <v>61491</v>
      </c>
      <c r="BI21" s="12">
        <f t="shared" si="24"/>
        <v>3.0395826412945474E-2</v>
      </c>
      <c r="BK21" s="16">
        <f>IF(ISNUMBER(Risultati!X20/100),(Risultati!X20/100))</f>
        <v>0.137882334463268</v>
      </c>
      <c r="BL21" s="16">
        <f>IF(ISNUMBER(Risultati!Y20/100),(Risultati!Y20/100))</f>
        <v>0.274624974805874</v>
      </c>
      <c r="BM21" s="16">
        <f>IF(ISNUMBER(Risultati!Z20/100),(Risultati!Z20/100))</f>
        <v>0.46497355381835298</v>
      </c>
      <c r="BN21" s="16">
        <f>IF(AND(Risultati!AY20&lt;0,calcoli!AP21&lt;0),-IF(ISNUMBER(Risultati!AA20/100),(Risultati!AA20/100)),IF(ISNUMBER(Risultati!AA20/100),(Risultati!AA20/100)))</f>
        <v>1.1458497297360501</v>
      </c>
      <c r="BO21" s="16">
        <f t="shared" si="0"/>
        <v>3.0395826412945474E-2</v>
      </c>
      <c r="BP21" s="16">
        <f>IF(Risultati!AB20&gt;0,(AV21/Risultati!AB20),"0")</f>
        <v>9.2606560366189639E-2</v>
      </c>
      <c r="BQ21" s="16">
        <f>IF(Risultati!AG20&lt;&gt;0,(BH21/Risultati!AG20),"0")</f>
        <v>0.16368224493109698</v>
      </c>
      <c r="BR21" s="16">
        <f t="shared" si="1"/>
        <v>3.0395826412945474E-2</v>
      </c>
      <c r="BS21" s="14">
        <f>IF(Risultati!AB20&gt;0,(Risultati!G20/Risultati!AB20),"0")</f>
        <v>1.9939978059709076</v>
      </c>
      <c r="BT21" s="15">
        <f>IF(Risultati!AG20&lt;&gt;0,(Risultati!AB20/Risultati!AG20),"0")</f>
        <v>2.6715601067950052</v>
      </c>
      <c r="BU21" s="23">
        <f>IF(AND(Risultati!G20&gt;0,(Risultati!AE20-Risultati!AF20)&gt;=0),((Risultati!AE20-Risultati!AF20)/Risultati!G20*360),"0")</f>
        <v>25.212063308685305</v>
      </c>
      <c r="BV21" s="21">
        <f>IF(OR(E21="abbreviato",Risultati!G20=0),"0",((Risultati!AC20+Risultati!AD20)/Risultati!G20*360))</f>
        <v>11.319830385330709</v>
      </c>
      <c r="BW21" s="21">
        <f>IF(OR(E21="abbreviato",Risultati!G20=0,SUM(Risultati!I20+Risultati!K20+Risultati!M20)=0),"0",(((Risultati!AH20+Risultati!AI20)/(Risultati!I20+Risultati!K20+Risultati!N20)*360)))</f>
        <v>76.383453192099822</v>
      </c>
      <c r="BX21" s="16">
        <f>IF(Risultati!AB20&gt;0,(+Risultati!AG20/Risultati!AB20),"0")</f>
        <v>0.37431312043346521</v>
      </c>
      <c r="BY21" s="22">
        <f>IF(OR(E21="abbreviato",Risultati!G20=0),"0",(((Risultati!AK20-(Risultati!AL20+Risultati!AM20))/Risultati!G20)))</f>
        <v>-3.5567412636752574E-2</v>
      </c>
      <c r="BZ21" s="16">
        <f>IF(Risultati!G20&gt;0,(Risultati!AJ20/Risultati!G20),"0")</f>
        <v>0.26055069801653175</v>
      </c>
      <c r="CA21" s="8"/>
      <c r="CB21" s="10">
        <f>+Risultati!AP20</f>
        <v>0</v>
      </c>
      <c r="CC21" s="31">
        <f t="shared" si="25"/>
        <v>0</v>
      </c>
      <c r="CD21" s="10">
        <f>+Risultati!AQ20</f>
        <v>39207</v>
      </c>
      <c r="CE21" s="31">
        <f t="shared" si="26"/>
        <v>3.9065076576796497E-2</v>
      </c>
      <c r="CF21" s="10">
        <f>+Risultati!AR20</f>
        <v>323996</v>
      </c>
      <c r="CG21" s="31">
        <f t="shared" si="27"/>
        <v>0.32282318337479937</v>
      </c>
      <c r="CH21" s="10">
        <f>+Risultati!AS20</f>
        <v>99871</v>
      </c>
      <c r="CI21" s="31">
        <f t="shared" si="28"/>
        <v>9.950948205170615E-2</v>
      </c>
      <c r="CJ21" s="10">
        <f t="shared" si="29"/>
        <v>463074</v>
      </c>
      <c r="CK21" s="31">
        <f t="shared" si="30"/>
        <v>0.46139774200330202</v>
      </c>
      <c r="CL21" s="10">
        <f>+Risultati!AE20+Risultati!AF20</f>
        <v>140154</v>
      </c>
      <c r="CM21" s="31">
        <f t="shared" si="31"/>
        <v>0.13964666367088369</v>
      </c>
      <c r="CN21" s="10">
        <f>+Risultati!AT20</f>
        <v>188301</v>
      </c>
      <c r="CO21" s="31">
        <f t="shared" si="32"/>
        <v>0.1876193787968311</v>
      </c>
      <c r="CP21" s="10">
        <f>+Risultati!AU20</f>
        <v>0</v>
      </c>
      <c r="CQ21" s="31">
        <f t="shared" si="33"/>
        <v>0</v>
      </c>
      <c r="CR21" s="10">
        <f>+Risultati!AL20</f>
        <v>207872</v>
      </c>
      <c r="CS21" s="31">
        <f t="shared" si="34"/>
        <v>0.20711953473032474</v>
      </c>
      <c r="CT21" s="10">
        <f t="shared" si="47"/>
        <v>536327</v>
      </c>
      <c r="CU21" s="31">
        <f t="shared" si="35"/>
        <v>0.53438557719803947</v>
      </c>
      <c r="CV21" s="10">
        <f>+Risultati!AX20</f>
        <v>4232</v>
      </c>
      <c r="CW21" s="31">
        <f t="shared" si="36"/>
        <v>4.216680798658474E-3</v>
      </c>
      <c r="CX21" s="10">
        <f t="shared" si="48"/>
        <v>1003633</v>
      </c>
      <c r="CY21" s="31">
        <f t="shared" si="37"/>
        <v>1</v>
      </c>
      <c r="CZ21" s="10">
        <f>+Risultati!AG20</f>
        <v>375673</v>
      </c>
      <c r="DA21" s="31">
        <f t="shared" si="38"/>
        <v>0.37431312043346521</v>
      </c>
      <c r="DB21" s="10">
        <f t="shared" si="49"/>
        <v>33506</v>
      </c>
      <c r="DC21" s="31">
        <f t="shared" si="39"/>
        <v>3.3384713336448685E-2</v>
      </c>
      <c r="DD21" s="10">
        <f>+Risultati!AV20</f>
        <v>589634</v>
      </c>
      <c r="DE21" s="31">
        <f t="shared" si="40"/>
        <v>0.58749961390269156</v>
      </c>
      <c r="DF21" s="10">
        <f>+Risultati!AJ20</f>
        <v>521425</v>
      </c>
      <c r="DG21" s="31">
        <f t="shared" si="41"/>
        <v>0.51953752018915278</v>
      </c>
      <c r="DH21" s="10">
        <f t="shared" si="42"/>
        <v>68209</v>
      </c>
      <c r="DI21" s="31">
        <f t="shared" si="43"/>
        <v>6.7962093713538715E-2</v>
      </c>
      <c r="DJ21" s="10">
        <f>+Risultati!AW20</f>
        <v>4820</v>
      </c>
      <c r="DK21" s="31">
        <f t="shared" si="44"/>
        <v>4.8025523273945757E-3</v>
      </c>
      <c r="DL21" s="10">
        <f t="shared" si="50"/>
        <v>1003633</v>
      </c>
      <c r="DM21" s="31">
        <f t="shared" si="45"/>
        <v>1</v>
      </c>
      <c r="DO21" s="30"/>
      <c r="DP21" s="30"/>
    </row>
    <row r="22" spans="1:120" x14ac:dyDescent="0.2">
      <c r="A22" s="5"/>
      <c r="B22" s="6" t="str">
        <f>+Risultati!B21</f>
        <v>LUIGI LAVAZZA - SOCIETA' PER AZIONI ABBREVIABILE ANCHE NELLA SIGLA: LAVAZZA S.P.A.</v>
      </c>
      <c r="C22" s="6" t="str">
        <f>+Risultati!C21</f>
        <v>00470550013</v>
      </c>
      <c r="D22" s="26">
        <f>IF(YEAR(Risultati!D21)=1900,(MID(Risultati!$AP$1,29,4)),YEAR(Risultati!D21))</f>
        <v>2023</v>
      </c>
      <c r="E22" s="6" t="str">
        <f>+Risultati!E21</f>
        <v>Dettagliato</v>
      </c>
      <c r="F22" s="8" t="str">
        <f>(LEFT(Risultati!AN21,2)&amp;"-")&amp;VLOOKUP((LEFT(Risultati!AN21,2)),ateco!$B$4:$C$93,2,FALSE)</f>
        <v>10-Industrie alimentari</v>
      </c>
      <c r="G22" s="8" t="str">
        <f>SUBSTITUTE((Risultati!AN21&amp;"-"&amp;Risultati!AO21),",",";")</f>
        <v>108301-Lavorazione del caffè</v>
      </c>
      <c r="I22" s="10">
        <f>+Risultati!G21</f>
        <v>2036784</v>
      </c>
      <c r="J22" s="11">
        <f t="shared" si="2"/>
        <v>1.0099037589063917</v>
      </c>
      <c r="K22" s="12"/>
      <c r="L22" s="10">
        <f>+Risultati!G21+Risultati!H21</f>
        <v>2016810</v>
      </c>
      <c r="M22" s="11">
        <f t="shared" si="3"/>
        <v>0.93536731118942906</v>
      </c>
      <c r="N22" s="12"/>
      <c r="O22" s="10">
        <f>+Risultati!I21+Risultati!J21</f>
        <v>1211442</v>
      </c>
      <c r="P22" s="11">
        <f t="shared" si="4"/>
        <v>0.56184927990338418</v>
      </c>
      <c r="Q22" s="12"/>
      <c r="R22" s="13">
        <f t="shared" si="5"/>
        <v>805368</v>
      </c>
      <c r="S22" s="11">
        <f t="shared" si="6"/>
        <v>0.37351803128604483</v>
      </c>
      <c r="T22" s="12"/>
      <c r="U22" s="10">
        <f>+Risultati!F21-(Risultati!G21+Risultati!H21)</f>
        <v>139359</v>
      </c>
      <c r="V22" s="12">
        <f t="shared" si="7"/>
        <v>6.4632688810570965E-2</v>
      </c>
      <c r="W22" s="12"/>
      <c r="X22" s="10">
        <f t="shared" si="8"/>
        <v>944727</v>
      </c>
      <c r="Y22" s="12">
        <f t="shared" si="9"/>
        <v>0.43815072009661582</v>
      </c>
      <c r="Z22" s="12"/>
      <c r="AA22" s="10">
        <f>+Risultati!K21</f>
        <v>613159</v>
      </c>
      <c r="AB22" s="12">
        <f t="shared" si="10"/>
        <v>0.28437427678442645</v>
      </c>
      <c r="AC22" s="12"/>
      <c r="AD22" s="10">
        <f>+Risultati!L21</f>
        <v>183869</v>
      </c>
      <c r="AE22" s="12">
        <f t="shared" si="11"/>
        <v>8.5275783113475792E-2</v>
      </c>
      <c r="AF22" s="12"/>
      <c r="AG22" s="10">
        <f>+Risultati!M21+Risultati!P21+Risultati!Q21</f>
        <v>15051</v>
      </c>
      <c r="AH22" s="12">
        <f t="shared" si="12"/>
        <v>6.9804361346443621E-3</v>
      </c>
      <c r="AI22" s="12"/>
      <c r="AJ22" s="13">
        <f t="shared" si="13"/>
        <v>132648</v>
      </c>
      <c r="AK22" s="11">
        <f t="shared" si="14"/>
        <v>6.1520224064069193E-2</v>
      </c>
      <c r="AL22" s="12"/>
      <c r="AM22" s="10">
        <f>+Risultati!N21</f>
        <v>28400</v>
      </c>
      <c r="AN22" s="12">
        <f t="shared" si="15"/>
        <v>1.3171509283363225E-2</v>
      </c>
      <c r="AO22" s="12"/>
      <c r="AP22" s="10">
        <f t="shared" si="46"/>
        <v>104248</v>
      </c>
      <c r="AQ22" s="41">
        <f t="shared" si="16"/>
        <v>4.8348714780705966E-2</v>
      </c>
      <c r="AR22" s="41"/>
      <c r="AS22" s="10">
        <f>+Risultati!O21</f>
        <v>103326</v>
      </c>
      <c r="AT22" s="12">
        <f t="shared" si="17"/>
        <v>4.792110451453481E-2</v>
      </c>
      <c r="AU22" s="12"/>
      <c r="AV22" s="10">
        <f t="shared" si="18"/>
        <v>922</v>
      </c>
      <c r="AW22" s="12">
        <f t="shared" si="19"/>
        <v>4.2761026617115817E-4</v>
      </c>
      <c r="AX22" s="12"/>
      <c r="AY22" s="10">
        <f>+Risultati!R21+Risultati!S21</f>
        <v>24455</v>
      </c>
      <c r="AZ22" s="12">
        <f t="shared" si="20"/>
        <v>1.1341875335374917E-2</v>
      </c>
      <c r="BA22" s="12"/>
      <c r="BB22" s="10">
        <f>+Risultati!T21</f>
        <v>0</v>
      </c>
      <c r="BC22" s="12">
        <f t="shared" si="21"/>
        <v>0</v>
      </c>
      <c r="BD22" s="12"/>
      <c r="BE22" s="10">
        <f>+Risultati!U21</f>
        <v>-14206</v>
      </c>
      <c r="BF22" s="12">
        <f t="shared" si="22"/>
        <v>-6.5885373549104918E-3</v>
      </c>
      <c r="BG22" s="12"/>
      <c r="BH22" s="10">
        <f t="shared" si="23"/>
        <v>39583</v>
      </c>
      <c r="BI22" s="12">
        <f t="shared" si="24"/>
        <v>1.8358022956456568E-2</v>
      </c>
      <c r="BK22" s="16">
        <f>IF(ISNUMBER(Risultati!X21/100),(Risultati!X21/100))</f>
        <v>5.0309324920341798E-2</v>
      </c>
      <c r="BL22" s="16">
        <f>IF(ISNUMBER(Risultati!Y21/100),(Risultati!Y21/100))</f>
        <v>0.226456699740954</v>
      </c>
      <c r="BM22" s="16">
        <f>IF(ISNUMBER(Risultati!Z21/100),(Risultati!Z21/100))</f>
        <v>0.34676405127370996</v>
      </c>
      <c r="BN22" s="16">
        <f>IF(AND(Risultati!AY21&lt;0,calcoli!AP22&lt;0),-IF(ISNUMBER(Risultati!AA21/100),(Risultati!AA21/100)),IF(ISNUMBER(Risultati!AA21/100),(Risultati!AA21/100)))</f>
        <v>-0.32065217391304301</v>
      </c>
      <c r="BO22" s="16">
        <f t="shared" si="0"/>
        <v>1.8358022956456568E-2</v>
      </c>
      <c r="BP22" s="16">
        <f>IF(Risultati!AB21&gt;0,(AV22/Risultati!AB21),"0")</f>
        <v>2.5096097366325175E-4</v>
      </c>
      <c r="BQ22" s="16">
        <f>IF(Risultati!AG21&lt;&gt;0,(BH22/Risultati!AG21),"0")</f>
        <v>1.6485724769236088E-2</v>
      </c>
      <c r="BR22" s="16">
        <f t="shared" si="1"/>
        <v>1.8358022956456568E-2</v>
      </c>
      <c r="BS22" s="14">
        <f>IF(Risultati!AB21&gt;0,(Risultati!G21/Risultati!AB21),"0")</f>
        <v>0.55439619932942796</v>
      </c>
      <c r="BT22" s="15">
        <f>IF(Risultati!AG21&lt;&gt;0,(Risultati!AB21/Risultati!AG21),"0")</f>
        <v>1.5301149873367743</v>
      </c>
      <c r="BU22" s="23">
        <f>IF(AND(Risultati!G21&gt;0,(Risultati!AE21-Risultati!AF21)&gt;=0),((Risultati!AE21-Risultati!AF21)/Risultati!G21*360),"0")</f>
        <v>61.511382650295765</v>
      </c>
      <c r="BV22" s="21">
        <f>IF(OR(E22="abbreviato",Risultati!G21=0),"0",((Risultati!AC21+Risultati!AD21)/Risultati!G21*360))</f>
        <v>21.804315037824335</v>
      </c>
      <c r="BW22" s="21">
        <f>IF(OR(E22="abbreviato",Risultati!G21=0,SUM(Risultati!I21+Risultati!K21+Risultati!M21)=0),"0",(((Risultati!AH21+Risultati!AI21)/(Risultati!I21+Risultati!K21+Risultati!N21)*360)))</f>
        <v>30.198471268628712</v>
      </c>
      <c r="BX22" s="16">
        <f>IF(Risultati!AB21&gt;0,(+Risultati!AG21/Risultati!AB21),"0")</f>
        <v>0.6535456539384269</v>
      </c>
      <c r="BY22" s="22">
        <f>IF(OR(E22="abbreviato",Risultati!G21=0),"0",(((Risultati!AK21-(Risultati!AL21+Risultati!AM21))/Risultati!G21)))</f>
        <v>0.31660745567522131</v>
      </c>
      <c r="BZ22" s="16">
        <f>IF(Risultati!G21&gt;0,(Risultati!AJ21/Risultati!G21),"0")</f>
        <v>0.27399321675739796</v>
      </c>
      <c r="CA22" s="8"/>
      <c r="CB22" s="10">
        <f>+Risultati!AP21</f>
        <v>0</v>
      </c>
      <c r="CC22" s="31">
        <f t="shared" si="25"/>
        <v>0</v>
      </c>
      <c r="CD22" s="10">
        <f>+Risultati!AQ21</f>
        <v>518490</v>
      </c>
      <c r="CE22" s="31">
        <f t="shared" si="26"/>
        <v>0.14112884018708302</v>
      </c>
      <c r="CF22" s="10">
        <f>+Risultati!AR21</f>
        <v>343249</v>
      </c>
      <c r="CG22" s="31">
        <f t="shared" si="27"/>
        <v>9.3429638499056986E-2</v>
      </c>
      <c r="CH22" s="10">
        <f>+Risultati!AS21</f>
        <v>1810719</v>
      </c>
      <c r="CI22" s="31">
        <f t="shared" si="28"/>
        <v>0.49286326134489533</v>
      </c>
      <c r="CJ22" s="10">
        <f t="shared" si="29"/>
        <v>2672458</v>
      </c>
      <c r="CK22" s="31">
        <f t="shared" si="30"/>
        <v>0.72742174003103532</v>
      </c>
      <c r="CL22" s="10">
        <f>+Risultati!AE21+Risultati!AF21</f>
        <v>348015</v>
      </c>
      <c r="CM22" s="31">
        <f t="shared" si="31"/>
        <v>9.472690566396208E-2</v>
      </c>
      <c r="CN22" s="10">
        <f>+Risultati!AT21</f>
        <v>569284</v>
      </c>
      <c r="CO22" s="31">
        <f t="shared" si="32"/>
        <v>0.15495456162522589</v>
      </c>
      <c r="CP22" s="10">
        <f>+Risultati!AU21</f>
        <v>3903</v>
      </c>
      <c r="CQ22" s="31">
        <f t="shared" si="33"/>
        <v>1.0623654520823642E-3</v>
      </c>
      <c r="CR22" s="10">
        <f>+Risultati!AL21</f>
        <v>54670</v>
      </c>
      <c r="CS22" s="31">
        <f t="shared" si="34"/>
        <v>1.4880737705698912E-2</v>
      </c>
      <c r="CT22" s="10">
        <f t="shared" si="47"/>
        <v>975872</v>
      </c>
      <c r="CU22" s="31">
        <f t="shared" si="35"/>
        <v>0.26562457044696924</v>
      </c>
      <c r="CV22" s="10">
        <f>+Risultati!AX21</f>
        <v>25547</v>
      </c>
      <c r="CW22" s="31">
        <f t="shared" si="36"/>
        <v>6.9536895219954285E-3</v>
      </c>
      <c r="CX22" s="10">
        <f t="shared" si="48"/>
        <v>3673877</v>
      </c>
      <c r="CY22" s="31">
        <f t="shared" si="37"/>
        <v>1</v>
      </c>
      <c r="CZ22" s="10">
        <f>+Risultati!AG21</f>
        <v>2401047</v>
      </c>
      <c r="DA22" s="31">
        <f t="shared" si="38"/>
        <v>0.65354583182833825</v>
      </c>
      <c r="DB22" s="10">
        <f t="shared" si="49"/>
        <v>113307</v>
      </c>
      <c r="DC22" s="31">
        <f t="shared" si="39"/>
        <v>3.0841261152727759E-2</v>
      </c>
      <c r="DD22" s="10">
        <f>+Risultati!AV21</f>
        <v>1146628</v>
      </c>
      <c r="DE22" s="31">
        <f t="shared" si="40"/>
        <v>0.31210299092756782</v>
      </c>
      <c r="DF22" s="10">
        <f>+Risultati!AJ21</f>
        <v>558065</v>
      </c>
      <c r="DG22" s="31">
        <f t="shared" si="41"/>
        <v>0.15190083935853052</v>
      </c>
      <c r="DH22" s="10">
        <f t="shared" si="42"/>
        <v>588563</v>
      </c>
      <c r="DI22" s="31">
        <f t="shared" si="43"/>
        <v>0.16020215156903728</v>
      </c>
      <c r="DJ22" s="10">
        <f>+Risultati!AW21</f>
        <v>12895</v>
      </c>
      <c r="DK22" s="31">
        <f t="shared" si="44"/>
        <v>3.5099160913661508E-3</v>
      </c>
      <c r="DL22" s="10">
        <f t="shared" si="50"/>
        <v>3673877</v>
      </c>
      <c r="DM22" s="31">
        <f t="shared" si="45"/>
        <v>1</v>
      </c>
      <c r="DP22" s="30"/>
    </row>
    <row r="23" spans="1:120" x14ac:dyDescent="0.2">
      <c r="A23" s="5"/>
      <c r="B23" s="6" t="str">
        <f>+Risultati!B22</f>
        <v>COMMERCIANTI INDIPENDENTI ASSOCIATI - SOCIETA' COOPERATIVA</v>
      </c>
      <c r="C23" s="6" t="str">
        <f>+Risultati!C22</f>
        <v>00138950407</v>
      </c>
      <c r="D23" s="26">
        <f>IF(YEAR(Risultati!D22)=1900,(MID(Risultati!$AP$1,29,4)),YEAR(Risultati!D22))</f>
        <v>2023</v>
      </c>
      <c r="E23" s="6" t="str">
        <f>+Risultati!E22</f>
        <v>Dettagliato</v>
      </c>
      <c r="F23" s="8" t="str">
        <f>(LEFT(Risultati!AN22,2)&amp;"-")&amp;VLOOKUP((LEFT(Risultati!AN22,2)),ateco!$B$4:$C$93,2,FALSE)</f>
        <v>46-Commercio all'ingrosso (escluso quello di autoveicoli e di motocicli)</v>
      </c>
      <c r="G23" s="8" t="str">
        <f>SUBSTITUTE((Risultati!AN22&amp;"-"&amp;Risultati!AO22),",",";")</f>
        <v>463920-Commercio all'ingrosso non specializzato di prodotti alimentari; bevande e tabacco</v>
      </c>
      <c r="I23" s="10">
        <f>+Risultati!G22</f>
        <v>2014909</v>
      </c>
      <c r="J23" s="11">
        <f t="shared" si="2"/>
        <v>1</v>
      </c>
      <c r="K23" s="12"/>
      <c r="L23" s="10">
        <f>+Risultati!G22+Risultati!H22</f>
        <v>2014909</v>
      </c>
      <c r="M23" s="11">
        <f t="shared" si="3"/>
        <v>0.89565801832381253</v>
      </c>
      <c r="N23" s="12"/>
      <c r="O23" s="10">
        <f>+Risultati!I22+Risultati!J22</f>
        <v>1942312</v>
      </c>
      <c r="P23" s="11">
        <f t="shared" si="4"/>
        <v>0.86338753605575291</v>
      </c>
      <c r="Q23" s="12"/>
      <c r="R23" s="13">
        <f t="shared" si="5"/>
        <v>72597</v>
      </c>
      <c r="S23" s="11">
        <f t="shared" si="6"/>
        <v>3.2270482268059661E-2</v>
      </c>
      <c r="T23" s="12"/>
      <c r="U23" s="10">
        <f>+Risultati!F22-(Risultati!G22+Risultati!H22)</f>
        <v>234732</v>
      </c>
      <c r="V23" s="12">
        <f t="shared" si="7"/>
        <v>0.10434198167618744</v>
      </c>
      <c r="W23" s="12"/>
      <c r="X23" s="10">
        <f t="shared" si="8"/>
        <v>307329</v>
      </c>
      <c r="Y23" s="12">
        <f t="shared" si="9"/>
        <v>0.13661246394424711</v>
      </c>
      <c r="Z23" s="12"/>
      <c r="AA23" s="10">
        <f>+Risultati!K22</f>
        <v>157295</v>
      </c>
      <c r="AB23" s="12">
        <f t="shared" si="10"/>
        <v>6.9920045020516602E-2</v>
      </c>
      <c r="AC23" s="12"/>
      <c r="AD23" s="10">
        <f>+Risultati!L22</f>
        <v>26927</v>
      </c>
      <c r="AE23" s="12">
        <f t="shared" si="11"/>
        <v>1.1969465350249217E-2</v>
      </c>
      <c r="AF23" s="12"/>
      <c r="AG23" s="10">
        <f>+Risultati!M22+Risultati!P22+Risultati!Q22</f>
        <v>11063</v>
      </c>
      <c r="AH23" s="12">
        <f t="shared" si="12"/>
        <v>4.9176735310211715E-3</v>
      </c>
      <c r="AI23" s="12"/>
      <c r="AJ23" s="13">
        <f t="shared" si="13"/>
        <v>112044</v>
      </c>
      <c r="AK23" s="11">
        <f t="shared" si="14"/>
        <v>4.9805280042460105E-2</v>
      </c>
      <c r="AL23" s="12"/>
      <c r="AM23" s="10">
        <f>+Risultati!N22</f>
        <v>6923</v>
      </c>
      <c r="AN23" s="12">
        <f t="shared" si="15"/>
        <v>3.0773799019487998E-3</v>
      </c>
      <c r="AO23" s="12"/>
      <c r="AP23" s="10">
        <f t="shared" si="46"/>
        <v>105121</v>
      </c>
      <c r="AQ23" s="41">
        <f t="shared" si="16"/>
        <v>4.6727900140511307E-2</v>
      </c>
      <c r="AR23" s="41"/>
      <c r="AS23" s="10">
        <f>+Risultati!O22</f>
        <v>48710</v>
      </c>
      <c r="AT23" s="12">
        <f t="shared" si="17"/>
        <v>2.1652343640607547E-2</v>
      </c>
      <c r="AU23" s="12"/>
      <c r="AV23" s="10">
        <f t="shared" si="18"/>
        <v>56411</v>
      </c>
      <c r="AW23" s="12">
        <f t="shared" si="19"/>
        <v>2.5075556499903763E-2</v>
      </c>
      <c r="AX23" s="12"/>
      <c r="AY23" s="10">
        <f>+Risultati!R22+Risultati!S22</f>
        <v>-7052</v>
      </c>
      <c r="AZ23" s="12">
        <f t="shared" si="20"/>
        <v>-3.1347223845938086E-3</v>
      </c>
      <c r="BA23" s="12"/>
      <c r="BB23" s="10">
        <f>+Risultati!T22</f>
        <v>0</v>
      </c>
      <c r="BC23" s="12">
        <f t="shared" si="21"/>
        <v>0</v>
      </c>
      <c r="BD23" s="12"/>
      <c r="BE23" s="10">
        <f>+Risultati!U22</f>
        <v>7881</v>
      </c>
      <c r="BF23" s="12">
        <f t="shared" si="22"/>
        <v>3.5032256257776242E-3</v>
      </c>
      <c r="BG23" s="12"/>
      <c r="BH23" s="10">
        <f t="shared" si="23"/>
        <v>41478</v>
      </c>
      <c r="BI23" s="12">
        <f t="shared" si="24"/>
        <v>1.8437608489532329E-2</v>
      </c>
      <c r="BK23" s="16">
        <f>IF(ISNUMBER(Risultati!X22/100),(Risultati!X22/100))</f>
        <v>0.103516130957955</v>
      </c>
      <c r="BL23" s="16">
        <f>IF(ISNUMBER(Risultati!Y22/100),(Risultati!Y22/100))</f>
        <v>0.22665881774121199</v>
      </c>
      <c r="BM23" s="16">
        <f>IF(ISNUMBER(Risultati!Z22/100),(Risultati!Z22/100))</f>
        <v>0.64412170061023499</v>
      </c>
      <c r="BN23" s="16">
        <f>IF(AND(Risultati!AY22&lt;0,calcoli!AP23&lt;0),-IF(ISNUMBER(Risultati!AA22/100),(Risultati!AA22/100)),IF(ISNUMBER(Risultati!AA22/100),(Risultati!AA22/100)))</f>
        <v>0.33629394307354799</v>
      </c>
      <c r="BO23" s="16">
        <f t="shared" si="0"/>
        <v>1.8437608489532329E-2</v>
      </c>
      <c r="BP23" s="16">
        <f>IF(Risultati!AB22&gt;0,(AV23/Risultati!AB22),"0")</f>
        <v>4.2455304561173766E-2</v>
      </c>
      <c r="BQ23" s="16">
        <f>IF(Risultati!AG22&lt;&gt;0,(BH23/Risultati!AG22),"0")</f>
        <v>4.8169069042564558E-2</v>
      </c>
      <c r="BR23" s="16">
        <f t="shared" si="1"/>
        <v>1.8437608489532329E-2</v>
      </c>
      <c r="BS23" s="14">
        <f>IF(Risultati!AB22&gt;0,(Risultati!G22/Risultati!AB22),"0")</f>
        <v>1.516434299304215</v>
      </c>
      <c r="BT23" s="15">
        <f>IF(Risultati!AG22&lt;&gt;0,(Risultati!AB22/Risultati!AG22),"0")</f>
        <v>1.5430581169027235</v>
      </c>
      <c r="BU23" s="23">
        <f>IF(AND(Risultati!G22&gt;0,(Risultati!AE22-Risultati!AF22)&gt;=0),((Risultati!AE22-Risultati!AF22)/Risultati!G22*360),"0")</f>
        <v>9.9923718639402583</v>
      </c>
      <c r="BV23" s="21">
        <f>IF(OR(E23="abbreviato",Risultati!G22=0),"0",((Risultati!AC22+Risultati!AD22)/Risultati!G22*360))</f>
        <v>27.889735963261867</v>
      </c>
      <c r="BW23" s="21">
        <f>IF(OR(E23="abbreviato",Risultati!G22=0,SUM(Risultati!I22+Risultati!K22+Risultati!M22)=0),"0",(((Risultati!AH22+Risultati!AI22)/(Risultati!I22+Risultati!K22+Risultati!N22)*360)))</f>
        <v>47.414440670142525</v>
      </c>
      <c r="BX23" s="16">
        <f>IF(Risultati!AB22&gt;0,(+Risultati!AG22/Risultati!AB22),"0")</f>
        <v>0.64806373074737622</v>
      </c>
      <c r="BY23" s="22">
        <f>IF(OR(E23="abbreviato",Risultati!G22=0),"0",(((Risultati!AK22-(Risultati!AL22+Risultati!AM22))/Risultati!G22)))</f>
        <v>-1.4674111833338379E-2</v>
      </c>
      <c r="BZ23" s="16">
        <f>IF(Risultati!G22&gt;0,(Risultati!AJ22/Risultati!G22),"0")</f>
        <v>0.20697311888526976</v>
      </c>
      <c r="CA23" s="8"/>
      <c r="CB23" s="10">
        <f>+Risultati!AP22</f>
        <v>3619</v>
      </c>
      <c r="CC23" s="31">
        <f t="shared" si="25"/>
        <v>2.7311249382119774E-3</v>
      </c>
      <c r="CD23" s="10">
        <f>+Risultati!AQ22</f>
        <v>17620</v>
      </c>
      <c r="CE23" s="31">
        <f t="shared" si="26"/>
        <v>1.3297159826276607E-2</v>
      </c>
      <c r="CF23" s="10">
        <f>+Risultati!AR22</f>
        <v>702291</v>
      </c>
      <c r="CG23" s="31">
        <f t="shared" si="27"/>
        <v>0.52999294390213536</v>
      </c>
      <c r="CH23" s="10">
        <f>+Risultati!AS22</f>
        <v>173370</v>
      </c>
      <c r="CI23" s="31">
        <f t="shared" si="28"/>
        <v>0.13083590233153095</v>
      </c>
      <c r="CJ23" s="10">
        <f t="shared" si="29"/>
        <v>893281</v>
      </c>
      <c r="CK23" s="31">
        <f t="shared" si="30"/>
        <v>0.67412600605994288</v>
      </c>
      <c r="CL23" s="10">
        <f>+Risultati!AE22+Risultati!AF22</f>
        <v>55927</v>
      </c>
      <c r="CM23" s="31">
        <f t="shared" si="31"/>
        <v>4.2206030511019968E-2</v>
      </c>
      <c r="CN23" s="10">
        <f>+Risultati!AT22</f>
        <v>242770</v>
      </c>
      <c r="CO23" s="31">
        <f t="shared" si="32"/>
        <v>0.18320950573355119</v>
      </c>
      <c r="CP23" s="10">
        <f>+Risultati!AU22</f>
        <v>20809</v>
      </c>
      <c r="CQ23" s="31">
        <f t="shared" si="33"/>
        <v>1.5703779729000562E-2</v>
      </c>
      <c r="CR23" s="10">
        <f>+Risultati!AL22</f>
        <v>111039</v>
      </c>
      <c r="CS23" s="31">
        <f t="shared" si="34"/>
        <v>8.3797010780359144E-2</v>
      </c>
      <c r="CT23" s="10">
        <f t="shared" si="47"/>
        <v>430545</v>
      </c>
      <c r="CU23" s="31">
        <f t="shared" si="35"/>
        <v>0.32491632675393084</v>
      </c>
      <c r="CV23" s="10">
        <f>+Risultati!AX22</f>
        <v>1269</v>
      </c>
      <c r="CW23" s="31">
        <f t="shared" si="36"/>
        <v>9.5766718612627774E-4</v>
      </c>
      <c r="CX23" s="10">
        <f t="shared" si="48"/>
        <v>1325095</v>
      </c>
      <c r="CY23" s="31">
        <f t="shared" si="37"/>
        <v>1</v>
      </c>
      <c r="CZ23" s="10">
        <f>+Risultati!AG22</f>
        <v>861092</v>
      </c>
      <c r="DA23" s="31">
        <f t="shared" si="38"/>
        <v>0.64983416283360818</v>
      </c>
      <c r="DB23" s="10">
        <f t="shared" si="49"/>
        <v>-2047</v>
      </c>
      <c r="DC23" s="31">
        <f t="shared" si="39"/>
        <v>-1.5447949014976284E-3</v>
      </c>
      <c r="DD23" s="10">
        <f>+Risultati!AV22</f>
        <v>458571</v>
      </c>
      <c r="DE23" s="31">
        <f t="shared" si="40"/>
        <v>0.34606650843901759</v>
      </c>
      <c r="DF23" s="10">
        <f>+Risultati!AJ22</f>
        <v>417032</v>
      </c>
      <c r="DG23" s="31">
        <f t="shared" si="41"/>
        <v>0.31471856734800147</v>
      </c>
      <c r="DH23" s="10">
        <f t="shared" si="42"/>
        <v>41539</v>
      </c>
      <c r="DI23" s="31">
        <f t="shared" si="43"/>
        <v>3.1347941091016115E-2</v>
      </c>
      <c r="DJ23" s="10">
        <f>+Risultati!AW22</f>
        <v>7479</v>
      </c>
      <c r="DK23" s="31">
        <f t="shared" si="44"/>
        <v>5.6441236288718921E-3</v>
      </c>
      <c r="DL23" s="10">
        <f t="shared" si="50"/>
        <v>1325095</v>
      </c>
      <c r="DM23" s="31">
        <f t="shared" si="45"/>
        <v>1</v>
      </c>
      <c r="DO23" s="30"/>
      <c r="DP23" s="30"/>
    </row>
    <row r="24" spans="1:120" x14ac:dyDescent="0.2">
      <c r="A24" s="5"/>
      <c r="B24" s="6" t="str">
        <f>+Risultati!B23</f>
        <v>METRO ITALIA S.P.A.</v>
      </c>
      <c r="C24" s="6" t="str">
        <f>+Risultati!C23</f>
        <v>02827030962</v>
      </c>
      <c r="D24" s="26">
        <f>IF(YEAR(Risultati!D23)=1900,(MID(Risultati!$AP$1,29,4)),YEAR(Risultati!D23))</f>
        <v>2023</v>
      </c>
      <c r="E24" s="6" t="str">
        <f>+Risultati!E23</f>
        <v>Dettagliato</v>
      </c>
      <c r="F24" s="8" t="str">
        <f>(LEFT(Risultati!AN23,2)&amp;"-")&amp;VLOOKUP((LEFT(Risultati!AN23,2)),ateco!$B$4:$C$93,2,FALSE)</f>
        <v>46-Commercio all'ingrosso (escluso quello di autoveicoli e di motocicli)</v>
      </c>
      <c r="G24" s="8" t="str">
        <f>SUBSTITUTE((Risultati!AN23&amp;"-"&amp;Risultati!AO23),",",";")</f>
        <v>469000-Commercio all'ingrosso non specializzato</v>
      </c>
      <c r="I24" s="10">
        <f>+Risultati!G23</f>
        <v>1917955</v>
      </c>
      <c r="J24" s="11">
        <f t="shared" si="2"/>
        <v>1</v>
      </c>
      <c r="K24" s="12"/>
      <c r="L24" s="10">
        <f>+Risultati!G23+Risultati!H23</f>
        <v>1917955</v>
      </c>
      <c r="M24" s="11">
        <f t="shared" si="3"/>
        <v>0.98737337076997367</v>
      </c>
      <c r="N24" s="12"/>
      <c r="O24" s="10">
        <f>+Risultati!I23+Risultati!J23</f>
        <v>1510616</v>
      </c>
      <c r="P24" s="11">
        <f t="shared" si="4"/>
        <v>0.77767310070312101</v>
      </c>
      <c r="Q24" s="12"/>
      <c r="R24" s="13">
        <f t="shared" si="5"/>
        <v>407339</v>
      </c>
      <c r="S24" s="11">
        <f t="shared" si="6"/>
        <v>0.2097002700668526</v>
      </c>
      <c r="T24" s="12"/>
      <c r="U24" s="10">
        <f>+Risultati!F23-(Risultati!G23+Risultati!H23)</f>
        <v>24527</v>
      </c>
      <c r="V24" s="12">
        <f t="shared" si="7"/>
        <v>1.2626629230026326E-2</v>
      </c>
      <c r="W24" s="12"/>
      <c r="X24" s="10">
        <f t="shared" si="8"/>
        <v>431866</v>
      </c>
      <c r="Y24" s="12">
        <f t="shared" si="9"/>
        <v>0.22232689929687893</v>
      </c>
      <c r="Z24" s="12"/>
      <c r="AA24" s="10">
        <f>+Risultati!K23</f>
        <v>175002</v>
      </c>
      <c r="AB24" s="12">
        <f t="shared" si="10"/>
        <v>9.0091954520041886E-2</v>
      </c>
      <c r="AC24" s="12"/>
      <c r="AD24" s="10">
        <f>+Risultati!L23</f>
        <v>175743</v>
      </c>
      <c r="AE24" s="12">
        <f t="shared" si="11"/>
        <v>9.0473425236372848E-2</v>
      </c>
      <c r="AF24" s="12"/>
      <c r="AG24" s="10">
        <f>+Risultati!M23+Risultati!P23+Risultati!Q23</f>
        <v>5804</v>
      </c>
      <c r="AH24" s="12">
        <f t="shared" si="12"/>
        <v>2.9879298752832715E-3</v>
      </c>
      <c r="AI24" s="12"/>
      <c r="AJ24" s="13">
        <f t="shared" si="13"/>
        <v>75317</v>
      </c>
      <c r="AK24" s="11">
        <f t="shared" si="14"/>
        <v>3.8773589665180935E-2</v>
      </c>
      <c r="AL24" s="12"/>
      <c r="AM24" s="10">
        <f>+Risultati!N23</f>
        <v>3853</v>
      </c>
      <c r="AN24" s="12">
        <f t="shared" si="15"/>
        <v>1.9835447638639637E-3</v>
      </c>
      <c r="AO24" s="12"/>
      <c r="AP24" s="10">
        <f t="shared" si="46"/>
        <v>71464</v>
      </c>
      <c r="AQ24" s="41">
        <f t="shared" si="16"/>
        <v>3.6790044901316973E-2</v>
      </c>
      <c r="AR24" s="41"/>
      <c r="AS24" s="10">
        <f>+Risultati!O23</f>
        <v>73775</v>
      </c>
      <c r="AT24" s="12">
        <f t="shared" si="17"/>
        <v>3.7979759915407196E-2</v>
      </c>
      <c r="AU24" s="12"/>
      <c r="AV24" s="10">
        <f t="shared" si="18"/>
        <v>-2311</v>
      </c>
      <c r="AW24" s="12">
        <f t="shared" si="19"/>
        <v>-1.1897150140902206E-3</v>
      </c>
      <c r="AX24" s="12"/>
      <c r="AY24" s="10">
        <f>+Risultati!R23+Risultati!S23</f>
        <v>-10926</v>
      </c>
      <c r="AZ24" s="12">
        <f t="shared" si="20"/>
        <v>-5.6247625460622026E-3</v>
      </c>
      <c r="BA24" s="12"/>
      <c r="BB24" s="10">
        <f>+Risultati!T23</f>
        <v>2025</v>
      </c>
      <c r="BC24" s="12">
        <f t="shared" si="21"/>
        <v>1.0424807025238845E-3</v>
      </c>
      <c r="BD24" s="12"/>
      <c r="BE24" s="10">
        <f>+Risultati!U23</f>
        <v>2815</v>
      </c>
      <c r="BF24" s="12">
        <f t="shared" si="22"/>
        <v>1.4491768778294985E-3</v>
      </c>
      <c r="BG24" s="12"/>
      <c r="BH24" s="10">
        <f t="shared" si="23"/>
        <v>-14027</v>
      </c>
      <c r="BI24" s="12">
        <f t="shared" si="24"/>
        <v>-7.2211737354580374E-3</v>
      </c>
      <c r="BK24" s="16">
        <f>IF(ISNUMBER(Risultati!X23/100),(Risultati!X23/100))</f>
        <v>8.8986106300710299E-2</v>
      </c>
      <c r="BL24" s="16">
        <f>IF(ISNUMBER(Risultati!Y23/100),(Risultati!Y23/100))</f>
        <v>0.46697245881978605</v>
      </c>
      <c r="BM24" s="16">
        <f>IF(ISNUMBER(Risultati!Z23/100),(Risultati!Z23/100))</f>
        <v>0.12511871806198202</v>
      </c>
      <c r="BN24" s="16">
        <f>IF(AND(Risultati!AY23&lt;0,calcoli!AP24&lt;0),-IF(ISNUMBER(Risultati!AA23/100),(Risultati!AA23/100)),IF(ISNUMBER(Risultati!AA23/100),(Risultati!AA23/100)))</f>
        <v>0.92143682951092898</v>
      </c>
      <c r="BO24" s="16">
        <f t="shared" si="0"/>
        <v>-7.2211737354580374E-3</v>
      </c>
      <c r="BP24" s="16">
        <f>IF(Risultati!AB23&gt;0,(AV24/Risultati!AB23),"0")</f>
        <v>-2.7984848705019591E-3</v>
      </c>
      <c r="BQ24" s="16">
        <f>IF(Risultati!AG23&lt;&gt;0,(BH24/Risultati!AG23),"0")</f>
        <v>-0.49016318971240869</v>
      </c>
      <c r="BR24" s="16">
        <f t="shared" si="1"/>
        <v>-7.2211737354580374E-3</v>
      </c>
      <c r="BS24" s="14">
        <f>IF(Risultati!AB23&gt;0,(Risultati!G23/Risultati!AB23),"0")</f>
        <v>2.3225305278250046</v>
      </c>
      <c r="BT24" s="15">
        <f>IF(Risultati!AG23&lt;&gt;0,(Risultati!AB23/Risultati!AG23),"0")</f>
        <v>28.857112904916658</v>
      </c>
      <c r="BU24" s="23">
        <f>IF(AND(Risultati!G23&gt;0,(Risultati!AE23-Risultati!AF23)&gt;=0),((Risultati!AE23-Risultati!AF23)/Risultati!G23*360),"0")</f>
        <v>22.465052621151173</v>
      </c>
      <c r="BV24" s="21">
        <f>IF(OR(E24="abbreviato",Risultati!G23=0),"0",((Risultati!AC23+Risultati!AD23)/Risultati!G23*360))</f>
        <v>12.569137440659452</v>
      </c>
      <c r="BW24" s="21">
        <f>IF(OR(E24="abbreviato",Risultati!G23=0,SUM(Risultati!I23+Risultati!K23+Risultati!M23)=0),"0",(((Risultati!AH23+Risultati!AI23)/(Risultati!I23+Risultati!K23+Risultati!N23)*360)))</f>
        <v>64.917676871892596</v>
      </c>
      <c r="BX24" s="16">
        <f>IF(Risultati!AB23&gt;0,(+Risultati!AG23/Risultati!AB23),"0")</f>
        <v>3.4653501315082026E-2</v>
      </c>
      <c r="BY24" s="22">
        <f>IF(OR(E24="abbreviato",Risultati!G23=0),"0",(((Risultati!AK23-(Risultati!AL23+Risultati!AM23))/Risultati!G23)))</f>
        <v>0.12813230758802996</v>
      </c>
      <c r="BZ24" s="16">
        <f>IF(Risultati!G23&gt;0,(Risultati!AJ23/Risultati!G23),"0")</f>
        <v>0.2526138517327049</v>
      </c>
      <c r="CA24" s="8"/>
      <c r="CB24" s="10">
        <f>+Risultati!AP23</f>
        <v>0</v>
      </c>
      <c r="CC24" s="31">
        <f t="shared" si="25"/>
        <v>0</v>
      </c>
      <c r="CD24" s="10">
        <f>+Risultati!AQ23</f>
        <v>9240</v>
      </c>
      <c r="CE24" s="31">
        <f t="shared" si="26"/>
        <v>1.1189095717627912E-2</v>
      </c>
      <c r="CF24" s="10">
        <f>+Risultati!AR23</f>
        <v>356650</v>
      </c>
      <c r="CG24" s="31">
        <f t="shared" si="27"/>
        <v>0.43188214152510768</v>
      </c>
      <c r="CH24" s="10">
        <f>+Risultati!AS23</f>
        <v>80413</v>
      </c>
      <c r="CI24" s="31">
        <f t="shared" si="28"/>
        <v>9.7375406270737361E-2</v>
      </c>
      <c r="CJ24" s="10">
        <f t="shared" si="29"/>
        <v>446303</v>
      </c>
      <c r="CK24" s="31">
        <f t="shared" si="30"/>
        <v>0.54044664351347294</v>
      </c>
      <c r="CL24" s="10">
        <f>+Risultati!AE23+Risultati!AF23</f>
        <v>119686</v>
      </c>
      <c r="CM24" s="31">
        <f t="shared" si="31"/>
        <v>0.14493269589394092</v>
      </c>
      <c r="CN24" s="10">
        <f>+Risultati!AT23</f>
        <v>244870</v>
      </c>
      <c r="CO24" s="31">
        <f t="shared" si="32"/>
        <v>0.29652314592808948</v>
      </c>
      <c r="CP24" s="10">
        <f>+Risultati!AU23</f>
        <v>0</v>
      </c>
      <c r="CQ24" s="31">
        <f t="shared" si="33"/>
        <v>0</v>
      </c>
      <c r="CR24" s="10">
        <f>+Risultati!AL23</f>
        <v>14007</v>
      </c>
      <c r="CS24" s="31">
        <f t="shared" si="34"/>
        <v>1.696165191740413E-2</v>
      </c>
      <c r="CT24" s="10">
        <f t="shared" si="47"/>
        <v>378563</v>
      </c>
      <c r="CU24" s="31">
        <f t="shared" si="35"/>
        <v>0.45841749373943452</v>
      </c>
      <c r="CV24" s="10">
        <f>+Risultati!AX23</f>
        <v>938</v>
      </c>
      <c r="CW24" s="31">
        <f t="shared" si="36"/>
        <v>1.1358627470925305E-3</v>
      </c>
      <c r="CX24" s="10">
        <f t="shared" si="48"/>
        <v>825804</v>
      </c>
      <c r="CY24" s="31">
        <f t="shared" si="37"/>
        <v>1</v>
      </c>
      <c r="CZ24" s="10">
        <f>+Risultati!AG23</f>
        <v>28617</v>
      </c>
      <c r="DA24" s="31">
        <f t="shared" si="38"/>
        <v>3.4653501315082026E-2</v>
      </c>
      <c r="DB24" s="10">
        <f t="shared" si="49"/>
        <v>99627</v>
      </c>
      <c r="DC24" s="31">
        <f t="shared" si="39"/>
        <v>0.12064242846970952</v>
      </c>
      <c r="DD24" s="10">
        <f>+Risultati!AV23</f>
        <v>691477</v>
      </c>
      <c r="DE24" s="31">
        <f t="shared" si="40"/>
        <v>0.83733791553443671</v>
      </c>
      <c r="DF24" s="10">
        <f>+Risultati!AJ23</f>
        <v>484502</v>
      </c>
      <c r="DG24" s="31">
        <f t="shared" si="41"/>
        <v>0.58670338240066655</v>
      </c>
      <c r="DH24" s="10">
        <f t="shared" si="42"/>
        <v>206975</v>
      </c>
      <c r="DI24" s="31">
        <f t="shared" si="43"/>
        <v>0.25063453313377027</v>
      </c>
      <c r="DJ24" s="10">
        <f>+Risultati!AW23</f>
        <v>6083</v>
      </c>
      <c r="DK24" s="31">
        <f t="shared" si="44"/>
        <v>7.3661546807717087E-3</v>
      </c>
      <c r="DL24" s="10">
        <f t="shared" si="50"/>
        <v>825804</v>
      </c>
      <c r="DM24" s="31">
        <f t="shared" si="45"/>
        <v>1</v>
      </c>
      <c r="DO24" s="30"/>
      <c r="DP24" s="30"/>
    </row>
    <row r="25" spans="1:120" x14ac:dyDescent="0.2">
      <c r="A25" s="5"/>
      <c r="B25" s="6" t="str">
        <f>+Risultati!B24</f>
        <v>IPER MONTEBELLO S.P.A.</v>
      </c>
      <c r="C25" s="6" t="str">
        <f>+Risultati!C24</f>
        <v>03585750155</v>
      </c>
      <c r="D25" s="26">
        <f>IF(YEAR(Risultati!D24)=1900,(MID(Risultati!$AP$1,29,4)),YEAR(Risultati!D24))</f>
        <v>2023</v>
      </c>
      <c r="E25" s="6" t="str">
        <f>+Risultati!E24</f>
        <v>Dettagliato</v>
      </c>
      <c r="F25" s="8" t="str">
        <f>(LEFT(Risultati!AN24,2)&amp;"-")&amp;VLOOKUP((LEFT(Risultati!AN24,2)),ateco!$B$4:$C$93,2,FALSE)</f>
        <v>47-Commercio al dettaglio (escluso quello di autoveicoli e di motocicli)</v>
      </c>
      <c r="G25" s="8" t="str">
        <f>SUBSTITUTE((Risultati!AN24&amp;"-"&amp;Risultati!AO24),",",";")</f>
        <v>471100-Commercio al dettaglio in esercizi non specializzati con prevalenza di prodotti alimentari e bevande</v>
      </c>
      <c r="I25" s="10">
        <f>+Risultati!G24</f>
        <v>1907363.1540000001</v>
      </c>
      <c r="J25" s="11">
        <f t="shared" si="2"/>
        <v>1</v>
      </c>
      <c r="K25" s="12"/>
      <c r="L25" s="10">
        <f>+Risultati!G24+Risultati!H24</f>
        <v>1907363.1540000001</v>
      </c>
      <c r="M25" s="11">
        <f t="shared" si="3"/>
        <v>0.97941836401866855</v>
      </c>
      <c r="N25" s="12"/>
      <c r="O25" s="10">
        <f>+Risultati!I24+Risultati!J24</f>
        <v>1445327.787</v>
      </c>
      <c r="P25" s="11">
        <f t="shared" si="4"/>
        <v>0.7421662590291721</v>
      </c>
      <c r="Q25" s="12"/>
      <c r="R25" s="13">
        <f t="shared" si="5"/>
        <v>462035.36700000009</v>
      </c>
      <c r="S25" s="11">
        <f t="shared" si="6"/>
        <v>0.2372521049894965</v>
      </c>
      <c r="T25" s="12"/>
      <c r="U25" s="10">
        <f>+Risultati!F24-(Risultati!G24+Risultati!H24)</f>
        <v>40081.598999999929</v>
      </c>
      <c r="V25" s="12">
        <f t="shared" si="7"/>
        <v>2.0581635981331444E-2</v>
      </c>
      <c r="W25" s="12"/>
      <c r="X25" s="10">
        <f t="shared" si="8"/>
        <v>502116.96600000001</v>
      </c>
      <c r="Y25" s="12">
        <f t="shared" si="9"/>
        <v>0.25783374097082795</v>
      </c>
      <c r="Z25" s="12"/>
      <c r="AA25" s="10">
        <f>+Risultati!K24</f>
        <v>142280.53099999999</v>
      </c>
      <c r="AB25" s="12">
        <f t="shared" si="10"/>
        <v>7.3060111605641007E-2</v>
      </c>
      <c r="AC25" s="12"/>
      <c r="AD25" s="10">
        <f>+Risultati!L24</f>
        <v>220045.12299999999</v>
      </c>
      <c r="AE25" s="12">
        <f t="shared" si="11"/>
        <v>0.11299171525201156</v>
      </c>
      <c r="AF25" s="12"/>
      <c r="AG25" s="10">
        <f>+Risultati!M24+Risultati!P24+Risultati!Q24</f>
        <v>9983.018</v>
      </c>
      <c r="AH25" s="12">
        <f t="shared" si="12"/>
        <v>5.1262137139558694E-3</v>
      </c>
      <c r="AI25" s="12"/>
      <c r="AJ25" s="13">
        <f t="shared" si="13"/>
        <v>129808.29400000007</v>
      </c>
      <c r="AK25" s="11">
        <f t="shared" si="14"/>
        <v>6.6655700399219517E-2</v>
      </c>
      <c r="AL25" s="12"/>
      <c r="AM25" s="10">
        <f>+Risultati!N24</f>
        <v>26114.102999999999</v>
      </c>
      <c r="AN25" s="12">
        <f t="shared" si="15"/>
        <v>1.3409419168257143E-2</v>
      </c>
      <c r="AO25" s="12"/>
      <c r="AP25" s="10">
        <f t="shared" si="46"/>
        <v>103694.19100000006</v>
      </c>
      <c r="AQ25" s="41">
        <f t="shared" si="16"/>
        <v>5.3246281230962381E-2</v>
      </c>
      <c r="AR25" s="41"/>
      <c r="AS25" s="10">
        <f>+Risultati!O24</f>
        <v>55376.962</v>
      </c>
      <c r="AT25" s="12">
        <f t="shared" si="17"/>
        <v>2.8435703716212173E-2</v>
      </c>
      <c r="AU25" s="12"/>
      <c r="AV25" s="10">
        <f t="shared" si="18"/>
        <v>48317.229000000065</v>
      </c>
      <c r="AW25" s="12">
        <f t="shared" si="19"/>
        <v>2.4810577514750205E-2</v>
      </c>
      <c r="AX25" s="12"/>
      <c r="AY25" s="10">
        <f>+Risultati!R24+Risultati!S24</f>
        <v>10296.424000000001</v>
      </c>
      <c r="AZ25" s="12">
        <f t="shared" si="20"/>
        <v>5.2871456220457934E-3</v>
      </c>
      <c r="BA25" s="12"/>
      <c r="BB25" s="10">
        <f>+Risultati!T24</f>
        <v>0</v>
      </c>
      <c r="BC25" s="12">
        <f t="shared" si="21"/>
        <v>0</v>
      </c>
      <c r="BD25" s="12"/>
      <c r="BE25" s="10">
        <f>+Risultati!U24</f>
        <v>14278.325000000001</v>
      </c>
      <c r="BF25" s="12">
        <f t="shared" si="22"/>
        <v>7.3318254487088914E-3</v>
      </c>
      <c r="BG25" s="12"/>
      <c r="BH25" s="10">
        <f t="shared" si="23"/>
        <v>44335.328000000067</v>
      </c>
      <c r="BI25" s="12">
        <f t="shared" si="24"/>
        <v>2.2765897688087105E-2</v>
      </c>
      <c r="BK25" s="16">
        <f>IF(ISNUMBER(Risultati!X24/100),(Risultati!X24/100))</f>
        <v>0.12869215597482001</v>
      </c>
      <c r="BL25" s="16">
        <f>IF(ISNUMBER(Risultati!Y24/100),(Risultati!Y24/100))</f>
        <v>0.29745765410673103</v>
      </c>
      <c r="BM25" s="16">
        <f>IF(ISNUMBER(Risultati!Z24/100),(Risultati!Z24/100))</f>
        <v>0.25702415207016699</v>
      </c>
      <c r="BN25" s="16">
        <f>IF(AND(Risultati!AY24&lt;0,calcoli!AP25&lt;0),-IF(ISNUMBER(Risultati!AA24/100),(Risultati!AA24/100)),IF(ISNUMBER(Risultati!AA24/100),(Risultati!AA24/100)))</f>
        <v>1.00348999686611</v>
      </c>
      <c r="BO25" s="16">
        <f t="shared" si="0"/>
        <v>2.2765897688087105E-2</v>
      </c>
      <c r="BP25" s="16">
        <f>IF(Risultati!AB24&gt;0,(AV25/Risultati!AB24),"0")</f>
        <v>4.0431600795108984E-2</v>
      </c>
      <c r="BQ25" s="16">
        <f>IF(Risultati!AG24&lt;&gt;0,(BH25/Risultati!AG24),"0")</f>
        <v>9.3668978240505699E-2</v>
      </c>
      <c r="BR25" s="16">
        <f t="shared" si="1"/>
        <v>2.2765897688087105E-2</v>
      </c>
      <c r="BS25" s="14">
        <f>IF(Risultati!AB24&gt;0,(Risultati!G24/Risultati!AB24),"0")</f>
        <v>1.5960713643952529</v>
      </c>
      <c r="BT25" s="15">
        <f>IF(Risultati!AG24&lt;&gt;0,(Risultati!AB24/Risultati!AG24),"0")</f>
        <v>2.5247997586609747</v>
      </c>
      <c r="BU25" s="23">
        <f>IF(AND(Risultati!G24&gt;0,(Risultati!AE24-Risultati!AF24)&gt;=0),((Risultati!AE24-Risultati!AF24)/Risultati!G24*360),"0")</f>
        <v>22.015924818478485</v>
      </c>
      <c r="BV25" s="21">
        <f>IF(OR(E25="abbreviato",Risultati!G24=0),"0",((Risultati!AC24+Risultati!AD24)/Risultati!G24*360))</f>
        <v>11.723825592994547</v>
      </c>
      <c r="BW25" s="21">
        <f>IF(OR(E25="abbreviato",Risultati!G24=0,SUM(Risultati!I24+Risultati!K24+Risultati!M24)=0),"0",(((Risultati!AH24+Risultati!AI24)/(Risultati!I24+Risultati!K24+Risultati!N24)*360)))</f>
        <v>47.965565333341857</v>
      </c>
      <c r="BX25" s="16">
        <f>IF(Risultati!AB24&gt;0,(+Risultati!AG24/Risultati!AB24),"0")</f>
        <v>0.39607101377827647</v>
      </c>
      <c r="BY25" s="22">
        <f>IF(OR(E25="abbreviato",Risultati!G24=0),"0",(((Risultati!AK24-(Risultati!AL24+Risultati!AM24))/Risultati!G24)))</f>
        <v>9.6807415311955844E-2</v>
      </c>
      <c r="BZ25" s="16">
        <f>IF(Risultati!G24&gt;0,(Risultati!AJ24/Risultati!G24),"0")</f>
        <v>0.25149971624124179</v>
      </c>
      <c r="CA25" s="8"/>
      <c r="CB25" s="10">
        <f>+Risultati!AP24</f>
        <v>0</v>
      </c>
      <c r="CC25" s="31">
        <f t="shared" si="25"/>
        <v>0</v>
      </c>
      <c r="CD25" s="10">
        <f>+Risultati!AQ24</f>
        <v>22171.745999999999</v>
      </c>
      <c r="CE25" s="31">
        <f t="shared" si="26"/>
        <v>1.8553199381581943E-2</v>
      </c>
      <c r="CF25" s="10">
        <f>+Risultati!AR24</f>
        <v>524009.14799999999</v>
      </c>
      <c r="CG25" s="31">
        <f t="shared" si="27"/>
        <v>0.43848807399367112</v>
      </c>
      <c r="CH25" s="10">
        <f>+Risultati!AS24</f>
        <v>135147.984</v>
      </c>
      <c r="CI25" s="31">
        <f t="shared" si="28"/>
        <v>0.1130911157457264</v>
      </c>
      <c r="CJ25" s="10">
        <f t="shared" si="29"/>
        <v>681328.87800000003</v>
      </c>
      <c r="CK25" s="31">
        <f t="shared" si="30"/>
        <v>0.57013238912097952</v>
      </c>
      <c r="CL25" s="10">
        <f>+Risultati!AE24+Risultati!AF24</f>
        <v>141018.20699999999</v>
      </c>
      <c r="CM25" s="31">
        <f t="shared" si="31"/>
        <v>0.11800328719732738</v>
      </c>
      <c r="CN25" s="10">
        <f>+Risultati!AT24</f>
        <v>305436.72700000001</v>
      </c>
      <c r="CO25" s="31">
        <f t="shared" si="32"/>
        <v>0.25558783212151237</v>
      </c>
      <c r="CP25" s="10">
        <f>+Risultati!AU24</f>
        <v>5999.0479999999998</v>
      </c>
      <c r="CQ25" s="31">
        <f t="shared" si="33"/>
        <v>5.0199715278932203E-3</v>
      </c>
      <c r="CR25" s="10">
        <f>+Risultati!AL24</f>
        <v>56213.648999999998</v>
      </c>
      <c r="CS25" s="31">
        <f t="shared" si="34"/>
        <v>4.703928314275585E-2</v>
      </c>
      <c r="CT25" s="10">
        <f t="shared" si="47"/>
        <v>508667.63099999999</v>
      </c>
      <c r="CU25" s="31">
        <f t="shared" si="35"/>
        <v>0.42565037398948879</v>
      </c>
      <c r="CV25" s="10">
        <f>+Risultati!AX24</f>
        <v>5039.7510000000002</v>
      </c>
      <c r="CW25" s="31">
        <f t="shared" si="36"/>
        <v>4.2172368895317036E-3</v>
      </c>
      <c r="CX25" s="10">
        <f t="shared" si="48"/>
        <v>1195036.26</v>
      </c>
      <c r="CY25" s="31">
        <f t="shared" si="37"/>
        <v>1</v>
      </c>
      <c r="CZ25" s="10">
        <f>+Risultati!AG24</f>
        <v>473319.223</v>
      </c>
      <c r="DA25" s="31">
        <f t="shared" si="38"/>
        <v>0.39607101377827647</v>
      </c>
      <c r="DB25" s="10">
        <f t="shared" si="49"/>
        <v>75288.471999999994</v>
      </c>
      <c r="DC25" s="31">
        <f t="shared" si="39"/>
        <v>6.3000993794112989E-2</v>
      </c>
      <c r="DD25" s="10">
        <f>+Risultati!AV24</f>
        <v>639438.59100000001</v>
      </c>
      <c r="DE25" s="31">
        <f t="shared" si="40"/>
        <v>0.53507881928201917</v>
      </c>
      <c r="DF25" s="10">
        <f>+Risultati!AJ24</f>
        <v>479701.29200000002</v>
      </c>
      <c r="DG25" s="31">
        <f t="shared" si="41"/>
        <v>0.40141149524617775</v>
      </c>
      <c r="DH25" s="10">
        <f t="shared" si="42"/>
        <v>159737.299</v>
      </c>
      <c r="DI25" s="31">
        <f t="shared" si="43"/>
        <v>0.13366732403584139</v>
      </c>
      <c r="DJ25" s="10">
        <f>+Risultati!AW24</f>
        <v>6989.9740000000002</v>
      </c>
      <c r="DK25" s="31">
        <f t="shared" si="44"/>
        <v>5.8491731455914148E-3</v>
      </c>
      <c r="DL25" s="10">
        <f t="shared" si="50"/>
        <v>1195036.26</v>
      </c>
      <c r="DM25" s="31">
        <f t="shared" si="45"/>
        <v>1</v>
      </c>
      <c r="DO25" s="30"/>
      <c r="DP25" s="30"/>
    </row>
    <row r="26" spans="1:120" x14ac:dyDescent="0.2">
      <c r="A26" s="5"/>
      <c r="B26" s="6" t="str">
        <f>+Risultati!B25</f>
        <v>PAM PANORAMA S.P.A.</v>
      </c>
      <c r="C26" s="6" t="str">
        <f>+Risultati!C25</f>
        <v>02036440275</v>
      </c>
      <c r="D26" s="26">
        <f>IF(YEAR(Risultati!D25)=1900,(MID(Risultati!$AP$1,29,4)),YEAR(Risultati!D25))</f>
        <v>2023</v>
      </c>
      <c r="E26" s="6" t="str">
        <f>+Risultati!E25</f>
        <v>Dettagliato</v>
      </c>
      <c r="F26" s="8" t="str">
        <f>(LEFT(Risultati!AN25,2)&amp;"-")&amp;VLOOKUP((LEFT(Risultati!AN25,2)),ateco!$B$4:$C$93,2,FALSE)</f>
        <v>47-Commercio al dettaglio (escluso quello di autoveicoli e di motocicli)</v>
      </c>
      <c r="G26" s="8" t="str">
        <f>SUBSTITUTE((Risultati!AN25&amp;"-"&amp;Risultati!AO25),",",";")</f>
        <v>471100-Commercio al dettaglio in esercizi non specializzati con prevalenza di prodotti alimentari e bevande</v>
      </c>
      <c r="I26" s="10">
        <f>+Risultati!G25</f>
        <v>1887065.5220000001</v>
      </c>
      <c r="J26" s="11">
        <f t="shared" si="2"/>
        <v>1.0000401289927694</v>
      </c>
      <c r="K26" s="12"/>
      <c r="L26" s="10">
        <f>+Risultati!G25+Risultati!H25</f>
        <v>1886989.7990000001</v>
      </c>
      <c r="M26" s="11">
        <f t="shared" si="3"/>
        <v>0.97470484331481744</v>
      </c>
      <c r="N26" s="12"/>
      <c r="O26" s="10">
        <f>+Risultati!I25+Risultati!J25</f>
        <v>1364632.155</v>
      </c>
      <c r="P26" s="11">
        <f t="shared" si="4"/>
        <v>0.70488646601403093</v>
      </c>
      <c r="Q26" s="12"/>
      <c r="R26" s="13">
        <f t="shared" ref="R26:R89" si="51">+L26-O26</f>
        <v>522357.64400000009</v>
      </c>
      <c r="S26" s="11">
        <f t="shared" si="6"/>
        <v>0.26981837730078645</v>
      </c>
      <c r="T26" s="12"/>
      <c r="U26" s="10">
        <f>+Risultati!F25-(Risultati!G25+Risultati!H25)</f>
        <v>48970.416999999899</v>
      </c>
      <c r="V26" s="12">
        <f t="shared" si="7"/>
        <v>2.5295156685182573E-2</v>
      </c>
      <c r="W26" s="12"/>
      <c r="X26" s="10">
        <f t="shared" ref="X26:X89" si="52">+U26+R26</f>
        <v>571328.06099999999</v>
      </c>
      <c r="Y26" s="12">
        <f t="shared" si="9"/>
        <v>0.29511353398596907</v>
      </c>
      <c r="Z26" s="12"/>
      <c r="AA26" s="10">
        <f>+Risultati!K25</f>
        <v>212131.891</v>
      </c>
      <c r="AB26" s="12">
        <f t="shared" si="10"/>
        <v>0.10957450945882453</v>
      </c>
      <c r="AC26" s="12"/>
      <c r="AD26" s="10">
        <f>+Risultati!L25</f>
        <v>209377.861</v>
      </c>
      <c r="AE26" s="12">
        <f t="shared" si="11"/>
        <v>0.10815194406866882</v>
      </c>
      <c r="AF26" s="12"/>
      <c r="AG26" s="10">
        <f>+Risultati!M25+Risultati!P25+Risultati!Q25</f>
        <v>23503.087000000003</v>
      </c>
      <c r="AH26" s="12">
        <f t="shared" si="12"/>
        <v>1.2140273754468517E-2</v>
      </c>
      <c r="AI26" s="12"/>
      <c r="AJ26" s="13">
        <f t="shared" ref="AJ26:AJ89" si="53">+X26-AA26-AD26-AG26</f>
        <v>126315.22199999998</v>
      </c>
      <c r="AK26" s="11">
        <f t="shared" si="14"/>
        <v>6.5246806704007176E-2</v>
      </c>
      <c r="AL26" s="12"/>
      <c r="AM26" s="10">
        <f>+Risultati!N25</f>
        <v>79539.56</v>
      </c>
      <c r="AN26" s="12">
        <f t="shared" si="15"/>
        <v>4.1085327757582391E-2</v>
      </c>
      <c r="AO26" s="12"/>
      <c r="AP26" s="10">
        <f t="shared" ref="AP26:AP89" si="54">+AJ26-AM26</f>
        <v>46775.661999999982</v>
      </c>
      <c r="AQ26" s="41">
        <f t="shared" si="16"/>
        <v>2.4161478946424786E-2</v>
      </c>
      <c r="AR26" s="41"/>
      <c r="AS26" s="10">
        <f>+Risultati!O25</f>
        <v>50396.648000000001</v>
      </c>
      <c r="AT26" s="12">
        <f t="shared" si="17"/>
        <v>2.6031861390275596E-2</v>
      </c>
      <c r="AU26" s="12"/>
      <c r="AV26" s="10">
        <f t="shared" ref="AV26:AV89" si="55">+AP26-AS26</f>
        <v>-3620.986000000019</v>
      </c>
      <c r="AW26" s="12">
        <f t="shared" si="19"/>
        <v>-1.8703824438508084E-3</v>
      </c>
      <c r="AX26" s="12"/>
      <c r="AY26" s="10">
        <f>+Risultati!R25+Risultati!S25</f>
        <v>-2831.6379999999999</v>
      </c>
      <c r="AZ26" s="12">
        <f t="shared" si="20"/>
        <v>-1.4626529907988564E-3</v>
      </c>
      <c r="BA26" s="12"/>
      <c r="BB26" s="10">
        <f>+Risultati!T25</f>
        <v>0</v>
      </c>
      <c r="BC26" s="12">
        <f t="shared" si="21"/>
        <v>0</v>
      </c>
      <c r="BD26" s="12"/>
      <c r="BE26" s="10">
        <f>+Risultati!U25</f>
        <v>-1751.1759999999999</v>
      </c>
      <c r="BF26" s="12">
        <f t="shared" si="22"/>
        <v>-9.0455164601378356E-4</v>
      </c>
      <c r="BG26" s="12"/>
      <c r="BH26" s="10">
        <f t="shared" ref="BH26:BH89" si="56">+AV26+AY26+BB26-BE26</f>
        <v>-4701.4480000000185</v>
      </c>
      <c r="BI26" s="12">
        <f t="shared" si="24"/>
        <v>-2.4284837886358809E-3</v>
      </c>
      <c r="BK26" s="16">
        <f>IF(ISNUMBER(Risultati!X25/100),(Risultati!X25/100))</f>
        <v>6.7163560203346601E-2</v>
      </c>
      <c r="BL26" s="16">
        <f>IF(ISNUMBER(Risultati!Y25/100),(Risultati!Y25/100))</f>
        <v>0.14003775124169299</v>
      </c>
      <c r="BM26" s="16">
        <f>IF(ISNUMBER(Risultati!Z25/100),(Risultati!Z25/100))</f>
        <v>0.110036202135442</v>
      </c>
      <c r="BN26" s="16">
        <f>IF(AND(Risultati!AY25&lt;0,calcoli!AP26&lt;0),-IF(ISNUMBER(Risultati!AA25/100),(Risultati!AA25/100)),IF(ISNUMBER(Risultati!AA25/100),(Risultati!AA25/100)))</f>
        <v>1.6571508213817199</v>
      </c>
      <c r="BO26" s="16">
        <f t="shared" si="0"/>
        <v>-2.4284837886358809E-3</v>
      </c>
      <c r="BP26" s="16">
        <f>IF(Risultati!AB25&gt;0,(AV26/Risultati!AB25),"0")</f>
        <v>-3.5283990070433097E-3</v>
      </c>
      <c r="BQ26" s="16">
        <f>IF(Risultati!AG25&lt;&gt;0,(BH26/Risultati!AG25),"0")</f>
        <v>-1.6792646543223311E-2</v>
      </c>
      <c r="BR26" s="16">
        <f t="shared" si="1"/>
        <v>-2.4284837886358809E-3</v>
      </c>
      <c r="BS26" s="14">
        <f>IF(Risultati!AB25&gt;0,(Risultati!G25/Risultati!AB25),"0")</f>
        <v>1.8388141003722274</v>
      </c>
      <c r="BT26" s="15">
        <f>IF(Risultati!AG25&lt;&gt;0,(Risultati!AB25/Risultati!AG25),"0")</f>
        <v>3.6655290390449511</v>
      </c>
      <c r="BU26" s="23">
        <f>IF(AND(Risultati!G25&gt;0,(Risultati!AE25-Risultati!AF25)&gt;=0),((Risultati!AE25-Risultati!AF25)/Risultati!G25*360),"0")</f>
        <v>34.324524848162632</v>
      </c>
      <c r="BV26" s="21">
        <f>IF(OR(E26="abbreviato",Risultati!G25=0),"0",((Risultati!AC25+Risultati!AD25)/Risultati!G25*360))</f>
        <v>5.8225023094879047</v>
      </c>
      <c r="BW26" s="21">
        <f>IF(OR(E26="abbreviato",Risultati!G25=0,SUM(Risultati!I25+Risultati!K25+Risultati!M25)=0),"0",(((Risultati!AH25+Risultati!AI25)/(Risultati!I25+Risultati!K25+Risultati!N25)*360)))</f>
        <v>87.718669225741365</v>
      </c>
      <c r="BX26" s="16">
        <f>IF(Risultati!AB25&gt;0,(+Risultati!AG25/Risultati!AB25),"0")</f>
        <v>0.27281191591938625</v>
      </c>
      <c r="BY26" s="22">
        <f>IF(OR(E26="abbreviato",Risultati!G25=0),"0",(((Risultati!AK25-(Risultati!AL25+Risultati!AM25))/Risultati!G25)))</f>
        <v>7.6998108070992569E-2</v>
      </c>
      <c r="BZ26" s="16">
        <f>IF(Risultati!G25&gt;0,(Risultati!AJ25/Risultati!G25),"0")</f>
        <v>0.25341650855512793</v>
      </c>
      <c r="CA26" s="8"/>
      <c r="CB26" s="10">
        <f>+Risultati!AP25</f>
        <v>0</v>
      </c>
      <c r="CC26" s="31">
        <f t="shared" ref="CC26:CC89" si="57">IF($CX26&gt;0,(CB26/$CX26),"0")</f>
        <v>0</v>
      </c>
      <c r="CD26" s="10">
        <f>+Risultati!AQ25</f>
        <v>97003.46</v>
      </c>
      <c r="CE26" s="31">
        <f t="shared" ref="CE26:CE89" si="58">IF($CX26&gt;0,(CD26/$CX26),"0")</f>
        <v>9.4523124901273736E-2</v>
      </c>
      <c r="CF26" s="10">
        <f>+Risultati!AR25</f>
        <v>577463.48400000005</v>
      </c>
      <c r="CG26" s="31">
        <f t="shared" ref="CG26:CG89" si="59">IF($CX26&gt;0,(CF26/$CX26),"0")</f>
        <v>0.56269800091725275</v>
      </c>
      <c r="CH26" s="10">
        <f>+Risultati!AS25</f>
        <v>8767.8809999999994</v>
      </c>
      <c r="CI26" s="31">
        <f t="shared" ref="CI26:CI89" si="60">IF($CX26&gt;0,(CH26/$CX26),"0")</f>
        <v>8.5436902032412533E-3</v>
      </c>
      <c r="CJ26" s="10">
        <f t="shared" ref="CJ26:CJ89" si="61">+CH26+CF26+CD26</f>
        <v>683234.82500000007</v>
      </c>
      <c r="CK26" s="31">
        <f t="shared" ref="CK26:CK89" si="62">IF($CX26&gt;0,(CJ26/$CX26),"0")</f>
        <v>0.66576481602176774</v>
      </c>
      <c r="CL26" s="10">
        <f>+Risultati!AE25+Risultati!AF25</f>
        <v>179923.965</v>
      </c>
      <c r="CM26" s="31">
        <f t="shared" ref="CM26:CM89" si="63">IF($CX26&gt;0,(CL26/$CX26),"0")</f>
        <v>0.17532338966493982</v>
      </c>
      <c r="CN26" s="10">
        <f>+Risultati!AT25</f>
        <v>80369.600000000006</v>
      </c>
      <c r="CO26" s="31">
        <f t="shared" ref="CO26:CO89" si="64">IF($CX26&gt;0,(CN26/$CX26),"0")</f>
        <v>7.8314585263921613E-2</v>
      </c>
      <c r="CP26" s="10">
        <f>+Risultati!AU25</f>
        <v>25199.546999999999</v>
      </c>
      <c r="CQ26" s="31">
        <f t="shared" ref="CQ26:CQ89" si="65">IF($CX26&gt;0,(CP26/$CX26),"0")</f>
        <v>2.4555205850765711E-2</v>
      </c>
      <c r="CR26" s="10">
        <f>+Risultati!AL25</f>
        <v>43886.44</v>
      </c>
      <c r="CS26" s="31">
        <f t="shared" ref="CS26:CS89" si="66">IF($CX26&gt;0,(CR26/$CX26),"0")</f>
        <v>4.2764283352287186E-2</v>
      </c>
      <c r="CT26" s="10">
        <f t="shared" ref="CT26:CT89" si="67">+CR26+CP26+CN26+CL26</f>
        <v>329379.55200000003</v>
      </c>
      <c r="CU26" s="31">
        <f t="shared" ref="CU26:CU89" si="68">IF($CX26&gt;0,(CT26/$CX26),"0")</f>
        <v>0.32095746413191434</v>
      </c>
      <c r="CV26" s="10">
        <f>+Risultati!AX25</f>
        <v>13626.134</v>
      </c>
      <c r="CW26" s="31">
        <f t="shared" ref="CW26:CW89" si="69">IF($CX26&gt;0,(CV26/$CX26),"0")</f>
        <v>1.3277719846317778E-2</v>
      </c>
      <c r="CX26" s="10">
        <f t="shared" ref="CX26:CX89" si="70">+CV26+CT26+CJ26</f>
        <v>1026240.5110000002</v>
      </c>
      <c r="CY26" s="31">
        <f t="shared" ref="CY26:CY89" si="71">IF($CX26&gt;0,(CX26/$CX26),"0")</f>
        <v>1</v>
      </c>
      <c r="CZ26" s="10">
        <f>+Risultati!AG25</f>
        <v>279970.64</v>
      </c>
      <c r="DA26" s="31">
        <f t="shared" ref="DA26:DA89" si="72">IF($CX26&gt;0,(CZ26/$CX26),"0")</f>
        <v>0.27281191591938625</v>
      </c>
      <c r="DB26" s="10">
        <f t="shared" ref="DB26:DB89" si="73">+DL26-CZ26-DD26-DJ26</f>
        <v>68641.276000000158</v>
      </c>
      <c r="DC26" s="31">
        <f t="shared" ref="DC26:DC89" si="74">IF($CX26&gt;0,(DB26/$CX26),"0")</f>
        <v>6.6886149264477973E-2</v>
      </c>
      <c r="DD26" s="10">
        <f>+Risultati!AV25</f>
        <v>666416.73300000001</v>
      </c>
      <c r="DE26" s="31">
        <f t="shared" ref="DE26:DE89" si="75">IF($CX26&gt;0,(DD26/$CX26),"0")</f>
        <v>0.64937675511427939</v>
      </c>
      <c r="DF26" s="10">
        <f>+Risultati!AJ25</f>
        <v>478213.55599999998</v>
      </c>
      <c r="DG26" s="31">
        <f t="shared" ref="DG26:DG89" si="76">IF($CX26&gt;0,(DF26/$CX26),"0")</f>
        <v>0.46598584919826841</v>
      </c>
      <c r="DH26" s="10">
        <f t="shared" ref="DH26:DH89" si="77">+DD26-DF26</f>
        <v>188203.17700000003</v>
      </c>
      <c r="DI26" s="31">
        <f t="shared" ref="DI26:DI89" si="78">IF($CX26&gt;0,(DH26/$CX26),"0")</f>
        <v>0.18339090591601095</v>
      </c>
      <c r="DJ26" s="10">
        <f>+Risultati!AW25</f>
        <v>11211.861999999999</v>
      </c>
      <c r="DK26" s="31">
        <f t="shared" ref="DK26:DK89" si="79">IF($CX26&gt;0,(DJ26/$CX26),"0")</f>
        <v>1.0925179701856457E-2</v>
      </c>
      <c r="DL26" s="10">
        <f t="shared" si="50"/>
        <v>1026240.5110000002</v>
      </c>
      <c r="DM26" s="31">
        <f t="shared" ref="DM26:DM89" si="80">IF($CX26&gt;0,(DL26/$CX26),"0")</f>
        <v>1</v>
      </c>
      <c r="DO26" s="30"/>
      <c r="DP26" s="30"/>
    </row>
    <row r="27" spans="1:120" x14ac:dyDescent="0.2">
      <c r="A27" s="5"/>
      <c r="B27" s="6" t="str">
        <f>+Risultati!B26</f>
        <v>EUROSPIN LAZIO SPA</v>
      </c>
      <c r="C27" s="6" t="str">
        <f>+Risultati!C26</f>
        <v>04766841003</v>
      </c>
      <c r="D27" s="26">
        <f>IF(YEAR(Risultati!D26)=1900,(MID(Risultati!$AP$1,29,4)),YEAR(Risultati!D26))</f>
        <v>2023</v>
      </c>
      <c r="E27" s="6" t="str">
        <f>+Risultati!E26</f>
        <v>Dettagliato</v>
      </c>
      <c r="F27" s="8" t="str">
        <f>(LEFT(Risultati!AN26,2)&amp;"-")&amp;VLOOKUP((LEFT(Risultati!AN26,2)),ateco!$B$4:$C$93,2,FALSE)</f>
        <v>47-Commercio al dettaglio (escluso quello di autoveicoli e di motocicli)</v>
      </c>
      <c r="G27" s="8" t="str">
        <f>SUBSTITUTE((Risultati!AN26&amp;"-"&amp;Risultati!AO26),",",";")</f>
        <v>471130-Discount di alimentari</v>
      </c>
      <c r="I27" s="10">
        <f>+Risultati!G26</f>
        <v>1757110.878</v>
      </c>
      <c r="J27" s="11">
        <f t="shared" si="2"/>
        <v>1</v>
      </c>
      <c r="K27" s="12"/>
      <c r="L27" s="10">
        <f>+Risultati!G26+Risultati!H26</f>
        <v>1757110.878</v>
      </c>
      <c r="M27" s="11">
        <f t="shared" si="3"/>
        <v>0.9874586264435733</v>
      </c>
      <c r="N27" s="12"/>
      <c r="O27" s="10">
        <f>+Risultati!I26+Risultati!J26</f>
        <v>1355536.0530000001</v>
      </c>
      <c r="P27" s="11">
        <f t="shared" si="4"/>
        <v>0.7617821878797354</v>
      </c>
      <c r="Q27" s="12"/>
      <c r="R27" s="13">
        <f t="shared" si="51"/>
        <v>401574.82499999995</v>
      </c>
      <c r="S27" s="11">
        <f t="shared" si="6"/>
        <v>0.2256764385638379</v>
      </c>
      <c r="T27" s="12"/>
      <c r="U27" s="10">
        <f>+Risultati!F26-(Risultati!G26+Risultati!H26)</f>
        <v>22316.462999999989</v>
      </c>
      <c r="V27" s="12">
        <f t="shared" si="7"/>
        <v>1.2541373556426651E-2</v>
      </c>
      <c r="W27" s="12"/>
      <c r="X27" s="10">
        <f t="shared" si="52"/>
        <v>423891.28799999994</v>
      </c>
      <c r="Y27" s="12">
        <f t="shared" si="9"/>
        <v>0.23821781212026455</v>
      </c>
      <c r="Z27" s="12"/>
      <c r="AA27" s="10">
        <f>+Risultati!K26</f>
        <v>116172.467</v>
      </c>
      <c r="AB27" s="12">
        <f t="shared" si="10"/>
        <v>6.5286434755303671E-2</v>
      </c>
      <c r="AC27" s="12"/>
      <c r="AD27" s="10">
        <f>+Risultati!L26</f>
        <v>119164.27499999999</v>
      </c>
      <c r="AE27" s="12">
        <f t="shared" si="11"/>
        <v>6.696776668219126E-2</v>
      </c>
      <c r="AF27" s="12"/>
      <c r="AG27" s="10">
        <f>+Risultati!M26+Risultati!P26+Risultati!Q26</f>
        <v>6502.9470000000001</v>
      </c>
      <c r="AH27" s="12">
        <f t="shared" si="12"/>
        <v>3.654516737022532E-3</v>
      </c>
      <c r="AI27" s="12"/>
      <c r="AJ27" s="13">
        <f t="shared" si="53"/>
        <v>182051.59899999993</v>
      </c>
      <c r="AK27" s="11">
        <f t="shared" si="14"/>
        <v>0.10230909394574708</v>
      </c>
      <c r="AL27" s="12"/>
      <c r="AM27" s="10">
        <f>+Risultati!N26</f>
        <v>20425.710999999999</v>
      </c>
      <c r="AN27" s="12">
        <f t="shared" si="15"/>
        <v>1.1478811485790247E-2</v>
      </c>
      <c r="AO27" s="12"/>
      <c r="AP27" s="10">
        <f t="shared" si="54"/>
        <v>161625.88799999992</v>
      </c>
      <c r="AQ27" s="41">
        <f t="shared" si="16"/>
        <v>9.0830282459956835E-2</v>
      </c>
      <c r="AR27" s="41"/>
      <c r="AS27" s="10">
        <f>+Risultati!O26</f>
        <v>30014.618999999999</v>
      </c>
      <c r="AT27" s="12">
        <f t="shared" si="17"/>
        <v>1.6867572116281201E-2</v>
      </c>
      <c r="AU27" s="12"/>
      <c r="AV27" s="10">
        <f t="shared" si="55"/>
        <v>131611.26899999991</v>
      </c>
      <c r="AW27" s="12">
        <f t="shared" si="19"/>
        <v>7.3962710343675631E-2</v>
      </c>
      <c r="AX27" s="12"/>
      <c r="AY27" s="10">
        <f>+Risultati!R26+Risultati!S26</f>
        <v>9180.0560000000005</v>
      </c>
      <c r="AZ27" s="12">
        <f t="shared" si="20"/>
        <v>5.158994575659946E-3</v>
      </c>
      <c r="BA27" s="12"/>
      <c r="BB27" s="10">
        <f>+Risultati!T26</f>
        <v>1E-3</v>
      </c>
      <c r="BC27" s="12">
        <f t="shared" si="21"/>
        <v>5.6197855172778313E-10</v>
      </c>
      <c r="BD27" s="12"/>
      <c r="BE27" s="10">
        <f>+Risultati!U26</f>
        <v>38444.457999999999</v>
      </c>
      <c r="BF27" s="12">
        <f t="shared" si="22"/>
        <v>2.1604960828799584E-2</v>
      </c>
      <c r="BG27" s="12"/>
      <c r="BH27" s="10">
        <f t="shared" si="56"/>
        <v>102346.86799999991</v>
      </c>
      <c r="BI27" s="12">
        <f t="shared" si="24"/>
        <v>5.7516744652514537E-2</v>
      </c>
      <c r="BK27" s="16">
        <f>IF(ISNUMBER(Risultati!X26/100),(Risultati!X26/100))</f>
        <v>9.1452565428495808E-2</v>
      </c>
      <c r="BL27" s="16">
        <f>IF(ISNUMBER(Risultati!Y26/100),(Risultati!Y26/100))</f>
        <v>0.22574200915471698</v>
      </c>
      <c r="BM27" s="16">
        <f>IF(ISNUMBER(Risultati!Z26/100),(Risultati!Z26/100))</f>
        <v>0.31669087781255301</v>
      </c>
      <c r="BN27" s="16">
        <f>IF(AND(Risultati!AY26&lt;0,calcoli!AP27&lt;0),-IF(ISNUMBER(Risultati!AA26/100),(Risultati!AA26/100)),IF(ISNUMBER(Risultati!AA26/100),(Risultati!AA26/100)))</f>
        <v>0.28230158863143701</v>
      </c>
      <c r="BO27" s="16">
        <f t="shared" si="0"/>
        <v>5.7516744652514537E-2</v>
      </c>
      <c r="BP27" s="16">
        <f>IF(Risultati!AB26&gt;0,(AV27/Risultati!AB26),"0")</f>
        <v>0.13901912391943491</v>
      </c>
      <c r="BQ27" s="16">
        <f>IF(Risultati!AG26&lt;&gt;0,(BH27/Risultati!AG26),"0")</f>
        <v>0.15205123677640409</v>
      </c>
      <c r="BR27" s="16">
        <f t="shared" si="1"/>
        <v>5.7516744652514537E-2</v>
      </c>
      <c r="BS27" s="14">
        <f>IF(Risultati!AB26&gt;0,(Risultati!G26/Risultati!AB26),"0")</f>
        <v>1.856011394350048</v>
      </c>
      <c r="BT27" s="15">
        <f>IF(Risultati!AG26&lt;&gt;0,(Risultati!AB26/Risultati!AG26),"0")</f>
        <v>1.4064811931065468</v>
      </c>
      <c r="BU27" s="23">
        <f>IF(AND(Risultati!G26&gt;0,(Risultati!AE26-Risultati!AF26)&gt;=0),((Risultati!AE26-Risultati!AF26)/Risultati!G26*360),"0")</f>
        <v>16.180466466840691</v>
      </c>
      <c r="BV27" s="21">
        <f>IF(OR(E27="abbreviato",Risultati!G26=0),"0",((Risultati!AC26+Risultati!AD26)/Risultati!G26*360))</f>
        <v>7.9136764640757065</v>
      </c>
      <c r="BW27" s="21">
        <f>IF(OR(E27="abbreviato",Risultati!G26=0,SUM(Risultati!I26+Risultati!K26+Risultati!M26)=0),"0",(((Risultati!AH26+Risultati!AI26)/(Risultati!I26+Risultati!K26+Risultati!N26)*360)))</f>
        <v>53.525217618130171</v>
      </c>
      <c r="BX27" s="16">
        <f>IF(Risultati!AB26&gt;0,(+Risultati!AG26/Risultati!AB26),"0")</f>
        <v>0.71099422082656016</v>
      </c>
      <c r="BY27" s="22">
        <f>IF(OR(E27="abbreviato",Risultati!G26=0),"0",(((Risultati!AK26-(Risultati!AL26+Risultati!AM26))/Risultati!G26)))</f>
        <v>-0.16989452842030608</v>
      </c>
      <c r="BZ27" s="16">
        <f>IF(Risultati!G26&gt;0,(Risultati!AJ26/Risultati!G26),"0")</f>
        <v>0.14894852753851087</v>
      </c>
      <c r="CA27" s="8"/>
      <c r="CB27" s="10">
        <f>+Risultati!AP26</f>
        <v>0</v>
      </c>
      <c r="CC27" s="31">
        <f t="shared" si="57"/>
        <v>0</v>
      </c>
      <c r="CD27" s="10">
        <f>+Risultati!AQ26</f>
        <v>29007.463</v>
      </c>
      <c r="CE27" s="31">
        <f t="shared" si="58"/>
        <v>3.0640173322737479E-2</v>
      </c>
      <c r="CF27" s="10">
        <f>+Risultati!AR26</f>
        <v>387478.57299999997</v>
      </c>
      <c r="CG27" s="31">
        <f t="shared" si="59"/>
        <v>0.40928814200562752</v>
      </c>
      <c r="CH27" s="10">
        <f>+Risultati!AS26</f>
        <v>1715.39</v>
      </c>
      <c r="CI27" s="31">
        <f t="shared" si="60"/>
        <v>1.811942220389651E-3</v>
      </c>
      <c r="CJ27" s="10">
        <f t="shared" si="61"/>
        <v>418201.42599999998</v>
      </c>
      <c r="CK27" s="31">
        <f t="shared" si="62"/>
        <v>0.44174025754875462</v>
      </c>
      <c r="CL27" s="10">
        <f>+Risultati!AE26+Risultati!AF26</f>
        <v>78974.649000000005</v>
      </c>
      <c r="CM27" s="31">
        <f t="shared" si="63"/>
        <v>8.341980591209773E-2</v>
      </c>
      <c r="CN27" s="10">
        <f>+Risultati!AT26</f>
        <v>60185.947</v>
      </c>
      <c r="CO27" s="31">
        <f t="shared" si="64"/>
        <v>6.3573565453590053E-2</v>
      </c>
      <c r="CP27" s="10">
        <f>+Risultati!AU26</f>
        <v>338139.027</v>
      </c>
      <c r="CQ27" s="31">
        <f t="shared" si="65"/>
        <v>0.35717147668039112</v>
      </c>
      <c r="CR27" s="10">
        <f>+Risultati!AL26</f>
        <v>50393.86</v>
      </c>
      <c r="CS27" s="31">
        <f t="shared" si="66"/>
        <v>5.323032230711687E-2</v>
      </c>
      <c r="CT27" s="10">
        <f t="shared" si="67"/>
        <v>527693.48300000001</v>
      </c>
      <c r="CU27" s="31">
        <f t="shared" si="68"/>
        <v>0.55739517035319575</v>
      </c>
      <c r="CV27" s="10">
        <f>+Risultati!AX26</f>
        <v>818.50199999999995</v>
      </c>
      <c r="CW27" s="31">
        <f t="shared" si="69"/>
        <v>8.645720980496388E-4</v>
      </c>
      <c r="CX27" s="10">
        <f t="shared" si="70"/>
        <v>946713.41099999996</v>
      </c>
      <c r="CY27" s="31">
        <f t="shared" si="71"/>
        <v>1</v>
      </c>
      <c r="CZ27" s="10">
        <f>+Risultati!AG26</f>
        <v>673107.76399999997</v>
      </c>
      <c r="DA27" s="31">
        <f t="shared" si="72"/>
        <v>0.71099422082656016</v>
      </c>
      <c r="DB27" s="10">
        <f t="shared" si="73"/>
        <v>5300.1289999999844</v>
      </c>
      <c r="DC27" s="31">
        <f t="shared" si="74"/>
        <v>5.5984513775943377E-3</v>
      </c>
      <c r="DD27" s="10">
        <f>+Risultati!AV26</f>
        <v>261942.93900000001</v>
      </c>
      <c r="DE27" s="31">
        <f t="shared" si="75"/>
        <v>0.27668662549452361</v>
      </c>
      <c r="DF27" s="10">
        <f>+Risultati!AJ26</f>
        <v>261719.07800000001</v>
      </c>
      <c r="DG27" s="31">
        <f t="shared" si="76"/>
        <v>0.27645016428313807</v>
      </c>
      <c r="DH27" s="10">
        <f t="shared" si="77"/>
        <v>223.86100000000442</v>
      </c>
      <c r="DI27" s="31">
        <f t="shared" si="78"/>
        <v>2.3646121138554826E-4</v>
      </c>
      <c r="DJ27" s="10">
        <f>+Risultati!AW26</f>
        <v>6362.5789999999997</v>
      </c>
      <c r="DK27" s="31">
        <f t="shared" si="79"/>
        <v>6.7207023013218939E-3</v>
      </c>
      <c r="DL27" s="10">
        <f t="shared" si="50"/>
        <v>946713.41099999996</v>
      </c>
      <c r="DM27" s="31">
        <f t="shared" si="80"/>
        <v>1</v>
      </c>
      <c r="DO27" s="30"/>
      <c r="DP27" s="30"/>
    </row>
    <row r="28" spans="1:120" x14ac:dyDescent="0.2">
      <c r="A28" s="5"/>
      <c r="B28" s="6" t="str">
        <f>+Risultati!B27</f>
        <v>FERRERO COMMERCIALE ITALIA S.R.L.</v>
      </c>
      <c r="C28" s="6" t="str">
        <f>+Risultati!C27</f>
        <v>03629090048</v>
      </c>
      <c r="D28" s="26">
        <f>IF(YEAR(Risultati!D27)=1900,(MID(Risultati!$AP$1,29,4)),YEAR(Risultati!D27))</f>
        <v>2023</v>
      </c>
      <c r="E28" s="6" t="str">
        <f>+Risultati!E27</f>
        <v>Dettagliato</v>
      </c>
      <c r="F28" s="8" t="str">
        <f>(LEFT(Risultati!AN27,2)&amp;"-")&amp;VLOOKUP((LEFT(Risultati!AN27,2)),ateco!$B$4:$C$93,2,FALSE)</f>
        <v>46-Commercio all'ingrosso (escluso quello di autoveicoli e di motocicli)</v>
      </c>
      <c r="G28" s="8" t="str">
        <f>SUBSTITUTE((Risultati!AN27&amp;"-"&amp;Risultati!AO27),",",";")</f>
        <v>463600-Commercio all'ingrosso di zucchero; cioccolato; dolciumi e prodotti da forno</v>
      </c>
      <c r="I28" s="10">
        <f>+Risultati!G27</f>
        <v>1756637</v>
      </c>
      <c r="J28" s="11">
        <f t="shared" si="2"/>
        <v>1</v>
      </c>
      <c r="K28" s="12"/>
      <c r="L28" s="10">
        <f>+Risultati!G27+Risultati!H27</f>
        <v>1756637</v>
      </c>
      <c r="M28" s="11">
        <f t="shared" si="3"/>
        <v>0.98722357507231484</v>
      </c>
      <c r="N28" s="12"/>
      <c r="O28" s="10">
        <f>+Risultati!I27+Risultati!J27</f>
        <v>1286703</v>
      </c>
      <c r="P28" s="11">
        <f t="shared" si="4"/>
        <v>0.72312238425825759</v>
      </c>
      <c r="Q28" s="12"/>
      <c r="R28" s="13">
        <f t="shared" si="51"/>
        <v>469934</v>
      </c>
      <c r="S28" s="11">
        <f t="shared" si="6"/>
        <v>0.26410119081405731</v>
      </c>
      <c r="T28" s="12"/>
      <c r="U28" s="10">
        <f>+Risultati!F27-(Risultati!G27+Risultati!H27)</f>
        <v>22734</v>
      </c>
      <c r="V28" s="12">
        <f t="shared" si="7"/>
        <v>1.2776424927685119E-2</v>
      </c>
      <c r="W28" s="12"/>
      <c r="X28" s="10">
        <f t="shared" si="52"/>
        <v>492668</v>
      </c>
      <c r="Y28" s="12">
        <f t="shared" si="9"/>
        <v>0.27687761574174247</v>
      </c>
      <c r="Z28" s="12"/>
      <c r="AA28" s="10">
        <f>+Risultati!K27</f>
        <v>230346</v>
      </c>
      <c r="AB28" s="12">
        <f t="shared" si="10"/>
        <v>0.12945361029262586</v>
      </c>
      <c r="AC28" s="12"/>
      <c r="AD28" s="10">
        <f>+Risultati!L27</f>
        <v>84310</v>
      </c>
      <c r="AE28" s="12">
        <f t="shared" si="11"/>
        <v>4.7381911922808675E-2</v>
      </c>
      <c r="AF28" s="12"/>
      <c r="AG28" s="10">
        <f>+Risultati!M27+Risultati!P27+Risultati!Q27</f>
        <v>105754</v>
      </c>
      <c r="AH28" s="12">
        <f t="shared" si="12"/>
        <v>5.943336156428311E-2</v>
      </c>
      <c r="AI28" s="12"/>
      <c r="AJ28" s="13">
        <f t="shared" si="53"/>
        <v>72258</v>
      </c>
      <c r="AK28" s="11">
        <f t="shared" si="14"/>
        <v>4.0608731962024781E-2</v>
      </c>
      <c r="AL28" s="12"/>
      <c r="AM28" s="10">
        <f>+Risultati!N27</f>
        <v>1954</v>
      </c>
      <c r="AN28" s="12">
        <f t="shared" si="15"/>
        <v>1.0981408598881291E-3</v>
      </c>
      <c r="AO28" s="12"/>
      <c r="AP28" s="10">
        <f t="shared" si="54"/>
        <v>70304</v>
      </c>
      <c r="AQ28" s="41">
        <f t="shared" si="16"/>
        <v>3.9510591102136651E-2</v>
      </c>
      <c r="AR28" s="41"/>
      <c r="AS28" s="10">
        <f>+Risultati!O27</f>
        <v>3749</v>
      </c>
      <c r="AT28" s="12">
        <f t="shared" si="17"/>
        <v>2.1069243007781962E-3</v>
      </c>
      <c r="AU28" s="12"/>
      <c r="AV28" s="10">
        <f t="shared" si="55"/>
        <v>66555</v>
      </c>
      <c r="AW28" s="12">
        <f t="shared" si="19"/>
        <v>3.7403666801358461E-2</v>
      </c>
      <c r="AX28" s="12"/>
      <c r="AY28" s="10">
        <f>+Risultati!R27+Risultati!S27</f>
        <v>8048</v>
      </c>
      <c r="AZ28" s="12">
        <f t="shared" si="20"/>
        <v>4.5229465918012598E-3</v>
      </c>
      <c r="BA28" s="12"/>
      <c r="BB28" s="10">
        <f>+Risultati!T27</f>
        <v>0</v>
      </c>
      <c r="BC28" s="12">
        <f t="shared" si="21"/>
        <v>0</v>
      </c>
      <c r="BD28" s="12"/>
      <c r="BE28" s="10">
        <f>+Risultati!U27</f>
        <v>21389</v>
      </c>
      <c r="BF28" s="12">
        <f t="shared" si="22"/>
        <v>1.2020539842449945E-2</v>
      </c>
      <c r="BG28" s="12"/>
      <c r="BH28" s="10">
        <f t="shared" si="56"/>
        <v>53214</v>
      </c>
      <c r="BI28" s="12">
        <f t="shared" si="24"/>
        <v>2.9906073550709775E-2</v>
      </c>
      <c r="BK28" s="16">
        <f>IF(ISNUMBER(Risultati!X27/100),(Risultati!X27/100))</f>
        <v>6.6920747909903391E-2</v>
      </c>
      <c r="BL28" s="16">
        <f>IF(ISNUMBER(Risultati!Y27/100),(Risultati!Y27/100))</f>
        <v>0.13753555128450901</v>
      </c>
      <c r="BM28" s="16">
        <f>IF(ISNUMBER(Risultati!Z27/100),(Risultati!Z27/100))</f>
        <v>0.19054322219300399</v>
      </c>
      <c r="BN28" s="16">
        <f>IF(AND(Risultati!AY27&lt;0,calcoli!AP28&lt;0),-IF(ISNUMBER(Risultati!AA27/100),(Risultati!AA27/100)),IF(ISNUMBER(Risultati!AA27/100),(Risultati!AA27/100)))</f>
        <v>0.33222163268399901</v>
      </c>
      <c r="BO28" s="16">
        <f t="shared" si="0"/>
        <v>2.9906073550709775E-2</v>
      </c>
      <c r="BP28" s="16">
        <f>IF(Risultati!AB27&gt;0,(AV28/Risultati!AB27),"0")</f>
        <v>0.11587317062979431</v>
      </c>
      <c r="BQ28" s="16">
        <f>IF(Risultati!AG27&lt;&gt;0,(BH28/Risultati!AG27),"0")</f>
        <v>0.51144194450584834</v>
      </c>
      <c r="BR28" s="16">
        <f t="shared" si="1"/>
        <v>2.9906073550709775E-2</v>
      </c>
      <c r="BS28" s="14">
        <f>IF(Risultati!AB27&gt;0,(Risultati!G27/Risultati!AB27),"0")</f>
        <v>3.0583291839172113</v>
      </c>
      <c r="BT28" s="15">
        <f>IF(Risultati!AG27&lt;&gt;0,(Risultati!AB27/Risultati!AG27),"0")</f>
        <v>5.5203706017472873</v>
      </c>
      <c r="BU28" s="23">
        <f>IF(AND(Risultati!G27&gt;0,(Risultati!AE27-Risultati!AF27)&gt;=0),((Risultati!AE27-Risultati!AF27)/Risultati!G27*360),"0")</f>
        <v>13.275002177456127</v>
      </c>
      <c r="BV28" s="21">
        <f>IF(OR(E28="abbreviato",Risultati!G27=0),"0",((Risultati!AC27+Risultati!AD27)/Risultati!G27*360))</f>
        <v>21.254635989108735</v>
      </c>
      <c r="BW28" s="21">
        <f>IF(OR(E28="abbreviato",Risultati!G27=0,SUM(Risultati!I27+Risultati!K27+Risultati!M27)=0),"0",(((Risultati!AH27+Risultati!AI27)/(Risultati!I27+Risultati!K27+Risultati!N27)*360)))</f>
        <v>26.469546143095176</v>
      </c>
      <c r="BX28" s="16">
        <f>IF(Risultati!AB27&gt;0,(+Risultati!AG27/Risultati!AB27),"0")</f>
        <v>0.18114725842563609</v>
      </c>
      <c r="BY28" s="22">
        <f>IF(OR(E28="abbreviato",Risultati!G27=0),"0",(((Risultati!AK27-(Risultati!AL27+Risultati!AM27))/Risultati!G27)))</f>
        <v>-0.20607786355405244</v>
      </c>
      <c r="BZ28" s="16">
        <f>IF(Risultati!G27&gt;0,(Risultati!AJ27/Risultati!G27),"0")</f>
        <v>0.23400224406066819</v>
      </c>
      <c r="CA28" s="8"/>
      <c r="CB28" s="10">
        <f>+Risultati!AP27</f>
        <v>0</v>
      </c>
      <c r="CC28" s="31">
        <f t="shared" si="57"/>
        <v>0</v>
      </c>
      <c r="CD28" s="10">
        <f>+Risultati!AQ27</f>
        <v>189</v>
      </c>
      <c r="CE28" s="31">
        <f t="shared" si="58"/>
        <v>3.2905160016574449E-4</v>
      </c>
      <c r="CF28" s="10">
        <f>+Risultati!AR27</f>
        <v>7713</v>
      </c>
      <c r="CG28" s="31">
        <f t="shared" si="59"/>
        <v>1.342843911152586E-2</v>
      </c>
      <c r="CH28" s="10">
        <f>+Risultati!AS27</f>
        <v>23</v>
      </c>
      <c r="CI28" s="31">
        <f t="shared" si="60"/>
        <v>4.0043316422286372E-5</v>
      </c>
      <c r="CJ28" s="10">
        <f t="shared" si="61"/>
        <v>7925</v>
      </c>
      <c r="CK28" s="31">
        <f t="shared" si="62"/>
        <v>1.379753402811389E-2</v>
      </c>
      <c r="CL28" s="10">
        <f>+Risultati!AE27+Risultati!AF27</f>
        <v>64776</v>
      </c>
      <c r="CM28" s="31">
        <f t="shared" si="63"/>
        <v>0.11277590715521835</v>
      </c>
      <c r="CN28" s="10">
        <f>+Risultati!AT27</f>
        <v>132827</v>
      </c>
      <c r="CO28" s="31">
        <f t="shared" si="64"/>
        <v>0.23125363436621876</v>
      </c>
      <c r="CP28" s="10">
        <f>+Risultati!AU27</f>
        <v>367709</v>
      </c>
      <c r="CQ28" s="31">
        <f t="shared" si="65"/>
        <v>0.64018642775315215</v>
      </c>
      <c r="CR28" s="10">
        <f>+Risultati!AL27</f>
        <v>59</v>
      </c>
      <c r="CS28" s="31">
        <f t="shared" si="66"/>
        <v>1.0271981169195199E-4</v>
      </c>
      <c r="CT28" s="10">
        <f t="shared" si="67"/>
        <v>565371</v>
      </c>
      <c r="CU28" s="31">
        <f t="shared" si="68"/>
        <v>0.98431868908628117</v>
      </c>
      <c r="CV28" s="10">
        <f>+Risultati!AX27</f>
        <v>1082</v>
      </c>
      <c r="CW28" s="31">
        <f t="shared" si="69"/>
        <v>1.88377688560495E-3</v>
      </c>
      <c r="CX28" s="10">
        <f t="shared" si="70"/>
        <v>574378</v>
      </c>
      <c r="CY28" s="31">
        <f t="shared" si="71"/>
        <v>1</v>
      </c>
      <c r="CZ28" s="10">
        <f>+Risultati!AG27</f>
        <v>104047</v>
      </c>
      <c r="DA28" s="31">
        <f t="shared" si="72"/>
        <v>0.18114725842563609</v>
      </c>
      <c r="DB28" s="10">
        <f t="shared" si="73"/>
        <v>55909</v>
      </c>
      <c r="DC28" s="31">
        <f t="shared" si="74"/>
        <v>9.7338338167548194E-2</v>
      </c>
      <c r="DD28" s="10">
        <f>+Risultati!AV27</f>
        <v>414255</v>
      </c>
      <c r="DE28" s="31">
        <f t="shared" si="75"/>
        <v>0.72122365410931477</v>
      </c>
      <c r="DF28" s="10">
        <f>+Risultati!AJ27</f>
        <v>411057</v>
      </c>
      <c r="DG28" s="31">
        <f t="shared" si="76"/>
        <v>0.71565589211285952</v>
      </c>
      <c r="DH28" s="10">
        <f t="shared" si="77"/>
        <v>3198</v>
      </c>
      <c r="DI28" s="31">
        <f t="shared" si="78"/>
        <v>5.5677619964552959E-3</v>
      </c>
      <c r="DJ28" s="10">
        <f>+Risultati!AW27</f>
        <v>167</v>
      </c>
      <c r="DK28" s="31">
        <f t="shared" si="79"/>
        <v>2.9074929750094887E-4</v>
      </c>
      <c r="DL28" s="10">
        <f t="shared" si="50"/>
        <v>574378</v>
      </c>
      <c r="DM28" s="31">
        <f t="shared" si="80"/>
        <v>1</v>
      </c>
      <c r="DO28" s="30"/>
      <c r="DP28" s="30"/>
    </row>
    <row r="29" spans="1:120" x14ac:dyDescent="0.2">
      <c r="A29" s="5"/>
      <c r="B29" s="6" t="str">
        <f>+Risultati!B28</f>
        <v>INALCA SOCIETA' PER AZIONI</v>
      </c>
      <c r="C29" s="6" t="str">
        <f>+Risultati!C28</f>
        <v>02562260360</v>
      </c>
      <c r="D29" s="26">
        <f>IF(YEAR(Risultati!D28)=1900,(MID(Risultati!$AP$1,29,4)),YEAR(Risultati!D28))</f>
        <v>2023</v>
      </c>
      <c r="E29" s="6" t="str">
        <f>+Risultati!E28</f>
        <v>Dettagliato</v>
      </c>
      <c r="F29" s="8" t="str">
        <f>(LEFT(Risultati!AN28,2)&amp;"-")&amp;VLOOKUP((LEFT(Risultati!AN28,2)),ateco!$B$4:$C$93,2,FALSE)</f>
        <v>10-Industrie alimentari</v>
      </c>
      <c r="G29" s="8" t="str">
        <f>SUBSTITUTE((Risultati!AN28&amp;"-"&amp;Risultati!AO28),",",";")</f>
        <v>101000-Lavorazione e conservazione di carne e produzione di prodotti a base di carne</v>
      </c>
      <c r="I29" s="10">
        <f>+Risultati!G28</f>
        <v>1642064</v>
      </c>
      <c r="J29" s="11">
        <f t="shared" si="2"/>
        <v>1.0003923432150212</v>
      </c>
      <c r="K29" s="12"/>
      <c r="L29" s="10">
        <f>+Risultati!G28+Risultati!H28</f>
        <v>1641420</v>
      </c>
      <c r="M29" s="11">
        <f t="shared" si="3"/>
        <v>0.99102808703842349</v>
      </c>
      <c r="N29" s="12"/>
      <c r="O29" s="10">
        <f>+Risultati!I28+Risultati!J28</f>
        <v>1256395</v>
      </c>
      <c r="P29" s="11">
        <f t="shared" si="4"/>
        <v>0.75856437317361802</v>
      </c>
      <c r="Q29" s="12"/>
      <c r="R29" s="13">
        <f t="shared" si="51"/>
        <v>385025</v>
      </c>
      <c r="S29" s="11">
        <f t="shared" si="6"/>
        <v>0.23246371386480547</v>
      </c>
      <c r="T29" s="12"/>
      <c r="U29" s="10">
        <f>+Risultati!F28-(Risultati!G28+Risultati!H28)</f>
        <v>14860</v>
      </c>
      <c r="V29" s="12">
        <f t="shared" si="7"/>
        <v>8.9719129615765444E-3</v>
      </c>
      <c r="W29" s="12"/>
      <c r="X29" s="10">
        <f t="shared" si="52"/>
        <v>399885</v>
      </c>
      <c r="Y29" s="12">
        <f t="shared" si="9"/>
        <v>0.241435626826382</v>
      </c>
      <c r="Z29" s="12"/>
      <c r="AA29" s="10">
        <f>+Risultati!K28</f>
        <v>208876</v>
      </c>
      <c r="AB29" s="12">
        <f t="shared" si="10"/>
        <v>0.12611152703649142</v>
      </c>
      <c r="AC29" s="12"/>
      <c r="AD29" s="10">
        <f>+Risultati!L28</f>
        <v>58722</v>
      </c>
      <c r="AE29" s="12">
        <f t="shared" si="11"/>
        <v>3.5454150264448044E-2</v>
      </c>
      <c r="AF29" s="12"/>
      <c r="AG29" s="10">
        <f>+Risultati!M28+Risultati!P28+Risultati!Q28</f>
        <v>20072</v>
      </c>
      <c r="AH29" s="12">
        <f t="shared" si="12"/>
        <v>1.2118723887265438E-2</v>
      </c>
      <c r="AI29" s="12"/>
      <c r="AJ29" s="13">
        <f t="shared" si="53"/>
        <v>112215</v>
      </c>
      <c r="AK29" s="11">
        <f t="shared" si="14"/>
        <v>6.7751225638177121E-2</v>
      </c>
      <c r="AL29" s="12"/>
      <c r="AM29" s="10">
        <f>+Risultati!N28</f>
        <v>868</v>
      </c>
      <c r="AN29" s="12">
        <f t="shared" si="15"/>
        <v>5.2406597918226391E-4</v>
      </c>
      <c r="AO29" s="12"/>
      <c r="AP29" s="10">
        <f t="shared" si="54"/>
        <v>111347</v>
      </c>
      <c r="AQ29" s="41">
        <f t="shared" si="16"/>
        <v>6.7227159658994853E-2</v>
      </c>
      <c r="AR29" s="12"/>
      <c r="AS29" s="10">
        <f>+Risultati!O28</f>
        <v>30541</v>
      </c>
      <c r="AT29" s="12">
        <f t="shared" si="17"/>
        <v>1.8439515057840462E-2</v>
      </c>
      <c r="AU29" s="12"/>
      <c r="AV29" s="10">
        <f t="shared" si="55"/>
        <v>80806</v>
      </c>
      <c r="AW29" s="12">
        <f t="shared" si="19"/>
        <v>4.8787644601154395E-2</v>
      </c>
      <c r="AX29" s="12"/>
      <c r="AY29" s="10">
        <f>+Risultati!R28+Risultati!S28</f>
        <v>-23016</v>
      </c>
      <c r="AZ29" s="12">
        <f t="shared" si="20"/>
        <v>-1.3896201125413577E-2</v>
      </c>
      <c r="BA29" s="12"/>
      <c r="BB29" s="10">
        <f>+Risultati!T28</f>
        <v>1002</v>
      </c>
      <c r="BC29" s="12">
        <f t="shared" si="21"/>
        <v>6.0497017412514792E-4</v>
      </c>
      <c r="BD29" s="12"/>
      <c r="BE29" s="10">
        <f>+Risultati!U28</f>
        <v>22960</v>
      </c>
      <c r="BF29" s="12">
        <f t="shared" si="22"/>
        <v>1.3862390417079238E-2</v>
      </c>
      <c r="BG29" s="12"/>
      <c r="BH29" s="10">
        <f t="shared" si="56"/>
        <v>35832</v>
      </c>
      <c r="BI29" s="12">
        <f t="shared" si="24"/>
        <v>2.1634023232786726E-2</v>
      </c>
      <c r="BK29" s="16">
        <f>IF(ISNUMBER(Risultati!X28/100),(Risultati!X28/100))</f>
        <v>2.8830568485052801E-2</v>
      </c>
      <c r="BL29" s="16">
        <f>IF(ISNUMBER(Risultati!Y28/100),(Risultati!Y28/100))</f>
        <v>0.26404209819730901</v>
      </c>
      <c r="BM29" s="16">
        <f>IF(ISNUMBER(Risultati!Z28/100),(Risultati!Z28/100))</f>
        <v>0.36967873026888698</v>
      </c>
      <c r="BN29" s="16">
        <f>IF(AND(Risultati!AY28&lt;0,calcoli!AP29&lt;0),-IF(ISNUMBER(Risultati!AA28/100),(Risultati!AA28/100)),IF(ISNUMBER(Risultati!AA28/100),(Risultati!AA28/100)))</f>
        <v>0.91525190498305709</v>
      </c>
      <c r="BO29" s="16">
        <f t="shared" si="0"/>
        <v>2.1634023232786726E-2</v>
      </c>
      <c r="BP29" s="16">
        <f>IF(Risultati!AB28&gt;0,(AV29/Risultati!AB28),"0")</f>
        <v>5.6985493755333176E-2</v>
      </c>
      <c r="BQ29" s="16">
        <f>IF(Risultati!AG28&lt;&gt;0,(BH29/Risultati!AG28),"0")</f>
        <v>7.422998201841248E-2</v>
      </c>
      <c r="BR29" s="16">
        <f t="shared" si="1"/>
        <v>2.1634023232786726E-2</v>
      </c>
      <c r="BS29" s="14">
        <f>IF(Risultati!AB28&gt;0,(Risultati!G28/Risultati!AB28),"0")</f>
        <v>1.1580059378988865</v>
      </c>
      <c r="BT29" s="15">
        <f>IF(Risultati!AG28&lt;&gt;0,(Risultati!AB28/Risultati!AG28),"0")</f>
        <v>2.9375657736640179</v>
      </c>
      <c r="BU29" s="23">
        <f>IF(AND(Risultati!G28&gt;0,(Risultati!AE28-Risultati!AF28)&gt;=0),((Risultati!AE28-Risultati!AF28)/Risultati!G28*360),"0")</f>
        <v>27.905489676407257</v>
      </c>
      <c r="BV29" s="21">
        <f>IF(OR(E29="abbreviato",Risultati!G28=0),"0",((Risultati!AC28+Risultati!AD28)/Risultati!G28*360))</f>
        <v>20.174560796655914</v>
      </c>
      <c r="BW29" s="21">
        <f>IF(OR(E29="abbreviato",Risultati!G28=0,SUM(Risultati!I28+Risultati!K28+Risultati!M28)=0),"0",(((Risultati!AH28+Risultati!AI28)/(Risultati!I28+Risultati!K28+Risultati!N28)*360)))</f>
        <v>34.281071923086081</v>
      </c>
      <c r="BX29" s="16">
        <f>IF(Risultati!AB28&gt;0,(+Risultati!AG28/Risultati!AB28),"0")</f>
        <v>0.34041790960571505</v>
      </c>
      <c r="BY29" s="22">
        <f>IF(OR(E29="abbreviato",Risultati!G28=0),"0",(((Risultati!AK28-(Risultati!AL28+Risultati!AM28))/Risultati!G28)))</f>
        <v>0.39701375829443919</v>
      </c>
      <c r="BZ29" s="16">
        <f>IF(Risultati!G28&gt;0,(Risultati!AJ28/Risultati!G28),"0")</f>
        <v>0.30108144384140934</v>
      </c>
      <c r="CA29" s="8"/>
      <c r="CB29" s="10">
        <f>+Risultati!AP28</f>
        <v>0</v>
      </c>
      <c r="CC29" s="31">
        <f t="shared" si="57"/>
        <v>0</v>
      </c>
      <c r="CD29" s="10">
        <f>+Risultati!AQ28</f>
        <v>15923</v>
      </c>
      <c r="CE29" s="31">
        <f t="shared" si="58"/>
        <v>1.1229116860953025E-2</v>
      </c>
      <c r="CF29" s="10">
        <f>+Risultati!AR28</f>
        <v>313397</v>
      </c>
      <c r="CG29" s="31">
        <f t="shared" si="59"/>
        <v>0.22101184053709072</v>
      </c>
      <c r="CH29" s="10">
        <f>+Risultati!AS28</f>
        <v>498198</v>
      </c>
      <c r="CI29" s="31">
        <f t="shared" si="60"/>
        <v>0.35133602724945523</v>
      </c>
      <c r="CJ29" s="10">
        <f t="shared" si="61"/>
        <v>827518</v>
      </c>
      <c r="CK29" s="31">
        <f t="shared" si="62"/>
        <v>0.58357698464749896</v>
      </c>
      <c r="CL29" s="10">
        <f>+Risultati!AE28+Risultati!AF28</f>
        <v>127285</v>
      </c>
      <c r="CM29" s="31">
        <f t="shared" si="63"/>
        <v>8.9763118736821315E-2</v>
      </c>
      <c r="CN29" s="10">
        <f>+Risultati!AT28</f>
        <v>444629</v>
      </c>
      <c r="CO29" s="31">
        <f t="shared" si="64"/>
        <v>0.31355843752864931</v>
      </c>
      <c r="CP29" s="10">
        <f>+Risultati!AU28</f>
        <v>3055</v>
      </c>
      <c r="CQ29" s="31">
        <f t="shared" si="65"/>
        <v>2.1544276838668273E-3</v>
      </c>
      <c r="CR29" s="10">
        <f>+Risultati!AL28</f>
        <v>14433</v>
      </c>
      <c r="CS29" s="31">
        <f t="shared" si="66"/>
        <v>1.0178348530687371E-2</v>
      </c>
      <c r="CT29" s="10">
        <f t="shared" si="67"/>
        <v>589402</v>
      </c>
      <c r="CU29" s="31">
        <f t="shared" si="68"/>
        <v>0.41565433248002481</v>
      </c>
      <c r="CV29" s="10">
        <f>+Risultati!AX28</f>
        <v>1090</v>
      </c>
      <c r="CW29" s="31">
        <f t="shared" si="69"/>
        <v>7.6868287247621662E-4</v>
      </c>
      <c r="CX29" s="10">
        <f t="shared" si="70"/>
        <v>1418010</v>
      </c>
      <c r="CY29" s="31">
        <f t="shared" si="71"/>
        <v>1</v>
      </c>
      <c r="CZ29" s="10">
        <f>+Risultati!AG28</f>
        <v>482716</v>
      </c>
      <c r="DA29" s="31">
        <f t="shared" si="72"/>
        <v>0.34041790960571505</v>
      </c>
      <c r="DB29" s="10">
        <f t="shared" si="73"/>
        <v>30796</v>
      </c>
      <c r="DC29" s="31">
        <f t="shared" si="74"/>
        <v>2.1717759395208779E-2</v>
      </c>
      <c r="DD29" s="10">
        <f>+Risultati!AV28</f>
        <v>902645</v>
      </c>
      <c r="DE29" s="31">
        <f t="shared" si="75"/>
        <v>0.63655757011586656</v>
      </c>
      <c r="DF29" s="10">
        <f>+Risultati!AJ28</f>
        <v>494395</v>
      </c>
      <c r="DG29" s="31">
        <f t="shared" si="76"/>
        <v>0.34865409975952216</v>
      </c>
      <c r="DH29" s="10">
        <f t="shared" si="77"/>
        <v>408250</v>
      </c>
      <c r="DI29" s="31">
        <f t="shared" si="78"/>
        <v>0.28790347035634445</v>
      </c>
      <c r="DJ29" s="10">
        <f>+Risultati!AW28</f>
        <v>1853</v>
      </c>
      <c r="DK29" s="31">
        <f t="shared" si="79"/>
        <v>1.3067608832095683E-3</v>
      </c>
      <c r="DL29" s="10">
        <f t="shared" si="50"/>
        <v>1418010</v>
      </c>
      <c r="DM29" s="31">
        <f t="shared" si="80"/>
        <v>1</v>
      </c>
      <c r="DO29" s="30"/>
      <c r="DP29" s="30"/>
    </row>
    <row r="30" spans="1:120" x14ac:dyDescent="0.2">
      <c r="A30" s="5"/>
      <c r="B30" s="6" t="str">
        <f>+Risultati!B29</f>
        <v>CE.DI. GROS - SOCIETA' CONSORTILE A RESPONSABILITA' LIMITATA (IN BREVE CE.DI. GROS - S.C. A R.L.)</v>
      </c>
      <c r="C30" s="6" t="str">
        <f>+Risultati!C29</f>
        <v>06564861000</v>
      </c>
      <c r="D30" s="26">
        <f>IF(YEAR(Risultati!D29)=1900,(MID(Risultati!$AP$1,29,4)),YEAR(Risultati!D29))</f>
        <v>2023</v>
      </c>
      <c r="E30" s="6" t="str">
        <f>+Risultati!E29</f>
        <v>Dettagliato</v>
      </c>
      <c r="F30" s="8" t="str">
        <f>(LEFT(Risultati!AN29,2)&amp;"-")&amp;VLOOKUP((LEFT(Risultati!AN29,2)),ateco!$B$4:$C$93,2,FALSE)</f>
        <v>46-Commercio all'ingrosso (escluso quello di autoveicoli e di motocicli)</v>
      </c>
      <c r="G30" s="8" t="str">
        <f>SUBSTITUTE((Risultati!AN29&amp;"-"&amp;Risultati!AO29),",",";")</f>
        <v>463890-Commercio all'ingrosso di altri prodotti alimentari</v>
      </c>
      <c r="I30" s="10">
        <f>+Risultati!G29</f>
        <v>1566186.129</v>
      </c>
      <c r="J30" s="11">
        <f t="shared" si="2"/>
        <v>1</v>
      </c>
      <c r="K30" s="12"/>
      <c r="L30" s="10">
        <f>+Risultati!G29+Risultati!H29</f>
        <v>1566186.129</v>
      </c>
      <c r="M30" s="11">
        <f t="shared" si="3"/>
        <v>0.84310183862609478</v>
      </c>
      <c r="N30" s="12"/>
      <c r="O30" s="10">
        <f>+Risultati!I29+Risultati!J29</f>
        <v>1574150.4620000001</v>
      </c>
      <c r="P30" s="11">
        <f t="shared" si="4"/>
        <v>0.84738916033798983</v>
      </c>
      <c r="Q30" s="12"/>
      <c r="R30" s="13">
        <f t="shared" si="51"/>
        <v>-7964.3330000001006</v>
      </c>
      <c r="S30" s="11">
        <f t="shared" si="6"/>
        <v>-4.2873217118950526E-3</v>
      </c>
      <c r="T30" s="12"/>
      <c r="U30" s="10">
        <f>+Risultati!F29-(Risultati!G29+Risultati!H29)</f>
        <v>291461.49699999997</v>
      </c>
      <c r="V30" s="12">
        <f t="shared" si="7"/>
        <v>0.15689816137390525</v>
      </c>
      <c r="W30" s="12"/>
      <c r="X30" s="10">
        <f t="shared" si="52"/>
        <v>283497.16399999987</v>
      </c>
      <c r="Y30" s="12">
        <f t="shared" si="9"/>
        <v>0.15261083966201019</v>
      </c>
      <c r="Z30" s="12"/>
      <c r="AA30" s="10">
        <f>+Risultati!K29</f>
        <v>269509.08399999997</v>
      </c>
      <c r="AB30" s="12">
        <f t="shared" si="10"/>
        <v>0.14508084322769188</v>
      </c>
      <c r="AC30" s="12"/>
      <c r="AD30" s="10">
        <f>+Risultati!L29</f>
        <v>4399.3789999999999</v>
      </c>
      <c r="AE30" s="12">
        <f t="shared" si="11"/>
        <v>2.3682526968115103E-3</v>
      </c>
      <c r="AF30" s="12"/>
      <c r="AG30" s="10">
        <f>+Risultati!M29+Risultati!P29+Risultati!Q29</f>
        <v>1602.9209999999998</v>
      </c>
      <c r="AH30" s="12">
        <f t="shared" si="12"/>
        <v>8.6287677897853375E-4</v>
      </c>
      <c r="AI30" s="12"/>
      <c r="AJ30" s="13">
        <f t="shared" si="53"/>
        <v>7985.7799999998988</v>
      </c>
      <c r="AK30" s="11">
        <f t="shared" si="14"/>
        <v>4.2988669585282795E-3</v>
      </c>
      <c r="AL30" s="12"/>
      <c r="AM30" s="10">
        <f>+Risultati!N29</f>
        <v>3722.5140000000001</v>
      </c>
      <c r="AN30" s="12">
        <f t="shared" si="15"/>
        <v>2.0038859619547675E-3</v>
      </c>
      <c r="AO30" s="12"/>
      <c r="AP30" s="10">
        <f t="shared" si="54"/>
        <v>4263.2659999998987</v>
      </c>
      <c r="AQ30" s="41">
        <f t="shared" si="16"/>
        <v>2.2949809965735119E-3</v>
      </c>
      <c r="AR30" s="12"/>
      <c r="AS30" s="10">
        <f>+Risultati!O29</f>
        <v>2947.67</v>
      </c>
      <c r="AT30" s="12">
        <f t="shared" si="17"/>
        <v>1.5867756396551389E-3</v>
      </c>
      <c r="AU30" s="12"/>
      <c r="AV30" s="10">
        <f t="shared" si="55"/>
        <v>1315.5959999998986</v>
      </c>
      <c r="AW30" s="12">
        <f t="shared" si="19"/>
        <v>7.0820535691837317E-4</v>
      </c>
      <c r="AX30" s="12"/>
      <c r="AY30" s="10">
        <f>+Risultati!R29+Risultati!S29</f>
        <v>-1315.597</v>
      </c>
      <c r="AZ30" s="12">
        <f t="shared" si="20"/>
        <v>-7.0820589523365289E-4</v>
      </c>
      <c r="BA30" s="12"/>
      <c r="BB30" s="10">
        <f>+Risultati!T29</f>
        <v>1E-3</v>
      </c>
      <c r="BC30" s="12">
        <f t="shared" si="21"/>
        <v>5.3831522512870805E-10</v>
      </c>
      <c r="BD30" s="12"/>
      <c r="BE30" s="10">
        <f>+Risultati!U29</f>
        <v>119.399</v>
      </c>
      <c r="BF30" s="12">
        <f t="shared" si="22"/>
        <v>6.4274299565142618E-5</v>
      </c>
      <c r="BG30" s="12"/>
      <c r="BH30" s="10">
        <f t="shared" si="56"/>
        <v>-119.39900000010138</v>
      </c>
      <c r="BI30" s="12">
        <f t="shared" si="24"/>
        <v>-6.4274299565197181E-5</v>
      </c>
      <c r="BK30" s="16">
        <f>IF(ISNUMBER(Risultati!X29/100),(Risultati!X29/100))</f>
        <v>0.13531650986925101</v>
      </c>
      <c r="BL30" s="16">
        <f>IF(ISNUMBER(Risultati!Y29/100),(Risultati!Y29/100))</f>
        <v>0.28851915904686598</v>
      </c>
      <c r="BM30" s="16">
        <f>IF(ISNUMBER(Risultati!Z29/100),(Risultati!Z29/100))</f>
        <v>0.64156260279574995</v>
      </c>
      <c r="BN30" s="16">
        <f>IF(AND(Risultati!AY29&lt;0,calcoli!AP30&lt;0),-IF(ISNUMBER(Risultati!AA29/100),(Risultati!AA29/100)),IF(ISNUMBER(Risultati!AA29/100),(Risultati!AA29/100)))</f>
        <v>0.33030883518960602</v>
      </c>
      <c r="BO30" s="16">
        <f t="shared" si="0"/>
        <v>-6.4274299565197181E-5</v>
      </c>
      <c r="BP30" s="16">
        <f>IF(Risultati!AB29&gt;0,(AV30/Risultati!AB29),"0")</f>
        <v>2.2901565643416205E-3</v>
      </c>
      <c r="BQ30" s="16">
        <f>IF(Risultati!AG29&lt;&gt;0,(BH30/Risultati!AG29),"0")</f>
        <v>-6.0019056461415379E-3</v>
      </c>
      <c r="BR30" s="16">
        <f t="shared" si="1"/>
        <v>-6.4274299565197181E-5</v>
      </c>
      <c r="BS30" s="14">
        <f>IF(Risultati!AB29&gt;0,(Risultati!G29/Risultati!AB29),"0")</f>
        <v>2.7263775842359039</v>
      </c>
      <c r="BT30" s="15">
        <f>IF(Risultati!AG29&lt;&gt;0,(Risultati!AB29/Risultati!AG29),"0")</f>
        <v>28.876585912544869</v>
      </c>
      <c r="BU30" s="23">
        <f>IF(AND(Risultati!G29&gt;0,(Risultati!AE29-Risultati!AF29)&gt;=0),((Risultati!AE29-Risultati!AF29)/Risultati!G29*360),"0")</f>
        <v>20.354954937798457</v>
      </c>
      <c r="BV30" s="21">
        <f>IF(OR(E30="abbreviato",Risultati!G29=0),"0",((Risultati!AC29+Risultati!AD29)/Risultati!G29*360))</f>
        <v>73.558860972392125</v>
      </c>
      <c r="BW30" s="21">
        <f>IF(OR(E30="abbreviato",Risultati!G29=0,SUM(Risultati!I29+Risultati!K29+Risultati!M29)=0),"0",(((Risultati!AH29+Risultati!AI29)/(Risultati!I29+Risultati!K29+Risultati!N29)*360)))</f>
        <v>46.26641504059981</v>
      </c>
      <c r="BX30" s="16">
        <f>IF(Risultati!AB29&gt;0,(+Risultati!AG29/Risultati!AB29),"0")</f>
        <v>3.4630132628163966E-2</v>
      </c>
      <c r="BY30" s="22">
        <f>IF(OR(E30="abbreviato",Risultati!G29=0),"0",(((Risultati!AK29-(Risultati!AL29+Risultati!AM29))/Risultati!G29)))</f>
        <v>4.6295255498332917E-2</v>
      </c>
      <c r="BZ30" s="16">
        <f>IF(Risultati!G29&gt;0,(Risultati!AJ29/Risultati!G29),"0")</f>
        <v>0.34307611595505327</v>
      </c>
      <c r="CA30" s="8"/>
      <c r="CB30" s="10">
        <f>+Risultati!AP29</f>
        <v>0</v>
      </c>
      <c r="CC30" s="31">
        <f t="shared" si="57"/>
        <v>0</v>
      </c>
      <c r="CD30" s="10">
        <f>+Risultati!AQ29</f>
        <v>1868.6859999999999</v>
      </c>
      <c r="CE30" s="31">
        <f t="shared" si="58"/>
        <v>3.2529617827916895E-3</v>
      </c>
      <c r="CF30" s="10">
        <f>+Risultati!AR29</f>
        <v>61960.127</v>
      </c>
      <c r="CG30" s="31">
        <f t="shared" si="59"/>
        <v>0.107858637132145</v>
      </c>
      <c r="CH30" s="10">
        <f>+Risultati!AS29</f>
        <v>1577.5440000000001</v>
      </c>
      <c r="CI30" s="31">
        <f t="shared" si="60"/>
        <v>2.746149081585849E-3</v>
      </c>
      <c r="CJ30" s="10">
        <f t="shared" si="61"/>
        <v>65406.357000000004</v>
      </c>
      <c r="CK30" s="31">
        <f t="shared" si="62"/>
        <v>0.11385774799652254</v>
      </c>
      <c r="CL30" s="10">
        <f>+Risultati!AE29+Risultati!AF29</f>
        <v>88554.577999999994</v>
      </c>
      <c r="CM30" s="31">
        <f t="shared" si="63"/>
        <v>0.15415359130707124</v>
      </c>
      <c r="CN30" s="10">
        <f>+Risultati!AT29</f>
        <v>420181.50900000002</v>
      </c>
      <c r="CO30" s="31">
        <f t="shared" si="64"/>
        <v>0.73144144634932917</v>
      </c>
      <c r="CP30" s="10">
        <f>+Risultati!AU29</f>
        <v>0</v>
      </c>
      <c r="CQ30" s="31">
        <f t="shared" si="65"/>
        <v>0</v>
      </c>
      <c r="CR30" s="10">
        <f>+Risultati!AL29</f>
        <v>85.974000000000004</v>
      </c>
      <c r="CS30" s="31">
        <f t="shared" si="66"/>
        <v>1.4966138576183092E-4</v>
      </c>
      <c r="CT30" s="10">
        <f t="shared" si="67"/>
        <v>508822.06099999999</v>
      </c>
      <c r="CU30" s="31">
        <f t="shared" si="68"/>
        <v>0.88574469904216213</v>
      </c>
      <c r="CV30" s="10">
        <f>+Risultati!AX29</f>
        <v>228.37700000000001</v>
      </c>
      <c r="CW30" s="31">
        <f t="shared" si="69"/>
        <v>3.9755296131539368E-4</v>
      </c>
      <c r="CX30" s="10">
        <f t="shared" si="70"/>
        <v>574456.79499999993</v>
      </c>
      <c r="CY30" s="31">
        <f t="shared" si="71"/>
        <v>1</v>
      </c>
      <c r="CZ30" s="10">
        <f>+Risultati!AG29</f>
        <v>19893.514999999999</v>
      </c>
      <c r="DA30" s="31">
        <f t="shared" si="72"/>
        <v>3.4630132628163973E-2</v>
      </c>
      <c r="DB30" s="10">
        <f t="shared" si="73"/>
        <v>12170.789999999861</v>
      </c>
      <c r="DC30" s="31">
        <f t="shared" si="74"/>
        <v>2.1186606383513773E-2</v>
      </c>
      <c r="DD30" s="10">
        <f>+Risultati!AV29</f>
        <v>542219.47900000005</v>
      </c>
      <c r="DE30" s="31">
        <f t="shared" si="75"/>
        <v>0.94388208777302407</v>
      </c>
      <c r="DF30" s="10">
        <f>+Risultati!AJ29</f>
        <v>537321.054</v>
      </c>
      <c r="DG30" s="31">
        <f t="shared" si="76"/>
        <v>0.93535503222657512</v>
      </c>
      <c r="DH30" s="10">
        <f t="shared" si="77"/>
        <v>4898.4250000000466</v>
      </c>
      <c r="DI30" s="31">
        <f t="shared" si="78"/>
        <v>8.5270555464489663E-3</v>
      </c>
      <c r="DJ30" s="10">
        <f>+Risultati!AW29</f>
        <v>173.011</v>
      </c>
      <c r="DK30" s="31">
        <f t="shared" si="79"/>
        <v>3.0117321529811485E-4</v>
      </c>
      <c r="DL30" s="10">
        <f t="shared" si="50"/>
        <v>574456.79499999993</v>
      </c>
      <c r="DM30" s="31">
        <f t="shared" si="80"/>
        <v>1</v>
      </c>
      <c r="DO30" s="30"/>
      <c r="DP30" s="30"/>
    </row>
    <row r="31" spans="1:120" x14ac:dyDescent="0.2">
      <c r="A31" s="5"/>
      <c r="B31" s="6" t="str">
        <f>+Risultati!B30</f>
        <v>UNILEVER ITALIA MKT. OPERATIONS SRL - FATTA PRECISAZIONE CHE DETT A DENOMINAZIONE POTRA' ESSERE SCRITTA CON O SENZA IL PUNTO DOPO LA PAROLA MKT.</v>
      </c>
      <c r="C31" s="6" t="str">
        <f>+Risultati!C30</f>
        <v>06397510964</v>
      </c>
      <c r="D31" s="26">
        <f>IF(YEAR(Risultati!D30)=1900,(MID(Risultati!$AP$1,29,4)),YEAR(Risultati!D30))</f>
        <v>2023</v>
      </c>
      <c r="E31" s="6" t="str">
        <f>+Risultati!E30</f>
        <v>Dettagliato</v>
      </c>
      <c r="F31" s="8" t="str">
        <f>(LEFT(Risultati!AN30,2)&amp;"-")&amp;VLOOKUP((LEFT(Risultati!AN30,2)),ateco!$B$4:$C$93,2,FALSE)</f>
        <v>46-Commercio all'ingrosso (escluso quello di autoveicoli e di motocicli)</v>
      </c>
      <c r="G31" s="8" t="str">
        <f>SUBSTITUTE((Risultati!AN30&amp;"-"&amp;Risultati!AO30),",",";")</f>
        <v>469000-Commercio all'ingrosso non specializzato</v>
      </c>
      <c r="I31" s="10">
        <f>+Risultati!G30</f>
        <v>1491775.727</v>
      </c>
      <c r="J31" s="11">
        <f t="shared" si="2"/>
        <v>1</v>
      </c>
      <c r="K31" s="12"/>
      <c r="L31" s="10">
        <f>+Risultati!G30+Risultati!H30</f>
        <v>1491775.727</v>
      </c>
      <c r="M31" s="11">
        <f t="shared" si="3"/>
        <v>0.99160496093131201</v>
      </c>
      <c r="N31" s="12"/>
      <c r="O31" s="10">
        <f>+Risultati!I30+Risultati!J30</f>
        <v>688425.30099999998</v>
      </c>
      <c r="P31" s="11">
        <f t="shared" si="4"/>
        <v>0.45760628179347751</v>
      </c>
      <c r="Q31" s="12"/>
      <c r="R31" s="13">
        <f t="shared" si="51"/>
        <v>803350.42599999998</v>
      </c>
      <c r="S31" s="11">
        <f t="shared" si="6"/>
        <v>0.53399867913783461</v>
      </c>
      <c r="T31" s="12"/>
      <c r="U31" s="10">
        <f>+Risultati!F30-(Risultati!G30+Risultati!H30)</f>
        <v>12629.540999999968</v>
      </c>
      <c r="V31" s="12">
        <f t="shared" si="7"/>
        <v>8.3950390686879529E-3</v>
      </c>
      <c r="W31" s="12"/>
      <c r="X31" s="10">
        <f t="shared" si="52"/>
        <v>815979.96699999995</v>
      </c>
      <c r="Y31" s="12">
        <f t="shared" si="9"/>
        <v>0.54239371820652249</v>
      </c>
      <c r="Z31" s="12"/>
      <c r="AA31" s="10">
        <f>+Risultati!K30</f>
        <v>671147.94400000002</v>
      </c>
      <c r="AB31" s="12">
        <f t="shared" si="10"/>
        <v>0.44612177202240433</v>
      </c>
      <c r="AC31" s="12"/>
      <c r="AD31" s="10">
        <f>+Risultati!L30</f>
        <v>49687.472000000002</v>
      </c>
      <c r="AE31" s="12">
        <f t="shared" si="11"/>
        <v>3.3027983254841943E-2</v>
      </c>
      <c r="AF31" s="12"/>
      <c r="AG31" s="10">
        <f>+Risultati!M30+Risultati!P30+Risultati!Q30</f>
        <v>13313.894</v>
      </c>
      <c r="AH31" s="12">
        <f t="shared" si="12"/>
        <v>8.8499384329462482E-3</v>
      </c>
      <c r="AI31" s="12"/>
      <c r="AJ31" s="13">
        <f t="shared" si="53"/>
        <v>81830.656999999919</v>
      </c>
      <c r="AK31" s="11">
        <f t="shared" si="14"/>
        <v>5.4394024496330018E-2</v>
      </c>
      <c r="AL31" s="12"/>
      <c r="AM31" s="10">
        <f>+Risultati!N30</f>
        <v>62809.811999999998</v>
      </c>
      <c r="AN31" s="12">
        <f t="shared" si="15"/>
        <v>4.1750592965884244E-2</v>
      </c>
      <c r="AO31" s="12"/>
      <c r="AP31" s="10">
        <f t="shared" si="54"/>
        <v>19020.844999999921</v>
      </c>
      <c r="AQ31" s="41">
        <f t="shared" si="16"/>
        <v>1.2643431530445772E-2</v>
      </c>
      <c r="AR31" s="12"/>
      <c r="AS31" s="10">
        <f>+Risultati!O30</f>
        <v>18927.732</v>
      </c>
      <c r="AT31" s="12">
        <f t="shared" si="17"/>
        <v>1.2581537968929793E-2</v>
      </c>
      <c r="AU31" s="12"/>
      <c r="AV31" s="10">
        <f t="shared" si="55"/>
        <v>93.112999999921158</v>
      </c>
      <c r="AW31" s="12">
        <f t="shared" si="19"/>
        <v>6.1893561515979193E-5</v>
      </c>
      <c r="AX31" s="12"/>
      <c r="AY31" s="10">
        <f>+Risultati!R30+Risultati!S30</f>
        <v>12945.164000000001</v>
      </c>
      <c r="AZ31" s="12">
        <f t="shared" si="20"/>
        <v>8.6048382542622155E-3</v>
      </c>
      <c r="BA31" s="12"/>
      <c r="BB31" s="10">
        <f>+Risultati!T30</f>
        <v>0</v>
      </c>
      <c r="BC31" s="12">
        <f t="shared" si="21"/>
        <v>0</v>
      </c>
      <c r="BD31" s="12"/>
      <c r="BE31" s="10">
        <f>+Risultati!U30</f>
        <v>3732.163</v>
      </c>
      <c r="BF31" s="12">
        <f t="shared" si="22"/>
        <v>2.4808228735875445E-3</v>
      </c>
      <c r="BG31" s="12"/>
      <c r="BH31" s="10">
        <f t="shared" si="56"/>
        <v>9306.1139999999214</v>
      </c>
      <c r="BI31" s="12">
        <f t="shared" si="24"/>
        <v>6.1859089421906505E-3</v>
      </c>
      <c r="BK31" s="16">
        <f>IF(ISNUMBER(Risultati!X30/100),(Risultati!X30/100))</f>
        <v>3.5954845117147298E-2</v>
      </c>
      <c r="BL31" s="16">
        <f>IF(ISNUMBER(Risultati!Y30/100),(Risultati!Y30/100))</f>
        <v>4.8985658206721301E-2</v>
      </c>
      <c r="BM31" s="16">
        <f>IF(ISNUMBER(Risultati!Z30/100),(Risultati!Z30/100))</f>
        <v>1.3989367813386399E-2</v>
      </c>
      <c r="BN31" s="16">
        <f>IF(AND(Risultati!AY30&lt;0,calcoli!AP31&lt;0),-IF(ISNUMBER(Risultati!AA30/100),(Risultati!AA30/100)),IF(ISNUMBER(Risultati!AA30/100),(Risultati!AA30/100)))</f>
        <v>-0.21773707723693</v>
      </c>
      <c r="BO31" s="16">
        <f t="shared" si="0"/>
        <v>6.1859089421906505E-3</v>
      </c>
      <c r="BP31" s="16">
        <f>IF(Risultati!AB30&gt;0,(AV31/Risultati!AB30),"0")</f>
        <v>1.3933395165814609E-4</v>
      </c>
      <c r="BQ31" s="16">
        <f>IF(Risultati!AG30&lt;&gt;0,(BH31/Risultati!AG30),"0")</f>
        <v>2.5257335057129193E-2</v>
      </c>
      <c r="BR31" s="16">
        <f t="shared" si="1"/>
        <v>6.1859089421906505E-3</v>
      </c>
      <c r="BS31" s="14">
        <f>IF(Risultati!AB30&gt;0,(Risultati!G30/Risultati!AB30),"0")</f>
        <v>2.2322877259973337</v>
      </c>
      <c r="BT31" s="15">
        <f>IF(Risultati!AG30&lt;&gt;0,(Risultati!AB30/Risultati!AG30),"0")</f>
        <v>1.8137295226479691</v>
      </c>
      <c r="BU31" s="23">
        <f>IF(AND(Risultati!G30&gt;0,(Risultati!AE30-Risultati!AF30)&gt;=0),((Risultati!AE30-Risultati!AF30)/Risultati!G30*360),"0")</f>
        <v>0.17483571778212748</v>
      </c>
      <c r="BV31" s="21">
        <f>IF(OR(E31="abbreviato",Risultati!G30=0),"0",((Risultati!AC30+Risultati!AD30)/Risultati!G30*360))</f>
        <v>29.175281091029575</v>
      </c>
      <c r="BW31" s="21">
        <f>IF(OR(E31="abbreviato",Risultati!G30=0,SUM(Risultati!I30+Risultati!K30+Risultati!M30)=0),"0",(((Risultati!AH30+Risultati!AI30)/(Risultati!I30+Risultati!K30+Risultati!N30)*360)))</f>
        <v>45.470769354531484</v>
      </c>
      <c r="BX31" s="16">
        <f>IF(Risultati!AB30&gt;0,(+Risultati!AG30/Risultati!AB30),"0")</f>
        <v>0.55135012553583074</v>
      </c>
      <c r="BY31" s="22">
        <f>IF(OR(E31="abbreviato",Risultati!G30=0),"0",(((Risultati!AK30-(Risultati!AL30+Risultati!AM30))/Risultati!G30)))</f>
        <v>-0.31709310282939068</v>
      </c>
      <c r="BZ31" s="16">
        <f>IF(Risultati!G30&gt;0,(Risultati!AJ30/Risultati!G30),"0")</f>
        <v>0.18113269180441627</v>
      </c>
      <c r="CA31" s="8"/>
      <c r="CB31" s="10">
        <f>+Risultati!AP30</f>
        <v>0</v>
      </c>
      <c r="CC31" s="31">
        <f t="shared" si="57"/>
        <v>0</v>
      </c>
      <c r="CD31" s="10">
        <f>+Risultati!AQ30</f>
        <v>17545.726999999999</v>
      </c>
      <c r="CE31" s="31">
        <f t="shared" si="58"/>
        <v>2.625536152446058E-2</v>
      </c>
      <c r="CF31" s="10">
        <f>+Risultati!AR30</f>
        <v>23774.561000000002</v>
      </c>
      <c r="CG31" s="31">
        <f t="shared" si="59"/>
        <v>3.5576165874479933E-2</v>
      </c>
      <c r="CH31" s="10">
        <f>+Risultati!AS30</f>
        <v>0</v>
      </c>
      <c r="CI31" s="31">
        <f t="shared" si="60"/>
        <v>0</v>
      </c>
      <c r="CJ31" s="10">
        <f t="shared" si="61"/>
        <v>41320.288</v>
      </c>
      <c r="CK31" s="31">
        <f t="shared" si="62"/>
        <v>6.1831527398940517E-2</v>
      </c>
      <c r="CL31" s="10">
        <f>+Risultati!AE30+Risultati!AF30</f>
        <v>724.48800000000006</v>
      </c>
      <c r="CM31" s="31">
        <f t="shared" si="63"/>
        <v>1.0841211857527135E-3</v>
      </c>
      <c r="CN31" s="10">
        <f>+Risultati!AT30</f>
        <v>151028.10399999999</v>
      </c>
      <c r="CO31" s="31">
        <f t="shared" si="64"/>
        <v>0.2259979008492399</v>
      </c>
      <c r="CP31" s="10">
        <f>+Risultati!AU30</f>
        <v>474784.56099999999</v>
      </c>
      <c r="CQ31" s="31">
        <f t="shared" si="65"/>
        <v>0.7104658755540485</v>
      </c>
      <c r="CR31" s="10">
        <f>+Risultati!AL30</f>
        <v>370.935</v>
      </c>
      <c r="CS31" s="31">
        <f t="shared" si="66"/>
        <v>5.550657733974652E-4</v>
      </c>
      <c r="CT31" s="10">
        <f t="shared" si="67"/>
        <v>626908.08799999999</v>
      </c>
      <c r="CU31" s="31">
        <f t="shared" si="68"/>
        <v>0.93810296336243859</v>
      </c>
      <c r="CV31" s="10">
        <f>+Risultati!AX30</f>
        <v>43.777999999999999</v>
      </c>
      <c r="CW31" s="31">
        <f t="shared" si="69"/>
        <v>6.5509238620767066E-5</v>
      </c>
      <c r="CX31" s="10">
        <f t="shared" si="70"/>
        <v>668272.1540000001</v>
      </c>
      <c r="CY31" s="31">
        <f t="shared" si="71"/>
        <v>1</v>
      </c>
      <c r="CZ31" s="10">
        <f>+Risultati!AG30</f>
        <v>368451.93599999999</v>
      </c>
      <c r="DA31" s="31">
        <f t="shared" si="72"/>
        <v>0.55135012553583063</v>
      </c>
      <c r="DB31" s="10">
        <f t="shared" si="73"/>
        <v>25837.123000000083</v>
      </c>
      <c r="DC31" s="31">
        <f t="shared" si="74"/>
        <v>3.8662576085730607E-2</v>
      </c>
      <c r="DD31" s="10">
        <f>+Risultati!AV30</f>
        <v>272530.74200000003</v>
      </c>
      <c r="DE31" s="31">
        <f t="shared" si="75"/>
        <v>0.40781400267652029</v>
      </c>
      <c r="DF31" s="10">
        <f>+Risultati!AJ30</f>
        <v>270209.353</v>
      </c>
      <c r="DG31" s="31">
        <f t="shared" si="76"/>
        <v>0.40434028469185618</v>
      </c>
      <c r="DH31" s="10">
        <f t="shared" si="77"/>
        <v>2321.3890000000247</v>
      </c>
      <c r="DI31" s="31">
        <f t="shared" si="78"/>
        <v>3.473717984664111E-3</v>
      </c>
      <c r="DJ31" s="10">
        <f>+Risultati!AW30</f>
        <v>1452.3530000000001</v>
      </c>
      <c r="DK31" s="31">
        <f t="shared" si="79"/>
        <v>2.173295701918473E-3</v>
      </c>
      <c r="DL31" s="10">
        <f t="shared" si="50"/>
        <v>668272.1540000001</v>
      </c>
      <c r="DM31" s="31">
        <f t="shared" si="80"/>
        <v>1</v>
      </c>
      <c r="DO31" s="30"/>
      <c r="DP31" s="30"/>
    </row>
    <row r="32" spans="1:120" x14ac:dyDescent="0.2">
      <c r="A32" s="5"/>
      <c r="B32" s="6" t="str">
        <f>+Risultati!B31</f>
        <v>IPERAL SUPERMERCATI S.P.A.</v>
      </c>
      <c r="C32" s="6" t="str">
        <f>+Risultati!C31</f>
        <v>11023300962</v>
      </c>
      <c r="D32" s="26">
        <f>IF(YEAR(Risultati!D31)=1900,(MID(Risultati!$AP$1,29,4)),YEAR(Risultati!D31))</f>
        <v>2023</v>
      </c>
      <c r="E32" s="6" t="str">
        <f>+Risultati!E31</f>
        <v>Dettagliato</v>
      </c>
      <c r="F32" s="8" t="str">
        <f>(LEFT(Risultati!AN31,2)&amp;"-")&amp;VLOOKUP((LEFT(Risultati!AN31,2)),ateco!$B$4:$C$93,2,FALSE)</f>
        <v>47-Commercio al dettaglio (escluso quello di autoveicoli e di motocicli)</v>
      </c>
      <c r="G32" s="8" t="str">
        <f>SUBSTITUTE((Risultati!AN31&amp;"-"&amp;Risultati!AO31),",",";")</f>
        <v>471120-Supermercati</v>
      </c>
      <c r="I32" s="10">
        <f>+Risultati!G31</f>
        <v>1397079.0009999999</v>
      </c>
      <c r="J32" s="11">
        <f t="shared" si="2"/>
        <v>1</v>
      </c>
      <c r="K32" s="12"/>
      <c r="L32" s="10">
        <f>+Risultati!G31+Risultati!H31</f>
        <v>1397079.0009999999</v>
      </c>
      <c r="M32" s="11">
        <f t="shared" si="3"/>
        <v>0.9936960634299864</v>
      </c>
      <c r="N32" s="12"/>
      <c r="O32" s="10">
        <f>+Risultati!I31+Risultati!J31</f>
        <v>1018107.875</v>
      </c>
      <c r="P32" s="11">
        <f t="shared" si="4"/>
        <v>0.72414644183358434</v>
      </c>
      <c r="Q32" s="12"/>
      <c r="R32" s="13">
        <f t="shared" si="51"/>
        <v>378971.12599999993</v>
      </c>
      <c r="S32" s="11">
        <f t="shared" si="6"/>
        <v>0.269549621596402</v>
      </c>
      <c r="T32" s="12"/>
      <c r="U32" s="10">
        <f>+Risultati!F31-(Risultati!G31+Risultati!H31)</f>
        <v>8862.969000000041</v>
      </c>
      <c r="V32" s="12">
        <f t="shared" si="7"/>
        <v>6.3039365700136548E-3</v>
      </c>
      <c r="W32" s="12"/>
      <c r="X32" s="10">
        <f t="shared" si="52"/>
        <v>387834.09499999997</v>
      </c>
      <c r="Y32" s="12">
        <f t="shared" si="9"/>
        <v>0.27585355816641566</v>
      </c>
      <c r="Z32" s="12"/>
      <c r="AA32" s="10">
        <f>+Risultati!K31</f>
        <v>113904.023</v>
      </c>
      <c r="AB32" s="12">
        <f t="shared" si="10"/>
        <v>8.1016162423830335E-2</v>
      </c>
      <c r="AC32" s="12"/>
      <c r="AD32" s="10">
        <f>+Risultati!L31</f>
        <v>114412.651</v>
      </c>
      <c r="AE32" s="12">
        <f t="shared" si="11"/>
        <v>8.1377932689497848E-2</v>
      </c>
      <c r="AF32" s="12"/>
      <c r="AG32" s="10">
        <f>+Risultati!M31+Risultati!P31+Risultati!Q31</f>
        <v>3240.7849999999999</v>
      </c>
      <c r="AH32" s="12">
        <f t="shared" si="12"/>
        <v>2.3050631314463143E-3</v>
      </c>
      <c r="AI32" s="12"/>
      <c r="AJ32" s="13">
        <f t="shared" si="53"/>
        <v>156276.63599999997</v>
      </c>
      <c r="AK32" s="11">
        <f t="shared" si="14"/>
        <v>0.11115439992164113</v>
      </c>
      <c r="AL32" s="12"/>
      <c r="AM32" s="10">
        <f>+Risultati!N31</f>
        <v>21907.026000000002</v>
      </c>
      <c r="AN32" s="12">
        <f t="shared" si="15"/>
        <v>1.558174268031845E-2</v>
      </c>
      <c r="AO32" s="12"/>
      <c r="AP32" s="10">
        <f t="shared" si="54"/>
        <v>134369.60999999996</v>
      </c>
      <c r="AQ32" s="41">
        <f t="shared" si="16"/>
        <v>9.5572657241322675E-2</v>
      </c>
      <c r="AR32" s="12"/>
      <c r="AS32" s="10">
        <f>+Risultati!O31</f>
        <v>24820.274000000001</v>
      </c>
      <c r="AT32" s="12">
        <f t="shared" si="17"/>
        <v>1.7653839582013477E-2</v>
      </c>
      <c r="AU32" s="12"/>
      <c r="AV32" s="10">
        <f t="shared" si="55"/>
        <v>109549.33599999995</v>
      </c>
      <c r="AW32" s="12">
        <f t="shared" si="19"/>
        <v>7.7918817659309192E-2</v>
      </c>
      <c r="AX32" s="12"/>
      <c r="AY32" s="10">
        <f>+Risultati!R31+Risultati!S31</f>
        <v>2832.4430000000002</v>
      </c>
      <c r="AZ32" s="12">
        <f t="shared" si="20"/>
        <v>2.0146229790693284E-3</v>
      </c>
      <c r="BA32" s="12"/>
      <c r="BB32" s="10">
        <f>+Risultati!T31</f>
        <v>0</v>
      </c>
      <c r="BC32" s="12">
        <f t="shared" si="21"/>
        <v>0</v>
      </c>
      <c r="BD32" s="12"/>
      <c r="BE32" s="10">
        <f>+Risultati!U31</f>
        <v>29629.077000000001</v>
      </c>
      <c r="BF32" s="12">
        <f t="shared" si="22"/>
        <v>2.1074182030429038E-2</v>
      </c>
      <c r="BG32" s="12"/>
      <c r="BH32" s="10">
        <f t="shared" si="56"/>
        <v>82752.701999999947</v>
      </c>
      <c r="BI32" s="12">
        <f t="shared" si="24"/>
        <v>5.885925860794948E-2</v>
      </c>
      <c r="BK32" s="16">
        <f>IF(ISNUMBER(Risultati!X31/100),(Risultati!X31/100))</f>
        <v>0.17246260206855399</v>
      </c>
      <c r="BL32" s="16">
        <f>IF(ISNUMBER(Risultati!Y31/100),(Risultati!Y31/100))</f>
        <v>0.33920640292266596</v>
      </c>
      <c r="BM32" s="16">
        <f>IF(ISNUMBER(Risultati!Z31/100),(Risultati!Z31/100))</f>
        <v>0</v>
      </c>
      <c r="BN32" s="16">
        <f>IF(AND(Risultati!AY31&lt;0,calcoli!AP32&lt;0),-IF(ISNUMBER(Risultati!AA31/100),(Risultati!AA31/100)),IF(ISNUMBER(Risultati!AA31/100),(Risultati!AA31/100)))</f>
        <v>0</v>
      </c>
      <c r="BO32" s="16">
        <f t="shared" si="0"/>
        <v>5.885925860794948E-2</v>
      </c>
      <c r="BP32" s="16">
        <f>IF(Risultati!AB31&gt;0,(AV32/Risultati!AB31),"0")</f>
        <v>0.20593596196814379</v>
      </c>
      <c r="BQ32" s="16">
        <f>IF(Risultati!AG31&lt;&gt;0,(BH32/Risultati!AG31),"0")</f>
        <v>0.27706707251041429</v>
      </c>
      <c r="BR32" s="16">
        <f t="shared" si="1"/>
        <v>5.885925860794948E-2</v>
      </c>
      <c r="BS32" s="14">
        <f>IF(Risultati!AB31&gt;0,(Risultati!G31/Risultati!AB31),"0")</f>
        <v>2.6262944032488562</v>
      </c>
      <c r="BT32" s="15">
        <f>IF(Risultati!AG31&lt;&gt;0,(Risultati!AB31/Risultati!AG31),"0")</f>
        <v>1.7810671341696362</v>
      </c>
      <c r="BU32" s="23">
        <f>IF(AND(Risultati!G31&gt;0,(Risultati!AE31-Risultati!AF31)&gt;=0),((Risultati!AE31-Risultati!AF31)/Risultati!G31*360),"0")</f>
        <v>13.147585975347432</v>
      </c>
      <c r="BV32" s="21">
        <f>IF(OR(E32="abbreviato",Risultati!G31=0),"0",((Risultati!AC31+Risultati!AD31)/Risultati!G31*360))</f>
        <v>7.1801093802282416</v>
      </c>
      <c r="BW32" s="21">
        <f>IF(OR(E32="abbreviato",Risultati!G31=0,SUM(Risultati!I31+Risultati!K31+Risultati!M31)=0),"0",(((Risultati!AH31+Risultati!AI31)/(Risultati!I31+Risultati!K31+Risultati!N31)*360)))</f>
        <v>37.460625932958521</v>
      </c>
      <c r="BX32" s="16">
        <f>IF(Risultati!AB31&gt;0,(+Risultati!AG31/Risultati!AB31),"0")</f>
        <v>0.56146114922625701</v>
      </c>
      <c r="BY32" s="22">
        <f>IF(OR(E32="abbreviato",Risultati!G31=0),"0",(((Risultati!AK31-(Risultati!AL31+Risultati!AM31))/Risultati!G31)))</f>
        <v>-5.5585084984038073E-2</v>
      </c>
      <c r="BZ32" s="16">
        <f>IF(Risultati!G31&gt;0,(Risultati!AJ31/Risultati!G31),"0")</f>
        <v>0.15791528026839194</v>
      </c>
      <c r="CA32" s="8"/>
      <c r="CB32" s="10">
        <f>+Risultati!AP31</f>
        <v>0</v>
      </c>
      <c r="CC32" s="31">
        <f t="shared" si="57"/>
        <v>0</v>
      </c>
      <c r="CD32" s="10">
        <f>+Risultati!AQ31</f>
        <v>73633.384000000005</v>
      </c>
      <c r="CE32" s="31">
        <f t="shared" si="58"/>
        <v>0.13841947674616426</v>
      </c>
      <c r="CF32" s="10">
        <f>+Risultati!AR31</f>
        <v>97194.407999999996</v>
      </c>
      <c r="CG32" s="31">
        <f t="shared" si="59"/>
        <v>0.1827105908647795</v>
      </c>
      <c r="CH32" s="10">
        <f>+Risultati!AS31</f>
        <v>24780.912</v>
      </c>
      <c r="CI32" s="31">
        <f t="shared" si="60"/>
        <v>4.6584316596569059E-2</v>
      </c>
      <c r="CJ32" s="10">
        <f t="shared" si="61"/>
        <v>195608.704</v>
      </c>
      <c r="CK32" s="31">
        <f t="shared" si="62"/>
        <v>0.36771438420751279</v>
      </c>
      <c r="CL32" s="10">
        <f>+Risultati!AE31+Risultati!AF31</f>
        <v>51022.822999999997</v>
      </c>
      <c r="CM32" s="31">
        <f t="shared" si="63"/>
        <v>9.5915087398022542E-2</v>
      </c>
      <c r="CN32" s="10">
        <f>+Risultati!AT31</f>
        <v>191197.592</v>
      </c>
      <c r="CO32" s="31">
        <f t="shared" si="64"/>
        <v>0.35942216970181079</v>
      </c>
      <c r="CP32" s="10">
        <f>+Risultati!AU31</f>
        <v>15000</v>
      </c>
      <c r="CQ32" s="31">
        <f t="shared" si="65"/>
        <v>2.8197701075268575E-2</v>
      </c>
      <c r="CR32" s="10">
        <f>+Risultati!AL31</f>
        <v>77656.755000000005</v>
      </c>
      <c r="CS32" s="31">
        <f t="shared" si="66"/>
        <v>0.14598279759769123</v>
      </c>
      <c r="CT32" s="10">
        <f t="shared" si="67"/>
        <v>334877.17</v>
      </c>
      <c r="CU32" s="31">
        <f t="shared" si="68"/>
        <v>0.62951775577279312</v>
      </c>
      <c r="CV32" s="10">
        <f>+Risultati!AX31</f>
        <v>1472.386</v>
      </c>
      <c r="CW32" s="31">
        <f t="shared" si="69"/>
        <v>2.7678600196940264E-3</v>
      </c>
      <c r="CX32" s="10">
        <f t="shared" si="70"/>
        <v>531958.26</v>
      </c>
      <c r="CY32" s="31">
        <f t="shared" si="71"/>
        <v>1</v>
      </c>
      <c r="CZ32" s="10">
        <f>+Risultati!AG31</f>
        <v>298673.89600000001</v>
      </c>
      <c r="DA32" s="31">
        <f t="shared" si="72"/>
        <v>0.56146114922625701</v>
      </c>
      <c r="DB32" s="10">
        <f t="shared" si="73"/>
        <v>10032.528999999999</v>
      </c>
      <c r="DC32" s="31">
        <f t="shared" si="74"/>
        <v>1.8859616918064207E-2</v>
      </c>
      <c r="DD32" s="10">
        <f>+Risultati!AV31</f>
        <v>220620.122</v>
      </c>
      <c r="DE32" s="31">
        <f t="shared" si="75"/>
        <v>0.4147320167563523</v>
      </c>
      <c r="DF32" s="10">
        <f>+Risultati!AJ31</f>
        <v>220620.122</v>
      </c>
      <c r="DG32" s="31">
        <f t="shared" si="76"/>
        <v>0.4147320167563523</v>
      </c>
      <c r="DH32" s="10">
        <f t="shared" si="77"/>
        <v>0</v>
      </c>
      <c r="DI32" s="31">
        <f t="shared" si="78"/>
        <v>0</v>
      </c>
      <c r="DJ32" s="10">
        <f>+Risultati!AW31</f>
        <v>2631.7130000000002</v>
      </c>
      <c r="DK32" s="31">
        <f t="shared" si="79"/>
        <v>4.9472170993265525E-3</v>
      </c>
      <c r="DL32" s="10">
        <f t="shared" si="50"/>
        <v>531958.26</v>
      </c>
      <c r="DM32" s="31">
        <f t="shared" si="80"/>
        <v>1</v>
      </c>
      <c r="DO32" s="30"/>
      <c r="DP32" s="30"/>
    </row>
    <row r="33" spans="1:120" x14ac:dyDescent="0.2">
      <c r="A33" s="5"/>
      <c r="B33" s="6" t="str">
        <f>+Risultati!B32</f>
        <v>SUPERMERCATI TOSANO CEREA S.R.L.</v>
      </c>
      <c r="C33" s="6" t="str">
        <f>+Risultati!C32</f>
        <v>01286680234</v>
      </c>
      <c r="D33" s="26">
        <f>IF(YEAR(Risultati!D32)=1900,(MID(Risultati!$AP$1,29,4)),YEAR(Risultati!D32))</f>
        <v>2023</v>
      </c>
      <c r="E33" s="6" t="str">
        <f>+Risultati!E32</f>
        <v>Dettagliato</v>
      </c>
      <c r="F33" s="8" t="str">
        <f>(LEFT(Risultati!AN32,2)&amp;"-")&amp;VLOOKUP((LEFT(Risultati!AN32,2)),ateco!$B$4:$C$93,2,FALSE)</f>
        <v>47-Commercio al dettaglio (escluso quello di autoveicoli e di motocicli)</v>
      </c>
      <c r="G33" s="8" t="str">
        <f>SUBSTITUTE((Risultati!AN32&amp;"-"&amp;Risultati!AO32),",",";")</f>
        <v>471100-Commercio al dettaglio in esercizi non specializzati con prevalenza di prodotti alimentari e bevande</v>
      </c>
      <c r="I33" s="10">
        <f>+Risultati!G32</f>
        <v>1418860.0660000001</v>
      </c>
      <c r="J33" s="11">
        <f t="shared" si="2"/>
        <v>1.0010070030082916</v>
      </c>
      <c r="K33" s="12"/>
      <c r="L33" s="10">
        <f>+Risultati!G32+Risultati!H32</f>
        <v>1417432.7070000002</v>
      </c>
      <c r="M33" s="11">
        <f t="shared" si="3"/>
        <v>0.99081562095494091</v>
      </c>
      <c r="N33" s="12"/>
      <c r="O33" s="10">
        <f>+Risultati!I32+Risultati!J32</f>
        <v>1052191.5160000001</v>
      </c>
      <c r="P33" s="11">
        <f t="shared" si="4"/>
        <v>0.73550425719720647</v>
      </c>
      <c r="Q33" s="12"/>
      <c r="R33" s="13">
        <f t="shared" si="51"/>
        <v>365241.19100000011</v>
      </c>
      <c r="S33" s="11">
        <f t="shared" si="6"/>
        <v>0.25531136375773444</v>
      </c>
      <c r="T33" s="12"/>
      <c r="U33" s="10">
        <f>+Risultati!F32-(Risultati!G32+Risultati!H32)</f>
        <v>13138.911999999778</v>
      </c>
      <c r="V33" s="12">
        <f t="shared" si="7"/>
        <v>9.1843790450590358E-3</v>
      </c>
      <c r="W33" s="12"/>
      <c r="X33" s="10">
        <f t="shared" si="52"/>
        <v>378380.10299999989</v>
      </c>
      <c r="Y33" s="12">
        <f t="shared" si="9"/>
        <v>0.26449574280279348</v>
      </c>
      <c r="Z33" s="12"/>
      <c r="AA33" s="10">
        <f>+Risultati!K32</f>
        <v>111842.99800000001</v>
      </c>
      <c r="AB33" s="12">
        <f t="shared" si="10"/>
        <v>7.8180635289116562E-2</v>
      </c>
      <c r="AC33" s="12"/>
      <c r="AD33" s="10">
        <f>+Risultati!L32</f>
        <v>132961.77900000001</v>
      </c>
      <c r="AE33" s="12">
        <f t="shared" si="11"/>
        <v>9.2943112553108748E-2</v>
      </c>
      <c r="AF33" s="12"/>
      <c r="AG33" s="10">
        <f>+Risultati!M32+Risultati!P32+Risultati!Q32</f>
        <v>3808.74</v>
      </c>
      <c r="AH33" s="12">
        <f t="shared" si="12"/>
        <v>2.6623902986852139E-3</v>
      </c>
      <c r="AI33" s="12"/>
      <c r="AJ33" s="13">
        <f t="shared" si="53"/>
        <v>129766.58599999985</v>
      </c>
      <c r="AK33" s="11">
        <f t="shared" si="14"/>
        <v>9.0709604661882964E-2</v>
      </c>
      <c r="AL33" s="12"/>
      <c r="AM33" s="10">
        <f>+Risultati!N32</f>
        <v>26942.494999999999</v>
      </c>
      <c r="AN33" s="12">
        <f t="shared" si="15"/>
        <v>1.8833377261344927E-2</v>
      </c>
      <c r="AO33" s="12"/>
      <c r="AP33" s="10">
        <f t="shared" si="54"/>
        <v>102824.09099999985</v>
      </c>
      <c r="AQ33" s="41">
        <f t="shared" si="16"/>
        <v>7.1876227400538034E-2</v>
      </c>
      <c r="AR33" s="12"/>
      <c r="AS33" s="10">
        <f>+Risultati!O32</f>
        <v>30872.978999999999</v>
      </c>
      <c r="AT33" s="12">
        <f t="shared" si="17"/>
        <v>2.1580869206381203E-2</v>
      </c>
      <c r="AU33" s="12"/>
      <c r="AV33" s="10">
        <f t="shared" si="55"/>
        <v>71951.111999999848</v>
      </c>
      <c r="AW33" s="12">
        <f t="shared" si="19"/>
        <v>5.0295358194156828E-2</v>
      </c>
      <c r="AX33" s="12"/>
      <c r="AY33" s="10">
        <f>+Risultati!R32+Risultati!S32</f>
        <v>-10482.091</v>
      </c>
      <c r="AZ33" s="12">
        <f t="shared" si="20"/>
        <v>-7.3272046367921133E-3</v>
      </c>
      <c r="BA33" s="12"/>
      <c r="BB33" s="10">
        <f>+Risultati!T32</f>
        <v>0</v>
      </c>
      <c r="BC33" s="12">
        <f t="shared" si="21"/>
        <v>0</v>
      </c>
      <c r="BD33" s="12"/>
      <c r="BE33" s="10">
        <f>+Risultati!U32</f>
        <v>13059.816999999999</v>
      </c>
      <c r="BF33" s="12">
        <f t="shared" si="22"/>
        <v>9.1290899571522949E-3</v>
      </c>
      <c r="BG33" s="12"/>
      <c r="BH33" s="10">
        <f t="shared" si="56"/>
        <v>48409.203999999852</v>
      </c>
      <c r="BI33" s="12">
        <f t="shared" si="24"/>
        <v>3.3839063600212424E-2</v>
      </c>
      <c r="BK33" s="16">
        <f>IF(ISNUMBER(Risultati!X32/100),(Risultati!X32/100))</f>
        <v>0.18197679422600402</v>
      </c>
      <c r="BL33" s="16">
        <f>IF(ISNUMBER(Risultati!Y32/100),(Risultati!Y32/100))</f>
        <v>0.39995527298709704</v>
      </c>
      <c r="BM33" s="16">
        <f>IF(ISNUMBER(Risultati!Z32/100),(Risultati!Z32/100))</f>
        <v>0.49547362863717098</v>
      </c>
      <c r="BN33" s="16">
        <f>IF(AND(Risultati!AY32&lt;0,calcoli!AP33&lt;0),-IF(ISNUMBER(Risultati!AA32/100),(Risultati!AA32/100)),IF(ISNUMBER(Risultati!AA32/100),(Risultati!AA32/100)))</f>
        <v>0.57856300017343198</v>
      </c>
      <c r="BO33" s="16">
        <f t="shared" si="0"/>
        <v>3.3839063600212424E-2</v>
      </c>
      <c r="BP33" s="16">
        <f>IF(Risultati!AB32&gt;0,(AV33/Risultati!AB32),"0")</f>
        <v>7.1458139374947396E-2</v>
      </c>
      <c r="BQ33" s="16">
        <f>IF(Risultati!AG32&lt;&gt;0,(BH33/Risultati!AG32),"0")</f>
        <v>0.12085434175288319</v>
      </c>
      <c r="BR33" s="16">
        <f t="shared" si="1"/>
        <v>3.3839063600212424E-2</v>
      </c>
      <c r="BS33" s="14">
        <f>IF(Risultati!AB32&gt;0,(Risultati!G32/Risultati!AB32),"0")</f>
        <v>1.4091387545167513</v>
      </c>
      <c r="BT33" s="15">
        <f>IF(Risultati!AG32&lt;&gt;0,(Risultati!AB32/Risultati!AG32),"0")</f>
        <v>2.5137386471475347</v>
      </c>
      <c r="BU33" s="23">
        <f>IF(AND(Risultati!G32&gt;0,(Risultati!AE32-Risultati!AF32)&gt;=0),((Risultati!AE32-Risultati!AF32)/Risultati!G32*360),"0")</f>
        <v>82.705198723945202</v>
      </c>
      <c r="BV33" s="21">
        <f>IF(OR(E33="abbreviato",Risultati!G32=0),"0",((Risultati!AC32+Risultati!AD32)/Risultati!G32*360))</f>
        <v>18.052078717112895</v>
      </c>
      <c r="BW33" s="21">
        <f>IF(OR(E33="abbreviato",Risultati!G32=0,SUM(Risultati!I32+Risultati!K32+Risultati!M32)=0),"0",(((Risultati!AH32+Risultati!AI32)/(Risultati!I32+Risultati!K32+Risultati!N32)*360)))</f>
        <v>81.020113080188807</v>
      </c>
      <c r="BX33" s="16">
        <f>IF(Risultati!AB32&gt;0,(+Risultati!AG32/Risultati!AB32),"0")</f>
        <v>0.39781383046115398</v>
      </c>
      <c r="BY33" s="22">
        <f>IF(OR(E33="abbreviato",Risultati!G32=0),"0",(((Risultati!AK32-(Risultati!AL32+Risultati!AM32))/Risultati!G32)))</f>
        <v>0.1541068314202593</v>
      </c>
      <c r="BZ33" s="16">
        <f>IF(Risultati!G32&gt;0,(Risultati!AJ32/Risultati!G32),"0")</f>
        <v>0.31059152664883016</v>
      </c>
      <c r="CA33" s="8"/>
      <c r="CB33" s="10">
        <f>+Risultati!AP32</f>
        <v>0</v>
      </c>
      <c r="CC33" s="31">
        <f t="shared" si="57"/>
        <v>0</v>
      </c>
      <c r="CD33" s="10">
        <f>+Risultati!AQ32</f>
        <v>24715.53</v>
      </c>
      <c r="CE33" s="31">
        <f t="shared" si="58"/>
        <v>2.454619169007002E-2</v>
      </c>
      <c r="CF33" s="10">
        <f>+Risultati!AR32</f>
        <v>430910.37099999998</v>
      </c>
      <c r="CG33" s="31">
        <f t="shared" si="59"/>
        <v>0.42795799110135163</v>
      </c>
      <c r="CH33" s="10">
        <f>+Risultati!AS32</f>
        <v>31154.501</v>
      </c>
      <c r="CI33" s="31">
        <f t="shared" si="60"/>
        <v>3.094104611774371E-2</v>
      </c>
      <c r="CJ33" s="10">
        <f t="shared" si="61"/>
        <v>486780.402</v>
      </c>
      <c r="CK33" s="31">
        <f t="shared" si="62"/>
        <v>0.48344522890916541</v>
      </c>
      <c r="CL33" s="10">
        <f>+Risultati!AE32+Risultati!AF32</f>
        <v>325964.17700000003</v>
      </c>
      <c r="CM33" s="31">
        <f t="shared" si="63"/>
        <v>0.3237308353386682</v>
      </c>
      <c r="CN33" s="10">
        <f>+Risultati!AT32</f>
        <v>114655.443</v>
      </c>
      <c r="CO33" s="31">
        <f t="shared" si="64"/>
        <v>0.11386988189967591</v>
      </c>
      <c r="CP33" s="10">
        <f>+Risultati!AU32</f>
        <v>0</v>
      </c>
      <c r="CQ33" s="31">
        <f t="shared" si="65"/>
        <v>0</v>
      </c>
      <c r="CR33" s="10">
        <f>+Risultati!AL32</f>
        <v>60106.156999999999</v>
      </c>
      <c r="CS33" s="31">
        <f t="shared" si="66"/>
        <v>5.969434001518252E-2</v>
      </c>
      <c r="CT33" s="10">
        <f t="shared" si="67"/>
        <v>500725.777</v>
      </c>
      <c r="CU33" s="31">
        <f t="shared" si="68"/>
        <v>0.49729505725352663</v>
      </c>
      <c r="CV33" s="10">
        <f>+Risultati!AX32</f>
        <v>19392.581999999999</v>
      </c>
      <c r="CW33" s="31">
        <f t="shared" si="69"/>
        <v>1.9259713837308019E-2</v>
      </c>
      <c r="CX33" s="10">
        <f t="shared" si="70"/>
        <v>1006898.7609999999</v>
      </c>
      <c r="CY33" s="31">
        <f t="shared" si="71"/>
        <v>1</v>
      </c>
      <c r="CZ33" s="10">
        <f>+Risultati!AG32</f>
        <v>400558.25300000003</v>
      </c>
      <c r="DA33" s="31">
        <f t="shared" si="72"/>
        <v>0.39781383046115404</v>
      </c>
      <c r="DB33" s="10">
        <f t="shared" si="73"/>
        <v>2708.293999999858</v>
      </c>
      <c r="DC33" s="31">
        <f t="shared" si="74"/>
        <v>2.6897381394233913E-3</v>
      </c>
      <c r="DD33" s="10">
        <f>+Risultati!AV32</f>
        <v>597443.68500000006</v>
      </c>
      <c r="DE33" s="31">
        <f t="shared" si="75"/>
        <v>0.59335030306984371</v>
      </c>
      <c r="DF33" s="10">
        <f>+Risultati!AJ32</f>
        <v>440685.91399999999</v>
      </c>
      <c r="DG33" s="31">
        <f t="shared" si="76"/>
        <v>0.43766655702538898</v>
      </c>
      <c r="DH33" s="10">
        <f t="shared" si="77"/>
        <v>156757.77100000007</v>
      </c>
      <c r="DI33" s="31">
        <f t="shared" si="78"/>
        <v>0.15568374604445467</v>
      </c>
      <c r="DJ33" s="10">
        <f>+Risultati!AW32</f>
        <v>6188.5290000000005</v>
      </c>
      <c r="DK33" s="31">
        <f t="shared" si="79"/>
        <v>6.1461283295789065E-3</v>
      </c>
      <c r="DL33" s="10">
        <f t="shared" si="50"/>
        <v>1006898.7609999999</v>
      </c>
      <c r="DM33" s="31">
        <f t="shared" si="80"/>
        <v>1</v>
      </c>
      <c r="DO33" s="30"/>
      <c r="DP33" s="30"/>
    </row>
    <row r="34" spans="1:120" x14ac:dyDescent="0.2">
      <c r="A34" s="5"/>
      <c r="B34" s="6" t="str">
        <f>+Risultati!B33</f>
        <v>PENNY MARKET S.R.L.</v>
      </c>
      <c r="C34" s="6" t="str">
        <f>+Risultati!C33</f>
        <v>12619750156</v>
      </c>
      <c r="D34" s="26">
        <f>IF(YEAR(Risultati!D33)=1900,(MID(Risultati!$AP$1,29,4)),YEAR(Risultati!D33))</f>
        <v>2023</v>
      </c>
      <c r="E34" s="6" t="str">
        <f>+Risultati!E33</f>
        <v>Dettagliato</v>
      </c>
      <c r="F34" s="8" t="str">
        <f>(LEFT(Risultati!AN33,2)&amp;"-")&amp;VLOOKUP((LEFT(Risultati!AN33,2)),ateco!$B$4:$C$93,2,FALSE)</f>
        <v>47-Commercio al dettaglio (escluso quello di autoveicoli e di motocicli)</v>
      </c>
      <c r="G34" s="8" t="str">
        <f>SUBSTITUTE((Risultati!AN33&amp;"-"&amp;Risultati!AO33),",",";")</f>
        <v>471120-Supermercati</v>
      </c>
      <c r="I34" s="10">
        <f>+Risultati!G33</f>
        <v>1459033.324</v>
      </c>
      <c r="J34" s="11">
        <f t="shared" si="2"/>
        <v>1</v>
      </c>
      <c r="K34" s="12"/>
      <c r="L34" s="10">
        <f>+Risultati!G33+Risultati!H33</f>
        <v>1459033.324</v>
      </c>
      <c r="M34" s="11">
        <f t="shared" si="3"/>
        <v>0.94545870078288108</v>
      </c>
      <c r="N34" s="12"/>
      <c r="O34" s="10">
        <f>+Risultati!I33+Risultati!J33</f>
        <v>1119759.5989999999</v>
      </c>
      <c r="P34" s="11">
        <f t="shared" si="4"/>
        <v>0.72560813947502401</v>
      </c>
      <c r="Q34" s="12"/>
      <c r="R34" s="13">
        <f t="shared" si="51"/>
        <v>339273.72500000009</v>
      </c>
      <c r="S34" s="11">
        <f t="shared" si="6"/>
        <v>0.21985056130785713</v>
      </c>
      <c r="T34" s="12"/>
      <c r="U34" s="10">
        <f>+Risultati!F33-(Risultati!G33+Risultati!H33)</f>
        <v>84168.216999999946</v>
      </c>
      <c r="V34" s="12">
        <f t="shared" si="7"/>
        <v>5.454129921711888E-2</v>
      </c>
      <c r="W34" s="12"/>
      <c r="X34" s="10">
        <f t="shared" si="52"/>
        <v>423441.94200000004</v>
      </c>
      <c r="Y34" s="12">
        <f t="shared" si="9"/>
        <v>0.27439186052497599</v>
      </c>
      <c r="Z34" s="12"/>
      <c r="AA34" s="10">
        <f>+Risultati!K33</f>
        <v>154834.78400000001</v>
      </c>
      <c r="AB34" s="12">
        <f t="shared" si="10"/>
        <v>0.10033348197648023</v>
      </c>
      <c r="AC34" s="12"/>
      <c r="AD34" s="10">
        <f>+Risultati!L33</f>
        <v>151886.70199999999</v>
      </c>
      <c r="AE34" s="12">
        <f t="shared" si="11"/>
        <v>9.8423114521760308E-2</v>
      </c>
      <c r="AF34" s="12"/>
      <c r="AG34" s="10">
        <f>+Risultati!M33+Risultati!P33+Risultati!Q33</f>
        <v>9551.4939999999988</v>
      </c>
      <c r="AH34" s="12">
        <f t="shared" si="12"/>
        <v>6.1894015436315579E-3</v>
      </c>
      <c r="AI34" s="12"/>
      <c r="AJ34" s="13">
        <f t="shared" si="53"/>
        <v>107168.96200000006</v>
      </c>
      <c r="AK34" s="11">
        <f t="shared" si="14"/>
        <v>6.9445862483103929E-2</v>
      </c>
      <c r="AL34" s="12"/>
      <c r="AM34" s="10">
        <f>+Risultati!N33</f>
        <v>87497.611999999994</v>
      </c>
      <c r="AN34" s="12">
        <f t="shared" si="15"/>
        <v>5.6698758830490303E-2</v>
      </c>
      <c r="AO34" s="12"/>
      <c r="AP34" s="10">
        <f t="shared" si="54"/>
        <v>19671.350000000064</v>
      </c>
      <c r="AQ34" s="41">
        <f t="shared" si="16"/>
        <v>1.2747103652613619E-2</v>
      </c>
      <c r="AR34" s="12"/>
      <c r="AS34" s="10">
        <f>+Risultati!O33</f>
        <v>48860.116999999998</v>
      </c>
      <c r="AT34" s="12">
        <f t="shared" si="17"/>
        <v>3.1661526833584204E-2</v>
      </c>
      <c r="AU34" s="12"/>
      <c r="AV34" s="10">
        <f t="shared" si="55"/>
        <v>-29188.766999999934</v>
      </c>
      <c r="AW34" s="12">
        <f t="shared" si="19"/>
        <v>-1.8914423180970589E-2</v>
      </c>
      <c r="AX34" s="12"/>
      <c r="AY34" s="10">
        <f>+Risultati!R33+Risultati!S33</f>
        <v>3159.4140000000007</v>
      </c>
      <c r="AZ34" s="12">
        <f t="shared" si="20"/>
        <v>2.0473113304129344E-3</v>
      </c>
      <c r="BA34" s="12"/>
      <c r="BB34" s="10">
        <f>+Risultati!T33</f>
        <v>0</v>
      </c>
      <c r="BC34" s="12">
        <f t="shared" si="21"/>
        <v>0</v>
      </c>
      <c r="BD34" s="12"/>
      <c r="BE34" s="10">
        <f>+Risultati!U33</f>
        <v>-9309.64</v>
      </c>
      <c r="BF34" s="12">
        <f t="shared" si="22"/>
        <v>-6.0326793051070438E-3</v>
      </c>
      <c r="BG34" s="12"/>
      <c r="BH34" s="10">
        <f t="shared" si="56"/>
        <v>-16719.712999999934</v>
      </c>
      <c r="BI34" s="12">
        <f t="shared" si="24"/>
        <v>-1.083443254545061E-2</v>
      </c>
      <c r="BK34" s="16">
        <f>IF(ISNUMBER(Risultati!X33/100),(Risultati!X33/100))</f>
        <v>8.8454561688553493E-2</v>
      </c>
      <c r="BL34" s="16">
        <f>IF(ISNUMBER(Risultati!Y33/100),(Risultati!Y33/100))</f>
        <v>0.18872335063597301</v>
      </c>
      <c r="BM34" s="16">
        <f>IF(ISNUMBER(Risultati!Z33/100),(Risultati!Z33/100))</f>
        <v>0.24099031435986501</v>
      </c>
      <c r="BN34" s="16">
        <f>IF(AND(Risultati!AY33&lt;0,calcoli!AP34&lt;0),-IF(ISNUMBER(Risultati!AA33/100),(Risultati!AA33/100)),IF(ISNUMBER(Risultati!AA33/100),(Risultati!AA33/100)))</f>
        <v>-5.34959547337023</v>
      </c>
      <c r="BO34" s="16">
        <f t="shared" si="0"/>
        <v>-1.083443254545061E-2</v>
      </c>
      <c r="BP34" s="16">
        <f>IF(Risultati!AB33&gt;0,(AV34/Risultati!AB33),"0")</f>
        <v>-5.1013919754332476E-2</v>
      </c>
      <c r="BQ34" s="16">
        <f>IF(Risultati!AG33&lt;&gt;0,(BH34/Risultati!AG33),"0")</f>
        <v>-0.1452864285078827</v>
      </c>
      <c r="BR34" s="16">
        <f t="shared" si="1"/>
        <v>-1.083443254545061E-2</v>
      </c>
      <c r="BS34" s="14">
        <f>IF(Risultati!AB33&gt;0,(Risultati!G33/Risultati!AB33),"0")</f>
        <v>2.5499881139012532</v>
      </c>
      <c r="BT34" s="15">
        <f>IF(Risultati!AG33&lt;&gt;0,(Risultati!AB33/Risultati!AG33),"0")</f>
        <v>4.9719102985497923</v>
      </c>
      <c r="BU34" s="23">
        <f>IF(AND(Risultati!G33&gt;0,(Risultati!AE33-Risultati!AF33)&gt;=0),((Risultati!AE33-Risultati!AF33)/Risultati!G33*360),"0")</f>
        <v>26.729510147912151</v>
      </c>
      <c r="BV34" s="21">
        <f>IF(OR(E34="abbreviato",Risultati!G33=0),"0",((Risultati!AC33+Risultati!AD33)/Risultati!G33*360))</f>
        <v>1.2147553663414474</v>
      </c>
      <c r="BW34" s="21">
        <f>IF(OR(E34="abbreviato",Risultati!G33=0,SUM(Risultati!I33+Risultati!K33+Risultati!M33)=0),"0",(((Risultati!AH33+Risultati!AI33)/(Risultati!I33+Risultati!K33+Risultati!N33)*360)))</f>
        <v>60.126352140729011</v>
      </c>
      <c r="BX34" s="16">
        <f>IF(Risultati!AB33&gt;0,(+Risultati!AG33/Risultati!AB33),"0")</f>
        <v>0.20112993597082396</v>
      </c>
      <c r="BY34" s="22">
        <f>IF(OR(E34="abbreviato",Risultati!G33=0),"0",(((Risultati!AK33-(Risultati!AL33+Risultati!AM33))/Risultati!G33)))</f>
        <v>-1.1749611004772363E-2</v>
      </c>
      <c r="BZ34" s="16">
        <f>IF(Risultati!G33&gt;0,(Risultati!AJ33/Risultati!G33),"0")</f>
        <v>0.30469057059042198</v>
      </c>
      <c r="CA34" s="8"/>
      <c r="CB34" s="10">
        <f>+Risultati!AP33</f>
        <v>0</v>
      </c>
      <c r="CC34" s="31">
        <f t="shared" si="57"/>
        <v>0</v>
      </c>
      <c r="CD34" s="10">
        <f>+Risultati!AQ33</f>
        <v>69522.858999999997</v>
      </c>
      <c r="CE34" s="31">
        <f t="shared" si="58"/>
        <v>0.12150679575186506</v>
      </c>
      <c r="CF34" s="10">
        <f>+Risultati!AR33</f>
        <v>74002.126000000004</v>
      </c>
      <c r="CG34" s="31">
        <f t="shared" si="59"/>
        <v>0.12933531989939862</v>
      </c>
      <c r="CH34" s="10">
        <f>+Risultati!AS33</f>
        <v>263138.83500000002</v>
      </c>
      <c r="CI34" s="31">
        <f t="shared" si="60"/>
        <v>0.45989415767163322</v>
      </c>
      <c r="CJ34" s="10">
        <f t="shared" si="61"/>
        <v>406663.82</v>
      </c>
      <c r="CK34" s="31">
        <f t="shared" si="62"/>
        <v>0.71073627332289691</v>
      </c>
      <c r="CL34" s="10">
        <f>+Risultati!AE33+Risultati!AF33</f>
        <v>108331.239</v>
      </c>
      <c r="CM34" s="31">
        <f t="shared" si="63"/>
        <v>0.18933314768771922</v>
      </c>
      <c r="CN34" s="10">
        <f>+Risultati!AT33</f>
        <v>35549.572</v>
      </c>
      <c r="CO34" s="31">
        <f t="shared" si="64"/>
        <v>6.2130853739346674E-2</v>
      </c>
      <c r="CP34" s="10">
        <f>+Risultati!AU33</f>
        <v>0</v>
      </c>
      <c r="CQ34" s="31">
        <f t="shared" si="65"/>
        <v>0</v>
      </c>
      <c r="CR34" s="10">
        <f>+Risultati!AL33</f>
        <v>17143.074000000001</v>
      </c>
      <c r="CS34" s="31">
        <f t="shared" si="66"/>
        <v>2.9961368405132888E-2</v>
      </c>
      <c r="CT34" s="10">
        <f t="shared" si="67"/>
        <v>161023.88500000001</v>
      </c>
      <c r="CU34" s="31">
        <f t="shared" si="68"/>
        <v>0.28142536983219879</v>
      </c>
      <c r="CV34" s="10">
        <f>+Risultati!AX33</f>
        <v>4484.893</v>
      </c>
      <c r="CW34" s="31">
        <f t="shared" si="69"/>
        <v>7.8383568449043421E-3</v>
      </c>
      <c r="CX34" s="10">
        <f t="shared" si="70"/>
        <v>572172.598</v>
      </c>
      <c r="CY34" s="31">
        <f t="shared" si="71"/>
        <v>1</v>
      </c>
      <c r="CZ34" s="10">
        <f>+Risultati!AG33</f>
        <v>115081.038</v>
      </c>
      <c r="DA34" s="31">
        <f t="shared" si="72"/>
        <v>0.20112993597082396</v>
      </c>
      <c r="DB34" s="10">
        <f t="shared" si="73"/>
        <v>11678.749000000002</v>
      </c>
      <c r="DC34" s="31">
        <f t="shared" si="74"/>
        <v>2.0411234373723018E-2</v>
      </c>
      <c r="DD34" s="10">
        <f>+Risultati!AV33</f>
        <v>444553.696</v>
      </c>
      <c r="DE34" s="31">
        <f t="shared" si="75"/>
        <v>0.77695733342336681</v>
      </c>
      <c r="DF34" s="10">
        <f>+Risultati!AJ33</f>
        <v>444553.696</v>
      </c>
      <c r="DG34" s="31">
        <f t="shared" si="76"/>
        <v>0.77695733342336681</v>
      </c>
      <c r="DH34" s="10">
        <f t="shared" si="77"/>
        <v>0</v>
      </c>
      <c r="DI34" s="31">
        <f t="shared" si="78"/>
        <v>0</v>
      </c>
      <c r="DJ34" s="10">
        <f>+Risultati!AW33</f>
        <v>859.11500000000001</v>
      </c>
      <c r="DK34" s="31">
        <f t="shared" si="79"/>
        <v>1.501496232086249E-3</v>
      </c>
      <c r="DL34" s="10">
        <f t="shared" si="50"/>
        <v>572172.598</v>
      </c>
      <c r="DM34" s="31">
        <f t="shared" si="80"/>
        <v>1</v>
      </c>
      <c r="DO34" s="30"/>
      <c r="DP34" s="30"/>
    </row>
    <row r="35" spans="1:120" x14ac:dyDescent="0.2">
      <c r="A35" s="5"/>
      <c r="B35" s="6" t="str">
        <f>+Risultati!B34</f>
        <v>AGORA' NETWORK SOCIETA' CONSORTILE A R.L.</v>
      </c>
      <c r="C35" s="6" t="str">
        <f>+Risultati!C34</f>
        <v>13211090157</v>
      </c>
      <c r="D35" s="26">
        <f>IF(YEAR(Risultati!D34)=1900,(MID(Risultati!$AP$1,29,4)),YEAR(Risultati!D34))</f>
        <v>2023</v>
      </c>
      <c r="E35" s="6" t="str">
        <f>+Risultati!E34</f>
        <v>Dettagliato</v>
      </c>
      <c r="F35" s="8" t="str">
        <f>(LEFT(Risultati!AN34,2)&amp;"-")&amp;VLOOKUP((LEFT(Risultati!AN34,2)),ateco!$B$4:$C$93,2,FALSE)</f>
        <v>46-Commercio all'ingrosso (escluso quello di autoveicoli e di motocicli)</v>
      </c>
      <c r="G35" s="8" t="str">
        <f>SUBSTITUTE((Risultati!AN34&amp;"-"&amp;Risultati!AO34),",",";")</f>
        <v>461904-Gruppi di acquisto; mandatari agli acquisti; buyer</v>
      </c>
      <c r="I35" s="10">
        <f>+Risultati!G34</f>
        <v>1348280.442</v>
      </c>
      <c r="J35" s="11">
        <f t="shared" si="2"/>
        <v>1</v>
      </c>
      <c r="K35" s="12"/>
      <c r="L35" s="10">
        <f>+Risultati!G34+Risultati!H34</f>
        <v>1348280.442</v>
      </c>
      <c r="M35" s="11">
        <f t="shared" si="3"/>
        <v>0.96966376882440852</v>
      </c>
      <c r="N35" s="12"/>
      <c r="O35" s="10">
        <f>+Risultati!I34+Risultati!J34</f>
        <v>1297991.125</v>
      </c>
      <c r="P35" s="11">
        <f t="shared" si="4"/>
        <v>0.93349642030046887</v>
      </c>
      <c r="Q35" s="12"/>
      <c r="R35" s="13">
        <f t="shared" si="51"/>
        <v>50289.317000000039</v>
      </c>
      <c r="S35" s="11">
        <f t="shared" si="6"/>
        <v>3.6167348523939678E-2</v>
      </c>
      <c r="T35" s="12"/>
      <c r="U35" s="10">
        <f>+Risultati!F34-(Risultati!G34+Risultati!H34)</f>
        <v>42181.371000000043</v>
      </c>
      <c r="V35" s="12">
        <f t="shared" si="7"/>
        <v>3.0336231175591474E-2</v>
      </c>
      <c r="W35" s="12"/>
      <c r="X35" s="10">
        <f t="shared" si="52"/>
        <v>92470.688000000082</v>
      </c>
      <c r="Y35" s="12">
        <f t="shared" si="9"/>
        <v>6.6503579699531148E-2</v>
      </c>
      <c r="Z35" s="12"/>
      <c r="AA35" s="10">
        <f>+Risultati!K34</f>
        <v>100084.549</v>
      </c>
      <c r="AB35" s="12">
        <f t="shared" si="10"/>
        <v>7.1979358270948784E-2</v>
      </c>
      <c r="AC35" s="12"/>
      <c r="AD35" s="10">
        <f>+Risultati!L34</f>
        <v>3887.1509999999998</v>
      </c>
      <c r="AE35" s="12">
        <f t="shared" si="11"/>
        <v>2.7955827075993203E-3</v>
      </c>
      <c r="AF35" s="12"/>
      <c r="AG35" s="10">
        <f>+Risultati!M34+Risultati!P34+Risultati!Q34</f>
        <v>454.16800000000001</v>
      </c>
      <c r="AH35" s="12">
        <f t="shared" si="12"/>
        <v>3.2663104858673308E-4</v>
      </c>
      <c r="AI35" s="12"/>
      <c r="AJ35" s="13">
        <f t="shared" si="53"/>
        <v>-11955.179999999917</v>
      </c>
      <c r="AK35" s="11">
        <f t="shared" si="14"/>
        <v>-8.5979923276036894E-3</v>
      </c>
      <c r="AL35" s="12"/>
      <c r="AM35" s="10">
        <f>+Risultati!N34</f>
        <v>580.09799999999996</v>
      </c>
      <c r="AN35" s="12">
        <f t="shared" si="15"/>
        <v>4.1719808093715691E-4</v>
      </c>
      <c r="AO35" s="12"/>
      <c r="AP35" s="10">
        <f t="shared" si="54"/>
        <v>-12535.277999999917</v>
      </c>
      <c r="AQ35" s="41">
        <f t="shared" si="16"/>
        <v>-9.0151904085408463E-3</v>
      </c>
      <c r="AR35" s="12"/>
      <c r="AS35" s="10">
        <f>+Risultati!O34</f>
        <v>799.37800000000004</v>
      </c>
      <c r="AT35" s="12">
        <f t="shared" si="17"/>
        <v>5.7490108144379513E-4</v>
      </c>
      <c r="AU35" s="12"/>
      <c r="AV35" s="10">
        <f t="shared" si="55"/>
        <v>-13334.655999999917</v>
      </c>
      <c r="AW35" s="12">
        <f t="shared" si="19"/>
        <v>-9.5900914899846416E-3</v>
      </c>
      <c r="AX35" s="12"/>
      <c r="AY35" s="10">
        <f>+Risultati!R34+Risultati!S34</f>
        <v>13530.377</v>
      </c>
      <c r="AZ35" s="12">
        <f t="shared" si="20"/>
        <v>9.730851198859929E-3</v>
      </c>
      <c r="BA35" s="12"/>
      <c r="BB35" s="10">
        <f>+Risultati!T34</f>
        <v>0</v>
      </c>
      <c r="BC35" s="12">
        <f t="shared" si="21"/>
        <v>0</v>
      </c>
      <c r="BD35" s="12"/>
      <c r="BE35" s="10">
        <f>+Risultati!U34</f>
        <v>11.832000000000001</v>
      </c>
      <c r="BF35" s="12">
        <f t="shared" si="22"/>
        <v>8.5094030554293262E-6</v>
      </c>
      <c r="BG35" s="12"/>
      <c r="BH35" s="10">
        <f t="shared" si="56"/>
        <v>183.88900000008323</v>
      </c>
      <c r="BI35" s="12">
        <f t="shared" si="24"/>
        <v>1.322503058198573E-4</v>
      </c>
      <c r="BK35" s="16">
        <f>IF(ISNUMBER(Risultati!X34/100),(Risultati!X34/100))</f>
        <v>0.16602502520068502</v>
      </c>
      <c r="BL35" s="16">
        <f>IF(ISNUMBER(Risultati!Y34/100),(Risultati!Y34/100))</f>
        <v>0.29937057684172602</v>
      </c>
      <c r="BM35" s="16">
        <f>IF(ISNUMBER(Risultati!Z34/100),(Risultati!Z34/100))</f>
        <v>0.61841379544935404</v>
      </c>
      <c r="BN35" s="16">
        <f>IF(AND(Risultati!AY34&lt;0,calcoli!AP35&lt;0),-IF(ISNUMBER(Risultati!AA34/100),(Risultati!AA34/100)),IF(ISNUMBER(Risultati!AA34/100),(Risultati!AA34/100)))</f>
        <v>-0.49792434233796695</v>
      </c>
      <c r="BO35" s="16">
        <f t="shared" si="0"/>
        <v>1.322503058198573E-4</v>
      </c>
      <c r="BP35" s="16">
        <f>IF(Risultati!AB34&gt;0,(AV35/Risultati!AB34),"0")</f>
        <v>-4.0000775138128226E-2</v>
      </c>
      <c r="BQ35" s="16">
        <f>IF(Risultati!AG34&lt;&gt;0,(BH35/Risultati!AG34),"0")</f>
        <v>9.9508100790302416E-3</v>
      </c>
      <c r="BR35" s="16">
        <f t="shared" si="1"/>
        <v>1.322503058198573E-4</v>
      </c>
      <c r="BS35" s="14">
        <f>IF(Risultati!AB34&gt;0,(Risultati!G34/Risultati!AB34),"0")</f>
        <v>4.0445184925339257</v>
      </c>
      <c r="BT35" s="15">
        <f>IF(Risultati!AG34&lt;&gt;0,(Risultati!AB34/Risultati!AG34),"0")</f>
        <v>18.039151068826389</v>
      </c>
      <c r="BU35" s="23">
        <f>IF(AND(Risultati!G34&gt;0,(Risultati!AE34-Risultati!AF34)&gt;=0),((Risultati!AE34-Risultati!AF34)/Risultati!G34*360),"0")</f>
        <v>35.206579463236032</v>
      </c>
      <c r="BV35" s="21">
        <f>IF(OR(E35="abbreviato",Risultati!G34=0),"0",((Risultati!AC34+Risultati!AD34)/Risultati!G34*360))</f>
        <v>47.794195563952272</v>
      </c>
      <c r="BW35" s="21">
        <f>IF(OR(E35="abbreviato",Risultati!G34=0,SUM(Risultati!I34+Risultati!K34+Risultati!M34)=0),"0",(((Risultati!AH34+Risultati!AI34)/(Risultati!I34+Risultati!K34+Risultati!N34)*360)))</f>
        <v>41.754018771931378</v>
      </c>
      <c r="BX35" s="16">
        <f>IF(Risultati!AB34&gt;0,(+Risultati!AG34/Risultati!AB34),"0")</f>
        <v>5.543498117980223E-2</v>
      </c>
      <c r="BY35" s="22">
        <f>IF(OR(E35="abbreviato",Risultati!G34=0),"0",(((Risultati!AK34-(Risultati!AL34+Risultati!AM34))/Risultati!G34)))</f>
        <v>6.5349710086501422E-2</v>
      </c>
      <c r="BZ35" s="16">
        <f>IF(Risultati!G34&gt;0,(Risultati!AJ34/Risultati!G34),"0")</f>
        <v>0.1908814360744098</v>
      </c>
      <c r="CA35" s="8"/>
      <c r="CB35" s="10">
        <f>+Risultati!AP34</f>
        <v>0</v>
      </c>
      <c r="CC35" s="31">
        <f t="shared" si="57"/>
        <v>0</v>
      </c>
      <c r="CD35" s="10">
        <f>+Risultati!AQ34</f>
        <v>1213.3209999999999</v>
      </c>
      <c r="CE35" s="31">
        <f t="shared" si="58"/>
        <v>3.6396724813425384E-3</v>
      </c>
      <c r="CF35" s="10">
        <f>+Risultati!AR34</f>
        <v>4551.34</v>
      </c>
      <c r="CG35" s="31">
        <f t="shared" si="59"/>
        <v>1.3652930223109589E-2</v>
      </c>
      <c r="CH35" s="10">
        <f>+Risultati!AS34</f>
        <v>208.886</v>
      </c>
      <c r="CI35" s="31">
        <f t="shared" si="60"/>
        <v>6.2660798415070499E-4</v>
      </c>
      <c r="CJ35" s="10">
        <f t="shared" si="61"/>
        <v>5973.5470000000005</v>
      </c>
      <c r="CK35" s="31">
        <f t="shared" si="62"/>
        <v>1.7919210688602832E-2</v>
      </c>
      <c r="CL35" s="10">
        <f>+Risultati!AE34+Risultati!AF34</f>
        <v>131856.50700000001</v>
      </c>
      <c r="CM35" s="31">
        <f t="shared" si="63"/>
        <v>0.39553794916089796</v>
      </c>
      <c r="CN35" s="10">
        <f>+Risultati!AT34</f>
        <v>194041.39799999999</v>
      </c>
      <c r="CO35" s="31">
        <f t="shared" si="64"/>
        <v>0.58207773255538731</v>
      </c>
      <c r="CP35" s="10">
        <f>+Risultati!AU34</f>
        <v>0</v>
      </c>
      <c r="CQ35" s="31">
        <f t="shared" si="65"/>
        <v>0</v>
      </c>
      <c r="CR35" s="10">
        <f>+Risultati!AL34</f>
        <v>1304.3800000000001</v>
      </c>
      <c r="CS35" s="31">
        <f t="shared" si="66"/>
        <v>3.9128276780947338E-3</v>
      </c>
      <c r="CT35" s="10">
        <f t="shared" si="67"/>
        <v>327202.28500000003</v>
      </c>
      <c r="CU35" s="31">
        <f t="shared" si="68"/>
        <v>0.98152850939438008</v>
      </c>
      <c r="CV35" s="10">
        <f>+Risultati!AX34</f>
        <v>184.108</v>
      </c>
      <c r="CW35" s="31">
        <f t="shared" si="69"/>
        <v>5.5227991701702365E-4</v>
      </c>
      <c r="CX35" s="10">
        <f t="shared" si="70"/>
        <v>333359.94000000006</v>
      </c>
      <c r="CY35" s="31">
        <f t="shared" si="71"/>
        <v>1</v>
      </c>
      <c r="CZ35" s="10">
        <f>+Risultati!AG34</f>
        <v>18479.802</v>
      </c>
      <c r="DA35" s="31">
        <f t="shared" si="72"/>
        <v>5.5434981179802216E-2</v>
      </c>
      <c r="DB35" s="10">
        <f t="shared" si="73"/>
        <v>1346.1050000000405</v>
      </c>
      <c r="DC35" s="31">
        <f t="shared" si="74"/>
        <v>4.0379926874238104E-3</v>
      </c>
      <c r="DD35" s="10">
        <f>+Risultati!AV34</f>
        <v>313477.70699999999</v>
      </c>
      <c r="DE35" s="31">
        <f t="shared" si="75"/>
        <v>0.94035806161952129</v>
      </c>
      <c r="DF35" s="10">
        <f>+Risultati!AJ34</f>
        <v>257361.70699999999</v>
      </c>
      <c r="DG35" s="31">
        <f t="shared" si="76"/>
        <v>0.77202349808438275</v>
      </c>
      <c r="DH35" s="10">
        <f t="shared" si="77"/>
        <v>56116</v>
      </c>
      <c r="DI35" s="31">
        <f t="shared" si="78"/>
        <v>0.16833456353513859</v>
      </c>
      <c r="DJ35" s="10">
        <f>+Risultati!AW34</f>
        <v>56.326000000000001</v>
      </c>
      <c r="DK35" s="31">
        <f t="shared" si="79"/>
        <v>1.6896451325255216E-4</v>
      </c>
      <c r="DL35" s="10">
        <f t="shared" si="50"/>
        <v>333359.94000000006</v>
      </c>
      <c r="DM35" s="31">
        <f t="shared" si="80"/>
        <v>1</v>
      </c>
      <c r="DO35" s="30"/>
      <c r="DP35" s="30"/>
    </row>
    <row r="36" spans="1:120" x14ac:dyDescent="0.2">
      <c r="A36" s="5"/>
      <c r="B36" s="6" t="str">
        <f>+Risultati!B35</f>
        <v>IN'S MERCATO S.P.A.</v>
      </c>
      <c r="C36" s="6" t="str">
        <f>+Risultati!C35</f>
        <v>02896940273</v>
      </c>
      <c r="D36" s="26">
        <f>IF(YEAR(Risultati!D35)=1900,(MID(Risultati!$AP$1,29,4)),YEAR(Risultati!D35))</f>
        <v>2023</v>
      </c>
      <c r="E36" s="6" t="str">
        <f>+Risultati!E35</f>
        <v>Dettagliato</v>
      </c>
      <c r="F36" s="8" t="str">
        <f>(LEFT(Risultati!AN35,2)&amp;"-")&amp;VLOOKUP((LEFT(Risultati!AN35,2)),ateco!$B$4:$C$93,2,FALSE)</f>
        <v>47-Commercio al dettaglio (escluso quello di autoveicoli e di motocicli)</v>
      </c>
      <c r="G36" s="8" t="str">
        <f>SUBSTITUTE((Risultati!AN35&amp;"-"&amp;Risultati!AO35),",",";")</f>
        <v>471130-Discount di alimentari</v>
      </c>
      <c r="I36" s="10">
        <f>+Risultati!G35</f>
        <v>1393094.5360000001</v>
      </c>
      <c r="J36" s="11">
        <f t="shared" si="2"/>
        <v>1</v>
      </c>
      <c r="K36" s="12"/>
      <c r="L36" s="10">
        <f>+Risultati!G35+Risultati!H35</f>
        <v>1393094.5360000001</v>
      </c>
      <c r="M36" s="11">
        <f t="shared" si="3"/>
        <v>0.99209769826192784</v>
      </c>
      <c r="N36" s="12"/>
      <c r="O36" s="10">
        <f>+Risultati!I35+Risultati!J35</f>
        <v>1017488.9859999999</v>
      </c>
      <c r="P36" s="11">
        <f t="shared" si="4"/>
        <v>0.72460874329167768</v>
      </c>
      <c r="Q36" s="12"/>
      <c r="R36" s="13">
        <f t="shared" si="51"/>
        <v>375605.55000000016</v>
      </c>
      <c r="S36" s="11">
        <f t="shared" si="6"/>
        <v>0.26748895497025021</v>
      </c>
      <c r="T36" s="12"/>
      <c r="U36" s="10">
        <f>+Risultati!F35-(Risultati!G35+Risultati!H35)</f>
        <v>11096.339999999851</v>
      </c>
      <c r="V36" s="12">
        <f t="shared" si="7"/>
        <v>7.9023017380721473E-3</v>
      </c>
      <c r="W36" s="12"/>
      <c r="X36" s="10">
        <f t="shared" si="52"/>
        <v>386701.89</v>
      </c>
      <c r="Y36" s="12">
        <f t="shared" si="9"/>
        <v>0.27539125670832237</v>
      </c>
      <c r="Z36" s="12"/>
      <c r="AA36" s="10">
        <f>+Risultati!K35</f>
        <v>115062.45</v>
      </c>
      <c r="AB36" s="12">
        <f t="shared" si="10"/>
        <v>8.1942171799156457E-2</v>
      </c>
      <c r="AC36" s="12"/>
      <c r="AD36" s="10">
        <f>+Risultati!L35</f>
        <v>113492.43799999999</v>
      </c>
      <c r="AE36" s="12">
        <f t="shared" si="11"/>
        <v>8.0824081640023415E-2</v>
      </c>
      <c r="AF36" s="12"/>
      <c r="AG36" s="10">
        <f>+Risultati!M35+Risultati!P35+Risultati!Q35</f>
        <v>12848.584000000001</v>
      </c>
      <c r="AH36" s="12">
        <f t="shared" si="12"/>
        <v>9.1501691255826117E-3</v>
      </c>
      <c r="AI36" s="12"/>
      <c r="AJ36" s="13">
        <f t="shared" si="53"/>
        <v>145298.41800000001</v>
      </c>
      <c r="AK36" s="11">
        <f t="shared" si="14"/>
        <v>0.10347483414355985</v>
      </c>
      <c r="AL36" s="12"/>
      <c r="AM36" s="10">
        <f>+Risultati!N35</f>
        <v>56890.813999999998</v>
      </c>
      <c r="AN36" s="12">
        <f t="shared" si="15"/>
        <v>4.0515014712287592E-2</v>
      </c>
      <c r="AO36" s="12"/>
      <c r="AP36" s="10">
        <f t="shared" si="54"/>
        <v>88407.604000000007</v>
      </c>
      <c r="AQ36" s="41">
        <f t="shared" si="16"/>
        <v>6.2959819431272254E-2</v>
      </c>
      <c r="AR36" s="12"/>
      <c r="AS36" s="10">
        <f>+Risultati!O35</f>
        <v>48271.894999999997</v>
      </c>
      <c r="AT36" s="12">
        <f t="shared" si="17"/>
        <v>3.437701798597928E-2</v>
      </c>
      <c r="AU36" s="12"/>
      <c r="AV36" s="10">
        <f t="shared" si="55"/>
        <v>40135.70900000001</v>
      </c>
      <c r="AW36" s="12">
        <f t="shared" si="19"/>
        <v>2.8582801445292978E-2</v>
      </c>
      <c r="AX36" s="12"/>
      <c r="AY36" s="10">
        <f>+Risultati!R35+Risultati!S35</f>
        <v>-348.95</v>
      </c>
      <c r="AZ36" s="12">
        <f t="shared" si="20"/>
        <v>-2.4850610124602465E-4</v>
      </c>
      <c r="BA36" s="12"/>
      <c r="BB36" s="10">
        <f>+Risultati!T35</f>
        <v>0</v>
      </c>
      <c r="BC36" s="12">
        <f t="shared" si="21"/>
        <v>0</v>
      </c>
      <c r="BD36" s="12"/>
      <c r="BE36" s="10">
        <f>+Risultati!U35</f>
        <v>10396.178</v>
      </c>
      <c r="BF36" s="12">
        <f t="shared" si="22"/>
        <v>7.4036786434723998E-3</v>
      </c>
      <c r="BG36" s="12"/>
      <c r="BH36" s="10">
        <f t="shared" si="56"/>
        <v>29390.581000000013</v>
      </c>
      <c r="BI36" s="12">
        <f t="shared" si="24"/>
        <v>2.0930616700574556E-2</v>
      </c>
      <c r="BK36" s="16">
        <f>IF(ISNUMBER(Risultati!X35/100),(Risultati!X35/100))</f>
        <v>0.161467174624529</v>
      </c>
      <c r="BL36" s="16">
        <f>IF(ISNUMBER(Risultati!Y35/100),(Risultati!Y35/100))</f>
        <v>0.347288541726261</v>
      </c>
      <c r="BM36" s="16">
        <f>IF(ISNUMBER(Risultati!Z35/100),(Risultati!Z35/100))</f>
        <v>0.74549958642548697</v>
      </c>
      <c r="BN36" s="16">
        <f>IF(AND(Risultati!AY35&lt;0,calcoli!AP36&lt;0),-IF(ISNUMBER(Risultati!AA35/100),(Risultati!AA35/100)),IF(ISNUMBER(Risultati!AA35/100),(Risultati!AA35/100)))</f>
        <v>1.0717245752539</v>
      </c>
      <c r="BO36" s="16">
        <f t="shared" si="0"/>
        <v>2.0930616700574556E-2</v>
      </c>
      <c r="BP36" s="16">
        <f>IF(Risultati!AB35&gt;0,(AV36/Risultati!AB35),"0")</f>
        <v>7.3451030190285121E-2</v>
      </c>
      <c r="BQ36" s="16">
        <f>IF(Risultati!AG35&lt;&gt;0,(BH36/Risultati!AG35),"0")</f>
        <v>0.14705066133864478</v>
      </c>
      <c r="BR36" s="16">
        <f t="shared" si="1"/>
        <v>2.0930616700574556E-2</v>
      </c>
      <c r="BS36" s="14">
        <f>IF(Risultati!AB35&gt;0,(Risultati!G35/Risultati!AB35),"0")</f>
        <v>2.5494561170367569</v>
      </c>
      <c r="BT36" s="15">
        <f>IF(Risultati!AG35&lt;&gt;0,(Risultati!AB35/Risultati!AG35),"0")</f>
        <v>2.7339581256827912</v>
      </c>
      <c r="BU36" s="23">
        <f>IF(AND(Risultati!G35&gt;0,(Risultati!AE35-Risultati!AF35)&gt;=0),((Risultati!AE35-Risultati!AF35)/Risultati!G35*360),"0")</f>
        <v>22.217147968197903</v>
      </c>
      <c r="BV36" s="21">
        <f>IF(OR(E36="abbreviato",Risultati!G35=0),"0",((Risultati!AC35+Risultati!AD35)/Risultati!G35*360))</f>
        <v>1.2126091060915625</v>
      </c>
      <c r="BW36" s="21">
        <f>IF(OR(E36="abbreviato",Risultati!G35=0,SUM(Risultati!I35+Risultati!K35+Risultati!M35)=0),"0",(((Risultati!AH35+Risultati!AI35)/(Risultati!I35+Risultati!K35+Risultati!N35)*360)))</f>
        <v>83.037957163810248</v>
      </c>
      <c r="BX36" s="16">
        <f>IF(Risultati!AB35&gt;0,(+Risultati!AG35/Risultati!AB35),"0")</f>
        <v>0.36577004987969791</v>
      </c>
      <c r="BY36" s="22">
        <f>IF(OR(E36="abbreviato",Risultati!G35=0),"0",(((Risultati!AK35-(Risultati!AL35+Risultati!AM35))/Risultati!G35)))</f>
        <v>-1.2177322903519016E-2</v>
      </c>
      <c r="BZ36" s="16">
        <f>IF(Risultati!G35&gt;0,(Risultati!AJ35/Risultati!G35),"0")</f>
        <v>0.21769934571044786</v>
      </c>
      <c r="CA36" s="8"/>
      <c r="CB36" s="10">
        <f>+Risultati!AP35</f>
        <v>0</v>
      </c>
      <c r="CC36" s="31">
        <f t="shared" si="57"/>
        <v>0</v>
      </c>
      <c r="CD36" s="10">
        <f>+Risultati!AQ35</f>
        <v>173686.30900000001</v>
      </c>
      <c r="CE36" s="31">
        <f t="shared" si="58"/>
        <v>0.31785755487708434</v>
      </c>
      <c r="CF36" s="10">
        <f>+Risultati!AR35</f>
        <v>216160.47899999999</v>
      </c>
      <c r="CG36" s="31">
        <f t="shared" si="59"/>
        <v>0.39558812500298646</v>
      </c>
      <c r="CH36" s="10">
        <f>+Risultati!AS35</f>
        <v>3012.8069999999998</v>
      </c>
      <c r="CI36" s="31">
        <f t="shared" si="60"/>
        <v>5.5136381897352869E-3</v>
      </c>
      <c r="CJ36" s="10">
        <f t="shared" si="61"/>
        <v>392859.59499999997</v>
      </c>
      <c r="CK36" s="31">
        <f t="shared" si="62"/>
        <v>0.71895931806980606</v>
      </c>
      <c r="CL36" s="10">
        <f>+Risultati!AE35+Risultati!AF35</f>
        <v>85973.854000000007</v>
      </c>
      <c r="CM36" s="31">
        <f t="shared" si="63"/>
        <v>0.15733789941842474</v>
      </c>
      <c r="CN36" s="10">
        <f>+Risultati!AT35</f>
        <v>13267.007</v>
      </c>
      <c r="CO36" s="31">
        <f t="shared" si="64"/>
        <v>2.4279509593108813E-2</v>
      </c>
      <c r="CP36" s="10">
        <f>+Risultati!AU35</f>
        <v>10719.522000000001</v>
      </c>
      <c r="CQ36" s="31">
        <f t="shared" si="65"/>
        <v>1.9617441766069846E-2</v>
      </c>
      <c r="CR36" s="10">
        <f>+Risultati!AL35</f>
        <v>42037.216</v>
      </c>
      <c r="CS36" s="31">
        <f t="shared" si="66"/>
        <v>7.6930915099357927E-2</v>
      </c>
      <c r="CT36" s="10">
        <f t="shared" si="67"/>
        <v>151997.59899999999</v>
      </c>
      <c r="CU36" s="31">
        <f t="shared" si="68"/>
        <v>0.27816576587696129</v>
      </c>
      <c r="CV36" s="10">
        <f>+Risultati!AX35</f>
        <v>1570.9349999999999</v>
      </c>
      <c r="CW36" s="31">
        <f t="shared" si="69"/>
        <v>2.8749160532326842E-3</v>
      </c>
      <c r="CX36" s="10">
        <f t="shared" si="70"/>
        <v>546428.12899999996</v>
      </c>
      <c r="CY36" s="31">
        <f t="shared" si="71"/>
        <v>1</v>
      </c>
      <c r="CZ36" s="10">
        <f>+Risultati!AG35</f>
        <v>199867.04399999999</v>
      </c>
      <c r="DA36" s="31">
        <f t="shared" si="72"/>
        <v>0.36577004987969791</v>
      </c>
      <c r="DB36" s="10">
        <f t="shared" si="73"/>
        <v>13125.092999999972</v>
      </c>
      <c r="DC36" s="31">
        <f t="shared" si="74"/>
        <v>2.4019797487401993E-2</v>
      </c>
      <c r="DD36" s="10">
        <f>+Risultati!AV35</f>
        <v>328100.03899999999</v>
      </c>
      <c r="DE36" s="31">
        <f t="shared" si="75"/>
        <v>0.60044500198122119</v>
      </c>
      <c r="DF36" s="10">
        <f>+Risultati!AJ35</f>
        <v>303275.76899999997</v>
      </c>
      <c r="DG36" s="31">
        <f t="shared" si="76"/>
        <v>0.555014928596401</v>
      </c>
      <c r="DH36" s="10">
        <f t="shared" si="77"/>
        <v>24824.270000000019</v>
      </c>
      <c r="DI36" s="31">
        <f t="shared" si="78"/>
        <v>4.543007338482024E-2</v>
      </c>
      <c r="DJ36" s="10">
        <f>+Risultati!AW35</f>
        <v>5335.9530000000004</v>
      </c>
      <c r="DK36" s="31">
        <f t="shared" si="79"/>
        <v>9.7651506516788431E-3</v>
      </c>
      <c r="DL36" s="10">
        <f t="shared" si="50"/>
        <v>546428.12899999996</v>
      </c>
      <c r="DM36" s="31">
        <f t="shared" si="80"/>
        <v>1</v>
      </c>
      <c r="DO36" s="30"/>
      <c r="DP36" s="30"/>
    </row>
    <row r="37" spans="1:120" x14ac:dyDescent="0.2">
      <c r="A37" s="5"/>
      <c r="B37" s="6" t="str">
        <f>+Risultati!B36</f>
        <v>CONAD CENTRO NORD SOCIETA' COOPERATIVA</v>
      </c>
      <c r="C37" s="6" t="str">
        <f>+Risultati!C36</f>
        <v>01751820356</v>
      </c>
      <c r="D37" s="26">
        <f>IF(YEAR(Risultati!D36)=1900,(MID(Risultati!$AP$1,29,4)),YEAR(Risultati!D36))</f>
        <v>2023</v>
      </c>
      <c r="E37" s="6" t="str">
        <f>+Risultati!E36</f>
        <v>Dettagliato</v>
      </c>
      <c r="F37" s="8" t="str">
        <f>(LEFT(Risultati!AN36,2)&amp;"-")&amp;VLOOKUP((LEFT(Risultati!AN36,2)),ateco!$B$4:$C$93,2,FALSE)</f>
        <v>46-Commercio all'ingrosso (escluso quello di autoveicoli e di motocicli)</v>
      </c>
      <c r="G37" s="8" t="str">
        <f>SUBSTITUTE((Risultati!AN36&amp;"-"&amp;Risultati!AO36),",",";")</f>
        <v>461904-Gruppi di acquisto; mandatari agli acquisti; buyer</v>
      </c>
      <c r="I37" s="10">
        <f>+Risultati!G36</f>
        <v>1350867.324</v>
      </c>
      <c r="J37" s="11">
        <f t="shared" si="2"/>
        <v>1</v>
      </c>
      <c r="K37" s="12"/>
      <c r="L37" s="10">
        <f>+Risultati!G36+Risultati!H36</f>
        <v>1350867.324</v>
      </c>
      <c r="M37" s="11">
        <f t="shared" si="3"/>
        <v>0.86370065386866701</v>
      </c>
      <c r="N37" s="12"/>
      <c r="O37" s="10">
        <f>+Risultati!I36+Risultati!J36</f>
        <v>1370554.8939999999</v>
      </c>
      <c r="P37" s="11">
        <f t="shared" si="4"/>
        <v>0.87628824613622935</v>
      </c>
      <c r="Q37" s="12"/>
      <c r="R37" s="13">
        <f t="shared" si="51"/>
        <v>-19687.569999999832</v>
      </c>
      <c r="S37" s="11">
        <f t="shared" si="6"/>
        <v>-1.2587592267562323E-2</v>
      </c>
      <c r="T37" s="12"/>
      <c r="U37" s="10">
        <f>+Risultati!F36-(Risultati!G36+Risultati!H36)</f>
        <v>213178.41100000008</v>
      </c>
      <c r="V37" s="12">
        <f t="shared" si="7"/>
        <v>0.13629934613133296</v>
      </c>
      <c r="W37" s="12"/>
      <c r="X37" s="10">
        <f t="shared" si="52"/>
        <v>193490.84100000025</v>
      </c>
      <c r="Y37" s="12">
        <f t="shared" si="9"/>
        <v>0.12371175386377063</v>
      </c>
      <c r="Z37" s="12"/>
      <c r="AA37" s="10">
        <f>+Risultati!K36</f>
        <v>83039.305999999997</v>
      </c>
      <c r="AB37" s="12">
        <f t="shared" si="10"/>
        <v>5.3092632869843788E-2</v>
      </c>
      <c r="AC37" s="12"/>
      <c r="AD37" s="10">
        <f>+Risultati!L36</f>
        <v>13368.226000000001</v>
      </c>
      <c r="AE37" s="12">
        <f t="shared" si="11"/>
        <v>8.5472091389961809E-3</v>
      </c>
      <c r="AF37" s="12"/>
      <c r="AG37" s="10">
        <f>+Risultati!M36+Risultati!P36+Risultati!Q36</f>
        <v>18998.253000000001</v>
      </c>
      <c r="AH37" s="12">
        <f t="shared" si="12"/>
        <v>1.214686538562122E-2</v>
      </c>
      <c r="AI37" s="12"/>
      <c r="AJ37" s="13">
        <f t="shared" si="53"/>
        <v>78085.056000000259</v>
      </c>
      <c r="AK37" s="11">
        <f t="shared" si="14"/>
        <v>4.9925046469309453E-2</v>
      </c>
      <c r="AL37" s="12"/>
      <c r="AM37" s="10">
        <f>+Risultati!N36</f>
        <v>26698.633999999998</v>
      </c>
      <c r="AN37" s="12">
        <f t="shared" si="15"/>
        <v>1.7070238678154763E-2</v>
      </c>
      <c r="AO37" s="12"/>
      <c r="AP37" s="10">
        <f t="shared" si="54"/>
        <v>51386.422000000261</v>
      </c>
      <c r="AQ37" s="41">
        <f t="shared" si="16"/>
        <v>3.2854807791154683E-2</v>
      </c>
      <c r="AR37" s="12"/>
      <c r="AS37" s="10">
        <f>+Risultati!O36</f>
        <v>15532.584999999999</v>
      </c>
      <c r="AT37" s="12">
        <f t="shared" si="17"/>
        <v>9.93102992605264E-3</v>
      </c>
      <c r="AU37" s="12"/>
      <c r="AV37" s="10">
        <f t="shared" si="55"/>
        <v>35853.837000000261</v>
      </c>
      <c r="AW37" s="12">
        <f t="shared" si="19"/>
        <v>2.2923777865102045E-2</v>
      </c>
      <c r="AX37" s="12"/>
      <c r="AY37" s="10">
        <f>+Risultati!R36+Risultati!S36</f>
        <v>-2765.3379999999997</v>
      </c>
      <c r="AZ37" s="12">
        <f t="shared" si="20"/>
        <v>-1.7680672234306495E-3</v>
      </c>
      <c r="BA37" s="12"/>
      <c r="BB37" s="10">
        <f>+Risultati!T36</f>
        <v>0</v>
      </c>
      <c r="BC37" s="12">
        <f t="shared" si="21"/>
        <v>0</v>
      </c>
      <c r="BD37" s="12"/>
      <c r="BE37" s="10">
        <f>+Risultati!U36</f>
        <v>3492.4780000000001</v>
      </c>
      <c r="BF37" s="12">
        <f t="shared" si="22"/>
        <v>2.2329769020469213E-3</v>
      </c>
      <c r="BG37" s="12"/>
      <c r="BH37" s="10">
        <f t="shared" si="56"/>
        <v>29596.021000000259</v>
      </c>
      <c r="BI37" s="12">
        <f t="shared" si="24"/>
        <v>1.8922733739624473E-2</v>
      </c>
      <c r="BK37" s="16">
        <f>IF(ISNUMBER(Risultati!X36/100),(Risultati!X36/100))</f>
        <v>6.9279277252625601E-2</v>
      </c>
      <c r="BL37" s="16">
        <f>IF(ISNUMBER(Risultati!Y36/100),(Risultati!Y36/100))</f>
        <v>0.13729253222728802</v>
      </c>
      <c r="BM37" s="16">
        <f>IF(ISNUMBER(Risultati!Z36/100),(Risultati!Z36/100))</f>
        <v>0.512635304996096</v>
      </c>
      <c r="BN37" s="16">
        <f>IF(AND(Risultati!AY36&lt;0,calcoli!AP37&lt;0),-IF(ISNUMBER(Risultati!AA36/100),(Risultati!AA36/100)),IF(ISNUMBER(Risultati!AA36/100),(Risultati!AA36/100)))</f>
        <v>0.103382382692881</v>
      </c>
      <c r="BO37" s="16">
        <f t="shared" si="0"/>
        <v>1.8922733739624473E-2</v>
      </c>
      <c r="BP37" s="16">
        <f>IF(Risultati!AB36&gt;0,(AV37/Risultati!AB36),"0")</f>
        <v>4.6962833695412209E-2</v>
      </c>
      <c r="BQ37" s="16">
        <f>IF(Risultati!AG36&lt;&gt;0,(BH37/Risultati!AG36),"0")</f>
        <v>8.4183303398211423E-2</v>
      </c>
      <c r="BR37" s="16">
        <f t="shared" si="1"/>
        <v>1.8922733739624473E-2</v>
      </c>
      <c r="BS37" s="14">
        <f>IF(Risultati!AB36&gt;0,(Risultati!G36/Risultati!AB36),"0")</f>
        <v>1.7694217074054881</v>
      </c>
      <c r="BT37" s="15">
        <f>IF(Risultati!AG36&lt;&gt;0,(Risultati!AB36/Risultati!AG36),"0")</f>
        <v>2.1715707468871579</v>
      </c>
      <c r="BU37" s="23">
        <f>IF(AND(Risultati!G36&gt;0,(Risultati!AE36-Risultati!AF36)&gt;=0),((Risultati!AE36-Risultati!AF36)/Risultati!G36*360),"0")</f>
        <v>15.970602424609391</v>
      </c>
      <c r="BV37" s="21">
        <f>IF(OR(E37="abbreviato",Risultati!G36=0),"0",((Risultati!AC36+Risultati!AD36)/Risultati!G36*360))</f>
        <v>17.805723695186511</v>
      </c>
      <c r="BW37" s="21">
        <f>IF(OR(E37="abbreviato",Risultati!G36=0,SUM(Risultati!I36+Risultati!K36+Risultati!M36)=0),"0",(((Risultati!AH36+Risultati!AI36)/(Risultati!I36+Risultati!K36+Risultati!N36)*360)))</f>
        <v>57.951216765909614</v>
      </c>
      <c r="BX37" s="16">
        <f>IF(Risultati!AB36&gt;0,(+Risultati!AG36/Risultati!AB36),"0")</f>
        <v>0.46049616455436782</v>
      </c>
      <c r="BY37" s="22">
        <f>IF(OR(E37="abbreviato",Risultati!G36=0),"0",(((Risultati!AK36-(Risultati!AL36+Risultati!AM36))/Risultati!G36)))</f>
        <v>5.1572516976508047E-2</v>
      </c>
      <c r="BZ37" s="16">
        <f>IF(Risultati!G36&gt;0,(Risultati!AJ36/Risultati!G36),"0")</f>
        <v>0.23825786091780543</v>
      </c>
      <c r="CA37" s="8"/>
      <c r="CB37" s="10">
        <f>+Risultati!AP36</f>
        <v>9417.6869999999999</v>
      </c>
      <c r="CC37" s="31">
        <f t="shared" si="57"/>
        <v>1.2489744074742026E-2</v>
      </c>
      <c r="CD37" s="10">
        <f>+Risultati!AQ36</f>
        <v>17383.145</v>
      </c>
      <c r="CE37" s="31">
        <f t="shared" si="58"/>
        <v>2.3053540881548883E-2</v>
      </c>
      <c r="CF37" s="10">
        <f>+Risultati!AR36</f>
        <v>284437.12800000003</v>
      </c>
      <c r="CG37" s="31">
        <f t="shared" si="59"/>
        <v>0.37722074794741417</v>
      </c>
      <c r="CH37" s="10">
        <f>+Risultati!AS36</f>
        <v>167080.85999999999</v>
      </c>
      <c r="CI37" s="31">
        <f t="shared" si="60"/>
        <v>0.22158277092749012</v>
      </c>
      <c r="CJ37" s="10">
        <f t="shared" si="61"/>
        <v>468901.13300000003</v>
      </c>
      <c r="CK37" s="31">
        <f t="shared" si="62"/>
        <v>0.62185705975645322</v>
      </c>
      <c r="CL37" s="10">
        <f>+Risultati!AE36+Risultati!AF36</f>
        <v>59928.235999999997</v>
      </c>
      <c r="CM37" s="31">
        <f t="shared" si="63"/>
        <v>7.9476874787911475E-2</v>
      </c>
      <c r="CN37" s="10">
        <f>+Risultati!AT36</f>
        <v>183491.30900000001</v>
      </c>
      <c r="CO37" s="31">
        <f t="shared" si="64"/>
        <v>0.24334632159142772</v>
      </c>
      <c r="CP37" s="10">
        <f>+Risultati!AU36</f>
        <v>759.91399999999999</v>
      </c>
      <c r="CQ37" s="31">
        <f t="shared" si="65"/>
        <v>1.0077985580550205E-3</v>
      </c>
      <c r="CR37" s="10">
        <f>+Risultati!AL36</f>
        <v>29445.076000000001</v>
      </c>
      <c r="CS37" s="31">
        <f t="shared" si="66"/>
        <v>3.9050083476051885E-2</v>
      </c>
      <c r="CT37" s="10">
        <f t="shared" si="67"/>
        <v>273624.53499999997</v>
      </c>
      <c r="CU37" s="31">
        <f t="shared" si="68"/>
        <v>0.36288107841344602</v>
      </c>
      <c r="CV37" s="10">
        <f>+Risultati!AX36</f>
        <v>11507.957</v>
      </c>
      <c r="CW37" s="31">
        <f t="shared" si="69"/>
        <v>1.5261861830100747E-2</v>
      </c>
      <c r="CX37" s="10">
        <f t="shared" si="70"/>
        <v>754033.625</v>
      </c>
      <c r="CY37" s="31">
        <f t="shared" si="71"/>
        <v>1</v>
      </c>
      <c r="CZ37" s="10">
        <f>+Risultati!AG36</f>
        <v>351566.40100000001</v>
      </c>
      <c r="DA37" s="31">
        <f t="shared" si="72"/>
        <v>0.46624764379705219</v>
      </c>
      <c r="DB37" s="10">
        <f t="shared" si="73"/>
        <v>2046.9309999999707</v>
      </c>
      <c r="DC37" s="31">
        <f t="shared" si="74"/>
        <v>2.7146415386979203E-3</v>
      </c>
      <c r="DD37" s="10">
        <f>+Risultati!AV36</f>
        <v>399198.74300000002</v>
      </c>
      <c r="DE37" s="31">
        <f t="shared" si="75"/>
        <v>0.52941769407166694</v>
      </c>
      <c r="DF37" s="10">
        <f>+Risultati!AJ36</f>
        <v>321854.75900000002</v>
      </c>
      <c r="DG37" s="31">
        <f t="shared" si="76"/>
        <v>0.42684404027738154</v>
      </c>
      <c r="DH37" s="10">
        <f t="shared" si="77"/>
        <v>77343.983999999997</v>
      </c>
      <c r="DI37" s="31">
        <f t="shared" si="78"/>
        <v>0.10257365379428536</v>
      </c>
      <c r="DJ37" s="10">
        <f>+Risultati!AW36</f>
        <v>1221.55</v>
      </c>
      <c r="DK37" s="31">
        <f t="shared" si="79"/>
        <v>1.6200205925829898E-3</v>
      </c>
      <c r="DL37" s="10">
        <f t="shared" si="50"/>
        <v>754033.625</v>
      </c>
      <c r="DM37" s="31">
        <f t="shared" si="80"/>
        <v>1</v>
      </c>
      <c r="DO37" s="30"/>
      <c r="DP37" s="30"/>
    </row>
    <row r="38" spans="1:120" x14ac:dyDescent="0.2">
      <c r="A38" s="5"/>
      <c r="B38" s="6" t="str">
        <f>+Risultati!B37</f>
        <v>ALI' S.P.A.</v>
      </c>
      <c r="C38" s="6" t="str">
        <f>+Risultati!C37</f>
        <v>00348980285</v>
      </c>
      <c r="D38" s="26">
        <f>IF(YEAR(Risultati!D37)=1900,(MID(Risultati!$AP$1,29,4)),YEAR(Risultati!D37))</f>
        <v>2023</v>
      </c>
      <c r="E38" s="6" t="str">
        <f>+Risultati!E37</f>
        <v>Dettagliato</v>
      </c>
      <c r="F38" s="8" t="str">
        <f>(LEFT(Risultati!AN37,2)&amp;"-")&amp;VLOOKUP((LEFT(Risultati!AN37,2)),ateco!$B$4:$C$93,2,FALSE)</f>
        <v>47-Commercio al dettaglio (escluso quello di autoveicoli e di motocicli)</v>
      </c>
      <c r="G38" s="8" t="str">
        <f>SUBSTITUTE((Risultati!AN37&amp;"-"&amp;Risultati!AO37),",",";")</f>
        <v>471120-Supermercati</v>
      </c>
      <c r="I38" s="10">
        <f>+Risultati!G37</f>
        <v>1348522.469</v>
      </c>
      <c r="J38" s="11">
        <f t="shared" si="2"/>
        <v>1</v>
      </c>
      <c r="K38" s="12"/>
      <c r="L38" s="10">
        <f>+Risultati!G37+Risultati!H37</f>
        <v>1348522.469</v>
      </c>
      <c r="M38" s="11">
        <f t="shared" si="3"/>
        <v>0.99187496414672627</v>
      </c>
      <c r="N38" s="12"/>
      <c r="O38" s="10">
        <f>+Risultati!I37+Risultati!J37</f>
        <v>976531.37699999998</v>
      </c>
      <c r="P38" s="11">
        <f t="shared" si="4"/>
        <v>0.71826539550971935</v>
      </c>
      <c r="Q38" s="12"/>
      <c r="R38" s="13">
        <f t="shared" si="51"/>
        <v>371991.09200000006</v>
      </c>
      <c r="S38" s="11">
        <f t="shared" si="6"/>
        <v>0.27360956863700697</v>
      </c>
      <c r="T38" s="12"/>
      <c r="U38" s="10">
        <f>+Risultati!F37-(Risultati!G37+Risultati!H37)</f>
        <v>11046.54700000002</v>
      </c>
      <c r="V38" s="12">
        <f t="shared" si="7"/>
        <v>8.1250358532736818E-3</v>
      </c>
      <c r="W38" s="12"/>
      <c r="X38" s="10">
        <f t="shared" si="52"/>
        <v>383037.63900000008</v>
      </c>
      <c r="Y38" s="12">
        <f t="shared" si="9"/>
        <v>0.28173460449028065</v>
      </c>
      <c r="Z38" s="12"/>
      <c r="AA38" s="10">
        <f>+Risultati!K37</f>
        <v>69962.486999999994</v>
      </c>
      <c r="AB38" s="12">
        <f t="shared" si="10"/>
        <v>5.1459312603222777E-2</v>
      </c>
      <c r="AC38" s="12"/>
      <c r="AD38" s="10">
        <f>+Risultati!L37</f>
        <v>180407.79300000001</v>
      </c>
      <c r="AE38" s="12">
        <f t="shared" si="11"/>
        <v>0.13269483996537326</v>
      </c>
      <c r="AF38" s="12"/>
      <c r="AG38" s="10">
        <f>+Risultati!M37+Risultati!P37+Risultati!Q37</f>
        <v>19271.32</v>
      </c>
      <c r="AH38" s="12">
        <f t="shared" si="12"/>
        <v>1.4174580159746741E-2</v>
      </c>
      <c r="AI38" s="12"/>
      <c r="AJ38" s="13">
        <f t="shared" si="53"/>
        <v>113396.03900000011</v>
      </c>
      <c r="AK38" s="11">
        <f t="shared" si="14"/>
        <v>8.3405871761937908E-2</v>
      </c>
      <c r="AL38" s="12"/>
      <c r="AM38" s="10">
        <f>+Risultati!N37</f>
        <v>6352.1469999999999</v>
      </c>
      <c r="AN38" s="12">
        <f t="shared" si="15"/>
        <v>4.672176936400557E-3</v>
      </c>
      <c r="AO38" s="12"/>
      <c r="AP38" s="10">
        <f t="shared" si="54"/>
        <v>107043.89200000011</v>
      </c>
      <c r="AQ38" s="41">
        <f t="shared" si="16"/>
        <v>7.8733694825537354E-2</v>
      </c>
      <c r="AR38" s="12"/>
      <c r="AS38" s="10">
        <f>+Risultati!O37</f>
        <v>43541.771999999997</v>
      </c>
      <c r="AT38" s="12">
        <f t="shared" si="17"/>
        <v>3.2026157912972031E-2</v>
      </c>
      <c r="AU38" s="12"/>
      <c r="AV38" s="10">
        <f t="shared" si="55"/>
        <v>63502.120000000112</v>
      </c>
      <c r="AW38" s="12">
        <f t="shared" si="19"/>
        <v>4.6707536912565316E-2</v>
      </c>
      <c r="AX38" s="12"/>
      <c r="AY38" s="10">
        <f>+Risultati!R37+Risultati!S37</f>
        <v>366.73399999999992</v>
      </c>
      <c r="AZ38" s="12">
        <f t="shared" si="20"/>
        <v>2.6974283444541213E-4</v>
      </c>
      <c r="BA38" s="12"/>
      <c r="BB38" s="10">
        <f>+Risultati!T37</f>
        <v>0</v>
      </c>
      <c r="BC38" s="12">
        <f t="shared" si="21"/>
        <v>0</v>
      </c>
      <c r="BD38" s="12"/>
      <c r="BE38" s="10">
        <f>+Risultati!U37</f>
        <v>15302.644</v>
      </c>
      <c r="BF38" s="12">
        <f t="shared" si="22"/>
        <v>1.1255510989079497E-2</v>
      </c>
      <c r="BG38" s="12"/>
      <c r="BH38" s="10">
        <f t="shared" si="56"/>
        <v>48566.210000000108</v>
      </c>
      <c r="BI38" s="12">
        <f t="shared" si="24"/>
        <v>3.5721768757931233E-2</v>
      </c>
      <c r="BK38" s="16">
        <f>IF(ISNUMBER(Risultati!X37/100),(Risultati!X37/100))</f>
        <v>9.2359722733021204E-2</v>
      </c>
      <c r="BL38" s="16">
        <f>IF(ISNUMBER(Risultati!Y37/100),(Risultati!Y37/100))</f>
        <v>0.16027265686400199</v>
      </c>
      <c r="BM38" s="16">
        <f>IF(ISNUMBER(Risultati!Z37/100),(Risultati!Z37/100))</f>
        <v>0.26588238212978599</v>
      </c>
      <c r="BN38" s="16">
        <f>IF(AND(Risultati!AY37&lt;0,calcoli!AP38&lt;0),-IF(ISNUMBER(Risultati!AA37/100),(Risultati!AA37/100)),IF(ISNUMBER(Risultati!AA37/100),(Risultati!AA37/100)))</f>
        <v>0.33033245569050401</v>
      </c>
      <c r="BO38" s="16">
        <f t="shared" si="0"/>
        <v>3.5721768757931233E-2</v>
      </c>
      <c r="BP38" s="16">
        <f>IF(Risultati!AB37&gt;0,(AV38/Risultati!AB37),"0")</f>
        <v>5.848245319972456E-2</v>
      </c>
      <c r="BQ38" s="16">
        <f>IF(Risultati!AG37&lt;&gt;0,(BH38/Risultati!AG37),"0")</f>
        <v>5.6996545840708616E-2</v>
      </c>
      <c r="BR38" s="16">
        <f t="shared" si="1"/>
        <v>3.5721768757931233E-2</v>
      </c>
      <c r="BS38" s="14">
        <f>IF(Risultati!AB37&gt;0,(Risultati!G37/Risultati!AB37),"0")</f>
        <v>1.241925500787523</v>
      </c>
      <c r="BT38" s="15">
        <f>IF(Risultati!AG37&lt;&gt;0,(Risultati!AB37/Risultati!AG37),"0")</f>
        <v>1.2743155008030553</v>
      </c>
      <c r="BU38" s="23">
        <f>IF(AND(Risultati!G37&gt;0,(Risultati!AE37-Risultati!AF37)&gt;=0),((Risultati!AE37-Risultati!AF37)/Risultati!G37*360),"0")</f>
        <v>29.239135147105952</v>
      </c>
      <c r="BV38" s="21">
        <f>IF(OR(E38="abbreviato",Risultati!G37=0),"0",((Risultati!AC37+Risultati!AD37)/Risultati!G37*360))</f>
        <v>6.7138280659971716</v>
      </c>
      <c r="BW38" s="21">
        <f>IF(OR(E38="abbreviato",Risultati!G37=0,SUM(Risultati!I37+Risultati!K37+Risultati!M37)=0),"0",(((Risultati!AH37+Risultati!AI37)/(Risultati!I37+Risultati!K37+Risultati!N37)*360)))</f>
        <v>49.970972521377668</v>
      </c>
      <c r="BX38" s="16">
        <f>IF(Risultati!AB37&gt;0,(+Risultati!AG37/Risultati!AB37),"0")</f>
        <v>0.78473501999294071</v>
      </c>
      <c r="BY38" s="22">
        <f>IF(OR(E38="abbreviato",Risultati!G37=0),"0",(((Risultati!AK37-(Risultati!AL37+Risultati!AM37))/Risultati!G37)))</f>
        <v>-4.7870382202730655E-2</v>
      </c>
      <c r="BZ38" s="16">
        <f>IF(Risultati!G37&gt;0,(Risultati!AJ37/Risultati!G37),"0")</f>
        <v>0.14979532313599142</v>
      </c>
      <c r="CA38" s="8"/>
      <c r="CB38" s="10">
        <f>+Risultati!AP37</f>
        <v>0</v>
      </c>
      <c r="CC38" s="31">
        <f t="shared" si="57"/>
        <v>0</v>
      </c>
      <c r="CD38" s="10">
        <f>+Risultati!AQ37</f>
        <v>2132.5770000000002</v>
      </c>
      <c r="CE38" s="31">
        <f t="shared" si="58"/>
        <v>1.9640026915213032E-3</v>
      </c>
      <c r="CF38" s="10">
        <f>+Risultati!AR37</f>
        <v>589016.80500000005</v>
      </c>
      <c r="CG38" s="31">
        <f t="shared" si="59"/>
        <v>0.54245665707323976</v>
      </c>
      <c r="CH38" s="10">
        <f>+Risultati!AS37</f>
        <v>1972.4179999999999</v>
      </c>
      <c r="CI38" s="31">
        <f t="shared" si="60"/>
        <v>1.8165038171212881E-3</v>
      </c>
      <c r="CJ38" s="10">
        <f t="shared" si="61"/>
        <v>593121.80000000005</v>
      </c>
      <c r="CK38" s="31">
        <f t="shared" si="62"/>
        <v>0.54623716358188235</v>
      </c>
      <c r="CL38" s="10">
        <f>+Risultati!AE37+Risultati!AF37</f>
        <v>109526.75199999999</v>
      </c>
      <c r="CM38" s="31">
        <f t="shared" si="63"/>
        <v>0.10086896544489893</v>
      </c>
      <c r="CN38" s="10">
        <f>+Risultati!AT37</f>
        <v>147051.96400000001</v>
      </c>
      <c r="CO38" s="31">
        <f t="shared" si="64"/>
        <v>0.13542791331309198</v>
      </c>
      <c r="CP38" s="10">
        <f>+Risultati!AU37</f>
        <v>169382.63200000001</v>
      </c>
      <c r="CQ38" s="31">
        <f t="shared" si="65"/>
        <v>0.1559934038231503</v>
      </c>
      <c r="CR38" s="10">
        <f>+Risultati!AL37</f>
        <v>64561.188999999998</v>
      </c>
      <c r="CS38" s="31">
        <f t="shared" si="66"/>
        <v>5.945780572697517E-2</v>
      </c>
      <c r="CT38" s="10">
        <f t="shared" si="67"/>
        <v>490522.53700000001</v>
      </c>
      <c r="CU38" s="31">
        <f t="shared" si="68"/>
        <v>0.45174808830811636</v>
      </c>
      <c r="CV38" s="10">
        <f>+Risultati!AX37</f>
        <v>2187.6779999999999</v>
      </c>
      <c r="CW38" s="31">
        <f t="shared" si="69"/>
        <v>2.0147481100011586E-3</v>
      </c>
      <c r="CX38" s="10">
        <f t="shared" si="70"/>
        <v>1085832.0150000001</v>
      </c>
      <c r="CY38" s="31">
        <f t="shared" si="71"/>
        <v>1</v>
      </c>
      <c r="CZ38" s="10">
        <f>+Risultati!AG37</f>
        <v>852090.40800000005</v>
      </c>
      <c r="DA38" s="31">
        <f t="shared" si="72"/>
        <v>0.7847350199929406</v>
      </c>
      <c r="DB38" s="10">
        <f t="shared" si="73"/>
        <v>28287.782000000072</v>
      </c>
      <c r="DC38" s="31">
        <f t="shared" si="74"/>
        <v>2.6051711138762167E-2</v>
      </c>
      <c r="DD38" s="10">
        <f>+Risultati!AV37</f>
        <v>202055.505</v>
      </c>
      <c r="DE38" s="31">
        <f t="shared" si="75"/>
        <v>0.186083576657113</v>
      </c>
      <c r="DF38" s="10">
        <f>+Risultati!AJ37</f>
        <v>202002.359</v>
      </c>
      <c r="DG38" s="31">
        <f t="shared" si="76"/>
        <v>0.18603463170129494</v>
      </c>
      <c r="DH38" s="10">
        <f t="shared" si="77"/>
        <v>53.146000000007916</v>
      </c>
      <c r="DI38" s="31">
        <f t="shared" si="78"/>
        <v>4.8944955818058014E-5</v>
      </c>
      <c r="DJ38" s="10">
        <f>+Risultati!AW37</f>
        <v>3398.32</v>
      </c>
      <c r="DK38" s="31">
        <f t="shared" si="79"/>
        <v>3.1296922111842501E-3</v>
      </c>
      <c r="DL38" s="10">
        <f t="shared" si="50"/>
        <v>1085832.0150000001</v>
      </c>
      <c r="DM38" s="31">
        <f t="shared" si="80"/>
        <v>1</v>
      </c>
      <c r="DO38" s="30"/>
      <c r="DP38" s="30"/>
    </row>
    <row r="39" spans="1:120" x14ac:dyDescent="0.2">
      <c r="A39" s="5"/>
      <c r="B39" s="6" t="str">
        <f>+Risultati!B38</f>
        <v>DIMAR S.P.A.</v>
      </c>
      <c r="C39" s="6" t="str">
        <f>+Risultati!C38</f>
        <v>00294760046</v>
      </c>
      <c r="D39" s="26">
        <f>IF(YEAR(Risultati!D38)=1900,(MID(Risultati!$AP$1,29,4)),YEAR(Risultati!D38))</f>
        <v>2023</v>
      </c>
      <c r="E39" s="6" t="str">
        <f>+Risultati!E38</f>
        <v>Dettagliato</v>
      </c>
      <c r="F39" s="8" t="str">
        <f>(LEFT(Risultati!AN38,2)&amp;"-")&amp;VLOOKUP((LEFT(Risultati!AN38,2)),ateco!$B$4:$C$93,2,FALSE)</f>
        <v>46-Commercio all'ingrosso (escluso quello di autoveicoli e di motocicli)</v>
      </c>
      <c r="G39" s="8" t="str">
        <f>SUBSTITUTE((Risultati!AN38&amp;"-"&amp;Risultati!AO38),",",";")</f>
        <v>469000-Commercio all'ingrosso non specializzato</v>
      </c>
      <c r="I39" s="10">
        <f>+Risultati!G38</f>
        <v>1332694.57</v>
      </c>
      <c r="J39" s="11">
        <f t="shared" si="2"/>
        <v>1</v>
      </c>
      <c r="K39" s="12"/>
      <c r="L39" s="10">
        <f>+Risultati!G38+Risultati!H38</f>
        <v>1332694.57</v>
      </c>
      <c r="M39" s="11">
        <f t="shared" si="3"/>
        <v>0.98940954338399456</v>
      </c>
      <c r="N39" s="12"/>
      <c r="O39" s="10">
        <f>+Risultati!I38+Risultati!J38</f>
        <v>960687.08000000007</v>
      </c>
      <c r="P39" s="11">
        <f t="shared" si="4"/>
        <v>0.7132264110280746</v>
      </c>
      <c r="Q39" s="12"/>
      <c r="R39" s="13">
        <f t="shared" si="51"/>
        <v>372007.49</v>
      </c>
      <c r="S39" s="11">
        <f t="shared" si="6"/>
        <v>0.27618313235592001</v>
      </c>
      <c r="T39" s="12"/>
      <c r="U39" s="10">
        <f>+Risultati!F38-(Risultati!G38+Risultati!H38)</f>
        <v>14264.915999999968</v>
      </c>
      <c r="V39" s="12">
        <f t="shared" si="7"/>
        <v>1.0590456616005425E-2</v>
      </c>
      <c r="W39" s="12"/>
      <c r="X39" s="10">
        <f t="shared" si="52"/>
        <v>386272.40599999996</v>
      </c>
      <c r="Y39" s="12">
        <f t="shared" si="9"/>
        <v>0.28677358897192545</v>
      </c>
      <c r="Z39" s="12"/>
      <c r="AA39" s="10">
        <f>+Risultati!K38</f>
        <v>119545.523</v>
      </c>
      <c r="AB39" s="12">
        <f t="shared" si="10"/>
        <v>8.8752129698428064E-2</v>
      </c>
      <c r="AC39" s="12"/>
      <c r="AD39" s="10">
        <f>+Risultati!L38</f>
        <v>119708.526</v>
      </c>
      <c r="AE39" s="12">
        <f t="shared" si="11"/>
        <v>8.8873145216484997E-2</v>
      </c>
      <c r="AF39" s="12"/>
      <c r="AG39" s="10">
        <f>+Risultati!M38+Risultati!P38+Risultati!Q38</f>
        <v>7908.2269999999999</v>
      </c>
      <c r="AH39" s="12">
        <f t="shared" si="12"/>
        <v>5.87116916447478E-3</v>
      </c>
      <c r="AI39" s="12"/>
      <c r="AJ39" s="13">
        <f t="shared" si="53"/>
        <v>139110.12999999995</v>
      </c>
      <c r="AK39" s="11">
        <f t="shared" si="14"/>
        <v>0.10327714489253757</v>
      </c>
      <c r="AL39" s="12"/>
      <c r="AM39" s="10">
        <f>+Risultati!N38</f>
        <v>11325.255999999999</v>
      </c>
      <c r="AN39" s="12">
        <f t="shared" si="15"/>
        <v>8.4080153246717613E-3</v>
      </c>
      <c r="AO39" s="12"/>
      <c r="AP39" s="10">
        <f t="shared" si="54"/>
        <v>127784.87399999995</v>
      </c>
      <c r="AQ39" s="41">
        <f t="shared" si="16"/>
        <v>9.486912956786582E-2</v>
      </c>
      <c r="AR39" s="12"/>
      <c r="AS39" s="10">
        <f>+Risultati!O38</f>
        <v>64773.381999999998</v>
      </c>
      <c r="AT39" s="12">
        <f t="shared" si="17"/>
        <v>4.8088589651908799E-2</v>
      </c>
      <c r="AU39" s="12"/>
      <c r="AV39" s="10">
        <f t="shared" si="55"/>
        <v>63011.491999999955</v>
      </c>
      <c r="AW39" s="12">
        <f t="shared" si="19"/>
        <v>4.6780539915957021E-2</v>
      </c>
      <c r="AX39" s="12"/>
      <c r="AY39" s="10">
        <f>+Risultati!R38+Risultati!S38</f>
        <v>-214.43</v>
      </c>
      <c r="AZ39" s="12">
        <f t="shared" si="20"/>
        <v>-1.5919558251657764E-4</v>
      </c>
      <c r="BA39" s="12"/>
      <c r="BB39" s="10">
        <f>+Risultati!T38</f>
        <v>0</v>
      </c>
      <c r="BC39" s="12">
        <f t="shared" si="21"/>
        <v>0</v>
      </c>
      <c r="BD39" s="12"/>
      <c r="BE39" s="10">
        <f>+Risultati!U38</f>
        <v>16675.342000000001</v>
      </c>
      <c r="BF39" s="12">
        <f t="shared" si="22"/>
        <v>1.2379987797197933E-2</v>
      </c>
      <c r="BG39" s="12"/>
      <c r="BH39" s="10">
        <f t="shared" si="56"/>
        <v>46121.719999999958</v>
      </c>
      <c r="BI39" s="12">
        <f t="shared" si="24"/>
        <v>3.4241356536242516E-2</v>
      </c>
      <c r="BK39" s="16">
        <f>IF(ISNUMBER(Risultati!X38/100),(Risultati!X38/100))</f>
        <v>0.10948423279491699</v>
      </c>
      <c r="BL39" s="16">
        <f>IF(ISNUMBER(Risultati!Y38/100),(Risultati!Y38/100))</f>
        <v>0.18813305803969299</v>
      </c>
      <c r="BM39" s="16">
        <f>IF(ISNUMBER(Risultati!Z38/100),(Risultati!Z38/100))</f>
        <v>0.269545413344837</v>
      </c>
      <c r="BN39" s="16">
        <f>IF(AND(Risultati!AY38&lt;0,calcoli!AP39&lt;0),-IF(ISNUMBER(Risultati!AA38/100),(Risultati!AA38/100)),IF(ISNUMBER(Risultati!AA38/100),(Risultati!AA38/100)))</f>
        <v>0.60721890721684701</v>
      </c>
      <c r="BO39" s="16">
        <f t="shared" si="0"/>
        <v>3.4241356536242516E-2</v>
      </c>
      <c r="BP39" s="16">
        <f>IF(Risultati!AB38&gt;0,(AV39/Risultati!AB38),"0")</f>
        <v>6.2946934253698711E-2</v>
      </c>
      <c r="BQ39" s="16">
        <f>IF(Risultati!AG38&lt;&gt;0,(BH39/Risultati!AG38),"0")</f>
        <v>6.2713270878756319E-2</v>
      </c>
      <c r="BR39" s="16">
        <f t="shared" si="1"/>
        <v>3.4241356536242516E-2</v>
      </c>
      <c r="BS39" s="14">
        <f>IF(Risultati!AB38&gt;0,(Risultati!G38/Risultati!AB38),"0")</f>
        <v>1.3313291721143714</v>
      </c>
      <c r="BT39" s="15">
        <f>IF(Risultati!AG38&lt;&gt;0,(Risultati!AB38/Risultati!AG38),"0")</f>
        <v>1.3611285308144823</v>
      </c>
      <c r="BU39" s="23">
        <f>IF(AND(Risultati!G38&gt;0,(Risultati!AE38-Risultati!AF38)&gt;=0),((Risultati!AE38-Risultati!AF38)/Risultati!G38*360),"0")</f>
        <v>29.13737634572939</v>
      </c>
      <c r="BV39" s="21">
        <f>IF(OR(E39="abbreviato",Risultati!G38=0),"0",((Risultati!AC38+Risultati!AD38)/Risultati!G38*360))</f>
        <v>7.2308246292321874</v>
      </c>
      <c r="BW39" s="21">
        <f>IF(OR(E39="abbreviato",Risultati!G38=0,SUM(Risultati!I38+Risultati!K38+Risultati!M38)=0),"0",(((Risultati!AH38+Risultati!AI38)/(Risultati!I38+Risultati!K38+Risultati!N38)*360)))</f>
        <v>45.480926767174829</v>
      </c>
      <c r="BX39" s="16">
        <f>IF(Risultati!AB38&gt;0,(+Risultati!AG38/Risultati!AB38),"0")</f>
        <v>0.73468447494933664</v>
      </c>
      <c r="BY39" s="22">
        <f>IF(OR(E39="abbreviato",Risultati!G38=0),"0",(((Risultati!AK38-(Risultati!AL38+Risultati!AM38))/Risultati!G38)))</f>
        <v>-3.6991103670513191E-2</v>
      </c>
      <c r="BZ39" s="16">
        <f>IF(Risultati!G38&gt;0,(Risultati!AJ38/Risultati!G38),"0")</f>
        <v>0.17884358529351552</v>
      </c>
      <c r="CA39" s="8"/>
      <c r="CB39" s="10">
        <f>+Risultati!AP38</f>
        <v>0</v>
      </c>
      <c r="CC39" s="31">
        <f t="shared" si="57"/>
        <v>0</v>
      </c>
      <c r="CD39" s="10">
        <f>+Risultati!AQ38</f>
        <v>15570.123</v>
      </c>
      <c r="CE39" s="31">
        <f t="shared" si="58"/>
        <v>1.5554170797971306E-2</v>
      </c>
      <c r="CF39" s="10">
        <f>+Risultati!AR38</f>
        <v>654412.82499999995</v>
      </c>
      <c r="CG39" s="31">
        <f t="shared" si="59"/>
        <v>0.65374235337979714</v>
      </c>
      <c r="CH39" s="10">
        <f>+Risultati!AS38</f>
        <v>78146.778000000006</v>
      </c>
      <c r="CI39" s="31">
        <f t="shared" si="60"/>
        <v>7.8066713559240775E-2</v>
      </c>
      <c r="CJ39" s="10">
        <f t="shared" si="61"/>
        <v>748129.72600000002</v>
      </c>
      <c r="CK39" s="31">
        <f t="shared" si="62"/>
        <v>0.7473632377370093</v>
      </c>
      <c r="CL39" s="10">
        <f>+Risultati!AE38+Risultati!AF38</f>
        <v>107864.50900000001</v>
      </c>
      <c r="CM39" s="31">
        <f t="shared" si="63"/>
        <v>0.10775399757762436</v>
      </c>
      <c r="CN39" s="10">
        <f>+Risultati!AT38</f>
        <v>42796.847000000002</v>
      </c>
      <c r="CO39" s="31">
        <f t="shared" si="64"/>
        <v>4.2752999950780475E-2</v>
      </c>
      <c r="CP39" s="10">
        <f>+Risultati!AU38</f>
        <v>20663.186000000002</v>
      </c>
      <c r="CQ39" s="31">
        <f t="shared" si="65"/>
        <v>2.0642015755061766E-2</v>
      </c>
      <c r="CR39" s="10">
        <f>+Risultati!AL38</f>
        <v>69357.038</v>
      </c>
      <c r="CS39" s="31">
        <f t="shared" si="66"/>
        <v>6.9285978992804767E-2</v>
      </c>
      <c r="CT39" s="10">
        <f t="shared" si="67"/>
        <v>240681.58000000002</v>
      </c>
      <c r="CU39" s="31">
        <f t="shared" si="68"/>
        <v>0.24043499227627138</v>
      </c>
      <c r="CV39" s="10">
        <f>+Risultati!AX38</f>
        <v>12214.284</v>
      </c>
      <c r="CW39" s="31">
        <f t="shared" si="69"/>
        <v>1.2201769986719319E-2</v>
      </c>
      <c r="CX39" s="10">
        <f t="shared" si="70"/>
        <v>1001025.5900000001</v>
      </c>
      <c r="CY39" s="31">
        <f t="shared" si="71"/>
        <v>1</v>
      </c>
      <c r="CZ39" s="10">
        <f>+Risultati!AG38</f>
        <v>735437.96</v>
      </c>
      <c r="DA39" s="31">
        <f t="shared" si="72"/>
        <v>0.73468447494933664</v>
      </c>
      <c r="DB39" s="10">
        <f t="shared" si="73"/>
        <v>9218.5020000001314</v>
      </c>
      <c r="DC39" s="31">
        <f t="shared" si="74"/>
        <v>9.2090572829413193E-3</v>
      </c>
      <c r="DD39" s="10">
        <f>+Risultati!AV38</f>
        <v>248901.05</v>
      </c>
      <c r="DE39" s="31">
        <f t="shared" si="75"/>
        <v>0.24864604110670135</v>
      </c>
      <c r="DF39" s="10">
        <f>+Risultati!AJ38</f>
        <v>238343.875</v>
      </c>
      <c r="DG39" s="31">
        <f t="shared" si="76"/>
        <v>0.23809968234678194</v>
      </c>
      <c r="DH39" s="10">
        <f t="shared" si="77"/>
        <v>10557.174999999988</v>
      </c>
      <c r="DI39" s="31">
        <f t="shared" si="78"/>
        <v>1.0546358759919402E-2</v>
      </c>
      <c r="DJ39" s="10">
        <f>+Risultati!AW38</f>
        <v>7468.0780000000004</v>
      </c>
      <c r="DK39" s="31">
        <f t="shared" si="79"/>
        <v>7.4604266610207234E-3</v>
      </c>
      <c r="DL39" s="10">
        <f t="shared" si="50"/>
        <v>1001025.5900000001</v>
      </c>
      <c r="DM39" s="31">
        <f t="shared" si="80"/>
        <v>1</v>
      </c>
      <c r="DO39" s="30"/>
      <c r="DP39" s="30"/>
    </row>
    <row r="40" spans="1:120" x14ac:dyDescent="0.2">
      <c r="A40" s="5"/>
      <c r="B40" s="6" t="str">
        <f>+Risultati!B39</f>
        <v>TIGROS REAL ESTATE S.P.A.</v>
      </c>
      <c r="C40" s="6" t="str">
        <f>+Risultati!C39</f>
        <v>12790620152</v>
      </c>
      <c r="D40" s="26">
        <f>IF(YEAR(Risultati!D39)=1900,(MID(Risultati!$AP$1,29,4)),YEAR(Risultati!D39))</f>
        <v>2023</v>
      </c>
      <c r="E40" s="6" t="str">
        <f>+Risultati!E39</f>
        <v>Dettagliato</v>
      </c>
      <c r="F40" s="8" t="str">
        <f>(LEFT(Risultati!AN39,2)&amp;"-")&amp;VLOOKUP((LEFT(Risultati!AN39,2)),ateco!$B$4:$C$93,2,FALSE)</f>
        <v>68-Attivita immobiliari</v>
      </c>
      <c r="G40" s="8" t="str">
        <f>SUBSTITUTE((Risultati!AN39&amp;"-"&amp;Risultati!AO39),",",";")</f>
        <v>682001-Locazione immobiliare di beni propri</v>
      </c>
      <c r="I40" s="10">
        <f>+Risultati!G39</f>
        <v>1187345.1200000001</v>
      </c>
      <c r="J40" s="11">
        <f t="shared" si="2"/>
        <v>1.0011275203407755</v>
      </c>
      <c r="K40" s="12"/>
      <c r="L40" s="10">
        <f>+Risultati!G39+Risultati!H39</f>
        <v>1186007.8720000002</v>
      </c>
      <c r="M40" s="11">
        <f t="shared" si="3"/>
        <v>0.95249480554060995</v>
      </c>
      <c r="N40" s="12"/>
      <c r="O40" s="10">
        <f>+Risultati!I39+Risultati!J39</f>
        <v>911831.54</v>
      </c>
      <c r="P40" s="11">
        <f t="shared" si="4"/>
        <v>0.73230104612500813</v>
      </c>
      <c r="Q40" s="12"/>
      <c r="R40" s="13">
        <f t="shared" si="51"/>
        <v>274176.33200000017</v>
      </c>
      <c r="S40" s="11">
        <f t="shared" si="6"/>
        <v>0.22019375941560176</v>
      </c>
      <c r="T40" s="12"/>
      <c r="U40" s="10">
        <f>+Risultati!F39-(Risultati!G39+Risultati!H39)</f>
        <v>59151.539999999804</v>
      </c>
      <c r="V40" s="12">
        <f t="shared" si="7"/>
        <v>4.7505194459390075E-2</v>
      </c>
      <c r="W40" s="12"/>
      <c r="X40" s="10">
        <f t="shared" si="52"/>
        <v>333327.87199999997</v>
      </c>
      <c r="Y40" s="12">
        <f t="shared" si="9"/>
        <v>0.26769895387499187</v>
      </c>
      <c r="Z40" s="12"/>
      <c r="AA40" s="10">
        <f>+Risultati!K39</f>
        <v>73961.313999999998</v>
      </c>
      <c r="AB40" s="12">
        <f t="shared" si="10"/>
        <v>5.9399072349460742E-2</v>
      </c>
      <c r="AC40" s="12"/>
      <c r="AD40" s="10">
        <f>+Risultati!L39</f>
        <v>118415.774</v>
      </c>
      <c r="AE40" s="12">
        <f t="shared" si="11"/>
        <v>9.5100894599349506E-2</v>
      </c>
      <c r="AF40" s="12"/>
      <c r="AG40" s="10">
        <f>+Risultati!M39+Risultati!P39+Risultati!Q39</f>
        <v>13890.243</v>
      </c>
      <c r="AH40" s="12">
        <f t="shared" si="12"/>
        <v>1.1155393330472612E-2</v>
      </c>
      <c r="AI40" s="12"/>
      <c r="AJ40" s="13">
        <f t="shared" si="53"/>
        <v>127060.54099999995</v>
      </c>
      <c r="AK40" s="11">
        <f t="shared" si="14"/>
        <v>0.10204359359570897</v>
      </c>
      <c r="AL40" s="12"/>
      <c r="AM40" s="10">
        <f>+Risultati!N39</f>
        <v>17666.07</v>
      </c>
      <c r="AN40" s="12">
        <f t="shared" si="15"/>
        <v>1.4187797827126732E-2</v>
      </c>
      <c r="AO40" s="12"/>
      <c r="AP40" s="10">
        <f t="shared" si="54"/>
        <v>109394.47099999996</v>
      </c>
      <c r="AQ40" s="41">
        <f t="shared" si="16"/>
        <v>8.7855795768582254E-2</v>
      </c>
      <c r="AR40" s="12"/>
      <c r="AS40" s="10">
        <f>+Risultati!O39</f>
        <v>39613.786</v>
      </c>
      <c r="AT40" s="12">
        <f t="shared" si="17"/>
        <v>3.1814228458002455E-2</v>
      </c>
      <c r="AU40" s="12"/>
      <c r="AV40" s="10">
        <f t="shared" si="55"/>
        <v>69780.684999999969</v>
      </c>
      <c r="AW40" s="12">
        <f t="shared" si="19"/>
        <v>5.6041567310579805E-2</v>
      </c>
      <c r="AX40" s="12"/>
      <c r="AY40" s="10">
        <f>+Risultati!R39+Risultati!S39</f>
        <v>1957.8489999999997</v>
      </c>
      <c r="AZ40" s="12">
        <f t="shared" si="20"/>
        <v>1.5723681491153518E-3</v>
      </c>
      <c r="BA40" s="12"/>
      <c r="BB40" s="10">
        <f>+Risultati!T39</f>
        <v>0</v>
      </c>
      <c r="BC40" s="12">
        <f t="shared" si="21"/>
        <v>0</v>
      </c>
      <c r="BD40" s="12"/>
      <c r="BE40" s="10">
        <f>+Risultati!U39</f>
        <v>19104.7</v>
      </c>
      <c r="BF40" s="12">
        <f t="shared" si="22"/>
        <v>1.5343175994882172E-2</v>
      </c>
      <c r="BG40" s="12"/>
      <c r="BH40" s="10">
        <f t="shared" si="56"/>
        <v>52633.833999999973</v>
      </c>
      <c r="BI40" s="12">
        <f t="shared" si="24"/>
        <v>4.2270759464812985E-2</v>
      </c>
      <c r="BK40" s="16">
        <f>IF(ISNUMBER(Risultati!X39/100),(Risultati!X39/100))</f>
        <v>0.18345907236890199</v>
      </c>
      <c r="BL40" s="16">
        <f>IF(ISNUMBER(Risultati!Y39/100),(Risultati!Y39/100))</f>
        <v>0.34183512988035902</v>
      </c>
      <c r="BM40" s="16">
        <f>IF(ISNUMBER(Risultati!Z39/100),(Risultati!Z39/100))</f>
        <v>0.74131541855309901</v>
      </c>
      <c r="BN40" s="16">
        <f>IF(AND(Risultati!AY39&lt;0,calcoli!AP40&lt;0),-IF(ISNUMBER(Risultati!AA39/100),(Risultati!AA39/100)),IF(ISNUMBER(Risultati!AA39/100),(Risultati!AA39/100)))</f>
        <v>1.1267157597349899</v>
      </c>
      <c r="BO40" s="16">
        <f t="shared" si="0"/>
        <v>4.2270759464812985E-2</v>
      </c>
      <c r="BP40" s="16">
        <f>IF(Risultati!AB39&gt;0,(AV40/Risultati!AB39),"0")</f>
        <v>0.12203947820488827</v>
      </c>
      <c r="BQ40" s="16">
        <f>IF(Risultati!AG39&lt;&gt;0,(BH40/Risultati!AG39),"0")</f>
        <v>0.1436550563798473</v>
      </c>
      <c r="BR40" s="16">
        <f t="shared" si="1"/>
        <v>4.2270759464812985E-2</v>
      </c>
      <c r="BS40" s="14">
        <f>IF(Risultati!AB39&gt;0,(Risultati!G39/Risultati!AB39),"0")</f>
        <v>2.0765485304983824</v>
      </c>
      <c r="BT40" s="15">
        <f>IF(Risultati!AG39&lt;&gt;0,(Risultati!AB39/Risultati!AG39),"0")</f>
        <v>1.5605971043952263</v>
      </c>
      <c r="BU40" s="23">
        <f>IF(AND(Risultati!G39&gt;0,(Risultati!AE39-Risultati!AF39)&gt;=0),((Risultati!AE39-Risultati!AF39)/Risultati!G39*360),"0")</f>
        <v>14.447043872130454</v>
      </c>
      <c r="BV40" s="21">
        <f>IF(OR(E40="abbreviato",Risultati!G39=0),"0",((Risultati!AC39+Risultati!AD39)/Risultati!G39*360))</f>
        <v>13.330428039321877</v>
      </c>
      <c r="BW40" s="21">
        <f>IF(OR(E40="abbreviato",Risultati!G39=0,SUM(Risultati!I39+Risultati!K39+Risultati!M39)=0),"0",(((Risultati!AH39+Risultati!AI39)/(Risultati!I39+Risultati!K39+Risultati!N39)*360)))</f>
        <v>47.275009678935426</v>
      </c>
      <c r="BX40" s="16">
        <f>IF(Risultati!AB39&gt;0,(+Risultati!AG39/Risultati!AB39),"0")</f>
        <v>0.64078037642362995</v>
      </c>
      <c r="BY40" s="22">
        <f>IF(OR(E40="abbreviato",Risultati!G39=0),"0",(((Risultati!AK39-(Risultati!AL39+Risultati!AM39))/Risultati!G39)))</f>
        <v>-6.0672137179457977E-2</v>
      </c>
      <c r="BZ40" s="16">
        <f>IF(Risultati!G39&gt;0,(Risultati!AJ39/Risultati!G39),"0")</f>
        <v>0.15416641119475016</v>
      </c>
      <c r="CA40" s="8"/>
      <c r="CB40" s="10">
        <f>+Risultati!AP39</f>
        <v>0</v>
      </c>
      <c r="CC40" s="31">
        <f t="shared" si="57"/>
        <v>0</v>
      </c>
      <c r="CD40" s="10">
        <f>+Risultati!AQ39</f>
        <v>19237.944</v>
      </c>
      <c r="CE40" s="31">
        <f t="shared" si="58"/>
        <v>3.3645250795329137E-2</v>
      </c>
      <c r="CF40" s="10">
        <f>+Risultati!AR39</f>
        <v>270890.69500000001</v>
      </c>
      <c r="CG40" s="31">
        <f t="shared" si="59"/>
        <v>0.47376088481160006</v>
      </c>
      <c r="CH40" s="10">
        <f>+Risultati!AS39</f>
        <v>27382.027999999998</v>
      </c>
      <c r="CI40" s="31">
        <f t="shared" si="60"/>
        <v>4.7888443762219325E-2</v>
      </c>
      <c r="CJ40" s="10">
        <f t="shared" si="61"/>
        <v>317510.66700000002</v>
      </c>
      <c r="CK40" s="31">
        <f t="shared" si="62"/>
        <v>0.55529457936914861</v>
      </c>
      <c r="CL40" s="10">
        <f>+Risultati!AE39+Risultati!AF39</f>
        <v>47648.964</v>
      </c>
      <c r="CM40" s="31">
        <f t="shared" si="63"/>
        <v>8.3333299229772659E-2</v>
      </c>
      <c r="CN40" s="10">
        <f>+Risultati!AT39</f>
        <v>66447.805999999997</v>
      </c>
      <c r="CO40" s="31">
        <f t="shared" si="64"/>
        <v>0.11621060429687165</v>
      </c>
      <c r="CP40" s="10">
        <f>+Risultati!AU39</f>
        <v>47446.517</v>
      </c>
      <c r="CQ40" s="31">
        <f t="shared" si="65"/>
        <v>8.2979239560622878E-2</v>
      </c>
      <c r="CR40" s="10">
        <f>+Risultati!AL39</f>
        <v>86302.312000000005</v>
      </c>
      <c r="CS40" s="31">
        <f t="shared" si="66"/>
        <v>0.1509341607115991</v>
      </c>
      <c r="CT40" s="10">
        <f t="shared" si="67"/>
        <v>247845.59900000002</v>
      </c>
      <c r="CU40" s="31">
        <f t="shared" si="68"/>
        <v>0.43345730379886627</v>
      </c>
      <c r="CV40" s="10">
        <f>+Risultati!AX39</f>
        <v>6431.5360000000001</v>
      </c>
      <c r="CW40" s="31">
        <f t="shared" si="69"/>
        <v>1.1248116831985164E-2</v>
      </c>
      <c r="CX40" s="10">
        <f t="shared" si="70"/>
        <v>571787.80200000003</v>
      </c>
      <c r="CY40" s="31">
        <f t="shared" si="71"/>
        <v>1</v>
      </c>
      <c r="CZ40" s="10">
        <f>+Risultati!AG39</f>
        <v>366390.40299999999</v>
      </c>
      <c r="DA40" s="31">
        <f t="shared" si="72"/>
        <v>0.64078037642362995</v>
      </c>
      <c r="DB40" s="10">
        <f t="shared" si="73"/>
        <v>2895.6190000000443</v>
      </c>
      <c r="DC40" s="31">
        <f t="shared" si="74"/>
        <v>5.0641496545951918E-3</v>
      </c>
      <c r="DD40" s="10">
        <f>+Risultati!AV39</f>
        <v>199345.77</v>
      </c>
      <c r="DE40" s="31">
        <f t="shared" si="75"/>
        <v>0.34863592630470275</v>
      </c>
      <c r="DF40" s="10">
        <f>+Risultati!AJ39</f>
        <v>183048.736</v>
      </c>
      <c r="DG40" s="31">
        <f t="shared" si="76"/>
        <v>0.32013403461866785</v>
      </c>
      <c r="DH40" s="10">
        <f t="shared" si="77"/>
        <v>16297.033999999985</v>
      </c>
      <c r="DI40" s="31">
        <f t="shared" si="78"/>
        <v>2.8501891686034925E-2</v>
      </c>
      <c r="DJ40" s="10">
        <f>+Risultati!AW39</f>
        <v>3156.01</v>
      </c>
      <c r="DK40" s="31">
        <f t="shared" si="79"/>
        <v>5.5195476170721109E-3</v>
      </c>
      <c r="DL40" s="10">
        <f t="shared" si="50"/>
        <v>571787.80200000003</v>
      </c>
      <c r="DM40" s="31">
        <f t="shared" si="80"/>
        <v>1</v>
      </c>
      <c r="DO40" s="30"/>
      <c r="DP40" s="30"/>
    </row>
    <row r="41" spans="1:120" x14ac:dyDescent="0.2">
      <c r="A41" s="5"/>
      <c r="B41" s="6" t="str">
        <f>+Risultati!B40</f>
        <v>BUNGE ITALIA S.P.A.</v>
      </c>
      <c r="C41" s="6" t="str">
        <f>+Risultati!C40</f>
        <v>01532980388</v>
      </c>
      <c r="D41" s="26">
        <f>IF(YEAR(Risultati!D40)=1900,(MID(Risultati!$AP$1,29,4)),YEAR(Risultati!D40))</f>
        <v>2023</v>
      </c>
      <c r="E41" s="6" t="str">
        <f>+Risultati!E40</f>
        <v>Dettagliato</v>
      </c>
      <c r="F41" s="8" t="str">
        <f>(LEFT(Risultati!AN40,2)&amp;"-")&amp;VLOOKUP((LEFT(Risultati!AN40,2)),ateco!$B$4:$C$93,2,FALSE)</f>
        <v>10-Industrie alimentari</v>
      </c>
      <c r="G41" s="8" t="str">
        <f>SUBSTITUTE((Risultati!AN40&amp;"-"&amp;Risultati!AO40),",",";")</f>
        <v>104120-Produzione di olio raffinato o grezzo da semi oleosi o frutti oleosi prevalentemente non di produzione propria</v>
      </c>
      <c r="I41" s="10">
        <f>+Risultati!G40</f>
        <v>1282848.899</v>
      </c>
      <c r="J41" s="11">
        <f t="shared" si="2"/>
        <v>1.0221120859728012</v>
      </c>
      <c r="K41" s="12"/>
      <c r="L41" s="10">
        <f>+Risultati!G40+Risultati!H40</f>
        <v>1255096.1059999999</v>
      </c>
      <c r="M41" s="11">
        <f t="shared" si="3"/>
        <v>0.99174740724709687</v>
      </c>
      <c r="N41" s="12"/>
      <c r="O41" s="10">
        <f>+Risultati!I40+Risultati!J40</f>
        <v>1096538.2709999999</v>
      </c>
      <c r="P41" s="11">
        <f t="shared" si="4"/>
        <v>0.86645873731319223</v>
      </c>
      <c r="Q41" s="12"/>
      <c r="R41" s="13">
        <f t="shared" si="51"/>
        <v>158557.83499999996</v>
      </c>
      <c r="S41" s="11">
        <f t="shared" si="6"/>
        <v>0.12528866993390461</v>
      </c>
      <c r="T41" s="12"/>
      <c r="U41" s="10">
        <f>+Risultati!F40-(Risultati!G40+Risultati!H40)</f>
        <v>10443.987000000197</v>
      </c>
      <c r="V41" s="12">
        <f t="shared" si="7"/>
        <v>8.2525927529031647E-3</v>
      </c>
      <c r="W41" s="12"/>
      <c r="X41" s="10">
        <f t="shared" si="52"/>
        <v>169001.82200000016</v>
      </c>
      <c r="Y41" s="12">
        <f t="shared" si="9"/>
        <v>0.13354126268680777</v>
      </c>
      <c r="Z41" s="12"/>
      <c r="AA41" s="10">
        <f>+Risultati!K40</f>
        <v>111534.79399999999</v>
      </c>
      <c r="AB41" s="12">
        <f t="shared" si="10"/>
        <v>8.8132169511598385E-2</v>
      </c>
      <c r="AC41" s="12"/>
      <c r="AD41" s="10">
        <f>+Risultati!L40</f>
        <v>11136.28</v>
      </c>
      <c r="AE41" s="12">
        <f t="shared" si="11"/>
        <v>8.7996263900269808E-3</v>
      </c>
      <c r="AF41" s="12"/>
      <c r="AG41" s="10">
        <f>+Risultati!M40+Risultati!P40+Risultati!Q40</f>
        <v>6263.0229999999992</v>
      </c>
      <c r="AH41" s="12">
        <f t="shared" si="12"/>
        <v>4.948893389187946E-3</v>
      </c>
      <c r="AI41" s="12"/>
      <c r="AJ41" s="13">
        <f t="shared" si="53"/>
        <v>40067.725000000166</v>
      </c>
      <c r="AK41" s="11">
        <f t="shared" si="14"/>
        <v>3.1660573395994464E-2</v>
      </c>
      <c r="AL41" s="12"/>
      <c r="AM41" s="10">
        <f>+Risultati!N40</f>
        <v>1503.7619999999999</v>
      </c>
      <c r="AN41" s="12">
        <f t="shared" si="15"/>
        <v>1.188237344923058E-3</v>
      </c>
      <c r="AO41" s="12"/>
      <c r="AP41" s="10">
        <f t="shared" si="54"/>
        <v>38563.963000000163</v>
      </c>
      <c r="AQ41" s="41">
        <f t="shared" si="16"/>
        <v>3.0472336051071407E-2</v>
      </c>
      <c r="AR41" s="12"/>
      <c r="AS41" s="10">
        <f>+Risultati!O40</f>
        <v>10167.356</v>
      </c>
      <c r="AT41" s="12">
        <f t="shared" si="17"/>
        <v>8.0340054465583809E-3</v>
      </c>
      <c r="AU41" s="12"/>
      <c r="AV41" s="10">
        <f t="shared" si="55"/>
        <v>28396.607000000164</v>
      </c>
      <c r="AW41" s="12">
        <f t="shared" si="19"/>
        <v>2.2438330604513026E-2</v>
      </c>
      <c r="AX41" s="12"/>
      <c r="AY41" s="10">
        <f>+Risultati!R40+Risultati!S40</f>
        <v>14179.589</v>
      </c>
      <c r="AZ41" s="12">
        <f t="shared" si="20"/>
        <v>1.1204377544757879E-2</v>
      </c>
      <c r="BA41" s="12"/>
      <c r="BB41" s="10">
        <f>+Risultati!T40</f>
        <v>0</v>
      </c>
      <c r="BC41" s="12">
        <f t="shared" si="21"/>
        <v>0</v>
      </c>
      <c r="BD41" s="12"/>
      <c r="BE41" s="10">
        <f>+Risultati!U40</f>
        <v>2673.866</v>
      </c>
      <c r="BF41" s="12">
        <f t="shared" si="22"/>
        <v>2.1128259900968617E-3</v>
      </c>
      <c r="BG41" s="12"/>
      <c r="BH41" s="10">
        <f t="shared" si="56"/>
        <v>39902.330000000162</v>
      </c>
      <c r="BI41" s="12">
        <f t="shared" si="24"/>
        <v>3.1529882159174044E-2</v>
      </c>
      <c r="BK41" s="16">
        <f>IF(ISNUMBER(Risultati!X40/100),(Risultati!X40/100))</f>
        <v>6.4799422360861808E-2</v>
      </c>
      <c r="BL41" s="16">
        <f>IF(ISNUMBER(Risultati!Y40/100),(Risultati!Y40/100))</f>
        <v>0.343282169790049</v>
      </c>
      <c r="BM41" s="16">
        <f>IF(ISNUMBER(Risultati!Z40/100),(Risultati!Z40/100))</f>
        <v>0.80314320859860999</v>
      </c>
      <c r="BN41" s="16">
        <f>IF(AND(Risultati!AY40&lt;0,calcoli!AP41&lt;0),-IF(ISNUMBER(Risultati!AA40/100),(Risultati!AA40/100)),IF(ISNUMBER(Risultati!AA40/100),(Risultati!AA40/100)))</f>
        <v>-2.2727617858220799</v>
      </c>
      <c r="BO41" s="16">
        <f t="shared" si="0"/>
        <v>3.1529882159174044E-2</v>
      </c>
      <c r="BP41" s="16">
        <f>IF(Risultati!AB40&gt;0,(AV41/Risultati!AB40),"0")</f>
        <v>7.1602142540645966E-2</v>
      </c>
      <c r="BQ41" s="16">
        <f>IF(Risultati!AG40&lt;&gt;0,(BH41/Risultati!AG40),"0")</f>
        <v>0.43223580195072292</v>
      </c>
      <c r="BR41" s="16">
        <f t="shared" si="1"/>
        <v>3.1529882159174044E-2</v>
      </c>
      <c r="BS41" s="14">
        <f>IF(Risultati!AB40&gt;0,(Risultati!G40/Risultati!AB40),"0")</f>
        <v>3.2347079256443632</v>
      </c>
      <c r="BT41" s="15">
        <f>IF(Risultati!AG40&lt;&gt;0,(Risultati!AB40/Risultati!AG40),"0")</f>
        <v>4.2959865566266515</v>
      </c>
      <c r="BU41" s="23">
        <f>IF(AND(Risultati!G40&gt;0,(Risultati!AE40-Risultati!AF40)&gt;=0),((Risultati!AE40-Risultati!AF40)/Risultati!G40*360),"0")</f>
        <v>47.634304996975338</v>
      </c>
      <c r="BV41" s="21">
        <f>IF(OR(E41="abbreviato",Risultati!G40=0),"0",((Risultati!AC40+Risultati!AD40)/Risultati!G40*360))</f>
        <v>10.150847204336261</v>
      </c>
      <c r="BW41" s="21">
        <f>IF(OR(E41="abbreviato",Risultati!G40=0,SUM(Risultati!I40+Risultati!K40+Risultati!M40)=0),"0",(((Risultati!AH40+Risultati!AI40)/(Risultati!I40+Risultati!K40+Risultati!N40)*360)))</f>
        <v>12.104464325474227</v>
      </c>
      <c r="BX41" s="16">
        <f>IF(Risultati!AB40&gt;0,(+Risultati!AG40/Risultati!AB40),"0")</f>
        <v>0.2327754025341347</v>
      </c>
      <c r="BY41" s="22">
        <f>IF(OR(E41="abbreviato",Risultati!G40=0),"0",(((Risultati!AK40-(Risultati!AL40+Risultati!AM40))/Risultati!G40)))</f>
        <v>2.9399916100329444E-2</v>
      </c>
      <c r="BZ41" s="16">
        <f>IF(Risultati!G40&gt;0,(Risultati!AJ40/Risultati!G40),"0")</f>
        <v>0.19491656982744934</v>
      </c>
      <c r="CA41" s="8"/>
      <c r="CB41" s="10">
        <f>+Risultati!AP40</f>
        <v>0</v>
      </c>
      <c r="CC41" s="31">
        <f t="shared" si="57"/>
        <v>0</v>
      </c>
      <c r="CD41" s="10">
        <f>+Risultati!AQ40</f>
        <v>342.61200000000002</v>
      </c>
      <c r="CE41" s="31">
        <f t="shared" si="58"/>
        <v>8.6389734027504249E-4</v>
      </c>
      <c r="CF41" s="10">
        <f>+Risultati!AR40</f>
        <v>78120.929000000004</v>
      </c>
      <c r="CG41" s="31">
        <f t="shared" si="59"/>
        <v>0.19698219205081968</v>
      </c>
      <c r="CH41" s="10">
        <f>+Risultati!AS40</f>
        <v>2950.0050000000001</v>
      </c>
      <c r="CI41" s="31">
        <f t="shared" si="60"/>
        <v>7.4384477872873004E-3</v>
      </c>
      <c r="CJ41" s="10">
        <f t="shared" si="61"/>
        <v>81413.546000000002</v>
      </c>
      <c r="CK41" s="31">
        <f t="shared" si="62"/>
        <v>0.20528453717838202</v>
      </c>
      <c r="CL41" s="10">
        <f>+Risultati!AE40+Risultati!AF40</f>
        <v>169743.37700000001</v>
      </c>
      <c r="CM41" s="31">
        <f t="shared" si="63"/>
        <v>0.42800851085076946</v>
      </c>
      <c r="CN41" s="10">
        <f>+Risultati!AT40</f>
        <v>55109.171000000002</v>
      </c>
      <c r="CO41" s="31">
        <f t="shared" si="64"/>
        <v>0.13895796484554687</v>
      </c>
      <c r="CP41" s="10">
        <f>+Risultati!AU40</f>
        <v>89482.192999999999</v>
      </c>
      <c r="CQ41" s="31">
        <f t="shared" si="65"/>
        <v>0.22562965843192306</v>
      </c>
      <c r="CR41" s="10">
        <f>+Risultati!AL40</f>
        <v>20.077000000000002</v>
      </c>
      <c r="CS41" s="31">
        <f t="shared" si="66"/>
        <v>5.0624224781099402E-5</v>
      </c>
      <c r="CT41" s="10">
        <f t="shared" si="67"/>
        <v>314354.81799999997</v>
      </c>
      <c r="CU41" s="31">
        <f t="shared" si="68"/>
        <v>0.79264675835302034</v>
      </c>
      <c r="CV41" s="10">
        <f>+Risultati!AX40</f>
        <v>820.42499999999995</v>
      </c>
      <c r="CW41" s="31">
        <f t="shared" si="69"/>
        <v>2.0687044685975728E-3</v>
      </c>
      <c r="CX41" s="10">
        <f t="shared" si="70"/>
        <v>396588.78899999999</v>
      </c>
      <c r="CY41" s="31">
        <f t="shared" si="71"/>
        <v>1</v>
      </c>
      <c r="CZ41" s="10">
        <f>+Risultati!AG40</f>
        <v>92316.115000000005</v>
      </c>
      <c r="DA41" s="31">
        <f t="shared" si="72"/>
        <v>0.2327754025341347</v>
      </c>
      <c r="DB41" s="10">
        <f t="shared" si="73"/>
        <v>54224.166999999987</v>
      </c>
      <c r="DC41" s="31">
        <f t="shared" si="74"/>
        <v>0.13672642420560202</v>
      </c>
      <c r="DD41" s="10">
        <f>+Risultati!AV40</f>
        <v>250048.50700000001</v>
      </c>
      <c r="DE41" s="31">
        <f t="shared" si="75"/>
        <v>0.63049817326026336</v>
      </c>
      <c r="DF41" s="10">
        <f>+Risultati!AJ40</f>
        <v>250048.50700000001</v>
      </c>
      <c r="DG41" s="31">
        <f t="shared" si="76"/>
        <v>0.63049817326026336</v>
      </c>
      <c r="DH41" s="10">
        <f t="shared" si="77"/>
        <v>0</v>
      </c>
      <c r="DI41" s="31">
        <f t="shared" si="78"/>
        <v>0</v>
      </c>
      <c r="DJ41" s="10">
        <f>+Risultati!AW40</f>
        <v>0</v>
      </c>
      <c r="DK41" s="31">
        <f t="shared" si="79"/>
        <v>0</v>
      </c>
      <c r="DL41" s="10">
        <f t="shared" si="50"/>
        <v>396588.78899999999</v>
      </c>
      <c r="DM41" s="31">
        <f t="shared" si="80"/>
        <v>1</v>
      </c>
      <c r="DO41" s="30"/>
      <c r="DP41" s="30"/>
    </row>
    <row r="42" spans="1:120" x14ac:dyDescent="0.2">
      <c r="A42" s="5"/>
      <c r="B42" s="6" t="str">
        <f>+Risultati!B41</f>
        <v>COCA-COLA HBC ITALIA S.R.L.</v>
      </c>
      <c r="C42" s="6" t="str">
        <f>+Risultati!C41</f>
        <v>12363410155</v>
      </c>
      <c r="D42" s="26">
        <f>IF(YEAR(Risultati!D41)=1900,(MID(Risultati!$AP$1,29,4)),YEAR(Risultati!D41))</f>
        <v>2023</v>
      </c>
      <c r="E42" s="6" t="str">
        <f>+Risultati!E41</f>
        <v>Dettagliato</v>
      </c>
      <c r="F42" s="8" t="str">
        <f>(LEFT(Risultati!AN41,2)&amp;"-")&amp;VLOOKUP((LEFT(Risultati!AN41,2)),ateco!$B$4:$C$93,2,FALSE)</f>
        <v>11-Industria delle bevande</v>
      </c>
      <c r="G42" s="8" t="str">
        <f>SUBSTITUTE((Risultati!AN41&amp;"-"&amp;Risultati!AO41),",",";")</f>
        <v>110700-Industria delle bibite analcoliche; delle acque minerali e di altre acque in bottiglia</v>
      </c>
      <c r="I42" s="10">
        <f>+Risultati!G41</f>
        <v>1273920.7</v>
      </c>
      <c r="J42" s="11">
        <f t="shared" si="2"/>
        <v>1.0027895247898042</v>
      </c>
      <c r="K42" s="12"/>
      <c r="L42" s="10">
        <f>+Risultati!G41+Risultati!H41</f>
        <v>1270376.952</v>
      </c>
      <c r="M42" s="11">
        <f t="shared" si="3"/>
        <v>0.95788329623578206</v>
      </c>
      <c r="N42" s="12"/>
      <c r="O42" s="10">
        <f>+Risultati!I41+Risultati!J41</f>
        <v>739556.17200000002</v>
      </c>
      <c r="P42" s="11">
        <f t="shared" si="4"/>
        <v>0.55763645795966632</v>
      </c>
      <c r="Q42" s="12"/>
      <c r="R42" s="13">
        <f t="shared" si="51"/>
        <v>530820.78</v>
      </c>
      <c r="S42" s="11">
        <f t="shared" si="6"/>
        <v>0.40024683827611579</v>
      </c>
      <c r="T42" s="12"/>
      <c r="U42" s="10">
        <f>+Risultati!F41-(Risultati!G41+Risultati!H41)</f>
        <v>55856.584999999963</v>
      </c>
      <c r="V42" s="12">
        <f t="shared" si="7"/>
        <v>4.211670376421793E-2</v>
      </c>
      <c r="W42" s="12"/>
      <c r="X42" s="10">
        <f t="shared" si="52"/>
        <v>586677.36499999999</v>
      </c>
      <c r="Y42" s="12">
        <f t="shared" si="9"/>
        <v>0.44236354204033373</v>
      </c>
      <c r="Z42" s="12"/>
      <c r="AA42" s="10">
        <f>+Risultati!K41</f>
        <v>243057.77</v>
      </c>
      <c r="AB42" s="12">
        <f t="shared" si="10"/>
        <v>0.18326920803843311</v>
      </c>
      <c r="AC42" s="12"/>
      <c r="AD42" s="10">
        <f>+Risultati!L41</f>
        <v>153016.32800000001</v>
      </c>
      <c r="AE42" s="12">
        <f t="shared" si="11"/>
        <v>0.11537660881817982</v>
      </c>
      <c r="AF42" s="12"/>
      <c r="AG42" s="10">
        <f>+Risultati!M41+Risultati!P41+Risultati!Q41</f>
        <v>7187.2889999999998</v>
      </c>
      <c r="AH42" s="12">
        <f t="shared" si="12"/>
        <v>5.4193238215480295E-3</v>
      </c>
      <c r="AI42" s="12"/>
      <c r="AJ42" s="13">
        <f t="shared" si="53"/>
        <v>183415.97799999997</v>
      </c>
      <c r="AK42" s="11">
        <f t="shared" si="14"/>
        <v>0.13829840136217275</v>
      </c>
      <c r="AL42" s="12"/>
      <c r="AM42" s="10">
        <f>+Risultati!N41</f>
        <v>23101.190999999999</v>
      </c>
      <c r="AN42" s="12">
        <f t="shared" si="15"/>
        <v>1.7418644873252061E-2</v>
      </c>
      <c r="AO42" s="12"/>
      <c r="AP42" s="10">
        <f t="shared" si="54"/>
        <v>160314.78699999998</v>
      </c>
      <c r="AQ42" s="41">
        <f t="shared" si="16"/>
        <v>0.12087975648892069</v>
      </c>
      <c r="AR42" s="12"/>
      <c r="AS42" s="10">
        <f>+Risultati!O41</f>
        <v>34040.175000000003</v>
      </c>
      <c r="AT42" s="12">
        <f t="shared" si="17"/>
        <v>2.5666803055667264E-2</v>
      </c>
      <c r="AU42" s="12"/>
      <c r="AV42" s="10">
        <f t="shared" si="55"/>
        <v>126274.61199999998</v>
      </c>
      <c r="AW42" s="12">
        <f t="shared" si="19"/>
        <v>9.5212953433253422E-2</v>
      </c>
      <c r="AX42" s="12"/>
      <c r="AY42" s="10">
        <f>+Risultati!R41+Risultati!S41</f>
        <v>135202.56300000002</v>
      </c>
      <c r="AZ42" s="12">
        <f t="shared" si="20"/>
        <v>0.10194476253845482</v>
      </c>
      <c r="BA42" s="12"/>
      <c r="BB42" s="10">
        <f>+Risultati!T41</f>
        <v>0</v>
      </c>
      <c r="BC42" s="12">
        <f t="shared" si="21"/>
        <v>0</v>
      </c>
      <c r="BD42" s="12"/>
      <c r="BE42" s="10">
        <f>+Risultati!U41</f>
        <v>41257.902999999998</v>
      </c>
      <c r="BF42" s="12">
        <f t="shared" si="22"/>
        <v>3.1109078340250115E-2</v>
      </c>
      <c r="BG42" s="12"/>
      <c r="BH42" s="10">
        <f t="shared" si="56"/>
        <v>220219.272</v>
      </c>
      <c r="BI42" s="12">
        <f t="shared" si="24"/>
        <v>0.16604863763145811</v>
      </c>
      <c r="BK42" s="16">
        <f>IF(ISNUMBER(Risultati!X41/100),(Risultati!X41/100))</f>
        <v>0.10966220816299301</v>
      </c>
      <c r="BL42" s="16">
        <f>IF(ISNUMBER(Risultati!Y41/100),(Risultati!Y41/100))</f>
        <v>0.36030204694197598</v>
      </c>
      <c r="BM42" s="16">
        <f>IF(ISNUMBER(Risultati!Z41/100),(Risultati!Z41/100))</f>
        <v>0.35806324433474401</v>
      </c>
      <c r="BN42" s="16">
        <f>IF(AND(Risultati!AY41&lt;0,calcoli!AP42&lt;0),-IF(ISNUMBER(Risultati!AA41/100),(Risultati!AA41/100)),IF(ISNUMBER(Risultati!AA41/100),(Risultati!AA41/100)))</f>
        <v>0.55377520239520206</v>
      </c>
      <c r="BO42" s="16">
        <f t="shared" si="0"/>
        <v>0.16604863763145811</v>
      </c>
      <c r="BP42" s="16">
        <f>IF(Risultati!AB41&gt;0,(AV42/Risultati!AB41),"0")</f>
        <v>7.0907342201880608E-2</v>
      </c>
      <c r="BQ42" s="16">
        <f>IF(Risultati!AG41&lt;&gt;0,(BH42/Risultati!AG41),"0")</f>
        <v>0.2229436622803333</v>
      </c>
      <c r="BR42" s="16">
        <f t="shared" si="1"/>
        <v>0.16604863763145811</v>
      </c>
      <c r="BS42" s="14">
        <f>IF(Risultati!AB41&gt;0,(Risultati!G41/Risultati!AB41),"0")</f>
        <v>0.7153483157244569</v>
      </c>
      <c r="BT42" s="15">
        <f>IF(Risultati!AG41&lt;&gt;0,(Risultati!AB41/Risultati!AG41),"0")</f>
        <v>1.8028709626041839</v>
      </c>
      <c r="BU42" s="23">
        <f>IF(AND(Risultati!G41&gt;0,(Risultati!AE41-Risultati!AF41)&gt;=0),((Risultati!AE41-Risultati!AF41)/Risultati!G41*360),"0")</f>
        <v>23.193168962557873</v>
      </c>
      <c r="BV42" s="21">
        <f>IF(OR(E42="abbreviato",Risultati!G41=0),"0",((Risultati!AC41+Risultati!AD41)/Risultati!G41*360))</f>
        <v>70.866707386103386</v>
      </c>
      <c r="BW42" s="21">
        <f>IF(OR(E42="abbreviato",Risultati!G41=0,SUM(Risultati!I41+Risultati!K41+Risultati!M41)=0),"0",(((Risultati!AH41+Risultati!AI41)/(Risultati!I41+Risultati!K41+Risultati!N41)*360)))</f>
        <v>60.375806355962816</v>
      </c>
      <c r="BX42" s="16">
        <f>IF(Risultati!AB41&gt;0,(+Risultati!AG41/Risultati!AB41),"0")</f>
        <v>0.55467086704615565</v>
      </c>
      <c r="BY42" s="22">
        <f>IF(OR(E42="abbreviato",Risultati!G41=0),"0",(((Risultati!AK41-(Risultati!AL41+Risultati!AM41))/Risultati!G41)))</f>
        <v>-6.9908327888855246E-2</v>
      </c>
      <c r="BZ42" s="16">
        <f>IF(Risultati!G41&gt;0,(Risultati!AJ41/Risultati!G41),"0")</f>
        <v>0.59308661677292784</v>
      </c>
      <c r="CA42" s="8"/>
      <c r="CB42" s="10">
        <f>+Risultati!AP41</f>
        <v>0</v>
      </c>
      <c r="CC42" s="31">
        <f t="shared" si="57"/>
        <v>0</v>
      </c>
      <c r="CD42" s="10">
        <f>+Risultati!AQ41</f>
        <v>35461.173999999999</v>
      </c>
      <c r="CE42" s="31">
        <f t="shared" si="58"/>
        <v>1.9912613944111202E-2</v>
      </c>
      <c r="CF42" s="10">
        <f>+Risultati!AR41</f>
        <v>274243.81400000001</v>
      </c>
      <c r="CG42" s="31">
        <f t="shared" si="59"/>
        <v>0.15399690926032622</v>
      </c>
      <c r="CH42" s="10">
        <f>+Risultati!AS41</f>
        <v>1011321.702</v>
      </c>
      <c r="CI42" s="31">
        <f t="shared" si="60"/>
        <v>0.56789035312895941</v>
      </c>
      <c r="CJ42" s="10">
        <f t="shared" si="61"/>
        <v>1321026.69</v>
      </c>
      <c r="CK42" s="31">
        <f t="shared" si="62"/>
        <v>0.74179987633339683</v>
      </c>
      <c r="CL42" s="10">
        <f>+Risultati!AE41+Risultati!AF41</f>
        <v>85672.938999999998</v>
      </c>
      <c r="CM42" s="31">
        <f t="shared" si="63"/>
        <v>4.8108169226557147E-2</v>
      </c>
      <c r="CN42" s="10">
        <f>+Risultati!AT41</f>
        <v>280872.91800000001</v>
      </c>
      <c r="CO42" s="31">
        <f t="shared" si="64"/>
        <v>0.157719368893145</v>
      </c>
      <c r="CP42" s="10">
        <f>+Risultati!AU41</f>
        <v>91081.567999999999</v>
      </c>
      <c r="CQ42" s="31">
        <f t="shared" si="65"/>
        <v>5.1145292059656927E-2</v>
      </c>
      <c r="CR42" s="10">
        <f>+Risultati!AL41</f>
        <v>510.08699999999999</v>
      </c>
      <c r="CS42" s="31">
        <f t="shared" si="66"/>
        <v>2.864306046074462E-4</v>
      </c>
      <c r="CT42" s="10">
        <f t="shared" si="67"/>
        <v>458137.51199999999</v>
      </c>
      <c r="CU42" s="31">
        <f t="shared" si="68"/>
        <v>0.25725926078396655</v>
      </c>
      <c r="CV42" s="10">
        <f>+Risultati!AX41</f>
        <v>1675.5260000000001</v>
      </c>
      <c r="CW42" s="31">
        <f t="shared" si="69"/>
        <v>9.4086288263667945E-4</v>
      </c>
      <c r="CX42" s="10">
        <f t="shared" si="70"/>
        <v>1780839.7279999999</v>
      </c>
      <c r="CY42" s="31">
        <f t="shared" si="71"/>
        <v>1</v>
      </c>
      <c r="CZ42" s="10">
        <f>+Risultati!AG41</f>
        <v>987779.91599999997</v>
      </c>
      <c r="DA42" s="31">
        <f t="shared" si="72"/>
        <v>0.55467086704615565</v>
      </c>
      <c r="DB42" s="10">
        <f t="shared" si="73"/>
        <v>31216.292999999947</v>
      </c>
      <c r="DC42" s="31">
        <f t="shared" si="74"/>
        <v>1.7528973836998737E-2</v>
      </c>
      <c r="DD42" s="10">
        <f>+Risultati!AV41</f>
        <v>755545.31799999997</v>
      </c>
      <c r="DE42" s="31">
        <f t="shared" si="75"/>
        <v>0.42426351238723042</v>
      </c>
      <c r="DF42" s="10">
        <f>+Risultati!AJ41</f>
        <v>755545.31799999997</v>
      </c>
      <c r="DG42" s="31">
        <f t="shared" si="76"/>
        <v>0.42426351238723042</v>
      </c>
      <c r="DH42" s="10">
        <f t="shared" si="77"/>
        <v>0</v>
      </c>
      <c r="DI42" s="31">
        <f t="shared" si="78"/>
        <v>0</v>
      </c>
      <c r="DJ42" s="10">
        <f>+Risultati!AW41</f>
        <v>6298.201</v>
      </c>
      <c r="DK42" s="31">
        <f t="shared" si="79"/>
        <v>3.5366467296151878E-3</v>
      </c>
      <c r="DL42" s="10">
        <f t="shared" si="50"/>
        <v>1780839.7279999999</v>
      </c>
      <c r="DM42" s="31">
        <f t="shared" si="80"/>
        <v>1</v>
      </c>
      <c r="DO42" s="30"/>
      <c r="DP42" s="30"/>
    </row>
    <row r="43" spans="1:120" x14ac:dyDescent="0.2">
      <c r="A43" s="5"/>
      <c r="B43" s="6" t="str">
        <f>+Risultati!B42</f>
        <v>CONAD ADRIATICO SOCIETA' COOPERATIVA</v>
      </c>
      <c r="C43" s="6" t="str">
        <f>+Risultati!C42</f>
        <v>00105820443</v>
      </c>
      <c r="D43" s="26">
        <f>IF(YEAR(Risultati!D42)=1900,(MID(Risultati!$AP$1,29,4)),YEAR(Risultati!D42))</f>
        <v>2023</v>
      </c>
      <c r="E43" s="6" t="str">
        <f>+Risultati!E42</f>
        <v>Dettagliato</v>
      </c>
      <c r="F43" s="8" t="str">
        <f>(LEFT(Risultati!AN42,2)&amp;"-")&amp;VLOOKUP((LEFT(Risultati!AN42,2)),ateco!$B$4:$C$93,2,FALSE)</f>
        <v>46-Commercio all'ingrosso (escluso quello di autoveicoli e di motocicli)</v>
      </c>
      <c r="G43" s="8" t="str">
        <f>SUBSTITUTE((Risultati!AN42&amp;"-"&amp;Risultati!AO42),",",";")</f>
        <v>463920-Commercio all'ingrosso non specializzato di prodotti alimentari; bevande e tabacco</v>
      </c>
      <c r="I43" s="10">
        <f>+Risultati!G42</f>
        <v>1194099.321</v>
      </c>
      <c r="J43" s="11">
        <f t="shared" si="2"/>
        <v>1</v>
      </c>
      <c r="K43" s="12"/>
      <c r="L43" s="10">
        <f>+Risultati!G42+Risultati!H42</f>
        <v>1194099.321</v>
      </c>
      <c r="M43" s="11">
        <f t="shared" si="3"/>
        <v>0.88908925544934037</v>
      </c>
      <c r="N43" s="12"/>
      <c r="O43" s="10">
        <f>+Risultati!I42+Risultati!J42</f>
        <v>1194897.6849999998</v>
      </c>
      <c r="P43" s="11">
        <f t="shared" si="4"/>
        <v>0.88968369247970647</v>
      </c>
      <c r="Q43" s="12"/>
      <c r="R43" s="13">
        <f t="shared" si="51"/>
        <v>-798.36399999982677</v>
      </c>
      <c r="S43" s="11">
        <f t="shared" si="6"/>
        <v>-5.9443703036608894E-4</v>
      </c>
      <c r="T43" s="12"/>
      <c r="U43" s="10">
        <f>+Risultati!F42-(Risultati!G42+Risultati!H42)</f>
        <v>148959.67299999995</v>
      </c>
      <c r="V43" s="12">
        <f t="shared" si="7"/>
        <v>0.11091074455065966</v>
      </c>
      <c r="W43" s="12"/>
      <c r="X43" s="10">
        <f t="shared" si="52"/>
        <v>148161.30900000012</v>
      </c>
      <c r="Y43" s="12">
        <f t="shared" si="9"/>
        <v>0.11031630752029357</v>
      </c>
      <c r="Z43" s="12"/>
      <c r="AA43" s="10">
        <f>+Risultati!K42</f>
        <v>84016.370999999999</v>
      </c>
      <c r="AB43" s="12">
        <f t="shared" si="10"/>
        <v>6.2555979577468959E-2</v>
      </c>
      <c r="AC43" s="12"/>
      <c r="AD43" s="10">
        <f>+Risultati!L42</f>
        <v>12657.291999999999</v>
      </c>
      <c r="AE43" s="12">
        <f t="shared" si="11"/>
        <v>9.4242263791429557E-3</v>
      </c>
      <c r="AF43" s="12"/>
      <c r="AG43" s="10">
        <f>+Risultati!M42+Risultati!P42+Risultati!Q42</f>
        <v>3897.2929999999997</v>
      </c>
      <c r="AH43" s="12">
        <f t="shared" si="12"/>
        <v>2.9018032844505114E-3</v>
      </c>
      <c r="AI43" s="12"/>
      <c r="AJ43" s="13">
        <f t="shared" si="53"/>
        <v>47590.353000000126</v>
      </c>
      <c r="AK43" s="11">
        <f t="shared" si="14"/>
        <v>3.5434298279231155E-2</v>
      </c>
      <c r="AL43" s="12"/>
      <c r="AM43" s="10">
        <f>+Risultati!N42</f>
        <v>5701.3010000000004</v>
      </c>
      <c r="AN43" s="12">
        <f t="shared" si="15"/>
        <v>4.2450115932882101E-3</v>
      </c>
      <c r="AO43" s="12"/>
      <c r="AP43" s="10">
        <f t="shared" si="54"/>
        <v>41889.052000000127</v>
      </c>
      <c r="AQ43" s="41">
        <f t="shared" si="16"/>
        <v>3.1189286685942948E-2</v>
      </c>
      <c r="AR43" s="12"/>
      <c r="AS43" s="10">
        <f>+Risultati!O42</f>
        <v>4479.6559999999999</v>
      </c>
      <c r="AT43" s="12">
        <f t="shared" si="17"/>
        <v>3.3354126810605312E-3</v>
      </c>
      <c r="AU43" s="12"/>
      <c r="AV43" s="10">
        <f t="shared" si="55"/>
        <v>37409.396000000124</v>
      </c>
      <c r="AW43" s="12">
        <f t="shared" si="19"/>
        <v>2.7853874004882415E-2</v>
      </c>
      <c r="AX43" s="12"/>
      <c r="AY43" s="10">
        <f>+Risultati!R42+Risultati!S42</f>
        <v>3375.7160000000003</v>
      </c>
      <c r="AZ43" s="12">
        <f t="shared" si="20"/>
        <v>2.5134532549059424E-3</v>
      </c>
      <c r="BA43" s="12"/>
      <c r="BB43" s="10">
        <f>+Risultati!T42</f>
        <v>0</v>
      </c>
      <c r="BC43" s="12">
        <f t="shared" si="21"/>
        <v>0</v>
      </c>
      <c r="BD43" s="12"/>
      <c r="BE43" s="10">
        <f>+Risultati!U42</f>
        <v>5739.1850000000004</v>
      </c>
      <c r="BF43" s="12">
        <f t="shared" si="22"/>
        <v>4.2732188426862217E-3</v>
      </c>
      <c r="BG43" s="12"/>
      <c r="BH43" s="10">
        <f t="shared" si="56"/>
        <v>35045.927000000127</v>
      </c>
      <c r="BI43" s="12">
        <f t="shared" si="24"/>
        <v>2.6094108417102135E-2</v>
      </c>
      <c r="BK43" s="16">
        <f>IF(ISNUMBER(Risultati!X42/100),(Risultati!X42/100))</f>
        <v>7.8274910793921001E-2</v>
      </c>
      <c r="BL43" s="16">
        <f>IF(ISNUMBER(Risultati!Y42/100),(Risultati!Y42/100))</f>
        <v>0.15955451189612702</v>
      </c>
      <c r="BM43" s="16">
        <f>IF(ISNUMBER(Risultati!Z42/100),(Risultati!Z42/100))</f>
        <v>0.50133545505434396</v>
      </c>
      <c r="BN43" s="16">
        <f>IF(AND(Risultati!AY42&lt;0,calcoli!AP43&lt;0),-IF(ISNUMBER(Risultati!AA42/100),(Risultati!AA42/100)),IF(ISNUMBER(Risultati!AA42/100),(Risultati!AA42/100)))</f>
        <v>0.87235372078716789</v>
      </c>
      <c r="BO43" s="16">
        <f t="shared" si="0"/>
        <v>2.6094108417102135E-2</v>
      </c>
      <c r="BP43" s="16">
        <f>IF(Risultati!AB42&gt;0,(AV43/Risultati!AB42),"0")</f>
        <v>6.499332959787385E-2</v>
      </c>
      <c r="BQ43" s="16">
        <f>IF(Risultati!AG42&lt;&gt;0,(BH43/Risultati!AG42),"0")</f>
        <v>0.12259317390089268</v>
      </c>
      <c r="BR43" s="16">
        <f t="shared" si="1"/>
        <v>2.6094108417102135E-2</v>
      </c>
      <c r="BS43" s="14">
        <f>IF(Risultati!AB42&gt;0,(Risultati!G42/Risultati!AB42),"0")</f>
        <v>2.0745721407089839</v>
      </c>
      <c r="BT43" s="15">
        <f>IF(Risultati!AG42&lt;&gt;0,(Risultati!AB42/Risultati!AG42),"0")</f>
        <v>2.0134490616798058</v>
      </c>
      <c r="BU43" s="23">
        <f>IF(AND(Risultati!G42&gt;0,(Risultati!AE42-Risultati!AF42)&gt;=0),((Risultati!AE42-Risultati!AF42)/Risultati!G42*360),"0")</f>
        <v>14.468630118247928</v>
      </c>
      <c r="BV43" s="21">
        <f>IF(OR(E43="abbreviato",Risultati!G42=0),"0",((Risultati!AC42+Risultati!AD42)/Risultati!G42*360))</f>
        <v>30.940941000669071</v>
      </c>
      <c r="BW43" s="21">
        <f>IF(OR(E43="abbreviato",Risultati!G42=0,SUM(Risultati!I42+Risultati!K42+Risultati!M42)=0),"0",(((Risultati!AH42+Risultati!AI42)/(Risultati!I42+Risultati!K42+Risultati!N42)*360)))</f>
        <v>50.141404188545849</v>
      </c>
      <c r="BX43" s="16">
        <f>IF(Risultati!AB42&gt;0,(+Risultati!AG42/Risultati!AB42),"0")</f>
        <v>0.4966601932137818</v>
      </c>
      <c r="BY43" s="22">
        <f>IF(OR(E43="abbreviato",Risultati!G42=0),"0",(((Risultati!AK42-(Risultati!AL42+Risultati!AM42))/Risultati!G42)))</f>
        <v>-3.0917769025345581E-2</v>
      </c>
      <c r="BZ43" s="16">
        <f>IF(Risultati!G42&gt;0,(Risultati!AJ42/Risultati!G42),"0")</f>
        <v>0.16608042439377621</v>
      </c>
      <c r="CA43" s="8"/>
      <c r="CB43" s="10">
        <f>+Risultati!AP42</f>
        <v>443.26600000000002</v>
      </c>
      <c r="CC43" s="31">
        <f t="shared" si="57"/>
        <v>7.7070307896337324E-4</v>
      </c>
      <c r="CD43" s="10">
        <f>+Risultati!AQ42</f>
        <v>3690.623</v>
      </c>
      <c r="CE43" s="31">
        <f t="shared" si="58"/>
        <v>6.4168569423168958E-3</v>
      </c>
      <c r="CF43" s="10">
        <f>+Risultati!AR42</f>
        <v>7023.0069999999996</v>
      </c>
      <c r="CG43" s="31">
        <f t="shared" si="59"/>
        <v>1.2210846576279981E-2</v>
      </c>
      <c r="CH43" s="10">
        <f>+Risultati!AS42</f>
        <v>213337.68799999999</v>
      </c>
      <c r="CI43" s="31">
        <f t="shared" si="60"/>
        <v>0.37092854629167921</v>
      </c>
      <c r="CJ43" s="10">
        <f t="shared" si="61"/>
        <v>224051.318</v>
      </c>
      <c r="CK43" s="31">
        <f t="shared" si="62"/>
        <v>0.38955624981027609</v>
      </c>
      <c r="CL43" s="10">
        <f>+Risultati!AE42+Risultati!AF42</f>
        <v>47991.614999999998</v>
      </c>
      <c r="CM43" s="31">
        <f t="shared" si="63"/>
        <v>8.3442640412133576E-2</v>
      </c>
      <c r="CN43" s="10">
        <f>+Risultati!AT42</f>
        <v>172521.147</v>
      </c>
      <c r="CO43" s="31">
        <f t="shared" si="64"/>
        <v>0.29996115014278718</v>
      </c>
      <c r="CP43" s="10">
        <f>+Risultati!AU42</f>
        <v>126638.43799999999</v>
      </c>
      <c r="CQ43" s="31">
        <f t="shared" si="65"/>
        <v>0.22018524786857607</v>
      </c>
      <c r="CR43" s="10">
        <f>+Risultati!AL42</f>
        <v>1668.0630000000001</v>
      </c>
      <c r="CS43" s="31">
        <f t="shared" si="66"/>
        <v>2.900247909843934E-3</v>
      </c>
      <c r="CT43" s="10">
        <f t="shared" si="67"/>
        <v>348819.26299999998</v>
      </c>
      <c r="CU43" s="31">
        <f t="shared" si="68"/>
        <v>0.60648928633334076</v>
      </c>
      <c r="CV43" s="10">
        <f>+Risultati!AX42</f>
        <v>2274.39</v>
      </c>
      <c r="CW43" s="31">
        <f t="shared" si="69"/>
        <v>3.9544638563830887E-3</v>
      </c>
      <c r="CX43" s="10">
        <f t="shared" si="70"/>
        <v>575144.97100000002</v>
      </c>
      <c r="CY43" s="31">
        <f t="shared" si="71"/>
        <v>1</v>
      </c>
      <c r="CZ43" s="10">
        <f>+Risultati!AG42</f>
        <v>285871.76500000001</v>
      </c>
      <c r="DA43" s="31">
        <f t="shared" si="72"/>
        <v>0.49704297075389015</v>
      </c>
      <c r="DB43" s="10">
        <f t="shared" si="73"/>
        <v>4622.6300000000047</v>
      </c>
      <c r="DC43" s="31">
        <f t="shared" si="74"/>
        <v>8.0373301221128204E-3</v>
      </c>
      <c r="DD43" s="10">
        <f>+Risultati!AV42</f>
        <v>283926.788</v>
      </c>
      <c r="DE43" s="31">
        <f t="shared" si="75"/>
        <v>0.49366125466825994</v>
      </c>
      <c r="DF43" s="10">
        <f>+Risultati!AJ42</f>
        <v>198316.522</v>
      </c>
      <c r="DG43" s="31">
        <f t="shared" si="76"/>
        <v>0.34481136408997654</v>
      </c>
      <c r="DH43" s="10">
        <f t="shared" si="77"/>
        <v>85610.266000000003</v>
      </c>
      <c r="DI43" s="31">
        <f t="shared" si="78"/>
        <v>0.14884989057828343</v>
      </c>
      <c r="DJ43" s="10">
        <f>+Risultati!AW42</f>
        <v>723.78800000000001</v>
      </c>
      <c r="DK43" s="31">
        <f t="shared" si="79"/>
        <v>1.2584444557370562E-3</v>
      </c>
      <c r="DL43" s="10">
        <f t="shared" si="50"/>
        <v>575144.97100000002</v>
      </c>
      <c r="DM43" s="31">
        <f t="shared" si="80"/>
        <v>1</v>
      </c>
      <c r="DO43" s="30"/>
      <c r="DP43" s="30"/>
    </row>
    <row r="44" spans="1:120" x14ac:dyDescent="0.2">
      <c r="A44" s="5"/>
      <c r="B44" s="6" t="str">
        <f>+Risultati!B43</f>
        <v>GRANAROLO S.P.A. IN SIGLA G. SPA</v>
      </c>
      <c r="C44" s="6" t="str">
        <f>+Risultati!C43</f>
        <v>04119190371</v>
      </c>
      <c r="D44" s="26">
        <f>IF(YEAR(Risultati!D43)=1900,(MID(Risultati!$AP$1,29,4)),YEAR(Risultati!D43))</f>
        <v>2023</v>
      </c>
      <c r="E44" s="6" t="str">
        <f>+Risultati!E43</f>
        <v>Dettagliato</v>
      </c>
      <c r="F44" s="8" t="str">
        <f>(LEFT(Risultati!AN43,2)&amp;"-")&amp;VLOOKUP((LEFT(Risultati!AN43,2)),ateco!$B$4:$C$93,2,FALSE)</f>
        <v>10-Industrie alimentari</v>
      </c>
      <c r="G44" s="8" t="str">
        <f>SUBSTITUTE((Risultati!AN43&amp;"-"&amp;Risultati!AO43),",",";")</f>
        <v>105110-Trattamento igienico del latte</v>
      </c>
      <c r="I44" s="10">
        <f>+Risultati!G43</f>
        <v>1172535</v>
      </c>
      <c r="J44" s="11">
        <f t="shared" si="2"/>
        <v>0.97711412852354751</v>
      </c>
      <c r="K44" s="12"/>
      <c r="L44" s="10">
        <f>+Risultati!G43+Risultati!H43</f>
        <v>1199998</v>
      </c>
      <c r="M44" s="11">
        <f t="shared" si="3"/>
        <v>0.99348109733481693</v>
      </c>
      <c r="N44" s="12"/>
      <c r="O44" s="10">
        <f>+Risultati!I43+Risultati!J43</f>
        <v>847558</v>
      </c>
      <c r="P44" s="11">
        <f t="shared" si="4"/>
        <v>0.70169521273777358</v>
      </c>
      <c r="Q44" s="12"/>
      <c r="R44" s="13">
        <f t="shared" si="51"/>
        <v>352440</v>
      </c>
      <c r="S44" s="11">
        <f t="shared" si="6"/>
        <v>0.29178588459704341</v>
      </c>
      <c r="T44" s="12"/>
      <c r="U44" s="10">
        <f>+Risultati!F43-(Risultati!G43+Risultati!H43)</f>
        <v>7874</v>
      </c>
      <c r="V44" s="12">
        <f t="shared" si="7"/>
        <v>6.5189026651830658E-3</v>
      </c>
      <c r="W44" s="12"/>
      <c r="X44" s="10">
        <f t="shared" si="52"/>
        <v>360314</v>
      </c>
      <c r="Y44" s="12">
        <f t="shared" si="9"/>
        <v>0.29830478726222648</v>
      </c>
      <c r="Z44" s="12"/>
      <c r="AA44" s="10">
        <f>+Risultati!K43</f>
        <v>200625</v>
      </c>
      <c r="AB44" s="12">
        <f t="shared" si="10"/>
        <v>0.16609789779049436</v>
      </c>
      <c r="AC44" s="12"/>
      <c r="AD44" s="10">
        <f>+Risultati!L43</f>
        <v>88883</v>
      </c>
      <c r="AE44" s="12">
        <f t="shared" si="11"/>
        <v>7.3586439622741487E-2</v>
      </c>
      <c r="AF44" s="12"/>
      <c r="AG44" s="10">
        <f>+Risultati!M43+Risultati!P43+Risultati!Q43</f>
        <v>7339</v>
      </c>
      <c r="AH44" s="12">
        <f t="shared" si="12"/>
        <v>6.0759749377417476E-3</v>
      </c>
      <c r="AI44" s="12"/>
      <c r="AJ44" s="13">
        <f t="shared" si="53"/>
        <v>63467</v>
      </c>
      <c r="AK44" s="11">
        <f t="shared" si="14"/>
        <v>5.2544474911248876E-2</v>
      </c>
      <c r="AL44" s="12"/>
      <c r="AM44" s="10">
        <f>+Risultati!N43</f>
        <v>6485</v>
      </c>
      <c r="AN44" s="12">
        <f t="shared" si="15"/>
        <v>5.3689463784242037E-3</v>
      </c>
      <c r="AO44" s="12"/>
      <c r="AP44" s="10">
        <f t="shared" si="54"/>
        <v>56982</v>
      </c>
      <c r="AQ44" s="41">
        <f t="shared" si="16"/>
        <v>4.7175528532824668E-2</v>
      </c>
      <c r="AR44" s="12"/>
      <c r="AS44" s="10">
        <f>+Risultati!O43</f>
        <v>43638</v>
      </c>
      <c r="AT44" s="12">
        <f t="shared" si="17"/>
        <v>3.612800031791448E-2</v>
      </c>
      <c r="AU44" s="12"/>
      <c r="AV44" s="10">
        <f t="shared" si="55"/>
        <v>13344</v>
      </c>
      <c r="AW44" s="12">
        <f t="shared" si="19"/>
        <v>1.104752821491019E-2</v>
      </c>
      <c r="AX44" s="12"/>
      <c r="AY44" s="10">
        <f>+Risultati!R43+Risultati!S43</f>
        <v>-10685</v>
      </c>
      <c r="AZ44" s="12">
        <f t="shared" si="20"/>
        <v>-8.8461360144121235E-3</v>
      </c>
      <c r="BA44" s="12"/>
      <c r="BB44" s="10">
        <f>+Risultati!T43</f>
        <v>0</v>
      </c>
      <c r="BC44" s="12">
        <f t="shared" si="21"/>
        <v>0</v>
      </c>
      <c r="BD44" s="12"/>
      <c r="BE44" s="10">
        <f>+Risultati!U43</f>
        <v>-5053</v>
      </c>
      <c r="BF44" s="12">
        <f t="shared" si="22"/>
        <v>-4.1833902930111799E-3</v>
      </c>
      <c r="BG44" s="12"/>
      <c r="BH44" s="10">
        <f t="shared" si="56"/>
        <v>7712</v>
      </c>
      <c r="BI44" s="12">
        <f t="shared" si="24"/>
        <v>6.3847824935092459E-3</v>
      </c>
      <c r="BK44" s="16">
        <f>IF(ISNUMBER(Risultati!X43/100),(Risultati!X43/100))</f>
        <v>0.105242321269506</v>
      </c>
      <c r="BL44" s="16">
        <f>IF(ISNUMBER(Risultati!Y43/100),(Risultati!Y43/100))</f>
        <v>0.263831672347003</v>
      </c>
      <c r="BM44" s="16">
        <f>IF(ISNUMBER(Risultati!Z43/100),(Risultati!Z43/100))</f>
        <v>0.232007708092762</v>
      </c>
      <c r="BN44" s="16">
        <f>IF(AND(Risultati!AY43&lt;0,calcoli!AP44&lt;0),-IF(ISNUMBER(Risultati!AA43/100),(Risultati!AA43/100)),IF(ISNUMBER(Risultati!AA43/100),(Risultati!AA43/100)))</f>
        <v>0.11432259073842299</v>
      </c>
      <c r="BO44" s="16">
        <f t="shared" si="0"/>
        <v>6.3847824935092459E-3</v>
      </c>
      <c r="BP44" s="16">
        <f>IF(Risultati!AB43&gt;0,(AV44/Risultati!AB43),"0")</f>
        <v>9.9595468047946733E-3</v>
      </c>
      <c r="BQ44" s="16">
        <f>IF(Risultati!AG43&lt;&gt;0,(BH44/Risultati!AG43),"0")</f>
        <v>2.1994067989961213E-2</v>
      </c>
      <c r="BR44" s="16">
        <f t="shared" si="1"/>
        <v>6.3847824935092459E-3</v>
      </c>
      <c r="BS44" s="14">
        <f>IF(Risultati!AB43&gt;0,(Risultati!G43/Risultati!AB43),"0")</f>
        <v>0.87514367601618126</v>
      </c>
      <c r="BT44" s="15">
        <f>IF(Risultati!AG43&lt;&gt;0,(Risultati!AB43/Risultati!AG43),"0")</f>
        <v>3.8210700433493043</v>
      </c>
      <c r="BU44" s="23">
        <f>IF(AND(Risultati!G43&gt;0,(Risultati!AE43-Risultati!AF43)&gt;=0),((Risultati!AE43-Risultati!AF43)/Risultati!G43*360),"0")</f>
        <v>38.254346352134476</v>
      </c>
      <c r="BV44" s="21">
        <f>IF(OR(E44="abbreviato",Risultati!G43=0),"0",((Risultati!AC43+Risultati!AD43)/Risultati!G43*360))</f>
        <v>17.491332881321238</v>
      </c>
      <c r="BW44" s="21">
        <f>IF(OR(E44="abbreviato",Risultati!G43=0,SUM(Risultati!I43+Risultati!K43+Risultati!M43)=0),"0",(((Risultati!AH43+Risultati!AI43)/(Risultati!I43+Risultati!K43+Risultati!N43)*360)))</f>
        <v>107.78284693190633</v>
      </c>
      <c r="BX44" s="16">
        <f>IF(Risultati!AB43&gt;0,(+Risultati!AG43/Risultati!AB43),"0")</f>
        <v>0.26170679643534206</v>
      </c>
      <c r="BY44" s="22">
        <f>IF(OR(E44="abbreviato",Risultati!G43=0),"0",(((Risultati!AK43-(Risultati!AL43+Risultati!AM43))/Risultati!G43)))</f>
        <v>0.31276593022809551</v>
      </c>
      <c r="BZ44" s="16">
        <f>IF(Risultati!G43&gt;0,(Risultati!AJ43/Risultati!G43),"0")</f>
        <v>0.5465806990836094</v>
      </c>
      <c r="CA44" s="8"/>
      <c r="CB44" s="10">
        <f>+Risultati!AP43</f>
        <v>0</v>
      </c>
      <c r="CC44" s="31">
        <f t="shared" si="57"/>
        <v>0</v>
      </c>
      <c r="CD44" s="10">
        <f>+Risultati!AQ43</f>
        <v>113182</v>
      </c>
      <c r="CE44" s="31">
        <f t="shared" si="58"/>
        <v>8.447552656326969E-2</v>
      </c>
      <c r="CF44" s="10">
        <f>+Risultati!AR43</f>
        <v>353587</v>
      </c>
      <c r="CG44" s="31">
        <f t="shared" si="59"/>
        <v>0.26390634562851728</v>
      </c>
      <c r="CH44" s="10">
        <f>+Risultati!AS43</f>
        <v>214002</v>
      </c>
      <c r="CI44" s="31">
        <f t="shared" si="60"/>
        <v>0.15972444059649804</v>
      </c>
      <c r="CJ44" s="10">
        <f t="shared" si="61"/>
        <v>680771</v>
      </c>
      <c r="CK44" s="31">
        <f t="shared" si="62"/>
        <v>0.508106312788285</v>
      </c>
      <c r="CL44" s="10">
        <f>+Risultati!AE43+Risultati!AF43</f>
        <v>124596</v>
      </c>
      <c r="CM44" s="31">
        <f t="shared" si="63"/>
        <v>9.2994581361675446E-2</v>
      </c>
      <c r="CN44" s="10">
        <f>+Risultati!AT43</f>
        <v>403749</v>
      </c>
      <c r="CO44" s="31">
        <f t="shared" si="64"/>
        <v>0.30134570315415504</v>
      </c>
      <c r="CP44" s="10">
        <f>+Risultati!AU43</f>
        <v>0</v>
      </c>
      <c r="CQ44" s="31">
        <f t="shared" si="65"/>
        <v>0</v>
      </c>
      <c r="CR44" s="10">
        <f>+Risultati!AL43</f>
        <v>130704</v>
      </c>
      <c r="CS44" s="31">
        <f t="shared" si="66"/>
        <v>9.7553402695884528E-2</v>
      </c>
      <c r="CT44" s="10">
        <f t="shared" si="67"/>
        <v>659049</v>
      </c>
      <c r="CU44" s="31">
        <f t="shared" si="68"/>
        <v>0.491893687211715</v>
      </c>
      <c r="CV44" s="10">
        <f>+Risultati!AX43</f>
        <v>0</v>
      </c>
      <c r="CW44" s="31">
        <f t="shared" si="69"/>
        <v>0</v>
      </c>
      <c r="CX44" s="10">
        <f t="shared" si="70"/>
        <v>1339820</v>
      </c>
      <c r="CY44" s="31">
        <f t="shared" si="71"/>
        <v>1</v>
      </c>
      <c r="CZ44" s="10">
        <f>+Risultati!AG43</f>
        <v>350640</v>
      </c>
      <c r="DA44" s="31">
        <f t="shared" si="72"/>
        <v>0.26170679643534206</v>
      </c>
      <c r="DB44" s="10">
        <f t="shared" si="73"/>
        <v>18561</v>
      </c>
      <c r="DC44" s="31">
        <f t="shared" si="74"/>
        <v>1.3853353435536116E-2</v>
      </c>
      <c r="DD44" s="10">
        <f>+Risultati!AV43</f>
        <v>961452</v>
      </c>
      <c r="DE44" s="31">
        <f t="shared" si="75"/>
        <v>0.71759788628323207</v>
      </c>
      <c r="DF44" s="10">
        <f>+Risultati!AJ43</f>
        <v>640885</v>
      </c>
      <c r="DG44" s="31">
        <f t="shared" si="76"/>
        <v>0.47833664223552419</v>
      </c>
      <c r="DH44" s="10">
        <f t="shared" si="77"/>
        <v>320567</v>
      </c>
      <c r="DI44" s="31">
        <f t="shared" si="78"/>
        <v>0.2392612440477079</v>
      </c>
      <c r="DJ44" s="10">
        <f>+Risultati!AW43</f>
        <v>9167</v>
      </c>
      <c r="DK44" s="31">
        <f t="shared" si="79"/>
        <v>6.8419638458897467E-3</v>
      </c>
      <c r="DL44" s="10">
        <f t="shared" si="50"/>
        <v>1339820</v>
      </c>
      <c r="DM44" s="31">
        <f t="shared" si="80"/>
        <v>1</v>
      </c>
      <c r="DO44" s="30"/>
      <c r="DP44" s="30"/>
    </row>
    <row r="45" spans="1:120" x14ac:dyDescent="0.2">
      <c r="A45" s="5"/>
      <c r="B45" s="6" t="str">
        <f>+Risultati!B44</f>
        <v>EUROSPIN TIRRENICA S.P.A.</v>
      </c>
      <c r="C45" s="6" t="str">
        <f>+Risultati!C44</f>
        <v>02049850544</v>
      </c>
      <c r="D45" s="26">
        <f>IF(YEAR(Risultati!D44)=1900,(MID(Risultati!$AP$1,29,4)),YEAR(Risultati!D44))</f>
        <v>2023</v>
      </c>
      <c r="E45" s="6" t="str">
        <f>+Risultati!E44</f>
        <v>Dettagliato</v>
      </c>
      <c r="F45" s="8" t="str">
        <f>(LEFT(Risultati!AN44,2)&amp;"-")&amp;VLOOKUP((LEFT(Risultati!AN44,2)),ateco!$B$4:$C$93,2,FALSE)</f>
        <v>47-Commercio al dettaglio (escluso quello di autoveicoli e di motocicli)</v>
      </c>
      <c r="G45" s="8" t="str">
        <f>SUBSTITUTE((Risultati!AN44&amp;"-"&amp;Risultati!AO44),",",";")</f>
        <v>471100-Commercio al dettaglio in esercizi non specializzati con prevalenza di prodotti alimentari e bevande</v>
      </c>
      <c r="I45" s="10">
        <f>+Risultati!G44</f>
        <v>1217410.9140000001</v>
      </c>
      <c r="J45" s="11">
        <f t="shared" si="2"/>
        <v>1</v>
      </c>
      <c r="K45" s="12"/>
      <c r="L45" s="10">
        <f>+Risultati!G44+Risultati!H44</f>
        <v>1217410.9140000001</v>
      </c>
      <c r="M45" s="11">
        <f t="shared" si="3"/>
        <v>0.97064845116093956</v>
      </c>
      <c r="N45" s="12"/>
      <c r="O45" s="10">
        <f>+Risultati!I44+Risultati!J44</f>
        <v>945704.01800000004</v>
      </c>
      <c r="P45" s="11">
        <f t="shared" si="4"/>
        <v>0.75401504107788642</v>
      </c>
      <c r="Q45" s="12"/>
      <c r="R45" s="13">
        <f t="shared" si="51"/>
        <v>271706.89600000007</v>
      </c>
      <c r="S45" s="11">
        <f t="shared" si="6"/>
        <v>0.21663341008305312</v>
      </c>
      <c r="T45" s="12"/>
      <c r="U45" s="10">
        <f>+Risultati!F44-(Risultati!G44+Risultati!H44)</f>
        <v>36813.426999999909</v>
      </c>
      <c r="V45" s="12">
        <f t="shared" si="7"/>
        <v>2.9351548839060451E-2</v>
      </c>
      <c r="W45" s="12"/>
      <c r="X45" s="10">
        <f t="shared" si="52"/>
        <v>308520.32299999997</v>
      </c>
      <c r="Y45" s="12">
        <f t="shared" si="9"/>
        <v>0.24598495892211358</v>
      </c>
      <c r="Z45" s="12"/>
      <c r="AA45" s="10">
        <f>+Risultati!K44</f>
        <v>88203.79</v>
      </c>
      <c r="AB45" s="12">
        <f t="shared" si="10"/>
        <v>7.0325369327208731E-2</v>
      </c>
      <c r="AC45" s="12"/>
      <c r="AD45" s="10">
        <f>+Risultati!L44</f>
        <v>82299.152000000002</v>
      </c>
      <c r="AE45" s="12">
        <f t="shared" si="11"/>
        <v>6.5617568811001101E-2</v>
      </c>
      <c r="AF45" s="12"/>
      <c r="AG45" s="10">
        <f>+Risultati!M44+Risultati!P44+Risultati!Q44</f>
        <v>5095.5529999999999</v>
      </c>
      <c r="AH45" s="12">
        <f t="shared" si="12"/>
        <v>4.062712573364098E-3</v>
      </c>
      <c r="AI45" s="12"/>
      <c r="AJ45" s="13">
        <f t="shared" si="53"/>
        <v>132921.82799999998</v>
      </c>
      <c r="AK45" s="11">
        <f t="shared" si="14"/>
        <v>0.10597930821053965</v>
      </c>
      <c r="AL45" s="12"/>
      <c r="AM45" s="10">
        <f>+Risultati!N44</f>
        <v>6459.0590000000002</v>
      </c>
      <c r="AN45" s="12">
        <f t="shared" si="15"/>
        <v>5.1498434441562156E-3</v>
      </c>
      <c r="AO45" s="12"/>
      <c r="AP45" s="10">
        <f t="shared" si="54"/>
        <v>126462.76899999999</v>
      </c>
      <c r="AQ45" s="41">
        <f t="shared" si="16"/>
        <v>0.10082946476638344</v>
      </c>
      <c r="AR45" s="12"/>
      <c r="AS45" s="10">
        <f>+Risultati!O44</f>
        <v>23981.518</v>
      </c>
      <c r="AT45" s="12">
        <f t="shared" si="17"/>
        <v>1.9120596862981787E-2</v>
      </c>
      <c r="AU45" s="12"/>
      <c r="AV45" s="10">
        <f t="shared" si="55"/>
        <v>102481.25099999999</v>
      </c>
      <c r="AW45" s="12">
        <f t="shared" si="19"/>
        <v>8.170886790340165E-2</v>
      </c>
      <c r="AX45" s="12"/>
      <c r="AY45" s="10">
        <f>+Risultati!R44+Risultati!S44</f>
        <v>6669.277</v>
      </c>
      <c r="AZ45" s="12">
        <f t="shared" si="20"/>
        <v>5.3174514175690045E-3</v>
      </c>
      <c r="BA45" s="12"/>
      <c r="BB45" s="10">
        <f>+Risultati!T44</f>
        <v>-1E-3</v>
      </c>
      <c r="BC45" s="12">
        <f t="shared" si="21"/>
        <v>-7.9730552765599695E-10</v>
      </c>
      <c r="BD45" s="12"/>
      <c r="BE45" s="10">
        <f>+Risultati!U44</f>
        <v>29306.824000000001</v>
      </c>
      <c r="BF45" s="12">
        <f t="shared" si="22"/>
        <v>2.3366492773241435E-2</v>
      </c>
      <c r="BG45" s="12"/>
      <c r="BH45" s="10">
        <f t="shared" si="56"/>
        <v>79843.70299999998</v>
      </c>
      <c r="BI45" s="12">
        <f t="shared" si="24"/>
        <v>6.3659825750423685E-2</v>
      </c>
      <c r="BK45" s="16">
        <f>IF(ISNUMBER(Risultati!X44/100),(Risultati!X44/100))</f>
        <v>8.3903234748255798E-2</v>
      </c>
      <c r="BL45" s="16">
        <f>IF(ISNUMBER(Risultati!Y44/100),(Risultati!Y44/100))</f>
        <v>0.226732994190214</v>
      </c>
      <c r="BM45" s="16">
        <f>IF(ISNUMBER(Risultati!Z44/100),(Risultati!Z44/100))</f>
        <v>0.41385081128422302</v>
      </c>
      <c r="BN45" s="16">
        <f>IF(AND(Risultati!AY44&lt;0,calcoli!AP45&lt;0),-IF(ISNUMBER(Risultati!AA44/100),(Risultati!AA44/100)),IF(ISNUMBER(Risultati!AA44/100),(Risultati!AA44/100)))</f>
        <v>0.49249232960594902</v>
      </c>
      <c r="BO45" s="16">
        <f t="shared" si="0"/>
        <v>6.3659825750423685E-2</v>
      </c>
      <c r="BP45" s="16">
        <f>IF(Risultati!AB44&gt;0,(AV45/Risultati!AB44),"0")</f>
        <v>0.14136959172263666</v>
      </c>
      <c r="BQ45" s="16">
        <f>IF(Risultati!AG44&lt;&gt;0,(BH45/Risultati!AG44),"0")</f>
        <v>0.14870917039545437</v>
      </c>
      <c r="BR45" s="16">
        <f t="shared" si="1"/>
        <v>6.3659825750423685E-2</v>
      </c>
      <c r="BS45" s="14">
        <f>IF(Risultati!AB44&gt;0,(Risultati!G44/Risultati!AB44),"0")</f>
        <v>1.6793792248970687</v>
      </c>
      <c r="BT45" s="15">
        <f>IF(Risultati!AG44&lt;&gt;0,(Risultati!AB44/Risultati!AG44),"0")</f>
        <v>1.3501608003508003</v>
      </c>
      <c r="BU45" s="23">
        <f>IF(AND(Risultati!G44&gt;0,(Risultati!AE44-Risultati!AF44)&gt;=0),((Risultati!AE44-Risultati!AF44)/Risultati!G44*360),"0")</f>
        <v>13.201888643492149</v>
      </c>
      <c r="BV45" s="21">
        <f>IF(OR(E45="abbreviato",Risultati!G44=0),"0",((Risultati!AC44+Risultati!AD44)/Risultati!G44*360))</f>
        <v>9.9372868608930478</v>
      </c>
      <c r="BW45" s="21">
        <f>IF(OR(E45="abbreviato",Risultati!G44=0,SUM(Risultati!I44+Risultati!K44+Risultati!M44)=0),"0",(((Risultati!AH44+Risultati!AI44)/(Risultati!I44+Risultati!K44+Risultati!N44)*360)))</f>
        <v>54.815014978896393</v>
      </c>
      <c r="BX45" s="16">
        <f>IF(Risultati!AB44&gt;0,(+Risultati!AG44/Risultati!AB44),"0")</f>
        <v>0.74065252060360431</v>
      </c>
      <c r="BY45" s="22">
        <f>IF(OR(E45="abbreviato",Risultati!G44=0),"0",(((Risultati!AK44-(Risultati!AL44+Risultati!AM44))/Risultati!G44)))</f>
        <v>-0.12082790889124556</v>
      </c>
      <c r="BZ45" s="16">
        <f>IF(Risultati!G44&gt;0,(Risultati!AJ44/Risultati!G44),"0")</f>
        <v>0.14960649350643163</v>
      </c>
      <c r="CA45" s="8"/>
      <c r="CB45" s="10">
        <f>+Risultati!AP44</f>
        <v>0</v>
      </c>
      <c r="CC45" s="31">
        <f t="shared" si="57"/>
        <v>0</v>
      </c>
      <c r="CD45" s="10">
        <f>+Risultati!AQ44</f>
        <v>10782.262000000001</v>
      </c>
      <c r="CE45" s="31">
        <f t="shared" si="58"/>
        <v>1.4873783857171101E-2</v>
      </c>
      <c r="CF45" s="10">
        <f>+Risultati!AR44</f>
        <v>336560.52500000002</v>
      </c>
      <c r="CG45" s="31">
        <f t="shared" si="59"/>
        <v>0.46427442624803872</v>
      </c>
      <c r="CH45" s="10">
        <f>+Risultati!AS44</f>
        <v>15977.814</v>
      </c>
      <c r="CI45" s="31">
        <f t="shared" si="60"/>
        <v>2.2040880841708577E-2</v>
      </c>
      <c r="CJ45" s="10">
        <f t="shared" si="61"/>
        <v>363320.60100000002</v>
      </c>
      <c r="CK45" s="31">
        <f t="shared" si="62"/>
        <v>0.50118909094691844</v>
      </c>
      <c r="CL45" s="10">
        <f>+Risultati!AE44+Risultati!AF44</f>
        <v>44644.786999999997</v>
      </c>
      <c r="CM45" s="31">
        <f t="shared" si="63"/>
        <v>6.158604865912571E-2</v>
      </c>
      <c r="CN45" s="10">
        <f>+Risultati!AT44</f>
        <v>47643.421999999999</v>
      </c>
      <c r="CO45" s="31">
        <f t="shared" si="64"/>
        <v>6.5722569257173527E-2</v>
      </c>
      <c r="CP45" s="10">
        <f>+Risultati!AU44</f>
        <v>120000</v>
      </c>
      <c r="CQ45" s="31">
        <f t="shared" si="65"/>
        <v>0.16553614286691717</v>
      </c>
      <c r="CR45" s="10">
        <f>+Risultati!AL44</f>
        <v>147600.42600000001</v>
      </c>
      <c r="CS45" s="31">
        <f t="shared" si="66"/>
        <v>0.2036100433796153</v>
      </c>
      <c r="CT45" s="10">
        <f t="shared" si="67"/>
        <v>359888.63500000001</v>
      </c>
      <c r="CU45" s="31">
        <f t="shared" si="68"/>
        <v>0.49645480416283172</v>
      </c>
      <c r="CV45" s="10">
        <f>+Risultati!AX44</f>
        <v>1707.981</v>
      </c>
      <c r="CW45" s="31">
        <f t="shared" si="69"/>
        <v>2.3561048902498338E-3</v>
      </c>
      <c r="CX45" s="10">
        <f t="shared" si="70"/>
        <v>724917.21700000006</v>
      </c>
      <c r="CY45" s="31">
        <f t="shared" si="71"/>
        <v>1</v>
      </c>
      <c r="CZ45" s="10">
        <f>+Risultati!AG44</f>
        <v>536911.76399999997</v>
      </c>
      <c r="DA45" s="31">
        <f t="shared" si="72"/>
        <v>0.7406525206036042</v>
      </c>
      <c r="DB45" s="10">
        <f t="shared" si="73"/>
        <v>2444.0220000000872</v>
      </c>
      <c r="DC45" s="31">
        <f t="shared" si="74"/>
        <v>3.3714497913491922E-3</v>
      </c>
      <c r="DD45" s="10">
        <f>+Risultati!AV44</f>
        <v>183078.32800000001</v>
      </c>
      <c r="DE45" s="31">
        <f t="shared" si="75"/>
        <v>0.25255066883036936</v>
      </c>
      <c r="DF45" s="10">
        <f>+Risultati!AJ44</f>
        <v>182132.57800000001</v>
      </c>
      <c r="DG45" s="31">
        <f t="shared" si="76"/>
        <v>0.25124603710439947</v>
      </c>
      <c r="DH45" s="10">
        <f t="shared" si="77"/>
        <v>945.75</v>
      </c>
      <c r="DI45" s="31">
        <f t="shared" si="78"/>
        <v>1.3046317259698909E-3</v>
      </c>
      <c r="DJ45" s="10">
        <f>+Risultati!AW44</f>
        <v>2483.1030000000001</v>
      </c>
      <c r="DK45" s="31">
        <f t="shared" si="79"/>
        <v>3.4253607746772552E-3</v>
      </c>
      <c r="DL45" s="10">
        <f t="shared" si="50"/>
        <v>724917.21700000006</v>
      </c>
      <c r="DM45" s="31">
        <f t="shared" si="80"/>
        <v>1</v>
      </c>
      <c r="DO45" s="30"/>
      <c r="DP45" s="30"/>
    </row>
    <row r="46" spans="1:120" x14ac:dyDescent="0.2">
      <c r="A46" s="5"/>
      <c r="B46" s="6" t="str">
        <f>+Risultati!B45</f>
        <v>MAGAZZINI GABRIELLI S.P.A.</v>
      </c>
      <c r="C46" s="6" t="str">
        <f>+Risultati!C45</f>
        <v>00103300448</v>
      </c>
      <c r="D46" s="26">
        <f>IF(YEAR(Risultati!D45)=1900,(MID(Risultati!$AP$1,29,4)),YEAR(Risultati!D45))</f>
        <v>2023</v>
      </c>
      <c r="E46" s="6" t="str">
        <f>+Risultati!E45</f>
        <v>Dettagliato</v>
      </c>
      <c r="F46" s="8" t="str">
        <f>(LEFT(Risultati!AN45,2)&amp;"-")&amp;VLOOKUP((LEFT(Risultati!AN45,2)),ateco!$B$4:$C$93,2,FALSE)</f>
        <v>46-Commercio all'ingrosso (escluso quello di autoveicoli e di motocicli)</v>
      </c>
      <c r="G46" s="8" t="str">
        <f>SUBSTITUTE((Risultati!AN45&amp;"-"&amp;Risultati!AO45),",",";")</f>
        <v>469000-Commercio all'ingrosso non specializzato</v>
      </c>
      <c r="I46" s="10">
        <f>+Risultati!G45</f>
        <v>1096056.517</v>
      </c>
      <c r="J46" s="11">
        <f t="shared" si="2"/>
        <v>1</v>
      </c>
      <c r="K46" s="12"/>
      <c r="L46" s="10">
        <f>+Risultati!G45+Risultati!H45</f>
        <v>1096056.517</v>
      </c>
      <c r="M46" s="11">
        <f t="shared" si="3"/>
        <v>0.97279790028069324</v>
      </c>
      <c r="N46" s="12"/>
      <c r="O46" s="10">
        <f>+Risultati!I45+Risultati!J45</f>
        <v>813855.20299999998</v>
      </c>
      <c r="P46" s="11">
        <f t="shared" si="4"/>
        <v>0.72233194213188312</v>
      </c>
      <c r="Q46" s="12"/>
      <c r="R46" s="13">
        <f t="shared" si="51"/>
        <v>282201.31400000001</v>
      </c>
      <c r="S46" s="11">
        <f t="shared" si="6"/>
        <v>0.25046595814881012</v>
      </c>
      <c r="T46" s="12"/>
      <c r="U46" s="10">
        <f>+Risultati!F45-(Risultati!G45+Risultati!H45)</f>
        <v>30648.749000000069</v>
      </c>
      <c r="V46" s="12">
        <f t="shared" si="7"/>
        <v>2.7202099719306778E-2</v>
      </c>
      <c r="W46" s="12"/>
      <c r="X46" s="10">
        <f t="shared" si="52"/>
        <v>312850.06300000008</v>
      </c>
      <c r="Y46" s="12">
        <f t="shared" si="9"/>
        <v>0.27766805786811694</v>
      </c>
      <c r="Z46" s="12"/>
      <c r="AA46" s="10">
        <f>+Risultati!K45</f>
        <v>96159.387000000002</v>
      </c>
      <c r="AB46" s="12">
        <f t="shared" si="10"/>
        <v>8.5345644421617531E-2</v>
      </c>
      <c r="AC46" s="12"/>
      <c r="AD46" s="10">
        <f>+Risultati!L45</f>
        <v>105581.80499999999</v>
      </c>
      <c r="AE46" s="12">
        <f t="shared" si="11"/>
        <v>9.3708450813258196E-2</v>
      </c>
      <c r="AF46" s="12"/>
      <c r="AG46" s="10">
        <f>+Risultati!M45+Risultati!P45+Risultati!Q45</f>
        <v>10382.947</v>
      </c>
      <c r="AH46" s="12">
        <f t="shared" si="12"/>
        <v>9.215317717348806E-3</v>
      </c>
      <c r="AI46" s="12"/>
      <c r="AJ46" s="13">
        <f t="shared" si="53"/>
        <v>100725.9240000001</v>
      </c>
      <c r="AK46" s="11">
        <f t="shared" si="14"/>
        <v>8.9398644915892403E-2</v>
      </c>
      <c r="AL46" s="12"/>
      <c r="AM46" s="10">
        <f>+Risultati!N45</f>
        <v>22171.69</v>
      </c>
      <c r="AN46" s="12">
        <f t="shared" si="15"/>
        <v>1.9678340617607443E-2</v>
      </c>
      <c r="AO46" s="12"/>
      <c r="AP46" s="10">
        <f t="shared" si="54"/>
        <v>78554.234000000099</v>
      </c>
      <c r="AQ46" s="41">
        <f t="shared" si="16"/>
        <v>6.9720304298284949E-2</v>
      </c>
      <c r="AR46" s="12"/>
      <c r="AS46" s="10">
        <f>+Risultati!O45</f>
        <v>33140.959999999999</v>
      </c>
      <c r="AT46" s="12">
        <f t="shared" si="17"/>
        <v>2.9414045536199702E-2</v>
      </c>
      <c r="AU46" s="12"/>
      <c r="AV46" s="10">
        <f t="shared" si="55"/>
        <v>45413.274000000099</v>
      </c>
      <c r="AW46" s="12">
        <f t="shared" si="19"/>
        <v>4.0306258762085254E-2</v>
      </c>
      <c r="AX46" s="12"/>
      <c r="AY46" s="10">
        <f>+Risultati!R45+Risultati!S45</f>
        <v>1116.856</v>
      </c>
      <c r="AZ46" s="12">
        <f t="shared" si="20"/>
        <v>9.9125834741594244E-4</v>
      </c>
      <c r="BA46" s="12"/>
      <c r="BB46" s="10">
        <f>+Risultati!T45</f>
        <v>-2E-3</v>
      </c>
      <c r="BC46" s="12">
        <f t="shared" si="21"/>
        <v>-1.7750871149296642E-9</v>
      </c>
      <c r="BD46" s="12"/>
      <c r="BE46" s="10">
        <f>+Risultati!U45</f>
        <v>12302.153</v>
      </c>
      <c r="BF46" s="12">
        <f t="shared" si="22"/>
        <v>1.0918696638096657E-2</v>
      </c>
      <c r="BG46" s="12"/>
      <c r="BH46" s="10">
        <f t="shared" si="56"/>
        <v>34227.9750000001</v>
      </c>
      <c r="BI46" s="12">
        <f t="shared" si="24"/>
        <v>3.0378818696317426E-2</v>
      </c>
      <c r="BK46" s="16">
        <f>IF(ISNUMBER(Risultati!X45/100),(Risultati!X45/100))</f>
        <v>0.233458773335948</v>
      </c>
      <c r="BL46" s="16">
        <f>IF(ISNUMBER(Risultati!Y45/100),(Risultati!Y45/100))</f>
        <v>0.34653309789695397</v>
      </c>
      <c r="BM46" s="16">
        <f>IF(ISNUMBER(Risultati!Z45/100),(Risultati!Z45/100))</f>
        <v>0.53245625457273393</v>
      </c>
      <c r="BN46" s="16">
        <f>IF(AND(Risultati!AY45&lt;0,calcoli!AP46&lt;0),-IF(ISNUMBER(Risultati!AA45/100),(Risultati!AA45/100)),IF(ISNUMBER(Risultati!AA45/100),(Risultati!AA45/100)))</f>
        <v>0.46346380547931199</v>
      </c>
      <c r="BO46" s="16">
        <f t="shared" si="0"/>
        <v>3.0378818696317426E-2</v>
      </c>
      <c r="BP46" s="16">
        <f>IF(Risultati!AB45&gt;0,(AV46/Risultati!AB45),"0")</f>
        <v>7.9610060904283145E-2</v>
      </c>
      <c r="BQ46" s="16">
        <f>IF(Risultati!AG45&lt;&gt;0,(BH46/Risultati!AG45),"0")</f>
        <v>0.10003461963750196</v>
      </c>
      <c r="BR46" s="16">
        <f t="shared" si="1"/>
        <v>3.0378818696317426E-2</v>
      </c>
      <c r="BS46" s="14">
        <f>IF(Risultati!AB45&gt;0,(Risultati!G45/Risultati!AB45),"0")</f>
        <v>1.9214013522325271</v>
      </c>
      <c r="BT46" s="15">
        <f>IF(Risultati!AG45&lt;&gt;0,(Risultati!AB45/Risultati!AG45),"0")</f>
        <v>1.6671856967340506</v>
      </c>
      <c r="BU46" s="23">
        <f>IF(AND(Risultati!G45&gt;0,(Risultati!AE45-Risultati!AF45)&gt;=0),((Risultati!AE45-Risultati!AF45)/Risultati!G45*360),"0")</f>
        <v>24.072283199608037</v>
      </c>
      <c r="BV46" s="21">
        <f>IF(OR(E46="abbreviato",Risultati!G45=0),"0",((Risultati!AC45+Risultati!AD45)/Risultati!G45*360))</f>
        <v>17.90314829175912</v>
      </c>
      <c r="BW46" s="21">
        <f>IF(OR(E46="abbreviato",Risultati!G45=0,SUM(Risultati!I45+Risultati!K45+Risultati!M45)=0),"0",(((Risultati!AH45+Risultati!AI45)/(Risultati!I45+Risultati!K45+Risultati!N45)*360)))</f>
        <v>61.336660069170705</v>
      </c>
      <c r="BX46" s="16">
        <f>IF(Risultati!AB45&gt;0,(+Risultati!AG45/Risultati!AB45),"0")</f>
        <v>0.59981320734634391</v>
      </c>
      <c r="BY46" s="22">
        <f>IF(OR(E46="abbreviato",Risultati!G45=0),"0",(((Risultati!AK45-(Risultati!AL45+Risultati!AM45))/Risultati!G45)))</f>
        <v>-2.8128047707233331E-2</v>
      </c>
      <c r="BZ46" s="16">
        <f>IF(Risultati!G45&gt;0,(Risultati!AJ45/Risultati!G45),"0")</f>
        <v>0.17866927112117159</v>
      </c>
      <c r="CA46" s="8"/>
      <c r="CB46" s="10">
        <f>+Risultati!AP45</f>
        <v>0</v>
      </c>
      <c r="CC46" s="31">
        <f t="shared" si="57"/>
        <v>0</v>
      </c>
      <c r="CD46" s="10">
        <f>+Risultati!AQ45</f>
        <v>27666.942999999999</v>
      </c>
      <c r="CE46" s="31">
        <f t="shared" si="58"/>
        <v>4.8500511486252361E-2</v>
      </c>
      <c r="CF46" s="10">
        <f>+Risultati!AR45</f>
        <v>346078.55</v>
      </c>
      <c r="CG46" s="31">
        <f t="shared" si="59"/>
        <v>0.60668020639000708</v>
      </c>
      <c r="CH46" s="10">
        <f>+Risultati!AS45</f>
        <v>10893.322</v>
      </c>
      <c r="CI46" s="31">
        <f t="shared" si="60"/>
        <v>1.9096135369362836E-2</v>
      </c>
      <c r="CJ46" s="10">
        <f t="shared" si="61"/>
        <v>384638.81499999994</v>
      </c>
      <c r="CK46" s="31">
        <f t="shared" si="62"/>
        <v>0.67427685324562225</v>
      </c>
      <c r="CL46" s="10">
        <f>+Risultati!AE45+Risultati!AF45</f>
        <v>73290.508000000002</v>
      </c>
      <c r="CM46" s="31">
        <f t="shared" si="63"/>
        <v>0.12847921525292008</v>
      </c>
      <c r="CN46" s="10">
        <f>+Risultati!AT45</f>
        <v>63723.892</v>
      </c>
      <c r="CO46" s="31">
        <f t="shared" si="64"/>
        <v>0.11170881278407611</v>
      </c>
      <c r="CP46" s="10">
        <f>+Risultati!AU45</f>
        <v>0</v>
      </c>
      <c r="CQ46" s="31">
        <f t="shared" si="65"/>
        <v>0</v>
      </c>
      <c r="CR46" s="10">
        <f>+Risultati!AL45</f>
        <v>46208.673999999999</v>
      </c>
      <c r="CS46" s="31">
        <f t="shared" si="66"/>
        <v>8.1004407465670891E-2</v>
      </c>
      <c r="CT46" s="10">
        <f t="shared" si="67"/>
        <v>183223.07399999999</v>
      </c>
      <c r="CU46" s="31">
        <f t="shared" si="68"/>
        <v>0.32119243550266707</v>
      </c>
      <c r="CV46" s="10">
        <f>+Risultati!AX45</f>
        <v>2584.5279999999998</v>
      </c>
      <c r="CW46" s="31">
        <f t="shared" si="69"/>
        <v>4.5307112517107813E-3</v>
      </c>
      <c r="CX46" s="10">
        <f t="shared" si="70"/>
        <v>570446.4169999999</v>
      </c>
      <c r="CY46" s="31">
        <f t="shared" si="71"/>
        <v>1</v>
      </c>
      <c r="CZ46" s="10">
        <f>+Risultati!AG45</f>
        <v>342161.29499999998</v>
      </c>
      <c r="DA46" s="31">
        <f t="shared" si="72"/>
        <v>0.59981320734634402</v>
      </c>
      <c r="DB46" s="10">
        <f t="shared" si="73"/>
        <v>15763.547999999904</v>
      </c>
      <c r="DC46" s="31">
        <f t="shared" si="74"/>
        <v>2.7633704990033984E-2</v>
      </c>
      <c r="DD46" s="10">
        <f>+Risultati!AV45</f>
        <v>209156.52600000001</v>
      </c>
      <c r="DE46" s="31">
        <f t="shared" si="75"/>
        <v>0.36665411468435966</v>
      </c>
      <c r="DF46" s="10">
        <f>+Risultati!AJ45</f>
        <v>195831.61900000001</v>
      </c>
      <c r="DG46" s="31">
        <f t="shared" si="76"/>
        <v>0.34329537913461911</v>
      </c>
      <c r="DH46" s="10">
        <f t="shared" si="77"/>
        <v>13324.907000000007</v>
      </c>
      <c r="DI46" s="31">
        <f t="shared" si="78"/>
        <v>2.3358735549740526E-2</v>
      </c>
      <c r="DJ46" s="10">
        <f>+Risultati!AW45</f>
        <v>3365.0479999999998</v>
      </c>
      <c r="DK46" s="31">
        <f t="shared" si="79"/>
        <v>5.8989729792623107E-3</v>
      </c>
      <c r="DL46" s="10">
        <f t="shared" si="50"/>
        <v>570446.4169999999</v>
      </c>
      <c r="DM46" s="31">
        <f t="shared" si="80"/>
        <v>1</v>
      </c>
      <c r="DO46" s="30"/>
      <c r="DP46" s="30"/>
    </row>
    <row r="47" spans="1:120" x14ac:dyDescent="0.2">
      <c r="A47" s="5"/>
      <c r="B47" s="6" t="str">
        <f>+Risultati!B46</f>
        <v>FRATELLI ARENA SRL</v>
      </c>
      <c r="C47" s="6" t="str">
        <f>+Risultati!C46</f>
        <v>00097560866</v>
      </c>
      <c r="D47" s="26">
        <f>IF(YEAR(Risultati!D46)=1900,(MID(Risultati!$AP$1,29,4)),YEAR(Risultati!D46))</f>
        <v>2023</v>
      </c>
      <c r="E47" s="6" t="str">
        <f>+Risultati!E46</f>
        <v>Dettagliato</v>
      </c>
      <c r="F47" s="8" t="str">
        <f>(LEFT(Risultati!AN46,2)&amp;"-")&amp;VLOOKUP((LEFT(Risultati!AN46,2)),ateco!$B$4:$C$93,2,FALSE)</f>
        <v>47-Commercio al dettaglio (escluso quello di autoveicoli e di motocicli)</v>
      </c>
      <c r="G47" s="8" t="str">
        <f>SUBSTITUTE((Risultati!AN46&amp;"-"&amp;Risultati!AO46),",",";")</f>
        <v>471100-Commercio al dettaglio in esercizi non specializzati con prevalenza di prodotti alimentari e bevande</v>
      </c>
      <c r="I47" s="10">
        <f>+Risultati!G46</f>
        <v>1127709.9890000001</v>
      </c>
      <c r="J47" s="11">
        <f t="shared" si="2"/>
        <v>1</v>
      </c>
      <c r="K47" s="12"/>
      <c r="L47" s="10">
        <f>+Risultati!G46+Risultati!H46</f>
        <v>1127709.9890000001</v>
      </c>
      <c r="M47" s="11">
        <f t="shared" si="3"/>
        <v>0.97487783258124083</v>
      </c>
      <c r="N47" s="12"/>
      <c r="O47" s="10">
        <f>+Risultati!I46+Risultati!J46</f>
        <v>875616.3280000001</v>
      </c>
      <c r="P47" s="11">
        <f t="shared" si="4"/>
        <v>0.75694899960080508</v>
      </c>
      <c r="Q47" s="12"/>
      <c r="R47" s="13">
        <f t="shared" si="51"/>
        <v>252093.66099999996</v>
      </c>
      <c r="S47" s="11">
        <f t="shared" si="6"/>
        <v>0.21792883298043575</v>
      </c>
      <c r="T47" s="12"/>
      <c r="U47" s="10">
        <f>+Risultati!F46-(Risultati!G46+Risultati!H46)</f>
        <v>29060.584000000032</v>
      </c>
      <c r="V47" s="12">
        <f t="shared" si="7"/>
        <v>2.5122167418759216E-2</v>
      </c>
      <c r="W47" s="12"/>
      <c r="X47" s="10">
        <f t="shared" si="52"/>
        <v>281154.245</v>
      </c>
      <c r="Y47" s="12">
        <f t="shared" si="9"/>
        <v>0.24305100039919494</v>
      </c>
      <c r="Z47" s="12"/>
      <c r="AA47" s="10">
        <f>+Risultati!K46</f>
        <v>76483.762000000002</v>
      </c>
      <c r="AB47" s="12">
        <f t="shared" si="10"/>
        <v>6.6118350332551201E-2</v>
      </c>
      <c r="AC47" s="12"/>
      <c r="AD47" s="10">
        <f>+Risultati!L46</f>
        <v>92266.858999999997</v>
      </c>
      <c r="AE47" s="12">
        <f t="shared" si="11"/>
        <v>7.9762453466215549E-2</v>
      </c>
      <c r="AF47" s="12"/>
      <c r="AG47" s="10">
        <f>+Risultati!M46+Risultati!P46+Risultati!Q46</f>
        <v>15269.987999999999</v>
      </c>
      <c r="AH47" s="12">
        <f t="shared" si="12"/>
        <v>1.3200532894261305E-2</v>
      </c>
      <c r="AI47" s="12"/>
      <c r="AJ47" s="13">
        <f t="shared" si="53"/>
        <v>97133.636000000013</v>
      </c>
      <c r="AK47" s="11">
        <f t="shared" si="14"/>
        <v>8.3969663706166917E-2</v>
      </c>
      <c r="AL47" s="12"/>
      <c r="AM47" s="10">
        <f>+Risultati!N46</f>
        <v>25364.84</v>
      </c>
      <c r="AN47" s="12">
        <f t="shared" si="15"/>
        <v>2.1927286699745602E-2</v>
      </c>
      <c r="AO47" s="12"/>
      <c r="AP47" s="10">
        <f t="shared" si="54"/>
        <v>71768.796000000017</v>
      </c>
      <c r="AQ47" s="41">
        <f t="shared" si="16"/>
        <v>6.2042377006421318E-2</v>
      </c>
      <c r="AR47" s="12"/>
      <c r="AS47" s="10">
        <f>+Risultati!O46</f>
        <v>21794.744999999999</v>
      </c>
      <c r="AT47" s="12">
        <f t="shared" si="17"/>
        <v>1.8841026482439745E-2</v>
      </c>
      <c r="AU47" s="12"/>
      <c r="AV47" s="10">
        <f t="shared" si="55"/>
        <v>49974.051000000021</v>
      </c>
      <c r="AW47" s="12">
        <f t="shared" si="19"/>
        <v>4.3201350523981573E-2</v>
      </c>
      <c r="AX47" s="12"/>
      <c r="AY47" s="10">
        <f>+Risultati!R46+Risultati!S46</f>
        <v>-3266.828</v>
      </c>
      <c r="AZ47" s="12">
        <f t="shared" si="20"/>
        <v>-2.8240932785208394E-3</v>
      </c>
      <c r="BA47" s="12"/>
      <c r="BB47" s="10">
        <f>+Risultati!T46</f>
        <v>0</v>
      </c>
      <c r="BC47" s="12">
        <f t="shared" si="21"/>
        <v>0</v>
      </c>
      <c r="BD47" s="12"/>
      <c r="BE47" s="10">
        <f>+Risultati!U46</f>
        <v>11665.31</v>
      </c>
      <c r="BF47" s="12">
        <f t="shared" si="22"/>
        <v>1.0084376515342077E-2</v>
      </c>
      <c r="BG47" s="12"/>
      <c r="BH47" s="10">
        <f t="shared" si="56"/>
        <v>35041.913000000022</v>
      </c>
      <c r="BI47" s="12">
        <f t="shared" si="24"/>
        <v>3.0292880730118658E-2</v>
      </c>
      <c r="BK47" s="16">
        <f>IF(ISNUMBER(Risultati!X46/100),(Risultati!X46/100))</f>
        <v>9.4047347898902012E-2</v>
      </c>
      <c r="BL47" s="16">
        <f>IF(ISNUMBER(Risultati!Y46/100),(Risultati!Y46/100))</f>
        <v>0.197814232611734</v>
      </c>
      <c r="BM47" s="16">
        <f>IF(ISNUMBER(Risultati!Z46/100),(Risultati!Z46/100))</f>
        <v>0.55698937016723304</v>
      </c>
      <c r="BN47" s="16">
        <f>IF(AND(Risultati!AY46&lt;0,calcoli!AP47&lt;0),-IF(ISNUMBER(Risultati!AA46/100),(Risultati!AA46/100)),IF(ISNUMBER(Risultati!AA46/100),(Risultati!AA46/100)))</f>
        <v>1.2405520373272201</v>
      </c>
      <c r="BO47" s="16">
        <f t="shared" si="0"/>
        <v>3.0292880730118658E-2</v>
      </c>
      <c r="BP47" s="16">
        <f>IF(Risultati!AB46&gt;0,(AV47/Risultati!AB46),"0")</f>
        <v>8.4966810551462074E-2</v>
      </c>
      <c r="BQ47" s="16">
        <f>IF(Risultati!AG46&lt;&gt;0,(BH47/Risultati!AG46),"0")</f>
        <v>0.15615175264445769</v>
      </c>
      <c r="BR47" s="16">
        <f t="shared" si="1"/>
        <v>3.0292880730118658E-2</v>
      </c>
      <c r="BS47" s="14">
        <f>IF(Risultati!AB46&gt;0,(Risultati!G46/Risultati!AB46),"0")</f>
        <v>1.9173534879602685</v>
      </c>
      <c r="BT47" s="15">
        <f>IF(Risultati!AG46&lt;&gt;0,(Risultati!AB46/Risultati!AG46),"0")</f>
        <v>2.6209232023614275</v>
      </c>
      <c r="BU47" s="23">
        <f>IF(AND(Risultati!G46&gt;0,(Risultati!AE46-Risultati!AF46)&gt;=0),((Risultati!AE46-Risultati!AF46)/Risultati!G46*360),"0")</f>
        <v>27.579813164180457</v>
      </c>
      <c r="BV47" s="21">
        <f>IF(OR(E47="abbreviato",Risultati!G46=0),"0",((Risultati!AC46+Risultati!AD46)/Risultati!G46*360))</f>
        <v>15.939168629639582</v>
      </c>
      <c r="BW47" s="21">
        <f>IF(OR(E47="abbreviato",Risultati!G46=0,SUM(Risultati!I46+Risultati!K46+Risultati!M46)=0),"0",(((Risultati!AH46+Risultati!AI46)/(Risultati!I46+Risultati!K46+Risultati!N46)*360)))</f>
        <v>68.654065446157588</v>
      </c>
      <c r="BX47" s="16">
        <f>IF(Risultati!AB46&gt;0,(+Risultati!AG46/Risultati!AB46),"0")</f>
        <v>0.3815449453455978</v>
      </c>
      <c r="BY47" s="22">
        <f>IF(OR(E47="abbreviato",Risultati!G46=0),"0",(((Risultati!AK46-(Risultati!AL46+Risultati!AM46))/Risultati!G46)))</f>
        <v>2.9302184357967935E-2</v>
      </c>
      <c r="BZ47" s="16">
        <f>IF(Risultati!G46&gt;0,(Risultati!AJ46/Risultati!G46),"0")</f>
        <v>0.22284278178899769</v>
      </c>
      <c r="CA47" s="8"/>
      <c r="CB47" s="10">
        <f>+Risultati!AP46</f>
        <v>0</v>
      </c>
      <c r="CC47" s="31">
        <f t="shared" si="57"/>
        <v>0</v>
      </c>
      <c r="CD47" s="10">
        <f>+Risultati!AQ46</f>
        <v>58311.961000000003</v>
      </c>
      <c r="CE47" s="31">
        <f t="shared" si="58"/>
        <v>9.9143080139155487E-2</v>
      </c>
      <c r="CF47" s="10">
        <f>+Risultati!AR46</f>
        <v>257958.68599999999</v>
      </c>
      <c r="CG47" s="31">
        <f t="shared" si="59"/>
        <v>0.43858615351127089</v>
      </c>
      <c r="CH47" s="10">
        <f>+Risultati!AS46</f>
        <v>9626.0650000000005</v>
      </c>
      <c r="CI47" s="31">
        <f t="shared" si="60"/>
        <v>1.6366414666104605E-2</v>
      </c>
      <c r="CJ47" s="10">
        <f t="shared" si="61"/>
        <v>325896.712</v>
      </c>
      <c r="CK47" s="31">
        <f t="shared" si="62"/>
        <v>0.55409564831653102</v>
      </c>
      <c r="CL47" s="10">
        <f>+Risultati!AE46+Risultati!AF46</f>
        <v>86394.53</v>
      </c>
      <c r="CM47" s="31">
        <f t="shared" si="63"/>
        <v>0.14688958602120536</v>
      </c>
      <c r="CN47" s="10">
        <f>+Risultati!AT46</f>
        <v>78946.94</v>
      </c>
      <c r="CO47" s="31">
        <f t="shared" si="64"/>
        <v>0.13422705504898214</v>
      </c>
      <c r="CP47" s="10">
        <f>+Risultati!AU46</f>
        <v>14592.165999999999</v>
      </c>
      <c r="CQ47" s="31">
        <f t="shared" si="65"/>
        <v>2.480987190847277E-2</v>
      </c>
      <c r="CR47" s="10">
        <f>+Risultati!AL46</f>
        <v>78201.967000000004</v>
      </c>
      <c r="CS47" s="31">
        <f t="shared" si="66"/>
        <v>0.13296043810498145</v>
      </c>
      <c r="CT47" s="10">
        <f t="shared" si="67"/>
        <v>258135.603</v>
      </c>
      <c r="CU47" s="31">
        <f t="shared" si="68"/>
        <v>0.43888695108364173</v>
      </c>
      <c r="CV47" s="10">
        <f>+Risultati!AX46</f>
        <v>4127.3519999999999</v>
      </c>
      <c r="CW47" s="31">
        <f t="shared" si="69"/>
        <v>7.0174005998272573E-3</v>
      </c>
      <c r="CX47" s="10">
        <f t="shared" si="70"/>
        <v>588159.66700000002</v>
      </c>
      <c r="CY47" s="31">
        <f t="shared" si="71"/>
        <v>1</v>
      </c>
      <c r="CZ47" s="10">
        <f>+Risultati!AG46</f>
        <v>224409.348</v>
      </c>
      <c r="DA47" s="31">
        <f t="shared" si="72"/>
        <v>0.3815449453455978</v>
      </c>
      <c r="DB47" s="10">
        <f t="shared" si="73"/>
        <v>3817.8700000000026</v>
      </c>
      <c r="DC47" s="31">
        <f t="shared" si="74"/>
        <v>6.4912135500103966E-3</v>
      </c>
      <c r="DD47" s="10">
        <f>+Risultati!AV46</f>
        <v>335755.36800000002</v>
      </c>
      <c r="DE47" s="31">
        <f t="shared" si="75"/>
        <v>0.57085751852481248</v>
      </c>
      <c r="DF47" s="10">
        <f>+Risultati!AJ46</f>
        <v>251302.03099999999</v>
      </c>
      <c r="DG47" s="31">
        <f t="shared" si="76"/>
        <v>0.42726838492990371</v>
      </c>
      <c r="DH47" s="10">
        <f t="shared" si="77"/>
        <v>84453.337000000029</v>
      </c>
      <c r="DI47" s="31">
        <f t="shared" si="78"/>
        <v>0.14358913359490871</v>
      </c>
      <c r="DJ47" s="10">
        <f>+Risultati!AW46</f>
        <v>24177.080999999998</v>
      </c>
      <c r="DK47" s="31">
        <f t="shared" si="79"/>
        <v>4.1106322579579392E-2</v>
      </c>
      <c r="DL47" s="10">
        <f t="shared" si="50"/>
        <v>588159.66700000002</v>
      </c>
      <c r="DM47" s="31">
        <f t="shared" si="80"/>
        <v>1</v>
      </c>
      <c r="DO47" s="30"/>
      <c r="DP47" s="30"/>
    </row>
    <row r="48" spans="1:120" x14ac:dyDescent="0.2">
      <c r="A48" s="5"/>
      <c r="B48" s="6" t="str">
        <f>+Risultati!B47</f>
        <v>BENNET S.P.A.</v>
      </c>
      <c r="C48" s="6" t="str">
        <f>+Risultati!C47</f>
        <v>07071700152</v>
      </c>
      <c r="D48" s="26">
        <f>IF(YEAR(Risultati!D47)=1900,(MID(Risultati!$AP$1,29,4)),YEAR(Risultati!D47))</f>
        <v>2023</v>
      </c>
      <c r="E48" s="6" t="str">
        <f>+Risultati!E47</f>
        <v>Dettagliato</v>
      </c>
      <c r="F48" s="8" t="str">
        <f>(LEFT(Risultati!AN47,2)&amp;"-")&amp;VLOOKUP((LEFT(Risultati!AN47,2)),ateco!$B$4:$C$93,2,FALSE)</f>
        <v>47-Commercio al dettaglio (escluso quello di autoveicoli e di motocicli)</v>
      </c>
      <c r="G48" s="8" t="str">
        <f>SUBSTITUTE((Risultati!AN47&amp;"-"&amp;Risultati!AO47),",",";")</f>
        <v>471110-Ipermercati</v>
      </c>
      <c r="I48" s="10">
        <f>+Risultati!G47</f>
        <v>1370312</v>
      </c>
      <c r="J48" s="11">
        <f t="shared" si="2"/>
        <v>1</v>
      </c>
      <c r="K48" s="12"/>
      <c r="L48" s="10">
        <f>+Risultati!G47+Risultati!H47</f>
        <v>1370312</v>
      </c>
      <c r="M48" s="11">
        <f t="shared" si="3"/>
        <v>0.88420460352775387</v>
      </c>
      <c r="N48" s="12"/>
      <c r="O48" s="10">
        <f>+Risultati!I47+Risultati!J47</f>
        <v>1069952</v>
      </c>
      <c r="P48" s="11">
        <f t="shared" si="4"/>
        <v>0.69039494943759327</v>
      </c>
      <c r="Q48" s="12"/>
      <c r="R48" s="13">
        <f t="shared" si="51"/>
        <v>300360</v>
      </c>
      <c r="S48" s="11">
        <f t="shared" si="6"/>
        <v>0.1938096540901606</v>
      </c>
      <c r="T48" s="12"/>
      <c r="U48" s="10">
        <f>+Risultati!F47-(Risultati!G47+Risultati!H47)</f>
        <v>179456</v>
      </c>
      <c r="V48" s="12">
        <f t="shared" si="7"/>
        <v>0.11579539647224617</v>
      </c>
      <c r="W48" s="12"/>
      <c r="X48" s="10">
        <f t="shared" si="52"/>
        <v>479816</v>
      </c>
      <c r="Y48" s="12">
        <f t="shared" si="9"/>
        <v>0.30960505056240678</v>
      </c>
      <c r="Z48" s="12"/>
      <c r="AA48" s="10">
        <f>+Risultati!K47</f>
        <v>137815</v>
      </c>
      <c r="AB48" s="12">
        <f t="shared" si="10"/>
        <v>8.8926213471951926E-2</v>
      </c>
      <c r="AC48" s="12"/>
      <c r="AD48" s="10">
        <f>+Risultati!L47</f>
        <v>195205</v>
      </c>
      <c r="AE48" s="12">
        <f t="shared" si="11"/>
        <v>0.12595756268034958</v>
      </c>
      <c r="AF48" s="12"/>
      <c r="AG48" s="10">
        <f>+Risultati!M47+Risultati!P47+Risultati!Q47</f>
        <v>27202</v>
      </c>
      <c r="AH48" s="12">
        <f t="shared" si="12"/>
        <v>1.7552304603011548E-2</v>
      </c>
      <c r="AI48" s="12"/>
      <c r="AJ48" s="13">
        <f t="shared" si="53"/>
        <v>119594</v>
      </c>
      <c r="AK48" s="11">
        <f t="shared" si="14"/>
        <v>7.7168969807093701E-2</v>
      </c>
      <c r="AL48" s="12"/>
      <c r="AM48" s="10">
        <f>+Risultati!N47</f>
        <v>14204</v>
      </c>
      <c r="AN48" s="12">
        <f t="shared" si="15"/>
        <v>9.1652427976316453E-3</v>
      </c>
      <c r="AO48" s="12"/>
      <c r="AP48" s="10">
        <f t="shared" si="54"/>
        <v>105390</v>
      </c>
      <c r="AQ48" s="41">
        <f t="shared" si="16"/>
        <v>6.8003727009462056E-2</v>
      </c>
      <c r="AR48" s="12"/>
      <c r="AS48" s="10">
        <f>+Risultati!O47</f>
        <v>73559</v>
      </c>
      <c r="AT48" s="12">
        <f t="shared" si="17"/>
        <v>4.7464523722260364E-2</v>
      </c>
      <c r="AU48" s="12"/>
      <c r="AV48" s="10">
        <f t="shared" si="55"/>
        <v>31831</v>
      </c>
      <c r="AW48" s="12">
        <f t="shared" si="19"/>
        <v>2.0539203287201699E-2</v>
      </c>
      <c r="AX48" s="12"/>
      <c r="AY48" s="10">
        <f>+Risultati!R47+Risultati!S47</f>
        <v>-3365</v>
      </c>
      <c r="AZ48" s="12">
        <f t="shared" si="20"/>
        <v>-2.1712927354287869E-3</v>
      </c>
      <c r="BA48" s="12"/>
      <c r="BB48" s="10">
        <f>+Risultati!T47</f>
        <v>2382</v>
      </c>
      <c r="BC48" s="12">
        <f t="shared" si="21"/>
        <v>1.5370042483778218E-3</v>
      </c>
      <c r="BD48" s="12"/>
      <c r="BE48" s="10">
        <f>+Risultati!U47</f>
        <v>4398</v>
      </c>
      <c r="BF48" s="12">
        <f t="shared" si="22"/>
        <v>2.837844116022527E-3</v>
      </c>
      <c r="BG48" s="12"/>
      <c r="BH48" s="10">
        <f t="shared" si="56"/>
        <v>26450</v>
      </c>
      <c r="BI48" s="12">
        <f t="shared" si="24"/>
        <v>1.7067070684128206E-2</v>
      </c>
      <c r="BK48" s="16">
        <f>IF(ISNUMBER(Risultati!X47/100),(Risultati!X47/100))</f>
        <v>-8.0413303725357196E-2</v>
      </c>
      <c r="BL48" s="16">
        <f>IF(ISNUMBER(Risultati!Y47/100),(Risultati!Y47/100))</f>
        <v>-9.6385176705497899E-2</v>
      </c>
      <c r="BM48" s="16">
        <f>IF(ISNUMBER(Risultati!Z47/100),(Risultati!Z47/100))</f>
        <v>-1.9556468201868099E-2</v>
      </c>
      <c r="BN48" s="16">
        <f>IF(AND(Risultati!AY47&lt;0,calcoli!AP48&lt;0),-IF(ISNUMBER(Risultati!AA47/100),(Risultati!AA47/100)),IF(ISNUMBER(Risultati!AA47/100),(Risultati!AA47/100)))</f>
        <v>0.28956867543591303</v>
      </c>
      <c r="BO48" s="16">
        <f t="shared" si="0"/>
        <v>1.7067070684128206E-2</v>
      </c>
      <c r="BP48" s="16">
        <f>IF(Risultati!AB47&gt;0,(AV48/Risultati!AB47),"0")</f>
        <v>2.7698230170891753E-2</v>
      </c>
      <c r="BQ48" s="16">
        <f>IF(Risultati!AG47&lt;&gt;0,(BH48/Risultati!AG47),"0")</f>
        <v>4.0142235550692282E-2</v>
      </c>
      <c r="BR48" s="16">
        <f t="shared" si="1"/>
        <v>1.7067070684128206E-2</v>
      </c>
      <c r="BS48" s="14">
        <f>IF(Risultati!AB47&gt;0,(Risultati!G47/Risultati!AB47),"0")</f>
        <v>1.1923978882829638</v>
      </c>
      <c r="BT48" s="15">
        <f>IF(Risultati!AG47&lt;&gt;0,(Risultati!AB47/Risultati!AG47),"0")</f>
        <v>1.7441110809264433</v>
      </c>
      <c r="BU48" s="23">
        <f>IF(AND(Risultati!G47&gt;0,(Risultati!AE47-Risultati!AF47)&gt;=0),((Risultati!AE47-Risultati!AF47)/Risultati!G47*360),"0")</f>
        <v>35.973150640146187</v>
      </c>
      <c r="BV48" s="21">
        <f>IF(OR(E48="abbreviato",Risultati!G47=0),"0",((Risultati!AC47+Risultati!AD47)/Risultati!G47*360))</f>
        <v>12.371722644186141</v>
      </c>
      <c r="BW48" s="21">
        <f>IF(OR(E48="abbreviato",Risultati!G47=0,SUM(Risultati!I47+Risultati!K47+Risultati!M47)=0),"0",(((Risultati!AH47+Risultati!AI47)/(Risultati!I47+Risultati!K47+Risultati!N47)*360)))</f>
        <v>65.100406759207559</v>
      </c>
      <c r="BX48" s="16">
        <f>IF(Risultati!AB47&gt;0,(+Risultati!AG47/Risultati!AB47),"0")</f>
        <v>0.57335797641330066</v>
      </c>
      <c r="BY48" s="22">
        <f>IF(OR(E48="abbreviato",Risultati!G47=0),"0",(((Risultati!AK47-(Risultati!AL47+Risultati!AM47))/Risultati!G47)))</f>
        <v>3.344785713034696E-2</v>
      </c>
      <c r="BZ48" s="16">
        <f>IF(Risultati!G47&gt;0,(Risultati!AJ47/Risultati!G47),"0")</f>
        <v>0.28326103836206645</v>
      </c>
      <c r="CA48" s="8"/>
      <c r="CB48" s="10">
        <f>+Risultati!AP47</f>
        <v>0</v>
      </c>
      <c r="CC48" s="31">
        <f t="shared" si="57"/>
        <v>0</v>
      </c>
      <c r="CD48" s="10">
        <f>+Risultati!AQ47</f>
        <v>48496</v>
      </c>
      <c r="CE48" s="31">
        <f t="shared" si="58"/>
        <v>4.21995341135235E-2</v>
      </c>
      <c r="CF48" s="10">
        <f>+Risultati!AR47</f>
        <v>820655</v>
      </c>
      <c r="CG48" s="31">
        <f t="shared" si="59"/>
        <v>0.71410546576900424</v>
      </c>
      <c r="CH48" s="10">
        <f>+Risultati!AS47</f>
        <v>5278</v>
      </c>
      <c r="CI48" s="31">
        <f t="shared" si="60"/>
        <v>4.5927322057731984E-3</v>
      </c>
      <c r="CJ48" s="10">
        <f t="shared" si="61"/>
        <v>874429</v>
      </c>
      <c r="CK48" s="31">
        <f t="shared" si="62"/>
        <v>0.76089773208830092</v>
      </c>
      <c r="CL48" s="10">
        <f>+Risultati!AE47+Risultati!AF47</f>
        <v>136929</v>
      </c>
      <c r="CM48" s="31">
        <f t="shared" si="63"/>
        <v>0.11915085793943128</v>
      </c>
      <c r="CN48" s="10">
        <f>+Risultati!AT47</f>
        <v>74590</v>
      </c>
      <c r="CO48" s="31">
        <f t="shared" si="64"/>
        <v>6.4905626227476865E-2</v>
      </c>
      <c r="CP48" s="10">
        <f>+Risultati!AU47</f>
        <v>0</v>
      </c>
      <c r="CQ48" s="31">
        <f t="shared" si="65"/>
        <v>0</v>
      </c>
      <c r="CR48" s="10">
        <f>+Risultati!AL47</f>
        <v>62436</v>
      </c>
      <c r="CS48" s="31">
        <f t="shared" si="66"/>
        <v>5.4329637741503491E-2</v>
      </c>
      <c r="CT48" s="10">
        <f t="shared" si="67"/>
        <v>273955</v>
      </c>
      <c r="CU48" s="31">
        <f t="shared" si="68"/>
        <v>0.23838612190841163</v>
      </c>
      <c r="CV48" s="10">
        <f>+Risultati!AX47</f>
        <v>823</v>
      </c>
      <c r="CW48" s="31">
        <f t="shared" si="69"/>
        <v>7.161460032874843E-4</v>
      </c>
      <c r="CX48" s="10">
        <f t="shared" si="70"/>
        <v>1149207</v>
      </c>
      <c r="CY48" s="31">
        <f t="shared" si="71"/>
        <v>1</v>
      </c>
      <c r="CZ48" s="10">
        <f>+Risultati!AG47</f>
        <v>658907</v>
      </c>
      <c r="DA48" s="31">
        <f t="shared" si="72"/>
        <v>0.57335797641330066</v>
      </c>
      <c r="DB48" s="10">
        <f t="shared" si="73"/>
        <v>31917</v>
      </c>
      <c r="DC48" s="31">
        <f t="shared" si="74"/>
        <v>2.777306438265691E-2</v>
      </c>
      <c r="DD48" s="10">
        <f>+Risultati!AV47</f>
        <v>456934</v>
      </c>
      <c r="DE48" s="31">
        <f t="shared" si="75"/>
        <v>0.39760808975232487</v>
      </c>
      <c r="DF48" s="10">
        <f>+Risultati!AJ47</f>
        <v>388156</v>
      </c>
      <c r="DG48" s="31">
        <f t="shared" si="76"/>
        <v>0.33775986397576763</v>
      </c>
      <c r="DH48" s="10">
        <f t="shared" si="77"/>
        <v>68778</v>
      </c>
      <c r="DI48" s="31">
        <f t="shared" si="78"/>
        <v>5.9848225776557226E-2</v>
      </c>
      <c r="DJ48" s="10">
        <f>+Risultati!AW47</f>
        <v>1449</v>
      </c>
      <c r="DK48" s="31">
        <f t="shared" si="79"/>
        <v>1.2608694517175756E-3</v>
      </c>
      <c r="DL48" s="10">
        <f t="shared" si="50"/>
        <v>1149207</v>
      </c>
      <c r="DM48" s="31">
        <f t="shared" si="80"/>
        <v>1</v>
      </c>
      <c r="DO48" s="30"/>
      <c r="DP48" s="30"/>
    </row>
    <row r="49" spans="1:120" x14ac:dyDescent="0.2">
      <c r="A49" s="5"/>
      <c r="B49" s="6" t="str">
        <f>+Risultati!B48</f>
        <v>RIALTO S.P.A.</v>
      </c>
      <c r="C49" s="6" t="str">
        <f>+Risultati!C48</f>
        <v>05849840151</v>
      </c>
      <c r="D49" s="26">
        <f>IF(YEAR(Risultati!D48)=1900,(MID(Risultati!$AP$1,29,4)),YEAR(Risultati!D48))</f>
        <v>2023</v>
      </c>
      <c r="E49" s="6" t="str">
        <f>+Risultati!E48</f>
        <v>Dettagliato</v>
      </c>
      <c r="F49" s="8" t="str">
        <f>(LEFT(Risultati!AN48,2)&amp;"-")&amp;VLOOKUP((LEFT(Risultati!AN48,2)),ateco!$B$4:$C$93,2,FALSE)</f>
        <v>47-Commercio al dettaglio (escluso quello di autoveicoli e di motocicli)</v>
      </c>
      <c r="G49" s="8" t="str">
        <f>SUBSTITUTE((Risultati!AN48&amp;"-"&amp;Risultati!AO48),",",";")</f>
        <v>471110-Ipermercati</v>
      </c>
      <c r="I49" s="10">
        <f>+Risultati!G48</f>
        <v>1186718.1359999999</v>
      </c>
      <c r="J49" s="11">
        <f t="shared" si="2"/>
        <v>1</v>
      </c>
      <c r="K49" s="12"/>
      <c r="L49" s="10">
        <f>+Risultati!G48+Risultati!H48</f>
        <v>1186718.1359999999</v>
      </c>
      <c r="M49" s="11">
        <f t="shared" si="3"/>
        <v>0.90672167213027455</v>
      </c>
      <c r="N49" s="12"/>
      <c r="O49" s="10">
        <f>+Risultati!I48+Risultati!J48</f>
        <v>950514.22100000002</v>
      </c>
      <c r="P49" s="11">
        <f t="shared" si="4"/>
        <v>0.72624814410751148</v>
      </c>
      <c r="Q49" s="12"/>
      <c r="R49" s="13">
        <f t="shared" si="51"/>
        <v>236203.91499999992</v>
      </c>
      <c r="S49" s="11">
        <f t="shared" si="6"/>
        <v>0.18047352802276309</v>
      </c>
      <c r="T49" s="12"/>
      <c r="U49" s="10">
        <f>+Risultati!F48-(Risultati!G48+Risultati!H48)</f>
        <v>122082.75900000008</v>
      </c>
      <c r="V49" s="12">
        <f t="shared" si="7"/>
        <v>9.3278327869725425E-2</v>
      </c>
      <c r="W49" s="12"/>
      <c r="X49" s="10">
        <f t="shared" si="52"/>
        <v>358286.674</v>
      </c>
      <c r="Y49" s="12">
        <f t="shared" si="9"/>
        <v>0.27375185589248852</v>
      </c>
      <c r="Z49" s="12"/>
      <c r="AA49" s="10">
        <f>+Risultati!K48</f>
        <v>128803.63</v>
      </c>
      <c r="AB49" s="12">
        <f t="shared" si="10"/>
        <v>9.8413464180890559E-2</v>
      </c>
      <c r="AC49" s="12"/>
      <c r="AD49" s="10">
        <f>+Risultati!L48</f>
        <v>149196.269</v>
      </c>
      <c r="AE49" s="12">
        <f t="shared" si="11"/>
        <v>0.11399462635605853</v>
      </c>
      <c r="AF49" s="12"/>
      <c r="AG49" s="10">
        <f>+Risultati!M48+Risultati!P48+Risultati!Q48</f>
        <v>10863.485000000001</v>
      </c>
      <c r="AH49" s="12">
        <f t="shared" si="12"/>
        <v>8.3003343300739416E-3</v>
      </c>
      <c r="AI49" s="12"/>
      <c r="AJ49" s="13">
        <f t="shared" si="53"/>
        <v>69423.289999999994</v>
      </c>
      <c r="AK49" s="11">
        <f t="shared" si="14"/>
        <v>5.3043431025465486E-2</v>
      </c>
      <c r="AL49" s="12"/>
      <c r="AM49" s="10">
        <f>+Risultati!N48</f>
        <v>12847.245000000001</v>
      </c>
      <c r="AN49" s="12">
        <f t="shared" si="15"/>
        <v>9.8160423400382845E-3</v>
      </c>
      <c r="AO49" s="12"/>
      <c r="AP49" s="10">
        <f t="shared" si="54"/>
        <v>56576.044999999991</v>
      </c>
      <c r="AQ49" s="41">
        <f t="shared" si="16"/>
        <v>4.32273886854272E-2</v>
      </c>
      <c r="AR49" s="12"/>
      <c r="AS49" s="10">
        <f>+Risultati!O48</f>
        <v>30670.756000000001</v>
      </c>
      <c r="AT49" s="12">
        <f t="shared" si="17"/>
        <v>2.3434241309867074E-2</v>
      </c>
      <c r="AU49" s="12"/>
      <c r="AV49" s="10">
        <f t="shared" si="55"/>
        <v>25905.28899999999</v>
      </c>
      <c r="AW49" s="12">
        <f t="shared" si="19"/>
        <v>1.9793147375560122E-2</v>
      </c>
      <c r="AX49" s="12"/>
      <c r="AY49" s="10">
        <f>+Risultati!R48+Risultati!S48</f>
        <v>-3896.942</v>
      </c>
      <c r="AZ49" s="12">
        <f t="shared" si="20"/>
        <v>-2.9774903233084969E-3</v>
      </c>
      <c r="BA49" s="12"/>
      <c r="BB49" s="10">
        <f>+Risultati!T48</f>
        <v>0</v>
      </c>
      <c r="BC49" s="12">
        <f t="shared" si="21"/>
        <v>0</v>
      </c>
      <c r="BD49" s="12"/>
      <c r="BE49" s="10">
        <f>+Risultati!U48</f>
        <v>5558.6319999999996</v>
      </c>
      <c r="BF49" s="12">
        <f t="shared" si="22"/>
        <v>4.2471181225773834E-3</v>
      </c>
      <c r="BG49" s="12"/>
      <c r="BH49" s="10">
        <f t="shared" si="56"/>
        <v>16449.714999999989</v>
      </c>
      <c r="BI49" s="12">
        <f t="shared" si="24"/>
        <v>1.2568538929674241E-2</v>
      </c>
      <c r="BK49" s="16">
        <f>IF(ISNUMBER(Risultati!X48/100),(Risultati!X48/100))</f>
        <v>3.9307505882942802E-2</v>
      </c>
      <c r="BL49" s="16">
        <f>IF(ISNUMBER(Risultati!Y48/100),(Risultati!Y48/100))</f>
        <v>9.8768302889387496E-2</v>
      </c>
      <c r="BM49" s="16">
        <f>IF(ISNUMBER(Risultati!Z48/100),(Risultati!Z48/100))</f>
        <v>0.19311263629848099</v>
      </c>
      <c r="BN49" s="16">
        <f>IF(AND(Risultati!AY48&lt;0,calcoli!AP49&lt;0),-IF(ISNUMBER(Risultati!AA48/100),(Risultati!AA48/100)),IF(ISNUMBER(Risultati!AA48/100),(Risultati!AA48/100)))</f>
        <v>1.08095162412929</v>
      </c>
      <c r="BO49" s="16">
        <f t="shared" si="0"/>
        <v>1.2568538929674241E-2</v>
      </c>
      <c r="BP49" s="16">
        <f>IF(Risultati!AB48&gt;0,(AV49/Risultati!AB48),"0")</f>
        <v>4.4327042754753292E-2</v>
      </c>
      <c r="BQ49" s="16">
        <f>IF(Risultati!AG48&lt;&gt;0,(BH49/Risultati!AG48),"0")</f>
        <v>0.12083704130116341</v>
      </c>
      <c r="BR49" s="16">
        <f t="shared" si="1"/>
        <v>1.2568538929674241E-2</v>
      </c>
      <c r="BS49" s="14">
        <f>IF(Risultati!AB48&gt;0,(Risultati!G48/Risultati!AB48),"0")</f>
        <v>2.0306164332817573</v>
      </c>
      <c r="BT49" s="15">
        <f>IF(Risultati!AG48&lt;&gt;0,(Risultati!AB48/Risultati!AG48),"0")</f>
        <v>4.2930049383538611</v>
      </c>
      <c r="BU49" s="23">
        <f>IF(AND(Risultati!G48&gt;0,(Risultati!AE48-Risultati!AF48)&gt;=0),((Risultati!AE48-Risultati!AF48)/Risultati!G48*360),"0")</f>
        <v>35.972430980021691</v>
      </c>
      <c r="BV49" s="21">
        <f>IF(OR(E49="abbreviato",Risultati!G48=0),"0",((Risultati!AC48+Risultati!AD48)/Risultati!G48*360))</f>
        <v>15.511740658187769</v>
      </c>
      <c r="BW49" s="21">
        <f>IF(OR(E49="abbreviato",Risultati!G48=0,SUM(Risultati!I48+Risultati!K48+Risultati!M48)=0),"0",(((Risultati!AH48+Risultati!AI48)/(Risultati!I48+Risultati!K48+Risultati!N48)*360)))</f>
        <v>86.394693198549419</v>
      </c>
      <c r="BX49" s="16">
        <f>IF(Risultati!AB48&gt;0,(+Risultati!AG48/Risultati!AB48),"0")</f>
        <v>0.23293707190177304</v>
      </c>
      <c r="BY49" s="22">
        <f>IF(OR(E49="abbreviato",Risultati!G48=0),"0",(((Risultati!AK48-(Risultati!AL48+Risultati!AM48))/Risultati!G48)))</f>
        <v>4.9434721877377637E-2</v>
      </c>
      <c r="BZ49" s="16">
        <f>IF(Risultati!G48&gt;0,(Risultati!AJ48/Risultati!G48),"0")</f>
        <v>0.27623514384379477</v>
      </c>
      <c r="CA49" s="8"/>
      <c r="CB49" s="10">
        <f>+Risultati!AP48</f>
        <v>0</v>
      </c>
      <c r="CC49" s="31">
        <f t="shared" si="57"/>
        <v>0</v>
      </c>
      <c r="CD49" s="10">
        <f>+Risultati!AQ48</f>
        <v>11480.418</v>
      </c>
      <c r="CE49" s="31">
        <f t="shared" si="58"/>
        <v>1.9644366041561612E-2</v>
      </c>
      <c r="CF49" s="10">
        <f>+Risultati!AR48</f>
        <v>309667.39399999997</v>
      </c>
      <c r="CG49" s="31">
        <f t="shared" si="59"/>
        <v>0.52987788762329724</v>
      </c>
      <c r="CH49" s="10">
        <f>+Risultati!AS48</f>
        <v>5117.277</v>
      </c>
      <c r="CI49" s="31">
        <f t="shared" si="60"/>
        <v>8.7562719862695135E-3</v>
      </c>
      <c r="CJ49" s="10">
        <f t="shared" si="61"/>
        <v>326265.08899999998</v>
      </c>
      <c r="CK49" s="31">
        <f t="shared" si="62"/>
        <v>0.55827852565112845</v>
      </c>
      <c r="CL49" s="10">
        <f>+Risultati!AE48+Risultati!AF48</f>
        <v>118580.93399999999</v>
      </c>
      <c r="CM49" s="31">
        <f t="shared" si="63"/>
        <v>0.20290613748090519</v>
      </c>
      <c r="CN49" s="10">
        <f>+Risultati!AT48</f>
        <v>80413.263999999996</v>
      </c>
      <c r="CO49" s="31">
        <f t="shared" si="64"/>
        <v>0.13759669661964649</v>
      </c>
      <c r="CP49" s="10">
        <f>+Risultati!AU48</f>
        <v>0</v>
      </c>
      <c r="CQ49" s="31">
        <f t="shared" si="65"/>
        <v>0</v>
      </c>
      <c r="CR49" s="10">
        <f>+Risultati!AL48</f>
        <v>57447.383000000002</v>
      </c>
      <c r="CS49" s="31">
        <f t="shared" si="66"/>
        <v>9.8299331939114401E-2</v>
      </c>
      <c r="CT49" s="10">
        <f t="shared" si="67"/>
        <v>256441.58100000001</v>
      </c>
      <c r="CU49" s="31">
        <f t="shared" si="68"/>
        <v>0.4388021660396661</v>
      </c>
      <c r="CV49" s="10">
        <f>+Risultati!AX48</f>
        <v>1706.0809999999999</v>
      </c>
      <c r="CW49" s="31">
        <f t="shared" si="69"/>
        <v>2.9193083092055945E-3</v>
      </c>
      <c r="CX49" s="10">
        <f t="shared" si="70"/>
        <v>584412.75099999993</v>
      </c>
      <c r="CY49" s="31">
        <f t="shared" si="71"/>
        <v>1</v>
      </c>
      <c r="CZ49" s="10">
        <f>+Risultati!AG48</f>
        <v>136131.39499999999</v>
      </c>
      <c r="DA49" s="31">
        <f t="shared" si="72"/>
        <v>0.23293707190177307</v>
      </c>
      <c r="DB49" s="10">
        <f t="shared" si="73"/>
        <v>29731.6179999999</v>
      </c>
      <c r="DC49" s="31">
        <f t="shared" si="74"/>
        <v>5.087434856464982E-2</v>
      </c>
      <c r="DD49" s="10">
        <f>+Risultati!AV48</f>
        <v>403662.24900000001</v>
      </c>
      <c r="DE49" s="31">
        <f t="shared" si="75"/>
        <v>0.6907143081825059</v>
      </c>
      <c r="DF49" s="10">
        <f>+Risultati!AJ48</f>
        <v>327813.255</v>
      </c>
      <c r="DG49" s="31">
        <f t="shared" si="76"/>
        <v>0.56092762253915995</v>
      </c>
      <c r="DH49" s="10">
        <f t="shared" si="77"/>
        <v>75848.994000000006</v>
      </c>
      <c r="DI49" s="31">
        <f t="shared" si="78"/>
        <v>0.12978668564334594</v>
      </c>
      <c r="DJ49" s="10">
        <f>+Risultati!AW48</f>
        <v>14887.489</v>
      </c>
      <c r="DK49" s="31">
        <f t="shared" si="79"/>
        <v>2.5474271351071189E-2</v>
      </c>
      <c r="DL49" s="10">
        <f t="shared" si="50"/>
        <v>584412.75099999993</v>
      </c>
      <c r="DM49" s="31">
        <f t="shared" si="80"/>
        <v>1</v>
      </c>
      <c r="DO49" s="30"/>
      <c r="DP49" s="30"/>
    </row>
    <row r="50" spans="1:120" x14ac:dyDescent="0.2">
      <c r="A50" s="5"/>
      <c r="B50" s="6" t="str">
        <f>+Risultati!B49</f>
        <v>CEREAL DOCKS S.P.A.</v>
      </c>
      <c r="C50" s="6" t="str">
        <f>+Risultati!C49</f>
        <v>02218040240</v>
      </c>
      <c r="D50" s="26">
        <f>IF(YEAR(Risultati!D49)=1900,(MID(Risultati!$AP$1,29,4)),YEAR(Risultati!D49))</f>
        <v>2023</v>
      </c>
      <c r="E50" s="6" t="str">
        <f>+Risultati!E49</f>
        <v>Dettagliato</v>
      </c>
      <c r="F50" s="8" t="str">
        <f>(LEFT(Risultati!AN49,2)&amp;"-")&amp;VLOOKUP((LEFT(Risultati!AN49,2)),ateco!$B$4:$C$93,2,FALSE)</f>
        <v>10-Industrie alimentari</v>
      </c>
      <c r="G50" s="8" t="str">
        <f>SUBSTITUTE((Risultati!AN49&amp;"-"&amp;Risultati!AO49),",",";")</f>
        <v>104120-Produzione di olio raffinato o grezzo da semi oleosi o frutti oleosi prevalentemente non di produzione propria</v>
      </c>
      <c r="I50" s="10">
        <f>+Risultati!G49</f>
        <v>1348547.7350000001</v>
      </c>
      <c r="J50" s="11">
        <f t="shared" si="2"/>
        <v>1.0126716665900113</v>
      </c>
      <c r="K50" s="12"/>
      <c r="L50" s="10">
        <f>+Risultati!G49+Risultati!H49</f>
        <v>1331673.216</v>
      </c>
      <c r="M50" s="11">
        <f t="shared" si="3"/>
        <v>0.99219396910351931</v>
      </c>
      <c r="N50" s="12"/>
      <c r="O50" s="10">
        <f>+Risultati!I49+Risultati!J49</f>
        <v>1176571.5720000002</v>
      </c>
      <c r="P50" s="11">
        <f t="shared" si="4"/>
        <v>0.87663189732356028</v>
      </c>
      <c r="Q50" s="12"/>
      <c r="R50" s="13">
        <f t="shared" si="51"/>
        <v>155101.64399999985</v>
      </c>
      <c r="S50" s="11">
        <f t="shared" si="6"/>
        <v>0.11556207177995904</v>
      </c>
      <c r="T50" s="12"/>
      <c r="U50" s="10">
        <f>+Risultati!F49-(Risultati!G49+Risultati!H49)</f>
        <v>10476.864999999991</v>
      </c>
      <c r="V50" s="12">
        <f t="shared" si="7"/>
        <v>7.8060308964806374E-3</v>
      </c>
      <c r="W50" s="12"/>
      <c r="X50" s="10">
        <f t="shared" si="52"/>
        <v>165578.50899999985</v>
      </c>
      <c r="Y50" s="12">
        <f t="shared" si="9"/>
        <v>0.12336810267643969</v>
      </c>
      <c r="Z50" s="12"/>
      <c r="AA50" s="10">
        <f>+Risultati!K49</f>
        <v>64916.423000000003</v>
      </c>
      <c r="AB50" s="12">
        <f t="shared" si="10"/>
        <v>4.8367484321598757E-2</v>
      </c>
      <c r="AC50" s="12"/>
      <c r="AD50" s="10">
        <f>+Risultati!L49</f>
        <v>11647.538</v>
      </c>
      <c r="AE50" s="12">
        <f t="shared" si="11"/>
        <v>8.6782679261336645E-3</v>
      </c>
      <c r="AF50" s="12"/>
      <c r="AG50" s="10">
        <f>+Risultati!M49+Risultati!P49+Risultati!Q49</f>
        <v>8692.8449999999993</v>
      </c>
      <c r="AH50" s="12">
        <f t="shared" si="12"/>
        <v>6.4768054802956119E-3</v>
      </c>
      <c r="AI50" s="12"/>
      <c r="AJ50" s="13">
        <f t="shared" si="53"/>
        <v>80321.702999999834</v>
      </c>
      <c r="AK50" s="11">
        <f t="shared" si="14"/>
        <v>5.9845544948411648E-2</v>
      </c>
      <c r="AL50" s="12"/>
      <c r="AM50" s="10">
        <f>+Risultati!N49</f>
        <v>622.35400000000004</v>
      </c>
      <c r="AN50" s="12">
        <f t="shared" si="15"/>
        <v>4.6369926047040938E-4</v>
      </c>
      <c r="AO50" s="12"/>
      <c r="AP50" s="10">
        <f t="shared" si="54"/>
        <v>79699.348999999827</v>
      </c>
      <c r="AQ50" s="41">
        <f t="shared" si="16"/>
        <v>5.9381845687941234E-2</v>
      </c>
      <c r="AR50" s="12"/>
      <c r="AS50" s="10">
        <f>+Risultati!O49</f>
        <v>15732.648999999999</v>
      </c>
      <c r="AT50" s="12">
        <f t="shared" si="17"/>
        <v>1.172197448163027E-2</v>
      </c>
      <c r="AU50" s="12"/>
      <c r="AV50" s="10">
        <f t="shared" si="55"/>
        <v>63966.69999999983</v>
      </c>
      <c r="AW50" s="12">
        <f t="shared" si="19"/>
        <v>4.7659871206310968E-2</v>
      </c>
      <c r="AX50" s="12"/>
      <c r="AY50" s="10">
        <f>+Risultati!R49+Risultati!S49</f>
        <v>-8699.3319999999985</v>
      </c>
      <c r="AZ50" s="12">
        <f t="shared" si="20"/>
        <v>-6.4816387698746472E-3</v>
      </c>
      <c r="BA50" s="12"/>
      <c r="BB50" s="10">
        <f>+Risultati!T49</f>
        <v>0</v>
      </c>
      <c r="BC50" s="12">
        <f t="shared" si="21"/>
        <v>0</v>
      </c>
      <c r="BD50" s="12"/>
      <c r="BE50" s="10">
        <f>+Risultati!U49</f>
        <v>12662.431</v>
      </c>
      <c r="BF50" s="12">
        <f t="shared" si="22"/>
        <v>9.4344374591592336E-3</v>
      </c>
      <c r="BG50" s="12"/>
      <c r="BH50" s="10">
        <f t="shared" si="56"/>
        <v>42604.936999999831</v>
      </c>
      <c r="BI50" s="12">
        <f t="shared" si="24"/>
        <v>3.1743794977277084E-2</v>
      </c>
      <c r="BK50" s="16">
        <f>IF(ISNUMBER(Risultati!X49/100),(Risultati!X49/100))</f>
        <v>7.1035634283080698E-2</v>
      </c>
      <c r="BL50" s="16">
        <f>IF(ISNUMBER(Risultati!Y49/100),(Risultati!Y49/100))</f>
        <v>0.42808346702340599</v>
      </c>
      <c r="BM50" s="16">
        <f>IF(ISNUMBER(Risultati!Z49/100),(Risultati!Z49/100))</f>
        <v>1.73713020901308</v>
      </c>
      <c r="BN50" s="16">
        <f>IF(AND(Risultati!AY49&lt;0,calcoli!AP50&lt;0),-IF(ISNUMBER(Risultati!AA49/100),(Risultati!AA49/100)),IF(ISNUMBER(Risultati!AA49/100),(Risultati!AA49/100)))</f>
        <v>2.2270158172439802</v>
      </c>
      <c r="BO50" s="16">
        <f t="shared" si="0"/>
        <v>3.1743794977277084E-2</v>
      </c>
      <c r="BP50" s="16">
        <f>IF(Risultati!AB49&gt;0,(AV50/Risultati!AB49),"0")</f>
        <v>9.2749895441825964E-2</v>
      </c>
      <c r="BQ50" s="16">
        <f>IF(Risultati!AG49&lt;&gt;0,(BH50/Risultati!AG49),"0")</f>
        <v>0.13215298924889357</v>
      </c>
      <c r="BR50" s="16">
        <f t="shared" si="1"/>
        <v>3.1743794977277084E-2</v>
      </c>
      <c r="BS50" s="14">
        <f>IF(Risultati!AB49&gt;0,(Risultati!G49/Risultati!AB49),"0")</f>
        <v>1.9553558557743571</v>
      </c>
      <c r="BT50" s="15">
        <f>IF(Risultati!AG49&lt;&gt;0,(Risultati!AB49/Risultati!AG49),"0")</f>
        <v>2.1392304971769995</v>
      </c>
      <c r="BU50" s="23">
        <f>IF(AND(Risultati!G49&gt;0,(Risultati!AE49-Risultati!AF49)&gt;=0),((Risultati!AE49-Risultati!AF49)/Risultati!G49*360),"0")</f>
        <v>29.324953840065589</v>
      </c>
      <c r="BV50" s="21">
        <f>IF(OR(E50="abbreviato",Risultati!G49=0),"0",((Risultati!AC49+Risultati!AD49)/Risultati!G49*360))</f>
        <v>29.129203261017675</v>
      </c>
      <c r="BW50" s="21">
        <f>IF(OR(E50="abbreviato",Risultati!G49=0,SUM(Risultati!I49+Risultati!K49+Risultati!M49)=0),"0",(((Risultati!AH49+Risultati!AI49)/(Risultati!I49+Risultati!K49+Risultati!N49)*360)))</f>
        <v>24.691267188188238</v>
      </c>
      <c r="BX50" s="16">
        <f>IF(Risultati!AB49&gt;0,(+Risultati!AG49/Risultati!AB49),"0")</f>
        <v>0.46745780845945939</v>
      </c>
      <c r="BY50" s="22">
        <f>IF(OR(E50="abbreviato",Risultati!G49=0),"0",(((Risultati!AK49-(Risultati!AL49+Risultati!AM49))/Risultati!G49)))</f>
        <v>6.9203896590282712E-2</v>
      </c>
      <c r="BZ50" s="16">
        <f>IF(Risultati!G49&gt;0,(Risultati!AJ49/Risultati!G49),"0")</f>
        <v>0.18900319831837467</v>
      </c>
      <c r="CA50" s="8"/>
      <c r="CB50" s="10">
        <f>+Risultati!AP49</f>
        <v>0</v>
      </c>
      <c r="CC50" s="31">
        <f t="shared" si="57"/>
        <v>0</v>
      </c>
      <c r="CD50" s="10">
        <f>+Risultati!AQ49</f>
        <v>36259.271000000001</v>
      </c>
      <c r="CE50" s="31">
        <f t="shared" si="58"/>
        <v>5.2574911540642887E-2</v>
      </c>
      <c r="CF50" s="10">
        <f>+Risultati!AR49</f>
        <v>140519.11300000001</v>
      </c>
      <c r="CG50" s="31">
        <f t="shared" si="59"/>
        <v>0.20374871672805012</v>
      </c>
      <c r="CH50" s="10">
        <f>+Risultati!AS49</f>
        <v>111204.124</v>
      </c>
      <c r="CI50" s="31">
        <f t="shared" si="60"/>
        <v>0.16124281655454908</v>
      </c>
      <c r="CJ50" s="10">
        <f t="shared" si="61"/>
        <v>287982.50800000003</v>
      </c>
      <c r="CK50" s="31">
        <f t="shared" si="62"/>
        <v>0.41756644482324212</v>
      </c>
      <c r="CL50" s="10">
        <f>+Risultati!AE49+Risultati!AF49</f>
        <v>109850.27800000001</v>
      </c>
      <c r="CM50" s="31">
        <f t="shared" si="63"/>
        <v>0.15927977836523602</v>
      </c>
      <c r="CN50" s="10">
        <f>+Risultati!AT49</f>
        <v>190449.52499999999</v>
      </c>
      <c r="CO50" s="31">
        <f t="shared" si="64"/>
        <v>0.27614639383766032</v>
      </c>
      <c r="CP50" s="10">
        <f>+Risultati!AU49</f>
        <v>31576.38</v>
      </c>
      <c r="CQ50" s="31">
        <f t="shared" si="65"/>
        <v>4.5784852797336302E-2</v>
      </c>
      <c r="CR50" s="10">
        <f>+Risultati!AL49</f>
        <v>67302.001000000004</v>
      </c>
      <c r="CS50" s="31">
        <f t="shared" si="66"/>
        <v>9.7585987017865278E-2</v>
      </c>
      <c r="CT50" s="10">
        <f t="shared" si="67"/>
        <v>399178.18400000001</v>
      </c>
      <c r="CU50" s="31">
        <f t="shared" si="68"/>
        <v>0.57879701201809786</v>
      </c>
      <c r="CV50" s="10">
        <f>+Risultati!AX49</f>
        <v>2508.0100000000002</v>
      </c>
      <c r="CW50" s="31">
        <f t="shared" si="69"/>
        <v>3.6365431586599679E-3</v>
      </c>
      <c r="CX50" s="10">
        <f t="shared" si="70"/>
        <v>689668.70200000005</v>
      </c>
      <c r="CY50" s="31">
        <f t="shared" si="71"/>
        <v>1</v>
      </c>
      <c r="CZ50" s="10">
        <f>+Risultati!AG49</f>
        <v>322391.02</v>
      </c>
      <c r="DA50" s="31">
        <f t="shared" si="72"/>
        <v>0.46745780845945939</v>
      </c>
      <c r="DB50" s="10">
        <f t="shared" si="73"/>
        <v>39017.926000000021</v>
      </c>
      <c r="DC50" s="31">
        <f t="shared" si="74"/>
        <v>5.6574882819606362E-2</v>
      </c>
      <c r="DD50" s="10">
        <f>+Risultati!AV49</f>
        <v>323508.52100000001</v>
      </c>
      <c r="DE50" s="31">
        <f t="shared" si="75"/>
        <v>0.46907815312169987</v>
      </c>
      <c r="DF50" s="10">
        <f>+Risultati!AJ49</f>
        <v>254879.83499999999</v>
      </c>
      <c r="DG50" s="31">
        <f t="shared" si="76"/>
        <v>0.36956851059191603</v>
      </c>
      <c r="DH50" s="10">
        <f t="shared" si="77"/>
        <v>68628.686000000016</v>
      </c>
      <c r="DI50" s="31">
        <f t="shared" si="78"/>
        <v>9.9509642529783837E-2</v>
      </c>
      <c r="DJ50" s="10">
        <f>+Risultati!AW49</f>
        <v>4751.2349999999997</v>
      </c>
      <c r="DK50" s="31">
        <f t="shared" si="79"/>
        <v>6.8891555992343688E-3</v>
      </c>
      <c r="DL50" s="10">
        <f t="shared" si="50"/>
        <v>689668.70200000005</v>
      </c>
      <c r="DM50" s="31">
        <f t="shared" si="80"/>
        <v>1</v>
      </c>
      <c r="DO50" s="30"/>
      <c r="DP50" s="30"/>
    </row>
    <row r="51" spans="1:120" x14ac:dyDescent="0.2">
      <c r="A51" s="5"/>
      <c r="B51" s="6" t="str">
        <f>+Risultati!B50</f>
        <v>CESAR S.P.A.</v>
      </c>
      <c r="C51" s="6" t="str">
        <f>+Risultati!C50</f>
        <v>00239870686</v>
      </c>
      <c r="D51" s="26">
        <f>IF(YEAR(Risultati!D50)=1900,(MID(Risultati!$AP$1,29,4)),YEAR(Risultati!D50))</f>
        <v>2023</v>
      </c>
      <c r="E51" s="6" t="str">
        <f>+Risultati!E50</f>
        <v>Dettagliato</v>
      </c>
      <c r="F51" s="8" t="str">
        <f>(LEFT(Risultati!AN50,2)&amp;"-")&amp;VLOOKUP((LEFT(Risultati!AN50,2)),ateco!$B$4:$C$93,2,FALSE)</f>
        <v>46-Commercio all'ingrosso (escluso quello di autoveicoli e di motocicli)</v>
      </c>
      <c r="G51" s="8" t="str">
        <f>SUBSTITUTE((Risultati!AN50&amp;"-"&amp;Risultati!AO50),",",";")</f>
        <v>464430-Commercio all'ingrosso di saponi; detersivi e altri prodotti per la pulizia</v>
      </c>
      <c r="I51" s="10">
        <f>+Risultati!G50</f>
        <v>717787.98600000003</v>
      </c>
      <c r="J51" s="11">
        <f t="shared" si="2"/>
        <v>1</v>
      </c>
      <c r="K51" s="12"/>
      <c r="L51" s="10">
        <f>+Risultati!G50+Risultati!H50</f>
        <v>717787.98600000003</v>
      </c>
      <c r="M51" s="11">
        <f t="shared" si="3"/>
        <v>0.99105038905937171</v>
      </c>
      <c r="N51" s="12"/>
      <c r="O51" s="10">
        <f>+Risultati!I50+Risultati!J50</f>
        <v>459699.853</v>
      </c>
      <c r="P51" s="11">
        <f t="shared" si="4"/>
        <v>0.63470791800935211</v>
      </c>
      <c r="Q51" s="12"/>
      <c r="R51" s="13">
        <f t="shared" si="51"/>
        <v>258088.13300000003</v>
      </c>
      <c r="S51" s="11">
        <f t="shared" si="6"/>
        <v>0.35634247105001959</v>
      </c>
      <c r="T51" s="12"/>
      <c r="U51" s="10">
        <f>+Risultati!F50-(Risultati!G50+Risultati!H50)</f>
        <v>6481.9340000000084</v>
      </c>
      <c r="V51" s="12">
        <f t="shared" si="7"/>
        <v>8.9496109406283341E-3</v>
      </c>
      <c r="W51" s="12"/>
      <c r="X51" s="10">
        <f t="shared" si="52"/>
        <v>264570.06700000004</v>
      </c>
      <c r="Y51" s="12">
        <f t="shared" si="9"/>
        <v>0.36529208199064794</v>
      </c>
      <c r="Z51" s="12"/>
      <c r="AA51" s="10">
        <f>+Risultati!K50</f>
        <v>58740.002</v>
      </c>
      <c r="AB51" s="12">
        <f t="shared" si="10"/>
        <v>8.110236305271383E-2</v>
      </c>
      <c r="AC51" s="12"/>
      <c r="AD51" s="10">
        <f>+Risultati!L50</f>
        <v>84439.271999999997</v>
      </c>
      <c r="AE51" s="12">
        <f t="shared" si="11"/>
        <v>0.11658536364453738</v>
      </c>
      <c r="AF51" s="12"/>
      <c r="AG51" s="10">
        <f>+Risultati!M50+Risultati!P50+Risultati!Q50</f>
        <v>4641.7029999999995</v>
      </c>
      <c r="AH51" s="12">
        <f t="shared" si="12"/>
        <v>6.4088026740086058E-3</v>
      </c>
      <c r="AI51" s="12"/>
      <c r="AJ51" s="13">
        <f t="shared" si="53"/>
        <v>116749.09000000004</v>
      </c>
      <c r="AK51" s="11">
        <f t="shared" si="14"/>
        <v>0.16119555261938814</v>
      </c>
      <c r="AL51" s="12"/>
      <c r="AM51" s="10">
        <f>+Risultati!N50</f>
        <v>38010.841999999997</v>
      </c>
      <c r="AN51" s="12">
        <f t="shared" si="15"/>
        <v>5.2481596916243593E-2</v>
      </c>
      <c r="AO51" s="12"/>
      <c r="AP51" s="10">
        <f t="shared" si="54"/>
        <v>78738.248000000051</v>
      </c>
      <c r="AQ51" s="41">
        <f t="shared" si="16"/>
        <v>0.10871395570314454</v>
      </c>
      <c r="AR51" s="12"/>
      <c r="AS51" s="10">
        <f>+Risultati!O50</f>
        <v>11322.172</v>
      </c>
      <c r="AT51" s="12">
        <f t="shared" si="17"/>
        <v>1.5632531032077103E-2</v>
      </c>
      <c r="AU51" s="12"/>
      <c r="AV51" s="10">
        <f t="shared" si="55"/>
        <v>67416.076000000045</v>
      </c>
      <c r="AW51" s="12">
        <f t="shared" si="19"/>
        <v>9.3081424671067434E-2</v>
      </c>
      <c r="AX51" s="12"/>
      <c r="AY51" s="10">
        <f>+Risultati!R50+Risultati!S50</f>
        <v>878.13499999999999</v>
      </c>
      <c r="AZ51" s="12">
        <f t="shared" si="20"/>
        <v>1.2124416267349609E-3</v>
      </c>
      <c r="BA51" s="12"/>
      <c r="BB51" s="10">
        <f>+Risultati!T50</f>
        <v>0</v>
      </c>
      <c r="BC51" s="12">
        <f t="shared" si="21"/>
        <v>0</v>
      </c>
      <c r="BD51" s="12"/>
      <c r="BE51" s="10">
        <f>+Risultati!U50</f>
        <v>19737.905999999999</v>
      </c>
      <c r="BF51" s="12">
        <f t="shared" si="22"/>
        <v>2.7252141024992446E-2</v>
      </c>
      <c r="BG51" s="12"/>
      <c r="BH51" s="10">
        <f t="shared" si="56"/>
        <v>48556.305000000037</v>
      </c>
      <c r="BI51" s="12">
        <f t="shared" si="24"/>
        <v>6.7041725272809938E-2</v>
      </c>
      <c r="BK51" s="16">
        <f>IF(ISNUMBER(Risultati!X50/100),(Risultati!X50/100))</f>
        <v>0.286407631758752</v>
      </c>
      <c r="BL51" s="16">
        <f>IF(ISNUMBER(Risultati!Y50/100),(Risultati!Y50/100))</f>
        <v>0.34411959360625999</v>
      </c>
      <c r="BM51" s="16">
        <f>IF(ISNUMBER(Risultati!Z50/100),(Risultati!Z50/100))</f>
        <v>0.54229469233947203</v>
      </c>
      <c r="BN51" s="16">
        <f>IF(AND(Risultati!AY50&lt;0,calcoli!AP51&lt;0),-IF(ISNUMBER(Risultati!AA50/100),(Risultati!AA50/100)),IF(ISNUMBER(Risultati!AA50/100),(Risultati!AA50/100)))</f>
        <v>1.8392213148699801</v>
      </c>
      <c r="BO51" s="16">
        <f t="shared" si="0"/>
        <v>6.7041725272809938E-2</v>
      </c>
      <c r="BP51" s="16">
        <f>IF(Risultati!AB50&gt;0,(AV51/Risultati!AB50),"0")</f>
        <v>0.15351868139734179</v>
      </c>
      <c r="BQ51" s="16">
        <f>IF(Risultati!AG50&lt;&gt;0,(BH51/Risultati!AG50),"0")</f>
        <v>0.31231686931770092</v>
      </c>
      <c r="BR51" s="16">
        <f t="shared" si="1"/>
        <v>6.7041725272809938E-2</v>
      </c>
      <c r="BS51" s="14">
        <f>IF(Risultati!AB50&gt;0,(Risultati!G50/Risultati!AB50),"0")</f>
        <v>1.6345339520142579</v>
      </c>
      <c r="BT51" s="15">
        <f>IF(Risultati!AG50&lt;&gt;0,(Risultati!AB50/Risultati!AG50),"0")</f>
        <v>2.8245681059367329</v>
      </c>
      <c r="BU51" s="23">
        <f>IF(AND(Risultati!G50&gt;0,(Risultati!AE50-Risultati!AF50)&gt;=0),((Risultati!AE50-Risultati!AF50)/Risultati!G50*360),"0")</f>
        <v>99.336344255837133</v>
      </c>
      <c r="BV51" s="21">
        <f>IF(OR(E51="abbreviato",Risultati!G50=0),"0",((Risultati!AC50+Risultati!AD50)/Risultati!G50*360))</f>
        <v>21.903604666907867</v>
      </c>
      <c r="BW51" s="21">
        <f>IF(OR(E51="abbreviato",Risultati!G50=0,SUM(Risultati!I50+Risultati!K50+Risultati!M50)=0),"0",(((Risultati!AH50+Risultati!AI50)/(Risultati!I50+Risultati!K50+Risultati!N50)*360)))</f>
        <v>127.13800706040381</v>
      </c>
      <c r="BX51" s="16">
        <f>IF(Risultati!AB50&gt;0,(+Risultati!AG50/Risultati!AB50),"0")</f>
        <v>0.35403642698442295</v>
      </c>
      <c r="BY51" s="22">
        <f>IF(OR(E51="abbreviato",Risultati!G50=0),"0",(((Risultati!AK50-(Risultati!AL50+Risultati!AM50))/Risultati!G50)))</f>
        <v>-8.5490046081657306E-2</v>
      </c>
      <c r="BZ51" s="16">
        <f>IF(Risultati!G50&gt;0,(Risultati!AJ50/Risultati!G50),"0")</f>
        <v>0.38507670007171169</v>
      </c>
      <c r="CA51" s="8"/>
      <c r="CB51" s="10">
        <f>+Risultati!AP50</f>
        <v>0</v>
      </c>
      <c r="CC51" s="31">
        <f t="shared" si="57"/>
        <v>0</v>
      </c>
      <c r="CD51" s="10">
        <f>+Risultati!AQ50</f>
        <v>4060.4110000000001</v>
      </c>
      <c r="CE51" s="31">
        <f t="shared" si="58"/>
        <v>9.2462952404892499E-3</v>
      </c>
      <c r="CF51" s="10">
        <f>+Risultati!AR50</f>
        <v>22639.884999999998</v>
      </c>
      <c r="CG51" s="31">
        <f t="shared" si="59"/>
        <v>5.1555140827055181E-2</v>
      </c>
      <c r="CH51" s="10">
        <f>+Risultati!AS50</f>
        <v>28797.606</v>
      </c>
      <c r="CI51" s="31">
        <f t="shared" si="60"/>
        <v>6.5577392853896979E-2</v>
      </c>
      <c r="CJ51" s="10">
        <f t="shared" si="61"/>
        <v>55497.901999999995</v>
      </c>
      <c r="CK51" s="31">
        <f t="shared" si="62"/>
        <v>0.12637882892144139</v>
      </c>
      <c r="CL51" s="10">
        <f>+Risultati!AE50+Risultati!AF50</f>
        <v>198062.318</v>
      </c>
      <c r="CM51" s="31">
        <f t="shared" si="63"/>
        <v>0.4510239648753952</v>
      </c>
      <c r="CN51" s="10">
        <f>+Risultati!AT50</f>
        <v>123319.26700000001</v>
      </c>
      <c r="CO51" s="31">
        <f t="shared" si="64"/>
        <v>0.28082042717417599</v>
      </c>
      <c r="CP51" s="10">
        <f>+Risultati!AU50</f>
        <v>0</v>
      </c>
      <c r="CQ51" s="31">
        <f t="shared" si="65"/>
        <v>0</v>
      </c>
      <c r="CR51" s="10">
        <f>+Risultati!AL50</f>
        <v>61619.864999999998</v>
      </c>
      <c r="CS51" s="31">
        <f t="shared" si="66"/>
        <v>0.14031965347081615</v>
      </c>
      <c r="CT51" s="10">
        <f t="shared" si="67"/>
        <v>383001.45</v>
      </c>
      <c r="CU51" s="31">
        <f t="shared" si="68"/>
        <v>0.8721640455203874</v>
      </c>
      <c r="CV51" s="10">
        <f>+Risultati!AX50</f>
        <v>639.88099999999997</v>
      </c>
      <c r="CW51" s="31">
        <f t="shared" si="69"/>
        <v>1.4571255581712053E-3</v>
      </c>
      <c r="CX51" s="10">
        <f t="shared" si="70"/>
        <v>439139.23300000001</v>
      </c>
      <c r="CY51" s="31">
        <f t="shared" si="71"/>
        <v>1</v>
      </c>
      <c r="CZ51" s="10">
        <f>+Risultati!AG50</f>
        <v>155471.285</v>
      </c>
      <c r="DA51" s="31">
        <f t="shared" si="72"/>
        <v>0.35403642698442295</v>
      </c>
      <c r="DB51" s="10">
        <f t="shared" si="73"/>
        <v>6854.8539999999712</v>
      </c>
      <c r="DC51" s="31">
        <f t="shared" si="74"/>
        <v>1.5609750814498441E-2</v>
      </c>
      <c r="DD51" s="10">
        <f>+Risultati!AV50</f>
        <v>276403.429</v>
      </c>
      <c r="DE51" s="31">
        <f t="shared" si="75"/>
        <v>0.62942094039682395</v>
      </c>
      <c r="DF51" s="10">
        <f>+Risultati!AJ50</f>
        <v>276403.429</v>
      </c>
      <c r="DG51" s="31">
        <f t="shared" si="76"/>
        <v>0.62942094039682395</v>
      </c>
      <c r="DH51" s="10">
        <f t="shared" si="77"/>
        <v>0</v>
      </c>
      <c r="DI51" s="31">
        <f t="shared" si="78"/>
        <v>0</v>
      </c>
      <c r="DJ51" s="10">
        <f>+Risultati!AW50</f>
        <v>409.66500000000002</v>
      </c>
      <c r="DK51" s="31">
        <f t="shared" si="79"/>
        <v>9.3288180425455183E-4</v>
      </c>
      <c r="DL51" s="10">
        <f t="shared" si="50"/>
        <v>439139.23300000001</v>
      </c>
      <c r="DM51" s="31">
        <f t="shared" si="80"/>
        <v>1</v>
      </c>
      <c r="DO51" s="30"/>
      <c r="DP51" s="30"/>
    </row>
    <row r="52" spans="1:120" x14ac:dyDescent="0.2">
      <c r="A52" s="5"/>
      <c r="B52" s="6" t="str">
        <f>+Risultati!B51</f>
        <v>NOVA COOP SOCIETA' COOPERATIVA</v>
      </c>
      <c r="C52" s="6" t="str">
        <f>+Risultati!C51</f>
        <v>01314250034</v>
      </c>
      <c r="D52" s="26">
        <f>IF(YEAR(Risultati!D51)=1900,(MID(Risultati!$AP$1,29,4)),YEAR(Risultati!D51))</f>
        <v>2023</v>
      </c>
      <c r="E52" s="6" t="str">
        <f>+Risultati!E51</f>
        <v>Dettagliato</v>
      </c>
      <c r="F52" s="8" t="str">
        <f>(LEFT(Risultati!AN51,2)&amp;"-")&amp;VLOOKUP((LEFT(Risultati!AN51,2)),ateco!$B$4:$C$93,2,FALSE)</f>
        <v>47-Commercio al dettaglio (escluso quello di autoveicoli e di motocicli)</v>
      </c>
      <c r="G52" s="8" t="str">
        <f>SUBSTITUTE((Risultati!AN51&amp;"-"&amp;Risultati!AO51),",",";")</f>
        <v>471120-Supermercati</v>
      </c>
      <c r="I52" s="10">
        <f>+Risultati!G51</f>
        <v>1150779</v>
      </c>
      <c r="J52" s="11">
        <f t="shared" si="2"/>
        <v>1</v>
      </c>
      <c r="K52" s="12"/>
      <c r="L52" s="10">
        <f>+Risultati!G51+Risultati!H51</f>
        <v>1150779</v>
      </c>
      <c r="M52" s="11">
        <f t="shared" si="3"/>
        <v>0.98349698185351708</v>
      </c>
      <c r="N52" s="12"/>
      <c r="O52" s="10">
        <f>+Risultati!I51+Risultati!J51</f>
        <v>834800</v>
      </c>
      <c r="P52" s="11">
        <f t="shared" si="4"/>
        <v>0.71345000252117574</v>
      </c>
      <c r="Q52" s="12"/>
      <c r="R52" s="13">
        <f t="shared" si="51"/>
        <v>315979</v>
      </c>
      <c r="S52" s="11">
        <f t="shared" si="6"/>
        <v>0.2700469793323414</v>
      </c>
      <c r="T52" s="12"/>
      <c r="U52" s="10">
        <f>+Risultati!F51-(Risultati!G51+Risultati!H51)</f>
        <v>19310</v>
      </c>
      <c r="V52" s="12">
        <f t="shared" si="7"/>
        <v>1.6503018146482876E-2</v>
      </c>
      <c r="W52" s="12"/>
      <c r="X52" s="10">
        <f t="shared" si="52"/>
        <v>335289</v>
      </c>
      <c r="Y52" s="12">
        <f t="shared" si="9"/>
        <v>0.28654999747882426</v>
      </c>
      <c r="Z52" s="12"/>
      <c r="AA52" s="10">
        <f>+Risultati!K51</f>
        <v>122007</v>
      </c>
      <c r="AB52" s="12">
        <f t="shared" si="10"/>
        <v>0.1042715554115969</v>
      </c>
      <c r="AC52" s="12"/>
      <c r="AD52" s="10">
        <f>+Risultati!L51</f>
        <v>151129</v>
      </c>
      <c r="AE52" s="12">
        <f t="shared" si="11"/>
        <v>0.12916026045881979</v>
      </c>
      <c r="AF52" s="12"/>
      <c r="AG52" s="10">
        <f>+Risultati!M51+Risultati!P51+Risultati!Q51</f>
        <v>15958</v>
      </c>
      <c r="AH52" s="12">
        <f t="shared" si="12"/>
        <v>1.3638278797595738E-2</v>
      </c>
      <c r="AI52" s="12"/>
      <c r="AJ52" s="13">
        <f t="shared" si="53"/>
        <v>46195</v>
      </c>
      <c r="AK52" s="11">
        <f t="shared" si="14"/>
        <v>3.9479902810811825E-2</v>
      </c>
      <c r="AL52" s="12"/>
      <c r="AM52" s="10">
        <f>+Risultati!N51</f>
        <v>3667</v>
      </c>
      <c r="AN52" s="12">
        <f t="shared" si="15"/>
        <v>3.13394963972826E-3</v>
      </c>
      <c r="AO52" s="12"/>
      <c r="AP52" s="10">
        <f t="shared" si="54"/>
        <v>42528</v>
      </c>
      <c r="AQ52" s="41">
        <f t="shared" si="16"/>
        <v>3.6345953171083564E-2</v>
      </c>
      <c r="AR52" s="12"/>
      <c r="AS52" s="10">
        <f>+Risultati!O51</f>
        <v>33550</v>
      </c>
      <c r="AT52" s="12">
        <f t="shared" si="17"/>
        <v>2.8673032564189561E-2</v>
      </c>
      <c r="AU52" s="12"/>
      <c r="AV52" s="10">
        <f t="shared" si="55"/>
        <v>8978</v>
      </c>
      <c r="AW52" s="12">
        <f t="shared" si="19"/>
        <v>7.6729206068940053E-3</v>
      </c>
      <c r="AX52" s="12"/>
      <c r="AY52" s="10">
        <f>+Risultati!R51+Risultati!S51</f>
        <v>17808</v>
      </c>
      <c r="AZ52" s="12">
        <f t="shared" si="20"/>
        <v>1.5219355108884879E-2</v>
      </c>
      <c r="BA52" s="12"/>
      <c r="BB52" s="10">
        <f>+Risultati!T51</f>
        <v>0</v>
      </c>
      <c r="BC52" s="12">
        <f t="shared" si="21"/>
        <v>0</v>
      </c>
      <c r="BD52" s="12"/>
      <c r="BE52" s="10">
        <f>+Risultati!U51</f>
        <v>-1609</v>
      </c>
      <c r="BF52" s="12">
        <f t="shared" si="22"/>
        <v>-1.3751090728995829E-3</v>
      </c>
      <c r="BG52" s="12"/>
      <c r="BH52" s="10">
        <f t="shared" si="56"/>
        <v>28395</v>
      </c>
      <c r="BI52" s="12">
        <f t="shared" si="24"/>
        <v>2.4267384788678469E-2</v>
      </c>
      <c r="BK52" s="16">
        <f>IF(ISNUMBER(Risultati!X51/100),(Risultati!X51/100))</f>
        <v>4.1445924006001895E-2</v>
      </c>
      <c r="BL52" s="16">
        <f>IF(ISNUMBER(Risultati!Y51/100),(Risultati!Y51/100))</f>
        <v>9.4472754663577602E-2</v>
      </c>
      <c r="BM52" s="16">
        <f>IF(ISNUMBER(Risultati!Z51/100),(Risultati!Z51/100))</f>
        <v>0.11600105899843199</v>
      </c>
      <c r="BN52" s="16">
        <f>IF(AND(Risultati!AY51&lt;0,calcoli!AP52&lt;0),-IF(ISNUMBER(Risultati!AA51/100),(Risultati!AA51/100)),IF(ISNUMBER(Risultati!AA51/100),(Risultati!AA51/100)))</f>
        <v>-0.16544997841359599</v>
      </c>
      <c r="BO52" s="16">
        <f t="shared" si="0"/>
        <v>2.4267384788678469E-2</v>
      </c>
      <c r="BP52" s="16">
        <f>IF(Risultati!AB51&gt;0,(AV52/Risultati!AB51),"0")</f>
        <v>4.3904347400850899E-3</v>
      </c>
      <c r="BQ52" s="16">
        <f>IF(Risultati!AG51&lt;&gt;0,(BH52/Risultati!AG51),"0")</f>
        <v>3.3309402647859962E-2</v>
      </c>
      <c r="BR52" s="16">
        <f t="shared" si="1"/>
        <v>2.4267384788678469E-2</v>
      </c>
      <c r="BS52" s="14">
        <f>IF(Risultati!AB51&gt;0,(Risultati!G51/Risultati!AB51),"0")</f>
        <v>0.56275563597241918</v>
      </c>
      <c r="BT52" s="15">
        <f>IF(Risultati!AG51&lt;&gt;0,(Risultati!AB51/Risultati!AG51),"0")</f>
        <v>2.3988166041418855</v>
      </c>
      <c r="BU52" s="23">
        <f>IF(AND(Risultati!G51&gt;0,(Risultati!AE51-Risultati!AF51)&gt;=0),((Risultati!AE51-Risultati!AF51)/Risultati!G51*360),"0")</f>
        <v>19.432784227032297</v>
      </c>
      <c r="BV52" s="21">
        <f>IF(OR(E52="abbreviato",Risultati!G51=0),"0",((Risultati!AC51+Risultati!AD51)/Risultati!G51*360))</f>
        <v>0.58937467576311353</v>
      </c>
      <c r="BW52" s="21">
        <f>IF(OR(E52="abbreviato",Risultati!G51=0,SUM(Risultati!I51+Risultati!K51+Risultati!M51)=0),"0",(((Risultati!AH51+Risultati!AI51)/(Risultati!I51+Risultati!K51+Risultati!N51)*360)))</f>
        <v>15.415288735222367</v>
      </c>
      <c r="BX52" s="16">
        <f>IF(Risultati!AB51&gt;0,(+Risultati!AG51/Risultati!AB51),"0")</f>
        <v>0.41687221869040053</v>
      </c>
      <c r="BY52" s="22">
        <f>IF(OR(E52="abbreviato",Risultati!G51=0),"0",(((Risultati!AK51-(Risultati!AL51+Risultati!AM51))/Risultati!G51)))</f>
        <v>0.64799235995790683</v>
      </c>
      <c r="BZ52" s="16">
        <f>IF(Risultati!G51&gt;0,(Risultati!AJ51/Risultati!G51),"0")</f>
        <v>0.96112111882472651</v>
      </c>
      <c r="CA52" s="8"/>
      <c r="CB52" s="10">
        <f>+Risultati!AP51</f>
        <v>0</v>
      </c>
      <c r="CC52" s="31">
        <f t="shared" si="57"/>
        <v>0</v>
      </c>
      <c r="CD52" s="10">
        <f>+Risultati!AQ51</f>
        <v>3963</v>
      </c>
      <c r="CE52" s="31">
        <f t="shared" si="58"/>
        <v>1.9379930255724121E-3</v>
      </c>
      <c r="CF52" s="10">
        <f>+Risultati!AR51</f>
        <v>694039</v>
      </c>
      <c r="CG52" s="31">
        <f t="shared" si="59"/>
        <v>0.33940013663266499</v>
      </c>
      <c r="CH52" s="10">
        <f>+Risultati!AS51</f>
        <v>488368</v>
      </c>
      <c r="CI52" s="31">
        <f t="shared" si="60"/>
        <v>0.2388225530943093</v>
      </c>
      <c r="CJ52" s="10">
        <f t="shared" si="61"/>
        <v>1186370</v>
      </c>
      <c r="CK52" s="31">
        <f t="shared" si="62"/>
        <v>0.58016068275254673</v>
      </c>
      <c r="CL52" s="10">
        <f>+Risultati!AE51+Risultati!AF51</f>
        <v>62119</v>
      </c>
      <c r="CM52" s="31">
        <f t="shared" si="63"/>
        <v>3.0377539428597698E-2</v>
      </c>
      <c r="CN52" s="10">
        <f>+Risultati!AT51</f>
        <v>175333</v>
      </c>
      <c r="CO52" s="31">
        <f t="shared" si="64"/>
        <v>8.5741642985790498E-2</v>
      </c>
      <c r="CP52" s="10">
        <f>+Risultati!AU51</f>
        <v>557324</v>
      </c>
      <c r="CQ52" s="31">
        <f t="shared" si="65"/>
        <v>0.27254353393492786</v>
      </c>
      <c r="CR52" s="10">
        <f>+Risultati!AL51</f>
        <v>63543</v>
      </c>
      <c r="CS52" s="31">
        <f t="shared" si="66"/>
        <v>3.1073906339628511E-2</v>
      </c>
      <c r="CT52" s="10">
        <f t="shared" si="67"/>
        <v>858319</v>
      </c>
      <c r="CU52" s="31">
        <f t="shared" si="68"/>
        <v>0.41973662268894452</v>
      </c>
      <c r="CV52" s="10">
        <f>+Risultati!AX51</f>
        <v>210</v>
      </c>
      <c r="CW52" s="31">
        <f t="shared" si="69"/>
        <v>1.0269455850875765E-4</v>
      </c>
      <c r="CX52" s="10">
        <f t="shared" si="70"/>
        <v>2044899</v>
      </c>
      <c r="CY52" s="31">
        <f t="shared" si="71"/>
        <v>1</v>
      </c>
      <c r="CZ52" s="10">
        <f>+Risultati!AG51</f>
        <v>852462</v>
      </c>
      <c r="DA52" s="31">
        <f t="shared" si="72"/>
        <v>0.41687242254996459</v>
      </c>
      <c r="DB52" s="10">
        <f t="shared" si="73"/>
        <v>40682</v>
      </c>
      <c r="DC52" s="31">
        <f t="shared" si="74"/>
        <v>1.9894381091682279E-2</v>
      </c>
      <c r="DD52" s="10">
        <f>+Risultati!AV51</f>
        <v>1147587</v>
      </c>
      <c r="DE52" s="31">
        <f t="shared" si="75"/>
        <v>0.56119495388280793</v>
      </c>
      <c r="DF52" s="10">
        <f>+Risultati!AJ51</f>
        <v>1106038</v>
      </c>
      <c r="DG52" s="31">
        <f t="shared" si="76"/>
        <v>0.54087659097099661</v>
      </c>
      <c r="DH52" s="10">
        <f t="shared" si="77"/>
        <v>41549</v>
      </c>
      <c r="DI52" s="31">
        <f t="shared" si="78"/>
        <v>2.0318362911811293E-2</v>
      </c>
      <c r="DJ52" s="10">
        <f>+Risultati!AW51</f>
        <v>4168</v>
      </c>
      <c r="DK52" s="31">
        <f t="shared" si="79"/>
        <v>2.0382424755452468E-3</v>
      </c>
      <c r="DL52" s="10">
        <f t="shared" si="50"/>
        <v>2044899</v>
      </c>
      <c r="DM52" s="31">
        <f t="shared" si="80"/>
        <v>1</v>
      </c>
      <c r="DO52" s="30"/>
      <c r="DP52" s="30"/>
    </row>
    <row r="53" spans="1:120" x14ac:dyDescent="0.2">
      <c r="A53" s="5"/>
      <c r="B53" s="6" t="str">
        <f>+Risultati!B52</f>
        <v>EUROSPIN SICILIA SPA</v>
      </c>
      <c r="C53" s="6" t="str">
        <f>+Risultati!C52</f>
        <v>03653460877</v>
      </c>
      <c r="D53" s="26">
        <f>IF(YEAR(Risultati!D52)=1900,(MID(Risultati!$AP$1,29,4)),YEAR(Risultati!D52))</f>
        <v>2023</v>
      </c>
      <c r="E53" s="6" t="str">
        <f>+Risultati!E52</f>
        <v>Dettagliato</v>
      </c>
      <c r="F53" s="8" t="str">
        <f>(LEFT(Risultati!AN52,2)&amp;"-")&amp;VLOOKUP((LEFT(Risultati!AN52,2)),ateco!$B$4:$C$93,2,FALSE)</f>
        <v>47-Commercio al dettaglio (escluso quello di autoveicoli e di motocicli)</v>
      </c>
      <c r="G53" s="8" t="str">
        <f>SUBSTITUTE((Risultati!AN52&amp;"-"&amp;Risultati!AO52),",",";")</f>
        <v>471130-Discount di alimentari</v>
      </c>
      <c r="I53" s="10">
        <f>+Risultati!G52</f>
        <v>1073255.193</v>
      </c>
      <c r="J53" s="11">
        <f t="shared" si="2"/>
        <v>1</v>
      </c>
      <c r="K53" s="12"/>
      <c r="L53" s="10">
        <f>+Risultati!G52+Risultati!H52</f>
        <v>1073255.193</v>
      </c>
      <c r="M53" s="11">
        <f t="shared" si="3"/>
        <v>0.99215397799511029</v>
      </c>
      <c r="N53" s="12"/>
      <c r="O53" s="10">
        <f>+Risultati!I52+Risultati!J52</f>
        <v>807499.31099999999</v>
      </c>
      <c r="P53" s="11">
        <f t="shared" si="4"/>
        <v>0.74648010916911611</v>
      </c>
      <c r="Q53" s="12"/>
      <c r="R53" s="13">
        <f t="shared" si="51"/>
        <v>265755.88199999998</v>
      </c>
      <c r="S53" s="11">
        <f t="shared" si="6"/>
        <v>0.24567386882599423</v>
      </c>
      <c r="T53" s="12"/>
      <c r="U53" s="10">
        <f>+Risultati!F52-(Risultati!G52+Risultati!H52)</f>
        <v>8487.3759999999311</v>
      </c>
      <c r="V53" s="12">
        <f t="shared" si="7"/>
        <v>7.8460220048897165E-3</v>
      </c>
      <c r="W53" s="12"/>
      <c r="X53" s="10">
        <f t="shared" si="52"/>
        <v>274243.25799999991</v>
      </c>
      <c r="Y53" s="12">
        <f t="shared" si="9"/>
        <v>0.25351989083088394</v>
      </c>
      <c r="Z53" s="12"/>
      <c r="AA53" s="10">
        <f>+Risultati!K52</f>
        <v>86165.22</v>
      </c>
      <c r="AB53" s="12">
        <f t="shared" si="10"/>
        <v>7.9654090048110152E-2</v>
      </c>
      <c r="AC53" s="12"/>
      <c r="AD53" s="10">
        <f>+Risultati!L52</f>
        <v>89519.508000000002</v>
      </c>
      <c r="AE53" s="12">
        <f t="shared" si="11"/>
        <v>8.2754909130325641E-2</v>
      </c>
      <c r="AF53" s="12"/>
      <c r="AG53" s="10">
        <f>+Risultati!M52+Risultati!P52+Risultati!Q52</f>
        <v>6088.1779999999999</v>
      </c>
      <c r="AH53" s="12">
        <f t="shared" si="12"/>
        <v>5.6281209360449979E-3</v>
      </c>
      <c r="AI53" s="12"/>
      <c r="AJ53" s="13">
        <f t="shared" si="53"/>
        <v>92470.351999999912</v>
      </c>
      <c r="AK53" s="11">
        <f t="shared" si="14"/>
        <v>8.5482770716403159E-2</v>
      </c>
      <c r="AL53" s="12"/>
      <c r="AM53" s="10">
        <f>+Risultati!N52</f>
        <v>5663.8450000000003</v>
      </c>
      <c r="AN53" s="12">
        <f t="shared" si="15"/>
        <v>5.2358529305506149E-3</v>
      </c>
      <c r="AO53" s="12"/>
      <c r="AP53" s="10">
        <f t="shared" si="54"/>
        <v>86806.50699999991</v>
      </c>
      <c r="AQ53" s="41">
        <f t="shared" si="16"/>
        <v>8.0246917785852537E-2</v>
      </c>
      <c r="AR53" s="12"/>
      <c r="AS53" s="10">
        <f>+Risultati!O52</f>
        <v>22048.342000000001</v>
      </c>
      <c r="AT53" s="12">
        <f t="shared" si="17"/>
        <v>2.0382244936872778E-2</v>
      </c>
      <c r="AU53" s="12"/>
      <c r="AV53" s="10">
        <f t="shared" si="55"/>
        <v>64758.164999999906</v>
      </c>
      <c r="AW53" s="12">
        <f t="shared" si="19"/>
        <v>5.9864672848979755E-2</v>
      </c>
      <c r="AX53" s="12"/>
      <c r="AY53" s="10">
        <f>+Risultati!R52+Risultati!S52</f>
        <v>752.524</v>
      </c>
      <c r="AZ53" s="12">
        <f t="shared" si="20"/>
        <v>6.9565904270149886E-4</v>
      </c>
      <c r="BA53" s="12"/>
      <c r="BB53" s="10">
        <f>+Risultati!T52</f>
        <v>0</v>
      </c>
      <c r="BC53" s="12">
        <f t="shared" si="21"/>
        <v>0</v>
      </c>
      <c r="BD53" s="12"/>
      <c r="BE53" s="10">
        <f>+Risultati!U52</f>
        <v>17628.75</v>
      </c>
      <c r="BF53" s="12">
        <f t="shared" si="22"/>
        <v>1.6296622232678356E-2</v>
      </c>
      <c r="BG53" s="12"/>
      <c r="BH53" s="10">
        <f t="shared" si="56"/>
        <v>47881.938999999904</v>
      </c>
      <c r="BI53" s="12">
        <f t="shared" si="24"/>
        <v>4.4263709659002899E-2</v>
      </c>
      <c r="BK53" s="16">
        <f>IF(ISNUMBER(Risultati!X52/100),(Risultati!X52/100))</f>
        <v>9.1641595588852293E-2</v>
      </c>
      <c r="BL53" s="16">
        <f>IF(ISNUMBER(Risultati!Y52/100),(Risultati!Y52/100))</f>
        <v>0.240812998246656</v>
      </c>
      <c r="BM53" s="16">
        <f>IF(ISNUMBER(Risultati!Z52/100),(Risultati!Z52/100))</f>
        <v>0.49691114142049997</v>
      </c>
      <c r="BN53" s="16">
        <f>IF(AND(Risultati!AY52&lt;0,calcoli!AP53&lt;0),-IF(ISNUMBER(Risultati!AA52/100),(Risultati!AA52/100)),IF(ISNUMBER(Risultati!AA52/100),(Risultati!AA52/100)))</f>
        <v>0.27838182600121203</v>
      </c>
      <c r="BO53" s="16">
        <f t="shared" si="0"/>
        <v>4.4263709659002899E-2</v>
      </c>
      <c r="BP53" s="16">
        <f>IF(Risultati!AB52&gt;0,(AV53/Risultati!AB52),"0")</f>
        <v>0.12392610945505449</v>
      </c>
      <c r="BQ53" s="16">
        <f>IF(Risultati!AG52&lt;&gt;0,(BH53/Risultati!AG52),"0")</f>
        <v>0.14669145161630154</v>
      </c>
      <c r="BR53" s="16">
        <f t="shared" si="1"/>
        <v>4.4263709659002899E-2</v>
      </c>
      <c r="BS53" s="14">
        <f>IF(Risultati!AB52&gt;0,(Risultati!G52/Risultati!AB52),"0")</f>
        <v>2.0538620963228933</v>
      </c>
      <c r="BT53" s="15">
        <f>IF(Risultati!AG52&lt;&gt;0,(Risultati!AB52/Risultati!AG52),"0")</f>
        <v>1.6009021783919704</v>
      </c>
      <c r="BU53" s="23">
        <f>IF(AND(Risultati!G52&gt;0,(Risultati!AE52-Risultati!AF52)&gt;=0),((Risultati!AE52-Risultati!AF52)/Risultati!G52*360),"0")</f>
        <v>14.741428379000631</v>
      </c>
      <c r="BV53" s="21">
        <f>IF(OR(E53="abbreviato",Risultati!G52=0),"0",((Risultati!AC52+Risultati!AD52)/Risultati!G52*360))</f>
        <v>3.7650917194304223</v>
      </c>
      <c r="BW53" s="21">
        <f>IF(OR(E53="abbreviato",Risultati!G52=0,SUM(Risultati!I52+Risultati!K52+Risultati!M52)=0),"0",(((Risultati!AH52+Risultati!AI52)/(Risultati!I52+Risultati!K52+Risultati!N52)*360)))</f>
        <v>58.433218850164643</v>
      </c>
      <c r="BX53" s="16">
        <f>IF(Risultati!AB52&gt;0,(+Risultati!AG52/Risultati!AB52),"0")</f>
        <v>0.62464778516601938</v>
      </c>
      <c r="BY53" s="22">
        <f>IF(OR(E53="abbreviato",Risultati!G52=0),"0",(((Risultati!AK52-(Risultati!AL52+Risultati!AM52))/Risultati!G52)))</f>
        <v>-1.6181478657890824E-2</v>
      </c>
      <c r="BZ53" s="16">
        <f>IF(Risultati!G52&gt;0,(Risultati!AJ52/Risultati!G52),"0")</f>
        <v>0.17198063722762719</v>
      </c>
      <c r="CA53" s="8"/>
      <c r="CB53" s="10">
        <f>+Risultati!AP52</f>
        <v>0</v>
      </c>
      <c r="CC53" s="31">
        <f t="shared" si="57"/>
        <v>0</v>
      </c>
      <c r="CD53" s="10">
        <f>+Risultati!AQ52</f>
        <v>4399.87</v>
      </c>
      <c r="CE53" s="31">
        <f t="shared" si="58"/>
        <v>8.4199231279640397E-3</v>
      </c>
      <c r="CF53" s="10">
        <f>+Risultati!AR52</f>
        <v>417994.53399999999</v>
      </c>
      <c r="CG53" s="31">
        <f t="shared" si="59"/>
        <v>0.79990587089826548</v>
      </c>
      <c r="CH53" s="10">
        <f>+Risultati!AS52</f>
        <v>187.459</v>
      </c>
      <c r="CI53" s="31">
        <f t="shared" si="60"/>
        <v>3.5873568301904627E-4</v>
      </c>
      <c r="CJ53" s="10">
        <f t="shared" si="61"/>
        <v>422581.86299999995</v>
      </c>
      <c r="CK53" s="31">
        <f t="shared" si="62"/>
        <v>0.80868452970924842</v>
      </c>
      <c r="CL53" s="10">
        <f>+Risultati!AE52+Risultati!AF52</f>
        <v>43948.095999999998</v>
      </c>
      <c r="CM53" s="31">
        <f t="shared" si="63"/>
        <v>8.4102391648022301E-2</v>
      </c>
      <c r="CN53" s="10">
        <f>+Risultati!AT52</f>
        <v>38299.705000000002</v>
      </c>
      <c r="CO53" s="31">
        <f t="shared" si="64"/>
        <v>7.3293204554611843E-2</v>
      </c>
      <c r="CP53" s="10">
        <f>+Risultati!AU52</f>
        <v>432.495</v>
      </c>
      <c r="CQ53" s="31">
        <f t="shared" si="65"/>
        <v>8.2765505645139689E-4</v>
      </c>
      <c r="CR53" s="10">
        <f>+Risultati!AL52</f>
        <v>16937.009999999998</v>
      </c>
      <c r="CS53" s="31">
        <f t="shared" si="66"/>
        <v>3.2411939947670776E-2</v>
      </c>
      <c r="CT53" s="10">
        <f t="shared" si="67"/>
        <v>99617.305999999997</v>
      </c>
      <c r="CU53" s="31">
        <f t="shared" si="68"/>
        <v>0.19063519120675632</v>
      </c>
      <c r="CV53" s="10">
        <f>+Risultati!AX52</f>
        <v>355.483</v>
      </c>
      <c r="CW53" s="31">
        <f t="shared" si="69"/>
        <v>6.8027908399521822E-4</v>
      </c>
      <c r="CX53" s="10">
        <f t="shared" si="70"/>
        <v>522554.65199999994</v>
      </c>
      <c r="CY53" s="31">
        <f t="shared" si="71"/>
        <v>1</v>
      </c>
      <c r="CZ53" s="10">
        <f>+Risultati!AG52</f>
        <v>326412.60600000003</v>
      </c>
      <c r="DA53" s="31">
        <f t="shared" si="72"/>
        <v>0.62464778516601949</v>
      </c>
      <c r="DB53" s="10">
        <f t="shared" si="73"/>
        <v>1491.9109999999218</v>
      </c>
      <c r="DC53" s="31">
        <f t="shared" si="74"/>
        <v>2.8550334291157012E-3</v>
      </c>
      <c r="DD53" s="10">
        <f>+Risultati!AV52</f>
        <v>184579.11199999999</v>
      </c>
      <c r="DE53" s="31">
        <f t="shared" si="75"/>
        <v>0.35322451210328143</v>
      </c>
      <c r="DF53" s="10">
        <f>+Risultati!AJ52</f>
        <v>184579.11199999999</v>
      </c>
      <c r="DG53" s="31">
        <f t="shared" si="76"/>
        <v>0.35322451210328143</v>
      </c>
      <c r="DH53" s="10">
        <f t="shared" si="77"/>
        <v>0</v>
      </c>
      <c r="DI53" s="31">
        <f t="shared" si="78"/>
        <v>0</v>
      </c>
      <c r="DJ53" s="10">
        <f>+Risultati!AW52</f>
        <v>10071.022999999999</v>
      </c>
      <c r="DK53" s="31">
        <f t="shared" si="79"/>
        <v>1.9272669301583407E-2</v>
      </c>
      <c r="DL53" s="10">
        <f t="shared" si="50"/>
        <v>522554.65199999994</v>
      </c>
      <c r="DM53" s="31">
        <f t="shared" si="80"/>
        <v>1</v>
      </c>
      <c r="DO53" s="30"/>
      <c r="DP53" s="30"/>
    </row>
    <row r="54" spans="1:120" x14ac:dyDescent="0.2">
      <c r="A54" s="5"/>
      <c r="B54" s="6" t="str">
        <f>+Risultati!B53</f>
        <v>EGIDIO GALBANI SOCIETA' A RESPONSABILITA' LIMITATA IN BREVE EGIDIO GALBANI S.R.L. O E.GA. S.R.L.</v>
      </c>
      <c r="C54" s="6" t="str">
        <f>+Risultati!C53</f>
        <v>03419280965</v>
      </c>
      <c r="D54" s="26">
        <f>IF(YEAR(Risultati!D53)=1900,(MID(Risultati!$AP$1,29,4)),YEAR(Risultati!D53))</f>
        <v>2023</v>
      </c>
      <c r="E54" s="6" t="str">
        <f>+Risultati!E53</f>
        <v>Dettagliato</v>
      </c>
      <c r="F54" s="8" t="str">
        <f>(LEFT(Risultati!AN53,2)&amp;"-")&amp;VLOOKUP((LEFT(Risultati!AN53,2)),ateco!$B$4:$C$93,2,FALSE)</f>
        <v>10-Industrie alimentari</v>
      </c>
      <c r="G54" s="8" t="str">
        <f>SUBSTITUTE((Risultati!AN53&amp;"-"&amp;Risultati!AO53),",",";")</f>
        <v>105120-Produzione dei derivati del latte</v>
      </c>
      <c r="I54" s="10">
        <f>+Risultati!G53</f>
        <v>1124074</v>
      </c>
      <c r="J54" s="11">
        <f t="shared" si="2"/>
        <v>0.99855822659205806</v>
      </c>
      <c r="K54" s="12"/>
      <c r="L54" s="10">
        <f>+Risultati!G53+Risultati!H53</f>
        <v>1125697</v>
      </c>
      <c r="M54" s="11">
        <f t="shared" si="3"/>
        <v>0.98781137376962003</v>
      </c>
      <c r="N54" s="12"/>
      <c r="O54" s="10">
        <f>+Risultati!I53+Risultati!J53</f>
        <v>701776</v>
      </c>
      <c r="P54" s="11">
        <f t="shared" si="4"/>
        <v>0.61581608073802174</v>
      </c>
      <c r="Q54" s="12"/>
      <c r="R54" s="13">
        <f t="shared" si="51"/>
        <v>423921</v>
      </c>
      <c r="S54" s="11">
        <f t="shared" si="6"/>
        <v>0.37199529303159828</v>
      </c>
      <c r="T54" s="12"/>
      <c r="U54" s="10">
        <f>+Risultati!F53-(Risultati!G53+Risultati!H53)</f>
        <v>13890</v>
      </c>
      <c r="V54" s="12">
        <f t="shared" si="7"/>
        <v>1.2188626230379954E-2</v>
      </c>
      <c r="W54" s="12"/>
      <c r="X54" s="10">
        <f t="shared" si="52"/>
        <v>437811</v>
      </c>
      <c r="Y54" s="12">
        <f t="shared" si="9"/>
        <v>0.38418391926197826</v>
      </c>
      <c r="Z54" s="12"/>
      <c r="AA54" s="10">
        <f>+Risultati!K53</f>
        <v>180969</v>
      </c>
      <c r="AB54" s="12">
        <f t="shared" si="10"/>
        <v>0.1588022678391382</v>
      </c>
      <c r="AC54" s="12"/>
      <c r="AD54" s="10">
        <f>+Risultati!L53</f>
        <v>83696</v>
      </c>
      <c r="AE54" s="12">
        <f t="shared" si="11"/>
        <v>7.3444151258306736E-2</v>
      </c>
      <c r="AF54" s="12"/>
      <c r="AG54" s="10">
        <f>+Risultati!M53+Risultati!P53+Risultati!Q53</f>
        <v>9154</v>
      </c>
      <c r="AH54" s="12">
        <f t="shared" si="12"/>
        <v>8.0327346661553702E-3</v>
      </c>
      <c r="AI54" s="12"/>
      <c r="AJ54" s="13">
        <f t="shared" si="53"/>
        <v>163992</v>
      </c>
      <c r="AK54" s="11">
        <f t="shared" si="14"/>
        <v>0.14390476549837791</v>
      </c>
      <c r="AL54" s="12"/>
      <c r="AM54" s="10">
        <f>+Risultati!N53</f>
        <v>1361</v>
      </c>
      <c r="AN54" s="12">
        <f t="shared" si="15"/>
        <v>1.1942923181819378E-3</v>
      </c>
      <c r="AO54" s="12"/>
      <c r="AP54" s="10">
        <f t="shared" si="54"/>
        <v>162631</v>
      </c>
      <c r="AQ54" s="41">
        <f t="shared" si="16"/>
        <v>0.14271047318019597</v>
      </c>
      <c r="AR54" s="12"/>
      <c r="AS54" s="10">
        <f>+Risultati!O53</f>
        <v>30380</v>
      </c>
      <c r="AT54" s="12">
        <f t="shared" si="17"/>
        <v>2.6658780768822388E-2</v>
      </c>
      <c r="AU54" s="12"/>
      <c r="AV54" s="10">
        <f t="shared" si="55"/>
        <v>132251</v>
      </c>
      <c r="AW54" s="12">
        <f t="shared" si="19"/>
        <v>0.1160516924113736</v>
      </c>
      <c r="AX54" s="12"/>
      <c r="AY54" s="10">
        <f>+Risultati!R53+Risultati!S53</f>
        <v>-1035</v>
      </c>
      <c r="AZ54" s="12">
        <f t="shared" si="20"/>
        <v>-9.0822376878641126E-4</v>
      </c>
      <c r="BA54" s="12"/>
      <c r="BB54" s="10">
        <f>+Risultati!T53</f>
        <v>1</v>
      </c>
      <c r="BC54" s="12">
        <f t="shared" si="21"/>
        <v>8.7751088771633933E-7</v>
      </c>
      <c r="BD54" s="12"/>
      <c r="BE54" s="10">
        <f>+Risultati!U53</f>
        <v>32818</v>
      </c>
      <c r="BF54" s="12">
        <f t="shared" si="22"/>
        <v>2.8798152313074823E-2</v>
      </c>
      <c r="BG54" s="12"/>
      <c r="BH54" s="10">
        <f t="shared" si="56"/>
        <v>98399</v>
      </c>
      <c r="BI54" s="12">
        <f t="shared" si="24"/>
        <v>8.6346193840400071E-2</v>
      </c>
      <c r="BK54" s="16">
        <f>IF(ISNUMBER(Risultati!X53/100),(Risultati!X53/100))</f>
        <v>4.5789346861954697E-2</v>
      </c>
      <c r="BL54" s="16">
        <f>IF(ISNUMBER(Risultati!Y53/100),(Risultati!Y53/100))</f>
        <v>0.21908589760135702</v>
      </c>
      <c r="BM54" s="16">
        <f>IF(ISNUMBER(Risultati!Z53/100),(Risultati!Z53/100))</f>
        <v>0.24988630563935099</v>
      </c>
      <c r="BN54" s="16">
        <f>IF(AND(Risultati!AY53&lt;0,calcoli!AP54&lt;0),-IF(ISNUMBER(Risultati!AA53/100),(Risultati!AA53/100)),IF(ISNUMBER(Risultati!AA53/100),(Risultati!AA53/100)))</f>
        <v>0.41216873328470699</v>
      </c>
      <c r="BO54" s="16">
        <f t="shared" si="0"/>
        <v>8.6346193840400071E-2</v>
      </c>
      <c r="BP54" s="16">
        <f>IF(Risultati!AB53&gt;0,(AV54/Risultati!AB53),"0")</f>
        <v>0.14919811554897722</v>
      </c>
      <c r="BQ54" s="16">
        <f>IF(Risultati!AG53&lt;&gt;0,(BH54/Risultati!AG53),"0")</f>
        <v>0.18554156437264063</v>
      </c>
      <c r="BR54" s="16">
        <f t="shared" si="1"/>
        <v>8.6346193840400071E-2</v>
      </c>
      <c r="BS54" s="14">
        <f>IF(Risultati!AB53&gt;0,(Risultati!G53/Risultati!AB53),"0")</f>
        <v>1.2681168576237687</v>
      </c>
      <c r="BT54" s="15">
        <f>IF(Risultati!AG53&lt;&gt;0,(Risultati!AB53/Risultati!AG53),"0")</f>
        <v>1.6714221603744055</v>
      </c>
      <c r="BU54" s="23">
        <f>IF(AND(Risultati!G53&gt;0,(Risultati!AE53-Risultati!AF53)&gt;=0),((Risultati!AE53-Risultati!AF53)/Risultati!G53*360),"0")</f>
        <v>16.218149338922526</v>
      </c>
      <c r="BV54" s="21">
        <f>IF(OR(E54="abbreviato",Risultati!G53=0),"0",((Risultati!AC53+Risultati!AD53)/Risultati!G53*360))</f>
        <v>3.4069643101788674</v>
      </c>
      <c r="BW54" s="21">
        <f>IF(OR(E54="abbreviato",Risultati!G53=0,SUM(Risultati!I53+Risultati!K53+Risultati!M53)=0),"0",(((Risultati!AH53+Risultati!AI53)/(Risultati!I53+Risultati!K53+Risultati!N53)*360)))</f>
        <v>54.815064594717228</v>
      </c>
      <c r="BX54" s="16">
        <f>IF(Risultati!AB53&gt;0,(+Risultati!AG53/Risultati!AB53),"0")</f>
        <v>0.59829289314675338</v>
      </c>
      <c r="BY54" s="22">
        <f>IF(OR(E54="abbreviato",Risultati!G53=0),"0",(((Risultati!AK53-(Risultati!AL53+Risultati!AM53))/Risultati!G53)))</f>
        <v>-1.987413640027258E-2</v>
      </c>
      <c r="BZ54" s="16">
        <f>IF(Risultati!G53&gt;0,(Risultati!AJ53/Risultati!G53),"0")</f>
        <v>0.19266703081825573</v>
      </c>
      <c r="CA54" s="8"/>
      <c r="CB54" s="10">
        <f>+Risultati!AP53</f>
        <v>0</v>
      </c>
      <c r="CC54" s="31">
        <f t="shared" si="57"/>
        <v>0</v>
      </c>
      <c r="CD54" s="10">
        <f>+Risultati!AQ53</f>
        <v>410002</v>
      </c>
      <c r="CE54" s="31">
        <f t="shared" si="58"/>
        <v>0.4625411208332017</v>
      </c>
      <c r="CF54" s="10">
        <f>+Risultati!AR53</f>
        <v>243720</v>
      </c>
      <c r="CG54" s="31">
        <f t="shared" si="59"/>
        <v>0.27495115138332965</v>
      </c>
      <c r="CH54" s="10">
        <f>+Risultati!AS53</f>
        <v>197</v>
      </c>
      <c r="CI54" s="31">
        <f t="shared" si="60"/>
        <v>2.2224428369652035E-4</v>
      </c>
      <c r="CJ54" s="10">
        <f t="shared" si="61"/>
        <v>653919</v>
      </c>
      <c r="CK54" s="31">
        <f t="shared" si="62"/>
        <v>0.7377145165002279</v>
      </c>
      <c r="CL54" s="10">
        <f>+Risultati!AE53+Risultati!AF53</f>
        <v>50640</v>
      </c>
      <c r="CM54" s="31">
        <f t="shared" si="63"/>
        <v>5.7129190489298431E-2</v>
      </c>
      <c r="CN54" s="10">
        <f>+Risultati!AT53</f>
        <v>146608</v>
      </c>
      <c r="CO54" s="31">
        <f t="shared" si="64"/>
        <v>0.16539487281309367</v>
      </c>
      <c r="CP54" s="10">
        <f>+Risultati!AU53</f>
        <v>35202</v>
      </c>
      <c r="CQ54" s="31">
        <f t="shared" si="65"/>
        <v>3.9712910023781266E-2</v>
      </c>
      <c r="CR54" s="10">
        <f>+Risultati!AL53</f>
        <v>39</v>
      </c>
      <c r="CS54" s="31">
        <f t="shared" si="66"/>
        <v>4.399759931047865E-5</v>
      </c>
      <c r="CT54" s="10">
        <f t="shared" si="67"/>
        <v>232489</v>
      </c>
      <c r="CU54" s="31">
        <f t="shared" si="68"/>
        <v>0.26228097092548386</v>
      </c>
      <c r="CV54" s="10">
        <f>+Risultati!AX53</f>
        <v>4</v>
      </c>
      <c r="CW54" s="31">
        <f t="shared" si="69"/>
        <v>4.5125742882542205E-6</v>
      </c>
      <c r="CX54" s="10">
        <f t="shared" si="70"/>
        <v>886412</v>
      </c>
      <c r="CY54" s="31">
        <f t="shared" si="71"/>
        <v>1</v>
      </c>
      <c r="CZ54" s="10">
        <f>+Risultati!AG53</f>
        <v>530334</v>
      </c>
      <c r="DA54" s="31">
        <f t="shared" si="72"/>
        <v>0.59829289314675338</v>
      </c>
      <c r="DB54" s="10">
        <f t="shared" si="73"/>
        <v>127207</v>
      </c>
      <c r="DC54" s="31">
        <f t="shared" si="74"/>
        <v>0.14350775937148866</v>
      </c>
      <c r="DD54" s="10">
        <f>+Risultati!AV53</f>
        <v>225285</v>
      </c>
      <c r="DE54" s="31">
        <f t="shared" si="75"/>
        <v>0.25415382463233799</v>
      </c>
      <c r="DF54" s="10">
        <f>+Risultati!AJ53</f>
        <v>216572</v>
      </c>
      <c r="DG54" s="31">
        <f t="shared" si="76"/>
        <v>0.24432430968894825</v>
      </c>
      <c r="DH54" s="10">
        <f t="shared" si="77"/>
        <v>8713</v>
      </c>
      <c r="DI54" s="31">
        <f t="shared" si="78"/>
        <v>9.8295149433897562E-3</v>
      </c>
      <c r="DJ54" s="10">
        <f>+Risultati!AW53</f>
        <v>3586</v>
      </c>
      <c r="DK54" s="31">
        <f t="shared" si="79"/>
        <v>4.0455228494199087E-3</v>
      </c>
      <c r="DL54" s="10">
        <f t="shared" si="50"/>
        <v>886412</v>
      </c>
      <c r="DM54" s="31">
        <f t="shared" si="80"/>
        <v>1</v>
      </c>
      <c r="DO54" s="30"/>
      <c r="DP54" s="30"/>
    </row>
    <row r="55" spans="1:120" x14ac:dyDescent="0.2">
      <c r="A55" s="5"/>
      <c r="B55" s="6" t="str">
        <f>+Risultati!B54</f>
        <v>UNES MAXI S.P.A.</v>
      </c>
      <c r="C55" s="6" t="str">
        <f>+Risultati!C54</f>
        <v>07515280159</v>
      </c>
      <c r="D55" s="26">
        <f>IF(YEAR(Risultati!D54)=1900,(MID(Risultati!$AP$1,29,4)),YEAR(Risultati!D54))</f>
        <v>2023</v>
      </c>
      <c r="E55" s="6" t="str">
        <f>+Risultati!E54</f>
        <v>Dettagliato</v>
      </c>
      <c r="F55" s="8" t="str">
        <f>(LEFT(Risultati!AN54,2)&amp;"-")&amp;VLOOKUP((LEFT(Risultati!AN54,2)),ateco!$B$4:$C$93,2,FALSE)</f>
        <v>47-Commercio al dettaglio (escluso quello di autoveicoli e di motocicli)</v>
      </c>
      <c r="G55" s="8" t="str">
        <f>SUBSTITUTE((Risultati!AN54&amp;"-"&amp;Risultati!AO54),",",";")</f>
        <v>471100-Commercio al dettaglio in esercizi non specializzati con prevalenza di prodotti alimentari e bevande</v>
      </c>
      <c r="I55" s="10">
        <f>+Risultati!G54</f>
        <v>1157714.9450000001</v>
      </c>
      <c r="J55" s="11">
        <f t="shared" si="2"/>
        <v>1</v>
      </c>
      <c r="K55" s="12"/>
      <c r="L55" s="10">
        <f>+Risultati!G54+Risultati!H54</f>
        <v>1157714.9450000001</v>
      </c>
      <c r="M55" s="11">
        <f t="shared" si="3"/>
        <v>0.98712293817656371</v>
      </c>
      <c r="N55" s="12"/>
      <c r="O55" s="10">
        <f>+Risultati!I54+Risultati!J54</f>
        <v>850958.73899999994</v>
      </c>
      <c r="P55" s="11">
        <f t="shared" si="4"/>
        <v>0.72556797710571452</v>
      </c>
      <c r="Q55" s="12"/>
      <c r="R55" s="13">
        <f t="shared" si="51"/>
        <v>306756.20600000012</v>
      </c>
      <c r="S55" s="11">
        <f t="shared" si="6"/>
        <v>0.26155496107084919</v>
      </c>
      <c r="T55" s="12"/>
      <c r="U55" s="10">
        <f>+Risultati!F54-(Risultati!G54+Risultati!H54)</f>
        <v>15102.442000000039</v>
      </c>
      <c r="V55" s="12">
        <f t="shared" si="7"/>
        <v>1.2877061823436318E-2</v>
      </c>
      <c r="W55" s="12"/>
      <c r="X55" s="10">
        <f t="shared" si="52"/>
        <v>321858.64800000016</v>
      </c>
      <c r="Y55" s="12">
        <f t="shared" si="9"/>
        <v>0.27443202289428553</v>
      </c>
      <c r="Z55" s="12"/>
      <c r="AA55" s="10">
        <f>+Risultati!K54</f>
        <v>135339.533</v>
      </c>
      <c r="AB55" s="12">
        <f t="shared" si="10"/>
        <v>0.11539693604491215</v>
      </c>
      <c r="AC55" s="12"/>
      <c r="AD55" s="10">
        <f>+Risultati!L54</f>
        <v>127371.95600000001</v>
      </c>
      <c r="AE55" s="12">
        <f t="shared" si="11"/>
        <v>0.10860340016429172</v>
      </c>
      <c r="AF55" s="12"/>
      <c r="AG55" s="10">
        <f>+Risultati!M54+Risultati!P54+Risultati!Q54</f>
        <v>4822.768</v>
      </c>
      <c r="AH55" s="12">
        <f t="shared" si="12"/>
        <v>4.1121218473204636E-3</v>
      </c>
      <c r="AI55" s="12"/>
      <c r="AJ55" s="13">
        <f t="shared" si="53"/>
        <v>54324.391000000163</v>
      </c>
      <c r="AK55" s="11">
        <f t="shared" si="14"/>
        <v>4.6319564837761187E-2</v>
      </c>
      <c r="AL55" s="12"/>
      <c r="AM55" s="10">
        <f>+Risultati!N54</f>
        <v>16544.045999999998</v>
      </c>
      <c r="AN55" s="12">
        <f t="shared" si="15"/>
        <v>1.4106242099905018E-2</v>
      </c>
      <c r="AO55" s="12"/>
      <c r="AP55" s="10">
        <f t="shared" si="54"/>
        <v>37780.345000000161</v>
      </c>
      <c r="AQ55" s="41">
        <f t="shared" si="16"/>
        <v>3.2213322737856168E-2</v>
      </c>
      <c r="AR55" s="12"/>
      <c r="AS55" s="10">
        <f>+Risultati!O54</f>
        <v>25123.807000000001</v>
      </c>
      <c r="AT55" s="12">
        <f t="shared" si="17"/>
        <v>2.1421755235284553E-2</v>
      </c>
      <c r="AU55" s="12"/>
      <c r="AV55" s="10">
        <f t="shared" si="55"/>
        <v>12656.538000000161</v>
      </c>
      <c r="AW55" s="12">
        <f t="shared" si="19"/>
        <v>1.0791567502571616E-2</v>
      </c>
      <c r="AX55" s="12"/>
      <c r="AY55" s="10">
        <f>+Risultati!R54+Risultati!S54</f>
        <v>1268.2819999999999</v>
      </c>
      <c r="AZ55" s="12">
        <f t="shared" si="20"/>
        <v>1.0813976788357417E-3</v>
      </c>
      <c r="BA55" s="12"/>
      <c r="BB55" s="10">
        <f>+Risultati!T54</f>
        <v>0</v>
      </c>
      <c r="BC55" s="12">
        <f t="shared" si="21"/>
        <v>0</v>
      </c>
      <c r="BD55" s="12"/>
      <c r="BE55" s="10">
        <f>+Risultati!U54</f>
        <v>2691.5309999999999</v>
      </c>
      <c r="BF55" s="12">
        <f t="shared" si="22"/>
        <v>2.2949276075150816E-3</v>
      </c>
      <c r="BG55" s="12"/>
      <c r="BH55" s="10">
        <f t="shared" si="56"/>
        <v>11233.289000000161</v>
      </c>
      <c r="BI55" s="12">
        <f t="shared" si="24"/>
        <v>9.5780375738922768E-3</v>
      </c>
      <c r="BK55" s="16">
        <f>IF(ISNUMBER(Risultati!X54/100),(Risultati!X54/100))</f>
        <v>7.0458735243968396E-2</v>
      </c>
      <c r="BL55" s="16">
        <f>IF(ISNUMBER(Risultati!Y54/100),(Risultati!Y54/100))</f>
        <v>0.11001973044428301</v>
      </c>
      <c r="BM55" s="16">
        <f>IF(ISNUMBER(Risultati!Z54/100),(Risultati!Z54/100))</f>
        <v>0.23057677698517298</v>
      </c>
      <c r="BN55" s="16">
        <f>IF(AND(Risultati!AY54&lt;0,calcoli!AP55&lt;0),-IF(ISNUMBER(Risultati!AA54/100),(Risultati!AA54/100)),IF(ISNUMBER(Risultati!AA54/100),(Risultati!AA54/100)))</f>
        <v>-0.330438976361486</v>
      </c>
      <c r="BO55" s="16">
        <f t="shared" si="0"/>
        <v>9.5780375738922768E-3</v>
      </c>
      <c r="BP55" s="16">
        <f>IF(Risultati!AB54&gt;0,(AV55/Risultati!AB54),"0")</f>
        <v>2.7076653325086287E-2</v>
      </c>
      <c r="BQ55" s="16">
        <f>IF(Risultati!AG54&lt;&gt;0,(BH55/Risultati!AG54),"0")</f>
        <v>4.1914810944831772E-2</v>
      </c>
      <c r="BR55" s="16">
        <f t="shared" si="1"/>
        <v>9.5780375738922768E-3</v>
      </c>
      <c r="BS55" s="14">
        <f>IF(Risultati!AB54&gt;0,(Risultati!G54/Risultati!AB54),"0")</f>
        <v>2.4767472917977997</v>
      </c>
      <c r="BT55" s="15">
        <f>IF(Risultati!AG54&lt;&gt;0,(Risultati!AB54/Risultati!AG54),"0")</f>
        <v>1.7441367070511247</v>
      </c>
      <c r="BU55" s="23">
        <f>IF(AND(Risultati!G54&gt;0,(Risultati!AE54-Risultati!AF54)&gt;=0),((Risultati!AE54-Risultati!AF54)/Risultati!G54*360),"0")</f>
        <v>22.705889833701683</v>
      </c>
      <c r="BV55" s="21">
        <f>IF(OR(E55="abbreviato",Risultati!G54=0),"0",((Risultati!AC54+Risultati!AD54)/Risultati!G54*360))</f>
        <v>16.408357758567242</v>
      </c>
      <c r="BW55" s="21">
        <f>IF(OR(E55="abbreviato",Risultati!G54=0,SUM(Risultati!I54+Risultati!K54+Risultati!M54)=0),"0",(((Risultati!AH54+Risultati!AI54)/(Risultati!I54+Risultati!K54+Risultati!N54)*360)))</f>
        <v>45.271464149785416</v>
      </c>
      <c r="BX55" s="16">
        <f>IF(Risultati!AB54&gt;0,(+Risultati!AG54/Risultati!AB54),"0")</f>
        <v>0.57334955222101613</v>
      </c>
      <c r="BY55" s="22">
        <f>IF(OR(E55="abbreviato",Risultati!G54=0),"0",(((Risultati!AK54-(Risultati!AL54+Risultati!AM54))/Risultati!G54)))</f>
        <v>-1.6188840854948105E-2</v>
      </c>
      <c r="BZ55" s="16">
        <f>IF(Risultati!G54&gt;0,(Risultati!AJ54/Risultati!G54),"0")</f>
        <v>0.15753422877338771</v>
      </c>
      <c r="CA55" s="8"/>
      <c r="CB55" s="10">
        <f>+Risultati!AP54</f>
        <v>0</v>
      </c>
      <c r="CC55" s="31">
        <f t="shared" si="57"/>
        <v>0</v>
      </c>
      <c r="CD55" s="10">
        <f>+Risultati!AQ54</f>
        <v>38074.07</v>
      </c>
      <c r="CE55" s="31">
        <f t="shared" si="58"/>
        <v>8.14534270007371E-2</v>
      </c>
      <c r="CF55" s="10">
        <f>+Risultati!AR54</f>
        <v>268385.185</v>
      </c>
      <c r="CG55" s="31">
        <f t="shared" si="59"/>
        <v>0.57416748654600946</v>
      </c>
      <c r="CH55" s="10">
        <f>+Risultati!AS54</f>
        <v>1352.6320000000001</v>
      </c>
      <c r="CI55" s="31">
        <f t="shared" si="60"/>
        <v>2.8937413801797662E-3</v>
      </c>
      <c r="CJ55" s="10">
        <f t="shared" si="61"/>
        <v>307811.88699999999</v>
      </c>
      <c r="CK55" s="31">
        <f t="shared" si="62"/>
        <v>0.65851465492692629</v>
      </c>
      <c r="CL55" s="10">
        <f>+Risultati!AE54+Risultati!AF54</f>
        <v>73019.3</v>
      </c>
      <c r="CM55" s="31">
        <f t="shared" si="63"/>
        <v>0.1562131976485551</v>
      </c>
      <c r="CN55" s="10">
        <f>+Risultati!AT54</f>
        <v>65338.847999999998</v>
      </c>
      <c r="CO55" s="31">
        <f t="shared" si="64"/>
        <v>0.13978209017003584</v>
      </c>
      <c r="CP55" s="10">
        <f>+Risultati!AU54</f>
        <v>0</v>
      </c>
      <c r="CQ55" s="31">
        <f t="shared" si="65"/>
        <v>0</v>
      </c>
      <c r="CR55" s="10">
        <f>+Risultati!AL54</f>
        <v>18742.062999999998</v>
      </c>
      <c r="CS55" s="31">
        <f t="shared" si="66"/>
        <v>4.0095667744838297E-2</v>
      </c>
      <c r="CT55" s="10">
        <f t="shared" si="67"/>
        <v>157100.21100000001</v>
      </c>
      <c r="CU55" s="31">
        <f t="shared" si="68"/>
        <v>0.33609095556342927</v>
      </c>
      <c r="CV55" s="10">
        <f>+Risultati!AX54</f>
        <v>2521.5189999999998</v>
      </c>
      <c r="CW55" s="31">
        <f t="shared" si="69"/>
        <v>5.3943895096445317E-3</v>
      </c>
      <c r="CX55" s="10">
        <f t="shared" si="70"/>
        <v>467433.61699999997</v>
      </c>
      <c r="CY55" s="31">
        <f t="shared" si="71"/>
        <v>1</v>
      </c>
      <c r="CZ55" s="10">
        <f>+Risultati!AG54</f>
        <v>268002.85499999998</v>
      </c>
      <c r="DA55" s="31">
        <f t="shared" si="72"/>
        <v>0.57334955222101625</v>
      </c>
      <c r="DB55" s="10">
        <f t="shared" si="73"/>
        <v>14957.220999999989</v>
      </c>
      <c r="DC55" s="31">
        <f t="shared" si="74"/>
        <v>3.1998599279178482E-2</v>
      </c>
      <c r="DD55" s="10">
        <f>+Risultati!AV54</f>
        <v>182379.731</v>
      </c>
      <c r="DE55" s="31">
        <f t="shared" si="75"/>
        <v>0.39017247447994313</v>
      </c>
      <c r="DF55" s="10">
        <f>+Risultati!AJ54</f>
        <v>182379.731</v>
      </c>
      <c r="DG55" s="31">
        <f t="shared" si="76"/>
        <v>0.39017247447994313</v>
      </c>
      <c r="DH55" s="10">
        <f t="shared" si="77"/>
        <v>0</v>
      </c>
      <c r="DI55" s="31">
        <f t="shared" si="78"/>
        <v>0</v>
      </c>
      <c r="DJ55" s="10">
        <f>+Risultati!AW54</f>
        <v>2093.81</v>
      </c>
      <c r="DK55" s="31">
        <f t="shared" si="79"/>
        <v>4.4793740198621618E-3</v>
      </c>
      <c r="DL55" s="10">
        <f t="shared" si="50"/>
        <v>467433.61699999997</v>
      </c>
      <c r="DM55" s="31">
        <f t="shared" si="80"/>
        <v>1</v>
      </c>
      <c r="DO55" s="30"/>
      <c r="DP55" s="30"/>
    </row>
    <row r="56" spans="1:120" x14ac:dyDescent="0.2">
      <c r="A56" s="5"/>
      <c r="B56" s="6" t="str">
        <f>+Risultati!B55</f>
        <v>EUROSPIN PUGLIA S.P.A.</v>
      </c>
      <c r="C56" s="6" t="str">
        <f>+Risultati!C55</f>
        <v>03117590756</v>
      </c>
      <c r="D56" s="26">
        <f>IF(YEAR(Risultati!D55)=1900,(MID(Risultati!$AP$1,29,4)),YEAR(Risultati!D55))</f>
        <v>2023</v>
      </c>
      <c r="E56" s="6" t="str">
        <f>+Risultati!E55</f>
        <v>Dettagliato</v>
      </c>
      <c r="F56" s="8" t="str">
        <f>(LEFT(Risultati!AN55,2)&amp;"-")&amp;VLOOKUP((LEFT(Risultati!AN55,2)),ateco!$B$4:$C$93,2,FALSE)</f>
        <v>47-Commercio al dettaglio (escluso quello di autoveicoli e di motocicli)</v>
      </c>
      <c r="G56" s="8" t="str">
        <f>SUBSTITUTE((Risultati!AN55&amp;"-"&amp;Risultati!AO55),",",";")</f>
        <v>471130-Discount di alimentari</v>
      </c>
      <c r="I56" s="10">
        <f>+Risultati!G55</f>
        <v>994027.50100000005</v>
      </c>
      <c r="J56" s="11">
        <f t="shared" si="2"/>
        <v>1</v>
      </c>
      <c r="K56" s="12"/>
      <c r="L56" s="10">
        <f>+Risultati!G55+Risultati!H55</f>
        <v>994027.50100000005</v>
      </c>
      <c r="M56" s="11">
        <f t="shared" si="3"/>
        <v>0.99184912656769852</v>
      </c>
      <c r="N56" s="12"/>
      <c r="O56" s="10">
        <f>+Risultati!I55+Risultati!J55</f>
        <v>744891.37600000005</v>
      </c>
      <c r="P56" s="11">
        <f t="shared" si="4"/>
        <v>0.74325897415328257</v>
      </c>
      <c r="Q56" s="12"/>
      <c r="R56" s="13">
        <f t="shared" si="51"/>
        <v>249136.125</v>
      </c>
      <c r="S56" s="11">
        <f t="shared" si="6"/>
        <v>0.2485901524144159</v>
      </c>
      <c r="T56" s="12"/>
      <c r="U56" s="10">
        <f>+Risultati!F55-(Risultati!G55+Risultati!H55)</f>
        <v>8168.7749999999069</v>
      </c>
      <c r="V56" s="12">
        <f t="shared" si="7"/>
        <v>8.1508734323015065E-3</v>
      </c>
      <c r="W56" s="12"/>
      <c r="X56" s="10">
        <f t="shared" si="52"/>
        <v>257304.89999999991</v>
      </c>
      <c r="Y56" s="12">
        <f t="shared" si="9"/>
        <v>0.25674102584671737</v>
      </c>
      <c r="Z56" s="12"/>
      <c r="AA56" s="10">
        <f>+Risultati!K55</f>
        <v>66865.251999999993</v>
      </c>
      <c r="AB56" s="12">
        <f t="shared" si="10"/>
        <v>6.6718719278098776E-2</v>
      </c>
      <c r="AC56" s="12"/>
      <c r="AD56" s="10">
        <f>+Risultati!L55</f>
        <v>79746.301999999996</v>
      </c>
      <c r="AE56" s="12">
        <f t="shared" si="11"/>
        <v>7.9571540934362847E-2</v>
      </c>
      <c r="AF56" s="12"/>
      <c r="AG56" s="10">
        <f>+Risultati!M55+Risultati!P55+Risultati!Q55</f>
        <v>5002.8609999999999</v>
      </c>
      <c r="AH56" s="12">
        <f t="shared" si="12"/>
        <v>4.9918974155118492E-3</v>
      </c>
      <c r="AI56" s="12"/>
      <c r="AJ56" s="13">
        <f t="shared" si="53"/>
        <v>105690.48499999993</v>
      </c>
      <c r="AK56" s="11">
        <f t="shared" si="14"/>
        <v>0.10545886821874394</v>
      </c>
      <c r="AL56" s="12"/>
      <c r="AM56" s="10">
        <f>+Risultati!N55</f>
        <v>9501.9480000000003</v>
      </c>
      <c r="AN56" s="12">
        <f t="shared" si="15"/>
        <v>9.4811248330761121E-3</v>
      </c>
      <c r="AO56" s="12"/>
      <c r="AP56" s="10">
        <f t="shared" si="54"/>
        <v>96188.536999999924</v>
      </c>
      <c r="AQ56" s="41">
        <f t="shared" si="16"/>
        <v>9.5977743385667821E-2</v>
      </c>
      <c r="AR56" s="12"/>
      <c r="AS56" s="10">
        <f>+Risultati!O55</f>
        <v>16310.588</v>
      </c>
      <c r="AT56" s="12">
        <f t="shared" si="17"/>
        <v>1.6274843950827053E-2</v>
      </c>
      <c r="AU56" s="12"/>
      <c r="AV56" s="10">
        <f t="shared" si="55"/>
        <v>79877.94899999992</v>
      </c>
      <c r="AW56" s="12">
        <f t="shared" si="19"/>
        <v>7.9702899434840768E-2</v>
      </c>
      <c r="AX56" s="12"/>
      <c r="AY56" s="10">
        <f>+Risultati!R55+Risultati!S55</f>
        <v>3282.8620000000001</v>
      </c>
      <c r="AZ56" s="12">
        <f t="shared" si="20"/>
        <v>3.2756677295815457E-3</v>
      </c>
      <c r="BA56" s="12"/>
      <c r="BB56" s="10">
        <f>+Risultati!T55</f>
        <v>1E-3</v>
      </c>
      <c r="BC56" s="12">
        <f t="shared" si="21"/>
        <v>9.9780853705746565E-10</v>
      </c>
      <c r="BD56" s="12"/>
      <c r="BE56" s="10">
        <f>+Risultati!U55</f>
        <v>23137.346000000001</v>
      </c>
      <c r="BF56" s="12">
        <f t="shared" si="22"/>
        <v>2.3086641363652405E-2</v>
      </c>
      <c r="BG56" s="12"/>
      <c r="BH56" s="10">
        <f t="shared" si="56"/>
        <v>60023.465999999913</v>
      </c>
      <c r="BI56" s="12">
        <f t="shared" si="24"/>
        <v>5.9891926798578445E-2</v>
      </c>
      <c r="BK56" s="16">
        <f>IF(ISNUMBER(Risultati!X55/100),(Risultati!X55/100))</f>
        <v>0.116939558857689</v>
      </c>
      <c r="BL56" s="16">
        <f>IF(ISNUMBER(Risultati!Y55/100),(Risultati!Y55/100))</f>
        <v>0.25961009151409703</v>
      </c>
      <c r="BM56" s="16">
        <f>IF(ISNUMBER(Risultati!Z55/100),(Risultati!Z55/100))</f>
        <v>0.48020730560703906</v>
      </c>
      <c r="BN56" s="16">
        <f>IF(AND(Risultati!AY55&lt;0,calcoli!AP56&lt;0),-IF(ISNUMBER(Risultati!AA55/100),(Risultati!AA55/100)),IF(ISNUMBER(Risultati!AA55/100),(Risultati!AA55/100)))</f>
        <v>0.73588939038369405</v>
      </c>
      <c r="BO56" s="16">
        <f t="shared" si="0"/>
        <v>5.9891926798578445E-2</v>
      </c>
      <c r="BP56" s="16">
        <f>IF(Risultati!AB55&gt;0,(AV56/Risultati!AB55),"0")</f>
        <v>0.17783838751334413</v>
      </c>
      <c r="BQ56" s="16">
        <f>IF(Risultati!AG55&lt;&gt;0,(BH56/Risultati!AG55),"0")</f>
        <v>0.20802021188161593</v>
      </c>
      <c r="BR56" s="16">
        <f t="shared" si="1"/>
        <v>5.9891926798578445E-2</v>
      </c>
      <c r="BS56" s="14">
        <f>IF(Risultati!AB55&gt;0,(Risultati!G55/Risultati!AB55),"0")</f>
        <v>2.2130794560305906</v>
      </c>
      <c r="BT56" s="15">
        <f>IF(Risultati!AG55&lt;&gt;0,(Risultati!AB55/Risultati!AG55),"0")</f>
        <v>1.5566316550836448</v>
      </c>
      <c r="BU56" s="23">
        <f>IF(AND(Risultati!G55&gt;0,(Risultati!AE55-Risultati!AF55)&gt;=0),((Risultati!AE55-Risultati!AF55)/Risultati!G55*360),"0")</f>
        <v>17.263290143116471</v>
      </c>
      <c r="BV56" s="21">
        <f>IF(OR(E56="abbreviato",Risultati!G55=0),"0",((Risultati!AC55+Risultati!AD55)/Risultati!G55*360))</f>
        <v>3.089372594732668</v>
      </c>
      <c r="BW56" s="21">
        <f>IF(OR(E56="abbreviato",Risultati!G55=0,SUM(Risultati!I55+Risultati!K55+Risultati!M55)=0),"0",(((Risultati!AH55+Risultati!AI55)/(Risultati!I55+Risultati!K55+Risultati!N55)*360)))</f>
        <v>52.837111908731735</v>
      </c>
      <c r="BX56" s="16">
        <f>IF(Risultati!AB55&gt;0,(+Risultati!AG55/Risultati!AB55),"0")</f>
        <v>0.64241273568747093</v>
      </c>
      <c r="BY56" s="22">
        <f>IF(OR(E56="abbreviato",Risultati!G55=0),"0",(((Risultati!AK55-(Risultati!AL55+Risultati!AM55))/Risultati!G55)))</f>
        <v>-8.6999149332388531E-2</v>
      </c>
      <c r="BZ56" s="16">
        <f>IF(Risultati!G55&gt;0,(Risultati!AJ55/Risultati!G55),"0")</f>
        <v>0.15027046218513024</v>
      </c>
      <c r="CA56" s="8"/>
      <c r="CB56" s="10">
        <f>+Risultati!AP55</f>
        <v>0</v>
      </c>
      <c r="CC56" s="31">
        <f t="shared" si="57"/>
        <v>0</v>
      </c>
      <c r="CD56" s="10">
        <f>+Risultati!AQ55</f>
        <v>9557.3989999999994</v>
      </c>
      <c r="CE56" s="31">
        <f t="shared" si="58"/>
        <v>2.1278368414061929E-2</v>
      </c>
      <c r="CF56" s="10">
        <f>+Risultati!AR55</f>
        <v>233830.68599999999</v>
      </c>
      <c r="CG56" s="31">
        <f t="shared" si="59"/>
        <v>0.52059514133718099</v>
      </c>
      <c r="CH56" s="10">
        <f>+Risultati!AS55</f>
        <v>359.11799999999999</v>
      </c>
      <c r="CI56" s="31">
        <f t="shared" si="60"/>
        <v>7.9953187139315742E-4</v>
      </c>
      <c r="CJ56" s="10">
        <f t="shared" si="61"/>
        <v>243747.20299999998</v>
      </c>
      <c r="CK56" s="31">
        <f t="shared" si="62"/>
        <v>0.54267304162263608</v>
      </c>
      <c r="CL56" s="10">
        <f>+Risultati!AE55+Risultati!AF55</f>
        <v>47667.180999999997</v>
      </c>
      <c r="CM56" s="31">
        <f t="shared" si="63"/>
        <v>0.10612509099785128</v>
      </c>
      <c r="CN56" s="10">
        <f>+Risultati!AT55</f>
        <v>28109.667000000001</v>
      </c>
      <c r="CO56" s="31">
        <f t="shared" si="64"/>
        <v>6.2582701676742694E-2</v>
      </c>
      <c r="CP56" s="10">
        <f>+Risultati!AU55</f>
        <v>79365.055999999997</v>
      </c>
      <c r="CQ56" s="31">
        <f t="shared" si="65"/>
        <v>0.17669649459760509</v>
      </c>
      <c r="CR56" s="10">
        <f>+Risultati!AL55</f>
        <v>47114.491000000002</v>
      </c>
      <c r="CS56" s="31">
        <f t="shared" si="66"/>
        <v>0.10489459497704397</v>
      </c>
      <c r="CT56" s="10">
        <f t="shared" si="67"/>
        <v>202256.39499999996</v>
      </c>
      <c r="CU56" s="31">
        <f t="shared" si="68"/>
        <v>0.45029888224924292</v>
      </c>
      <c r="CV56" s="10">
        <f>+Risultati!AX55</f>
        <v>3156.7330000000002</v>
      </c>
      <c r="CW56" s="31">
        <f t="shared" si="69"/>
        <v>7.0280761281209412E-3</v>
      </c>
      <c r="CX56" s="10">
        <f t="shared" si="70"/>
        <v>449160.33099999995</v>
      </c>
      <c r="CY56" s="31">
        <f t="shared" si="71"/>
        <v>1</v>
      </c>
      <c r="CZ56" s="10">
        <f>+Risultati!AG55</f>
        <v>288546.31699999998</v>
      </c>
      <c r="DA56" s="31">
        <f t="shared" si="72"/>
        <v>0.64241273568747104</v>
      </c>
      <c r="DB56" s="10">
        <f t="shared" si="73"/>
        <v>2437.7239999999583</v>
      </c>
      <c r="DC56" s="31">
        <f t="shared" si="74"/>
        <v>5.4272913963097922E-3</v>
      </c>
      <c r="DD56" s="10">
        <f>+Risultati!AV55</f>
        <v>149372.97200000001</v>
      </c>
      <c r="DE56" s="31">
        <f t="shared" si="75"/>
        <v>0.3325604727101335</v>
      </c>
      <c r="DF56" s="10">
        <f>+Risultati!AJ55</f>
        <v>149372.97200000001</v>
      </c>
      <c r="DG56" s="31">
        <f t="shared" si="76"/>
        <v>0.3325604727101335</v>
      </c>
      <c r="DH56" s="10">
        <f t="shared" si="77"/>
        <v>0</v>
      </c>
      <c r="DI56" s="31">
        <f t="shared" si="78"/>
        <v>0</v>
      </c>
      <c r="DJ56" s="10">
        <f>+Risultati!AW55</f>
        <v>8803.3179999999993</v>
      </c>
      <c r="DK56" s="31">
        <f t="shared" si="79"/>
        <v>1.9599500206085654E-2</v>
      </c>
      <c r="DL56" s="10">
        <f t="shared" si="50"/>
        <v>449160.33099999995</v>
      </c>
      <c r="DM56" s="31">
        <f t="shared" si="80"/>
        <v>1</v>
      </c>
      <c r="DO56" s="30"/>
      <c r="DP56" s="30"/>
    </row>
    <row r="57" spans="1:120" x14ac:dyDescent="0.2">
      <c r="A57" s="5"/>
      <c r="B57" s="6" t="str">
        <f>+Risultati!B56</f>
        <v>MULTICEDI S.R.L.</v>
      </c>
      <c r="C57" s="6" t="str">
        <f>+Risultati!C56</f>
        <v>02023490614</v>
      </c>
      <c r="D57" s="26">
        <f>IF(YEAR(Risultati!D56)=1900,(MID(Risultati!$AP$1,29,4)),YEAR(Risultati!D56))</f>
        <v>2023</v>
      </c>
      <c r="E57" s="6" t="str">
        <f>+Risultati!E56</f>
        <v>Dettagliato</v>
      </c>
      <c r="F57" s="8" t="str">
        <f>(LEFT(Risultati!AN56,2)&amp;"-")&amp;VLOOKUP((LEFT(Risultati!AN56,2)),ateco!$B$4:$C$93,2,FALSE)</f>
        <v>46-Commercio all'ingrosso (escluso quello di autoveicoli e di motocicli)</v>
      </c>
      <c r="G57" s="8" t="str">
        <f>SUBSTITUTE((Risultati!AN56&amp;"-"&amp;Risultati!AO56),",",";")</f>
        <v>463890-Commercio all'ingrosso di altri prodotti alimentari</v>
      </c>
      <c r="I57" s="10">
        <f>+Risultati!G56</f>
        <v>1058033.101</v>
      </c>
      <c r="J57" s="11">
        <f t="shared" si="2"/>
        <v>1</v>
      </c>
      <c r="K57" s="12"/>
      <c r="L57" s="10">
        <f>+Risultati!G56+Risultati!H56</f>
        <v>1058033.101</v>
      </c>
      <c r="M57" s="11">
        <f t="shared" si="3"/>
        <v>0.99449716253410525</v>
      </c>
      <c r="N57" s="12"/>
      <c r="O57" s="10">
        <f>+Risultati!I56+Risultati!J56</f>
        <v>956513.397</v>
      </c>
      <c r="P57" s="11">
        <f t="shared" si="4"/>
        <v>0.89907381758026694</v>
      </c>
      <c r="Q57" s="12"/>
      <c r="R57" s="13">
        <f t="shared" si="51"/>
        <v>101519.70400000003</v>
      </c>
      <c r="S57" s="11">
        <f t="shared" si="6"/>
        <v>9.5423344953838335E-2</v>
      </c>
      <c r="T57" s="12"/>
      <c r="U57" s="10">
        <f>+Risultati!F56-(Risultati!G56+Risultati!H56)</f>
        <v>5854.3999999999069</v>
      </c>
      <c r="V57" s="12">
        <f t="shared" si="7"/>
        <v>5.5028374658947204E-3</v>
      </c>
      <c r="W57" s="12"/>
      <c r="X57" s="10">
        <f t="shared" si="52"/>
        <v>107374.10399999993</v>
      </c>
      <c r="Y57" s="12">
        <f t="shared" si="9"/>
        <v>0.10092618241973306</v>
      </c>
      <c r="Z57" s="12"/>
      <c r="AA57" s="10">
        <f>+Risultati!K56</f>
        <v>59156.95</v>
      </c>
      <c r="AB57" s="12">
        <f t="shared" si="10"/>
        <v>5.5604516402716908E-2</v>
      </c>
      <c r="AC57" s="12"/>
      <c r="AD57" s="10">
        <f>+Risultati!L56</f>
        <v>11034.036</v>
      </c>
      <c r="AE57" s="12">
        <f t="shared" si="11"/>
        <v>1.0371431180109334E-2</v>
      </c>
      <c r="AF57" s="12"/>
      <c r="AG57" s="10">
        <f>+Risultati!M56+Risultati!P56+Risultati!Q56</f>
        <v>2373.9830000000002</v>
      </c>
      <c r="AH57" s="12">
        <f t="shared" si="12"/>
        <v>2.2314229632067087E-3</v>
      </c>
      <c r="AI57" s="12"/>
      <c r="AJ57" s="13">
        <f t="shared" si="53"/>
        <v>34809.134999999937</v>
      </c>
      <c r="AK57" s="11">
        <f t="shared" si="14"/>
        <v>3.2718811873700113E-2</v>
      </c>
      <c r="AL57" s="12"/>
      <c r="AM57" s="10">
        <f>+Risultati!N56</f>
        <v>915.20100000000002</v>
      </c>
      <c r="AN57" s="12">
        <f t="shared" si="15"/>
        <v>8.6024227104816795E-4</v>
      </c>
      <c r="AO57" s="12"/>
      <c r="AP57" s="10">
        <f t="shared" si="54"/>
        <v>33893.933999999936</v>
      </c>
      <c r="AQ57" s="41">
        <f t="shared" si="16"/>
        <v>3.1858569602651945E-2</v>
      </c>
      <c r="AR57" s="12"/>
      <c r="AS57" s="10">
        <f>+Risultati!O56</f>
        <v>5933.4560000000001</v>
      </c>
      <c r="AT57" s="12">
        <f t="shared" si="17"/>
        <v>5.5771460745829369E-3</v>
      </c>
      <c r="AU57" s="12"/>
      <c r="AV57" s="10">
        <f t="shared" si="55"/>
        <v>27960.477999999937</v>
      </c>
      <c r="AW57" s="12">
        <f t="shared" si="19"/>
        <v>2.6281423528069007E-2</v>
      </c>
      <c r="AX57" s="12"/>
      <c r="AY57" s="10">
        <f>+Risultati!R56+Risultati!S56</f>
        <v>102.928</v>
      </c>
      <c r="AZ57" s="12">
        <f t="shared" si="20"/>
        <v>9.6747071380435363E-5</v>
      </c>
      <c r="BA57" s="12"/>
      <c r="BB57" s="10">
        <f>+Risultati!T56</f>
        <v>0</v>
      </c>
      <c r="BC57" s="12">
        <f t="shared" si="21"/>
        <v>0</v>
      </c>
      <c r="BD57" s="12"/>
      <c r="BE57" s="10">
        <f>+Risultati!U56</f>
        <v>8106.9570000000003</v>
      </c>
      <c r="BF57" s="12">
        <f t="shared" si="22"/>
        <v>7.6201261809917637E-3</v>
      </c>
      <c r="BG57" s="12"/>
      <c r="BH57" s="10">
        <f t="shared" si="56"/>
        <v>19956.448999999935</v>
      </c>
      <c r="BI57" s="12">
        <f t="shared" si="24"/>
        <v>1.8758044418457676E-2</v>
      </c>
      <c r="BK57" s="16">
        <f>IF(ISNUMBER(Risultati!X56/100),(Risultati!X56/100))</f>
        <v>0.18919930885359001</v>
      </c>
      <c r="BL57" s="16">
        <f>IF(ISNUMBER(Risultati!Y56/100),(Risultati!Y56/100))</f>
        <v>0.388325813540429</v>
      </c>
      <c r="BM57" s="16">
        <f>IF(ISNUMBER(Risultati!Z56/100),(Risultati!Z56/100))</f>
        <v>0.30699770347675903</v>
      </c>
      <c r="BN57" s="16">
        <f>IF(AND(Risultati!AY56&lt;0,calcoli!AP57&lt;0),-IF(ISNUMBER(Risultati!AA56/100),(Risultati!AA56/100)),IF(ISNUMBER(Risultati!AA56/100),(Risultati!AA56/100)))</f>
        <v>0.23180872568859301</v>
      </c>
      <c r="BO57" s="16">
        <f t="shared" si="0"/>
        <v>1.8758044418457676E-2</v>
      </c>
      <c r="BP57" s="16">
        <f>IF(Risultati!AB56&gt;0,(AV57/Risultati!AB56),"0")</f>
        <v>7.6267763224873927E-2</v>
      </c>
      <c r="BQ57" s="16">
        <f>IF(Risultati!AG56&lt;&gt;0,(BH57/Risultati!AG56),"0")</f>
        <v>0.16516447291811279</v>
      </c>
      <c r="BR57" s="16">
        <f t="shared" si="1"/>
        <v>1.8758044418457676E-2</v>
      </c>
      <c r="BS57" s="14">
        <f>IF(Risultati!AB56&gt;0,(Risultati!G56/Risultati!AB56),"0")</f>
        <v>2.8859956554085846</v>
      </c>
      <c r="BT57" s="15">
        <f>IF(Risultati!AG56&lt;&gt;0,(Risultati!AB56/Risultati!AG56),"0")</f>
        <v>3.0341493286632355</v>
      </c>
      <c r="BU57" s="23">
        <f>IF(AND(Risultati!G56&gt;0,(Risultati!AE56-Risultati!AF56)&gt;=0),((Risultati!AE56-Risultati!AF56)/Risultati!G56*360),"0")</f>
        <v>19.315520639840546</v>
      </c>
      <c r="BV57" s="21">
        <f>IF(OR(E57="abbreviato",Risultati!G56=0),"0",((Risultati!AC56+Risultati!AD56)/Risultati!G56*360))</f>
        <v>49.367249427860756</v>
      </c>
      <c r="BW57" s="21">
        <f>IF(OR(E57="abbreviato",Risultati!G56=0,SUM(Risultati!I56+Risultati!K56+Risultati!M56)=0),"0",(((Risultati!AH56+Risultati!AI56)/(Risultati!I56+Risultati!K56+Risultati!N56)*360)))</f>
        <v>48.90959161431072</v>
      </c>
      <c r="BX57" s="16">
        <f>IF(Risultati!AB56&gt;0,(+Risultati!AG56/Risultati!AB56),"0")</f>
        <v>0.32958166908699021</v>
      </c>
      <c r="BY57" s="22">
        <f>IF(OR(E57="abbreviato",Risultati!G56=0),"0",(((Risultati!AK56-(Risultati!AL56+Risultati!AM56))/Risultati!G56)))</f>
        <v>4.6469030083776175E-2</v>
      </c>
      <c r="BZ57" s="16">
        <f>IF(Risultati!G56&gt;0,(Risultati!AJ56/Risultati!G56),"0")</f>
        <v>0.19386665294888539</v>
      </c>
      <c r="CA57" s="8"/>
      <c r="CB57" s="10">
        <f>+Risultati!AP56</f>
        <v>0</v>
      </c>
      <c r="CC57" s="31">
        <f t="shared" si="57"/>
        <v>0</v>
      </c>
      <c r="CD57" s="10">
        <f>+Risultati!AQ56</f>
        <v>5810.8760000000002</v>
      </c>
      <c r="CE57" s="31">
        <f t="shared" si="58"/>
        <v>1.5850319686848826E-2</v>
      </c>
      <c r="CF57" s="10">
        <f>+Risultati!AR56</f>
        <v>80618.880000000005</v>
      </c>
      <c r="CG57" s="31">
        <f t="shared" si="59"/>
        <v>0.21990402493457151</v>
      </c>
      <c r="CH57" s="10">
        <f>+Risultati!AS56</f>
        <v>34958.065000000002</v>
      </c>
      <c r="CI57" s="31">
        <f t="shared" si="60"/>
        <v>9.5355073122131831E-2</v>
      </c>
      <c r="CJ57" s="10">
        <f t="shared" si="61"/>
        <v>121387.82100000001</v>
      </c>
      <c r="CK57" s="31">
        <f t="shared" si="62"/>
        <v>0.33110941774355218</v>
      </c>
      <c r="CL57" s="10">
        <f>+Risultati!AE56+Risultati!AF56</f>
        <v>56767.945</v>
      </c>
      <c r="CM57" s="31">
        <f t="shared" si="63"/>
        <v>0.15484585735704071</v>
      </c>
      <c r="CN57" s="10">
        <f>+Risultati!AT56</f>
        <v>159486.07399999999</v>
      </c>
      <c r="CO57" s="31">
        <f t="shared" si="64"/>
        <v>0.43502997801027393</v>
      </c>
      <c r="CP57" s="10">
        <f>+Risultati!AU56</f>
        <v>1454.337</v>
      </c>
      <c r="CQ57" s="31">
        <f t="shared" si="65"/>
        <v>3.9669933384248188E-3</v>
      </c>
      <c r="CR57" s="10">
        <f>+Risultati!AL56</f>
        <v>26348.526999999998</v>
      </c>
      <c r="CS57" s="31">
        <f t="shared" si="66"/>
        <v>7.1870846362505028E-2</v>
      </c>
      <c r="CT57" s="10">
        <f t="shared" si="67"/>
        <v>244056.883</v>
      </c>
      <c r="CU57" s="31">
        <f t="shared" si="68"/>
        <v>0.66571367506824453</v>
      </c>
      <c r="CV57" s="10">
        <f>+Risultati!AX56</f>
        <v>1164.684</v>
      </c>
      <c r="CW57" s="31">
        <f t="shared" si="69"/>
        <v>3.1769071882032651E-3</v>
      </c>
      <c r="CX57" s="10">
        <f t="shared" si="70"/>
        <v>366609.38800000004</v>
      </c>
      <c r="CY57" s="31">
        <f t="shared" si="71"/>
        <v>1</v>
      </c>
      <c r="CZ57" s="10">
        <f>+Risultati!AG56</f>
        <v>120827.734</v>
      </c>
      <c r="DA57" s="31">
        <f t="shared" si="72"/>
        <v>0.32958166908699016</v>
      </c>
      <c r="DB57" s="10">
        <f t="shared" si="73"/>
        <v>864.71100000005208</v>
      </c>
      <c r="DC57" s="31">
        <f t="shared" si="74"/>
        <v>2.3586711860200701E-3</v>
      </c>
      <c r="DD57" s="10">
        <f>+Risultati!AV56</f>
        <v>235883.93599999999</v>
      </c>
      <c r="DE57" s="31">
        <f t="shared" si="75"/>
        <v>0.64342033707003699</v>
      </c>
      <c r="DF57" s="10">
        <f>+Risultati!AJ56</f>
        <v>205117.33600000001</v>
      </c>
      <c r="DG57" s="31">
        <f t="shared" si="76"/>
        <v>0.55949831813908701</v>
      </c>
      <c r="DH57" s="10">
        <f t="shared" si="77"/>
        <v>30766.599999999977</v>
      </c>
      <c r="DI57" s="31">
        <f t="shared" si="78"/>
        <v>8.3922018930949943E-2</v>
      </c>
      <c r="DJ57" s="10">
        <f>+Risultati!AW56</f>
        <v>9033.0069999999996</v>
      </c>
      <c r="DK57" s="31">
        <f t="shared" si="79"/>
        <v>2.4639322656952796E-2</v>
      </c>
      <c r="DL57" s="10">
        <f t="shared" si="50"/>
        <v>366609.38800000004</v>
      </c>
      <c r="DM57" s="31">
        <f t="shared" si="80"/>
        <v>1</v>
      </c>
      <c r="DO57" s="30"/>
      <c r="DP57" s="30"/>
    </row>
    <row r="58" spans="1:120" x14ac:dyDescent="0.2">
      <c r="A58" s="5"/>
      <c r="B58" s="6" t="str">
        <f>+Risultati!B57</f>
        <v>PARMALAT S.P.A. IN FORMA ABBREVIATA PLT S.P.A.</v>
      </c>
      <c r="C58" s="6" t="str">
        <f>+Risultati!C57</f>
        <v>04030970968</v>
      </c>
      <c r="D58" s="26">
        <f>IF(YEAR(Risultati!D57)=1900,(MID(Risultati!$AP$1,29,4)),YEAR(Risultati!D57))</f>
        <v>2023</v>
      </c>
      <c r="E58" s="6" t="str">
        <f>+Risultati!E57</f>
        <v>Dettagliato</v>
      </c>
      <c r="F58" s="8" t="str">
        <f>(LEFT(Risultati!AN57,2)&amp;"-")&amp;VLOOKUP((LEFT(Risultati!AN57,2)),ateco!$B$4:$C$93,2,FALSE)</f>
        <v>10-Industrie alimentari</v>
      </c>
      <c r="G58" s="8" t="str">
        <f>SUBSTITUTE((Risultati!AN57&amp;"-"&amp;Risultati!AO57),",",";")</f>
        <v>105110-Trattamento igienico del latte</v>
      </c>
      <c r="I58" s="10">
        <f>+Risultati!G57</f>
        <v>1072324</v>
      </c>
      <c r="J58" s="11">
        <f t="shared" si="2"/>
        <v>1</v>
      </c>
      <c r="K58" s="12"/>
      <c r="L58" s="10">
        <f>+Risultati!G57+Risultati!H57</f>
        <v>1072324</v>
      </c>
      <c r="M58" s="11">
        <f t="shared" si="3"/>
        <v>0.97180795916739771</v>
      </c>
      <c r="N58" s="12"/>
      <c r="O58" s="10">
        <f>+Risultati!I57+Risultati!J57</f>
        <v>606972</v>
      </c>
      <c r="P58" s="11">
        <f t="shared" si="4"/>
        <v>0.55007648862820724</v>
      </c>
      <c r="Q58" s="12"/>
      <c r="R58" s="13">
        <f t="shared" si="51"/>
        <v>465352</v>
      </c>
      <c r="S58" s="11">
        <f t="shared" si="6"/>
        <v>0.42173147053919047</v>
      </c>
      <c r="T58" s="12"/>
      <c r="U58" s="10">
        <f>+Risultati!F57-(Risultati!G57+Risultati!H57)</f>
        <v>31108</v>
      </c>
      <c r="V58" s="12">
        <f t="shared" si="7"/>
        <v>2.819204083260228E-2</v>
      </c>
      <c r="W58" s="12"/>
      <c r="X58" s="10">
        <f t="shared" si="52"/>
        <v>496460</v>
      </c>
      <c r="Y58" s="12">
        <f t="shared" si="9"/>
        <v>0.44992351137179276</v>
      </c>
      <c r="Z58" s="12"/>
      <c r="AA58" s="10">
        <f>+Risultati!K57</f>
        <v>246291</v>
      </c>
      <c r="AB58" s="12">
        <f t="shared" si="10"/>
        <v>0.22320451101653749</v>
      </c>
      <c r="AC58" s="12"/>
      <c r="AD58" s="10">
        <f>+Risultati!L57</f>
        <v>109565</v>
      </c>
      <c r="AE58" s="12">
        <f t="shared" si="11"/>
        <v>9.9294745847501253E-2</v>
      </c>
      <c r="AF58" s="12"/>
      <c r="AG58" s="10">
        <f>+Risultati!M57+Risultati!P57+Risultati!Q57</f>
        <v>4012</v>
      </c>
      <c r="AH58" s="12">
        <f t="shared" si="12"/>
        <v>3.6359286299472919E-3</v>
      </c>
      <c r="AI58" s="12"/>
      <c r="AJ58" s="13">
        <f t="shared" si="53"/>
        <v>136592</v>
      </c>
      <c r="AK58" s="11">
        <f t="shared" si="14"/>
        <v>0.12378832587780669</v>
      </c>
      <c r="AL58" s="12"/>
      <c r="AM58" s="10">
        <f>+Risultati!N57</f>
        <v>7000</v>
      </c>
      <c r="AN58" s="12">
        <f t="shared" si="15"/>
        <v>6.3438435716926828E-3</v>
      </c>
      <c r="AO58" s="12"/>
      <c r="AP58" s="10">
        <f t="shared" si="54"/>
        <v>129592</v>
      </c>
      <c r="AQ58" s="41">
        <f t="shared" si="16"/>
        <v>0.11744448230611401</v>
      </c>
      <c r="AR58" s="12"/>
      <c r="AS58" s="10">
        <f>+Risultati!O57</f>
        <v>28958</v>
      </c>
      <c r="AT58" s="12">
        <f t="shared" si="17"/>
        <v>2.6243574592725243E-2</v>
      </c>
      <c r="AU58" s="12"/>
      <c r="AV58" s="10">
        <f t="shared" si="55"/>
        <v>100634</v>
      </c>
      <c r="AW58" s="12">
        <f t="shared" si="19"/>
        <v>9.1200907713388776E-2</v>
      </c>
      <c r="AX58" s="12"/>
      <c r="AY58" s="10">
        <f>+Risultati!R57+Risultati!S57</f>
        <v>-15531</v>
      </c>
      <c r="AZ58" s="12">
        <f t="shared" si="20"/>
        <v>-1.4075176358851292E-2</v>
      </c>
      <c r="BA58" s="12"/>
      <c r="BB58" s="10">
        <f>+Risultati!T57</f>
        <v>5600</v>
      </c>
      <c r="BC58" s="12">
        <f t="shared" si="21"/>
        <v>5.0750748573541457E-3</v>
      </c>
      <c r="BD58" s="12"/>
      <c r="BE58" s="10">
        <f>+Risultati!U57</f>
        <v>28538</v>
      </c>
      <c r="BF58" s="12">
        <f t="shared" si="22"/>
        <v>2.5862943978423682E-2</v>
      </c>
      <c r="BG58" s="12"/>
      <c r="BH58" s="10">
        <f t="shared" si="56"/>
        <v>62165</v>
      </c>
      <c r="BI58" s="12">
        <f t="shared" si="24"/>
        <v>5.6337862233467942E-2</v>
      </c>
      <c r="BK58" s="16">
        <f>IF(ISNUMBER(Risultati!X57/100),(Risultati!X57/100))</f>
        <v>2.8624927217038597E-2</v>
      </c>
      <c r="BL58" s="16">
        <f>IF(ISNUMBER(Risultati!Y57/100),(Risultati!Y57/100))</f>
        <v>0.19297558587774599</v>
      </c>
      <c r="BM58" s="16">
        <f>IF(ISNUMBER(Risultati!Z57/100),(Risultati!Z57/100))</f>
        <v>0.22035834919016398</v>
      </c>
      <c r="BN58" s="16">
        <f>IF(AND(Risultati!AY57&lt;0,calcoli!AP58&lt;0),-IF(ISNUMBER(Risultati!AA57/100),(Risultati!AA57/100)),IF(ISNUMBER(Risultati!AA57/100),(Risultati!AA57/100)))</f>
        <v>0.52637158135261797</v>
      </c>
      <c r="BO58" s="16">
        <f t="shared" si="0"/>
        <v>5.6337862233467942E-2</v>
      </c>
      <c r="BP58" s="16">
        <f>IF(Risultati!AB57&gt;0,(AV58/Risultati!AB57),"0")</f>
        <v>2.5760932281877855E-2</v>
      </c>
      <c r="BQ58" s="16">
        <f>IF(Risultati!AG57&lt;&gt;0,(BH58/Risultati!AG57),"0")</f>
        <v>1.8541556619826358E-2</v>
      </c>
      <c r="BR58" s="16">
        <f t="shared" si="1"/>
        <v>5.6337862233467942E-2</v>
      </c>
      <c r="BS58" s="14">
        <f>IF(Risultati!AB57&gt;0,(Risultati!G57/Risultati!AB57),"0")</f>
        <v>0.27450032740656627</v>
      </c>
      <c r="BT58" s="15">
        <f>IF(Risultati!AG57&lt;&gt;0,(Risultati!AB57/Risultati!AG57),"0")</f>
        <v>1.1651542216677171</v>
      </c>
      <c r="BU58" s="23">
        <f>IF(AND(Risultati!G57&gt;0,(Risultati!AE57-Risultati!AF57)&gt;=0),((Risultati!AE57-Risultati!AF57)/Risultati!G57*360),"0")</f>
        <v>22.816835210253618</v>
      </c>
      <c r="BV58" s="21">
        <f>IF(OR(E58="abbreviato",Risultati!G57=0),"0",((Risultati!AC57+Risultati!AD57)/Risultati!G57*360))</f>
        <v>26.039406000425242</v>
      </c>
      <c r="BW58" s="21">
        <f>IF(OR(E58="abbreviato",Risultati!G57=0,SUM(Risultati!I57+Risultati!K57+Risultati!M57)=0),"0",(((Risultati!AH57+Risultati!AI57)/(Risultati!I57+Risultati!K57+Risultati!N57)*360)))</f>
        <v>84.138913104636345</v>
      </c>
      <c r="BX58" s="16">
        <f>IF(Risultati!AB57&gt;0,(+Risultati!AG57/Risultati!AB57),"0")</f>
        <v>0.85825548361200865</v>
      </c>
      <c r="BY58" s="22">
        <f>IF(OR(E58="abbreviato",Risultati!G57=0),"0",(((Risultati!AK57-(Risultati!AL57+Risultati!AM57))/Risultati!G57)))</f>
        <v>-2.9840794386771164E-2</v>
      </c>
      <c r="BZ58" s="16">
        <f>IF(Risultati!G57&gt;0,(Risultati!AJ57/Risultati!G57),"0")</f>
        <v>0.36594443470443633</v>
      </c>
      <c r="CA58" s="8"/>
      <c r="CB58" s="10">
        <f>+Risultati!AP57</f>
        <v>0</v>
      </c>
      <c r="CC58" s="31">
        <f t="shared" si="57"/>
        <v>0</v>
      </c>
      <c r="CD58" s="10">
        <f>+Risultati!AQ57</f>
        <v>355750</v>
      </c>
      <c r="CE58" s="31">
        <f t="shared" si="58"/>
        <v>9.1067150856351198E-2</v>
      </c>
      <c r="CF58" s="10">
        <f>+Risultati!AR57</f>
        <v>168129</v>
      </c>
      <c r="CG58" s="31">
        <f t="shared" si="59"/>
        <v>4.3038732273583895E-2</v>
      </c>
      <c r="CH58" s="10">
        <f>+Risultati!AS57</f>
        <v>2976446</v>
      </c>
      <c r="CI58" s="31">
        <f t="shared" si="60"/>
        <v>0.76192960477240512</v>
      </c>
      <c r="CJ58" s="10">
        <f t="shared" si="61"/>
        <v>3500325</v>
      </c>
      <c r="CK58" s="31">
        <f t="shared" si="62"/>
        <v>0.89603548790234022</v>
      </c>
      <c r="CL58" s="10">
        <f>+Risultati!AE57+Risultati!AF57</f>
        <v>67964</v>
      </c>
      <c r="CM58" s="31">
        <f t="shared" si="63"/>
        <v>1.7397857598878574E-2</v>
      </c>
      <c r="CN58" s="10">
        <f>+Risultati!AT57</f>
        <v>156241</v>
      </c>
      <c r="CO58" s="31">
        <f t="shared" si="64"/>
        <v>3.99955663160848E-2</v>
      </c>
      <c r="CP58" s="10">
        <f>+Risultati!AU57</f>
        <v>163629</v>
      </c>
      <c r="CQ58" s="31">
        <f t="shared" si="65"/>
        <v>4.1886793612013751E-2</v>
      </c>
      <c r="CR58" s="10">
        <f>+Risultati!AL57</f>
        <v>17599</v>
      </c>
      <c r="CS58" s="31">
        <f t="shared" si="66"/>
        <v>4.5051041122162331E-3</v>
      </c>
      <c r="CT58" s="10">
        <f t="shared" si="67"/>
        <v>405433</v>
      </c>
      <c r="CU58" s="31">
        <f t="shared" si="68"/>
        <v>0.10378532163919335</v>
      </c>
      <c r="CV58" s="10">
        <f>+Risultati!AX57</f>
        <v>700</v>
      </c>
      <c r="CW58" s="31">
        <f t="shared" si="69"/>
        <v>1.7919045846646759E-4</v>
      </c>
      <c r="CX58" s="10">
        <f t="shared" si="70"/>
        <v>3906458</v>
      </c>
      <c r="CY58" s="31">
        <f t="shared" si="71"/>
        <v>1</v>
      </c>
      <c r="CZ58" s="10">
        <f>+Risultati!AG57</f>
        <v>3352739</v>
      </c>
      <c r="DA58" s="31">
        <f t="shared" si="72"/>
        <v>0.85825548361200865</v>
      </c>
      <c r="DB58" s="10">
        <f t="shared" si="73"/>
        <v>130569</v>
      </c>
      <c r="DC58" s="31">
        <f t="shared" si="74"/>
        <v>3.342388424501172E-2</v>
      </c>
      <c r="DD58" s="10">
        <f>+Risultati!AV57</f>
        <v>417150</v>
      </c>
      <c r="DE58" s="31">
        <f t="shared" si="75"/>
        <v>0.10678471392755279</v>
      </c>
      <c r="DF58" s="10">
        <f>+Risultati!AJ57</f>
        <v>392411</v>
      </c>
      <c r="DG58" s="31">
        <f t="shared" si="76"/>
        <v>0.10045186713897858</v>
      </c>
      <c r="DH58" s="10">
        <f t="shared" si="77"/>
        <v>24739</v>
      </c>
      <c r="DI58" s="31">
        <f t="shared" si="78"/>
        <v>6.3328467885742021E-3</v>
      </c>
      <c r="DJ58" s="10">
        <f>+Risultati!AW57</f>
        <v>6000</v>
      </c>
      <c r="DK58" s="31">
        <f t="shared" si="79"/>
        <v>1.535918215426865E-3</v>
      </c>
      <c r="DL58" s="10">
        <f t="shared" si="50"/>
        <v>3906458</v>
      </c>
      <c r="DM58" s="31">
        <f t="shared" si="80"/>
        <v>1</v>
      </c>
      <c r="DO58" s="30"/>
      <c r="DP58" s="30"/>
    </row>
    <row r="59" spans="1:120" x14ac:dyDescent="0.2">
      <c r="A59" s="5"/>
      <c r="B59" s="6" t="str">
        <f>+Risultati!B58</f>
        <v>COOP LOMBARDIA SOCIETA' COOPERATIVA</v>
      </c>
      <c r="C59" s="6" t="str">
        <f>+Risultati!C58</f>
        <v>00856620158</v>
      </c>
      <c r="D59" s="26">
        <f>IF(YEAR(Risultati!D58)=1900,(MID(Risultati!$AP$1,29,4)),YEAR(Risultati!D58))</f>
        <v>2023</v>
      </c>
      <c r="E59" s="6" t="str">
        <f>+Risultati!E58</f>
        <v>Dettagliato</v>
      </c>
      <c r="F59" s="8" t="str">
        <f>(LEFT(Risultati!AN58,2)&amp;"-")&amp;VLOOKUP((LEFT(Risultati!AN58,2)),ateco!$B$4:$C$93,2,FALSE)</f>
        <v>47-Commercio al dettaglio (escluso quello di autoveicoli e di motocicli)</v>
      </c>
      <c r="G59" s="8" t="str">
        <f>SUBSTITUTE((Risultati!AN58&amp;"-"&amp;Risultati!AO58),",",";")</f>
        <v>471100-Commercio al dettaglio in esercizi non specializzati con prevalenza di prodotti alimentari e bevande</v>
      </c>
      <c r="I59" s="10">
        <f>+Risultati!G58</f>
        <v>1010282.877</v>
      </c>
      <c r="J59" s="11">
        <f t="shared" si="2"/>
        <v>1.0001553271607428</v>
      </c>
      <c r="K59" s="12"/>
      <c r="L59" s="10">
        <f>+Risultati!G58+Risultati!H58</f>
        <v>1010125.977</v>
      </c>
      <c r="M59" s="11">
        <f t="shared" si="3"/>
        <v>0.95633032843912891</v>
      </c>
      <c r="N59" s="12"/>
      <c r="O59" s="10">
        <f>+Risultati!I58+Risultati!J58</f>
        <v>735573.90999999992</v>
      </c>
      <c r="P59" s="11">
        <f t="shared" si="4"/>
        <v>0.69639990947540409</v>
      </c>
      <c r="Q59" s="12"/>
      <c r="R59" s="13">
        <f t="shared" si="51"/>
        <v>274552.06700000004</v>
      </c>
      <c r="S59" s="11">
        <f t="shared" si="6"/>
        <v>0.25993041896372471</v>
      </c>
      <c r="T59" s="12"/>
      <c r="U59" s="10">
        <f>+Risultati!F58-(Risultati!G58+Risultati!H58)</f>
        <v>46126.185000000056</v>
      </c>
      <c r="V59" s="12">
        <f t="shared" si="7"/>
        <v>4.3669671560871141E-2</v>
      </c>
      <c r="W59" s="12"/>
      <c r="X59" s="10">
        <f t="shared" si="52"/>
        <v>320678.25200000009</v>
      </c>
      <c r="Y59" s="12">
        <f t="shared" si="9"/>
        <v>0.30360009052459586</v>
      </c>
      <c r="Z59" s="12"/>
      <c r="AA59" s="10">
        <f>+Risultati!K58</f>
        <v>118521.56200000001</v>
      </c>
      <c r="AB59" s="12">
        <f t="shared" si="10"/>
        <v>0.11220953316259343</v>
      </c>
      <c r="AC59" s="12"/>
      <c r="AD59" s="10">
        <f>+Risultati!L58</f>
        <v>142262.94</v>
      </c>
      <c r="AE59" s="12">
        <f t="shared" si="11"/>
        <v>0.13468653141559203</v>
      </c>
      <c r="AF59" s="12"/>
      <c r="AG59" s="10">
        <f>+Risultati!M58+Risultati!P58+Risultati!Q58</f>
        <v>17888.131000000001</v>
      </c>
      <c r="AH59" s="12">
        <f t="shared" si="12"/>
        <v>1.6935473974442859E-2</v>
      </c>
      <c r="AI59" s="12"/>
      <c r="AJ59" s="13">
        <f t="shared" si="53"/>
        <v>42005.619000000086</v>
      </c>
      <c r="AK59" s="11">
        <f t="shared" si="14"/>
        <v>3.9768551971967547E-2</v>
      </c>
      <c r="AL59" s="12"/>
      <c r="AM59" s="10">
        <f>+Risultati!N58</f>
        <v>23590.772000000001</v>
      </c>
      <c r="AN59" s="12">
        <f t="shared" si="15"/>
        <v>2.2334412982721073E-2</v>
      </c>
      <c r="AO59" s="12"/>
      <c r="AP59" s="10">
        <f t="shared" si="54"/>
        <v>18414.847000000085</v>
      </c>
      <c r="AQ59" s="41">
        <f t="shared" si="16"/>
        <v>1.7434138989246475E-2</v>
      </c>
      <c r="AR59" s="12"/>
      <c r="AS59" s="10">
        <f>+Risultati!O58</f>
        <v>33532.885999999999</v>
      </c>
      <c r="AT59" s="12">
        <f t="shared" si="17"/>
        <v>3.1747046024034553E-2</v>
      </c>
      <c r="AU59" s="12"/>
      <c r="AV59" s="10">
        <f t="shared" si="55"/>
        <v>-15118.038999999913</v>
      </c>
      <c r="AW59" s="12">
        <f t="shared" si="19"/>
        <v>-1.4312907034788075E-2</v>
      </c>
      <c r="AX59" s="12"/>
      <c r="AY59" s="10">
        <f>+Risultati!R58+Risultati!S58</f>
        <v>17889.914000000001</v>
      </c>
      <c r="AZ59" s="12">
        <f t="shared" si="20"/>
        <v>1.6937162018324937E-2</v>
      </c>
      <c r="BA59" s="12"/>
      <c r="BB59" s="10">
        <f>+Risultati!T58</f>
        <v>0</v>
      </c>
      <c r="BC59" s="12">
        <f t="shared" si="21"/>
        <v>0</v>
      </c>
      <c r="BD59" s="12"/>
      <c r="BE59" s="10">
        <f>+Risultati!U58</f>
        <v>369.21100000000001</v>
      </c>
      <c r="BF59" s="12">
        <f t="shared" si="22"/>
        <v>3.4954816026213254E-4</v>
      </c>
      <c r="BG59" s="12"/>
      <c r="BH59" s="10">
        <f t="shared" si="56"/>
        <v>2402.6640000000871</v>
      </c>
      <c r="BI59" s="12">
        <f t="shared" si="24"/>
        <v>2.2747068232747314E-3</v>
      </c>
      <c r="BK59" s="16">
        <f>IF(ISNUMBER(Risultati!X58/100),(Risultati!X58/100))</f>
        <v>1.9511495053221799E-2</v>
      </c>
      <c r="BL59" s="16">
        <f>IF(ISNUMBER(Risultati!Y58/100),(Risultati!Y58/100))</f>
        <v>4.93654435807203E-2</v>
      </c>
      <c r="BM59" s="16">
        <f>IF(ISNUMBER(Risultati!Z58/100),(Risultati!Z58/100))</f>
        <v>9.741637888173249E-2</v>
      </c>
      <c r="BN59" s="16">
        <f>IF(AND(Risultati!AY58&lt;0,calcoli!AP59&lt;0),-IF(ISNUMBER(Risultati!AA58/100),(Risultati!AA58/100)),IF(ISNUMBER(Risultati!AA58/100),(Risultati!AA58/100)))</f>
        <v>0.70264411779418001</v>
      </c>
      <c r="BO59" s="16">
        <f t="shared" si="0"/>
        <v>2.2747068232747314E-3</v>
      </c>
      <c r="BP59" s="16">
        <f>IF(Risultati!AB58&gt;0,(AV59/Risultati!AB58),"0")</f>
        <v>-7.7508541159780316E-3</v>
      </c>
      <c r="BQ59" s="16">
        <f>IF(Risultati!AG58&lt;&gt;0,(BH59/Risultati!AG58),"0")</f>
        <v>3.5408044561228082E-3</v>
      </c>
      <c r="BR59" s="16">
        <f t="shared" si="1"/>
        <v>2.2747068232747314E-3</v>
      </c>
      <c r="BS59" s="14">
        <f>IF(Risultati!AB58&gt;0,(Risultati!G58/Risultati!AB58),"0")</f>
        <v>0.51796103949048033</v>
      </c>
      <c r="BT59" s="15">
        <f>IF(Risultati!AG58&lt;&gt;0,(Risultati!AB58/Risultati!AG58),"0")</f>
        <v>2.8744502766032056</v>
      </c>
      <c r="BU59" s="23">
        <f>IF(AND(Risultati!G58&gt;0,(Risultati!AE58-Risultati!AF58)&gt;=0),((Risultati!AE58-Risultati!AF58)/Risultati!G58*360),"0")</f>
        <v>20.573571534460442</v>
      </c>
      <c r="BV59" s="21">
        <f>IF(OR(E59="abbreviato",Risultati!G58=0),"0",((Risultati!AC58+Risultati!AD58)/Risultati!G58*360))</f>
        <v>1.4253433694491886E-3</v>
      </c>
      <c r="BW59" s="21">
        <f>IF(OR(E59="abbreviato",Risultati!G58=0,SUM(Risultati!I58+Risultati!K58+Risultati!M58)=0),"0",(((Risultati!AH58+Risultati!AI58)/(Risultati!I58+Risultati!K58+Risultati!N58)*360)))</f>
        <v>15.349936684103875</v>
      </c>
      <c r="BX59" s="16">
        <f>IF(Risultati!AB58&gt;0,(+Risultati!AG58/Risultati!AB58),"0")</f>
        <v>0.34789260685410767</v>
      </c>
      <c r="BY59" s="22">
        <f>IF(OR(E59="abbreviato",Risultati!G58=0),"0",(((Risultati!AK58-(Risultati!AL58+Risultati!AM58))/Risultati!G58)))</f>
        <v>0.89850745436320012</v>
      </c>
      <c r="BZ59" s="16">
        <f>IF(Risultati!G58&gt;0,(Risultati!AJ58/Risultati!G58),"0")</f>
        <v>0.96858380091103924</v>
      </c>
      <c r="CA59" s="8"/>
      <c r="CB59" s="10">
        <f>+Risultati!AP58</f>
        <v>0</v>
      </c>
      <c r="CC59" s="31">
        <f t="shared" si="57"/>
        <v>0</v>
      </c>
      <c r="CD59" s="10">
        <f>+Risultati!AQ58</f>
        <v>5808.49</v>
      </c>
      <c r="CE59" s="31">
        <f t="shared" si="58"/>
        <v>2.977949628527714E-3</v>
      </c>
      <c r="CF59" s="10">
        <f>+Risultati!AR58</f>
        <v>513519.86700000003</v>
      </c>
      <c r="CG59" s="31">
        <f t="shared" si="59"/>
        <v>0.26327604888262718</v>
      </c>
      <c r="CH59" s="10">
        <f>+Risultati!AS58</f>
        <v>741560.02500000002</v>
      </c>
      <c r="CI59" s="31">
        <f t="shared" si="60"/>
        <v>0.38018975688685913</v>
      </c>
      <c r="CJ59" s="10">
        <f t="shared" si="61"/>
        <v>1260888.382</v>
      </c>
      <c r="CK59" s="31">
        <f t="shared" si="62"/>
        <v>0.64644375539801402</v>
      </c>
      <c r="CL59" s="10">
        <f>+Risultati!AE58+Risultati!AF58</f>
        <v>62450.007999999994</v>
      </c>
      <c r="CM59" s="31">
        <f t="shared" si="63"/>
        <v>3.201743966592914E-2</v>
      </c>
      <c r="CN59" s="10">
        <f>+Risultati!AT58</f>
        <v>107325.905</v>
      </c>
      <c r="CO59" s="31">
        <f t="shared" si="64"/>
        <v>5.5024823822740626E-2</v>
      </c>
      <c r="CP59" s="10">
        <f>+Risultati!AU58</f>
        <v>480223.96100000001</v>
      </c>
      <c r="CQ59" s="31">
        <f t="shared" si="65"/>
        <v>0.24620560012499934</v>
      </c>
      <c r="CR59" s="10">
        <f>+Risultati!AL58</f>
        <v>33390.781000000003</v>
      </c>
      <c r="CS59" s="31">
        <f t="shared" si="66"/>
        <v>1.711909013791885E-2</v>
      </c>
      <c r="CT59" s="10">
        <f t="shared" si="67"/>
        <v>683390.65500000003</v>
      </c>
      <c r="CU59" s="31">
        <f t="shared" si="68"/>
        <v>0.35036695375158794</v>
      </c>
      <c r="CV59" s="10">
        <f>+Risultati!AX58</f>
        <v>6220.7110000000002</v>
      </c>
      <c r="CW59" s="31">
        <f t="shared" si="69"/>
        <v>3.1892908503979977E-3</v>
      </c>
      <c r="CX59" s="10">
        <f t="shared" si="70"/>
        <v>1950499.7480000001</v>
      </c>
      <c r="CY59" s="31">
        <f t="shared" si="71"/>
        <v>1</v>
      </c>
      <c r="CZ59" s="10">
        <f>+Risultati!AG58</f>
        <v>678564.44200000004</v>
      </c>
      <c r="DA59" s="31">
        <f t="shared" si="72"/>
        <v>0.34789260685410761</v>
      </c>
      <c r="DB59" s="10">
        <f t="shared" si="73"/>
        <v>30543.113000000063</v>
      </c>
      <c r="DC59" s="31">
        <f t="shared" si="74"/>
        <v>1.565912173601576E-2</v>
      </c>
      <c r="DD59" s="10">
        <f>+Risultati!AV58</f>
        <v>1233748.04</v>
      </c>
      <c r="DE59" s="31">
        <f t="shared" si="75"/>
        <v>0.63252919733266222</v>
      </c>
      <c r="DF59" s="10">
        <f>+Risultati!AJ58</f>
        <v>978543.62899999996</v>
      </c>
      <c r="DG59" s="31">
        <f t="shared" si="76"/>
        <v>0.50168867235352232</v>
      </c>
      <c r="DH59" s="10">
        <f t="shared" si="77"/>
        <v>255204.41100000008</v>
      </c>
      <c r="DI59" s="31">
        <f t="shared" si="78"/>
        <v>0.13084052497913989</v>
      </c>
      <c r="DJ59" s="10">
        <f>+Risultati!AW58</f>
        <v>7644.1530000000002</v>
      </c>
      <c r="DK59" s="31">
        <f t="shared" si="79"/>
        <v>3.9190740772143901E-3</v>
      </c>
      <c r="DL59" s="10">
        <f t="shared" si="50"/>
        <v>1950499.7480000001</v>
      </c>
      <c r="DM59" s="31">
        <f t="shared" si="80"/>
        <v>1</v>
      </c>
      <c r="DO59" s="30"/>
      <c r="DP59" s="30"/>
    </row>
    <row r="60" spans="1:120" x14ac:dyDescent="0.2">
      <c r="A60" s="5"/>
      <c r="B60" s="6" t="str">
        <f>+Risultati!B59</f>
        <v>UNIGRA' S.P.A.</v>
      </c>
      <c r="C60" s="6" t="str">
        <f>+Risultati!C59</f>
        <v>02403240399</v>
      </c>
      <c r="D60" s="26">
        <f>IF(YEAR(Risultati!D59)=1900,(MID(Risultati!$AP$1,29,4)),YEAR(Risultati!D59))</f>
        <v>2023</v>
      </c>
      <c r="E60" s="6" t="str">
        <f>+Risultati!E59</f>
        <v>Dettagliato</v>
      </c>
      <c r="F60" s="8" t="str">
        <f>(LEFT(Risultati!AN59,2)&amp;"-")&amp;VLOOKUP((LEFT(Risultati!AN59,2)),ateco!$B$4:$C$93,2,FALSE)</f>
        <v>10-Industrie alimentari</v>
      </c>
      <c r="G60" s="8" t="str">
        <f>SUBSTITUTE((Risultati!AN59&amp;"-"&amp;Risultati!AO59),",",";")</f>
        <v>104120-Produzione di olio raffinato o grezzo da semi oleosi o frutti oleosi prevalentemente non di produzione propria</v>
      </c>
      <c r="I60" s="10">
        <f>+Risultati!G59</f>
        <v>947278.875</v>
      </c>
      <c r="J60" s="11">
        <f t="shared" si="2"/>
        <v>1.0418610759401681</v>
      </c>
      <c r="K60" s="12"/>
      <c r="L60" s="10">
        <f>+Risultati!G59+Risultati!H59</f>
        <v>909218.03</v>
      </c>
      <c r="M60" s="11">
        <f t="shared" si="3"/>
        <v>0.90104066071283917</v>
      </c>
      <c r="N60" s="12"/>
      <c r="O60" s="10">
        <f>+Risultati!I59+Risultati!J59</f>
        <v>657399.75899999996</v>
      </c>
      <c r="P60" s="11">
        <f t="shared" si="4"/>
        <v>0.65148720511165092</v>
      </c>
      <c r="Q60" s="12"/>
      <c r="R60" s="13">
        <f t="shared" si="51"/>
        <v>251818.27100000007</v>
      </c>
      <c r="S60" s="11">
        <f t="shared" si="6"/>
        <v>0.24955345560118825</v>
      </c>
      <c r="T60" s="12"/>
      <c r="U60" s="10">
        <f>+Risultati!F59-(Risultati!G59+Risultati!H59)</f>
        <v>99857.441999999923</v>
      </c>
      <c r="V60" s="12">
        <f t="shared" si="7"/>
        <v>9.8959339287160802E-2</v>
      </c>
      <c r="W60" s="12"/>
      <c r="X60" s="10">
        <f t="shared" si="52"/>
        <v>351675.71299999999</v>
      </c>
      <c r="Y60" s="12">
        <f t="shared" si="9"/>
        <v>0.34851279488834908</v>
      </c>
      <c r="Z60" s="12"/>
      <c r="AA60" s="10">
        <f>+Risultati!K59</f>
        <v>194657.86900000001</v>
      </c>
      <c r="AB60" s="12">
        <f t="shared" si="10"/>
        <v>0.19290714560149375</v>
      </c>
      <c r="AC60" s="12"/>
      <c r="AD60" s="10">
        <f>+Risultati!L59</f>
        <v>46660.209000000003</v>
      </c>
      <c r="AE60" s="12">
        <f t="shared" si="11"/>
        <v>4.6240554145587247E-2</v>
      </c>
      <c r="AF60" s="12"/>
      <c r="AG60" s="10">
        <f>+Risultati!M59+Risultati!P59+Risultati!Q59</f>
        <v>32640.512999999999</v>
      </c>
      <c r="AH60" s="12">
        <f t="shared" si="12"/>
        <v>3.2346949168535533E-2</v>
      </c>
      <c r="AI60" s="12"/>
      <c r="AJ60" s="13">
        <f t="shared" si="53"/>
        <v>77717.121999999974</v>
      </c>
      <c r="AK60" s="11">
        <f t="shared" si="14"/>
        <v>7.701814597273253E-2</v>
      </c>
      <c r="AL60" s="12"/>
      <c r="AM60" s="10">
        <f>+Risultati!N59</f>
        <v>8763.482</v>
      </c>
      <c r="AN60" s="12">
        <f t="shared" si="15"/>
        <v>8.6846645698667822E-3</v>
      </c>
      <c r="AO60" s="12"/>
      <c r="AP60" s="10">
        <f t="shared" si="54"/>
        <v>68953.63999999997</v>
      </c>
      <c r="AQ60" s="41">
        <f t="shared" si="16"/>
        <v>6.8333481402865742E-2</v>
      </c>
      <c r="AR60" s="12"/>
      <c r="AS60" s="10">
        <f>+Risultati!O59</f>
        <v>19467.333999999999</v>
      </c>
      <c r="AT60" s="12">
        <f t="shared" si="17"/>
        <v>1.9292247745766235E-2</v>
      </c>
      <c r="AU60" s="12"/>
      <c r="AV60" s="10">
        <f t="shared" si="55"/>
        <v>49486.305999999968</v>
      </c>
      <c r="AW60" s="12">
        <f t="shared" si="19"/>
        <v>4.9041233657099503E-2</v>
      </c>
      <c r="AX60" s="12"/>
      <c r="AY60" s="10">
        <f>+Risultati!R59+Risultati!S59</f>
        <v>-20104.194</v>
      </c>
      <c r="AZ60" s="12">
        <f t="shared" si="20"/>
        <v>-1.9923379923360181E-2</v>
      </c>
      <c r="BA60" s="12"/>
      <c r="BB60" s="10">
        <f>+Risultati!T59</f>
        <v>0</v>
      </c>
      <c r="BC60" s="12">
        <f t="shared" si="21"/>
        <v>0</v>
      </c>
      <c r="BD60" s="12"/>
      <c r="BE60" s="10">
        <f>+Risultati!U59</f>
        <v>9444.0570000000007</v>
      </c>
      <c r="BF60" s="12">
        <f t="shared" si="22"/>
        <v>9.3591185813700975E-3</v>
      </c>
      <c r="BG60" s="12"/>
      <c r="BH60" s="10">
        <f t="shared" si="56"/>
        <v>19938.054999999968</v>
      </c>
      <c r="BI60" s="12">
        <f t="shared" si="24"/>
        <v>1.9758735152369224E-2</v>
      </c>
      <c r="BK60" s="16">
        <f>IF(ISNUMBER(Risultati!X59/100),(Risultati!X59/100))</f>
        <v>-8.5950045505032491E-2</v>
      </c>
      <c r="BL60" s="16">
        <f>IF(ISNUMBER(Risultati!Y59/100),(Risultati!Y59/100))</f>
        <v>0.33426356522586403</v>
      </c>
      <c r="BM60" s="16">
        <f>IF(ISNUMBER(Risultati!Z59/100),(Risultati!Z59/100))</f>
        <v>0.78745414133471503</v>
      </c>
      <c r="BN60" s="16">
        <f>IF(AND(Risultati!AY59&lt;0,calcoli!AP60&lt;0),-IF(ISNUMBER(Risultati!AA59/100),(Risultati!AA59/100)),IF(ISNUMBER(Risultati!AA59/100),(Risultati!AA59/100)))</f>
        <v>-1.1412463386950801E-3</v>
      </c>
      <c r="BO60" s="16">
        <f t="shared" si="0"/>
        <v>1.9758735152369224E-2</v>
      </c>
      <c r="BP60" s="16">
        <f>IF(Risultati!AB59&gt;0,(AV60/Risultati!AB59),"0")</f>
        <v>5.3969206135281632E-2</v>
      </c>
      <c r="BQ60" s="16">
        <f>IF(Risultati!AG59&lt;&gt;0,(BH60/Risultati!AG59),"0")</f>
        <v>5.0542237007840413E-2</v>
      </c>
      <c r="BR60" s="16">
        <f t="shared" si="1"/>
        <v>1.9758735152369224E-2</v>
      </c>
      <c r="BS60" s="14">
        <f>IF(Risultati!AB59&gt;0,(Risultati!G59/Risultati!AB59),"0")</f>
        <v>1.0330916369565495</v>
      </c>
      <c r="BT60" s="15">
        <f>IF(Risultati!AG59&lt;&gt;0,(Risultati!AB59/Risultati!AG59),"0")</f>
        <v>2.3243989828977032</v>
      </c>
      <c r="BU60" s="23">
        <f>IF(AND(Risultati!G59&gt;0,(Risultati!AE59-Risultati!AF59)&gt;=0),((Risultati!AE59-Risultati!AF59)/Risultati!G59*360),"0")</f>
        <v>74.917557049923658</v>
      </c>
      <c r="BV60" s="21">
        <f>IF(OR(E60="abbreviato",Risultati!G59=0),"0",((Risultati!AC59+Risultati!AD59)/Risultati!G59*360))</f>
        <v>37.385591017217607</v>
      </c>
      <c r="BW60" s="21">
        <f>IF(OR(E60="abbreviato",Risultati!G59=0,SUM(Risultati!I59+Risultati!K59+Risultati!M59)=0),"0",(((Risultati!AH59+Risultati!AI59)/(Risultati!I59+Risultati!K59+Risultati!N59)*360)))</f>
        <v>64.842354388465409</v>
      </c>
      <c r="BX60" s="16">
        <f>IF(Risultati!AB59&gt;0,(+Risultati!AG59/Risultati!AB59),"0")</f>
        <v>0.43021873927743415</v>
      </c>
      <c r="BY60" s="22">
        <f>IF(OR(E60="abbreviato",Risultati!G59=0),"0",(((Risultati!AK59-(Risultati!AL59+Risultati!AM59))/Risultati!G59)))</f>
        <v>0.23311187742891448</v>
      </c>
      <c r="BZ60" s="16">
        <f>IF(Risultati!G59&gt;0,(Risultati!AJ59/Risultati!G59),"0")</f>
        <v>0.41479653496970464</v>
      </c>
      <c r="CA60" s="8"/>
      <c r="CB60" s="10">
        <f>+Risultati!AP59</f>
        <v>0</v>
      </c>
      <c r="CC60" s="31">
        <f t="shared" si="57"/>
        <v>0</v>
      </c>
      <c r="CD60" s="10">
        <f>+Risultati!AQ59</f>
        <v>36134.788999999997</v>
      </c>
      <c r="CE60" s="31">
        <f t="shared" si="58"/>
        <v>3.9408192565351476E-2</v>
      </c>
      <c r="CF60" s="10">
        <f>+Risultati!AR59</f>
        <v>148350.39199999999</v>
      </c>
      <c r="CG60" s="31">
        <f t="shared" si="59"/>
        <v>0.16178926117657355</v>
      </c>
      <c r="CH60" s="10">
        <f>+Risultati!AS59</f>
        <v>257603.15700000001</v>
      </c>
      <c r="CI60" s="31">
        <f t="shared" si="60"/>
        <v>0.28093909214464957</v>
      </c>
      <c r="CJ60" s="10">
        <f t="shared" si="61"/>
        <v>442088.33799999999</v>
      </c>
      <c r="CK60" s="31">
        <f t="shared" si="62"/>
        <v>0.48213654588657462</v>
      </c>
      <c r="CL60" s="10">
        <f>+Risultati!AE59+Risultati!AF59</f>
        <v>197132.83100000001</v>
      </c>
      <c r="CM60" s="31">
        <f t="shared" si="63"/>
        <v>0.21499083791525364</v>
      </c>
      <c r="CN60" s="10">
        <f>+Risultati!AT59</f>
        <v>187621.7</v>
      </c>
      <c r="CO60" s="31">
        <f t="shared" si="64"/>
        <v>0.20461810592110019</v>
      </c>
      <c r="CP60" s="10">
        <f>+Risultati!AU59</f>
        <v>4875.7359999999999</v>
      </c>
      <c r="CQ60" s="31">
        <f t="shared" si="65"/>
        <v>5.3174225864669241E-3</v>
      </c>
      <c r="CR60" s="10">
        <f>+Risultati!AL59</f>
        <v>81419.398000000001</v>
      </c>
      <c r="CS60" s="31">
        <f t="shared" si="66"/>
        <v>8.879507543102004E-2</v>
      </c>
      <c r="CT60" s="10">
        <f t="shared" si="67"/>
        <v>471049.66500000004</v>
      </c>
      <c r="CU60" s="31">
        <f t="shared" si="68"/>
        <v>0.51372144185384083</v>
      </c>
      <c r="CV60" s="10">
        <f>+Risultati!AX59</f>
        <v>3797.96</v>
      </c>
      <c r="CW60" s="31">
        <f t="shared" si="69"/>
        <v>4.1420122595845878E-3</v>
      </c>
      <c r="CX60" s="10">
        <f t="shared" si="70"/>
        <v>916935.96299999999</v>
      </c>
      <c r="CY60" s="31">
        <f t="shared" si="71"/>
        <v>1</v>
      </c>
      <c r="CZ60" s="10">
        <f>+Risultati!AG59</f>
        <v>394483.03399999999</v>
      </c>
      <c r="DA60" s="31">
        <f t="shared" si="72"/>
        <v>0.43021873927743415</v>
      </c>
      <c r="DB60" s="10">
        <f t="shared" si="73"/>
        <v>34360.521000000015</v>
      </c>
      <c r="DC60" s="31">
        <f t="shared" si="74"/>
        <v>3.7473195933531094E-2</v>
      </c>
      <c r="DD60" s="10">
        <f>+Risultati!AV59</f>
        <v>485486.82199999999</v>
      </c>
      <c r="DE60" s="31">
        <f t="shared" si="75"/>
        <v>0.52946644214019123</v>
      </c>
      <c r="DF60" s="10">
        <f>+Risultati!AJ59</f>
        <v>392927.995</v>
      </c>
      <c r="DG60" s="31">
        <f t="shared" si="76"/>
        <v>0.4285228313157568</v>
      </c>
      <c r="DH60" s="10">
        <f t="shared" si="77"/>
        <v>92558.82699999999</v>
      </c>
      <c r="DI60" s="31">
        <f t="shared" si="78"/>
        <v>0.10094361082443441</v>
      </c>
      <c r="DJ60" s="10">
        <f>+Risultati!AW59</f>
        <v>2605.5859999999998</v>
      </c>
      <c r="DK60" s="31">
        <f t="shared" si="79"/>
        <v>2.8416226488435811E-3</v>
      </c>
      <c r="DL60" s="10">
        <f t="shared" si="50"/>
        <v>916935.96299999999</v>
      </c>
      <c r="DM60" s="31">
        <f t="shared" si="80"/>
        <v>1</v>
      </c>
      <c r="DO60" s="30"/>
      <c r="DP60" s="30"/>
    </row>
    <row r="61" spans="1:120" x14ac:dyDescent="0.2">
      <c r="A61" s="5"/>
      <c r="B61" s="6" t="str">
        <f>+Risultati!B60</f>
        <v>NESTLE' ITALIANA S.P.A. IN FORMA ABBREVIATA NE.IT. S.P.A.</v>
      </c>
      <c r="C61" s="6" t="str">
        <f>+Risultati!C60</f>
        <v>00777280157</v>
      </c>
      <c r="D61" s="26">
        <f>IF(YEAR(Risultati!D60)=1900,(MID(Risultati!$AP$1,29,4)),YEAR(Risultati!D60))</f>
        <v>2023</v>
      </c>
      <c r="E61" s="6" t="str">
        <f>+Risultati!E60</f>
        <v>Dettagliato</v>
      </c>
      <c r="F61" s="8" t="str">
        <f>(LEFT(Risultati!AN60,2)&amp;"-")&amp;VLOOKUP((LEFT(Risultati!AN60,2)),ateco!$B$4:$C$93,2,FALSE)</f>
        <v>10-Industrie alimentari</v>
      </c>
      <c r="G61" s="8" t="str">
        <f>SUBSTITUTE((Risultati!AN60&amp;"-"&amp;Risultati!AO60),",",";")</f>
        <v>100000-Industrie alimentari</v>
      </c>
      <c r="I61" s="10">
        <f>+Risultati!G60</f>
        <v>971754</v>
      </c>
      <c r="J61" s="11">
        <f t="shared" si="2"/>
        <v>1</v>
      </c>
      <c r="K61" s="12"/>
      <c r="L61" s="10">
        <f>+Risultati!G60+Risultati!H60</f>
        <v>971754</v>
      </c>
      <c r="M61" s="11">
        <f t="shared" si="3"/>
        <v>0.9997335426583801</v>
      </c>
      <c r="N61" s="12"/>
      <c r="O61" s="10">
        <f>+Risultati!I60+Risultati!J60</f>
        <v>475580</v>
      </c>
      <c r="P61" s="11">
        <f t="shared" si="4"/>
        <v>0.489273291612355</v>
      </c>
      <c r="Q61" s="12"/>
      <c r="R61" s="13">
        <f t="shared" si="51"/>
        <v>496174</v>
      </c>
      <c r="S61" s="11">
        <f t="shared" si="6"/>
        <v>0.5104602510460251</v>
      </c>
      <c r="T61" s="12"/>
      <c r="U61" s="10">
        <f>+Risultati!F60-(Risultati!G60+Risultati!H60)</f>
        <v>259</v>
      </c>
      <c r="V61" s="12">
        <f t="shared" si="7"/>
        <v>2.664573416199166E-4</v>
      </c>
      <c r="W61" s="12"/>
      <c r="X61" s="10">
        <f t="shared" si="52"/>
        <v>496433</v>
      </c>
      <c r="Y61" s="12">
        <f t="shared" si="9"/>
        <v>0.510726708387645</v>
      </c>
      <c r="Z61" s="12"/>
      <c r="AA61" s="10">
        <f>+Risultati!K60</f>
        <v>280567</v>
      </c>
      <c r="AB61" s="12">
        <f t="shared" si="10"/>
        <v>0.28864531647210478</v>
      </c>
      <c r="AC61" s="12"/>
      <c r="AD61" s="10">
        <f>+Risultati!L60</f>
        <v>132370</v>
      </c>
      <c r="AE61" s="12">
        <f t="shared" si="11"/>
        <v>0.13618130621709792</v>
      </c>
      <c r="AF61" s="12"/>
      <c r="AG61" s="10">
        <f>+Risultati!M60+Risultati!P60+Risultati!Q60</f>
        <v>10562</v>
      </c>
      <c r="AH61" s="12">
        <f t="shared" si="12"/>
        <v>1.0866109815403703E-2</v>
      </c>
      <c r="AI61" s="12"/>
      <c r="AJ61" s="13">
        <f t="shared" si="53"/>
        <v>72934</v>
      </c>
      <c r="AK61" s="11">
        <f t="shared" si="14"/>
        <v>7.5033975883038603E-2</v>
      </c>
      <c r="AL61" s="12"/>
      <c r="AM61" s="10">
        <f>+Risultati!N60</f>
        <v>0</v>
      </c>
      <c r="AN61" s="12">
        <f t="shared" si="15"/>
        <v>0</v>
      </c>
      <c r="AO61" s="12"/>
      <c r="AP61" s="10">
        <f t="shared" si="54"/>
        <v>72934</v>
      </c>
      <c r="AQ61" s="41">
        <f t="shared" si="16"/>
        <v>7.5033975883038603E-2</v>
      </c>
      <c r="AR61" s="12"/>
      <c r="AS61" s="10">
        <f>+Risultati!O60</f>
        <v>25605</v>
      </c>
      <c r="AT61" s="12">
        <f t="shared" si="17"/>
        <v>2.6342240278679402E-2</v>
      </c>
      <c r="AU61" s="12"/>
      <c r="AV61" s="10">
        <f t="shared" si="55"/>
        <v>47329</v>
      </c>
      <c r="AW61" s="12">
        <f t="shared" si="19"/>
        <v>4.8691735604359201E-2</v>
      </c>
      <c r="AX61" s="12"/>
      <c r="AY61" s="10">
        <f>+Risultati!R60+Risultati!S60</f>
        <v>14434</v>
      </c>
      <c r="AZ61" s="12">
        <f t="shared" si="20"/>
        <v>1.4849595632980217E-2</v>
      </c>
      <c r="BA61" s="12"/>
      <c r="BB61" s="10">
        <f>+Risultati!T60</f>
        <v>15617</v>
      </c>
      <c r="BC61" s="12">
        <f t="shared" si="21"/>
        <v>1.6066657544703621E-2</v>
      </c>
      <c r="BD61" s="12"/>
      <c r="BE61" s="10">
        <f>+Risultati!U60</f>
        <v>11793</v>
      </c>
      <c r="BF61" s="12">
        <f t="shared" si="22"/>
        <v>1.2132553782716897E-2</v>
      </c>
      <c r="BG61" s="12"/>
      <c r="BH61" s="10">
        <f t="shared" si="56"/>
        <v>65587</v>
      </c>
      <c r="BI61" s="12">
        <f t="shared" si="24"/>
        <v>6.7475434999326137E-2</v>
      </c>
      <c r="BK61" s="16">
        <f>IF(ISNUMBER(Risultati!X60/100),(Risultati!X60/100))</f>
        <v>7.4844484165258296E-2</v>
      </c>
      <c r="BL61" s="16">
        <f>IF(ISNUMBER(Risultati!Y60/100),(Risultati!Y60/100))</f>
        <v>0.154099396438488</v>
      </c>
      <c r="BM61" s="16">
        <f>IF(ISNUMBER(Risultati!Z60/100),(Risultati!Z60/100))</f>
        <v>0</v>
      </c>
      <c r="BN61" s="16">
        <f>IF(AND(Risultati!AY60&lt;0,calcoli!AP61&lt;0),-IF(ISNUMBER(Risultati!AA60/100),(Risultati!AA60/100)),IF(ISNUMBER(Risultati!AA60/100),(Risultati!AA60/100)))</f>
        <v>0</v>
      </c>
      <c r="BO61" s="16">
        <f t="shared" si="0"/>
        <v>6.7475434999326137E-2</v>
      </c>
      <c r="BP61" s="16">
        <f>IF(Risultati!AB60&gt;0,(AV61/Risultati!AB60),"0")</f>
        <v>7.5400308744740741E-2</v>
      </c>
      <c r="BQ61" s="16">
        <f>IF(Risultati!AG60&lt;&gt;0,(BH61/Risultati!AG60),"0")</f>
        <v>0.56391759668460784</v>
      </c>
      <c r="BR61" s="16">
        <f t="shared" si="1"/>
        <v>6.7475434999326137E-2</v>
      </c>
      <c r="BS61" s="14">
        <f>IF(Risultati!AB60&gt;0,(Risultati!G60/Risultati!AB60),"0")</f>
        <v>1.5481111289893468</v>
      </c>
      <c r="BT61" s="15">
        <f>IF(Risultati!AG60&lt;&gt;0,(Risultati!AB60/Risultati!AG60),"0")</f>
        <v>5.3969958557598057</v>
      </c>
      <c r="BU61" s="23">
        <f>IF(AND(Risultati!G60&gt;0,(Risultati!AE60-Risultati!AF60)&gt;=0),((Risultati!AE60-Risultati!AF60)/Risultati!G60*360),"0")</f>
        <v>27.083150673935997</v>
      </c>
      <c r="BV61" s="21">
        <f>IF(OR(E61="abbreviato",Risultati!G60=0),"0",((Risultati!AC60+Risultati!AD60)/Risultati!G60*360))</f>
        <v>62.142394062694876</v>
      </c>
      <c r="BW61" s="21">
        <f>IF(OR(E61="abbreviato",Risultati!G60=0,SUM(Risultati!I60+Risultati!K60+Risultati!M60)=0),"0",(((Risultati!AH60+Risultati!AI60)/(Risultati!I60+Risultati!K60+Risultati!N60)*360)))</f>
        <v>110.32807112902651</v>
      </c>
      <c r="BX61" s="16">
        <f>IF(Risultati!AB60&gt;0,(+Risultati!AG60/Risultati!AB60),"0")</f>
        <v>0.1852882653101865</v>
      </c>
      <c r="BY61" s="22">
        <f>IF(OR(E61="abbreviato",Risultati!G60=0),"0",(((Risultati!AK60-(Risultati!AL60+Risultati!AM60))/Risultati!G60)))</f>
        <v>2.7460653622213029E-2</v>
      </c>
      <c r="BZ61" s="16">
        <f>IF(Risultati!G60&gt;0,(Risultati!AJ60/Risultati!G60),"0")</f>
        <v>0.41631729841091469</v>
      </c>
      <c r="CA61" s="8"/>
      <c r="CB61" s="10">
        <f>+Risultati!AP60</f>
        <v>0</v>
      </c>
      <c r="CC61" s="31">
        <f t="shared" si="57"/>
        <v>0</v>
      </c>
      <c r="CD61" s="10">
        <f>+Risultati!AQ60</f>
        <v>13166</v>
      </c>
      <c r="CE61" s="31">
        <f t="shared" si="58"/>
        <v>2.0974887805219986E-2</v>
      </c>
      <c r="CF61" s="10">
        <f>+Risultati!AR60</f>
        <v>138152</v>
      </c>
      <c r="CG61" s="31">
        <f t="shared" si="59"/>
        <v>0.22009134893412968</v>
      </c>
      <c r="CH61" s="10">
        <f>+Risultati!AS60</f>
        <v>90161</v>
      </c>
      <c r="CI61" s="31">
        <f t="shared" si="60"/>
        <v>0.14363640129169369</v>
      </c>
      <c r="CJ61" s="10">
        <f t="shared" si="61"/>
        <v>241479</v>
      </c>
      <c r="CK61" s="31">
        <f t="shared" si="62"/>
        <v>0.38470263803104332</v>
      </c>
      <c r="CL61" s="10">
        <f>+Risultati!AE60+Risultati!AF60</f>
        <v>73106</v>
      </c>
      <c r="CM61" s="31">
        <f t="shared" si="63"/>
        <v>0.11646590824004346</v>
      </c>
      <c r="CN61" s="10">
        <f>+Risultati!AT60</f>
        <v>313115</v>
      </c>
      <c r="CO61" s="31">
        <f t="shared" si="64"/>
        <v>0.4988266743985611</v>
      </c>
      <c r="CP61" s="10">
        <f>+Risultati!AU60</f>
        <v>0</v>
      </c>
      <c r="CQ61" s="31">
        <f t="shared" si="65"/>
        <v>0</v>
      </c>
      <c r="CR61" s="10">
        <f>+Risultati!AL60</f>
        <v>3</v>
      </c>
      <c r="CS61" s="31">
        <f t="shared" si="66"/>
        <v>4.7793303520932669E-6</v>
      </c>
      <c r="CT61" s="10">
        <f t="shared" si="67"/>
        <v>386224</v>
      </c>
      <c r="CU61" s="31">
        <f t="shared" si="68"/>
        <v>0.61529736196895668</v>
      </c>
      <c r="CV61" s="10">
        <f>+Risultati!AX60</f>
        <v>0</v>
      </c>
      <c r="CW61" s="31">
        <f t="shared" si="69"/>
        <v>0</v>
      </c>
      <c r="CX61" s="10">
        <f t="shared" si="70"/>
        <v>627703</v>
      </c>
      <c r="CY61" s="31">
        <f t="shared" si="71"/>
        <v>1</v>
      </c>
      <c r="CZ61" s="10">
        <f>+Risultati!AG60</f>
        <v>116306</v>
      </c>
      <c r="DA61" s="31">
        <f t="shared" si="72"/>
        <v>0.1852882653101865</v>
      </c>
      <c r="DB61" s="10">
        <f t="shared" si="73"/>
        <v>19168</v>
      </c>
      <c r="DC61" s="31">
        <f t="shared" si="74"/>
        <v>3.0536734729641246E-2</v>
      </c>
      <c r="DD61" s="10">
        <f>+Risultati!AV60</f>
        <v>491189</v>
      </c>
      <c r="DE61" s="31">
        <f t="shared" si="75"/>
        <v>0.78251816543811326</v>
      </c>
      <c r="DF61" s="10">
        <f>+Risultati!AJ60</f>
        <v>404558</v>
      </c>
      <c r="DG61" s="31">
        <f t="shared" si="76"/>
        <v>0.64450544286071598</v>
      </c>
      <c r="DH61" s="10">
        <f t="shared" si="77"/>
        <v>86631</v>
      </c>
      <c r="DI61" s="31">
        <f t="shared" si="78"/>
        <v>0.13801272257739727</v>
      </c>
      <c r="DJ61" s="10">
        <f>+Risultati!AW60</f>
        <v>1040</v>
      </c>
      <c r="DK61" s="31">
        <f t="shared" si="79"/>
        <v>1.6568345220589992E-3</v>
      </c>
      <c r="DL61" s="10">
        <f t="shared" si="50"/>
        <v>627703</v>
      </c>
      <c r="DM61" s="31">
        <f t="shared" si="80"/>
        <v>1</v>
      </c>
      <c r="DO61" s="30"/>
      <c r="DP61" s="30"/>
    </row>
    <row r="62" spans="1:120" x14ac:dyDescent="0.2">
      <c r="A62" s="5"/>
      <c r="B62" s="6" t="str">
        <f>+Risultati!B61</f>
        <v>BIG S.R.L.</v>
      </c>
      <c r="C62" s="6" t="str">
        <f>+Risultati!C61</f>
        <v>04492200961</v>
      </c>
      <c r="D62" s="26">
        <f>IF(YEAR(Risultati!D61)=1900,(MID(Risultati!$AP$1,29,4)),YEAR(Risultati!D61))</f>
        <v>2023</v>
      </c>
      <c r="E62" s="6" t="str">
        <f>+Risultati!E61</f>
        <v>Dettagliato</v>
      </c>
      <c r="F62" s="8" t="str">
        <f>(LEFT(Risultati!AN61,2)&amp;"-")&amp;VLOOKUP((LEFT(Risultati!AN61,2)),ateco!$B$4:$C$93,2,FALSE)</f>
        <v>46-Commercio all'ingrosso (escluso quello di autoveicoli e di motocicli)</v>
      </c>
      <c r="G62" s="8" t="str">
        <f>SUBSTITUTE((Risultati!AN61&amp;"-"&amp;Risultati!AO61),",",";")</f>
        <v>463310-Commercio all'ingrosso di prodotti lattiero-caseari e di uova</v>
      </c>
      <c r="I62" s="10">
        <f>+Risultati!G61</f>
        <v>904542</v>
      </c>
      <c r="J62" s="11">
        <f t="shared" si="2"/>
        <v>1</v>
      </c>
      <c r="K62" s="12"/>
      <c r="L62" s="10">
        <f>+Risultati!G61+Risultati!H61</f>
        <v>904542</v>
      </c>
      <c r="M62" s="11">
        <f t="shared" si="3"/>
        <v>0.99858140682492347</v>
      </c>
      <c r="N62" s="12"/>
      <c r="O62" s="10">
        <f>+Risultati!I61+Risultati!J61</f>
        <v>670459</v>
      </c>
      <c r="P62" s="11">
        <f t="shared" si="4"/>
        <v>0.74016230472264577</v>
      </c>
      <c r="Q62" s="12"/>
      <c r="R62" s="13">
        <f t="shared" si="51"/>
        <v>234083</v>
      </c>
      <c r="S62" s="11">
        <f t="shared" si="6"/>
        <v>0.25841910210227781</v>
      </c>
      <c r="T62" s="12"/>
      <c r="U62" s="10">
        <f>+Risultati!F61-(Risultati!G61+Risultati!H61)</f>
        <v>1285</v>
      </c>
      <c r="V62" s="12">
        <f t="shared" si="7"/>
        <v>1.4185931750764771E-3</v>
      </c>
      <c r="W62" s="12"/>
      <c r="X62" s="10">
        <f t="shared" si="52"/>
        <v>235368</v>
      </c>
      <c r="Y62" s="12">
        <f t="shared" si="9"/>
        <v>0.25983769527735429</v>
      </c>
      <c r="Z62" s="12"/>
      <c r="AA62" s="10">
        <f>+Risultati!K61</f>
        <v>144736</v>
      </c>
      <c r="AB62" s="12">
        <f t="shared" si="10"/>
        <v>0.15978326987382802</v>
      </c>
      <c r="AC62" s="12"/>
      <c r="AD62" s="10">
        <f>+Risultati!L61</f>
        <v>52080</v>
      </c>
      <c r="AE62" s="12">
        <f t="shared" si="11"/>
        <v>5.7494422224111226E-2</v>
      </c>
      <c r="AF62" s="12"/>
      <c r="AG62" s="10">
        <f>+Risultati!M61+Risultati!P61+Risultati!Q61</f>
        <v>583</v>
      </c>
      <c r="AH62" s="12">
        <f t="shared" si="12"/>
        <v>6.4361075569617596E-4</v>
      </c>
      <c r="AI62" s="12"/>
      <c r="AJ62" s="13">
        <f t="shared" si="53"/>
        <v>37969</v>
      </c>
      <c r="AK62" s="11">
        <f t="shared" si="14"/>
        <v>4.1916392423718876E-2</v>
      </c>
      <c r="AL62" s="12"/>
      <c r="AM62" s="10">
        <f>+Risultati!N61</f>
        <v>912</v>
      </c>
      <c r="AN62" s="12">
        <f t="shared" si="15"/>
        <v>1.0068147670581689E-3</v>
      </c>
      <c r="AO62" s="12"/>
      <c r="AP62" s="10">
        <f t="shared" si="54"/>
        <v>37057</v>
      </c>
      <c r="AQ62" s="41">
        <f t="shared" si="16"/>
        <v>4.0909577656660708E-2</v>
      </c>
      <c r="AR62" s="12"/>
      <c r="AS62" s="10">
        <f>+Risultati!O61</f>
        <v>9311</v>
      </c>
      <c r="AT62" s="12">
        <f t="shared" si="17"/>
        <v>1.0279004710612513E-2</v>
      </c>
      <c r="AU62" s="12"/>
      <c r="AV62" s="10">
        <f t="shared" si="55"/>
        <v>27746</v>
      </c>
      <c r="AW62" s="12">
        <f t="shared" si="19"/>
        <v>3.0630572946048196E-2</v>
      </c>
      <c r="AX62" s="12"/>
      <c r="AY62" s="10">
        <f>+Risultati!R61+Risultati!S61</f>
        <v>4638</v>
      </c>
      <c r="AZ62" s="12">
        <f t="shared" si="20"/>
        <v>5.1201829929997666E-3</v>
      </c>
      <c r="BA62" s="12"/>
      <c r="BB62" s="10">
        <f>+Risultati!T61</f>
        <v>0</v>
      </c>
      <c r="BC62" s="12">
        <f t="shared" si="21"/>
        <v>0</v>
      </c>
      <c r="BD62" s="12"/>
      <c r="BE62" s="10">
        <f>+Risultati!U61</f>
        <v>7649</v>
      </c>
      <c r="BF62" s="12">
        <f t="shared" si="22"/>
        <v>8.444217273276244E-3</v>
      </c>
      <c r="BG62" s="12"/>
      <c r="BH62" s="10">
        <f t="shared" si="56"/>
        <v>24735</v>
      </c>
      <c r="BI62" s="12">
        <f t="shared" si="24"/>
        <v>2.7306538665771721E-2</v>
      </c>
      <c r="BK62" s="16">
        <f>IF(ISNUMBER(Risultati!X61/100),(Risultati!X61/100))</f>
        <v>5.5690485221603005E-2</v>
      </c>
      <c r="BL62" s="16">
        <f>IF(ISNUMBER(Risultati!Y61/100),(Risultati!Y61/100))</f>
        <v>0.172506675653955</v>
      </c>
      <c r="BM62" s="16">
        <f>IF(ISNUMBER(Risultati!Z61/100),(Risultati!Z61/100))</f>
        <v>0.15755002380257699</v>
      </c>
      <c r="BN62" s="16">
        <f>IF(AND(Risultati!AY61&lt;0,calcoli!AP62&lt;0),-IF(ISNUMBER(Risultati!AA61/100),(Risultati!AA61/100)),IF(ISNUMBER(Risultati!AA61/100),(Risultati!AA61/100)))</f>
        <v>-8.2020412207689297E-2</v>
      </c>
      <c r="BO62" s="16">
        <f t="shared" si="0"/>
        <v>2.7306538665771721E-2</v>
      </c>
      <c r="BP62" s="16">
        <f>IF(Risultati!AB61&gt;0,(AV62/Risultati!AB61),"0")</f>
        <v>3.7470694367916682E-2</v>
      </c>
      <c r="BQ62" s="16">
        <f>IF(Risultati!AG61&lt;&gt;0,(BH62/Risultati!AG61),"0")</f>
        <v>5.3395186985692206E-2</v>
      </c>
      <c r="BR62" s="16">
        <f t="shared" si="1"/>
        <v>2.7306538665771721E-2</v>
      </c>
      <c r="BS62" s="14">
        <f>IF(Risultati!AB61&gt;0,(Risultati!G61/Risultati!AB61),"0")</f>
        <v>1.2215748873691374</v>
      </c>
      <c r="BT62" s="15">
        <f>IF(Risultati!AG61&lt;&gt;0,(Risultati!AB61/Risultati!AG61),"0")</f>
        <v>1.5984491973992108</v>
      </c>
      <c r="BU62" s="23">
        <f>IF(AND(Risultati!G61&gt;0,(Risultati!AE61-Risultati!AF61)&gt;=0),((Risultati!AE61-Risultati!AF61)/Risultati!G61*360),"0")</f>
        <v>9.2250442765510066</v>
      </c>
      <c r="BV62" s="21">
        <f>IF(OR(E62="abbreviato",Risultati!G61=0),"0",((Risultati!AC61+Risultati!AD61)/Risultati!G61*360))</f>
        <v>14.969653150434141</v>
      </c>
      <c r="BW62" s="21">
        <f>IF(OR(E62="abbreviato",Risultati!G61=0,SUM(Risultati!I61+Risultati!K61+Risultati!M61)=0),"0",(((Risultati!AH61+Risultati!AI61)/(Risultati!I61+Risultati!K61+Risultati!N61)*360)))</f>
        <v>15.213637576892186</v>
      </c>
      <c r="BX62" s="16">
        <f>IF(Risultati!AB61&gt;0,(+Risultati!AG61/Risultati!AB61),"0")</f>
        <v>0.6256063699910327</v>
      </c>
      <c r="BY62" s="22">
        <f>IF(OR(E62="abbreviato",Risultati!G61=0),"0",(((Risultati!AK61-(Risultati!AL61+Risultati!AM61))/Risultati!G61)))</f>
        <v>-6.3258533047663906E-2</v>
      </c>
      <c r="BZ62" s="16">
        <f>IF(Risultati!G61&gt;0,(Risultati!AJ61/Risultati!G61),"0")</f>
        <v>0.24702335546608117</v>
      </c>
      <c r="CA62" s="8"/>
      <c r="CB62" s="10">
        <f>+Risultati!AP61</f>
        <v>0</v>
      </c>
      <c r="CC62" s="31">
        <f t="shared" si="57"/>
        <v>0</v>
      </c>
      <c r="CD62" s="10">
        <f>+Risultati!AQ61</f>
        <v>313680</v>
      </c>
      <c r="CE62" s="31">
        <f t="shared" si="58"/>
        <v>0.42362168994911353</v>
      </c>
      <c r="CF62" s="10">
        <f>+Risultati!AR61</f>
        <v>50879</v>
      </c>
      <c r="CG62" s="31">
        <f t="shared" si="59"/>
        <v>6.8711578560701828E-2</v>
      </c>
      <c r="CH62" s="10">
        <f>+Risultati!AS61</f>
        <v>88</v>
      </c>
      <c r="CI62" s="31">
        <f t="shared" si="60"/>
        <v>1.1884311628258732E-4</v>
      </c>
      <c r="CJ62" s="10">
        <f t="shared" si="61"/>
        <v>364647</v>
      </c>
      <c r="CK62" s="31">
        <f t="shared" si="62"/>
        <v>0.49245211162609792</v>
      </c>
      <c r="CL62" s="10">
        <f>+Risultati!AE61+Risultati!AF61</f>
        <v>23179</v>
      </c>
      <c r="CM62" s="31">
        <f t="shared" si="63"/>
        <v>3.1303006730841951E-2</v>
      </c>
      <c r="CN62" s="10">
        <f>+Risultati!AT61</f>
        <v>60955</v>
      </c>
      <c r="CO62" s="31">
        <f t="shared" si="64"/>
        <v>8.2319115375058066E-2</v>
      </c>
      <c r="CP62" s="10">
        <f>+Risultati!AU61</f>
        <v>288368</v>
      </c>
      <c r="CQ62" s="31">
        <f t="shared" si="65"/>
        <v>0.3894380881383766</v>
      </c>
      <c r="CR62" s="10">
        <f>+Risultati!AL61</f>
        <v>3286</v>
      </c>
      <c r="CS62" s="31">
        <f t="shared" si="66"/>
        <v>4.4377100011884314E-3</v>
      </c>
      <c r="CT62" s="10">
        <f t="shared" si="67"/>
        <v>375788</v>
      </c>
      <c r="CU62" s="31">
        <f t="shared" si="68"/>
        <v>0.50749792024546503</v>
      </c>
      <c r="CV62" s="10">
        <f>+Risultati!AX61</f>
        <v>37</v>
      </c>
      <c r="CW62" s="31">
        <f t="shared" si="69"/>
        <v>4.9968128436996946E-5</v>
      </c>
      <c r="CX62" s="10">
        <f t="shared" si="70"/>
        <v>740472</v>
      </c>
      <c r="CY62" s="31">
        <f t="shared" si="71"/>
        <v>1</v>
      </c>
      <c r="CZ62" s="10">
        <f>+Risultati!AG61</f>
        <v>463244</v>
      </c>
      <c r="DA62" s="31">
        <f t="shared" si="72"/>
        <v>0.6256063699910327</v>
      </c>
      <c r="DB62" s="10">
        <f t="shared" si="73"/>
        <v>14467</v>
      </c>
      <c r="DC62" s="31">
        <f t="shared" si="74"/>
        <v>1.9537538218865804E-2</v>
      </c>
      <c r="DD62" s="10">
        <f>+Risultati!AV61</f>
        <v>262761</v>
      </c>
      <c r="DE62" s="31">
        <f t="shared" si="75"/>
        <v>0.35485609179010147</v>
      </c>
      <c r="DF62" s="10">
        <f>+Risultati!AJ61</f>
        <v>223443</v>
      </c>
      <c r="DG62" s="31">
        <f t="shared" si="76"/>
        <v>0.30175752763102454</v>
      </c>
      <c r="DH62" s="10">
        <f t="shared" si="77"/>
        <v>39318</v>
      </c>
      <c r="DI62" s="31">
        <f t="shared" si="78"/>
        <v>5.3098564159076912E-2</v>
      </c>
      <c r="DJ62" s="10">
        <f>+Risultati!AW61</f>
        <v>0</v>
      </c>
      <c r="DK62" s="31">
        <f t="shared" si="79"/>
        <v>0</v>
      </c>
      <c r="DL62" s="10">
        <f t="shared" si="50"/>
        <v>740472</v>
      </c>
      <c r="DM62" s="31">
        <f t="shared" si="80"/>
        <v>1</v>
      </c>
      <c r="DO62" s="30"/>
      <c r="DP62" s="30"/>
    </row>
    <row r="63" spans="1:120" x14ac:dyDescent="0.2">
      <c r="A63" s="5"/>
      <c r="B63" s="6" t="str">
        <f>+Risultati!B62</f>
        <v>SALUMIFICI GRANTERRE S.P.A.</v>
      </c>
      <c r="C63" s="6" t="str">
        <f>+Risultati!C62</f>
        <v>02654810361</v>
      </c>
      <c r="D63" s="26">
        <f>IF(YEAR(Risultati!D62)=1900,(MID(Risultati!$AP$1,29,4)),YEAR(Risultati!D62))</f>
        <v>2023</v>
      </c>
      <c r="E63" s="6" t="str">
        <f>+Risultati!E62</f>
        <v>Dettagliato</v>
      </c>
      <c r="F63" s="8" t="str">
        <f>(LEFT(Risultati!AN62,2)&amp;"-")&amp;VLOOKUP((LEFT(Risultati!AN62,2)),ateco!$B$4:$C$93,2,FALSE)</f>
        <v>10-Industrie alimentari</v>
      </c>
      <c r="G63" s="8" t="str">
        <f>SUBSTITUTE((Risultati!AN62&amp;"-"&amp;Risultati!AO62),",",";")</f>
        <v>101300-Produzione di prodotti a base di carne (inclusa la carne di volatili)</v>
      </c>
      <c r="I63" s="10">
        <f>+Risultati!G62</f>
        <v>865693</v>
      </c>
      <c r="J63" s="11">
        <f t="shared" si="2"/>
        <v>0.99075728253119533</v>
      </c>
      <c r="K63" s="12"/>
      <c r="L63" s="10">
        <f>+Risultati!G62+Risultati!H62</f>
        <v>873769</v>
      </c>
      <c r="M63" s="11">
        <f t="shared" si="3"/>
        <v>0.97499492288362355</v>
      </c>
      <c r="N63" s="12"/>
      <c r="O63" s="10">
        <f>+Risultati!I62+Risultati!J62</f>
        <v>618415</v>
      </c>
      <c r="P63" s="11">
        <f t="shared" si="4"/>
        <v>0.69005822504011483</v>
      </c>
      <c r="Q63" s="12"/>
      <c r="R63" s="13">
        <f t="shared" si="51"/>
        <v>255354</v>
      </c>
      <c r="S63" s="11">
        <f t="shared" si="6"/>
        <v>0.28493669784350878</v>
      </c>
      <c r="T63" s="12"/>
      <c r="U63" s="10">
        <f>+Risultati!F62-(Risultati!G62+Risultati!H62)</f>
        <v>22409</v>
      </c>
      <c r="V63" s="12">
        <f t="shared" si="7"/>
        <v>2.5005077116376433E-2</v>
      </c>
      <c r="W63" s="12"/>
      <c r="X63" s="10">
        <f t="shared" si="52"/>
        <v>277763</v>
      </c>
      <c r="Y63" s="12">
        <f t="shared" si="9"/>
        <v>0.30994177495988517</v>
      </c>
      <c r="Z63" s="12"/>
      <c r="AA63" s="10">
        <f>+Risultati!K62</f>
        <v>137147</v>
      </c>
      <c r="AB63" s="12">
        <f t="shared" si="10"/>
        <v>0.15303544608325578</v>
      </c>
      <c r="AC63" s="12"/>
      <c r="AD63" s="10">
        <f>+Risultati!L62</f>
        <v>91358</v>
      </c>
      <c r="AE63" s="12">
        <f t="shared" si="11"/>
        <v>0.10194180174027928</v>
      </c>
      <c r="AF63" s="12"/>
      <c r="AG63" s="10">
        <f>+Risultati!M62+Risultati!P62+Risultati!Q62</f>
        <v>4391</v>
      </c>
      <c r="AH63" s="12">
        <f t="shared" si="12"/>
        <v>4.8996962656972162E-3</v>
      </c>
      <c r="AI63" s="12"/>
      <c r="AJ63" s="13">
        <f t="shared" si="53"/>
        <v>44867</v>
      </c>
      <c r="AK63" s="11">
        <f t="shared" si="14"/>
        <v>5.0064830870652929E-2</v>
      </c>
      <c r="AL63" s="12"/>
      <c r="AM63" s="10">
        <f>+Risultati!N62</f>
        <v>1826</v>
      </c>
      <c r="AN63" s="12">
        <f t="shared" si="15"/>
        <v>2.0375416490920331E-3</v>
      </c>
      <c r="AO63" s="12"/>
      <c r="AP63" s="10">
        <f t="shared" si="54"/>
        <v>43041</v>
      </c>
      <c r="AQ63" s="41">
        <f t="shared" si="16"/>
        <v>4.8027289221560895E-2</v>
      </c>
      <c r="AR63" s="12"/>
      <c r="AS63" s="10">
        <f>+Risultati!O62</f>
        <v>27621</v>
      </c>
      <c r="AT63" s="12">
        <f t="shared" si="17"/>
        <v>3.0820886029337923E-2</v>
      </c>
      <c r="AU63" s="12"/>
      <c r="AV63" s="10">
        <f t="shared" si="55"/>
        <v>15420</v>
      </c>
      <c r="AW63" s="12">
        <f t="shared" si="19"/>
        <v>1.7206403192222972E-2</v>
      </c>
      <c r="AX63" s="12"/>
      <c r="AY63" s="10">
        <f>+Risultati!R62+Risultati!S62</f>
        <v>-14830</v>
      </c>
      <c r="AZ63" s="12">
        <f t="shared" si="20"/>
        <v>-1.654805183791613E-2</v>
      </c>
      <c r="BA63" s="12"/>
      <c r="BB63" s="10">
        <f>+Risultati!T62</f>
        <v>760</v>
      </c>
      <c r="BC63" s="12">
        <f t="shared" si="21"/>
        <v>8.4804581232746177E-4</v>
      </c>
      <c r="BD63" s="12"/>
      <c r="BE63" s="10">
        <f>+Risultati!U62</f>
        <v>-1662</v>
      </c>
      <c r="BF63" s="12">
        <f t="shared" si="22"/>
        <v>-1.8545422895897912E-3</v>
      </c>
      <c r="BG63" s="12"/>
      <c r="BH63" s="10">
        <f t="shared" si="56"/>
        <v>3012</v>
      </c>
      <c r="BI63" s="12">
        <f t="shared" si="24"/>
        <v>3.3609394562240983E-3</v>
      </c>
      <c r="BK63" s="16">
        <f>IF(ISNUMBER(Risultati!X62/100),(Risultati!X62/100))</f>
        <v>0.100502902239161</v>
      </c>
      <c r="BL63" s="16">
        <f>IF(ISNUMBER(Risultati!Y62/100),(Risultati!Y62/100))</f>
        <v>0.225579525280525</v>
      </c>
      <c r="BM63" s="16">
        <f>IF(ISNUMBER(Risultati!Z62/100),(Risultati!Z62/100))</f>
        <v>0.313253852793626</v>
      </c>
      <c r="BN63" s="16">
        <f>IF(AND(Risultati!AY62&lt;0,calcoli!AP63&lt;0),-IF(ISNUMBER(Risultati!AA62/100),(Risultati!AA62/100)),IF(ISNUMBER(Risultati!AA62/100),(Risultati!AA62/100)))</f>
        <v>0.214406636194346</v>
      </c>
      <c r="BO63" s="16">
        <f t="shared" si="0"/>
        <v>3.3609394562240983E-3</v>
      </c>
      <c r="BP63" s="16">
        <f>IF(Risultati!AB62&gt;0,(AV63/Risultati!AB62),"0")</f>
        <v>2.1234141525140148E-2</v>
      </c>
      <c r="BQ63" s="16">
        <f>IF(Risultati!AG62&lt;&gt;0,(BH63/Risultati!AG62),"0")</f>
        <v>1.8066543903741069E-2</v>
      </c>
      <c r="BR63" s="16">
        <f t="shared" si="1"/>
        <v>3.3609394562240983E-3</v>
      </c>
      <c r="BS63" s="14">
        <f>IF(Risultati!AB62&gt;0,(Risultati!G62/Risultati!AB62),"0")</f>
        <v>1.1921042593594779</v>
      </c>
      <c r="BT63" s="15">
        <f>IF(Risultati!AG62&lt;&gt;0,(Risultati!AB62/Risultati!AG62),"0")</f>
        <v>4.3558185428000744</v>
      </c>
      <c r="BU63" s="23">
        <f>IF(AND(Risultati!G62&gt;0,(Risultati!AE62-Risultati!AF62)&gt;=0),((Risultati!AE62-Risultati!AF62)/Risultati!G62*360),"0")</f>
        <v>66.830296652508451</v>
      </c>
      <c r="BV63" s="21">
        <f>IF(OR(E63="abbreviato",Risultati!G62=0),"0",((Risultati!AC62+Risultati!AD62)/Risultati!G62*360))</f>
        <v>14.011294997187225</v>
      </c>
      <c r="BW63" s="21">
        <f>IF(OR(E63="abbreviato",Risultati!G62=0,SUM(Risultati!I62+Risultati!K62+Risultati!M62)=0),"0",(((Risultati!AH62+Risultati!AI62)/(Risultati!I62+Risultati!K62+Risultati!N62)*360)))</f>
        <v>102.96957343669142</v>
      </c>
      <c r="BX63" s="16">
        <f>IF(Risultati!AB62&gt;0,(+Risultati!AG62/Risultati!AB62),"0")</f>
        <v>0.22957797487981779</v>
      </c>
      <c r="BY63" s="22">
        <f>IF(OR(E63="abbreviato",Risultati!G62=0),"0",(((Risultati!AK62-(Risultati!AL62+Risultati!AM62))/Risultati!G62)))</f>
        <v>0.14784686950223694</v>
      </c>
      <c r="BZ63" s="16">
        <f>IF(Risultati!G62&gt;0,(Risultati!AJ62/Risultati!G62),"0")</f>
        <v>0.52283084188043571</v>
      </c>
      <c r="CA63" s="8"/>
      <c r="CB63" s="10">
        <f>+Risultati!AP62</f>
        <v>0</v>
      </c>
      <c r="CC63" s="31">
        <f t="shared" si="57"/>
        <v>0</v>
      </c>
      <c r="CD63" s="10">
        <f>+Risultati!AQ62</f>
        <v>129214</v>
      </c>
      <c r="CE63" s="31">
        <f t="shared" si="58"/>
        <v>0.17793439448958881</v>
      </c>
      <c r="CF63" s="10">
        <f>+Risultati!AR62</f>
        <v>209161</v>
      </c>
      <c r="CG63" s="31">
        <f t="shared" si="59"/>
        <v>0.28802556910115684</v>
      </c>
      <c r="CH63" s="10">
        <f>+Risultati!AS62</f>
        <v>4483</v>
      </c>
      <c r="CI63" s="31">
        <f t="shared" si="60"/>
        <v>6.1733240244619516E-3</v>
      </c>
      <c r="CJ63" s="10">
        <f t="shared" si="61"/>
        <v>342858</v>
      </c>
      <c r="CK63" s="31">
        <f t="shared" si="62"/>
        <v>0.47213328761520762</v>
      </c>
      <c r="CL63" s="10">
        <f>+Risultati!AE62+Risultati!AF62</f>
        <v>160707</v>
      </c>
      <c r="CM63" s="31">
        <f t="shared" si="63"/>
        <v>0.22130189248253554</v>
      </c>
      <c r="CN63" s="10">
        <f>+Risultati!AT62</f>
        <v>88062</v>
      </c>
      <c r="CO63" s="31">
        <f t="shared" si="64"/>
        <v>0.12126595142586848</v>
      </c>
      <c r="CP63" s="10">
        <f>+Risultati!AU62</f>
        <v>821</v>
      </c>
      <c r="CQ63" s="31">
        <f t="shared" si="65"/>
        <v>1.1305596752360612E-3</v>
      </c>
      <c r="CR63" s="10">
        <f>+Risultati!AL62</f>
        <v>131899</v>
      </c>
      <c r="CS63" s="31">
        <f t="shared" si="66"/>
        <v>0.18163177905476399</v>
      </c>
      <c r="CT63" s="10">
        <f t="shared" si="67"/>
        <v>381489</v>
      </c>
      <c r="CU63" s="31">
        <f t="shared" si="68"/>
        <v>0.52533018263840403</v>
      </c>
      <c r="CV63" s="10">
        <f>+Risultati!AX62</f>
        <v>1842</v>
      </c>
      <c r="CW63" s="31">
        <f t="shared" si="69"/>
        <v>2.536529746388337E-3</v>
      </c>
      <c r="CX63" s="10">
        <f t="shared" si="70"/>
        <v>726189</v>
      </c>
      <c r="CY63" s="31">
        <f t="shared" si="71"/>
        <v>1</v>
      </c>
      <c r="CZ63" s="10">
        <f>+Risultati!AG62</f>
        <v>166717</v>
      </c>
      <c r="DA63" s="31">
        <f t="shared" si="72"/>
        <v>0.22957797487981779</v>
      </c>
      <c r="DB63" s="10">
        <f t="shared" si="73"/>
        <v>13476</v>
      </c>
      <c r="DC63" s="31">
        <f t="shared" si="74"/>
        <v>1.8557152476834544E-2</v>
      </c>
      <c r="DD63" s="10">
        <f>+Risultati!AV62</f>
        <v>542915</v>
      </c>
      <c r="DE63" s="31">
        <f t="shared" si="75"/>
        <v>0.74762217549425836</v>
      </c>
      <c r="DF63" s="10">
        <f>+Risultati!AJ62</f>
        <v>452611</v>
      </c>
      <c r="DG63" s="31">
        <f t="shared" si="76"/>
        <v>0.62326887353016913</v>
      </c>
      <c r="DH63" s="10">
        <f t="shared" si="77"/>
        <v>90304</v>
      </c>
      <c r="DI63" s="31">
        <f t="shared" si="78"/>
        <v>0.12435330196408924</v>
      </c>
      <c r="DJ63" s="10">
        <f>+Risultati!AW62</f>
        <v>3081</v>
      </c>
      <c r="DK63" s="31">
        <f t="shared" si="79"/>
        <v>4.2426971490892871E-3</v>
      </c>
      <c r="DL63" s="10">
        <f t="shared" si="50"/>
        <v>726189</v>
      </c>
      <c r="DM63" s="31">
        <f t="shared" si="80"/>
        <v>1</v>
      </c>
      <c r="DO63" s="30"/>
      <c r="DP63" s="30"/>
    </row>
    <row r="64" spans="1:120" x14ac:dyDescent="0.2">
      <c r="A64" s="5"/>
      <c r="B64" s="6" t="str">
        <f>+Risultati!B63</f>
        <v>CONSERVE ITALIA - CONSORZIO ITALIANO FRA COOPERATIVE AGRICOLE - S OCIETA' COOPERATIVA AGRICOLA - IN FORMA ABBREVIATA CONSERVE ITALIA SOC.COOP. AG RICOLA .</v>
      </c>
      <c r="C64" s="6" t="str">
        <f>+Risultati!C63</f>
        <v>00708311204</v>
      </c>
      <c r="D64" s="26">
        <f>IF(YEAR(Risultati!D63)=1900,(MID(Risultati!$AP$1,29,4)),YEAR(Risultati!D63))</f>
        <v>2023</v>
      </c>
      <c r="E64" s="6" t="str">
        <f>+Risultati!E63</f>
        <v>Dettagliato</v>
      </c>
      <c r="F64" s="8" t="str">
        <f>(LEFT(Risultati!AN63,2)&amp;"-")&amp;VLOOKUP((LEFT(Risultati!AN63,2)),ateco!$B$4:$C$93,2,FALSE)</f>
        <v>10-Industrie alimentari</v>
      </c>
      <c r="G64" s="8" t="str">
        <f>SUBSTITUTE((Risultati!AN63&amp;"-"&amp;Risultati!AO63),",",";")</f>
        <v>103000-Lavorazione e conservazone di frutta e ortaggi</v>
      </c>
      <c r="I64" s="10">
        <f>+Risultati!G63</f>
        <v>836755.26899999997</v>
      </c>
      <c r="J64" s="11">
        <f t="shared" si="2"/>
        <v>1.0005431895938701</v>
      </c>
      <c r="K64" s="12"/>
      <c r="L64" s="10">
        <f>+Risultati!G63+Risultati!H63</f>
        <v>836300.99899999995</v>
      </c>
      <c r="M64" s="11">
        <f t="shared" si="3"/>
        <v>0.96808636553583871</v>
      </c>
      <c r="N64" s="12"/>
      <c r="O64" s="10">
        <f>+Risultati!I63+Risultati!J63</f>
        <v>474172.81299999997</v>
      </c>
      <c r="P64" s="11">
        <f t="shared" si="4"/>
        <v>0.54889356310941684</v>
      </c>
      <c r="Q64" s="12"/>
      <c r="R64" s="13">
        <f t="shared" si="51"/>
        <v>362128.18599999999</v>
      </c>
      <c r="S64" s="11">
        <f t="shared" si="6"/>
        <v>0.41919280242642182</v>
      </c>
      <c r="T64" s="12"/>
      <c r="U64" s="10">
        <f>+Risultati!F63-(Risultati!G63+Risultati!H63)</f>
        <v>27569.23900000006</v>
      </c>
      <c r="V64" s="12">
        <f t="shared" si="7"/>
        <v>3.1913634464161338E-2</v>
      </c>
      <c r="W64" s="12"/>
      <c r="X64" s="10">
        <f t="shared" si="52"/>
        <v>389697.42500000005</v>
      </c>
      <c r="Y64" s="12">
        <f t="shared" si="9"/>
        <v>0.45110643689058316</v>
      </c>
      <c r="Z64" s="12"/>
      <c r="AA64" s="10">
        <f>+Risultati!K63</f>
        <v>244926.715</v>
      </c>
      <c r="AB64" s="12">
        <f t="shared" si="10"/>
        <v>0.28352257575980988</v>
      </c>
      <c r="AC64" s="12"/>
      <c r="AD64" s="10">
        <f>+Risultati!L63</f>
        <v>79653.979000000007</v>
      </c>
      <c r="AE64" s="12">
        <f t="shared" si="11"/>
        <v>9.2205953505716226E-2</v>
      </c>
      <c r="AF64" s="12"/>
      <c r="AG64" s="10">
        <f>+Risultati!M63+Risultati!P63+Risultati!Q63</f>
        <v>3115.0610000000001</v>
      </c>
      <c r="AH64" s="12">
        <f t="shared" si="12"/>
        <v>3.6059362424753429E-3</v>
      </c>
      <c r="AI64" s="12"/>
      <c r="AJ64" s="13">
        <f t="shared" si="53"/>
        <v>62001.670000000042</v>
      </c>
      <c r="AK64" s="11">
        <f t="shared" si="14"/>
        <v>7.1771971382581692E-2</v>
      </c>
      <c r="AL64" s="12"/>
      <c r="AM64" s="10">
        <f>+Risultati!N63</f>
        <v>10949.06</v>
      </c>
      <c r="AN64" s="12">
        <f t="shared" si="15"/>
        <v>1.2674426688606442E-2</v>
      </c>
      <c r="AO64" s="12"/>
      <c r="AP64" s="10">
        <f t="shared" si="54"/>
        <v>51052.610000000044</v>
      </c>
      <c r="AQ64" s="41">
        <f t="shared" si="16"/>
        <v>5.9097544693975261E-2</v>
      </c>
      <c r="AR64" s="12"/>
      <c r="AS64" s="10">
        <f>+Risultati!O63</f>
        <v>30829.366000000002</v>
      </c>
      <c r="AT64" s="12">
        <f t="shared" si="17"/>
        <v>3.5687496389938136E-2</v>
      </c>
      <c r="AU64" s="12"/>
      <c r="AV64" s="10">
        <f t="shared" si="55"/>
        <v>20223.244000000042</v>
      </c>
      <c r="AW64" s="12">
        <f t="shared" si="19"/>
        <v>2.3410048304037118E-2</v>
      </c>
      <c r="AX64" s="12"/>
      <c r="AY64" s="10">
        <f>+Risultati!R63+Risultati!S63</f>
        <v>-13543.036</v>
      </c>
      <c r="AZ64" s="12">
        <f t="shared" si="20"/>
        <v>-1.5677164699358471E-2</v>
      </c>
      <c r="BA64" s="12"/>
      <c r="BB64" s="10">
        <f>+Risultati!T63</f>
        <v>0</v>
      </c>
      <c r="BC64" s="12">
        <f t="shared" si="21"/>
        <v>0</v>
      </c>
      <c r="BD64" s="12"/>
      <c r="BE64" s="10">
        <f>+Risultati!U63</f>
        <v>12.308999999999999</v>
      </c>
      <c r="BF64" s="12">
        <f t="shared" si="22"/>
        <v>1.4248667749565414E-5</v>
      </c>
      <c r="BG64" s="12"/>
      <c r="BH64" s="10">
        <f t="shared" si="56"/>
        <v>6667.8990000000422</v>
      </c>
      <c r="BI64" s="12">
        <f t="shared" si="24"/>
        <v>7.7186349369290832E-3</v>
      </c>
      <c r="BK64" s="16">
        <f>IF(ISNUMBER(Risultati!X63/100),(Risultati!X63/100))</f>
        <v>0.19568423198408103</v>
      </c>
      <c r="BL64" s="16">
        <f>IF(ISNUMBER(Risultati!Y63/100),(Risultati!Y63/100))</f>
        <v>0.337362044461894</v>
      </c>
      <c r="BM64" s="16">
        <f>IF(ISNUMBER(Risultati!Z63/100),(Risultati!Z63/100))</f>
        <v>0.32534358213210601</v>
      </c>
      <c r="BN64" s="16">
        <f>IF(AND(Risultati!AY63&lt;0,calcoli!AP64&lt;0),-IF(ISNUMBER(Risultati!AA63/100),(Risultati!AA63/100)),IF(ISNUMBER(Risultati!AA63/100),(Risultati!AA63/100)))</f>
        <v>0.85932508383925599</v>
      </c>
      <c r="BO64" s="16">
        <f t="shared" si="0"/>
        <v>7.7186349369290832E-3</v>
      </c>
      <c r="BP64" s="16">
        <f>IF(Risultati!AB63&gt;0,(AV64/Risultati!AB63),"0")</f>
        <v>2.3116215720400547E-2</v>
      </c>
      <c r="BQ64" s="16">
        <f>IF(Risultati!AG63&lt;&gt;0,(BH64/Risultati!AG63),"0")</f>
        <v>2.2719988857632635E-2</v>
      </c>
      <c r="BR64" s="16">
        <f t="shared" si="1"/>
        <v>7.7186349369290832E-3</v>
      </c>
      <c r="BS64" s="14">
        <f>IF(Risultati!AB63&gt;0,(Risultati!G63/Risultati!AB63),"0")</f>
        <v>0.95645462732812547</v>
      </c>
      <c r="BT64" s="15">
        <f>IF(Risultati!AG63&lt;&gt;0,(Risultati!AB63/Risultati!AG63),"0")</f>
        <v>2.9809396543662188</v>
      </c>
      <c r="BU64" s="23">
        <f>IF(AND(Risultati!G63&gt;0,(Risultati!AE63-Risultati!AF63)&gt;=0),((Risultati!AE63-Risultati!AF63)/Risultati!G63*360),"0")</f>
        <v>84.474949150275378</v>
      </c>
      <c r="BV64" s="21">
        <f>IF(OR(E64="abbreviato",Risultati!G63=0),"0",((Risultati!AC63+Risultati!AD63)/Risultati!G63*360))</f>
        <v>27.683589477343347</v>
      </c>
      <c r="BW64" s="21">
        <f>IF(OR(E64="abbreviato",Risultati!G63=0,SUM(Risultati!I63+Risultati!K63+Risultati!M63)=0),"0",(((Risultati!AH63+Risultati!AI63)/(Risultati!I63+Risultati!K63+Risultati!N63)*360)))</f>
        <v>109.47401247385707</v>
      </c>
      <c r="BX64" s="16">
        <f>IF(Risultati!AB63&gt;0,(+Risultati!AG63/Risultati!AB63),"0")</f>
        <v>0.3354646909860412</v>
      </c>
      <c r="BY64" s="22">
        <f>IF(OR(E64="abbreviato",Risultati!G63=0),"0",(((Risultati!AK63-(Risultati!AL63+Risultati!AM63))/Risultati!G63)))</f>
        <v>0.113668246288629</v>
      </c>
      <c r="BZ64" s="16">
        <f>IF(Risultati!G63&gt;0,(Risultati!AJ63/Risultati!G63),"0")</f>
        <v>0.51693698985240577</v>
      </c>
      <c r="CA64" s="8"/>
      <c r="CB64" s="10">
        <f>+Risultati!AP63</f>
        <v>361.5</v>
      </c>
      <c r="CC64" s="31">
        <f t="shared" si="57"/>
        <v>4.1338404618271215E-4</v>
      </c>
      <c r="CD64" s="10">
        <f>+Risultati!AQ63</f>
        <v>50150.658000000003</v>
      </c>
      <c r="CE64" s="31">
        <f t="shared" si="58"/>
        <v>5.7348497711660867E-2</v>
      </c>
      <c r="CF64" s="10">
        <f>+Risultati!AR63</f>
        <v>298649.90000000002</v>
      </c>
      <c r="CG64" s="31">
        <f t="shared" si="59"/>
        <v>0.34151342753544228</v>
      </c>
      <c r="CH64" s="10">
        <f>+Risultati!AS63</f>
        <v>107299.38499999999</v>
      </c>
      <c r="CI64" s="31">
        <f t="shared" si="60"/>
        <v>0.12269945760502519</v>
      </c>
      <c r="CJ64" s="10">
        <f t="shared" si="61"/>
        <v>456099.94300000003</v>
      </c>
      <c r="CK64" s="31">
        <f t="shared" si="62"/>
        <v>0.52156138285212839</v>
      </c>
      <c r="CL64" s="10">
        <f>+Risultati!AE63+Risultati!AF63</f>
        <v>196346.83</v>
      </c>
      <c r="CM64" s="31">
        <f t="shared" si="63"/>
        <v>0.22452737770553008</v>
      </c>
      <c r="CN64" s="10">
        <f>+Risultati!AT63</f>
        <v>104021.266</v>
      </c>
      <c r="CO64" s="31">
        <f t="shared" si="64"/>
        <v>0.11895084876384007</v>
      </c>
      <c r="CP64" s="10">
        <f>+Risultati!AU63</f>
        <v>0</v>
      </c>
      <c r="CQ64" s="31">
        <f t="shared" si="65"/>
        <v>0</v>
      </c>
      <c r="CR64" s="10">
        <f>+Risultati!AL63</f>
        <v>115897.075</v>
      </c>
      <c r="CS64" s="31">
        <f t="shared" si="66"/>
        <v>0.13253112532293571</v>
      </c>
      <c r="CT64" s="10">
        <f t="shared" si="67"/>
        <v>416265.17099999997</v>
      </c>
      <c r="CU64" s="31">
        <f t="shared" si="68"/>
        <v>0.47600935179230586</v>
      </c>
      <c r="CV64" s="10">
        <f>+Risultati!AX63</f>
        <v>2124.3670000000002</v>
      </c>
      <c r="CW64" s="31">
        <f t="shared" si="69"/>
        <v>2.4292653555657807E-3</v>
      </c>
      <c r="CX64" s="10">
        <f t="shared" si="70"/>
        <v>874489.48100000003</v>
      </c>
      <c r="CY64" s="31">
        <f t="shared" si="71"/>
        <v>1</v>
      </c>
      <c r="CZ64" s="10">
        <f>+Risultati!AG63</f>
        <v>293481.614</v>
      </c>
      <c r="DA64" s="31">
        <f t="shared" si="72"/>
        <v>0.33560336673735242</v>
      </c>
      <c r="DB64" s="10">
        <f t="shared" si="73"/>
        <v>22969.030000000075</v>
      </c>
      <c r="DC64" s="31">
        <f t="shared" si="74"/>
        <v>2.6265644697903545E-2</v>
      </c>
      <c r="DD64" s="10">
        <f>+Risultati!AV63</f>
        <v>547761.53700000001</v>
      </c>
      <c r="DE64" s="31">
        <f t="shared" si="75"/>
        <v>0.6263786459427978</v>
      </c>
      <c r="DF64" s="10">
        <f>+Risultati!AJ63</f>
        <v>432549.75</v>
      </c>
      <c r="DG64" s="31">
        <f t="shared" si="76"/>
        <v>0.49463116412260194</v>
      </c>
      <c r="DH64" s="10">
        <f t="shared" si="77"/>
        <v>115211.78700000001</v>
      </c>
      <c r="DI64" s="31">
        <f t="shared" si="78"/>
        <v>0.13174748182019586</v>
      </c>
      <c r="DJ64" s="10">
        <f>+Risultati!AW63</f>
        <v>10277.299999999999</v>
      </c>
      <c r="DK64" s="31">
        <f t="shared" si="79"/>
        <v>1.1752342621946299E-2</v>
      </c>
      <c r="DL64" s="10">
        <f t="shared" si="50"/>
        <v>874489.48100000003</v>
      </c>
      <c r="DM64" s="31">
        <f t="shared" si="80"/>
        <v>1</v>
      </c>
      <c r="DO64" s="30"/>
      <c r="DP64" s="30"/>
    </row>
    <row r="65" spans="1:120" x14ac:dyDescent="0.2">
      <c r="A65" s="5"/>
      <c r="B65" s="6" t="str">
        <f>+Risultati!B64</f>
        <v>UNICOOP ETRURIA SOCIETA' COOPERATIVA</v>
      </c>
      <c r="C65" s="6" t="str">
        <f>+Risultati!C64</f>
        <v>00103530499</v>
      </c>
      <c r="D65" s="26">
        <f>IF(YEAR(Risultati!D64)=1900,(MID(Risultati!$AP$1,29,4)),YEAR(Risultati!D64))</f>
        <v>2023</v>
      </c>
      <c r="E65" s="6" t="str">
        <f>+Risultati!E64</f>
        <v>Dettagliato</v>
      </c>
      <c r="F65" s="8" t="str">
        <f>(LEFT(Risultati!AN64,2)&amp;"-")&amp;VLOOKUP((LEFT(Risultati!AN64,2)),ateco!$B$4:$C$93,2,FALSE)</f>
        <v>47-Commercio al dettaglio (escluso quello di autoveicoli e di motocicli)</v>
      </c>
      <c r="G65" s="8" t="str">
        <f>SUBSTITUTE((Risultati!AN64&amp;"-"&amp;Risultati!AO64),",",";")</f>
        <v>471100-Commercio al dettaglio in esercizi non specializzati con prevalenza di prodotti alimentari e bevande</v>
      </c>
      <c r="I65" s="10">
        <f>+Risultati!G64</f>
        <v>919095.14099999995</v>
      </c>
      <c r="J65" s="11">
        <f t="shared" si="2"/>
        <v>1</v>
      </c>
      <c r="K65" s="12"/>
      <c r="L65" s="10">
        <f>+Risultati!G64+Risultati!H64</f>
        <v>919095.14099999995</v>
      </c>
      <c r="M65" s="11">
        <f t="shared" si="3"/>
        <v>0.98026301915172187</v>
      </c>
      <c r="N65" s="12"/>
      <c r="O65" s="10">
        <f>+Risultati!I64+Risultati!J64</f>
        <v>657366.75</v>
      </c>
      <c r="P65" s="11">
        <f t="shared" si="4"/>
        <v>0.70111600671051233</v>
      </c>
      <c r="Q65" s="12"/>
      <c r="R65" s="13">
        <f t="shared" si="51"/>
        <v>261728.39099999995</v>
      </c>
      <c r="S65" s="11">
        <f t="shared" si="6"/>
        <v>0.27914701244120965</v>
      </c>
      <c r="T65" s="12"/>
      <c r="U65" s="10">
        <f>+Risultati!F64-(Risultati!G64+Risultati!H64)</f>
        <v>18505.404000000097</v>
      </c>
      <c r="V65" s="12">
        <f t="shared" si="7"/>
        <v>1.9736980848278088E-2</v>
      </c>
      <c r="W65" s="12"/>
      <c r="X65" s="10">
        <f t="shared" si="52"/>
        <v>280233.79500000004</v>
      </c>
      <c r="Y65" s="12">
        <f t="shared" si="9"/>
        <v>0.29888399328948773</v>
      </c>
      <c r="Z65" s="12"/>
      <c r="AA65" s="10">
        <f>+Risultati!K64</f>
        <v>95093.081999999995</v>
      </c>
      <c r="AB65" s="12">
        <f t="shared" si="10"/>
        <v>0.10142174352085087</v>
      </c>
      <c r="AC65" s="12"/>
      <c r="AD65" s="10">
        <f>+Risultati!L64</f>
        <v>119402.196</v>
      </c>
      <c r="AE65" s="12">
        <f t="shared" si="11"/>
        <v>0.12734868450828385</v>
      </c>
      <c r="AF65" s="12"/>
      <c r="AG65" s="10">
        <f>+Risultati!M64+Risultati!P64+Risultati!Q64</f>
        <v>16996.292999999998</v>
      </c>
      <c r="AH65" s="12">
        <f t="shared" si="12"/>
        <v>1.8127435068843734E-2</v>
      </c>
      <c r="AI65" s="12"/>
      <c r="AJ65" s="13">
        <f t="shared" si="53"/>
        <v>48742.224000000053</v>
      </c>
      <c r="AK65" s="11">
        <f t="shared" si="14"/>
        <v>5.1986130191509272E-2</v>
      </c>
      <c r="AL65" s="12"/>
      <c r="AM65" s="10">
        <f>+Risultati!N64</f>
        <v>20389.148000000001</v>
      </c>
      <c r="AN65" s="12">
        <f t="shared" si="15"/>
        <v>2.174609230842544E-2</v>
      </c>
      <c r="AO65" s="12"/>
      <c r="AP65" s="10">
        <f t="shared" si="54"/>
        <v>28353.076000000052</v>
      </c>
      <c r="AQ65" s="41">
        <f t="shared" si="16"/>
        <v>3.0240037883083836E-2</v>
      </c>
      <c r="AR65" s="12"/>
      <c r="AS65" s="10">
        <f>+Risultati!O64</f>
        <v>21318.79</v>
      </c>
      <c r="AT65" s="12">
        <f t="shared" si="17"/>
        <v>2.2737604104101711E-2</v>
      </c>
      <c r="AU65" s="12"/>
      <c r="AV65" s="10">
        <f t="shared" si="55"/>
        <v>7034.286000000051</v>
      </c>
      <c r="AW65" s="12">
        <f t="shared" si="19"/>
        <v>7.5024337789821255E-3</v>
      </c>
      <c r="AX65" s="12"/>
      <c r="AY65" s="10">
        <f>+Risultati!R64+Risultati!S64</f>
        <v>-6092.652</v>
      </c>
      <c r="AZ65" s="12">
        <f t="shared" si="20"/>
        <v>-6.4981318883512379E-3</v>
      </c>
      <c r="BA65" s="12"/>
      <c r="BB65" s="10">
        <f>+Risultati!T64</f>
        <v>0</v>
      </c>
      <c r="BC65" s="12">
        <f t="shared" si="21"/>
        <v>0</v>
      </c>
      <c r="BD65" s="12"/>
      <c r="BE65" s="10">
        <f>+Risultati!U64</f>
        <v>-151.672</v>
      </c>
      <c r="BF65" s="12">
        <f t="shared" si="22"/>
        <v>-1.6176611757408906E-4</v>
      </c>
      <c r="BG65" s="12"/>
      <c r="BH65" s="10">
        <f t="shared" si="56"/>
        <v>1093.306000000051</v>
      </c>
      <c r="BI65" s="12">
        <f t="shared" si="24"/>
        <v>1.166068008204977E-3</v>
      </c>
      <c r="BK65" s="16">
        <f>IF(ISNUMBER(Risultati!X64/100),(Risultati!X64/100))</f>
        <v>6.1991247525550993E-3</v>
      </c>
      <c r="BL65" s="16">
        <f>IF(ISNUMBER(Risultati!Y64/100),(Risultati!Y64/100))</f>
        <v>4.5550236956881804E-2</v>
      </c>
      <c r="BM65" s="16">
        <f>IF(ISNUMBER(Risultati!Z64/100),(Risultati!Z64/100))</f>
        <v>1.7720035670373401E-2</v>
      </c>
      <c r="BN65" s="16">
        <f>IF(AND(Risultati!AY64&lt;0,calcoli!AP65&lt;0),-IF(ISNUMBER(Risultati!AA64/100),(Risultati!AA64/100)),IF(ISNUMBER(Risultati!AA64/100),(Risultati!AA64/100)))</f>
        <v>3.5600226062518798</v>
      </c>
      <c r="BO65" s="16">
        <f t="shared" si="0"/>
        <v>1.166068008204977E-3</v>
      </c>
      <c r="BP65" s="16">
        <f>IF(Risultati!AB64&gt;0,(AV65/Risultati!AB64),"0")</f>
        <v>5.3607118401781499E-3</v>
      </c>
      <c r="BQ65" s="16">
        <f>IF(Risultati!AG64&lt;&gt;0,(BH65/Risultati!AG64),"0")</f>
        <v>4.0072809472468567E-3</v>
      </c>
      <c r="BR65" s="16">
        <f t="shared" si="1"/>
        <v>1.166068008204977E-3</v>
      </c>
      <c r="BS65" s="14">
        <f>IF(Risultati!AB64&gt;0,(Risultati!G64/Risultati!AB64),"0")</f>
        <v>0.70042705181575926</v>
      </c>
      <c r="BT65" s="15">
        <f>IF(Risultati!AG64&lt;&gt;0,(Risultati!AB64/Risultati!AG64),"0")</f>
        <v>4.8095630139638113</v>
      </c>
      <c r="BU65" s="23">
        <f>IF(AND(Risultati!G64&gt;0,(Risultati!AE64-Risultati!AF64)&gt;=0),((Risultati!AE64-Risultati!AF64)/Risultati!G64*360),"0")</f>
        <v>17.68877048170577</v>
      </c>
      <c r="BV65" s="21">
        <f>IF(OR(E65="abbreviato",Risultati!G64=0),"0",((Risultati!AC64+Risultati!AD64)/Risultati!G64*360))</f>
        <v>25.521815744209228</v>
      </c>
      <c r="BW65" s="21">
        <f>IF(OR(E65="abbreviato",Risultati!G64=0,SUM(Risultati!I64+Risultati!K64+Risultati!M64)=0),"0",(((Risultati!AH64+Risultati!AI64)/(Risultati!I64+Risultati!K64+Risultati!N64)*360)))</f>
        <v>70.606656916937851</v>
      </c>
      <c r="BX65" s="16">
        <f>IF(Risultati!AB64&gt;0,(+Risultati!AG64/Risultati!AB64),"0")</f>
        <v>0.20791909724369076</v>
      </c>
      <c r="BY65" s="22">
        <f>IF(OR(E65="abbreviato",Risultati!G64=0),"0",(((Risultati!AK64-(Risultati!AL64+Risultati!AM64))/Risultati!G64)))</f>
        <v>0.82844350169402103</v>
      </c>
      <c r="BZ65" s="16">
        <f>IF(Risultati!G64&gt;0,(Risultati!AJ64/Risultati!G64),"0")</f>
        <v>0.97427009681035848</v>
      </c>
      <c r="CA65" s="8"/>
      <c r="CB65" s="10">
        <f>+Risultati!AP64</f>
        <v>0</v>
      </c>
      <c r="CC65" s="31">
        <f t="shared" si="57"/>
        <v>0</v>
      </c>
      <c r="CD65" s="10">
        <f>+Risultati!AQ64</f>
        <v>148902.242</v>
      </c>
      <c r="CE65" s="31">
        <f t="shared" si="58"/>
        <v>0.11347591094795779</v>
      </c>
      <c r="CF65" s="10">
        <f>+Risultati!AR64</f>
        <v>444414.408</v>
      </c>
      <c r="CG65" s="31">
        <f t="shared" si="59"/>
        <v>0.33868079559337583</v>
      </c>
      <c r="CH65" s="10">
        <f>+Risultati!AS64</f>
        <v>455430.17599999998</v>
      </c>
      <c r="CI65" s="31">
        <f t="shared" si="60"/>
        <v>0.34707572834792338</v>
      </c>
      <c r="CJ65" s="10">
        <f t="shared" si="61"/>
        <v>1048746.8260000001</v>
      </c>
      <c r="CK65" s="31">
        <f t="shared" si="62"/>
        <v>0.7992324348892571</v>
      </c>
      <c r="CL65" s="10">
        <f>+Risultati!AE64+Risultati!AF64</f>
        <v>45160.175000000003</v>
      </c>
      <c r="CM65" s="31">
        <f t="shared" si="63"/>
        <v>3.4415814885407771E-2</v>
      </c>
      <c r="CN65" s="10">
        <f>+Risultati!AT64</f>
        <v>130744.628</v>
      </c>
      <c r="CO65" s="31">
        <f t="shared" si="64"/>
        <v>9.9638296674215754E-2</v>
      </c>
      <c r="CP65" s="10">
        <f>+Risultati!AU64</f>
        <v>63308.728999999999</v>
      </c>
      <c r="CQ65" s="31">
        <f t="shared" si="65"/>
        <v>4.8246524684513438E-2</v>
      </c>
      <c r="CR65" s="10">
        <f>+Risultati!AL64</f>
        <v>20892.871999999999</v>
      </c>
      <c r="CS65" s="31">
        <f t="shared" si="66"/>
        <v>1.5922108698128809E-2</v>
      </c>
      <c r="CT65" s="10">
        <f t="shared" si="67"/>
        <v>260106.40399999998</v>
      </c>
      <c r="CU65" s="31">
        <f t="shared" si="68"/>
        <v>0.19822274494226577</v>
      </c>
      <c r="CV65" s="10">
        <f>+Risultati!AX64</f>
        <v>3339.2939999999999</v>
      </c>
      <c r="CW65" s="31">
        <f t="shared" si="69"/>
        <v>2.5448201684770454E-3</v>
      </c>
      <c r="CX65" s="10">
        <f t="shared" si="70"/>
        <v>1312192.5240000002</v>
      </c>
      <c r="CY65" s="31">
        <f t="shared" si="71"/>
        <v>1</v>
      </c>
      <c r="CZ65" s="10">
        <f>+Risultati!AG64</f>
        <v>272829.88500000001</v>
      </c>
      <c r="DA65" s="31">
        <f t="shared" si="72"/>
        <v>0.20791909724369073</v>
      </c>
      <c r="DB65" s="10">
        <f t="shared" si="73"/>
        <v>35950.751000000142</v>
      </c>
      <c r="DC65" s="31">
        <f t="shared" si="74"/>
        <v>2.7397466715029187E-2</v>
      </c>
      <c r="DD65" s="10">
        <f>+Risultati!AV64</f>
        <v>995056.10900000005</v>
      </c>
      <c r="DE65" s="31">
        <f t="shared" si="75"/>
        <v>0.75831563646372357</v>
      </c>
      <c r="DF65" s="10">
        <f>+Risultati!AJ64</f>
        <v>895446.91200000001</v>
      </c>
      <c r="DG65" s="31">
        <f t="shared" si="76"/>
        <v>0.68240513158113369</v>
      </c>
      <c r="DH65" s="10">
        <f t="shared" si="77"/>
        <v>99609.197000000044</v>
      </c>
      <c r="DI65" s="31">
        <f t="shared" si="78"/>
        <v>7.5910504882589949E-2</v>
      </c>
      <c r="DJ65" s="10">
        <f>+Risultati!AW64</f>
        <v>8355.7790000000005</v>
      </c>
      <c r="DK65" s="31">
        <f t="shared" si="79"/>
        <v>6.3677995775565013E-3</v>
      </c>
      <c r="DL65" s="10">
        <f t="shared" si="50"/>
        <v>1312192.5240000002</v>
      </c>
      <c r="DM65" s="31">
        <f t="shared" si="80"/>
        <v>1</v>
      </c>
      <c r="DO65" s="30"/>
      <c r="DP65" s="30"/>
    </row>
    <row r="66" spans="1:120" x14ac:dyDescent="0.2">
      <c r="A66" s="5"/>
      <c r="B66" s="6" t="str">
        <f>+Risultati!B65</f>
        <v>FERRERO INDUSTRIALE ITALIA S.R.L.</v>
      </c>
      <c r="C66" s="6" t="str">
        <f>+Risultati!C65</f>
        <v>03629080049</v>
      </c>
      <c r="D66" s="26">
        <f>IF(YEAR(Risultati!D65)=1900,(MID(Risultati!$AP$1,29,4)),YEAR(Risultati!D65))</f>
        <v>2023</v>
      </c>
      <c r="E66" s="6" t="str">
        <f>+Risultati!E65</f>
        <v>Dettagliato</v>
      </c>
      <c r="F66" s="8" t="str">
        <f>(LEFT(Risultati!AN65,2)&amp;"-")&amp;VLOOKUP((LEFT(Risultati!AN65,2)),ateco!$B$4:$C$93,2,FALSE)</f>
        <v>10-Industrie alimentari</v>
      </c>
      <c r="G66" s="8" t="str">
        <f>SUBSTITUTE((Risultati!AN65&amp;"-"&amp;Risultati!AO65),",",";")</f>
        <v>108200-Produzione di cacao in polvere; cioccolato; caramelle e confetterie</v>
      </c>
      <c r="I66" s="10">
        <f>+Risultati!G65</f>
        <v>805718</v>
      </c>
      <c r="J66" s="11">
        <f t="shared" si="2"/>
        <v>1</v>
      </c>
      <c r="K66" s="12"/>
      <c r="L66" s="10">
        <f>+Risultati!G65+Risultati!H65</f>
        <v>805718</v>
      </c>
      <c r="M66" s="11">
        <f t="shared" si="3"/>
        <v>0.92640334265809843</v>
      </c>
      <c r="N66" s="12"/>
      <c r="O66" s="10">
        <f>+Risultati!I65+Risultati!J65</f>
        <v>62200</v>
      </c>
      <c r="P66" s="11">
        <f t="shared" si="4"/>
        <v>7.151669431902194E-2</v>
      </c>
      <c r="Q66" s="12"/>
      <c r="R66" s="13">
        <f t="shared" si="51"/>
        <v>743518</v>
      </c>
      <c r="S66" s="11">
        <f t="shared" si="6"/>
        <v>0.85488664833907646</v>
      </c>
      <c r="T66" s="12"/>
      <c r="U66" s="10">
        <f>+Risultati!F65-(Risultati!G65+Risultati!H65)</f>
        <v>64009</v>
      </c>
      <c r="V66" s="12">
        <f t="shared" si="7"/>
        <v>7.3596657341901545E-2</v>
      </c>
      <c r="W66" s="12"/>
      <c r="X66" s="10">
        <f t="shared" si="52"/>
        <v>807527</v>
      </c>
      <c r="Y66" s="12">
        <f t="shared" si="9"/>
        <v>0.92848330568097803</v>
      </c>
      <c r="Z66" s="12"/>
      <c r="AA66" s="10">
        <f>+Risultati!K65</f>
        <v>324331</v>
      </c>
      <c r="AB66" s="12">
        <f t="shared" si="10"/>
        <v>0.37291126985824286</v>
      </c>
      <c r="AC66" s="12"/>
      <c r="AD66" s="10">
        <f>+Risultati!L65</f>
        <v>276367</v>
      </c>
      <c r="AE66" s="12">
        <f t="shared" si="11"/>
        <v>0.31776293020683499</v>
      </c>
      <c r="AF66" s="12"/>
      <c r="AG66" s="10">
        <f>+Risultati!M65+Risultati!P65+Risultati!Q65</f>
        <v>13761</v>
      </c>
      <c r="AH66" s="12">
        <f t="shared" si="12"/>
        <v>1.5822206278521881E-2</v>
      </c>
      <c r="AI66" s="12"/>
      <c r="AJ66" s="13">
        <f t="shared" si="53"/>
        <v>193068</v>
      </c>
      <c r="AK66" s="11">
        <f t="shared" si="14"/>
        <v>0.22198689933737828</v>
      </c>
      <c r="AL66" s="12"/>
      <c r="AM66" s="10">
        <f>+Risultati!N65</f>
        <v>682</v>
      </c>
      <c r="AN66" s="12">
        <f t="shared" si="15"/>
        <v>7.8415410812818275E-4</v>
      </c>
      <c r="AO66" s="12"/>
      <c r="AP66" s="10">
        <f t="shared" si="54"/>
        <v>192386</v>
      </c>
      <c r="AQ66" s="41">
        <f t="shared" si="16"/>
        <v>0.2212027452292501</v>
      </c>
      <c r="AR66" s="12"/>
      <c r="AS66" s="10">
        <f>+Risultati!O65</f>
        <v>120428</v>
      </c>
      <c r="AT66" s="12">
        <f t="shared" si="17"/>
        <v>0.13846643831915073</v>
      </c>
      <c r="AU66" s="12"/>
      <c r="AV66" s="10">
        <f t="shared" si="55"/>
        <v>71958</v>
      </c>
      <c r="AW66" s="12">
        <f t="shared" si="19"/>
        <v>8.273630691009938E-2</v>
      </c>
      <c r="AX66" s="12"/>
      <c r="AY66" s="10">
        <f>+Risultati!R65+Risultati!S65</f>
        <v>-4875</v>
      </c>
      <c r="AZ66" s="12">
        <f t="shared" si="20"/>
        <v>-5.6052071512095172E-3</v>
      </c>
      <c r="BA66" s="12"/>
      <c r="BB66" s="10">
        <f>+Risultati!T65</f>
        <v>0</v>
      </c>
      <c r="BC66" s="12">
        <f t="shared" si="21"/>
        <v>0</v>
      </c>
      <c r="BD66" s="12"/>
      <c r="BE66" s="10">
        <f>+Risultati!U65</f>
        <v>10588</v>
      </c>
      <c r="BF66" s="12">
        <f t="shared" si="22"/>
        <v>1.2173935039385922E-2</v>
      </c>
      <c r="BG66" s="12"/>
      <c r="BH66" s="10">
        <f t="shared" si="56"/>
        <v>56495</v>
      </c>
      <c r="BI66" s="12">
        <f t="shared" si="24"/>
        <v>6.495716471950394E-2</v>
      </c>
      <c r="BK66" s="16">
        <f>IF(ISNUMBER(Risultati!X65/100),(Risultati!X65/100))</f>
        <v>7.6686653365956994E-2</v>
      </c>
      <c r="BL66" s="16">
        <f>IF(ISNUMBER(Risultati!Y65/100),(Risultati!Y65/100))</f>
        <v>0.20256597397906601</v>
      </c>
      <c r="BM66" s="16">
        <f>IF(ISNUMBER(Risultati!Z65/100),(Risultati!Z65/100))</f>
        <v>0.29440096134073601</v>
      </c>
      <c r="BN66" s="16">
        <f>IF(AND(Risultati!AY65&lt;0,calcoli!AP66&lt;0),-IF(ISNUMBER(Risultati!AA65/100),(Risultati!AA65/100)),IF(ISNUMBER(Risultati!AA65/100),(Risultati!AA65/100)))</f>
        <v>0.26124153484072699</v>
      </c>
      <c r="BO66" s="16">
        <f t="shared" si="0"/>
        <v>6.495716471950394E-2</v>
      </c>
      <c r="BP66" s="16">
        <f>IF(Risultati!AB65&gt;0,(AV66/Risultati!AB65),"0")</f>
        <v>5.135440663886201E-2</v>
      </c>
      <c r="BQ66" s="16">
        <f>IF(Risultati!AG65&lt;&gt;0,(BH66/Risultati!AG65),"0")</f>
        <v>6.5992972586546059E-2</v>
      </c>
      <c r="BR66" s="16">
        <f t="shared" si="1"/>
        <v>6.495716471950394E-2</v>
      </c>
      <c r="BS66" s="14">
        <f>IF(Risultati!AB65&gt;0,(Risultati!G65/Risultati!AB65),"0")</f>
        <v>0.57501834136927954</v>
      </c>
      <c r="BT66" s="15">
        <f>IF(Risultati!AG65&lt;&gt;0,(Risultati!AB65/Risultati!AG65),"0")</f>
        <v>1.6367752395815325</v>
      </c>
      <c r="BU66" s="23">
        <f>IF(AND(Risultati!G65&gt;0,(Risultati!AE65-Risultati!AF65)&gt;=0),((Risultati!AE65-Risultati!AF65)/Risultati!G65*360),"0")</f>
        <v>11.67281852955997</v>
      </c>
      <c r="BV66" s="21">
        <f>IF(OR(E66="abbreviato",Risultati!G65=0),"0",((Risultati!AC65+Risultati!AD65)/Risultati!G65*360))</f>
        <v>0.65948632151695763</v>
      </c>
      <c r="BW66" s="21">
        <f>IF(OR(E66="abbreviato",Risultati!G65=0,SUM(Risultati!I65+Risultati!K65+Risultati!M65)=0),"0",(((Risultati!AH65+Risultati!AI65)/(Risultati!I65+Risultati!K65+Risultati!N65)*360)))</f>
        <v>114.62156487514625</v>
      </c>
      <c r="BX66" s="16">
        <f>IF(Risultati!AB65&gt;0,(+Risultati!AG65/Risultati!AB65),"0")</f>
        <v>0.61095743374983225</v>
      </c>
      <c r="BY66" s="22">
        <f>IF(OR(E66="abbreviato",Risultati!G65=0),"0",(((Risultati!AK65-(Risultati!AL65+Risultati!AM65))/Risultati!G65)))</f>
        <v>2.1002385449996153E-2</v>
      </c>
      <c r="BZ66" s="16">
        <f>IF(Risultati!G65&gt;0,(Risultati!AJ65/Risultati!G65),"0")</f>
        <v>0.61378795062292268</v>
      </c>
      <c r="CA66" s="8"/>
      <c r="CB66" s="10">
        <f>+Risultati!AP65</f>
        <v>0</v>
      </c>
      <c r="CC66" s="31">
        <f t="shared" si="57"/>
        <v>0</v>
      </c>
      <c r="CD66" s="10">
        <f>+Risultati!AQ65</f>
        <v>88</v>
      </c>
      <c r="CE66" s="31">
        <f t="shared" si="58"/>
        <v>6.2803132163482268E-5</v>
      </c>
      <c r="CF66" s="10">
        <f>+Risultati!AR65</f>
        <v>1122619</v>
      </c>
      <c r="CG66" s="31">
        <f t="shared" si="59"/>
        <v>0.80118169802541239</v>
      </c>
      <c r="CH66" s="10">
        <f>+Risultati!AS65</f>
        <v>113</v>
      </c>
      <c r="CI66" s="31">
        <f t="shared" si="60"/>
        <v>8.0644931073562456E-5</v>
      </c>
      <c r="CJ66" s="10">
        <f t="shared" si="61"/>
        <v>1122820</v>
      </c>
      <c r="CK66" s="31">
        <f t="shared" si="62"/>
        <v>0.80132514608864946</v>
      </c>
      <c r="CL66" s="10">
        <f>+Risultati!AE65+Risultati!AF65</f>
        <v>26125</v>
      </c>
      <c r="CM66" s="31">
        <f t="shared" si="63"/>
        <v>1.8644679861033797E-2</v>
      </c>
      <c r="CN66" s="10">
        <f>+Risultati!AT65</f>
        <v>234068</v>
      </c>
      <c r="CO66" s="31">
        <f t="shared" si="64"/>
        <v>0.16704776749138597</v>
      </c>
      <c r="CP66" s="10">
        <f>+Risultati!AU65</f>
        <v>0</v>
      </c>
      <c r="CQ66" s="31">
        <f t="shared" si="65"/>
        <v>0</v>
      </c>
      <c r="CR66" s="10">
        <f>+Risultati!AL65</f>
        <v>54</v>
      </c>
      <c r="CS66" s="31">
        <f t="shared" si="66"/>
        <v>3.8538285645773205E-5</v>
      </c>
      <c r="CT66" s="10">
        <f t="shared" si="67"/>
        <v>260247</v>
      </c>
      <c r="CU66" s="31">
        <f t="shared" si="68"/>
        <v>0.18573098563806556</v>
      </c>
      <c r="CV66" s="10">
        <f>+Risultati!AX65</f>
        <v>18137</v>
      </c>
      <c r="CW66" s="31">
        <f t="shared" si="69"/>
        <v>1.2943868273284975E-2</v>
      </c>
      <c r="CX66" s="10">
        <f t="shared" si="70"/>
        <v>1401204</v>
      </c>
      <c r="CY66" s="31">
        <f t="shared" si="71"/>
        <v>1</v>
      </c>
      <c r="CZ66" s="10">
        <f>+Risultati!AG65</f>
        <v>856076</v>
      </c>
      <c r="DA66" s="31">
        <f t="shared" si="72"/>
        <v>0.61095743374983225</v>
      </c>
      <c r="DB66" s="10">
        <f t="shared" si="73"/>
        <v>29211</v>
      </c>
      <c r="DC66" s="31">
        <f t="shared" si="74"/>
        <v>2.0847071518494097E-2</v>
      </c>
      <c r="DD66" s="10">
        <f>+Risultati!AV65</f>
        <v>505900</v>
      </c>
      <c r="DE66" s="31">
        <f t="shared" si="75"/>
        <v>0.3610466427443827</v>
      </c>
      <c r="DF66" s="10">
        <f>+Risultati!AJ65</f>
        <v>494540</v>
      </c>
      <c r="DG66" s="31">
        <f t="shared" si="76"/>
        <v>0.35293932931964223</v>
      </c>
      <c r="DH66" s="10">
        <f t="shared" si="77"/>
        <v>11360</v>
      </c>
      <c r="DI66" s="31">
        <f t="shared" si="78"/>
        <v>8.1073134247404369E-3</v>
      </c>
      <c r="DJ66" s="10">
        <f>+Risultati!AW65</f>
        <v>10017</v>
      </c>
      <c r="DK66" s="31">
        <f t="shared" si="79"/>
        <v>7.1488519872909299E-3</v>
      </c>
      <c r="DL66" s="10">
        <f t="shared" si="50"/>
        <v>1401204</v>
      </c>
      <c r="DM66" s="31">
        <f t="shared" si="80"/>
        <v>1</v>
      </c>
      <c r="DO66" s="30"/>
      <c r="DP66" s="30"/>
    </row>
    <row r="67" spans="1:120" x14ac:dyDescent="0.2">
      <c r="A67" s="5"/>
      <c r="B67" s="6" t="str">
        <f>+Risultati!B66</f>
        <v>AVI.COOP SOCIETA' COOPERATIVA AGRICOLA IN BREVE: AVI.COOP S.C.A. OVVERO: AVI.COOP SOC. COOP. AGR.</v>
      </c>
      <c r="C67" s="6" t="str">
        <f>+Risultati!C66</f>
        <v>01247140401</v>
      </c>
      <c r="D67" s="26">
        <f>IF(YEAR(Risultati!D66)=1900,(MID(Risultati!$AP$1,29,4)),YEAR(Risultati!D66))</f>
        <v>2023</v>
      </c>
      <c r="E67" s="6" t="str">
        <f>+Risultati!E66</f>
        <v>Dettagliato</v>
      </c>
      <c r="F67" s="8" t="str">
        <f>(LEFT(Risultati!AN66,2)&amp;"-")&amp;VLOOKUP((LEFT(Risultati!AN66,2)),ateco!$B$4:$C$93,2,FALSE)</f>
        <v>01-Coltivazioni agricole e produzione di prodotti animali; caccia e servizi connessi</v>
      </c>
      <c r="G67" s="8" t="str">
        <f>SUBSTITUTE((Risultati!AN66&amp;"-"&amp;Risultati!AO66),",",";")</f>
        <v>016300-Attività che seguono la raccolta</v>
      </c>
      <c r="I67" s="10">
        <f>+Risultati!G66</f>
        <v>827415.51500000001</v>
      </c>
      <c r="J67" s="11">
        <f t="shared" si="2"/>
        <v>1.0018040646697948</v>
      </c>
      <c r="K67" s="12"/>
      <c r="L67" s="10">
        <f>+Risultati!G66+Risultati!H66</f>
        <v>825925.49199999997</v>
      </c>
      <c r="M67" s="11">
        <f t="shared" si="3"/>
        <v>0.98632518756575793</v>
      </c>
      <c r="N67" s="12"/>
      <c r="O67" s="10">
        <f>+Risultati!I66+Risultati!J66</f>
        <v>623936.28</v>
      </c>
      <c r="P67" s="11">
        <f t="shared" si="4"/>
        <v>0.74510845634497169</v>
      </c>
      <c r="Q67" s="12"/>
      <c r="R67" s="13">
        <f t="shared" si="51"/>
        <v>201989.21199999994</v>
      </c>
      <c r="S67" s="11">
        <f t="shared" si="6"/>
        <v>0.24121673122078618</v>
      </c>
      <c r="T67" s="12"/>
      <c r="U67" s="10">
        <f>+Risultati!F66-(Risultati!G66+Risultati!H66)</f>
        <v>11450.966000000015</v>
      </c>
      <c r="V67" s="12">
        <f t="shared" si="7"/>
        <v>1.3674812434242109E-2</v>
      </c>
      <c r="W67" s="12"/>
      <c r="X67" s="10">
        <f t="shared" si="52"/>
        <v>213440.17799999996</v>
      </c>
      <c r="Y67" s="12">
        <f t="shared" si="9"/>
        <v>0.25489154365502831</v>
      </c>
      <c r="Z67" s="12"/>
      <c r="AA67" s="10">
        <f>+Risultati!K66</f>
        <v>58830.671000000002</v>
      </c>
      <c r="AB67" s="12">
        <f t="shared" si="10"/>
        <v>7.0255940966518077E-2</v>
      </c>
      <c r="AC67" s="12"/>
      <c r="AD67" s="10">
        <f>+Risultati!L66</f>
        <v>127227.81600000001</v>
      </c>
      <c r="AE67" s="12">
        <f t="shared" si="11"/>
        <v>0.15193622269232701</v>
      </c>
      <c r="AF67" s="12"/>
      <c r="AG67" s="10">
        <f>+Risultati!M66+Risultati!P66+Risultati!Q66</f>
        <v>578.85599999999999</v>
      </c>
      <c r="AH67" s="12">
        <f t="shared" si="12"/>
        <v>6.9127331497060077E-4</v>
      </c>
      <c r="AI67" s="12"/>
      <c r="AJ67" s="13">
        <f t="shared" si="53"/>
        <v>26802.834999999948</v>
      </c>
      <c r="AK67" s="11">
        <f t="shared" si="14"/>
        <v>3.2008106681212609E-2</v>
      </c>
      <c r="AL67" s="12"/>
      <c r="AM67" s="10">
        <f>+Risultati!N66</f>
        <v>8657.4320000000007</v>
      </c>
      <c r="AN67" s="12">
        <f t="shared" si="15"/>
        <v>1.0338757338219796E-2</v>
      </c>
      <c r="AO67" s="12"/>
      <c r="AP67" s="10">
        <f t="shared" si="54"/>
        <v>18145.402999999947</v>
      </c>
      <c r="AQ67" s="41">
        <f t="shared" si="16"/>
        <v>2.1669349342992812E-2</v>
      </c>
      <c r="AR67" s="12"/>
      <c r="AS67" s="10">
        <f>+Risultati!O66</f>
        <v>12883.657999999999</v>
      </c>
      <c r="AT67" s="12">
        <f t="shared" si="17"/>
        <v>1.5385741833214995E-2</v>
      </c>
      <c r="AU67" s="12"/>
      <c r="AV67" s="10">
        <f t="shared" si="55"/>
        <v>5261.744999999948</v>
      </c>
      <c r="AW67" s="12">
        <f t="shared" si="19"/>
        <v>6.2836075097778164E-3</v>
      </c>
      <c r="AX67" s="12"/>
      <c r="AY67" s="10">
        <f>+Risultati!R66+Risultati!S66</f>
        <v>-5205.9369999999999</v>
      </c>
      <c r="AZ67" s="12">
        <f t="shared" si="20"/>
        <v>-6.2169612606902307E-3</v>
      </c>
      <c r="BA67" s="12"/>
      <c r="BB67" s="10">
        <f>+Risultati!T66</f>
        <v>0</v>
      </c>
      <c r="BC67" s="12">
        <f t="shared" si="21"/>
        <v>0</v>
      </c>
      <c r="BD67" s="12"/>
      <c r="BE67" s="10">
        <f>+Risultati!U66</f>
        <v>0.60299999999999998</v>
      </c>
      <c r="BF67" s="12">
        <f t="shared" si="22"/>
        <v>7.2010622491132891E-7</v>
      </c>
      <c r="BG67" s="12"/>
      <c r="BH67" s="10">
        <f t="shared" si="56"/>
        <v>55.20499999994815</v>
      </c>
      <c r="BI67" s="12">
        <f t="shared" si="24"/>
        <v>6.5926142862674265E-5</v>
      </c>
      <c r="BK67" s="16">
        <f>IF(ISNUMBER(Risultati!X66/100),(Risultati!X66/100))</f>
        <v>-2.23807238852845E-2</v>
      </c>
      <c r="BL67" s="16">
        <f>IF(ISNUMBER(Risultati!Y66/100),(Risultati!Y66/100))</f>
        <v>0.27526002652352399</v>
      </c>
      <c r="BM67" s="16">
        <f>IF(ISNUMBER(Risultati!Z66/100),(Risultati!Z66/100))</f>
        <v>0.69549139239812308</v>
      </c>
      <c r="BN67" s="16">
        <f>IF(AND(Risultati!AY66&lt;0,calcoli!AP67&lt;0),-IF(ISNUMBER(Risultati!AA66/100),(Risultati!AA66/100)),IF(ISNUMBER(Risultati!AA66/100),(Risultati!AA66/100)))</f>
        <v>1.41024836895095</v>
      </c>
      <c r="BO67" s="16">
        <f t="shared" ref="BO67:BO130" si="81">+BI67</f>
        <v>6.5926142862674265E-5</v>
      </c>
      <c r="BP67" s="16">
        <f>IF(Risultati!AB66&gt;0,(AV67/Risultati!AB66),"0")</f>
        <v>2.5471817981398408E-2</v>
      </c>
      <c r="BQ67" s="16">
        <f>IF(Risultati!AG66&lt;&gt;0,(BH67/Risultati!AG66),"0")</f>
        <v>6.6232205156247842E-3</v>
      </c>
      <c r="BR67" s="16">
        <f t="shared" ref="BR67:BR130" si="82">+BI67</f>
        <v>6.5926142862674265E-5</v>
      </c>
      <c r="BS67" s="14">
        <f>IF(Risultati!AB66&gt;0,(Risultati!G66/Risultati!AB66),"0")</f>
        <v>4.0054729739022381</v>
      </c>
      <c r="BT67" s="15">
        <f>IF(Risultati!AG66&lt;&gt;0,(Risultati!AB66/Risultati!AG66),"0")</f>
        <v>24.783386796198091</v>
      </c>
      <c r="BU67" s="23">
        <f>IF(AND(Risultati!G66&gt;0,(Risultati!AE66-Risultati!AF66)&gt;=0),((Risultati!AE66-Risultati!AF66)/Risultati!G66*360),"0")</f>
        <v>5.7092140458594143</v>
      </c>
      <c r="BV67" s="21">
        <f>IF(OR(E67="abbreviato",Risultati!G66=0),"0",((Risultati!AC66+Risultati!AD66)/Risultati!G66*360))</f>
        <v>19.090676538740034</v>
      </c>
      <c r="BW67" s="21">
        <f>IF(OR(E67="abbreviato",Risultati!G66=0,SUM(Risultati!I66+Risultati!K66+Risultati!M66)=0),"0",(((Risultati!AH66+Risultati!AI66)/(Risultati!I66+Risultati!K66+Risultati!N66)*360)))</f>
        <v>20.717736630528648</v>
      </c>
      <c r="BX67" s="16">
        <f>IF(Risultati!AB66&gt;0,(+Risultati!AG66/Risultati!AB66),"0")</f>
        <v>4.0349610334670064E-2</v>
      </c>
      <c r="BY67" s="22">
        <f>IF(OR(E67="abbreviato",Risultati!G66=0),"0",(((Risultati!AK66-(Risultati!AL66+Risultati!AM66))/Risultati!G66)))</f>
        <v>-1.3694449517302077E-5</v>
      </c>
      <c r="BZ67" s="16">
        <f>IF(Risultati!G66&gt;0,(Risultati!AJ66/Risultati!G66),"0")</f>
        <v>0.21692496665354408</v>
      </c>
      <c r="CA67" s="8"/>
      <c r="CB67" s="10">
        <f>+Risultati!AP66</f>
        <v>0</v>
      </c>
      <c r="CC67" s="31">
        <f t="shared" si="57"/>
        <v>0</v>
      </c>
      <c r="CD67" s="10">
        <f>+Risultati!AQ66</f>
        <v>1004.7329999999999</v>
      </c>
      <c r="CE67" s="31">
        <f t="shared" si="58"/>
        <v>4.8638571606766613E-3</v>
      </c>
      <c r="CF67" s="10">
        <f>+Risultati!AR66</f>
        <v>126312.039</v>
      </c>
      <c r="CG67" s="31">
        <f t="shared" si="59"/>
        <v>0.611469629612862</v>
      </c>
      <c r="CH67" s="10">
        <f>+Risultati!AS66</f>
        <v>12327.736000000001</v>
      </c>
      <c r="CI67" s="31">
        <f t="shared" si="60"/>
        <v>5.9677891557788451E-2</v>
      </c>
      <c r="CJ67" s="10">
        <f t="shared" si="61"/>
        <v>139644.508</v>
      </c>
      <c r="CK67" s="31">
        <f t="shared" si="62"/>
        <v>0.67601137833132718</v>
      </c>
      <c r="CL67" s="10">
        <f>+Risultati!AE66+Risultati!AF66</f>
        <v>13121.923000000001</v>
      </c>
      <c r="CM67" s="31">
        <f t="shared" si="63"/>
        <v>6.3522507119202598E-2</v>
      </c>
      <c r="CN67" s="10">
        <f>+Risultati!AT66</f>
        <v>52125.444000000003</v>
      </c>
      <c r="CO67" s="31">
        <f t="shared" si="64"/>
        <v>0.2523364058439907</v>
      </c>
      <c r="CP67" s="10">
        <f>+Risultati!AU66</f>
        <v>0</v>
      </c>
      <c r="CQ67" s="31">
        <f t="shared" si="65"/>
        <v>0</v>
      </c>
      <c r="CR67" s="10">
        <f>+Risultati!AL66</f>
        <v>11.353</v>
      </c>
      <c r="CS67" s="31">
        <f t="shared" si="66"/>
        <v>5.4959248223321157E-5</v>
      </c>
      <c r="CT67" s="10">
        <f t="shared" si="67"/>
        <v>65258.720000000008</v>
      </c>
      <c r="CU67" s="31">
        <f t="shared" si="68"/>
        <v>0.31591387221141665</v>
      </c>
      <c r="CV67" s="10">
        <f>+Risultati!AX66</f>
        <v>1668.011</v>
      </c>
      <c r="CW67" s="31">
        <f t="shared" si="69"/>
        <v>8.0747494572562441E-3</v>
      </c>
      <c r="CX67" s="10">
        <f t="shared" si="70"/>
        <v>206571.239</v>
      </c>
      <c r="CY67" s="31">
        <f t="shared" si="71"/>
        <v>1</v>
      </c>
      <c r="CZ67" s="10">
        <f>+Risultati!AG66</f>
        <v>8335.0689999999995</v>
      </c>
      <c r="DA67" s="31">
        <f t="shared" si="72"/>
        <v>4.0349610334670064E-2</v>
      </c>
      <c r="DB67" s="10">
        <f t="shared" si="73"/>
        <v>9165.6620000000003</v>
      </c>
      <c r="DC67" s="31">
        <f t="shared" si="74"/>
        <v>4.43704653385944E-2</v>
      </c>
      <c r="DD67" s="10">
        <f>+Risultati!AV66</f>
        <v>179487.08300000001</v>
      </c>
      <c r="DE67" s="31">
        <f t="shared" si="75"/>
        <v>0.86888709129541508</v>
      </c>
      <c r="DF67" s="10">
        <f>+Risultati!AJ66</f>
        <v>179487.08300000001</v>
      </c>
      <c r="DG67" s="31">
        <f t="shared" si="76"/>
        <v>0.86888709129541508</v>
      </c>
      <c r="DH67" s="10">
        <f t="shared" si="77"/>
        <v>0</v>
      </c>
      <c r="DI67" s="31">
        <f t="shared" si="78"/>
        <v>0</v>
      </c>
      <c r="DJ67" s="10">
        <f>+Risultati!AW66</f>
        <v>9583.4249999999993</v>
      </c>
      <c r="DK67" s="31">
        <f t="shared" si="79"/>
        <v>4.6392833031320489E-2</v>
      </c>
      <c r="DL67" s="10">
        <f t="shared" si="50"/>
        <v>206571.239</v>
      </c>
      <c r="DM67" s="31">
        <f t="shared" si="80"/>
        <v>1</v>
      </c>
      <c r="DO67" s="30"/>
      <c r="DP67" s="30"/>
    </row>
    <row r="68" spans="1:120" x14ac:dyDescent="0.2">
      <c r="A68" s="5"/>
      <c r="B68" s="6" t="str">
        <f>+Risultati!B67</f>
        <v>HEINEKEN ITALIA SPA</v>
      </c>
      <c r="C68" s="6" t="str">
        <f>+Risultati!C67</f>
        <v>00610140071</v>
      </c>
      <c r="D68" s="26">
        <f>IF(YEAR(Risultati!D67)=1900,(MID(Risultati!$AP$1,29,4)),YEAR(Risultati!D67))</f>
        <v>2023</v>
      </c>
      <c r="E68" s="6" t="str">
        <f>+Risultati!E67</f>
        <v>Dettagliato</v>
      </c>
      <c r="F68" s="8" t="str">
        <f>(LEFT(Risultati!AN67,2)&amp;"-")&amp;VLOOKUP((LEFT(Risultati!AN67,2)),ateco!$B$4:$C$93,2,FALSE)</f>
        <v>11-Industria delle bevande</v>
      </c>
      <c r="G68" s="8" t="str">
        <f>SUBSTITUTE((Risultati!AN67&amp;"-"&amp;Risultati!AO67),",",";")</f>
        <v>110500-Produzione di birra</v>
      </c>
      <c r="I68" s="10">
        <f>+Risultati!G67</f>
        <v>826616</v>
      </c>
      <c r="J68" s="11">
        <f t="shared" ref="J68:J131" si="83">IF(L68&lt;&gt;0,(I68/L68),"0")</f>
        <v>1.0216070781935727</v>
      </c>
      <c r="K68" s="12"/>
      <c r="L68" s="10">
        <f>+Risultati!G67+Risultati!H67</f>
        <v>809133</v>
      </c>
      <c r="M68" s="11">
        <f t="shared" ref="M68:M131" si="84">IF(L68&lt;&gt;0,(L68/(L68+U68)),"0")</f>
        <v>0.94565537520803333</v>
      </c>
      <c r="N68" s="12"/>
      <c r="O68" s="10">
        <f>+Risultati!I67+Risultati!J67</f>
        <v>390614</v>
      </c>
      <c r="P68" s="11">
        <f t="shared" ref="P68:P131" si="85">IF(L68&lt;&gt;0,(O68/(L68+U68)),"0")</f>
        <v>0.45652102773154812</v>
      </c>
      <c r="Q68" s="12"/>
      <c r="R68" s="13">
        <f t="shared" si="51"/>
        <v>418519</v>
      </c>
      <c r="S68" s="11">
        <f t="shared" ref="S68:S131" si="86">IF(L68&lt;&gt;0,(R68/(L68+U68)),"0")</f>
        <v>0.48913434747648521</v>
      </c>
      <c r="T68" s="12"/>
      <c r="U68" s="10">
        <f>+Risultati!F67-(Risultati!G67+Risultati!H67)</f>
        <v>46499</v>
      </c>
      <c r="V68" s="12">
        <f t="shared" ref="V68:V131" si="87">IF(L68&lt;&gt;0,(U68/(L68+U68)),"0")</f>
        <v>5.4344624791966639E-2</v>
      </c>
      <c r="W68" s="12"/>
      <c r="X68" s="10">
        <f t="shared" si="52"/>
        <v>465018</v>
      </c>
      <c r="Y68" s="12">
        <f t="shared" ref="Y68:Y131" si="88">IF(L68&lt;&gt;0,(X68/(L68+U68)),"0")</f>
        <v>0.54347897226845188</v>
      </c>
      <c r="Z68" s="12"/>
      <c r="AA68" s="10">
        <f>+Risultati!K67</f>
        <v>202318</v>
      </c>
      <c r="AB68" s="12">
        <f t="shared" ref="AB68:AB131" si="89">IF(L68&lt;&gt;0,(AA68/(L68+U68)),"0")</f>
        <v>0.23645445705630458</v>
      </c>
      <c r="AC68" s="12"/>
      <c r="AD68" s="10">
        <f>+Risultati!L67</f>
        <v>84919</v>
      </c>
      <c r="AE68" s="12">
        <f t="shared" ref="AE68:AE131" si="90">IF(L68&lt;&gt;0,(AD68/(L68+U68)),"0")</f>
        <v>9.9247106232585966E-2</v>
      </c>
      <c r="AF68" s="12"/>
      <c r="AG68" s="10">
        <f>+Risultati!M67+Risultati!P67+Risultati!Q67</f>
        <v>9818</v>
      </c>
      <c r="AH68" s="12">
        <f t="shared" ref="AH68:AH131" si="91">IF(L68&lt;&gt;0,(AG68/(L68+U68)),"0")</f>
        <v>1.147455915627279E-2</v>
      </c>
      <c r="AI68" s="12"/>
      <c r="AJ68" s="13">
        <f t="shared" si="53"/>
        <v>167963</v>
      </c>
      <c r="AK68" s="11">
        <f t="shared" ref="AK68:AK131" si="92">IF(L68&lt;&gt;0,(AJ68/(L68+U68)),"0")</f>
        <v>0.19630284982328852</v>
      </c>
      <c r="AL68" s="12"/>
      <c r="AM68" s="10">
        <f>+Risultati!N67</f>
        <v>0</v>
      </c>
      <c r="AN68" s="12">
        <f t="shared" ref="AN68:AN131" si="93">IF(L68&lt;&gt;0,(AM68/(L68+U68)),"0")</f>
        <v>0</v>
      </c>
      <c r="AO68" s="12"/>
      <c r="AP68" s="10">
        <f t="shared" si="54"/>
        <v>167963</v>
      </c>
      <c r="AQ68" s="41">
        <f t="shared" ref="AQ68:AQ131" si="94">IF(L68&lt;&gt;0,(AP68/(L68+U68)),"0")</f>
        <v>0.19630284982328852</v>
      </c>
      <c r="AR68" s="12"/>
      <c r="AS68" s="10">
        <f>+Risultati!O67</f>
        <v>35256</v>
      </c>
      <c r="AT68" s="12">
        <f t="shared" ref="AT68:AT131" si="95">IF(L68&lt;&gt;0,(AS68/(L68+U68)),"0")</f>
        <v>4.1204630027862447E-2</v>
      </c>
      <c r="AU68" s="12"/>
      <c r="AV68" s="10">
        <f t="shared" si="55"/>
        <v>132707</v>
      </c>
      <c r="AW68" s="12">
        <f t="shared" ref="AW68:AW131" si="96">IF(L68&lt;&gt;0,(AV68/(L68+U68)),"0")</f>
        <v>0.15509821979542607</v>
      </c>
      <c r="AX68" s="12"/>
      <c r="AY68" s="10">
        <f>+Risultati!R67+Risultati!S67</f>
        <v>-5895</v>
      </c>
      <c r="AZ68" s="12">
        <f t="shared" ref="AZ68:AZ131" si="97">IF(L68&lt;&gt;0,(AY68/(L68+U68)),"0")</f>
        <v>-6.8896441460814927E-3</v>
      </c>
      <c r="BA68" s="12"/>
      <c r="BB68" s="10">
        <f>+Risultati!T67</f>
        <v>0</v>
      </c>
      <c r="BC68" s="12">
        <f t="shared" ref="BC68:BC131" si="98">IF(L68&lt;&gt;0,(BB68/(L68+U68)),"0")</f>
        <v>0</v>
      </c>
      <c r="BD68" s="12"/>
      <c r="BE68" s="10">
        <f>+Risultati!U67</f>
        <v>35273</v>
      </c>
      <c r="BF68" s="12">
        <f t="shared" ref="BF68:BF131" si="99">IF(L68&lt;&gt;0,(BE68/(L68+U68)),"0")</f>
        <v>4.122449838248219E-2</v>
      </c>
      <c r="BG68" s="12"/>
      <c r="BH68" s="10">
        <f t="shared" si="56"/>
        <v>91539</v>
      </c>
      <c r="BI68" s="12">
        <f t="shared" ref="BI68:BI131" si="100">IF(L68&lt;&gt;0,(+BH68/(L68+U68)),"0")</f>
        <v>0.10698407726686239</v>
      </c>
      <c r="BK68" s="16">
        <f>IF(ISNUMBER(Risultati!X67/100),(Risultati!X67/100))</f>
        <v>9.7169130139313609E-2</v>
      </c>
      <c r="BL68" s="16">
        <f>IF(ISNUMBER(Risultati!Y67/100),(Risultati!Y67/100))</f>
        <v>0.21771590616138201</v>
      </c>
      <c r="BM68" s="16">
        <f>IF(ISNUMBER(Risultati!Z67/100),(Risultati!Z67/100))</f>
        <v>0.32103839982612398</v>
      </c>
      <c r="BN68" s="16">
        <f>IF(AND(Risultati!AY67&lt;0,calcoli!AP68&lt;0),-IF(ISNUMBER(Risultati!AA67/100),(Risultati!AA67/100)),IF(ISNUMBER(Risultati!AA67/100),(Risultati!AA67/100)))</f>
        <v>0.20484771100239599</v>
      </c>
      <c r="BO68" s="16">
        <f t="shared" si="81"/>
        <v>0.10698407726686239</v>
      </c>
      <c r="BP68" s="16">
        <f>IF(Risultati!AB67&gt;0,(AV68/Risultati!AB67),"0")</f>
        <v>0.18688547214609813</v>
      </c>
      <c r="BQ68" s="16">
        <f>IF(Risultati!AG67&lt;&gt;0,(BH68/Risultati!AG67),"0")</f>
        <v>0.38728306580584021</v>
      </c>
      <c r="BR68" s="16">
        <f t="shared" si="82"/>
        <v>0.10698407726686239</v>
      </c>
      <c r="BS68" s="14">
        <f>IF(Risultati!AB67&gt;0,(Risultati!G67/Risultati!AB67),"0")</f>
        <v>1.164087210497706</v>
      </c>
      <c r="BT68" s="15">
        <f>IF(Risultati!AG67&lt;&gt;0,(Risultati!AB67/Risultati!AG67),"0")</f>
        <v>3.0042815681031638</v>
      </c>
      <c r="BU68" s="23">
        <f>IF(AND(Risultati!G67&gt;0,(Risultati!AE67-Risultati!AF67)&gt;=0),((Risultati!AE67-Risultati!AF67)/Risultati!G67*360),"0")</f>
        <v>34.296892390178755</v>
      </c>
      <c r="BV68" s="21">
        <f>IF(OR(E68="abbreviato",Risultati!G67=0),"0",((Risultati!AC67+Risultati!AD67)/Risultati!G67*360))</f>
        <v>8.8203954435917034</v>
      </c>
      <c r="BW68" s="21">
        <f>IF(OR(E68="abbreviato",Risultati!G67=0,SUM(Risultati!I67+Risultati!K67+Risultati!M67)=0),"0",(((Risultati!AH67+Risultati!AI67)/(Risultati!I67+Risultati!K67+Risultati!N67)*360)))</f>
        <v>82.874461152374977</v>
      </c>
      <c r="BX68" s="16">
        <f>IF(Risultati!AB67&gt;0,(+Risultati!AG67/Risultati!AB67),"0")</f>
        <v>0.33285828153297148</v>
      </c>
      <c r="BY68" s="22">
        <f>IF(OR(E68="abbreviato",Risultati!G67=0),"0",(((Risultati!AK67-(Risultati!AL67+Risultati!AM67))/Risultati!G67)))</f>
        <v>-0.16860065616924907</v>
      </c>
      <c r="BZ68" s="16">
        <f>IF(Risultati!G67&gt;0,(Risultati!AJ67/Risultati!G67),"0")</f>
        <v>0.32325408654078797</v>
      </c>
      <c r="CA68" s="8"/>
      <c r="CB68" s="10">
        <f>+Risultati!AP67</f>
        <v>0</v>
      </c>
      <c r="CC68" s="31">
        <f t="shared" si="57"/>
        <v>0</v>
      </c>
      <c r="CD68" s="10">
        <f>+Risultati!AQ67</f>
        <v>4127</v>
      </c>
      <c r="CE68" s="31">
        <f t="shared" si="58"/>
        <v>5.8118738540314154E-3</v>
      </c>
      <c r="CF68" s="10">
        <f>+Risultati!AR67</f>
        <v>228525</v>
      </c>
      <c r="CG68" s="31">
        <f t="shared" si="59"/>
        <v>0.32182177671251011</v>
      </c>
      <c r="CH68" s="10">
        <f>+Risultati!AS67</f>
        <v>140755</v>
      </c>
      <c r="CI68" s="31">
        <f t="shared" si="60"/>
        <v>0.19821911905117323</v>
      </c>
      <c r="CJ68" s="10">
        <f t="shared" si="61"/>
        <v>373407</v>
      </c>
      <c r="CK68" s="31">
        <f t="shared" si="62"/>
        <v>0.52585276961771477</v>
      </c>
      <c r="CL68" s="10">
        <f>+Risultati!AE67+Risultati!AF67</f>
        <v>78751</v>
      </c>
      <c r="CM68" s="31">
        <f t="shared" si="63"/>
        <v>0.11090159386450885</v>
      </c>
      <c r="CN68" s="10">
        <f>+Risultati!AT67</f>
        <v>92622</v>
      </c>
      <c r="CO68" s="31">
        <f t="shared" si="64"/>
        <v>0.13043551735112618</v>
      </c>
      <c r="CP68" s="10">
        <f>+Risultati!AU67</f>
        <v>158592</v>
      </c>
      <c r="CQ68" s="31">
        <f t="shared" si="65"/>
        <v>0.22333818712346745</v>
      </c>
      <c r="CR68" s="10">
        <f>+Risultati!AL67</f>
        <v>6063</v>
      </c>
      <c r="CS68" s="31">
        <f t="shared" si="66"/>
        <v>8.5382580995862541E-3</v>
      </c>
      <c r="CT68" s="10">
        <f t="shared" si="67"/>
        <v>336028</v>
      </c>
      <c r="CU68" s="31">
        <f t="shared" si="68"/>
        <v>0.47321355643868873</v>
      </c>
      <c r="CV68" s="10">
        <f>+Risultati!AX67</f>
        <v>663</v>
      </c>
      <c r="CW68" s="31">
        <f t="shared" si="69"/>
        <v>9.3367394359651764E-4</v>
      </c>
      <c r="CX68" s="10">
        <f t="shared" si="70"/>
        <v>710098</v>
      </c>
      <c r="CY68" s="31">
        <f t="shared" si="71"/>
        <v>1</v>
      </c>
      <c r="CZ68" s="10">
        <f>+Risultati!AG67</f>
        <v>236362</v>
      </c>
      <c r="DA68" s="31">
        <f t="shared" si="72"/>
        <v>0.33285828153297148</v>
      </c>
      <c r="DB68" s="10">
        <f t="shared" si="73"/>
        <v>16042</v>
      </c>
      <c r="DC68" s="31">
        <f t="shared" si="74"/>
        <v>2.2591247968590251E-2</v>
      </c>
      <c r="DD68" s="10">
        <f>+Risultati!AV67</f>
        <v>455762</v>
      </c>
      <c r="DE68" s="31">
        <f t="shared" si="75"/>
        <v>0.64182971927818411</v>
      </c>
      <c r="DF68" s="10">
        <f>+Risultati!AJ67</f>
        <v>267207</v>
      </c>
      <c r="DG68" s="31">
        <f t="shared" si="76"/>
        <v>0.37629594788324994</v>
      </c>
      <c r="DH68" s="10">
        <f t="shared" si="77"/>
        <v>188555</v>
      </c>
      <c r="DI68" s="31">
        <f t="shared" si="78"/>
        <v>0.26553377139493423</v>
      </c>
      <c r="DJ68" s="10">
        <f>+Risultati!AW67</f>
        <v>1932</v>
      </c>
      <c r="DK68" s="31">
        <f t="shared" si="79"/>
        <v>2.7207512202541057E-3</v>
      </c>
      <c r="DL68" s="10">
        <f t="shared" ref="DL68:DL131" si="101">+CX68</f>
        <v>710098</v>
      </c>
      <c r="DM68" s="31">
        <f t="shared" si="80"/>
        <v>1</v>
      </c>
      <c r="DO68" s="30"/>
      <c r="DP68" s="30"/>
    </row>
    <row r="69" spans="1:120" x14ac:dyDescent="0.2">
      <c r="A69" s="5"/>
      <c r="B69" s="6" t="str">
        <f>+Risultati!B68</f>
        <v>MAIORA SOCIETA' PER AZIONI</v>
      </c>
      <c r="C69" s="6" t="str">
        <f>+Risultati!C68</f>
        <v>07390770720</v>
      </c>
      <c r="D69" s="26">
        <f>IF(YEAR(Risultati!D68)=1900,(MID(Risultati!$AP$1,29,4)),YEAR(Risultati!D68))</f>
        <v>2023</v>
      </c>
      <c r="E69" s="6" t="str">
        <f>+Risultati!E68</f>
        <v>Dettagliato</v>
      </c>
      <c r="F69" s="8" t="str">
        <f>(LEFT(Risultati!AN68,2)&amp;"-")&amp;VLOOKUP((LEFT(Risultati!AN68,2)),ateco!$B$4:$C$93,2,FALSE)</f>
        <v>46-Commercio all'ingrosso (escluso quello di autoveicoli e di motocicli)</v>
      </c>
      <c r="G69" s="8" t="str">
        <f>SUBSTITUTE((Risultati!AN68&amp;"-"&amp;Risultati!AO68),",",";")</f>
        <v>469000-Commercio all'ingrosso non specializzato</v>
      </c>
      <c r="I69" s="10">
        <f>+Risultati!G68</f>
        <v>825297</v>
      </c>
      <c r="J69" s="11">
        <f t="shared" si="83"/>
        <v>1</v>
      </c>
      <c r="K69" s="12"/>
      <c r="L69" s="10">
        <f>+Risultati!G68+Risultati!H68</f>
        <v>825297</v>
      </c>
      <c r="M69" s="11">
        <f t="shared" si="84"/>
        <v>0.991477562828046</v>
      </c>
      <c r="N69" s="12"/>
      <c r="O69" s="10">
        <f>+Risultati!I68+Risultati!J68</f>
        <v>634608</v>
      </c>
      <c r="P69" s="11">
        <f t="shared" si="85"/>
        <v>0.76239171254854987</v>
      </c>
      <c r="Q69" s="12"/>
      <c r="R69" s="13">
        <f t="shared" si="51"/>
        <v>190689</v>
      </c>
      <c r="S69" s="11">
        <f t="shared" si="86"/>
        <v>0.22908585027949604</v>
      </c>
      <c r="T69" s="12"/>
      <c r="U69" s="10">
        <f>+Risultati!F68-(Risultati!G68+Risultati!H68)</f>
        <v>7094</v>
      </c>
      <c r="V69" s="12">
        <f t="shared" si="87"/>
        <v>8.5224371719540455E-3</v>
      </c>
      <c r="W69" s="12"/>
      <c r="X69" s="10">
        <f t="shared" si="52"/>
        <v>197783</v>
      </c>
      <c r="Y69" s="12">
        <f t="shared" si="88"/>
        <v>0.2376082874514501</v>
      </c>
      <c r="Z69" s="12"/>
      <c r="AA69" s="10">
        <f>+Risultati!K68</f>
        <v>61351</v>
      </c>
      <c r="AB69" s="12">
        <f t="shared" si="89"/>
        <v>7.3704545099598631E-2</v>
      </c>
      <c r="AC69" s="12"/>
      <c r="AD69" s="10">
        <f>+Risultati!L68</f>
        <v>71944</v>
      </c>
      <c r="AE69" s="12">
        <f t="shared" si="90"/>
        <v>8.6430535649712689E-2</v>
      </c>
      <c r="AF69" s="12"/>
      <c r="AG69" s="10">
        <f>+Risultati!M68+Risultati!P68+Risultati!Q68</f>
        <v>4738</v>
      </c>
      <c r="AH69" s="12">
        <f t="shared" si="91"/>
        <v>5.6920365549363219E-3</v>
      </c>
      <c r="AI69" s="12"/>
      <c r="AJ69" s="13">
        <f t="shared" si="53"/>
        <v>59750</v>
      </c>
      <c r="AK69" s="11">
        <f t="shared" si="92"/>
        <v>7.178117014720245E-2</v>
      </c>
      <c r="AL69" s="12"/>
      <c r="AM69" s="10">
        <f>+Risultati!N68</f>
        <v>5629</v>
      </c>
      <c r="AN69" s="12">
        <f t="shared" si="93"/>
        <v>6.7624469750393748E-3</v>
      </c>
      <c r="AO69" s="12"/>
      <c r="AP69" s="10">
        <f t="shared" si="54"/>
        <v>54121</v>
      </c>
      <c r="AQ69" s="41">
        <f t="shared" si="94"/>
        <v>6.5018723172163076E-2</v>
      </c>
      <c r="AR69" s="12"/>
      <c r="AS69" s="10">
        <f>+Risultati!O68</f>
        <v>25780</v>
      </c>
      <c r="AT69" s="12">
        <f t="shared" si="95"/>
        <v>3.0971022031713463E-2</v>
      </c>
      <c r="AU69" s="12"/>
      <c r="AV69" s="10">
        <f t="shared" si="55"/>
        <v>28341</v>
      </c>
      <c r="AW69" s="12">
        <f t="shared" si="96"/>
        <v>3.4047701140449624E-2</v>
      </c>
      <c r="AX69" s="12"/>
      <c r="AY69" s="10">
        <f>+Risultati!R68+Risultati!S68</f>
        <v>-1129</v>
      </c>
      <c r="AZ69" s="12">
        <f t="shared" si="97"/>
        <v>-1.3563337421956749E-3</v>
      </c>
      <c r="BA69" s="12"/>
      <c r="BB69" s="10">
        <f>+Risultati!T68</f>
        <v>-658</v>
      </c>
      <c r="BC69" s="12">
        <f t="shared" si="98"/>
        <v>-7.9049389049136768E-4</v>
      </c>
      <c r="BD69" s="12"/>
      <c r="BE69" s="10">
        <f>+Risultati!U68</f>
        <v>6907</v>
      </c>
      <c r="BF69" s="12">
        <f t="shared" si="99"/>
        <v>8.2977831331669857E-3</v>
      </c>
      <c r="BG69" s="12"/>
      <c r="BH69" s="10">
        <f t="shared" si="56"/>
        <v>19647</v>
      </c>
      <c r="BI69" s="12">
        <f t="shared" si="100"/>
        <v>2.3603090374595594E-2</v>
      </c>
      <c r="BK69" s="16">
        <f>IF(ISNUMBER(Risultati!X68/100),(Risultati!X68/100))</f>
        <v>7.3652043367738507E-2</v>
      </c>
      <c r="BL69" s="16">
        <f>IF(ISNUMBER(Risultati!Y68/100),(Risultati!Y68/100))</f>
        <v>0.15099849796451201</v>
      </c>
      <c r="BM69" s="16">
        <f>IF(ISNUMBER(Risultati!Z68/100),(Risultati!Z68/100))</f>
        <v>0.380515474609329</v>
      </c>
      <c r="BN69" s="16">
        <f>IF(AND(Risultati!AY68&lt;0,calcoli!AP69&lt;0),-IF(ISNUMBER(Risultati!AA68/100),(Risultati!AA68/100)),IF(ISNUMBER(Risultati!AA68/100),(Risultati!AA68/100)))</f>
        <v>0.52226253761989094</v>
      </c>
      <c r="BO69" s="16">
        <f t="shared" si="81"/>
        <v>2.3603090374595594E-2</v>
      </c>
      <c r="BP69" s="16">
        <f>IF(Risultati!AB68&gt;0,(AV69/Risultati!AB68),"0")</f>
        <v>7.6524908869987848E-2</v>
      </c>
      <c r="BQ69" s="16">
        <f>IF(Risultati!AG68&lt;&gt;0,(BH69/Risultati!AG68),"0")</f>
        <v>0.2199767113778355</v>
      </c>
      <c r="BR69" s="16">
        <f t="shared" si="82"/>
        <v>2.3603090374595594E-2</v>
      </c>
      <c r="BS69" s="14">
        <f>IF(Risultati!AB68&gt;0,(Risultati!G68/Risultati!AB68),"0")</f>
        <v>2.2284244633454842</v>
      </c>
      <c r="BT69" s="15">
        <f>IF(Risultati!AG68&lt;&gt;0,(Risultati!AB68/Risultati!AG68),"0")</f>
        <v>4.1466063551067025</v>
      </c>
      <c r="BU69" s="23">
        <f>IF(AND(Risultati!G68&gt;0,(Risultati!AE68-Risultati!AF68)&gt;=0),((Risultati!AE68-Risultati!AF68)/Risultati!G68*360),"0")</f>
        <v>28.610791024322154</v>
      </c>
      <c r="BV69" s="21">
        <f>IF(OR(E69="abbreviato",Risultati!G68=0),"0",((Risultati!AC68+Risultati!AD68)/Risultati!G68*360))</f>
        <v>11.374523353410954</v>
      </c>
      <c r="BW69" s="21">
        <f>IF(OR(E69="abbreviato",Risultati!G68=0,SUM(Risultati!I68+Risultati!K68+Risultati!M68)=0),"0",(((Risultati!AH68+Risultati!AI68)/(Risultati!I68+Risultati!K68+Risultati!N68)*360)))</f>
        <v>68.968493324205497</v>
      </c>
      <c r="BX69" s="16">
        <f>IF(Risultati!AB68&gt;0,(+Risultati!AG68/Risultati!AB68),"0")</f>
        <v>0.24116106385851221</v>
      </c>
      <c r="BY69" s="22">
        <f>IF(OR(E69="abbreviato",Risultati!G68=0),"0",(((Risultati!AK68-(Risultati!AL68+Risultati!AM68))/Risultati!G68)))</f>
        <v>5.6000445900082033E-2</v>
      </c>
      <c r="BZ69" s="16">
        <f>IF(Risultati!G68&gt;0,(Risultati!AJ68/Risultati!G68),"0")</f>
        <v>0.21715333994913347</v>
      </c>
      <c r="CA69" s="8"/>
      <c r="CB69" s="10">
        <f>+Risultati!AP68</f>
        <v>0</v>
      </c>
      <c r="CC69" s="31">
        <f t="shared" si="57"/>
        <v>0</v>
      </c>
      <c r="CD69" s="10">
        <f>+Risultati!AQ68</f>
        <v>76437</v>
      </c>
      <c r="CE69" s="31">
        <f t="shared" si="58"/>
        <v>0.20639125151883353</v>
      </c>
      <c r="CF69" s="10">
        <f>+Risultati!AR68</f>
        <v>129674</v>
      </c>
      <c r="CG69" s="31">
        <f t="shared" si="59"/>
        <v>0.35013905764817066</v>
      </c>
      <c r="CH69" s="10">
        <f>+Risultati!AS68</f>
        <v>2561</v>
      </c>
      <c r="CI69" s="31">
        <f t="shared" si="60"/>
        <v>6.9150803294181183E-3</v>
      </c>
      <c r="CJ69" s="10">
        <f t="shared" si="61"/>
        <v>208672</v>
      </c>
      <c r="CK69" s="31">
        <f t="shared" si="62"/>
        <v>0.56344538949642231</v>
      </c>
      <c r="CL69" s="10">
        <f>+Risultati!AE68+Risultati!AF68</f>
        <v>65590</v>
      </c>
      <c r="CM69" s="31">
        <f t="shared" si="63"/>
        <v>0.17710274065073578</v>
      </c>
      <c r="CN69" s="10">
        <f>+Risultati!AT68</f>
        <v>41651</v>
      </c>
      <c r="CO69" s="31">
        <f t="shared" si="64"/>
        <v>0.11246388551370326</v>
      </c>
      <c r="CP69" s="10">
        <f>+Risultati!AU68</f>
        <v>0</v>
      </c>
      <c r="CQ69" s="31">
        <f t="shared" si="65"/>
        <v>0</v>
      </c>
      <c r="CR69" s="10">
        <f>+Risultati!AL68</f>
        <v>46818</v>
      </c>
      <c r="CS69" s="31">
        <f t="shared" si="66"/>
        <v>0.12641555285540704</v>
      </c>
      <c r="CT69" s="10">
        <f t="shared" si="67"/>
        <v>154059</v>
      </c>
      <c r="CU69" s="31">
        <f t="shared" si="68"/>
        <v>0.41598217901984608</v>
      </c>
      <c r="CV69" s="10">
        <f>+Risultati!AX68</f>
        <v>7619</v>
      </c>
      <c r="CW69" s="31">
        <f t="shared" si="69"/>
        <v>2.0572431483731606E-2</v>
      </c>
      <c r="CX69" s="10">
        <f t="shared" si="70"/>
        <v>370350</v>
      </c>
      <c r="CY69" s="31">
        <f t="shared" si="71"/>
        <v>1</v>
      </c>
      <c r="CZ69" s="10">
        <f>+Risultati!AG68</f>
        <v>89314</v>
      </c>
      <c r="DA69" s="31">
        <f t="shared" si="72"/>
        <v>0.24116106385851221</v>
      </c>
      <c r="DB69" s="10">
        <f t="shared" si="73"/>
        <v>4666</v>
      </c>
      <c r="DC69" s="31">
        <f t="shared" si="74"/>
        <v>1.2598892939111652E-2</v>
      </c>
      <c r="DD69" s="10">
        <f>+Risultati!AV68</f>
        <v>264819</v>
      </c>
      <c r="DE69" s="31">
        <f t="shared" si="75"/>
        <v>0.7150506277845281</v>
      </c>
      <c r="DF69" s="10">
        <f>+Risultati!AJ68</f>
        <v>179216</v>
      </c>
      <c r="DG69" s="31">
        <f t="shared" si="76"/>
        <v>0.48390981503982722</v>
      </c>
      <c r="DH69" s="10">
        <f t="shared" si="77"/>
        <v>85603</v>
      </c>
      <c r="DI69" s="31">
        <f t="shared" si="78"/>
        <v>0.23114081274470097</v>
      </c>
      <c r="DJ69" s="10">
        <f>+Risultati!AW68</f>
        <v>11551</v>
      </c>
      <c r="DK69" s="31">
        <f t="shared" si="79"/>
        <v>3.118941541784798E-2</v>
      </c>
      <c r="DL69" s="10">
        <f t="shared" si="101"/>
        <v>370350</v>
      </c>
      <c r="DM69" s="31">
        <f t="shared" si="80"/>
        <v>1</v>
      </c>
      <c r="DO69" s="30"/>
      <c r="DP69" s="30"/>
    </row>
    <row r="70" spans="1:120" x14ac:dyDescent="0.2">
      <c r="A70" s="5"/>
      <c r="B70" s="6" t="str">
        <f>+Risultati!B69</f>
        <v>CASEIFICI GRANTERRE SPA</v>
      </c>
      <c r="C70" s="6" t="str">
        <f>+Risultati!C69</f>
        <v>01299680353</v>
      </c>
      <c r="D70" s="26">
        <f>IF(YEAR(Risultati!D69)=1900,(MID(Risultati!$AP$1,29,4)),YEAR(Risultati!D69))</f>
        <v>2023</v>
      </c>
      <c r="E70" s="6" t="str">
        <f>+Risultati!E69</f>
        <v>Dettagliato</v>
      </c>
      <c r="F70" s="8" t="str">
        <f>(LEFT(Risultati!AN69,2)&amp;"-")&amp;VLOOKUP((LEFT(Risultati!AN69,2)),ateco!$B$4:$C$93,2,FALSE)</f>
        <v>46-Commercio all'ingrosso (escluso quello di autoveicoli e di motocicli)</v>
      </c>
      <c r="G70" s="8" t="str">
        <f>SUBSTITUTE((Risultati!AN69&amp;"-"&amp;Risultati!AO69),",",";")</f>
        <v>463310-Commercio all'ingrosso di prodotti lattiero-caseari e di uova</v>
      </c>
      <c r="I70" s="10">
        <f>+Risultati!G69</f>
        <v>727439</v>
      </c>
      <c r="J70" s="11">
        <f t="shared" si="83"/>
        <v>1.0016399356693582</v>
      </c>
      <c r="K70" s="12"/>
      <c r="L70" s="10">
        <f>+Risultati!G69+Risultati!H69</f>
        <v>726248</v>
      </c>
      <c r="M70" s="11">
        <f t="shared" si="84"/>
        <v>0.99251223475421846</v>
      </c>
      <c r="N70" s="12"/>
      <c r="O70" s="10">
        <f>+Risultati!I69+Risultati!J69</f>
        <v>616756</v>
      </c>
      <c r="P70" s="11">
        <f t="shared" si="85"/>
        <v>0.84287719327016775</v>
      </c>
      <c r="Q70" s="12"/>
      <c r="R70" s="13">
        <f t="shared" si="51"/>
        <v>109492</v>
      </c>
      <c r="S70" s="11">
        <f t="shared" si="86"/>
        <v>0.14963504148405074</v>
      </c>
      <c r="T70" s="12"/>
      <c r="U70" s="10">
        <f>+Risultati!F69-(Risultati!G69+Risultati!H69)</f>
        <v>5479</v>
      </c>
      <c r="V70" s="12">
        <f t="shared" si="87"/>
        <v>7.4877652457815552E-3</v>
      </c>
      <c r="W70" s="12"/>
      <c r="X70" s="10">
        <f t="shared" si="52"/>
        <v>114971</v>
      </c>
      <c r="Y70" s="12">
        <f t="shared" si="88"/>
        <v>0.15712280672983231</v>
      </c>
      <c r="Z70" s="12"/>
      <c r="AA70" s="10">
        <f>+Risultati!K69</f>
        <v>50264</v>
      </c>
      <c r="AB70" s="12">
        <f t="shared" si="89"/>
        <v>6.8692285510853088E-2</v>
      </c>
      <c r="AC70" s="12"/>
      <c r="AD70" s="10">
        <f>+Risultati!L69</f>
        <v>33391</v>
      </c>
      <c r="AE70" s="12">
        <f t="shared" si="90"/>
        <v>4.5633139135223932E-2</v>
      </c>
      <c r="AF70" s="12"/>
      <c r="AG70" s="10">
        <f>+Risultati!M69+Risultati!P69+Risultati!Q69</f>
        <v>1097</v>
      </c>
      <c r="AH70" s="12">
        <f t="shared" si="91"/>
        <v>1.4991930050414976E-3</v>
      </c>
      <c r="AI70" s="12"/>
      <c r="AJ70" s="13">
        <f t="shared" si="53"/>
        <v>30219</v>
      </c>
      <c r="AK70" s="11">
        <f t="shared" si="92"/>
        <v>4.1298189078713785E-2</v>
      </c>
      <c r="AL70" s="12"/>
      <c r="AM70" s="10">
        <f>+Risultati!N69</f>
        <v>412</v>
      </c>
      <c r="AN70" s="12">
        <f t="shared" si="93"/>
        <v>5.6305152058076303E-4</v>
      </c>
      <c r="AO70" s="12"/>
      <c r="AP70" s="10">
        <f t="shared" si="54"/>
        <v>29807</v>
      </c>
      <c r="AQ70" s="41">
        <f t="shared" si="94"/>
        <v>4.0735137558133017E-2</v>
      </c>
      <c r="AR70" s="12"/>
      <c r="AS70" s="10">
        <f>+Risultati!O69</f>
        <v>8894</v>
      </c>
      <c r="AT70" s="12">
        <f t="shared" si="95"/>
        <v>1.2154806369042006E-2</v>
      </c>
      <c r="AU70" s="12"/>
      <c r="AV70" s="10">
        <f t="shared" si="55"/>
        <v>20913</v>
      </c>
      <c r="AW70" s="12">
        <f t="shared" si="96"/>
        <v>2.8580331189091014E-2</v>
      </c>
      <c r="AX70" s="12"/>
      <c r="AY70" s="10">
        <f>+Risultati!R69+Risultati!S69</f>
        <v>-11148</v>
      </c>
      <c r="AZ70" s="12">
        <f t="shared" si="97"/>
        <v>-1.5235190173384336E-2</v>
      </c>
      <c r="BA70" s="12"/>
      <c r="BB70" s="10">
        <f>+Risultati!T69</f>
        <v>20</v>
      </c>
      <c r="BC70" s="12">
        <f t="shared" si="98"/>
        <v>2.7332598086444809E-5</v>
      </c>
      <c r="BD70" s="12"/>
      <c r="BE70" s="10">
        <f>+Risultati!U69</f>
        <v>3173</v>
      </c>
      <c r="BF70" s="12">
        <f t="shared" si="99"/>
        <v>4.3363166864144684E-3</v>
      </c>
      <c r="BG70" s="12"/>
      <c r="BH70" s="10">
        <f t="shared" si="56"/>
        <v>6612</v>
      </c>
      <c r="BI70" s="12">
        <f t="shared" si="100"/>
        <v>9.0361569273786531E-3</v>
      </c>
      <c r="BK70" s="16">
        <f>IF(ISNUMBER(Risultati!X69/100),(Risultati!X69/100))</f>
        <v>5.3705079791356101E-2</v>
      </c>
      <c r="BL70" s="16">
        <f>IF(ISNUMBER(Risultati!Y69/100),(Risultati!Y69/100))</f>
        <v>0.190871348916093</v>
      </c>
      <c r="BM70" s="16">
        <f>IF(ISNUMBER(Risultati!Z69/100),(Risultati!Z69/100))</f>
        <v>0.7803903236543771</v>
      </c>
      <c r="BN70" s="16">
        <f>IF(AND(Risultati!AY69&lt;0,calcoli!AP70&lt;0),-IF(ISNUMBER(Risultati!AA69/100),(Risultati!AA69/100)),IF(ISNUMBER(Risultati!AA69/100),(Risultati!AA69/100)))</f>
        <v>0.59583467180640293</v>
      </c>
      <c r="BO70" s="16">
        <f t="shared" si="81"/>
        <v>9.0361569273786531E-3</v>
      </c>
      <c r="BP70" s="16">
        <f>IF(Risultati!AB69&gt;0,(AV70/Risultati!AB69),"0")</f>
        <v>4.0019289171082315E-2</v>
      </c>
      <c r="BQ70" s="16">
        <f>IF(Risultati!AG69&lt;&gt;0,(BH70/Risultati!AG69),"0")</f>
        <v>0.1224693919131675</v>
      </c>
      <c r="BR70" s="16">
        <f t="shared" si="82"/>
        <v>9.0361569273786531E-3</v>
      </c>
      <c r="BS70" s="14">
        <f>IF(Risultati!AB69&gt;0,(Risultati!G69/Risultati!AB69),"0")</f>
        <v>1.392033266165684</v>
      </c>
      <c r="BT70" s="15">
        <f>IF(Risultati!AG69&lt;&gt;0,(Risultati!AB69/Risultati!AG69),"0")</f>
        <v>9.6792494767452624</v>
      </c>
      <c r="BU70" s="23">
        <f>IF(AND(Risultati!G69&gt;0,(Risultati!AE69-Risultati!AF69)&gt;=0),((Risultati!AE69-Risultati!AF69)/Risultati!G69*360),"0")</f>
        <v>124.24332486985163</v>
      </c>
      <c r="BV70" s="21">
        <f>IF(OR(E70="abbreviato",Risultati!G69=0),"0",((Risultati!AC69+Risultati!AD69)/Risultati!G69*360))</f>
        <v>60.714204215061329</v>
      </c>
      <c r="BW70" s="21">
        <f>IF(OR(E70="abbreviato",Risultati!G69=0,SUM(Risultati!I69+Risultati!K69+Risultati!M69)=0),"0",(((Risultati!AH69+Risultati!AI69)/(Risultati!I69+Risultati!K69+Risultati!N69)*360)))</f>
        <v>93.724134217909679</v>
      </c>
      <c r="BX70" s="16">
        <f>IF(Risultati!AB69&gt;0,(+Risultati!AG69/Risultati!AB69),"0")</f>
        <v>0.10331379539317952</v>
      </c>
      <c r="BY70" s="22">
        <f>IF(OR(E70="abbreviato",Risultati!G69=0),"0",(((Risultati!AK69-(Risultati!AL69+Risultati!AM69))/Risultati!G69)))</f>
        <v>0.29450029487008533</v>
      </c>
      <c r="BZ70" s="16">
        <f>IF(Risultati!G69&gt;0,(Risultati!AJ69/Risultati!G69),"0")</f>
        <v>0.5129117355544589</v>
      </c>
      <c r="CA70" s="8"/>
      <c r="CB70" s="10">
        <f>+Risultati!AP69</f>
        <v>0</v>
      </c>
      <c r="CC70" s="31">
        <f t="shared" si="57"/>
        <v>0</v>
      </c>
      <c r="CD70" s="10">
        <f>+Risultati!AQ69</f>
        <v>4158</v>
      </c>
      <c r="CE70" s="31">
        <f t="shared" si="58"/>
        <v>7.9567830714560462E-3</v>
      </c>
      <c r="CF70" s="10">
        <f>+Risultati!AR69</f>
        <v>56885</v>
      </c>
      <c r="CG70" s="31">
        <f t="shared" si="59"/>
        <v>0.10885560486286126</v>
      </c>
      <c r="CH70" s="10">
        <f>+Risultati!AS69</f>
        <v>957</v>
      </c>
      <c r="CI70" s="31">
        <f t="shared" si="60"/>
        <v>1.8313230878748042E-3</v>
      </c>
      <c r="CJ70" s="10">
        <f t="shared" si="61"/>
        <v>62000</v>
      </c>
      <c r="CK70" s="31">
        <f t="shared" si="62"/>
        <v>0.11864371102219211</v>
      </c>
      <c r="CL70" s="10">
        <f>+Risultati!AE69+Risultati!AF69</f>
        <v>251054</v>
      </c>
      <c r="CM70" s="31">
        <f t="shared" si="63"/>
        <v>0.48041900366073259</v>
      </c>
      <c r="CN70" s="10">
        <f>+Risultati!AT69</f>
        <v>151139</v>
      </c>
      <c r="CO70" s="31">
        <f t="shared" si="64"/>
        <v>0.2892208361319854</v>
      </c>
      <c r="CP70" s="10">
        <f>+Risultati!AU69</f>
        <v>0</v>
      </c>
      <c r="CQ70" s="31">
        <f t="shared" si="65"/>
        <v>0</v>
      </c>
      <c r="CR70" s="10">
        <f>+Risultati!AL69</f>
        <v>57481</v>
      </c>
      <c r="CS70" s="31">
        <f t="shared" si="66"/>
        <v>0.10999611537526814</v>
      </c>
      <c r="CT70" s="10">
        <f t="shared" si="67"/>
        <v>459674</v>
      </c>
      <c r="CU70" s="31">
        <f t="shared" si="68"/>
        <v>0.87963595516798609</v>
      </c>
      <c r="CV70" s="10">
        <f>+Risultati!AX69</f>
        <v>899</v>
      </c>
      <c r="CW70" s="31">
        <f t="shared" si="69"/>
        <v>1.7203338098217857E-3</v>
      </c>
      <c r="CX70" s="10">
        <f t="shared" si="70"/>
        <v>522573</v>
      </c>
      <c r="CY70" s="31">
        <f t="shared" si="71"/>
        <v>1</v>
      </c>
      <c r="CZ70" s="10">
        <f>+Risultati!AG69</f>
        <v>53989</v>
      </c>
      <c r="DA70" s="31">
        <f t="shared" si="72"/>
        <v>0.10331379539317952</v>
      </c>
      <c r="DB70" s="10">
        <f t="shared" si="73"/>
        <v>6118</v>
      </c>
      <c r="DC70" s="31">
        <f t="shared" si="74"/>
        <v>1.1707455226351152E-2</v>
      </c>
      <c r="DD70" s="10">
        <f>+Risultati!AV69</f>
        <v>460446</v>
      </c>
      <c r="DE70" s="31">
        <f t="shared" si="75"/>
        <v>0.88111326073103657</v>
      </c>
      <c r="DF70" s="10">
        <f>+Risultati!AJ69</f>
        <v>373112</v>
      </c>
      <c r="DG70" s="31">
        <f t="shared" si="76"/>
        <v>0.71399019849858303</v>
      </c>
      <c r="DH70" s="10">
        <f t="shared" si="77"/>
        <v>87334</v>
      </c>
      <c r="DI70" s="31">
        <f t="shared" si="78"/>
        <v>0.16712306223245366</v>
      </c>
      <c r="DJ70" s="10">
        <f>+Risultati!AW69</f>
        <v>2020</v>
      </c>
      <c r="DK70" s="31">
        <f t="shared" si="79"/>
        <v>3.865488649432711E-3</v>
      </c>
      <c r="DL70" s="10">
        <f t="shared" si="101"/>
        <v>522573</v>
      </c>
      <c r="DM70" s="31">
        <f t="shared" si="80"/>
        <v>1</v>
      </c>
      <c r="DO70" s="30"/>
      <c r="DP70" s="30"/>
    </row>
    <row r="71" spans="1:120" x14ac:dyDescent="0.2">
      <c r="A71" s="5"/>
      <c r="B71" s="6" t="str">
        <f>+Risultati!B70</f>
        <v>COOP LIGURIA SOCIETA' COOPERATIVA DI CONSUMO</v>
      </c>
      <c r="C71" s="6" t="str">
        <f>+Risultati!C70</f>
        <v>00103220091</v>
      </c>
      <c r="D71" s="26">
        <f>IF(YEAR(Risultati!D70)=1900,(MID(Risultati!$AP$1,29,4)),YEAR(Risultati!D70))</f>
        <v>2023</v>
      </c>
      <c r="E71" s="6" t="str">
        <f>+Risultati!E70</f>
        <v>Dettagliato</v>
      </c>
      <c r="F71" s="8" t="str">
        <f>(LEFT(Risultati!AN70,2)&amp;"-")&amp;VLOOKUP((LEFT(Risultati!AN70,2)),ateco!$B$4:$C$93,2,FALSE)</f>
        <v>47-Commercio al dettaglio (escluso quello di autoveicoli e di motocicli)</v>
      </c>
      <c r="G71" s="8" t="str">
        <f>SUBSTITUTE((Risultati!AN70&amp;"-"&amp;Risultati!AO70),",",";")</f>
        <v>471120-Supermercati</v>
      </c>
      <c r="I71" s="10">
        <f>+Risultati!G70</f>
        <v>820690.63100000005</v>
      </c>
      <c r="J71" s="11">
        <f t="shared" si="83"/>
        <v>1</v>
      </c>
      <c r="K71" s="12"/>
      <c r="L71" s="10">
        <f>+Risultati!G70+Risultati!H70</f>
        <v>820690.63100000005</v>
      </c>
      <c r="M71" s="11">
        <f t="shared" si="84"/>
        <v>0.98320611826333482</v>
      </c>
      <c r="N71" s="12"/>
      <c r="O71" s="10">
        <f>+Risultati!I70+Risultati!J70</f>
        <v>597196.71300000011</v>
      </c>
      <c r="P71" s="11">
        <f t="shared" si="85"/>
        <v>0.71545530051061701</v>
      </c>
      <c r="Q71" s="12"/>
      <c r="R71" s="13">
        <f t="shared" si="51"/>
        <v>223493.91799999995</v>
      </c>
      <c r="S71" s="11">
        <f t="shared" si="86"/>
        <v>0.26775081775271781</v>
      </c>
      <c r="T71" s="12"/>
      <c r="U71" s="10">
        <f>+Risultati!F70-(Risultati!G70+Risultati!H70)</f>
        <v>14017.997999999905</v>
      </c>
      <c r="V71" s="12">
        <f t="shared" si="87"/>
        <v>1.6793881736665149E-2</v>
      </c>
      <c r="W71" s="12"/>
      <c r="X71" s="10">
        <f t="shared" si="52"/>
        <v>237511.91599999985</v>
      </c>
      <c r="Y71" s="12">
        <f t="shared" si="88"/>
        <v>0.28454469948938299</v>
      </c>
      <c r="Z71" s="12"/>
      <c r="AA71" s="10">
        <f>+Risultati!K70</f>
        <v>86106.216</v>
      </c>
      <c r="AB71" s="12">
        <f t="shared" si="89"/>
        <v>0.103157213198044</v>
      </c>
      <c r="AC71" s="12"/>
      <c r="AD71" s="10">
        <f>+Risultati!L70</f>
        <v>92148.29</v>
      </c>
      <c r="AE71" s="12">
        <f t="shared" si="90"/>
        <v>0.11039575583445897</v>
      </c>
      <c r="AF71" s="12"/>
      <c r="AG71" s="10">
        <f>+Risultati!M70+Risultati!P70+Risultati!Q70</f>
        <v>10390.388000000001</v>
      </c>
      <c r="AH71" s="12">
        <f t="shared" si="91"/>
        <v>1.2447922111992448E-2</v>
      </c>
      <c r="AI71" s="12"/>
      <c r="AJ71" s="13">
        <f t="shared" si="53"/>
        <v>48867.021999999844</v>
      </c>
      <c r="AK71" s="11">
        <f t="shared" si="92"/>
        <v>5.8543808344887552E-2</v>
      </c>
      <c r="AL71" s="12"/>
      <c r="AM71" s="10">
        <f>+Risultati!N70</f>
        <v>34685.214999999997</v>
      </c>
      <c r="AN71" s="12">
        <f t="shared" si="93"/>
        <v>4.1553679685273744E-2</v>
      </c>
      <c r="AO71" s="12"/>
      <c r="AP71" s="10">
        <f t="shared" si="54"/>
        <v>14181.806999999848</v>
      </c>
      <c r="AQ71" s="41">
        <f t="shared" si="94"/>
        <v>1.6990128659613808E-2</v>
      </c>
      <c r="AR71" s="12"/>
      <c r="AS71" s="10">
        <f>+Risultati!O70</f>
        <v>14516.798000000001</v>
      </c>
      <c r="AT71" s="12">
        <f t="shared" si="95"/>
        <v>1.7391455527890561E-2</v>
      </c>
      <c r="AU71" s="12"/>
      <c r="AV71" s="10">
        <f t="shared" si="55"/>
        <v>-334.99100000015278</v>
      </c>
      <c r="AW71" s="12">
        <f t="shared" si="96"/>
        <v>-4.0132686827675385E-4</v>
      </c>
      <c r="AX71" s="12"/>
      <c r="AY71" s="10">
        <f>+Risultati!R70+Risultati!S70</f>
        <v>13116.301000000003</v>
      </c>
      <c r="AZ71" s="12">
        <f t="shared" si="97"/>
        <v>1.5713628138376418E-2</v>
      </c>
      <c r="BA71" s="12"/>
      <c r="BB71" s="10">
        <f>+Risultati!T70</f>
        <v>0</v>
      </c>
      <c r="BC71" s="12">
        <f t="shared" si="98"/>
        <v>0</v>
      </c>
      <c r="BD71" s="12"/>
      <c r="BE71" s="10">
        <f>+Risultati!U70</f>
        <v>2396.1</v>
      </c>
      <c r="BF71" s="12">
        <f t="shared" si="99"/>
        <v>2.8705825203587301E-3</v>
      </c>
      <c r="BG71" s="12"/>
      <c r="BH71" s="10">
        <f t="shared" si="56"/>
        <v>10385.20999999985</v>
      </c>
      <c r="BI71" s="12">
        <f t="shared" si="100"/>
        <v>1.2441718749740935E-2</v>
      </c>
      <c r="BK71" s="16">
        <f>IF(ISNUMBER(Risultati!X70/100),(Risultati!X70/100))</f>
        <v>3.4362660957575002E-2</v>
      </c>
      <c r="BL71" s="16">
        <f>IF(ISNUMBER(Risultati!Y70/100),(Risultati!Y70/100))</f>
        <v>9.3962829027422992E-2</v>
      </c>
      <c r="BM71" s="16">
        <f>IF(ISNUMBER(Risultati!Z70/100),(Risultati!Z70/100))</f>
        <v>8.3881135934925605E-2</v>
      </c>
      <c r="BN71" s="16">
        <f>IF(AND(Risultati!AY70&lt;0,calcoli!AP71&lt;0),-IF(ISNUMBER(Risultati!AA70/100),(Risultati!AA70/100)),IF(ISNUMBER(Risultati!AA70/100),(Risultati!AA70/100)))</f>
        <v>3.4259958860335797</v>
      </c>
      <c r="BO71" s="16">
        <f t="shared" si="81"/>
        <v>1.2441718749740935E-2</v>
      </c>
      <c r="BP71" s="16">
        <f>IF(Risultati!AB70&gt;0,(AV71/Risultati!AB70),"0")</f>
        <v>-2.0203317805865512E-4</v>
      </c>
      <c r="BQ71" s="16">
        <f>IF(Risultati!AG70&lt;&gt;0,(BH71/Risultati!AG70),"0")</f>
        <v>1.3328199887692262E-2</v>
      </c>
      <c r="BR71" s="16">
        <f t="shared" si="82"/>
        <v>1.2441718749740935E-2</v>
      </c>
      <c r="BS71" s="14">
        <f>IF(Risultati!AB70&gt;0,(Risultati!G70/Risultati!AB70),"0")</f>
        <v>0.49495877914277525</v>
      </c>
      <c r="BT71" s="15">
        <f>IF(Risultati!AG70&lt;&gt;0,(Risultati!AB70/Risultati!AG70),"0")</f>
        <v>2.1279756704502439</v>
      </c>
      <c r="BU71" s="23">
        <f>IF(AND(Risultati!G70&gt;0,(Risultati!AE70-Risultati!AF70)&gt;=0),((Risultati!AE70-Risultati!AF70)/Risultati!G70*360),"0")</f>
        <v>16.035487116460086</v>
      </c>
      <c r="BV71" s="21">
        <f>IF(OR(E71="abbreviato",Risultati!G70=0),"0",((Risultati!AC70+Risultati!AD70)/Risultati!G70*360))</f>
        <v>2.3949410481329112</v>
      </c>
      <c r="BW71" s="21">
        <f>IF(OR(E71="abbreviato",Risultati!G70=0,SUM(Risultati!I70+Risultati!K70+Risultati!M70)=0),"0",(((Risultati!AH70+Risultati!AI70)/(Risultati!I70+Risultati!K70+Risultati!N70)*360)))</f>
        <v>9.2500350299314356</v>
      </c>
      <c r="BX71" s="16">
        <f>IF(Risultati!AB70&gt;0,(+Risultati!AG70/Risultati!AB70),"0")</f>
        <v>0.4699301847696486</v>
      </c>
      <c r="BY71" s="22">
        <f>IF(OR(E71="abbreviato",Risultati!G70=0),"0",(((Risultati!AK70-(Risultati!AL70+Risultati!AM70))/Risultati!G70)))</f>
        <v>0.86222302567019304</v>
      </c>
      <c r="BZ71" s="16">
        <f>IF(Risultati!G70&gt;0,(Risultati!AJ70/Risultati!G70),"0")</f>
        <v>0.93695155269781549</v>
      </c>
      <c r="CA71" s="8"/>
      <c r="CB71" s="10">
        <f>+Risultati!AP70</f>
        <v>0</v>
      </c>
      <c r="CC71" s="31">
        <f t="shared" si="57"/>
        <v>0</v>
      </c>
      <c r="CD71" s="10">
        <f>+Risultati!AQ70</f>
        <v>8077.1170000000002</v>
      </c>
      <c r="CE71" s="31">
        <f t="shared" si="58"/>
        <v>4.8713118175140405E-3</v>
      </c>
      <c r="CF71" s="10">
        <f>+Risultati!AR70</f>
        <v>40800.097999999998</v>
      </c>
      <c r="CG71" s="31">
        <f t="shared" si="59"/>
        <v>2.4606552008981788E-2</v>
      </c>
      <c r="CH71" s="10">
        <f>+Risultati!AS70</f>
        <v>452084.96899999998</v>
      </c>
      <c r="CI71" s="31">
        <f t="shared" si="60"/>
        <v>0.27265258779960333</v>
      </c>
      <c r="CJ71" s="10">
        <f t="shared" si="61"/>
        <v>500962.18400000001</v>
      </c>
      <c r="CK71" s="31">
        <f t="shared" si="62"/>
        <v>0.30213045162609914</v>
      </c>
      <c r="CL71" s="10">
        <f>+Risultati!AE70+Risultati!AF70</f>
        <v>36556.038999999997</v>
      </c>
      <c r="CM71" s="31">
        <f t="shared" si="63"/>
        <v>2.20469586836744E-2</v>
      </c>
      <c r="CN71" s="10">
        <f>+Risultati!AT70</f>
        <v>414349.90899999999</v>
      </c>
      <c r="CO71" s="31">
        <f t="shared" si="64"/>
        <v>0.24989456117790138</v>
      </c>
      <c r="CP71" s="10">
        <f>+Risultati!AU70</f>
        <v>647647.59</v>
      </c>
      <c r="CQ71" s="31">
        <f t="shared" si="65"/>
        <v>0.39059646638169138</v>
      </c>
      <c r="CR71" s="10">
        <f>+Risultati!AL70</f>
        <v>51877.608999999997</v>
      </c>
      <c r="CS71" s="31">
        <f t="shared" si="66"/>
        <v>3.12874023969286E-2</v>
      </c>
      <c r="CT71" s="10">
        <f t="shared" si="67"/>
        <v>1150431.1470000001</v>
      </c>
      <c r="CU71" s="31">
        <f t="shared" si="68"/>
        <v>0.69382538864019583</v>
      </c>
      <c r="CV71" s="10">
        <f>+Risultati!AX70</f>
        <v>6705.6170000000002</v>
      </c>
      <c r="CW71" s="31">
        <f t="shared" si="69"/>
        <v>4.0441597337048663E-3</v>
      </c>
      <c r="CX71" s="10">
        <f t="shared" si="70"/>
        <v>1658098.9480000003</v>
      </c>
      <c r="CY71" s="31">
        <f t="shared" si="71"/>
        <v>1</v>
      </c>
      <c r="CZ71" s="10">
        <f>+Risultati!AG70</f>
        <v>779190.745</v>
      </c>
      <c r="DA71" s="31">
        <f t="shared" si="72"/>
        <v>0.46993018476964854</v>
      </c>
      <c r="DB71" s="10">
        <f t="shared" si="73"/>
        <v>30053.369000000363</v>
      </c>
      <c r="DC71" s="31">
        <f t="shared" si="74"/>
        <v>1.8125196349862444E-2</v>
      </c>
      <c r="DD71" s="10">
        <f>+Risultati!AV70</f>
        <v>846504.09</v>
      </c>
      <c r="DE71" s="31">
        <f t="shared" si="75"/>
        <v>0.51052688443054228</v>
      </c>
      <c r="DF71" s="10">
        <f>+Risultati!AJ70</f>
        <v>768947.36100000003</v>
      </c>
      <c r="DG71" s="31">
        <f t="shared" si="76"/>
        <v>0.4637523966392384</v>
      </c>
      <c r="DH71" s="10">
        <f t="shared" si="77"/>
        <v>77556.728999999934</v>
      </c>
      <c r="DI71" s="31">
        <f t="shared" si="78"/>
        <v>4.6774487791303949E-2</v>
      </c>
      <c r="DJ71" s="10">
        <f>+Risultati!AW70</f>
        <v>2350.7440000000001</v>
      </c>
      <c r="DK71" s="31">
        <f t="shared" si="79"/>
        <v>1.4177344499467107E-3</v>
      </c>
      <c r="DL71" s="10">
        <f t="shared" si="101"/>
        <v>1658098.9480000003</v>
      </c>
      <c r="DM71" s="31">
        <f t="shared" si="80"/>
        <v>1</v>
      </c>
      <c r="DO71" s="30"/>
      <c r="DP71" s="30"/>
    </row>
    <row r="72" spans="1:120" x14ac:dyDescent="0.2">
      <c r="A72" s="5"/>
      <c r="B72" s="6" t="str">
        <f>+Risultati!B71</f>
        <v>APULIA DISTRIBUZIONE S.R.L.</v>
      </c>
      <c r="C72" s="6" t="str">
        <f>+Risultati!C71</f>
        <v>05754810728</v>
      </c>
      <c r="D72" s="26">
        <f>IF(YEAR(Risultati!D71)=1900,(MID(Risultati!$AP$1,29,4)),YEAR(Risultati!D71))</f>
        <v>2023</v>
      </c>
      <c r="E72" s="6" t="str">
        <f>+Risultati!E71</f>
        <v>Dettagliato</v>
      </c>
      <c r="F72" s="8" t="str">
        <f>(LEFT(Risultati!AN71,2)&amp;"-")&amp;VLOOKUP((LEFT(Risultati!AN71,2)),ateco!$B$4:$C$93,2,FALSE)</f>
        <v>46-Commercio all'ingrosso (escluso quello di autoveicoli e di motocicli)</v>
      </c>
      <c r="G72" s="8" t="str">
        <f>SUBSTITUTE((Risultati!AN71&amp;"-"&amp;Risultati!AO71),",",";")</f>
        <v>463920-Commercio all'ingrosso non specializzato di prodotti alimentari; bevande e tabacco</v>
      </c>
      <c r="I72" s="10">
        <f>+Risultati!G71</f>
        <v>805167.70799999998</v>
      </c>
      <c r="J72" s="11">
        <f t="shared" si="83"/>
        <v>1</v>
      </c>
      <c r="K72" s="12"/>
      <c r="L72" s="10">
        <f>+Risultati!G71+Risultati!H71</f>
        <v>805167.70799999998</v>
      </c>
      <c r="M72" s="11">
        <f t="shared" si="84"/>
        <v>0.98212360523477804</v>
      </c>
      <c r="N72" s="12"/>
      <c r="O72" s="10">
        <f>+Risultati!I71+Risultati!J71</f>
        <v>718142.94000000006</v>
      </c>
      <c r="P72" s="11">
        <f t="shared" si="85"/>
        <v>0.87597295109940365</v>
      </c>
      <c r="Q72" s="12"/>
      <c r="R72" s="13">
        <f t="shared" si="51"/>
        <v>87024.767999999924</v>
      </c>
      <c r="S72" s="11">
        <f t="shared" si="86"/>
        <v>0.10615065413537432</v>
      </c>
      <c r="T72" s="12"/>
      <c r="U72" s="10">
        <f>+Risultati!F71-(Risultati!G71+Risultati!H71)</f>
        <v>14655.483000000007</v>
      </c>
      <c r="V72" s="12">
        <f t="shared" si="87"/>
        <v>1.7876394765222015E-2</v>
      </c>
      <c r="W72" s="12"/>
      <c r="X72" s="10">
        <f t="shared" si="52"/>
        <v>101680.25099999993</v>
      </c>
      <c r="Y72" s="12">
        <f t="shared" si="88"/>
        <v>0.12402704890059633</v>
      </c>
      <c r="Z72" s="12"/>
      <c r="AA72" s="10">
        <f>+Risultati!K71</f>
        <v>48057.989000000001</v>
      </c>
      <c r="AB72" s="12">
        <f t="shared" si="89"/>
        <v>5.861994333361082E-2</v>
      </c>
      <c r="AC72" s="12"/>
      <c r="AD72" s="10">
        <f>+Risultati!L71</f>
        <v>13321.442999999999</v>
      </c>
      <c r="AE72" s="12">
        <f t="shared" si="90"/>
        <v>1.6249165852152626E-2</v>
      </c>
      <c r="AF72" s="12"/>
      <c r="AG72" s="10">
        <f>+Risultati!M71+Risultati!P71+Risultati!Q71</f>
        <v>14695.116</v>
      </c>
      <c r="AH72" s="12">
        <f t="shared" si="91"/>
        <v>1.7924738115879916E-2</v>
      </c>
      <c r="AI72" s="12"/>
      <c r="AJ72" s="13">
        <f t="shared" si="53"/>
        <v>25605.702999999929</v>
      </c>
      <c r="AK72" s="11">
        <f t="shared" si="92"/>
        <v>3.1233201598952973E-2</v>
      </c>
      <c r="AL72" s="12"/>
      <c r="AM72" s="10">
        <f>+Risultati!N71</f>
        <v>9835.5290000000005</v>
      </c>
      <c r="AN72" s="12">
        <f t="shared" si="93"/>
        <v>1.1997134391871576E-2</v>
      </c>
      <c r="AO72" s="12"/>
      <c r="AP72" s="10">
        <f t="shared" si="54"/>
        <v>15770.173999999928</v>
      </c>
      <c r="AQ72" s="41">
        <f t="shared" si="94"/>
        <v>1.9236067207081396E-2</v>
      </c>
      <c r="AR72" s="12"/>
      <c r="AS72" s="10">
        <f>+Risultati!O71</f>
        <v>5916.2340000000004</v>
      </c>
      <c r="AT72" s="12">
        <f t="shared" si="95"/>
        <v>7.2164755339300963E-3</v>
      </c>
      <c r="AU72" s="12"/>
      <c r="AV72" s="10">
        <f t="shared" si="55"/>
        <v>9853.9399999999277</v>
      </c>
      <c r="AW72" s="12">
        <f t="shared" si="96"/>
        <v>1.20195916731513E-2</v>
      </c>
      <c r="AX72" s="12"/>
      <c r="AY72" s="10">
        <f>+Risultati!R71+Risultati!S71</f>
        <v>-369.67500000000001</v>
      </c>
      <c r="AZ72" s="12">
        <f t="shared" si="97"/>
        <v>-4.5092039851797751E-4</v>
      </c>
      <c r="BA72" s="12"/>
      <c r="BB72" s="10">
        <f>+Risultati!T71</f>
        <v>0</v>
      </c>
      <c r="BC72" s="12">
        <f t="shared" si="98"/>
        <v>0</v>
      </c>
      <c r="BD72" s="12"/>
      <c r="BE72" s="10">
        <f>+Risultati!U71</f>
        <v>8922.3279999999995</v>
      </c>
      <c r="BF72" s="12">
        <f t="shared" si="99"/>
        <v>1.0883234455854762E-2</v>
      </c>
      <c r="BG72" s="12"/>
      <c r="BH72" s="10">
        <f t="shared" si="56"/>
        <v>561.93699999992896</v>
      </c>
      <c r="BI72" s="12">
        <f t="shared" si="100"/>
        <v>6.8543681877856143E-4</v>
      </c>
      <c r="BK72" s="16">
        <f>IF(ISNUMBER(Risultati!X71/100),(Risultati!X71/100))</f>
        <v>8.2543939866504409E-4</v>
      </c>
      <c r="BL72" s="16">
        <f>IF(ISNUMBER(Risultati!Y71/100),(Risultati!Y71/100))</f>
        <v>0.27243624133138999</v>
      </c>
      <c r="BM72" s="16">
        <f>IF(ISNUMBER(Risultati!Z71/100),(Risultati!Z71/100))</f>
        <v>0.33311329127917405</v>
      </c>
      <c r="BN72" s="16">
        <f>IF(AND(Risultati!AY71&lt;0,calcoli!AP72&lt;0),-IF(ISNUMBER(Risultati!AA71/100),(Risultati!AA71/100)),IF(ISNUMBER(Risultati!AA71/100),(Risultati!AA71/100)))</f>
        <v>-0.188250171845079</v>
      </c>
      <c r="BO72" s="16">
        <f t="shared" si="81"/>
        <v>6.8543681877856143E-4</v>
      </c>
      <c r="BP72" s="16">
        <f>IF(Risultati!AB71&gt;0,(AV72/Risultati!AB71),"0")</f>
        <v>2.9683628819029056E-2</v>
      </c>
      <c r="BQ72" s="16">
        <f>IF(Risultati!AG71&lt;&gt;0,(BH72/Risultati!AG71),"0")</f>
        <v>4.748289220132206E-3</v>
      </c>
      <c r="BR72" s="16">
        <f t="shared" si="82"/>
        <v>6.8543681877856143E-4</v>
      </c>
      <c r="BS72" s="14">
        <f>IF(Risultati!AB71&gt;0,(Risultati!G71/Risultati!AB71),"0")</f>
        <v>2.4254561506707515</v>
      </c>
      <c r="BT72" s="15">
        <f>IF(Risultati!AG71&lt;&gt;0,(Risultati!AB71/Risultati!AG71),"0")</f>
        <v>2.8050619480392736</v>
      </c>
      <c r="BU72" s="23">
        <f>IF(AND(Risultati!G71&gt;0,(Risultati!AE71-Risultati!AF71)&gt;=0),((Risultati!AE71-Risultati!AF71)/Risultati!G71*360),"0")</f>
        <v>23.718742431235206</v>
      </c>
      <c r="BV72" s="21">
        <f>IF(OR(E72="abbreviato",Risultati!G71=0),"0",((Risultati!AC71+Risultati!AD71)/Risultati!G71*360))</f>
        <v>37.170322434242486</v>
      </c>
      <c r="BW72" s="21">
        <f>IF(OR(E72="abbreviato",Risultati!G71=0,SUM(Risultati!I71+Risultati!K71+Risultati!M71)=0),"0",(((Risultati!AH71+Risultati!AI71)/(Risultati!I71+Risultati!K71+Risultati!N71)*360)))</f>
        <v>65.036666341890736</v>
      </c>
      <c r="BX72" s="16">
        <f>IF(Risultati!AB71&gt;0,(+Risultati!AG71/Risultati!AB71),"0")</f>
        <v>0.35649836564179832</v>
      </c>
      <c r="BY72" s="22">
        <f>IF(OR(E72="abbreviato",Risultati!G71=0),"0",(((Risultati!AK71-(Risultati!AL71+Risultati!AM71))/Risultati!G71)))</f>
        <v>-9.4806484713120202E-3</v>
      </c>
      <c r="BZ72" s="16">
        <f>IF(Risultati!G71&gt;0,(Risultati!AJ71/Risultati!G71),"0")</f>
        <v>0.21145505005772039</v>
      </c>
      <c r="CA72" s="8"/>
      <c r="CB72" s="10">
        <f>+Risultati!AP71</f>
        <v>0</v>
      </c>
      <c r="CC72" s="31">
        <f t="shared" si="57"/>
        <v>0</v>
      </c>
      <c r="CD72" s="10">
        <f>+Risultati!AQ71</f>
        <v>10625.087</v>
      </c>
      <c r="CE72" s="31">
        <f t="shared" si="58"/>
        <v>3.2006602300997701E-2</v>
      </c>
      <c r="CF72" s="10">
        <f>+Risultati!AR71</f>
        <v>53216.805</v>
      </c>
      <c r="CG72" s="31">
        <f t="shared" si="59"/>
        <v>0.1603082509691211</v>
      </c>
      <c r="CH72" s="10">
        <f>+Risultati!AS71</f>
        <v>4549.0590000000002</v>
      </c>
      <c r="CI72" s="31">
        <f t="shared" si="60"/>
        <v>1.3703409888010734E-2</v>
      </c>
      <c r="CJ72" s="10">
        <f t="shared" si="61"/>
        <v>68390.951000000001</v>
      </c>
      <c r="CK72" s="31">
        <f t="shared" si="62"/>
        <v>0.20601826315812954</v>
      </c>
      <c r="CL72" s="10">
        <f>+Risultati!AE71+Risultati!AF71</f>
        <v>53048.792999999998</v>
      </c>
      <c r="CM72" s="31">
        <f t="shared" si="63"/>
        <v>0.15980213810004104</v>
      </c>
      <c r="CN72" s="10">
        <f>+Risultati!AT71</f>
        <v>131540.51500000001</v>
      </c>
      <c r="CO72" s="31">
        <f t="shared" si="64"/>
        <v>0.39624757426206703</v>
      </c>
      <c r="CP72" s="10">
        <f>+Risultati!AU71</f>
        <v>31555.437999999998</v>
      </c>
      <c r="CQ72" s="31">
        <f t="shared" si="65"/>
        <v>9.5056384432408908E-2</v>
      </c>
      <c r="CR72" s="10">
        <f>+Risultati!AL71</f>
        <v>45474.118000000002</v>
      </c>
      <c r="CS72" s="31">
        <f t="shared" si="66"/>
        <v>0.13698447926258309</v>
      </c>
      <c r="CT72" s="10">
        <f t="shared" si="67"/>
        <v>261618.864</v>
      </c>
      <c r="CU72" s="31">
        <f t="shared" si="68"/>
        <v>0.78809057605709998</v>
      </c>
      <c r="CV72" s="10">
        <f>+Risultati!AX71</f>
        <v>1955.662</v>
      </c>
      <c r="CW72" s="31">
        <f t="shared" si="69"/>
        <v>5.8911607847703992E-3</v>
      </c>
      <c r="CX72" s="10">
        <f t="shared" si="70"/>
        <v>331965.47700000001</v>
      </c>
      <c r="CY72" s="31">
        <f t="shared" si="71"/>
        <v>1</v>
      </c>
      <c r="CZ72" s="10">
        <f>+Risultati!AG71</f>
        <v>118345.15</v>
      </c>
      <c r="DA72" s="31">
        <f t="shared" si="72"/>
        <v>0.35649836564179832</v>
      </c>
      <c r="DB72" s="10">
        <f t="shared" si="73"/>
        <v>3934.8320000000267</v>
      </c>
      <c r="DC72" s="31">
        <f t="shared" si="74"/>
        <v>1.1853136162107683E-2</v>
      </c>
      <c r="DD72" s="10">
        <f>+Risultati!AV71</f>
        <v>207667.28599999999</v>
      </c>
      <c r="DE72" s="31">
        <f t="shared" si="75"/>
        <v>0.62556892324077418</v>
      </c>
      <c r="DF72" s="10">
        <f>+Risultati!AJ71</f>
        <v>170256.77799999999</v>
      </c>
      <c r="DG72" s="31">
        <f t="shared" si="76"/>
        <v>0.51287495175288955</v>
      </c>
      <c r="DH72" s="10">
        <f t="shared" si="77"/>
        <v>37410.508000000002</v>
      </c>
      <c r="DI72" s="31">
        <f t="shared" si="78"/>
        <v>0.11269397148788457</v>
      </c>
      <c r="DJ72" s="10">
        <f>+Risultati!AW71</f>
        <v>2018.2090000000001</v>
      </c>
      <c r="DK72" s="31">
        <f t="shared" si="79"/>
        <v>6.0795749553198266E-3</v>
      </c>
      <c r="DL72" s="10">
        <f t="shared" si="101"/>
        <v>331965.47700000001</v>
      </c>
      <c r="DM72" s="31">
        <f t="shared" si="80"/>
        <v>1</v>
      </c>
      <c r="DO72" s="30"/>
      <c r="DP72" s="30"/>
    </row>
    <row r="73" spans="1:120" x14ac:dyDescent="0.2">
      <c r="A73" s="5"/>
      <c r="B73" s="6" t="str">
        <f>+Risultati!B72</f>
        <v>ROSSETTO TRADE S.P.A.</v>
      </c>
      <c r="C73" s="6" t="str">
        <f>+Risultati!C72</f>
        <v>02928530233</v>
      </c>
      <c r="D73" s="26">
        <f>IF(YEAR(Risultati!D72)=1900,(MID(Risultati!$AP$1,29,4)),YEAR(Risultati!D72))</f>
        <v>2023</v>
      </c>
      <c r="E73" s="6" t="str">
        <f>+Risultati!E72</f>
        <v>Dettagliato</v>
      </c>
      <c r="F73" s="8" t="str">
        <f>(LEFT(Risultati!AN72,2)&amp;"-")&amp;VLOOKUP((LEFT(Risultati!AN72,2)),ateco!$B$4:$C$93,2,FALSE)</f>
        <v>47-Commercio al dettaglio (escluso quello di autoveicoli e di motocicli)</v>
      </c>
      <c r="G73" s="8" t="str">
        <f>SUBSTITUTE((Risultati!AN72&amp;"-"&amp;Risultati!AO72),",",";")</f>
        <v>471100-Commercio al dettaglio in esercizi non specializzati con prevalenza di prodotti alimentari e bevande</v>
      </c>
      <c r="I73" s="10">
        <f>+Risultati!G72</f>
        <v>745972.88899999997</v>
      </c>
      <c r="J73" s="11">
        <f t="shared" si="83"/>
        <v>1</v>
      </c>
      <c r="K73" s="12"/>
      <c r="L73" s="10">
        <f>+Risultati!G72+Risultati!H72</f>
        <v>745972.88899999997</v>
      </c>
      <c r="M73" s="11">
        <f t="shared" si="84"/>
        <v>0.99180080517740965</v>
      </c>
      <c r="N73" s="12"/>
      <c r="O73" s="10">
        <f>+Risultati!I72+Risultati!J72</f>
        <v>547870.01900000009</v>
      </c>
      <c r="P73" s="11">
        <f t="shared" si="85"/>
        <v>0.72841511265265679</v>
      </c>
      <c r="Q73" s="12"/>
      <c r="R73" s="13">
        <f t="shared" si="51"/>
        <v>198102.86999999988</v>
      </c>
      <c r="S73" s="11">
        <f t="shared" si="86"/>
        <v>0.26338569252475286</v>
      </c>
      <c r="T73" s="12"/>
      <c r="U73" s="10">
        <f>+Risultati!F72-(Risultati!G72+Risultati!H72)</f>
        <v>6166.9409999999916</v>
      </c>
      <c r="V73" s="12">
        <f t="shared" si="87"/>
        <v>8.1991948225903586E-3</v>
      </c>
      <c r="W73" s="12"/>
      <c r="X73" s="10">
        <f t="shared" si="52"/>
        <v>204269.81099999987</v>
      </c>
      <c r="Y73" s="12">
        <f t="shared" si="88"/>
        <v>0.27158488734734321</v>
      </c>
      <c r="Z73" s="12"/>
      <c r="AA73" s="10">
        <f>+Risultati!K72</f>
        <v>45333.294999999998</v>
      </c>
      <c r="AB73" s="12">
        <f t="shared" si="89"/>
        <v>6.0272429662447211E-2</v>
      </c>
      <c r="AC73" s="12"/>
      <c r="AD73" s="10">
        <f>+Risultati!L72</f>
        <v>89430.347999999998</v>
      </c>
      <c r="AE73" s="12">
        <f t="shared" si="90"/>
        <v>0.1189012261190848</v>
      </c>
      <c r="AF73" s="12"/>
      <c r="AG73" s="10">
        <f>+Risultati!M72+Risultati!P72+Risultati!Q72</f>
        <v>1987.163</v>
      </c>
      <c r="AH73" s="12">
        <f t="shared" si="91"/>
        <v>2.6420127225545284E-3</v>
      </c>
      <c r="AI73" s="12"/>
      <c r="AJ73" s="13">
        <f t="shared" si="53"/>
        <v>67519.004999999888</v>
      </c>
      <c r="AK73" s="11">
        <f t="shared" si="92"/>
        <v>8.9769218843256698E-2</v>
      </c>
      <c r="AL73" s="12"/>
      <c r="AM73" s="10">
        <f>+Risultati!N72</f>
        <v>28889.455000000002</v>
      </c>
      <c r="AN73" s="12">
        <f t="shared" si="93"/>
        <v>3.8409686400998073E-2</v>
      </c>
      <c r="AO73" s="12"/>
      <c r="AP73" s="10">
        <f t="shared" si="54"/>
        <v>38629.549999999886</v>
      </c>
      <c r="AQ73" s="41">
        <f t="shared" si="94"/>
        <v>5.1359532442258625E-2</v>
      </c>
      <c r="AR73" s="12"/>
      <c r="AS73" s="10">
        <f>+Risultati!O72</f>
        <v>9098.3549999999996</v>
      </c>
      <c r="AT73" s="12">
        <f t="shared" si="95"/>
        <v>1.2096627032768629E-2</v>
      </c>
      <c r="AU73" s="12"/>
      <c r="AV73" s="10">
        <f t="shared" si="55"/>
        <v>29531.194999999887</v>
      </c>
      <c r="AW73" s="12">
        <f t="shared" si="96"/>
        <v>3.9262905409489998E-2</v>
      </c>
      <c r="AX73" s="12"/>
      <c r="AY73" s="10">
        <f>+Risultati!R72+Risultati!S72</f>
        <v>1338.0150000000001</v>
      </c>
      <c r="AZ73" s="12">
        <f t="shared" si="97"/>
        <v>1.7789444816398037E-3</v>
      </c>
      <c r="BA73" s="12"/>
      <c r="BB73" s="10">
        <f>+Risultati!T72</f>
        <v>0</v>
      </c>
      <c r="BC73" s="12">
        <f t="shared" si="98"/>
        <v>0</v>
      </c>
      <c r="BD73" s="12"/>
      <c r="BE73" s="10">
        <f>+Risultati!U72</f>
        <v>7993.3019999999997</v>
      </c>
      <c r="BF73" s="12">
        <f t="shared" si="99"/>
        <v>1.0627414851836792E-2</v>
      </c>
      <c r="BG73" s="12"/>
      <c r="BH73" s="10">
        <f t="shared" si="56"/>
        <v>22875.907999999887</v>
      </c>
      <c r="BI73" s="12">
        <f t="shared" si="100"/>
        <v>3.041443503929301E-2</v>
      </c>
      <c r="BK73" s="16">
        <f>IF(ISNUMBER(Risultati!X72/100),(Risultati!X72/100))</f>
        <v>0.16808230965335799</v>
      </c>
      <c r="BL73" s="16">
        <f>IF(ISNUMBER(Risultati!Y72/100),(Risultati!Y72/100))</f>
        <v>0.30003401333241297</v>
      </c>
      <c r="BM73" s="16">
        <f>IF(ISNUMBER(Risultati!Z72/100),(Risultati!Z72/100))</f>
        <v>0.49620299320189504</v>
      </c>
      <c r="BN73" s="16">
        <f>IF(AND(Risultati!AY72&lt;0,calcoli!AP73&lt;0),-IF(ISNUMBER(Risultati!AA72/100),(Risultati!AA72/100)),IF(ISNUMBER(Risultati!AA72/100),(Risultati!AA72/100)))</f>
        <v>0.50033285017625095</v>
      </c>
      <c r="BO73" s="16">
        <f t="shared" si="81"/>
        <v>3.041443503929301E-2</v>
      </c>
      <c r="BP73" s="16">
        <f>IF(Risultati!AB72&gt;0,(AV73/Risultati!AB72),"0")</f>
        <v>0.11044899995282596</v>
      </c>
      <c r="BQ73" s="16">
        <f>IF(Risultati!AG72&lt;&gt;0,(BH73/Risultati!AG72),"0")</f>
        <v>0.16654385257929596</v>
      </c>
      <c r="BR73" s="16">
        <f t="shared" si="82"/>
        <v>3.041443503929301E-2</v>
      </c>
      <c r="BS73" s="14">
        <f>IF(Risultati!AB72&gt;0,(Risultati!G72/Risultati!AB72),"0")</f>
        <v>2.7899974783265882</v>
      </c>
      <c r="BT73" s="15">
        <f>IF(Risultati!AG72&lt;&gt;0,(Risultati!AB72/Risultati!AG72),"0")</f>
        <v>1.9465676379560297</v>
      </c>
      <c r="BU73" s="23">
        <f>IF(AND(Risultati!G72&gt;0,(Risultati!AE72-Risultati!AF72)&gt;=0),((Risultati!AE72-Risultati!AF72)/Risultati!G72*360),"0")</f>
        <v>38.209498307920413</v>
      </c>
      <c r="BV73" s="21">
        <f>IF(OR(E73="abbreviato",Risultati!G72=0),"0",((Risultati!AC72+Risultati!AD72)/Risultati!G72*360))</f>
        <v>13.474115089456019</v>
      </c>
      <c r="BW73" s="21">
        <f>IF(OR(E73="abbreviato",Risultati!G72=0,SUM(Risultati!I72+Risultati!K72+Risultati!M72)=0),"0",(((Risultati!AH72+Risultati!AI72)/(Risultati!I72+Risultati!K72+Risultati!N72)*360)))</f>
        <v>57.558635560715722</v>
      </c>
      <c r="BX73" s="16">
        <f>IF(Risultati!AB72&gt;0,(+Risultati!AG72/Risultati!AB72),"0")</f>
        <v>0.51372476378474996</v>
      </c>
      <c r="BY73" s="22">
        <f>IF(OR(E73="abbreviato",Risultati!G72=0),"0",(((Risultati!AK72-(Risultati!AL72+Risultati!AM72))/Risultati!G72)))</f>
        <v>-8.7213625266212597E-2</v>
      </c>
      <c r="BZ73" s="16">
        <f>IF(Risultati!G72&gt;0,(Risultati!AJ72/Risultati!G72),"0")</f>
        <v>0.16127535165691523</v>
      </c>
      <c r="CA73" s="8"/>
      <c r="CB73" s="10">
        <f>+Risultati!AP72</f>
        <v>0</v>
      </c>
      <c r="CC73" s="31">
        <f t="shared" si="57"/>
        <v>0</v>
      </c>
      <c r="CD73" s="10">
        <f>+Risultati!AQ72</f>
        <v>15189.749</v>
      </c>
      <c r="CE73" s="31">
        <f t="shared" si="58"/>
        <v>5.6810860061180884E-2</v>
      </c>
      <c r="CF73" s="10">
        <f>+Risultati!AR72</f>
        <v>25334.066999999999</v>
      </c>
      <c r="CG73" s="31">
        <f t="shared" si="59"/>
        <v>9.4751409988248034E-2</v>
      </c>
      <c r="CH73" s="10">
        <f>+Risultati!AS72</f>
        <v>31182.223000000002</v>
      </c>
      <c r="CI73" s="31">
        <f t="shared" si="60"/>
        <v>0.11662397497480281</v>
      </c>
      <c r="CJ73" s="10">
        <f t="shared" si="61"/>
        <v>71706.039000000004</v>
      </c>
      <c r="CK73" s="31">
        <f t="shared" si="62"/>
        <v>0.26818624502423172</v>
      </c>
      <c r="CL73" s="10">
        <f>+Risultati!AE72+Risultati!AF72</f>
        <v>79175.694000000003</v>
      </c>
      <c r="CM73" s="31">
        <f t="shared" si="63"/>
        <v>0.29612334424228332</v>
      </c>
      <c r="CN73" s="10">
        <f>+Risultati!AT72</f>
        <v>45982.646000000001</v>
      </c>
      <c r="CO73" s="31">
        <f t="shared" si="64"/>
        <v>0.17197872506970449</v>
      </c>
      <c r="CP73" s="10">
        <f>+Risultati!AU72</f>
        <v>0</v>
      </c>
      <c r="CQ73" s="31">
        <f t="shared" si="65"/>
        <v>0</v>
      </c>
      <c r="CR73" s="10">
        <f>+Risultati!AL72</f>
        <v>65083.09</v>
      </c>
      <c r="CS73" s="31">
        <f t="shared" si="66"/>
        <v>0.24341589306967748</v>
      </c>
      <c r="CT73" s="10">
        <f t="shared" si="67"/>
        <v>190241.43</v>
      </c>
      <c r="CU73" s="31">
        <f t="shared" si="68"/>
        <v>0.71151796238166531</v>
      </c>
      <c r="CV73" s="10">
        <f>+Risultati!AX72</f>
        <v>5426.5680000000002</v>
      </c>
      <c r="CW73" s="31">
        <f t="shared" si="69"/>
        <v>2.029579259410292E-2</v>
      </c>
      <c r="CX73" s="10">
        <f t="shared" si="70"/>
        <v>267374.03700000001</v>
      </c>
      <c r="CY73" s="31">
        <f t="shared" si="71"/>
        <v>1</v>
      </c>
      <c r="CZ73" s="10">
        <f>+Risultati!AG72</f>
        <v>137356.66399999999</v>
      </c>
      <c r="DA73" s="31">
        <f t="shared" si="72"/>
        <v>0.51372476378474996</v>
      </c>
      <c r="DB73" s="10">
        <f t="shared" si="73"/>
        <v>7085.5830000000278</v>
      </c>
      <c r="DC73" s="31">
        <f t="shared" si="74"/>
        <v>2.6500639626427257E-2</v>
      </c>
      <c r="DD73" s="10">
        <f>+Risultati!AV72</f>
        <v>120307.04</v>
      </c>
      <c r="DE73" s="31">
        <f t="shared" si="75"/>
        <v>0.44995782443902732</v>
      </c>
      <c r="DF73" s="10">
        <f>+Risultati!AJ72</f>
        <v>120307.04</v>
      </c>
      <c r="DG73" s="31">
        <f t="shared" si="76"/>
        <v>0.44995782443902732</v>
      </c>
      <c r="DH73" s="10">
        <f t="shared" si="77"/>
        <v>0</v>
      </c>
      <c r="DI73" s="31">
        <f t="shared" si="78"/>
        <v>0</v>
      </c>
      <c r="DJ73" s="10">
        <f>+Risultati!AW72</f>
        <v>2624.75</v>
      </c>
      <c r="DK73" s="31">
        <f t="shared" si="79"/>
        <v>9.8167721497955315E-3</v>
      </c>
      <c r="DL73" s="10">
        <f t="shared" si="101"/>
        <v>267374.03700000001</v>
      </c>
      <c r="DM73" s="31">
        <f t="shared" si="80"/>
        <v>1</v>
      </c>
      <c r="DO73" s="30"/>
      <c r="DP73" s="30"/>
    </row>
    <row r="74" spans="1:120" x14ac:dyDescent="0.2">
      <c r="A74" s="5"/>
      <c r="B74" s="6" t="str">
        <f>+Risultati!B73</f>
        <v>ERGON S.P.A</v>
      </c>
      <c r="C74" s="6" t="str">
        <f>+Risultati!C73</f>
        <v>01220100885</v>
      </c>
      <c r="D74" s="26">
        <f>IF(YEAR(Risultati!D73)=1900,(MID(Risultati!$AP$1,29,4)),YEAR(Risultati!D73))</f>
        <v>2023</v>
      </c>
      <c r="E74" s="6" t="str">
        <f>+Risultati!E73</f>
        <v>Dettagliato</v>
      </c>
      <c r="F74" s="8" t="str">
        <f>(LEFT(Risultati!AN73,2)&amp;"-")&amp;VLOOKUP((LEFT(Risultati!AN73,2)),ateco!$B$4:$C$93,2,FALSE)</f>
        <v>46-Commercio all'ingrosso (escluso quello di autoveicoli e di motocicli)</v>
      </c>
      <c r="G74" s="8" t="str">
        <f>SUBSTITUTE((Risultati!AN73&amp;"-"&amp;Risultati!AO73),",",";")</f>
        <v>463920-Commercio all'ingrosso non specializzato di prodotti alimentari; bevande e tabacco</v>
      </c>
      <c r="I74" s="10">
        <f>+Risultati!G73</f>
        <v>799838.18200000003</v>
      </c>
      <c r="J74" s="11">
        <f t="shared" si="83"/>
        <v>1</v>
      </c>
      <c r="K74" s="12"/>
      <c r="L74" s="10">
        <f>+Risultati!G73+Risultati!H73</f>
        <v>799838.18200000003</v>
      </c>
      <c r="M74" s="11">
        <f t="shared" si="84"/>
        <v>0.99616743312495082</v>
      </c>
      <c r="N74" s="12"/>
      <c r="O74" s="10">
        <f>+Risultati!I73+Risultati!J73</f>
        <v>629021.723</v>
      </c>
      <c r="P74" s="11">
        <f t="shared" si="85"/>
        <v>0.78342215873453236</v>
      </c>
      <c r="Q74" s="12"/>
      <c r="R74" s="13">
        <f t="shared" si="51"/>
        <v>170816.45900000003</v>
      </c>
      <c r="S74" s="11">
        <f t="shared" si="86"/>
        <v>0.21274527439041843</v>
      </c>
      <c r="T74" s="12"/>
      <c r="U74" s="10">
        <f>+Risultati!F73-(Risultati!G73+Risultati!H73)</f>
        <v>3077.2269999999553</v>
      </c>
      <c r="V74" s="12">
        <f t="shared" si="87"/>
        <v>3.8325668750491689E-3</v>
      </c>
      <c r="W74" s="12"/>
      <c r="X74" s="10">
        <f t="shared" si="52"/>
        <v>173893.68599999999</v>
      </c>
      <c r="Y74" s="12">
        <f t="shared" si="88"/>
        <v>0.21657784126546759</v>
      </c>
      <c r="Z74" s="12"/>
      <c r="AA74" s="10">
        <f>+Risultati!K73</f>
        <v>55120.394999999997</v>
      </c>
      <c r="AB74" s="12">
        <f t="shared" si="89"/>
        <v>6.865031407063206E-2</v>
      </c>
      <c r="AC74" s="12"/>
      <c r="AD74" s="10">
        <f>+Risultati!L73</f>
        <v>80165.763999999996</v>
      </c>
      <c r="AE74" s="12">
        <f t="shared" si="90"/>
        <v>9.9843349749437926E-2</v>
      </c>
      <c r="AF74" s="12"/>
      <c r="AG74" s="10">
        <f>+Risultati!M73+Risultati!P73+Risultati!Q73</f>
        <v>3082.4160000000002</v>
      </c>
      <c r="AH74" s="12">
        <f t="shared" si="91"/>
        <v>3.8390295732884613E-3</v>
      </c>
      <c r="AI74" s="12"/>
      <c r="AJ74" s="13">
        <f t="shared" si="53"/>
        <v>35525.111000000004</v>
      </c>
      <c r="AK74" s="11">
        <f t="shared" si="92"/>
        <v>4.4245147872109161E-2</v>
      </c>
      <c r="AL74" s="12"/>
      <c r="AM74" s="10">
        <f>+Risultati!N73</f>
        <v>20086.214</v>
      </c>
      <c r="AN74" s="12">
        <f t="shared" si="93"/>
        <v>2.5016600472292094E-2</v>
      </c>
      <c r="AO74" s="12"/>
      <c r="AP74" s="10">
        <f t="shared" si="54"/>
        <v>15438.897000000004</v>
      </c>
      <c r="AQ74" s="41">
        <f t="shared" si="94"/>
        <v>1.9228547399817063E-2</v>
      </c>
      <c r="AR74" s="12"/>
      <c r="AS74" s="10">
        <f>+Risultati!O73</f>
        <v>7464.82</v>
      </c>
      <c r="AT74" s="12">
        <f t="shared" si="95"/>
        <v>9.2971437791898193E-3</v>
      </c>
      <c r="AU74" s="12"/>
      <c r="AV74" s="10">
        <f t="shared" si="55"/>
        <v>7974.0770000000048</v>
      </c>
      <c r="AW74" s="12">
        <f t="shared" si="96"/>
        <v>9.9314036206272441E-3</v>
      </c>
      <c r="AX74" s="12"/>
      <c r="AY74" s="10">
        <f>+Risultati!R73+Risultati!S73</f>
        <v>-21.321999999999999</v>
      </c>
      <c r="AZ74" s="12">
        <f t="shared" si="97"/>
        <v>-2.6555724004046357E-5</v>
      </c>
      <c r="BA74" s="12"/>
      <c r="BB74" s="10">
        <f>+Risultati!T73</f>
        <v>0</v>
      </c>
      <c r="BC74" s="12">
        <f t="shared" si="98"/>
        <v>0</v>
      </c>
      <c r="BD74" s="12"/>
      <c r="BE74" s="10">
        <f>+Risultati!U73</f>
        <v>2940.1509999999998</v>
      </c>
      <c r="BF74" s="12">
        <f t="shared" si="99"/>
        <v>3.6618440336844997E-3</v>
      </c>
      <c r="BG74" s="12"/>
      <c r="BH74" s="10">
        <f t="shared" si="56"/>
        <v>5012.6040000000048</v>
      </c>
      <c r="BI74" s="12">
        <f t="shared" si="100"/>
        <v>6.2430038629386984E-3</v>
      </c>
      <c r="BK74" s="16">
        <f>IF(ISNUMBER(Risultati!X73/100),(Risultati!X73/100))</f>
        <v>7.9587658719834295E-2</v>
      </c>
      <c r="BL74" s="16">
        <f>IF(ISNUMBER(Risultati!Y73/100),(Risultati!Y73/100))</f>
        <v>0.51188758338707308</v>
      </c>
      <c r="BM74" s="16">
        <f>IF(ISNUMBER(Risultati!Z73/100),(Risultati!Z73/100))</f>
        <v>0.84406737503047902</v>
      </c>
      <c r="BN74" s="16">
        <f>IF(AND(Risultati!AY73&lt;0,calcoli!AP74&lt;0),-IF(ISNUMBER(Risultati!AA73/100),(Risultati!AA73/100)),IF(ISNUMBER(Risultati!AA73/100),(Risultati!AA73/100)))</f>
        <v>10.351696111619301</v>
      </c>
      <c r="BO74" s="16">
        <f t="shared" si="81"/>
        <v>6.2430038629386984E-3</v>
      </c>
      <c r="BP74" s="16">
        <f>IF(Risultati!AB73&gt;0,(AV74/Risultati!AB73),"0")</f>
        <v>3.6580745835578764E-2</v>
      </c>
      <c r="BQ74" s="16">
        <f>IF(Risultati!AG73&lt;&gt;0,(BH74/Risultati!AG73),"0")</f>
        <v>0.14271699736842447</v>
      </c>
      <c r="BR74" s="16">
        <f t="shared" si="82"/>
        <v>6.2430038629386984E-3</v>
      </c>
      <c r="BS74" s="14">
        <f>IF(Risultati!AB73&gt;0,(Risultati!G73/Risultati!AB73),"0")</f>
        <v>3.6692243184174633</v>
      </c>
      <c r="BT74" s="15">
        <f>IF(Risultati!AG73&lt;&gt;0,(Risultati!AB73/Risultati!AG73),"0")</f>
        <v>6.2064058657931724</v>
      </c>
      <c r="BU74" s="23">
        <f>IF(AND(Risultati!G73&gt;0,(Risultati!AE73-Risultati!AF73)&gt;=0),((Risultati!AE73-Risultati!AF73)/Risultati!G73*360),"0")</f>
        <v>28.719380790951035</v>
      </c>
      <c r="BV74" s="21">
        <f>IF(OR(E74="abbreviato",Risultati!G73=0),"0",((Risultati!AC73+Risultati!AD73)/Risultati!G73*360))</f>
        <v>4.7571454397009516</v>
      </c>
      <c r="BW74" s="21">
        <f>IF(OR(E74="abbreviato",Risultati!G73=0,SUM(Risultati!I73+Risultati!K73+Risultati!M73)=0),"0",(((Risultati!AH73+Risultati!AI73)/(Risultati!I73+Risultati!K73+Risultati!N73)*360)))</f>
        <v>68.527520346631164</v>
      </c>
      <c r="BX74" s="16">
        <f>IF(Risultati!AB73&gt;0,(+Risultati!AG73/Risultati!AB73),"0")</f>
        <v>0.16112384874981117</v>
      </c>
      <c r="BY74" s="22">
        <f>IF(OR(E74="abbreviato",Risultati!G73=0),"0",(((Risultati!AK73-(Risultati!AL73+Risultati!AM73))/Risultati!G73)))</f>
        <v>-4.0357328177663805E-2</v>
      </c>
      <c r="BZ74" s="16">
        <f>IF(Risultati!G73&gt;0,(Risultati!AJ73/Risultati!G73),"0")</f>
        <v>0.20412214829724143</v>
      </c>
      <c r="CA74" s="8"/>
      <c r="CB74" s="10">
        <f>+Risultati!AP73</f>
        <v>0</v>
      </c>
      <c r="CC74" s="31">
        <f t="shared" si="57"/>
        <v>0</v>
      </c>
      <c r="CD74" s="10">
        <f>+Risultati!AQ73</f>
        <v>9786.35</v>
      </c>
      <c r="CE74" s="31">
        <f t="shared" si="58"/>
        <v>4.4894472677905667E-2</v>
      </c>
      <c r="CF74" s="10">
        <f>+Risultati!AR73</f>
        <v>55032.264000000003</v>
      </c>
      <c r="CG74" s="31">
        <f t="shared" si="59"/>
        <v>0.25245821706267318</v>
      </c>
      <c r="CH74" s="10">
        <f>+Risultati!AS73</f>
        <v>3209.6759999999999</v>
      </c>
      <c r="CI74" s="31">
        <f t="shared" si="60"/>
        <v>1.4724254853640996E-2</v>
      </c>
      <c r="CJ74" s="10">
        <f t="shared" si="61"/>
        <v>68028.290000000008</v>
      </c>
      <c r="CK74" s="31">
        <f t="shared" si="62"/>
        <v>0.31207694459421986</v>
      </c>
      <c r="CL74" s="10">
        <f>+Risultati!AE73+Risultati!AF73</f>
        <v>63807.936999999998</v>
      </c>
      <c r="CM74" s="31">
        <f t="shared" si="63"/>
        <v>0.29271625113346916</v>
      </c>
      <c r="CN74" s="10">
        <f>+Risultati!AT73</f>
        <v>24016.79</v>
      </c>
      <c r="CO74" s="31">
        <f t="shared" si="64"/>
        <v>0.1101760229775144</v>
      </c>
      <c r="CP74" s="10">
        <f>+Risultati!AU73</f>
        <v>5269.5349999999999</v>
      </c>
      <c r="CQ74" s="31">
        <f t="shared" si="65"/>
        <v>2.4173772150267222E-2</v>
      </c>
      <c r="CR74" s="10">
        <f>+Risultati!AL73</f>
        <v>53717.428999999996</v>
      </c>
      <c r="CS74" s="31">
        <f t="shared" si="66"/>
        <v>0.24642646630948592</v>
      </c>
      <c r="CT74" s="10">
        <f t="shared" si="67"/>
        <v>146811.69099999999</v>
      </c>
      <c r="CU74" s="31">
        <f t="shared" si="68"/>
        <v>0.67349251257073672</v>
      </c>
      <c r="CV74" s="10">
        <f>+Risultati!AX73</f>
        <v>3145.6509999999998</v>
      </c>
      <c r="CW74" s="31">
        <f t="shared" si="69"/>
        <v>1.4430542835043365E-2</v>
      </c>
      <c r="CX74" s="10">
        <f t="shared" si="70"/>
        <v>217985.63200000001</v>
      </c>
      <c r="CY74" s="31">
        <f t="shared" si="71"/>
        <v>1</v>
      </c>
      <c r="CZ74" s="10">
        <f>+Risultati!AG73</f>
        <v>35122.684000000001</v>
      </c>
      <c r="DA74" s="31">
        <f t="shared" si="72"/>
        <v>0.16112384874981117</v>
      </c>
      <c r="DB74" s="10">
        <f t="shared" si="73"/>
        <v>4503.909000000016</v>
      </c>
      <c r="DC74" s="31">
        <f t="shared" si="74"/>
        <v>2.066149479062921E-2</v>
      </c>
      <c r="DD74" s="10">
        <f>+Risultati!AV73</f>
        <v>175951.78099999999</v>
      </c>
      <c r="DE74" s="31">
        <f t="shared" si="75"/>
        <v>0.80717146073187052</v>
      </c>
      <c r="DF74" s="10">
        <f>+Risultati!AJ73</f>
        <v>163264.68799999999</v>
      </c>
      <c r="DG74" s="31">
        <f t="shared" si="76"/>
        <v>0.74896995045985404</v>
      </c>
      <c r="DH74" s="10">
        <f t="shared" si="77"/>
        <v>12687.092999999993</v>
      </c>
      <c r="DI74" s="31">
        <f t="shared" si="78"/>
        <v>5.8201510272016428E-2</v>
      </c>
      <c r="DJ74" s="10">
        <f>+Risultati!AW73</f>
        <v>2407.2579999999998</v>
      </c>
      <c r="DK74" s="31">
        <f t="shared" si="79"/>
        <v>1.104319572768906E-2</v>
      </c>
      <c r="DL74" s="10">
        <f t="shared" si="101"/>
        <v>217985.63200000001</v>
      </c>
      <c r="DM74" s="31">
        <f t="shared" si="80"/>
        <v>1</v>
      </c>
      <c r="DO74" s="30"/>
      <c r="DP74" s="30"/>
    </row>
    <row r="75" spans="1:120" x14ac:dyDescent="0.2">
      <c r="A75" s="5"/>
      <c r="B75" s="6" t="str">
        <f>+Risultati!B74</f>
        <v>AP COMMERCIALE SRL</v>
      </c>
      <c r="C75" s="6" t="str">
        <f>+Risultati!C74</f>
        <v>07489941216</v>
      </c>
      <c r="D75" s="26">
        <f>IF(YEAR(Risultati!D74)=1900,(MID(Risultati!$AP$1,29,4)),YEAR(Risultati!D74))</f>
        <v>2023</v>
      </c>
      <c r="E75" s="6" t="str">
        <f>+Risultati!E74</f>
        <v>Dettagliato</v>
      </c>
      <c r="F75" s="8" t="str">
        <f>(LEFT(Risultati!AN74,2)&amp;"-")&amp;VLOOKUP((LEFT(Risultati!AN74,2)),ateco!$B$4:$C$93,2,FALSE)</f>
        <v>47-Commercio al dettaglio (escluso quello di autoveicoli e di motocicli)</v>
      </c>
      <c r="G75" s="8" t="str">
        <f>SUBSTITUTE((Risultati!AN74&amp;"-"&amp;Risultati!AO74),",",";")</f>
        <v>471100-Commercio al dettaglio in esercizi non specializzati con prevalenza di prodotti alimentari e bevande</v>
      </c>
      <c r="I75" s="10">
        <f>+Risultati!G74</f>
        <v>723303.72900000005</v>
      </c>
      <c r="J75" s="11">
        <f t="shared" si="83"/>
        <v>1</v>
      </c>
      <c r="K75" s="12"/>
      <c r="L75" s="10">
        <f>+Risultati!G74+Risultati!H74</f>
        <v>723303.72900000005</v>
      </c>
      <c r="M75" s="11">
        <f t="shared" si="84"/>
        <v>0.99650090698680793</v>
      </c>
      <c r="N75" s="12"/>
      <c r="O75" s="10">
        <f>+Risultati!I74+Risultati!J74</f>
        <v>521435.80099999998</v>
      </c>
      <c r="P75" s="11">
        <f t="shared" si="85"/>
        <v>0.71838596677813149</v>
      </c>
      <c r="Q75" s="12"/>
      <c r="R75" s="13">
        <f t="shared" si="51"/>
        <v>201867.92800000007</v>
      </c>
      <c r="S75" s="11">
        <f t="shared" si="86"/>
        <v>0.27811494020867644</v>
      </c>
      <c r="T75" s="12"/>
      <c r="U75" s="10">
        <f>+Risultati!F74-(Risultati!G74+Risultati!H74)</f>
        <v>2539.7939999999944</v>
      </c>
      <c r="V75" s="12">
        <f t="shared" si="87"/>
        <v>3.4990930131920377E-3</v>
      </c>
      <c r="W75" s="12"/>
      <c r="X75" s="10">
        <f t="shared" si="52"/>
        <v>204407.72200000007</v>
      </c>
      <c r="Y75" s="12">
        <f t="shared" si="88"/>
        <v>0.28161403322186845</v>
      </c>
      <c r="Z75" s="12"/>
      <c r="AA75" s="10">
        <f>+Risultati!K74</f>
        <v>50191.214999999997</v>
      </c>
      <c r="AB75" s="12">
        <f t="shared" si="89"/>
        <v>6.9148808812887888E-2</v>
      </c>
      <c r="AC75" s="12"/>
      <c r="AD75" s="10">
        <f>+Risultati!L74</f>
        <v>77126.239000000001</v>
      </c>
      <c r="AE75" s="12">
        <f t="shared" si="90"/>
        <v>0.10625739096110939</v>
      </c>
      <c r="AF75" s="12"/>
      <c r="AG75" s="10">
        <f>+Risultati!M74+Risultati!P74+Risultati!Q74</f>
        <v>6337.0560000000005</v>
      </c>
      <c r="AH75" s="12">
        <f t="shared" si="91"/>
        <v>8.7306090075835816E-3</v>
      </c>
      <c r="AI75" s="12"/>
      <c r="AJ75" s="13">
        <f t="shared" si="53"/>
        <v>70753.212000000072</v>
      </c>
      <c r="AK75" s="11">
        <f t="shared" si="92"/>
        <v>9.7477224440287613E-2</v>
      </c>
      <c r="AL75" s="12"/>
      <c r="AM75" s="10">
        <f>+Risultati!N74</f>
        <v>29644.530999999999</v>
      </c>
      <c r="AN75" s="12">
        <f t="shared" si="93"/>
        <v>4.0841490019054696E-2</v>
      </c>
      <c r="AO75" s="12"/>
      <c r="AP75" s="10">
        <f t="shared" si="54"/>
        <v>41108.68100000007</v>
      </c>
      <c r="AQ75" s="41">
        <f t="shared" si="94"/>
        <v>5.6635734421232917E-2</v>
      </c>
      <c r="AR75" s="12"/>
      <c r="AS75" s="10">
        <f>+Risultati!O74</f>
        <v>6269.5039999999999</v>
      </c>
      <c r="AT75" s="12">
        <f t="shared" si="95"/>
        <v>8.6375421166360669E-3</v>
      </c>
      <c r="AU75" s="12"/>
      <c r="AV75" s="10">
        <f t="shared" si="55"/>
        <v>34839.177000000069</v>
      </c>
      <c r="AW75" s="12">
        <f t="shared" si="96"/>
        <v>4.799819230459685E-2</v>
      </c>
      <c r="AX75" s="12"/>
      <c r="AY75" s="10">
        <f>+Risultati!R74+Risultati!S74</f>
        <v>246.52099999999999</v>
      </c>
      <c r="AZ75" s="12">
        <f t="shared" si="97"/>
        <v>3.396338083738745E-4</v>
      </c>
      <c r="BA75" s="12"/>
      <c r="BB75" s="10">
        <f>+Risultati!T74</f>
        <v>0</v>
      </c>
      <c r="BC75" s="12">
        <f t="shared" si="98"/>
        <v>0</v>
      </c>
      <c r="BD75" s="12"/>
      <c r="BE75" s="10">
        <f>+Risultati!U74</f>
        <v>10846.53</v>
      </c>
      <c r="BF75" s="12">
        <f t="shared" si="99"/>
        <v>1.4943344751731015E-2</v>
      </c>
      <c r="BG75" s="12"/>
      <c r="BH75" s="10">
        <f t="shared" si="56"/>
        <v>24239.168000000071</v>
      </c>
      <c r="BI75" s="12">
        <f t="shared" si="100"/>
        <v>3.3394481361239715E-2</v>
      </c>
      <c r="BK75" s="16">
        <f>IF(ISNUMBER(Risultati!X74/100),(Risultati!X74/100))</f>
        <v>0.20556967819714297</v>
      </c>
      <c r="BL75" s="16">
        <f>IF(ISNUMBER(Risultati!Y74/100),(Risultati!Y74/100))</f>
        <v>0.484264251356608</v>
      </c>
      <c r="BM75" s="16">
        <f>IF(ISNUMBER(Risultati!Z74/100),(Risultati!Z74/100))</f>
        <v>1.0238715977191901</v>
      </c>
      <c r="BN75" s="16">
        <f>IF(AND(Risultati!AY74&lt;0,calcoli!AP75&lt;0),-IF(ISNUMBER(Risultati!AA74/100),(Risultati!AA74/100)),IF(ISNUMBER(Risultati!AA74/100),(Risultati!AA74/100)))</f>
        <v>3.7215132068212</v>
      </c>
      <c r="BO75" s="16">
        <f t="shared" si="81"/>
        <v>3.3394481361239715E-2</v>
      </c>
      <c r="BP75" s="16">
        <f>IF(Risultati!AB74&gt;0,(AV75/Risultati!AB74),"0")</f>
        <v>0.17853486605412766</v>
      </c>
      <c r="BQ75" s="16">
        <f>IF(Risultati!AG74&lt;&gt;0,(BH75/Risultati!AG74),"0")</f>
        <v>0.52916565852855302</v>
      </c>
      <c r="BR75" s="16">
        <f t="shared" si="82"/>
        <v>3.3394481361239715E-2</v>
      </c>
      <c r="BS75" s="14">
        <f>IF(Risultati!AB74&gt;0,(Risultati!G74/Risultati!AB74),"0")</f>
        <v>3.7066011741168801</v>
      </c>
      <c r="BT75" s="15">
        <f>IF(Risultati!AG74&lt;&gt;0,(Risultati!AB74/Risultati!AG74),"0")</f>
        <v>4.2600901372077153</v>
      </c>
      <c r="BU75" s="23">
        <f>IF(AND(Risultati!G74&gt;0,(Risultati!AE74-Risultati!AF74)&gt;=0),((Risultati!AE74-Risultati!AF74)/Risultati!G74*360),"0")</f>
        <v>10.444813343413578</v>
      </c>
      <c r="BV75" s="21">
        <f>IF(OR(E75="abbreviato",Risultati!G74=0),"0",((Risultati!AC74+Risultati!AD74)/Risultati!G74*360))</f>
        <v>15.969064746796017</v>
      </c>
      <c r="BW75" s="21">
        <f>IF(OR(E75="abbreviato",Risultati!G74=0,SUM(Risultati!I74+Risultati!K74+Risultati!M74)=0),"0",(((Risultati!AH74+Risultati!AI74)/(Risultati!I74+Risultati!K74+Risultati!N74)*360)))</f>
        <v>58.043753242224192</v>
      </c>
      <c r="BX75" s="16">
        <f>IF(Risultati!AB74&gt;0,(+Risultati!AG74/Risultati!AB74),"0")</f>
        <v>0.23473681724853174</v>
      </c>
      <c r="BY75" s="22">
        <f>IF(OR(E75="abbreviato",Risultati!G74=0),"0",(((Risultati!AK74-(Risultati!AL74+Risultati!AM74))/Risultati!G74)))</f>
        <v>-0.1076670959621169</v>
      </c>
      <c r="BZ75" s="16">
        <f>IF(Risultati!G74&gt;0,(Risultati!AJ74/Risultati!G74),"0")</f>
        <v>0.16384273611286745</v>
      </c>
      <c r="CA75" s="8"/>
      <c r="CB75" s="10">
        <f>+Risultati!AP74</f>
        <v>0</v>
      </c>
      <c r="CC75" s="31">
        <f t="shared" si="57"/>
        <v>0</v>
      </c>
      <c r="CD75" s="10">
        <f>+Risultati!AQ74</f>
        <v>34084.277000000002</v>
      </c>
      <c r="CE75" s="31">
        <f t="shared" si="58"/>
        <v>0.17466634842570397</v>
      </c>
      <c r="CF75" s="10">
        <f>+Risultati!AR74</f>
        <v>14921.588</v>
      </c>
      <c r="CG75" s="31">
        <f t="shared" si="59"/>
        <v>7.6466321661239969E-2</v>
      </c>
      <c r="CH75" s="10">
        <f>+Risultati!AS74</f>
        <v>1567.296</v>
      </c>
      <c r="CI75" s="31">
        <f t="shared" si="60"/>
        <v>8.0316759901409122E-3</v>
      </c>
      <c r="CJ75" s="10">
        <f t="shared" si="61"/>
        <v>50573.161</v>
      </c>
      <c r="CK75" s="31">
        <f t="shared" si="62"/>
        <v>0.25916434607708483</v>
      </c>
      <c r="CL75" s="10">
        <f>+Risultati!AE74+Risultati!AF74</f>
        <v>20985.478999999999</v>
      </c>
      <c r="CM75" s="31">
        <f t="shared" si="63"/>
        <v>0.10754099278369007</v>
      </c>
      <c r="CN75" s="10">
        <f>+Risultati!AT74</f>
        <v>45379.95</v>
      </c>
      <c r="CO75" s="31">
        <f t="shared" si="64"/>
        <v>0.23255151218965345</v>
      </c>
      <c r="CP75" s="10">
        <f>+Risultati!AU74</f>
        <v>61804.853000000003</v>
      </c>
      <c r="CQ75" s="31">
        <f t="shared" si="65"/>
        <v>0.31672163644537377</v>
      </c>
      <c r="CR75" s="10">
        <f>+Risultati!AL74</f>
        <v>16143.710999999999</v>
      </c>
      <c r="CS75" s="31">
        <f t="shared" si="66"/>
        <v>8.2729143716613662E-2</v>
      </c>
      <c r="CT75" s="10">
        <f t="shared" si="67"/>
        <v>144313.99299999999</v>
      </c>
      <c r="CU75" s="31">
        <f t="shared" si="68"/>
        <v>0.73954328513533085</v>
      </c>
      <c r="CV75" s="10">
        <f>+Risultati!AX74</f>
        <v>252.19200000000001</v>
      </c>
      <c r="CW75" s="31">
        <f t="shared" si="69"/>
        <v>1.2923687875842323E-3</v>
      </c>
      <c r="CX75" s="10">
        <f t="shared" si="70"/>
        <v>195139.34599999999</v>
      </c>
      <c r="CY75" s="31">
        <f t="shared" si="71"/>
        <v>1</v>
      </c>
      <c r="CZ75" s="10">
        <f>+Risultati!AG74</f>
        <v>45806.389000000003</v>
      </c>
      <c r="DA75" s="31">
        <f t="shared" si="72"/>
        <v>0.23473681724853174</v>
      </c>
      <c r="DB75" s="10">
        <f t="shared" si="73"/>
        <v>29754.36199999999</v>
      </c>
      <c r="DC75" s="31">
        <f t="shared" si="74"/>
        <v>0.15247751214662772</v>
      </c>
      <c r="DD75" s="10">
        <f>+Risultati!AV74</f>
        <v>118508.06200000001</v>
      </c>
      <c r="DE75" s="31">
        <f t="shared" si="75"/>
        <v>0.60729967804647667</v>
      </c>
      <c r="DF75" s="10">
        <f>+Risultati!AJ74</f>
        <v>118508.06200000001</v>
      </c>
      <c r="DG75" s="31">
        <f t="shared" si="76"/>
        <v>0.60729967804647667</v>
      </c>
      <c r="DH75" s="10">
        <f t="shared" si="77"/>
        <v>0</v>
      </c>
      <c r="DI75" s="31">
        <f t="shared" si="78"/>
        <v>0</v>
      </c>
      <c r="DJ75" s="10">
        <f>+Risultati!AW74</f>
        <v>1070.5329999999999</v>
      </c>
      <c r="DK75" s="31">
        <f t="shared" si="79"/>
        <v>5.4859925583639084E-3</v>
      </c>
      <c r="DL75" s="10">
        <f t="shared" si="101"/>
        <v>195139.34599999999</v>
      </c>
      <c r="DM75" s="31">
        <f t="shared" si="80"/>
        <v>1</v>
      </c>
      <c r="DO75" s="30"/>
      <c r="DP75" s="30"/>
    </row>
    <row r="76" spans="1:120" x14ac:dyDescent="0.2">
      <c r="A76" s="5"/>
      <c r="B76" s="6" t="str">
        <f>+Risultati!B75</f>
        <v>CASILLO SOCIETA' PER AZIONI</v>
      </c>
      <c r="C76" s="6" t="str">
        <f>+Risultati!C75</f>
        <v>00252860721</v>
      </c>
      <c r="D76" s="26">
        <f>IF(YEAR(Risultati!D75)=1900,(MID(Risultati!$AP$1,29,4)),YEAR(Risultati!D75))</f>
        <v>2023</v>
      </c>
      <c r="E76" s="6" t="str">
        <f>+Risultati!E75</f>
        <v>Dettagliato</v>
      </c>
      <c r="F76" s="8" t="str">
        <f>(LEFT(Risultati!AN75,2)&amp;"-")&amp;VLOOKUP((LEFT(Risultati!AN75,2)),ateco!$B$4:$C$93,2,FALSE)</f>
        <v>10-Industrie alimentari</v>
      </c>
      <c r="G76" s="8" t="str">
        <f>SUBSTITUTE((Risultati!AN75&amp;"-"&amp;Risultati!AO75),",",";")</f>
        <v>106110-Molitura del frumento</v>
      </c>
      <c r="I76" s="10">
        <f>+Risultati!G75</f>
        <v>791384</v>
      </c>
      <c r="J76" s="11">
        <f t="shared" si="83"/>
        <v>1.0012474727921883</v>
      </c>
      <c r="K76" s="12"/>
      <c r="L76" s="10">
        <f>+Risultati!G75+Risultati!H75</f>
        <v>790398</v>
      </c>
      <c r="M76" s="11">
        <f t="shared" si="84"/>
        <v>0.98970350141055641</v>
      </c>
      <c r="N76" s="12"/>
      <c r="O76" s="10">
        <f>+Risultati!I75+Risultati!J75</f>
        <v>647920</v>
      </c>
      <c r="P76" s="11">
        <f t="shared" si="85"/>
        <v>0.81129847574756986</v>
      </c>
      <c r="Q76" s="12"/>
      <c r="R76" s="13">
        <f t="shared" si="51"/>
        <v>142478</v>
      </c>
      <c r="S76" s="11">
        <f t="shared" si="86"/>
        <v>0.17840502566298658</v>
      </c>
      <c r="T76" s="12"/>
      <c r="U76" s="10">
        <f>+Risultati!F75-(Risultati!G75+Risultati!H75)</f>
        <v>8223</v>
      </c>
      <c r="V76" s="12">
        <f t="shared" si="87"/>
        <v>1.0296498589443554E-2</v>
      </c>
      <c r="W76" s="12"/>
      <c r="X76" s="10">
        <f t="shared" si="52"/>
        <v>150701</v>
      </c>
      <c r="Y76" s="12">
        <f t="shared" si="88"/>
        <v>0.18870152425243011</v>
      </c>
      <c r="Z76" s="12"/>
      <c r="AA76" s="10">
        <f>+Risultati!K75</f>
        <v>108844</v>
      </c>
      <c r="AB76" s="12">
        <f t="shared" si="89"/>
        <v>0.13628992976643489</v>
      </c>
      <c r="AC76" s="12"/>
      <c r="AD76" s="10">
        <f>+Risultati!L75</f>
        <v>5580</v>
      </c>
      <c r="AE76" s="12">
        <f t="shared" si="90"/>
        <v>6.9870439169518461E-3</v>
      </c>
      <c r="AF76" s="12"/>
      <c r="AG76" s="10">
        <f>+Risultati!M75+Risultati!P75+Risultati!Q75</f>
        <v>2695</v>
      </c>
      <c r="AH76" s="12">
        <f t="shared" si="91"/>
        <v>3.3745669097106135E-3</v>
      </c>
      <c r="AI76" s="12"/>
      <c r="AJ76" s="13">
        <f t="shared" si="53"/>
        <v>33582</v>
      </c>
      <c r="AK76" s="11">
        <f t="shared" si="92"/>
        <v>4.2049983659332775E-2</v>
      </c>
      <c r="AL76" s="12"/>
      <c r="AM76" s="10">
        <f>+Risultati!N75</f>
        <v>920</v>
      </c>
      <c r="AN76" s="12">
        <f t="shared" si="93"/>
        <v>1.1519857354114155E-3</v>
      </c>
      <c r="AO76" s="12"/>
      <c r="AP76" s="10">
        <f t="shared" si="54"/>
        <v>32662</v>
      </c>
      <c r="AQ76" s="41">
        <f t="shared" si="94"/>
        <v>4.0897997923921361E-2</v>
      </c>
      <c r="AR76" s="12"/>
      <c r="AS76" s="10">
        <f>+Risultati!O75</f>
        <v>19523</v>
      </c>
      <c r="AT76" s="12">
        <f t="shared" si="95"/>
        <v>2.4445888600475068E-2</v>
      </c>
      <c r="AU76" s="12"/>
      <c r="AV76" s="10">
        <f t="shared" si="55"/>
        <v>13139</v>
      </c>
      <c r="AW76" s="12">
        <f t="shared" si="96"/>
        <v>1.645210932344629E-2</v>
      </c>
      <c r="AX76" s="12"/>
      <c r="AY76" s="10">
        <f>+Risultati!R75+Risultati!S75</f>
        <v>-9294</v>
      </c>
      <c r="AZ76" s="12">
        <f t="shared" si="97"/>
        <v>-1.1637560244471408E-2</v>
      </c>
      <c r="BA76" s="12"/>
      <c r="BB76" s="10">
        <f>+Risultati!T75</f>
        <v>418</v>
      </c>
      <c r="BC76" s="12">
        <f t="shared" si="98"/>
        <v>5.2340221456736048E-4</v>
      </c>
      <c r="BD76" s="12"/>
      <c r="BE76" s="10">
        <f>+Risultati!U75</f>
        <v>2269</v>
      </c>
      <c r="BF76" s="12">
        <f t="shared" si="99"/>
        <v>2.8411474278788062E-3</v>
      </c>
      <c r="BG76" s="12"/>
      <c r="BH76" s="10">
        <f t="shared" si="56"/>
        <v>1994</v>
      </c>
      <c r="BI76" s="12">
        <f t="shared" si="100"/>
        <v>2.4968038656634373E-3</v>
      </c>
      <c r="BK76" s="16">
        <f>IF(ISNUMBER(Risultati!X75/100),(Risultati!X75/100))</f>
        <v>-0.19133895681229501</v>
      </c>
      <c r="BL76" s="16">
        <f>IF(ISNUMBER(Risultati!Y75/100),(Risultati!Y75/100))</f>
        <v>0.24131351387074101</v>
      </c>
      <c r="BM76" s="16">
        <f>IF(ISNUMBER(Risultati!Z75/100),(Risultati!Z75/100))</f>
        <v>0.69438298137774401</v>
      </c>
      <c r="BN76" s="16">
        <f>IF(AND(Risultati!AY75&lt;0,calcoli!AP76&lt;0),-IF(ISNUMBER(Risultati!AA75/100),(Risultati!AA75/100)),IF(ISNUMBER(Risultati!AA75/100),(Risultati!AA75/100)))</f>
        <v>1.0930715116318601</v>
      </c>
      <c r="BO76" s="16">
        <f t="shared" si="81"/>
        <v>2.4968038656634373E-3</v>
      </c>
      <c r="BP76" s="16">
        <f>IF(Risultati!AB75&gt;0,(AV76/Risultati!AB75),"0")</f>
        <v>1.9544841271612157E-2</v>
      </c>
      <c r="BQ76" s="16">
        <f>IF(Risultati!AG75&lt;&gt;0,(BH76/Risultati!AG75),"0")</f>
        <v>1.0013810420590082E-2</v>
      </c>
      <c r="BR76" s="16">
        <f t="shared" si="82"/>
        <v>2.4968038656634373E-3</v>
      </c>
      <c r="BS76" s="14">
        <f>IF(Risultati!AB75&gt;0,(Risultati!G75/Risultati!AB75),"0")</f>
        <v>1.1772185603846195</v>
      </c>
      <c r="BT76" s="15">
        <f>IF(Risultati!AG75&lt;&gt;0,(Risultati!AB75/Risultati!AG75),"0")</f>
        <v>3.376015065913371</v>
      </c>
      <c r="BU76" s="23">
        <f>IF(AND(Risultati!G75&gt;0,(Risultati!AE75-Risultati!AF75)&gt;=0),((Risultati!AE75-Risultati!AF75)/Risultati!G75*360),"0")</f>
        <v>47.256755254086514</v>
      </c>
      <c r="BV76" s="21">
        <f>IF(OR(E76="abbreviato",Risultati!G75=0),"0",((Risultati!AC75+Risultati!AD75)/Risultati!G75*360))</f>
        <v>36.069417627851962</v>
      </c>
      <c r="BW76" s="21">
        <f>IF(OR(E76="abbreviato",Risultati!G75=0,SUM(Risultati!I75+Risultati!K75+Risultati!M75)=0),"0",(((Risultati!AH75+Risultati!AI75)/(Risultati!I75+Risultati!K75+Risultati!N75)*360)))</f>
        <v>19.206788725595221</v>
      </c>
      <c r="BX76" s="16">
        <f>IF(Risultati!AB75&gt;0,(+Risultati!AG75/Risultati!AB75),"0")</f>
        <v>0.29620720893597463</v>
      </c>
      <c r="BY76" s="22">
        <f>IF(OR(E76="abbreviato",Risultati!G75=0),"0",(((Risultati!AK75-(Risultati!AL75+Risultati!AM75))/Risultati!G75)))</f>
        <v>0.19475753869170973</v>
      </c>
      <c r="BZ76" s="16">
        <f>IF(Risultati!G75&gt;0,(Risultati!AJ75/Risultati!G75),"0")</f>
        <v>0.53209440676081399</v>
      </c>
      <c r="CA76" s="8"/>
      <c r="CB76" s="10">
        <f>+Risultati!AP75</f>
        <v>0</v>
      </c>
      <c r="CC76" s="31">
        <f t="shared" si="57"/>
        <v>0</v>
      </c>
      <c r="CD76" s="10">
        <f>+Risultati!AQ75</f>
        <v>2700</v>
      </c>
      <c r="CE76" s="31">
        <f t="shared" si="58"/>
        <v>4.0163689347250797E-3</v>
      </c>
      <c r="CF76" s="10">
        <f>+Risultati!AR75</f>
        <v>212240</v>
      </c>
      <c r="CG76" s="31">
        <f t="shared" si="59"/>
        <v>0.31571634915038921</v>
      </c>
      <c r="CH76" s="10">
        <f>+Risultati!AS75</f>
        <v>18805</v>
      </c>
      <c r="CI76" s="31">
        <f t="shared" si="60"/>
        <v>2.797326585833523E-2</v>
      </c>
      <c r="CJ76" s="10">
        <f t="shared" si="61"/>
        <v>233745</v>
      </c>
      <c r="CK76" s="31">
        <f t="shared" si="62"/>
        <v>0.34770598394344954</v>
      </c>
      <c r="CL76" s="10">
        <f>+Risultati!AE75+Risultati!AF75</f>
        <v>103884</v>
      </c>
      <c r="CM76" s="31">
        <f t="shared" si="63"/>
        <v>0.15453202607962227</v>
      </c>
      <c r="CN76" s="10">
        <f>+Risultati!AT75</f>
        <v>231497</v>
      </c>
      <c r="CO76" s="31">
        <f t="shared" si="64"/>
        <v>0.34436198491927844</v>
      </c>
      <c r="CP76" s="10">
        <f>+Risultati!AU75</f>
        <v>27444</v>
      </c>
      <c r="CQ76" s="31">
        <f t="shared" si="65"/>
        <v>4.0824158905405583E-2</v>
      </c>
      <c r="CR76" s="10">
        <f>+Risultati!AL75</f>
        <v>74043</v>
      </c>
      <c r="CS76" s="31">
        <f t="shared" si="66"/>
        <v>0.11014222408661077</v>
      </c>
      <c r="CT76" s="10">
        <f t="shared" si="67"/>
        <v>436868</v>
      </c>
      <c r="CU76" s="31">
        <f t="shared" si="68"/>
        <v>0.64986039399091711</v>
      </c>
      <c r="CV76" s="10">
        <f>+Risultati!AX75</f>
        <v>1636</v>
      </c>
      <c r="CW76" s="31">
        <f t="shared" si="69"/>
        <v>2.4336220656334187E-3</v>
      </c>
      <c r="CX76" s="10">
        <f t="shared" si="70"/>
        <v>672249</v>
      </c>
      <c r="CY76" s="31">
        <f t="shared" si="71"/>
        <v>1</v>
      </c>
      <c r="CZ76" s="10">
        <f>+Risultati!AG75</f>
        <v>199125</v>
      </c>
      <c r="DA76" s="31">
        <f t="shared" si="72"/>
        <v>0.29620720893597463</v>
      </c>
      <c r="DB76" s="10">
        <f t="shared" si="73"/>
        <v>2217</v>
      </c>
      <c r="DC76" s="31">
        <f t="shared" si="74"/>
        <v>3.29788515862426E-3</v>
      </c>
      <c r="DD76" s="10">
        <f>+Risultati!AV75</f>
        <v>467639</v>
      </c>
      <c r="DE76" s="31">
        <f t="shared" si="75"/>
        <v>0.69563361195033391</v>
      </c>
      <c r="DF76" s="10">
        <f>+Risultati!AJ75</f>
        <v>421091</v>
      </c>
      <c r="DG76" s="31">
        <f t="shared" si="76"/>
        <v>0.62639141151567346</v>
      </c>
      <c r="DH76" s="10">
        <f t="shared" si="77"/>
        <v>46548</v>
      </c>
      <c r="DI76" s="31">
        <f t="shared" si="78"/>
        <v>6.9242200434660367E-2</v>
      </c>
      <c r="DJ76" s="10">
        <f>+Risultati!AW75</f>
        <v>3268</v>
      </c>
      <c r="DK76" s="31">
        <f t="shared" si="79"/>
        <v>4.8612939550672441E-3</v>
      </c>
      <c r="DL76" s="10">
        <f t="shared" si="101"/>
        <v>672249</v>
      </c>
      <c r="DM76" s="31">
        <f t="shared" si="80"/>
        <v>1</v>
      </c>
      <c r="DO76" s="30"/>
      <c r="DP76" s="30"/>
    </row>
    <row r="77" spans="1:120" x14ac:dyDescent="0.2">
      <c r="A77" s="5"/>
      <c r="B77" s="6" t="str">
        <f>+Risultati!B76</f>
        <v>LA DORIA S.P.A.</v>
      </c>
      <c r="C77" s="6" t="str">
        <f>+Risultati!C76</f>
        <v>00180700650</v>
      </c>
      <c r="D77" s="26">
        <f>IF(YEAR(Risultati!D76)=1900,(MID(Risultati!$AP$1,29,4)),YEAR(Risultati!D76))</f>
        <v>2023</v>
      </c>
      <c r="E77" s="6" t="str">
        <f>+Risultati!E76</f>
        <v>Dettagliato</v>
      </c>
      <c r="F77" s="8" t="str">
        <f>(LEFT(Risultati!AN76,2)&amp;"-")&amp;VLOOKUP((LEFT(Risultati!AN76,2)),ateco!$B$4:$C$93,2,FALSE)</f>
        <v>10-Industrie alimentari</v>
      </c>
      <c r="G77" s="8" t="str">
        <f>SUBSTITUTE((Risultati!AN76&amp;"-"&amp;Risultati!AO76),",",";")</f>
        <v>103000-Lavorazione e conservazone di frutta e ortaggi</v>
      </c>
      <c r="I77" s="10">
        <f>+Risultati!G76</f>
        <v>760880</v>
      </c>
      <c r="J77" s="11">
        <f t="shared" si="83"/>
        <v>0.95716363160622542</v>
      </c>
      <c r="K77" s="12"/>
      <c r="L77" s="10">
        <f>+Risultati!G76+Risultati!H76</f>
        <v>794932</v>
      </c>
      <c r="M77" s="11">
        <f t="shared" si="84"/>
        <v>0.97126875655967948</v>
      </c>
      <c r="N77" s="12"/>
      <c r="O77" s="10">
        <f>+Risultati!I76+Risultati!J76</f>
        <v>542723</v>
      </c>
      <c r="P77" s="11">
        <f t="shared" si="85"/>
        <v>0.66311318875871006</v>
      </c>
      <c r="Q77" s="12"/>
      <c r="R77" s="13">
        <f t="shared" si="51"/>
        <v>252209</v>
      </c>
      <c r="S77" s="11">
        <f t="shared" si="86"/>
        <v>0.30815556780096942</v>
      </c>
      <c r="T77" s="12"/>
      <c r="U77" s="10">
        <f>+Risultati!F76-(Risultati!G76+Risultati!H76)</f>
        <v>23515</v>
      </c>
      <c r="V77" s="12">
        <f t="shared" si="87"/>
        <v>2.8731243440320509E-2</v>
      </c>
      <c r="W77" s="12"/>
      <c r="X77" s="10">
        <f t="shared" si="52"/>
        <v>275724</v>
      </c>
      <c r="Y77" s="12">
        <f t="shared" si="88"/>
        <v>0.33688681124128989</v>
      </c>
      <c r="Z77" s="12"/>
      <c r="AA77" s="10">
        <f>+Risultati!K76</f>
        <v>88000</v>
      </c>
      <c r="AB77" s="12">
        <f t="shared" si="89"/>
        <v>0.10752070689977482</v>
      </c>
      <c r="AC77" s="12"/>
      <c r="AD77" s="10">
        <f>+Risultati!L76</f>
        <v>50614</v>
      </c>
      <c r="AE77" s="12">
        <f t="shared" si="90"/>
        <v>6.1841512034377301E-2</v>
      </c>
      <c r="AF77" s="12"/>
      <c r="AG77" s="10">
        <f>+Risultati!M76+Risultati!P76+Risultati!Q76</f>
        <v>18211</v>
      </c>
      <c r="AH77" s="12">
        <f t="shared" si="91"/>
        <v>2.2250677197179537E-2</v>
      </c>
      <c r="AI77" s="12"/>
      <c r="AJ77" s="13">
        <f t="shared" si="53"/>
        <v>118899</v>
      </c>
      <c r="AK77" s="11">
        <f t="shared" si="92"/>
        <v>0.14527391510995824</v>
      </c>
      <c r="AL77" s="12"/>
      <c r="AM77" s="10">
        <f>+Risultati!N76</f>
        <v>2880</v>
      </c>
      <c r="AN77" s="12">
        <f t="shared" si="93"/>
        <v>3.518859498538085E-3</v>
      </c>
      <c r="AO77" s="12"/>
      <c r="AP77" s="10">
        <f t="shared" si="54"/>
        <v>116019</v>
      </c>
      <c r="AQ77" s="41">
        <f t="shared" si="94"/>
        <v>0.14175505561142016</v>
      </c>
      <c r="AR77" s="12"/>
      <c r="AS77" s="10">
        <f>+Risultati!O76</f>
        <v>21263</v>
      </c>
      <c r="AT77" s="12">
        <f t="shared" si="95"/>
        <v>2.597969080465809E-2</v>
      </c>
      <c r="AU77" s="12"/>
      <c r="AV77" s="10">
        <f t="shared" si="55"/>
        <v>94756</v>
      </c>
      <c r="AW77" s="12">
        <f t="shared" si="96"/>
        <v>0.11577536480676208</v>
      </c>
      <c r="AX77" s="12"/>
      <c r="AY77" s="10">
        <f>+Risultati!R76+Risultati!S76</f>
        <v>-24795</v>
      </c>
      <c r="AZ77" s="12">
        <f t="shared" si="97"/>
        <v>-3.0295180995226326E-2</v>
      </c>
      <c r="BA77" s="12"/>
      <c r="BB77" s="10">
        <f>+Risultati!T76</f>
        <v>518</v>
      </c>
      <c r="BC77" s="12">
        <f t="shared" si="98"/>
        <v>6.3290597925094727E-4</v>
      </c>
      <c r="BD77" s="12"/>
      <c r="BE77" s="10">
        <f>+Risultati!U76</f>
        <v>16574</v>
      </c>
      <c r="BF77" s="12">
        <f t="shared" si="99"/>
        <v>2.025054768360077E-2</v>
      </c>
      <c r="BG77" s="12"/>
      <c r="BH77" s="10">
        <f t="shared" si="56"/>
        <v>53905</v>
      </c>
      <c r="BI77" s="12">
        <f t="shared" si="100"/>
        <v>6.5862542107185923E-2</v>
      </c>
      <c r="BK77" s="16">
        <f>IF(ISNUMBER(Risultati!X76/100),(Risultati!X76/100))</f>
        <v>0.25848494872643102</v>
      </c>
      <c r="BL77" s="16">
        <f>IF(ISNUMBER(Risultati!Y76/100),(Risultati!Y76/100))</f>
        <v>0.54833563280140296</v>
      </c>
      <c r="BM77" s="16">
        <f>IF(ISNUMBER(Risultati!Z76/100),(Risultati!Z76/100))</f>
        <v>0.73202428403304298</v>
      </c>
      <c r="BN77" s="16">
        <f>IF(AND(Risultati!AY76&lt;0,calcoli!AP77&lt;0),-IF(ISNUMBER(Risultati!AA76/100),(Risultati!AA76/100)),IF(ISNUMBER(Risultati!AA76/100),(Risultati!AA76/100)))</f>
        <v>1.7697431245225399</v>
      </c>
      <c r="BO77" s="16">
        <f t="shared" si="81"/>
        <v>6.5862542107185923E-2</v>
      </c>
      <c r="BP77" s="16">
        <f>IF(Risultati!AB76&gt;0,(AV77/Risultati!AB76),"0")</f>
        <v>0.10735447733292849</v>
      </c>
      <c r="BQ77" s="16">
        <f>IF(Risultati!AG76&lt;&gt;0,(BH77/Risultati!AG76),"0")</f>
        <v>0.18502500523445195</v>
      </c>
      <c r="BR77" s="16">
        <f t="shared" si="82"/>
        <v>6.5862542107185923E-2</v>
      </c>
      <c r="BS77" s="14">
        <f>IF(Risultati!AB76&gt;0,(Risultati!G76/Risultati!AB76),"0")</f>
        <v>0.86204435300222282</v>
      </c>
      <c r="BT77" s="15">
        <f>IF(Risultati!AG76&lt;&gt;0,(Risultati!AB76/Risultati!AG76),"0")</f>
        <v>3.0296184170330784</v>
      </c>
      <c r="BU77" s="23">
        <f>IF(AND(Risultati!G76&gt;0,(Risultati!AE76-Risultati!AF76)&gt;=0),((Risultati!AE76-Risultati!AF76)/Risultati!G76*360),"0")</f>
        <v>116.89449058984334</v>
      </c>
      <c r="BV77" s="21">
        <f>IF(OR(E77="abbreviato",Risultati!G76=0),"0",((Risultati!AC76+Risultati!AD76)/Risultati!G76*360))</f>
        <v>19.431237514456946</v>
      </c>
      <c r="BW77" s="21">
        <f>IF(OR(E77="abbreviato",Risultati!G76=0,SUM(Risultati!I76+Risultati!K76+Risultati!M76)=0),"0",(((Risultati!AH76+Risultati!AI76)/(Risultati!I76+Risultati!K76+Risultati!N76)*360)))</f>
        <v>70.431690960050588</v>
      </c>
      <c r="BX77" s="16">
        <f>IF(Risultati!AB76&gt;0,(+Risultati!AG76/Risultati!AB76),"0")</f>
        <v>0.33007457123240802</v>
      </c>
      <c r="BY77" s="22">
        <f>IF(OR(E77="abbreviato",Risultati!G76=0),"0",(((Risultati!AK76-(Risultati!AL76+Risultati!AM76))/Risultati!G76)))</f>
        <v>0.33499237724739778</v>
      </c>
      <c r="BZ77" s="16">
        <f>IF(Risultati!G76&gt;0,(Risultati!AJ76/Risultati!G76),"0")</f>
        <v>0.24349831773735675</v>
      </c>
      <c r="CA77" s="8"/>
      <c r="CB77" s="10">
        <f>+Risultati!AP76</f>
        <v>0</v>
      </c>
      <c r="CC77" s="31">
        <f t="shared" si="57"/>
        <v>0</v>
      </c>
      <c r="CD77" s="10">
        <f>+Risultati!AQ76</f>
        <v>152007</v>
      </c>
      <c r="CE77" s="31">
        <f t="shared" si="58"/>
        <v>0.17221740086059417</v>
      </c>
      <c r="CF77" s="10">
        <f>+Risultati!AR76</f>
        <v>251375</v>
      </c>
      <c r="CG77" s="31">
        <f t="shared" si="59"/>
        <v>0.2847970760644698</v>
      </c>
      <c r="CH77" s="10">
        <f>+Risultati!AS76</f>
        <v>18342</v>
      </c>
      <c r="CI77" s="31">
        <f t="shared" si="60"/>
        <v>2.0780698037491815E-2</v>
      </c>
      <c r="CJ77" s="10">
        <f t="shared" si="61"/>
        <v>421724</v>
      </c>
      <c r="CK77" s="31">
        <f t="shared" si="62"/>
        <v>0.47779517496255575</v>
      </c>
      <c r="CL77" s="10">
        <f>+Risultati!AE76+Risultati!AF76</f>
        <v>247063</v>
      </c>
      <c r="CM77" s="31">
        <f t="shared" si="63"/>
        <v>0.27991176530568312</v>
      </c>
      <c r="CN77" s="10">
        <f>+Risultati!AT76</f>
        <v>116760</v>
      </c>
      <c r="CO77" s="31">
        <f t="shared" si="64"/>
        <v>0.13228406405285925</v>
      </c>
      <c r="CP77" s="10">
        <f>+Risultati!AU76</f>
        <v>1652</v>
      </c>
      <c r="CQ77" s="31">
        <f t="shared" si="65"/>
        <v>1.8716450309637159E-3</v>
      </c>
      <c r="CR77" s="10">
        <f>+Risultati!AL76</f>
        <v>93630</v>
      </c>
      <c r="CS77" s="31">
        <f t="shared" si="66"/>
        <v>0.10607876770528615</v>
      </c>
      <c r="CT77" s="10">
        <f t="shared" si="67"/>
        <v>459105</v>
      </c>
      <c r="CU77" s="31">
        <f t="shared" si="68"/>
        <v>0.52014624209479221</v>
      </c>
      <c r="CV77" s="10">
        <f>+Risultati!AX76</f>
        <v>1817</v>
      </c>
      <c r="CW77" s="31">
        <f t="shared" si="69"/>
        <v>2.0585829426519806E-3</v>
      </c>
      <c r="CX77" s="10">
        <f t="shared" si="70"/>
        <v>882646</v>
      </c>
      <c r="CY77" s="31">
        <f t="shared" si="71"/>
        <v>1</v>
      </c>
      <c r="CZ77" s="10">
        <f>+Risultati!AG76</f>
        <v>291339</v>
      </c>
      <c r="DA77" s="31">
        <f t="shared" si="72"/>
        <v>0.33007457123240802</v>
      </c>
      <c r="DB77" s="10">
        <f t="shared" si="73"/>
        <v>60843</v>
      </c>
      <c r="DC77" s="31">
        <f t="shared" si="74"/>
        <v>6.8932505217267168E-2</v>
      </c>
      <c r="DD77" s="10">
        <f>+Risultati!AV76</f>
        <v>529112</v>
      </c>
      <c r="DE77" s="31">
        <f t="shared" si="75"/>
        <v>0.59946116563152163</v>
      </c>
      <c r="DF77" s="10">
        <f>+Risultati!AJ76</f>
        <v>185273</v>
      </c>
      <c r="DG77" s="31">
        <f t="shared" si="76"/>
        <v>0.20990634977102937</v>
      </c>
      <c r="DH77" s="10">
        <f t="shared" si="77"/>
        <v>343839</v>
      </c>
      <c r="DI77" s="31">
        <f t="shared" si="78"/>
        <v>0.38955481586049218</v>
      </c>
      <c r="DJ77" s="10">
        <f>+Risultati!AW76</f>
        <v>1352</v>
      </c>
      <c r="DK77" s="31">
        <f t="shared" si="79"/>
        <v>1.5317579188032348E-3</v>
      </c>
      <c r="DL77" s="10">
        <f t="shared" si="101"/>
        <v>882646</v>
      </c>
      <c r="DM77" s="31">
        <f t="shared" si="80"/>
        <v>1</v>
      </c>
      <c r="DO77" s="30"/>
      <c r="DP77" s="30"/>
    </row>
    <row r="78" spans="1:120" x14ac:dyDescent="0.2">
      <c r="A78" s="5"/>
      <c r="B78" s="6" t="str">
        <f>+Risultati!B77</f>
        <v>CARGILL S.R.L.</v>
      </c>
      <c r="C78" s="6" t="str">
        <f>+Risultati!C77</f>
        <v>12096330159</v>
      </c>
      <c r="D78" s="26">
        <f>IF(YEAR(Risultati!D77)=1900,(MID(Risultati!$AP$1,29,4)),YEAR(Risultati!D77))</f>
        <v>2023</v>
      </c>
      <c r="E78" s="6" t="str">
        <f>+Risultati!E77</f>
        <v>Dettagliato</v>
      </c>
      <c r="F78" s="8" t="str">
        <f>(LEFT(Risultati!AN77,2)&amp;"-")&amp;VLOOKUP((LEFT(Risultati!AN77,2)),ateco!$B$4:$C$93,2,FALSE)</f>
        <v>10-Industrie alimentari</v>
      </c>
      <c r="G78" s="8" t="str">
        <f>SUBSTITUTE((Risultati!AN77&amp;"-"&amp;Risultati!AO77),",",";")</f>
        <v>106200-Produzione di amidi e di prodotti amidacei (inclusa produzione di olio di mais)</v>
      </c>
      <c r="I78" s="10">
        <f>+Risultati!G77</f>
        <v>893220.80099999998</v>
      </c>
      <c r="J78" s="11">
        <f t="shared" si="83"/>
        <v>0.99167806082701659</v>
      </c>
      <c r="K78" s="12"/>
      <c r="L78" s="10">
        <f>+Risultati!G77+Risultati!H77</f>
        <v>900716.50899999996</v>
      </c>
      <c r="M78" s="11">
        <f t="shared" si="84"/>
        <v>0.95715526694526465</v>
      </c>
      <c r="N78" s="12"/>
      <c r="O78" s="10">
        <f>+Risultati!I77+Risultati!J77</f>
        <v>722512.44099999999</v>
      </c>
      <c r="P78" s="11">
        <f t="shared" si="85"/>
        <v>0.76778495944791192</v>
      </c>
      <c r="Q78" s="12"/>
      <c r="R78" s="13">
        <f t="shared" si="51"/>
        <v>178204.06799999997</v>
      </c>
      <c r="S78" s="11">
        <f t="shared" si="86"/>
        <v>0.18937030749735273</v>
      </c>
      <c r="T78" s="12"/>
      <c r="U78" s="10">
        <f>+Risultati!F77-(Risultati!G77+Risultati!H77)</f>
        <v>40318.389000000083</v>
      </c>
      <c r="V78" s="12">
        <f t="shared" si="87"/>
        <v>4.2844733054735323E-2</v>
      </c>
      <c r="W78" s="12"/>
      <c r="X78" s="10">
        <f t="shared" si="52"/>
        <v>218522.45700000005</v>
      </c>
      <c r="Y78" s="12">
        <f t="shared" si="88"/>
        <v>0.23221504055208805</v>
      </c>
      <c r="Z78" s="12"/>
      <c r="AA78" s="10">
        <f>+Risultati!K77</f>
        <v>123759.81600000001</v>
      </c>
      <c r="AB78" s="12">
        <f t="shared" si="89"/>
        <v>0.1315145870392577</v>
      </c>
      <c r="AC78" s="12"/>
      <c r="AD78" s="10">
        <f>+Risultati!L77</f>
        <v>58944.671999999999</v>
      </c>
      <c r="AE78" s="12">
        <f t="shared" si="90"/>
        <v>6.2638136083238011E-2</v>
      </c>
      <c r="AF78" s="12"/>
      <c r="AG78" s="10">
        <f>+Risultati!M77+Risultati!P77+Risultati!Q77</f>
        <v>9333.0590000000011</v>
      </c>
      <c r="AH78" s="12">
        <f t="shared" si="91"/>
        <v>9.9178670417385522E-3</v>
      </c>
      <c r="AI78" s="12"/>
      <c r="AJ78" s="13">
        <f t="shared" si="53"/>
        <v>26484.910000000047</v>
      </c>
      <c r="AK78" s="11">
        <f t="shared" si="92"/>
        <v>2.8144450387853785E-2</v>
      </c>
      <c r="AL78" s="12"/>
      <c r="AM78" s="10">
        <f>+Risultati!N77</f>
        <v>4247.3289999999997</v>
      </c>
      <c r="AN78" s="12">
        <f t="shared" si="93"/>
        <v>4.5134659820022949E-3</v>
      </c>
      <c r="AO78" s="12"/>
      <c r="AP78" s="10">
        <f t="shared" si="54"/>
        <v>22237.581000000049</v>
      </c>
      <c r="AQ78" s="41">
        <f t="shared" si="94"/>
        <v>2.3630984405851492E-2</v>
      </c>
      <c r="AR78" s="12"/>
      <c r="AS78" s="10">
        <f>+Risultati!O77</f>
        <v>21338.651000000002</v>
      </c>
      <c r="AT78" s="12">
        <f t="shared" si="95"/>
        <v>2.2675727590285393E-2</v>
      </c>
      <c r="AU78" s="12"/>
      <c r="AV78" s="10">
        <f t="shared" si="55"/>
        <v>898.93000000004758</v>
      </c>
      <c r="AW78" s="12">
        <f t="shared" si="96"/>
        <v>9.5525681556609765E-4</v>
      </c>
      <c r="AX78" s="12"/>
      <c r="AY78" s="10">
        <f>+Risultati!R77+Risultati!S77</f>
        <v>26445.548999999999</v>
      </c>
      <c r="AZ78" s="12">
        <f t="shared" si="97"/>
        <v>2.8102623033646513E-2</v>
      </c>
      <c r="BA78" s="12"/>
      <c r="BB78" s="10">
        <f>+Risultati!T77</f>
        <v>0</v>
      </c>
      <c r="BC78" s="12">
        <f t="shared" si="98"/>
        <v>0</v>
      </c>
      <c r="BD78" s="12"/>
      <c r="BE78" s="10">
        <f>+Risultati!U77</f>
        <v>2419.4670000000001</v>
      </c>
      <c r="BF78" s="12">
        <f t="shared" si="99"/>
        <v>2.5710704301637917E-3</v>
      </c>
      <c r="BG78" s="12"/>
      <c r="BH78" s="10">
        <f t="shared" si="56"/>
        <v>24925.012000000046</v>
      </c>
      <c r="BI78" s="12">
        <f t="shared" si="100"/>
        <v>2.648680941904882E-2</v>
      </c>
      <c r="BK78" s="16">
        <f>IF(ISNUMBER(Risultati!X77/100),(Risultati!X77/100))</f>
        <v>0.18897629560203602</v>
      </c>
      <c r="BL78" s="16">
        <f>IF(ISNUMBER(Risultati!Y77/100),(Risultati!Y77/100))</f>
        <v>0.46293518904840902</v>
      </c>
      <c r="BM78" s="16">
        <f>IF(ISNUMBER(Risultati!Z77/100),(Risultati!Z77/100))</f>
        <v>2.2265784612711701</v>
      </c>
      <c r="BN78" s="16">
        <f>IF(AND(Risultati!AY77&lt;0,calcoli!AP78&lt;0),-IF(ISNUMBER(Risultati!AA77/100),(Risultati!AA77/100)),IF(ISNUMBER(Risultati!AA77/100),(Risultati!AA77/100)))</f>
        <v>1.72761149680838</v>
      </c>
      <c r="BO78" s="16">
        <f t="shared" si="81"/>
        <v>2.648680941904882E-2</v>
      </c>
      <c r="BP78" s="16">
        <f>IF(Risultati!AB77&gt;0,(AV78/Risultati!AB77),"0")</f>
        <v>2.1908423831492928E-3</v>
      </c>
      <c r="BQ78" s="16">
        <f>IF(Risultati!AG77&lt;&gt;0,(BH78/Risultati!AG77),"0")</f>
        <v>0.10626469444434267</v>
      </c>
      <c r="BR78" s="16">
        <f t="shared" si="82"/>
        <v>2.648680941904882E-2</v>
      </c>
      <c r="BS78" s="14">
        <f>IF(Risultati!AB77&gt;0,(Risultati!G77/Risultati!AB77),"0")</f>
        <v>2.1769281126909288</v>
      </c>
      <c r="BT78" s="15">
        <f>IF(Risultati!AG77&lt;&gt;0,(Risultati!AB77/Risultati!AG77),"0")</f>
        <v>1.7493163772736162</v>
      </c>
      <c r="BU78" s="23">
        <f>IF(AND(Risultati!G77&gt;0,(Risultati!AE77-Risultati!AF77)&gt;=0),((Risultati!AE77-Risultati!AF77)/Risultati!G77*360),"0")</f>
        <v>30.891759225835585</v>
      </c>
      <c r="BV78" s="21">
        <f>IF(OR(E78="abbreviato",Risultati!G77=0),"0",((Risultati!AC77+Risultati!AD77)/Risultati!G77*360))</f>
        <v>36.149640720245607</v>
      </c>
      <c r="BW78" s="21">
        <f>IF(OR(E78="abbreviato",Risultati!G77=0,SUM(Risultati!I77+Risultati!K77+Risultati!M77)=0),"0",(((Risultati!AH77+Risultati!AI77)/(Risultati!I77+Risultati!K77+Risultati!N77)*360)))</f>
        <v>29.131166462690977</v>
      </c>
      <c r="BX78" s="16">
        <f>IF(Risultati!AB77&gt;0,(+Risultati!AG77/Risultati!AB77),"0")</f>
        <v>0.5716518824105119</v>
      </c>
      <c r="BY78" s="22">
        <f>IF(OR(E78="abbreviato",Risultati!G77=0),"0",(((Risultati!AK77-(Risultati!AL77+Risultati!AM77))/Risultati!G77)))</f>
        <v>-1.4195258312171795E-3</v>
      </c>
      <c r="BZ78" s="16">
        <f>IF(Risultati!G77&gt;0,(Risultati!AJ77/Risultati!G77),"0")</f>
        <v>0.16806430261357067</v>
      </c>
      <c r="CA78" s="8"/>
      <c r="CB78" s="10">
        <f>+Risultati!AP77</f>
        <v>0</v>
      </c>
      <c r="CC78" s="31">
        <f t="shared" si="57"/>
        <v>0</v>
      </c>
      <c r="CD78" s="10">
        <f>+Risultati!AQ77</f>
        <v>15668.025</v>
      </c>
      <c r="CE78" s="31">
        <f t="shared" si="58"/>
        <v>3.81855909027854E-2</v>
      </c>
      <c r="CF78" s="10">
        <f>+Risultati!AR77</f>
        <v>148529.924</v>
      </c>
      <c r="CG78" s="31">
        <f t="shared" si="59"/>
        <v>0.36199220480474131</v>
      </c>
      <c r="CH78" s="10">
        <f>+Risultati!AS77</f>
        <v>34.915999999999997</v>
      </c>
      <c r="CI78" s="31">
        <f t="shared" si="60"/>
        <v>8.5096117217176706E-5</v>
      </c>
      <c r="CJ78" s="10">
        <f t="shared" si="61"/>
        <v>164232.86499999999</v>
      </c>
      <c r="CK78" s="31">
        <f t="shared" si="62"/>
        <v>0.40026289182474389</v>
      </c>
      <c r="CL78" s="10">
        <f>+Risultati!AE77+Risultati!AF77</f>
        <v>76647.672000000006</v>
      </c>
      <c r="CM78" s="31">
        <f t="shared" si="63"/>
        <v>0.18680316419222459</v>
      </c>
      <c r="CN78" s="10">
        <f>+Risultati!AT77</f>
        <v>162252.29500000001</v>
      </c>
      <c r="CO78" s="31">
        <f t="shared" si="64"/>
        <v>0.39543591230598968</v>
      </c>
      <c r="CP78" s="10">
        <f>+Risultati!AU77</f>
        <v>2231.2170000000001</v>
      </c>
      <c r="CQ78" s="31">
        <f t="shared" si="65"/>
        <v>5.4378480744918488E-3</v>
      </c>
      <c r="CR78" s="10">
        <f>+Risultati!AL77</f>
        <v>3149.9119999999998</v>
      </c>
      <c r="CS78" s="31">
        <f t="shared" si="66"/>
        <v>7.6768610601383753E-3</v>
      </c>
      <c r="CT78" s="10">
        <f t="shared" si="67"/>
        <v>244281.09600000002</v>
      </c>
      <c r="CU78" s="31">
        <f t="shared" si="68"/>
        <v>0.59535378563284447</v>
      </c>
      <c r="CV78" s="10">
        <f>+Risultati!AX77</f>
        <v>1798.5319999999999</v>
      </c>
      <c r="CW78" s="31">
        <f t="shared" si="69"/>
        <v>4.3833225424115951E-3</v>
      </c>
      <c r="CX78" s="10">
        <f t="shared" si="70"/>
        <v>410312.49300000002</v>
      </c>
      <c r="CY78" s="31">
        <f t="shared" si="71"/>
        <v>1</v>
      </c>
      <c r="CZ78" s="10">
        <f>+Risultati!AG77</f>
        <v>234555.90900000001</v>
      </c>
      <c r="DA78" s="31">
        <f t="shared" si="72"/>
        <v>0.5716518824105119</v>
      </c>
      <c r="DB78" s="10">
        <f t="shared" si="73"/>
        <v>24136.845000000016</v>
      </c>
      <c r="DC78" s="31">
        <f t="shared" si="74"/>
        <v>5.882551813990225E-2</v>
      </c>
      <c r="DD78" s="10">
        <f>+Risultati!AV77</f>
        <v>150118.53099999999</v>
      </c>
      <c r="DE78" s="31">
        <f t="shared" si="75"/>
        <v>0.36586390509927752</v>
      </c>
      <c r="DF78" s="10">
        <f>+Risultati!AJ77</f>
        <v>150118.53099999999</v>
      </c>
      <c r="DG78" s="31">
        <f t="shared" si="76"/>
        <v>0.36586390509927752</v>
      </c>
      <c r="DH78" s="10">
        <f t="shared" si="77"/>
        <v>0</v>
      </c>
      <c r="DI78" s="31">
        <f t="shared" si="78"/>
        <v>0</v>
      </c>
      <c r="DJ78" s="10">
        <f>+Risultati!AW77</f>
        <v>1501.2080000000001</v>
      </c>
      <c r="DK78" s="31">
        <f t="shared" si="79"/>
        <v>3.658694350308266E-3</v>
      </c>
      <c r="DL78" s="10">
        <f t="shared" si="101"/>
        <v>410312.49300000002</v>
      </c>
      <c r="DM78" s="31">
        <f t="shared" si="80"/>
        <v>1</v>
      </c>
      <c r="DO78" s="30"/>
      <c r="DP78" s="30"/>
    </row>
    <row r="79" spans="1:120" x14ac:dyDescent="0.2">
      <c r="A79" s="5"/>
      <c r="B79" s="6" t="str">
        <f>+Risultati!B78</f>
        <v>BOLTON FOOD S.P.A.</v>
      </c>
      <c r="C79" s="6" t="str">
        <f>+Risultati!C78</f>
        <v>00197980139</v>
      </c>
      <c r="D79" s="26">
        <f>IF(YEAR(Risultati!D78)=1900,(MID(Risultati!$AP$1,29,4)),YEAR(Risultati!D78))</f>
        <v>2023</v>
      </c>
      <c r="E79" s="6" t="str">
        <f>+Risultati!E78</f>
        <v>Dettagliato</v>
      </c>
      <c r="F79" s="8" t="str">
        <f>(LEFT(Risultati!AN78,2)&amp;"-")&amp;VLOOKUP((LEFT(Risultati!AN78,2)),ateco!$B$4:$C$93,2,FALSE)</f>
        <v>10-Industrie alimentari</v>
      </c>
      <c r="G79" s="8" t="str">
        <f>SUBSTITUTE((Risultati!AN78&amp;"-"&amp;Risultati!AO78),",",";")</f>
        <v>101300-Produzione di prodotti a base di carne (inclusa la carne di volatili)</v>
      </c>
      <c r="I79" s="10">
        <f>+Risultati!G78</f>
        <v>949650.52099999995</v>
      </c>
      <c r="J79" s="11">
        <f t="shared" si="83"/>
        <v>1.0217793287640298</v>
      </c>
      <c r="K79" s="12"/>
      <c r="L79" s="10">
        <f>+Risultati!G78+Risultati!H78</f>
        <v>929408.625</v>
      </c>
      <c r="M79" s="11">
        <f t="shared" si="84"/>
        <v>0.98011345993521604</v>
      </c>
      <c r="N79" s="12"/>
      <c r="O79" s="10">
        <f>+Risultati!I78+Risultati!J78</f>
        <v>521299.05800000002</v>
      </c>
      <c r="P79" s="11">
        <f t="shared" si="85"/>
        <v>0.54973905949855895</v>
      </c>
      <c r="Q79" s="12"/>
      <c r="R79" s="13">
        <f t="shared" si="51"/>
        <v>408109.56699999998</v>
      </c>
      <c r="S79" s="11">
        <f t="shared" si="86"/>
        <v>0.43037440043665703</v>
      </c>
      <c r="T79" s="12"/>
      <c r="U79" s="10">
        <f>+Risultati!F78-(Risultati!G78+Risultati!H78)</f>
        <v>18857.736999999965</v>
      </c>
      <c r="V79" s="12">
        <f t="shared" si="87"/>
        <v>1.9886540064783999E-2</v>
      </c>
      <c r="W79" s="12"/>
      <c r="X79" s="10">
        <f t="shared" si="52"/>
        <v>426967.30399999995</v>
      </c>
      <c r="Y79" s="12">
        <f t="shared" si="88"/>
        <v>0.45026094050144105</v>
      </c>
      <c r="Z79" s="12"/>
      <c r="AA79" s="10">
        <f>+Risultati!K78</f>
        <v>281405.00599999999</v>
      </c>
      <c r="AB79" s="12">
        <f t="shared" si="89"/>
        <v>0.29675734295423634</v>
      </c>
      <c r="AC79" s="12"/>
      <c r="AD79" s="10">
        <f>+Risultati!L78</f>
        <v>52360.415999999997</v>
      </c>
      <c r="AE79" s="12">
        <f t="shared" si="90"/>
        <v>5.5216991868788867E-2</v>
      </c>
      <c r="AF79" s="12"/>
      <c r="AG79" s="10">
        <f>+Risultati!M78+Risultati!P78+Risultati!Q78</f>
        <v>5288.7539999999999</v>
      </c>
      <c r="AH79" s="12">
        <f t="shared" si="91"/>
        <v>5.5772873655935929E-3</v>
      </c>
      <c r="AI79" s="12"/>
      <c r="AJ79" s="13">
        <f t="shared" si="53"/>
        <v>87913.127999999953</v>
      </c>
      <c r="AK79" s="11">
        <f t="shared" si="92"/>
        <v>9.2709318312822281E-2</v>
      </c>
      <c r="AL79" s="12"/>
      <c r="AM79" s="10">
        <f>+Risultati!N78</f>
        <v>5162.37</v>
      </c>
      <c r="AN79" s="12">
        <f t="shared" si="93"/>
        <v>5.4440083576432928E-3</v>
      </c>
      <c r="AO79" s="12"/>
      <c r="AP79" s="10">
        <f t="shared" si="54"/>
        <v>82750.757999999958</v>
      </c>
      <c r="AQ79" s="41">
        <f t="shared" si="94"/>
        <v>8.7265309955178991E-2</v>
      </c>
      <c r="AR79" s="12"/>
      <c r="AS79" s="10">
        <f>+Risultati!O78</f>
        <v>44175.514000000003</v>
      </c>
      <c r="AT79" s="12">
        <f t="shared" si="95"/>
        <v>4.6585554196849184E-2</v>
      </c>
      <c r="AU79" s="12"/>
      <c r="AV79" s="10">
        <f t="shared" si="55"/>
        <v>38575.243999999955</v>
      </c>
      <c r="AW79" s="12">
        <f t="shared" si="96"/>
        <v>4.0679755758329807E-2</v>
      </c>
      <c r="AX79" s="12"/>
      <c r="AY79" s="10">
        <f>+Risultati!R78+Risultati!S78</f>
        <v>-1703.7909999999993</v>
      </c>
      <c r="AZ79" s="12">
        <f t="shared" si="97"/>
        <v>-1.7967430547747294E-3</v>
      </c>
      <c r="BA79" s="12"/>
      <c r="BB79" s="10">
        <f>+Risultati!T78</f>
        <v>0</v>
      </c>
      <c r="BC79" s="12">
        <f t="shared" si="98"/>
        <v>0</v>
      </c>
      <c r="BD79" s="12"/>
      <c r="BE79" s="10">
        <f>+Risultati!U78</f>
        <v>9956.77</v>
      </c>
      <c r="BF79" s="12">
        <f t="shared" si="99"/>
        <v>1.0499971736844126E-2</v>
      </c>
      <c r="BG79" s="12"/>
      <c r="BH79" s="10">
        <f t="shared" si="56"/>
        <v>26914.682999999957</v>
      </c>
      <c r="BI79" s="12">
        <f t="shared" si="100"/>
        <v>2.8383040966710953E-2</v>
      </c>
      <c r="BK79" s="16">
        <f>IF(ISNUMBER(Risultati!X78/100),(Risultati!X78/100))</f>
        <v>7.5745223283213902E-3</v>
      </c>
      <c r="BL79" s="16">
        <f>IF(ISNUMBER(Risultati!Y78/100),(Risultati!Y78/100))</f>
        <v>6.1376500926819899E-2</v>
      </c>
      <c r="BM79" s="16">
        <f>IF(ISNUMBER(Risultati!Z78/100),(Risultati!Z78/100))</f>
        <v>0.13575858358930501</v>
      </c>
      <c r="BN79" s="16">
        <f>IF(AND(Risultati!AY78&lt;0,calcoli!AP79&lt;0),-IF(ISNUMBER(Risultati!AA78/100),(Risultati!AA78/100)),IF(ISNUMBER(Risultati!AA78/100),(Risultati!AA78/100)))</f>
        <v>-0.20195518128769799</v>
      </c>
      <c r="BO79" s="16">
        <f t="shared" si="81"/>
        <v>2.8383040966710953E-2</v>
      </c>
      <c r="BP79" s="16">
        <f>IF(Risultati!AB78&gt;0,(AV79/Risultati!AB78),"0")</f>
        <v>2.8919591258817729E-2</v>
      </c>
      <c r="BQ79" s="16">
        <f>IF(Risultati!AG78&lt;&gt;0,(BH79/Risultati!AG78),"0")</f>
        <v>2.3592515193894562E-2</v>
      </c>
      <c r="BR79" s="16">
        <f t="shared" si="82"/>
        <v>2.8383040966710953E-2</v>
      </c>
      <c r="BS79" s="14">
        <f>IF(Risultati!AB78&gt;0,(Risultati!G78/Risultati!AB78),"0")</f>
        <v>0.71194636918027876</v>
      </c>
      <c r="BT79" s="15">
        <f>IF(Risultati!AG78&lt;&gt;0,(Risultati!AB78/Risultati!AG78),"0")</f>
        <v>1.1692341884208302</v>
      </c>
      <c r="BU79" s="23">
        <f>IF(AND(Risultati!G78&gt;0,(Risultati!AE78-Risultati!AF78)&gt;=0),((Risultati!AE78-Risultati!AF78)/Risultati!G78*360),"0")</f>
        <v>87.44824442633039</v>
      </c>
      <c r="BV79" s="21">
        <f>IF(OR(E79="abbreviato",Risultati!G78=0),"0",((Risultati!AC78+Risultati!AD78)/Risultati!G78*360))</f>
        <v>42.101610893551019</v>
      </c>
      <c r="BW79" s="21">
        <f>IF(OR(E79="abbreviato",Risultati!G78=0,SUM(Risultati!I78+Risultati!K78+Risultati!M78)=0),"0",(((Risultati!AH78+Risultati!AI78)/(Risultati!I78+Risultati!K78+Risultati!N78)*360)))</f>
        <v>54.884522468978453</v>
      </c>
      <c r="BX79" s="16">
        <f>IF(Risultati!AB78&gt;0,(+Risultati!AG78/Risultati!AB78),"0")</f>
        <v>0.85526065684976404</v>
      </c>
      <c r="BY79" s="22">
        <f>IF(OR(E79="abbreviato",Risultati!G78=0),"0",(((Risultati!AK78-(Risultati!AL78+Risultati!AM78))/Risultati!G78)))</f>
        <v>-5.2160001921380504E-2</v>
      </c>
      <c r="BZ79" s="16">
        <f>IF(Risultati!G78&gt;0,(Risultati!AJ78/Risultati!G78),"0")</f>
        <v>0.18664813010722289</v>
      </c>
      <c r="CA79" s="8"/>
      <c r="CB79" s="10">
        <f>+Risultati!AP78</f>
        <v>0</v>
      </c>
      <c r="CC79" s="31">
        <f t="shared" si="57"/>
        <v>0</v>
      </c>
      <c r="CD79" s="10">
        <f>+Risultati!AQ78</f>
        <v>439394.272</v>
      </c>
      <c r="CE79" s="31">
        <f t="shared" si="58"/>
        <v>0.32941081973987762</v>
      </c>
      <c r="CF79" s="10">
        <f>+Risultati!AR78</f>
        <v>98895.589000000007</v>
      </c>
      <c r="CG79" s="31">
        <f t="shared" si="59"/>
        <v>7.4141333005697502E-2</v>
      </c>
      <c r="CH79" s="10">
        <f>+Risultati!AS78</f>
        <v>324529.91399999999</v>
      </c>
      <c r="CI79" s="31">
        <f t="shared" si="60"/>
        <v>0.24329781204078141</v>
      </c>
      <c r="CJ79" s="10">
        <f t="shared" si="61"/>
        <v>862819.77500000002</v>
      </c>
      <c r="CK79" s="31">
        <f t="shared" si="62"/>
        <v>0.64684996478635648</v>
      </c>
      <c r="CL79" s="10">
        <f>+Risultati!AE78+Risultati!AF78</f>
        <v>230681.30799999999</v>
      </c>
      <c r="CM79" s="31">
        <f t="shared" si="63"/>
        <v>0.17294016697365408</v>
      </c>
      <c r="CN79" s="10">
        <f>+Risultati!AT78</f>
        <v>189636.019</v>
      </c>
      <c r="CO79" s="31">
        <f t="shared" si="64"/>
        <v>0.14216880021366551</v>
      </c>
      <c r="CP79" s="10">
        <f>+Risultati!AU78</f>
        <v>48783.697999999997</v>
      </c>
      <c r="CQ79" s="31">
        <f t="shared" si="65"/>
        <v>3.6572797990690756E-2</v>
      </c>
      <c r="CR79" s="10">
        <f>+Risultati!AL78</f>
        <v>750.07500000000005</v>
      </c>
      <c r="CS79" s="31">
        <f t="shared" si="66"/>
        <v>5.6232599367246356E-4</v>
      </c>
      <c r="CT79" s="10">
        <f t="shared" si="67"/>
        <v>469851.1</v>
      </c>
      <c r="CU79" s="31">
        <f t="shared" si="68"/>
        <v>0.35224409117168282</v>
      </c>
      <c r="CV79" s="10">
        <f>+Risultati!AX78</f>
        <v>1208.42</v>
      </c>
      <c r="CW79" s="31">
        <f t="shared" si="69"/>
        <v>9.0594404196070845E-4</v>
      </c>
      <c r="CX79" s="10">
        <f t="shared" si="70"/>
        <v>1333879.2949999999</v>
      </c>
      <c r="CY79" s="31">
        <f t="shared" si="71"/>
        <v>1</v>
      </c>
      <c r="CZ79" s="10">
        <f>+Risultati!AG78</f>
        <v>1140814.4820000001</v>
      </c>
      <c r="DA79" s="31">
        <f t="shared" si="72"/>
        <v>0.85526065684976404</v>
      </c>
      <c r="DB79" s="10">
        <f t="shared" si="73"/>
        <v>12634.929999999844</v>
      </c>
      <c r="DC79" s="31">
        <f t="shared" si="74"/>
        <v>9.4723188577568E-3</v>
      </c>
      <c r="DD79" s="10">
        <f>+Risultati!AV78</f>
        <v>177250.49400000001</v>
      </c>
      <c r="DE79" s="31">
        <f t="shared" si="75"/>
        <v>0.13288345854412562</v>
      </c>
      <c r="DF79" s="10">
        <f>+Risultati!AJ78</f>
        <v>177250.49400000001</v>
      </c>
      <c r="DG79" s="31">
        <f t="shared" si="76"/>
        <v>0.13288345854412562</v>
      </c>
      <c r="DH79" s="10">
        <f t="shared" si="77"/>
        <v>0</v>
      </c>
      <c r="DI79" s="31">
        <f t="shared" si="78"/>
        <v>0</v>
      </c>
      <c r="DJ79" s="10">
        <f>+Risultati!AW78</f>
        <v>3179.3890000000001</v>
      </c>
      <c r="DK79" s="31">
        <f t="shared" si="79"/>
        <v>2.3835657483535647E-3</v>
      </c>
      <c r="DL79" s="10">
        <f t="shared" si="101"/>
        <v>1333879.2949999999</v>
      </c>
      <c r="DM79" s="31">
        <f t="shared" si="80"/>
        <v>1</v>
      </c>
      <c r="DO79" s="30"/>
      <c r="DP79" s="30"/>
    </row>
    <row r="80" spans="1:120" x14ac:dyDescent="0.2">
      <c r="A80" s="5"/>
      <c r="B80" s="6" t="str">
        <f>+Risultati!B79</f>
        <v>F.LLI LANDO S.P.A.</v>
      </c>
      <c r="C80" s="6" t="str">
        <f>+Risultati!C79</f>
        <v>01782190282</v>
      </c>
      <c r="D80" s="26">
        <f>IF(YEAR(Risultati!D79)=1900,(MID(Risultati!$AP$1,29,4)),YEAR(Risultati!D79))</f>
        <v>2023</v>
      </c>
      <c r="E80" s="6" t="str">
        <f>+Risultati!E79</f>
        <v>Dettagliato</v>
      </c>
      <c r="F80" s="8" t="str">
        <f>(LEFT(Risultati!AN79,2)&amp;"-")&amp;VLOOKUP((LEFT(Risultati!AN79,2)),ateco!$B$4:$C$93,2,FALSE)</f>
        <v>47-Commercio al dettaglio (escluso quello di autoveicoli e di motocicli)</v>
      </c>
      <c r="G80" s="8" t="str">
        <f>SUBSTITUTE((Risultati!AN79&amp;"-"&amp;Risultati!AO79),",",";")</f>
        <v>471120-Supermercati</v>
      </c>
      <c r="I80" s="10">
        <f>+Risultati!G79</f>
        <v>718190.94099999999</v>
      </c>
      <c r="J80" s="11">
        <f t="shared" si="83"/>
        <v>1</v>
      </c>
      <c r="K80" s="12"/>
      <c r="L80" s="10">
        <f>+Risultati!G79+Risultati!H79</f>
        <v>718190.94099999999</v>
      </c>
      <c r="M80" s="11">
        <f t="shared" si="84"/>
        <v>0.99411683730431855</v>
      </c>
      <c r="N80" s="12"/>
      <c r="O80" s="10">
        <f>+Risultati!I79+Risultati!J79</f>
        <v>569380.60600000003</v>
      </c>
      <c r="P80" s="11">
        <f t="shared" si="85"/>
        <v>0.78813420630313458</v>
      </c>
      <c r="Q80" s="12"/>
      <c r="R80" s="13">
        <f t="shared" si="51"/>
        <v>148810.33499999996</v>
      </c>
      <c r="S80" s="11">
        <f t="shared" si="86"/>
        <v>0.205982631001184</v>
      </c>
      <c r="T80" s="12"/>
      <c r="U80" s="10">
        <f>+Risultati!F79-(Risultati!G79+Risultati!H79)</f>
        <v>4250.2390000000596</v>
      </c>
      <c r="V80" s="12">
        <f t="shared" si="87"/>
        <v>5.8831626956814109E-3</v>
      </c>
      <c r="W80" s="12"/>
      <c r="X80" s="10">
        <f t="shared" si="52"/>
        <v>153060.57400000002</v>
      </c>
      <c r="Y80" s="12">
        <f t="shared" si="88"/>
        <v>0.21186579369686542</v>
      </c>
      <c r="Z80" s="12"/>
      <c r="AA80" s="10">
        <f>+Risultati!K79</f>
        <v>22194.109</v>
      </c>
      <c r="AB80" s="12">
        <f t="shared" si="89"/>
        <v>3.0720991015490008E-2</v>
      </c>
      <c r="AC80" s="12"/>
      <c r="AD80" s="10">
        <f>+Risultati!L79</f>
        <v>61771.381999999998</v>
      </c>
      <c r="AE80" s="12">
        <f t="shared" si="90"/>
        <v>8.5503683497111821E-2</v>
      </c>
      <c r="AF80" s="12"/>
      <c r="AG80" s="10">
        <f>+Risultati!M79+Risultati!P79+Risultati!Q79</f>
        <v>4083.4679999999998</v>
      </c>
      <c r="AH80" s="12">
        <f t="shared" si="91"/>
        <v>5.6523189887929693E-3</v>
      </c>
      <c r="AI80" s="12"/>
      <c r="AJ80" s="13">
        <f t="shared" si="53"/>
        <v>65011.615000000027</v>
      </c>
      <c r="AK80" s="11">
        <f t="shared" si="92"/>
        <v>8.998880019547062E-2</v>
      </c>
      <c r="AL80" s="12"/>
      <c r="AM80" s="10">
        <f>+Risultati!N79</f>
        <v>5231.6859999999997</v>
      </c>
      <c r="AN80" s="12">
        <f t="shared" si="93"/>
        <v>7.2416774470137474E-3</v>
      </c>
      <c r="AO80" s="12"/>
      <c r="AP80" s="10">
        <f t="shared" si="54"/>
        <v>59779.929000000026</v>
      </c>
      <c r="AQ80" s="41">
        <f t="shared" si="94"/>
        <v>8.2747122748456872E-2</v>
      </c>
      <c r="AR80" s="12"/>
      <c r="AS80" s="10">
        <f>+Risultati!O79</f>
        <v>19187.948</v>
      </c>
      <c r="AT80" s="12">
        <f t="shared" si="95"/>
        <v>2.6559875781167402E-2</v>
      </c>
      <c r="AU80" s="12"/>
      <c r="AV80" s="10">
        <f t="shared" si="55"/>
        <v>40591.981000000029</v>
      </c>
      <c r="AW80" s="12">
        <f t="shared" si="96"/>
        <v>5.6187246967289467E-2</v>
      </c>
      <c r="AX80" s="12"/>
      <c r="AY80" s="10">
        <f>+Risultati!R79+Risultati!S79</f>
        <v>980.49300000000005</v>
      </c>
      <c r="AZ80" s="12">
        <f t="shared" si="97"/>
        <v>1.3571942286014205E-3</v>
      </c>
      <c r="BA80" s="12"/>
      <c r="BB80" s="10">
        <f>+Risultati!T79</f>
        <v>0</v>
      </c>
      <c r="BC80" s="12">
        <f t="shared" si="98"/>
        <v>0</v>
      </c>
      <c r="BD80" s="12"/>
      <c r="BE80" s="10">
        <f>+Risultati!U79</f>
        <v>11060.734</v>
      </c>
      <c r="BF80" s="12">
        <f t="shared" si="99"/>
        <v>1.5310220826559194E-2</v>
      </c>
      <c r="BG80" s="12"/>
      <c r="BH80" s="10">
        <f t="shared" si="56"/>
        <v>30511.740000000031</v>
      </c>
      <c r="BI80" s="12">
        <f t="shared" si="100"/>
        <v>4.22342203693317E-2</v>
      </c>
      <c r="BK80" s="16">
        <f>IF(ISNUMBER(Risultati!X79/100),(Risultati!X79/100))</f>
        <v>6.9967228450993096E-2</v>
      </c>
      <c r="BL80" s="16">
        <f>IF(ISNUMBER(Risultati!Y79/100),(Risultati!Y79/100))</f>
        <v>0.19655652445960603</v>
      </c>
      <c r="BM80" s="16">
        <f>IF(ISNUMBER(Risultati!Z79/100),(Risultati!Z79/100))</f>
        <v>0.22762802768051302</v>
      </c>
      <c r="BN80" s="16">
        <f>IF(AND(Risultati!AY79&lt;0,calcoli!AP80&lt;0),-IF(ISNUMBER(Risultati!AA79/100),(Risultati!AA79/100)),IF(ISNUMBER(Risultati!AA79/100),(Risultati!AA79/100)))</f>
        <v>0.40764335709634997</v>
      </c>
      <c r="BO80" s="16">
        <f t="shared" si="81"/>
        <v>4.22342203693317E-2</v>
      </c>
      <c r="BP80" s="16">
        <f>IF(Risultati!AB79&gt;0,(AV80/Risultati!AB79),"0")</f>
        <v>6.4558422536981838E-2</v>
      </c>
      <c r="BQ80" s="16">
        <f>IF(Risultati!AG79&lt;&gt;0,(BH80/Risultati!AG79),"0")</f>
        <v>6.2362034804447707E-2</v>
      </c>
      <c r="BR80" s="16">
        <f t="shared" si="82"/>
        <v>4.22342203693317E-2</v>
      </c>
      <c r="BS80" s="14">
        <f>IF(Risultati!AB79&gt;0,(Risultati!G79/Risultati!AB79),"0")</f>
        <v>1.1422274323421306</v>
      </c>
      <c r="BT80" s="15">
        <f>IF(Risultati!AG79&lt;&gt;0,(Risultati!AB79/Risultati!AG79),"0")</f>
        <v>1.2851109939324015</v>
      </c>
      <c r="BU80" s="23">
        <f>IF(AND(Risultati!G79&gt;0,(Risultati!AE79-Risultati!AF79)&gt;=0),((Risultati!AE79-Risultati!AF79)/Risultati!G79*360),"0")</f>
        <v>42.105540621125712</v>
      </c>
      <c r="BV80" s="21">
        <f>IF(OR(E80="abbreviato",Risultati!G79=0),"0",((Risultati!AC79+Risultati!AD79)/Risultati!G79*360))</f>
        <v>7.5051016829798751</v>
      </c>
      <c r="BW80" s="21">
        <f>IF(OR(E80="abbreviato",Risultati!G79=0,SUM(Risultati!I79+Risultati!K79+Risultati!M79)=0),"0",(((Risultati!AH79+Risultati!AI79)/(Risultati!I79+Risultati!K79+Risultati!N79)*360)))</f>
        <v>66.31046835317072</v>
      </c>
      <c r="BX80" s="16">
        <f>IF(Risultati!AB79&gt;0,(+Risultati!AG79/Risultati!AB79),"0")</f>
        <v>0.77814290339235959</v>
      </c>
      <c r="BY80" s="22">
        <f>IF(OR(E80="abbreviato",Risultati!G79=0),"0",(((Risultati!AK79-(Risultati!AL79+Risultati!AM79))/Risultati!G79)))</f>
        <v>-0.24801592282963647</v>
      </c>
      <c r="BZ80" s="16">
        <f>IF(Risultati!G79&gt;0,(Risultati!AJ79/Risultati!G79),"0")</f>
        <v>0.1811785788035998</v>
      </c>
      <c r="CA80" s="8"/>
      <c r="CB80" s="10">
        <f>+Risultati!AP79</f>
        <v>0</v>
      </c>
      <c r="CC80" s="31">
        <f t="shared" si="57"/>
        <v>0</v>
      </c>
      <c r="CD80" s="10">
        <f>+Risultati!AQ79</f>
        <v>76.435000000000002</v>
      </c>
      <c r="CE80" s="31">
        <f t="shared" si="58"/>
        <v>1.2156398640938965E-4</v>
      </c>
      <c r="CF80" s="10">
        <f>+Risultati!AR79</f>
        <v>233036.19699999999</v>
      </c>
      <c r="CG80" s="31">
        <f t="shared" si="59"/>
        <v>0.37062614096950153</v>
      </c>
      <c r="CH80" s="10">
        <f>+Risultati!AS79</f>
        <v>83517.027000000002</v>
      </c>
      <c r="CI80" s="31">
        <f t="shared" si="60"/>
        <v>0.13282740544489605</v>
      </c>
      <c r="CJ80" s="10">
        <f t="shared" si="61"/>
        <v>316629.65899999999</v>
      </c>
      <c r="CK80" s="31">
        <f t="shared" si="62"/>
        <v>0.50357511040080694</v>
      </c>
      <c r="CL80" s="10">
        <f>+Risultati!AE79+Risultati!AF79</f>
        <v>83999.494000000006</v>
      </c>
      <c r="CM80" s="31">
        <f t="shared" si="63"/>
        <v>0.13359473208623809</v>
      </c>
      <c r="CN80" s="10">
        <f>+Risultati!AT79</f>
        <v>23301.306</v>
      </c>
      <c r="CO80" s="31">
        <f t="shared" si="64"/>
        <v>3.7058934335121731E-2</v>
      </c>
      <c r="CP80" s="10">
        <f>+Risultati!AU79</f>
        <v>25000</v>
      </c>
      <c r="CQ80" s="31">
        <f t="shared" si="65"/>
        <v>3.9760576440567033E-2</v>
      </c>
      <c r="CR80" s="10">
        <f>+Risultati!AL79</f>
        <v>178530.37</v>
      </c>
      <c r="CS80" s="31">
        <f t="shared" si="66"/>
        <v>0.2839388169339086</v>
      </c>
      <c r="CT80" s="10">
        <f t="shared" si="67"/>
        <v>310831.17000000004</v>
      </c>
      <c r="CU80" s="31">
        <f t="shared" si="68"/>
        <v>0.49435305979583555</v>
      </c>
      <c r="CV80" s="10">
        <f>+Risultati!AX79</f>
        <v>1302.691</v>
      </c>
      <c r="CW80" s="31">
        <f t="shared" si="69"/>
        <v>2.0718298033575483E-3</v>
      </c>
      <c r="CX80" s="10">
        <f t="shared" si="70"/>
        <v>628763.52</v>
      </c>
      <c r="CY80" s="31">
        <f t="shared" si="71"/>
        <v>1</v>
      </c>
      <c r="CZ80" s="10">
        <f>+Risultati!AG79</f>
        <v>489267.87099999998</v>
      </c>
      <c r="DA80" s="31">
        <f t="shared" si="72"/>
        <v>0.77814290339235959</v>
      </c>
      <c r="DB80" s="10">
        <f t="shared" si="73"/>
        <v>4464.1930000000357</v>
      </c>
      <c r="DC80" s="31">
        <f t="shared" si="74"/>
        <v>7.0999554808778278E-3</v>
      </c>
      <c r="DD80" s="10">
        <f>+Risultati!AV79</f>
        <v>130259.314</v>
      </c>
      <c r="DE80" s="31">
        <f t="shared" si="75"/>
        <v>0.20716741645571293</v>
      </c>
      <c r="DF80" s="10">
        <f>+Risultati!AJ79</f>
        <v>130120.814</v>
      </c>
      <c r="DG80" s="31">
        <f t="shared" si="76"/>
        <v>0.2069471428622322</v>
      </c>
      <c r="DH80" s="10">
        <f t="shared" si="77"/>
        <v>138.5</v>
      </c>
      <c r="DI80" s="31">
        <f t="shared" si="78"/>
        <v>2.2027359348074138E-4</v>
      </c>
      <c r="DJ80" s="10">
        <f>+Risultati!AW79</f>
        <v>4772.1419999999998</v>
      </c>
      <c r="DK80" s="31">
        <f t="shared" si="79"/>
        <v>7.5897246710496177E-3</v>
      </c>
      <c r="DL80" s="10">
        <f t="shared" si="101"/>
        <v>628763.52</v>
      </c>
      <c r="DM80" s="31">
        <f t="shared" si="80"/>
        <v>1</v>
      </c>
      <c r="DO80" s="30"/>
      <c r="DP80" s="30"/>
    </row>
    <row r="81" spans="1:120" x14ac:dyDescent="0.2">
      <c r="A81" s="5"/>
      <c r="B81" s="6" t="str">
        <f>+Risultati!B80</f>
        <v>CASA OLEARIA ITALIANA SOCIETA' PER AZIONI IN SIGLA CASA OLEARIA ITALIANA S.P.A.</v>
      </c>
      <c r="C81" s="6" t="str">
        <f>+Risultati!C80</f>
        <v>01458780747</v>
      </c>
      <c r="D81" s="26">
        <f>IF(YEAR(Risultati!D80)=1900,(MID(Risultati!$AP$1,29,4)),YEAR(Risultati!D80))</f>
        <v>2023</v>
      </c>
      <c r="E81" s="6" t="str">
        <f>+Risultati!E80</f>
        <v>Dettagliato</v>
      </c>
      <c r="F81" s="8" t="str">
        <f>(LEFT(Risultati!AN80,2)&amp;"-")&amp;VLOOKUP((LEFT(Risultati!AN80,2)),ateco!$B$4:$C$93,2,FALSE)</f>
        <v>10-Industrie alimentari</v>
      </c>
      <c r="G81" s="8" t="str">
        <f>SUBSTITUTE((Risultati!AN80&amp;"-"&amp;Risultati!AO80),",",";")</f>
        <v>104120-Produzione di olio raffinato o grezzo da semi oleosi o frutti oleosi prevalentemente non di produzione propria</v>
      </c>
      <c r="I81" s="10">
        <f>+Risultati!G80</f>
        <v>494860.91700000002</v>
      </c>
      <c r="J81" s="11">
        <f t="shared" si="83"/>
        <v>1.000168843613074</v>
      </c>
      <c r="K81" s="12"/>
      <c r="L81" s="10">
        <f>+Risultati!G80+Risultati!H80</f>
        <v>494777.37700000004</v>
      </c>
      <c r="M81" s="11">
        <f t="shared" si="84"/>
        <v>0.98221501479186579</v>
      </c>
      <c r="N81" s="12"/>
      <c r="O81" s="10">
        <f>+Risultati!I80+Risultati!J80</f>
        <v>421022.95500000002</v>
      </c>
      <c r="P81" s="11">
        <f t="shared" si="85"/>
        <v>0.83580027542981217</v>
      </c>
      <c r="Q81" s="12"/>
      <c r="R81" s="13">
        <f t="shared" si="51"/>
        <v>73754.42200000002</v>
      </c>
      <c r="S81" s="11">
        <f t="shared" si="86"/>
        <v>0.14641473936205357</v>
      </c>
      <c r="T81" s="12"/>
      <c r="U81" s="10">
        <f>+Risultati!F80-(Risultati!G80+Risultati!H80)</f>
        <v>8958.9429999999702</v>
      </c>
      <c r="V81" s="12">
        <f t="shared" si="87"/>
        <v>1.7784985208134228E-2</v>
      </c>
      <c r="W81" s="12"/>
      <c r="X81" s="10">
        <f t="shared" si="52"/>
        <v>82713.364999999991</v>
      </c>
      <c r="Y81" s="12">
        <f t="shared" si="88"/>
        <v>0.1641997245701878</v>
      </c>
      <c r="Z81" s="12"/>
      <c r="AA81" s="10">
        <f>+Risultati!K80</f>
        <v>14474.142</v>
      </c>
      <c r="AB81" s="12">
        <f t="shared" si="89"/>
        <v>2.8733568387524649E-2</v>
      </c>
      <c r="AC81" s="12"/>
      <c r="AD81" s="10">
        <f>+Risultati!L80</f>
        <v>2269.7550000000001</v>
      </c>
      <c r="AE81" s="12">
        <f t="shared" si="90"/>
        <v>4.5058394836409651E-3</v>
      </c>
      <c r="AF81" s="12"/>
      <c r="AG81" s="10">
        <f>+Risultati!M80+Risultati!P80+Risultati!Q80</f>
        <v>493.25799999999998</v>
      </c>
      <c r="AH81" s="12">
        <f t="shared" si="91"/>
        <v>9.7919879988006423E-4</v>
      </c>
      <c r="AI81" s="12"/>
      <c r="AJ81" s="13">
        <f t="shared" si="53"/>
        <v>65476.209999999992</v>
      </c>
      <c r="AK81" s="11">
        <f t="shared" si="92"/>
        <v>0.12998111789914213</v>
      </c>
      <c r="AL81" s="12"/>
      <c r="AM81" s="10">
        <f>+Risultati!N80</f>
        <v>977.19200000000001</v>
      </c>
      <c r="AN81" s="12">
        <f t="shared" si="93"/>
        <v>1.9398879159636534E-3</v>
      </c>
      <c r="AO81" s="12"/>
      <c r="AP81" s="10">
        <f t="shared" si="54"/>
        <v>64499.017999999989</v>
      </c>
      <c r="AQ81" s="41">
        <f t="shared" si="94"/>
        <v>0.12804122998317849</v>
      </c>
      <c r="AR81" s="12"/>
      <c r="AS81" s="10">
        <f>+Risultati!O80</f>
        <v>4253.2370000000001</v>
      </c>
      <c r="AT81" s="12">
        <f t="shared" si="95"/>
        <v>8.4433796633921494E-3</v>
      </c>
      <c r="AU81" s="12"/>
      <c r="AV81" s="10">
        <f t="shared" si="55"/>
        <v>60245.780999999988</v>
      </c>
      <c r="AW81" s="12">
        <f t="shared" si="96"/>
        <v>0.11959785031978633</v>
      </c>
      <c r="AX81" s="12"/>
      <c r="AY81" s="10">
        <f>+Risultati!R80+Risultati!S80</f>
        <v>19467.57</v>
      </c>
      <c r="AZ81" s="12">
        <f t="shared" si="97"/>
        <v>3.8646349741070882E-2</v>
      </c>
      <c r="BA81" s="12"/>
      <c r="BB81" s="10">
        <f>+Risultati!T80</f>
        <v>0</v>
      </c>
      <c r="BC81" s="12">
        <f t="shared" si="98"/>
        <v>0</v>
      </c>
      <c r="BD81" s="12"/>
      <c r="BE81" s="10">
        <f>+Risultati!U80</f>
        <v>16419.536</v>
      </c>
      <c r="BF81" s="12">
        <f t="shared" si="99"/>
        <v>3.2595497580956638E-2</v>
      </c>
      <c r="BG81" s="12"/>
      <c r="BH81" s="10">
        <f t="shared" si="56"/>
        <v>63293.814999999995</v>
      </c>
      <c r="BI81" s="12">
        <f t="shared" si="100"/>
        <v>0.12564870247990059</v>
      </c>
      <c r="BK81" s="16">
        <f>IF(ISNUMBER(Risultati!X80/100),(Risultati!X80/100))</f>
        <v>0.29310386888926299</v>
      </c>
      <c r="BL81" s="16">
        <f>IF(ISNUMBER(Risultati!Y80/100),(Risultati!Y80/100))</f>
        <v>0.77052272953447798</v>
      </c>
      <c r="BM81" s="16">
        <f>IF(ISNUMBER(Risultati!Z80/100),(Risultati!Z80/100))</f>
        <v>1.16804597671942</v>
      </c>
      <c r="BN81" s="16">
        <f>IF(AND(Risultati!AY80&lt;0,calcoli!AP81&lt;0),-IF(ISNUMBER(Risultati!AA80/100),(Risultati!AA80/100)),IF(ISNUMBER(Risultati!AA80/100),(Risultati!AA80/100)))</f>
        <v>10.151213097567201</v>
      </c>
      <c r="BO81" s="16">
        <f t="shared" si="81"/>
        <v>0.12564870247990059</v>
      </c>
      <c r="BP81" s="16">
        <f>IF(Risultati!AB80&gt;0,(AV81/Risultati!AB80),"0")</f>
        <v>0.11590626606989386</v>
      </c>
      <c r="BQ81" s="16">
        <f>IF(Risultati!AG80&lt;&gt;0,(BH81/Risultati!AG80),"0")</f>
        <v>0.14872134083815858</v>
      </c>
      <c r="BR81" s="16">
        <f t="shared" si="82"/>
        <v>0.12564870247990059</v>
      </c>
      <c r="BS81" s="14">
        <f>IF(Risultati!AB80&gt;0,(Risultati!G80/Risultati!AB80),"0")</f>
        <v>0.95205805554074696</v>
      </c>
      <c r="BT81" s="15">
        <f>IF(Risultati!AG80&lt;&gt;0,(Risultati!AB80/Risultati!AG80),"0")</f>
        <v>1.2213263933910894</v>
      </c>
      <c r="BU81" s="23">
        <f>IF(AND(Risultati!G80&gt;0,(Risultati!AE80-Risultati!AF80)&gt;=0),((Risultati!AE80-Risultati!AF80)/Risultati!G80*360),"0")</f>
        <v>65.397481288666796</v>
      </c>
      <c r="BV81" s="21">
        <f>IF(OR(E81="abbreviato",Risultati!G80=0),"0",((Risultati!AC80+Risultati!AD80)/Risultati!G80*360))</f>
        <v>48.391896586167469</v>
      </c>
      <c r="BW81" s="21">
        <f>IF(OR(E81="abbreviato",Risultati!G80=0,SUM(Risultati!I80+Risultati!K80+Risultati!M80)=0),"0",(((Risultati!AH80+Risultati!AI80)/(Risultati!I80+Risultati!K80+Risultati!N80)*360)))</f>
        <v>43.360762115903675</v>
      </c>
      <c r="BX81" s="16">
        <f>IF(Risultati!AB80&gt;0,(+Risultati!AG80/Risultati!AB80),"0")</f>
        <v>0.81878194511414526</v>
      </c>
      <c r="BY81" s="22">
        <f>IF(OR(E81="abbreviato",Risultati!G80=0),"0",(((Risultati!AK80-(Risultati!AL80+Risultati!AM80))/Risultati!G80)))</f>
        <v>-0.33483516743351949</v>
      </c>
      <c r="BZ81" s="16">
        <f>IF(Risultati!G80&gt;0,(Risultati!AJ80/Risultati!G80),"0")</f>
        <v>0.18623276123460766</v>
      </c>
      <c r="CA81" s="8"/>
      <c r="CB81" s="10">
        <f>+Risultati!AP80</f>
        <v>0</v>
      </c>
      <c r="CC81" s="31">
        <f t="shared" si="57"/>
        <v>0</v>
      </c>
      <c r="CD81" s="10">
        <f>+Risultati!AQ80</f>
        <v>284.565</v>
      </c>
      <c r="CE81" s="31">
        <f t="shared" si="58"/>
        <v>5.4747180726529801E-4</v>
      </c>
      <c r="CF81" s="10">
        <f>+Risultati!AR80</f>
        <v>25960.514999999999</v>
      </c>
      <c r="CG81" s="31">
        <f t="shared" si="59"/>
        <v>4.9945179711446873E-2</v>
      </c>
      <c r="CH81" s="10">
        <f>+Risultati!AS80</f>
        <v>87837.953999999998</v>
      </c>
      <c r="CI81" s="31">
        <f t="shared" si="60"/>
        <v>0.16899057657430153</v>
      </c>
      <c r="CJ81" s="10">
        <f t="shared" si="61"/>
        <v>114083.034</v>
      </c>
      <c r="CK81" s="31">
        <f t="shared" si="62"/>
        <v>0.21948322809301371</v>
      </c>
      <c r="CL81" s="10">
        <f>+Risultati!AE80+Risultati!AF80</f>
        <v>89896.270999999993</v>
      </c>
      <c r="CM81" s="31">
        <f t="shared" si="63"/>
        <v>0.17295055242486251</v>
      </c>
      <c r="CN81" s="10">
        <f>+Risultati!AT80</f>
        <v>137145.57999999999</v>
      </c>
      <c r="CO81" s="31">
        <f t="shared" si="64"/>
        <v>0.26385303372181229</v>
      </c>
      <c r="CP81" s="10">
        <f>+Risultati!AU80</f>
        <v>178285.65900000001</v>
      </c>
      <c r="CQ81" s="31">
        <f t="shared" si="65"/>
        <v>0.3430020274531817</v>
      </c>
      <c r="CR81" s="10">
        <f>+Risultati!AL80</f>
        <v>340.697</v>
      </c>
      <c r="CS81" s="31">
        <f t="shared" si="66"/>
        <v>6.5546361049273537E-4</v>
      </c>
      <c r="CT81" s="10">
        <f t="shared" si="67"/>
        <v>405668.20699999999</v>
      </c>
      <c r="CU81" s="31">
        <f t="shared" si="68"/>
        <v>0.78046107721034919</v>
      </c>
      <c r="CV81" s="10">
        <f>+Risultati!AX80</f>
        <v>28.949000000000002</v>
      </c>
      <c r="CW81" s="31">
        <f t="shared" si="69"/>
        <v>5.5694696637053449E-5</v>
      </c>
      <c r="CX81" s="10">
        <f t="shared" si="70"/>
        <v>519780.19</v>
      </c>
      <c r="CY81" s="31">
        <f t="shared" si="71"/>
        <v>1</v>
      </c>
      <c r="CZ81" s="10">
        <f>+Risultati!AG80</f>
        <v>425586.63500000001</v>
      </c>
      <c r="DA81" s="31">
        <f t="shared" si="72"/>
        <v>0.81878194511414526</v>
      </c>
      <c r="DB81" s="10">
        <f t="shared" si="73"/>
        <v>973.01499999999078</v>
      </c>
      <c r="DC81" s="31">
        <f t="shared" si="74"/>
        <v>1.8719739973160399E-3</v>
      </c>
      <c r="DD81" s="10">
        <f>+Risultati!AV80</f>
        <v>92159.315000000002</v>
      </c>
      <c r="DE81" s="31">
        <f t="shared" si="75"/>
        <v>0.17730440053900476</v>
      </c>
      <c r="DF81" s="10">
        <f>+Risultati!AJ80</f>
        <v>92159.315000000002</v>
      </c>
      <c r="DG81" s="31">
        <f t="shared" si="76"/>
        <v>0.17730440053900476</v>
      </c>
      <c r="DH81" s="10">
        <f t="shared" si="77"/>
        <v>0</v>
      </c>
      <c r="DI81" s="31">
        <f t="shared" si="78"/>
        <v>0</v>
      </c>
      <c r="DJ81" s="10">
        <f>+Risultati!AW80</f>
        <v>1061.2249999999999</v>
      </c>
      <c r="DK81" s="31">
        <f t="shared" si="79"/>
        <v>2.0416803495339059E-3</v>
      </c>
      <c r="DL81" s="10">
        <f t="shared" si="101"/>
        <v>519780.19</v>
      </c>
      <c r="DM81" s="31">
        <f t="shared" si="80"/>
        <v>1</v>
      </c>
      <c r="DO81" s="30"/>
      <c r="DP81" s="30"/>
    </row>
    <row r="82" spans="1:120" x14ac:dyDescent="0.2">
      <c r="A82" s="5"/>
      <c r="B82" s="6">
        <f>+Risultati!B81</f>
        <v>0</v>
      </c>
      <c r="C82" s="6">
        <f>+Risultati!C81</f>
        <v>0</v>
      </c>
      <c r="D82" s="26" t="str">
        <f>IF(YEAR(Risultati!D81)=1900,(MID(Risultati!$AP$1,29,4)),YEAR(Risultati!D81))</f>
        <v/>
      </c>
      <c r="E82" s="6">
        <f>+Risultati!E81</f>
        <v>0</v>
      </c>
      <c r="F82" s="8" t="e">
        <f>(LEFT(Risultati!AN81,2)&amp;"-")&amp;VLOOKUP((LEFT(Risultati!AN81,2)),ateco!$B$4:$C$93,2,FALSE)</f>
        <v>#N/A</v>
      </c>
      <c r="G82" s="8" t="str">
        <f>SUBSTITUTE((Risultati!AN81&amp;"-"&amp;Risultati!AO81),",",";")</f>
        <v>-</v>
      </c>
      <c r="I82" s="10">
        <f>+Risultati!G81</f>
        <v>0</v>
      </c>
      <c r="J82" s="11" t="str">
        <f t="shared" si="83"/>
        <v>0</v>
      </c>
      <c r="K82" s="12"/>
      <c r="L82" s="10">
        <f>+Risultati!G81+Risultati!H81</f>
        <v>0</v>
      </c>
      <c r="M82" s="11" t="str">
        <f t="shared" si="84"/>
        <v>0</v>
      </c>
      <c r="N82" s="12"/>
      <c r="O82" s="10">
        <f>+Risultati!I81+Risultati!J81</f>
        <v>0</v>
      </c>
      <c r="P82" s="11" t="str">
        <f t="shared" si="85"/>
        <v>0</v>
      </c>
      <c r="Q82" s="12"/>
      <c r="R82" s="13">
        <f t="shared" si="51"/>
        <v>0</v>
      </c>
      <c r="S82" s="11" t="str">
        <f t="shared" si="86"/>
        <v>0</v>
      </c>
      <c r="T82" s="12"/>
      <c r="U82" s="10">
        <f>+Risultati!F81-(Risultati!G81+Risultati!H81)</f>
        <v>0</v>
      </c>
      <c r="V82" s="12" t="str">
        <f t="shared" si="87"/>
        <v>0</v>
      </c>
      <c r="W82" s="12"/>
      <c r="X82" s="10">
        <f t="shared" si="52"/>
        <v>0</v>
      </c>
      <c r="Y82" s="12" t="str">
        <f t="shared" si="88"/>
        <v>0</v>
      </c>
      <c r="Z82" s="12"/>
      <c r="AA82" s="10">
        <f>+Risultati!K81</f>
        <v>0</v>
      </c>
      <c r="AB82" s="12" t="str">
        <f t="shared" si="89"/>
        <v>0</v>
      </c>
      <c r="AC82" s="12"/>
      <c r="AD82" s="10">
        <f>+Risultati!L81</f>
        <v>0</v>
      </c>
      <c r="AE82" s="12" t="str">
        <f t="shared" si="90"/>
        <v>0</v>
      </c>
      <c r="AF82" s="12"/>
      <c r="AG82" s="10">
        <f>+Risultati!M81+Risultati!P81+Risultati!Q81</f>
        <v>0</v>
      </c>
      <c r="AH82" s="12" t="str">
        <f t="shared" si="91"/>
        <v>0</v>
      </c>
      <c r="AI82" s="12"/>
      <c r="AJ82" s="13">
        <f t="shared" si="53"/>
        <v>0</v>
      </c>
      <c r="AK82" s="11" t="str">
        <f t="shared" si="92"/>
        <v>0</v>
      </c>
      <c r="AL82" s="12"/>
      <c r="AM82" s="10">
        <f>+Risultati!N81</f>
        <v>0</v>
      </c>
      <c r="AN82" s="12" t="str">
        <f t="shared" si="93"/>
        <v>0</v>
      </c>
      <c r="AO82" s="12"/>
      <c r="AP82" s="10">
        <f t="shared" si="54"/>
        <v>0</v>
      </c>
      <c r="AQ82" s="41" t="str">
        <f t="shared" si="94"/>
        <v>0</v>
      </c>
      <c r="AR82" s="12"/>
      <c r="AS82" s="10">
        <f>+Risultati!O81</f>
        <v>0</v>
      </c>
      <c r="AT82" s="12" t="str">
        <f t="shared" si="95"/>
        <v>0</v>
      </c>
      <c r="AU82" s="12"/>
      <c r="AV82" s="10">
        <f t="shared" si="55"/>
        <v>0</v>
      </c>
      <c r="AW82" s="12" t="str">
        <f t="shared" si="96"/>
        <v>0</v>
      </c>
      <c r="AX82" s="12"/>
      <c r="AY82" s="10">
        <f>+Risultati!R81+Risultati!S81</f>
        <v>0</v>
      </c>
      <c r="AZ82" s="12" t="str">
        <f t="shared" si="97"/>
        <v>0</v>
      </c>
      <c r="BA82" s="12"/>
      <c r="BB82" s="10">
        <f>+Risultati!T81</f>
        <v>0</v>
      </c>
      <c r="BC82" s="12" t="str">
        <f t="shared" si="98"/>
        <v>0</v>
      </c>
      <c r="BD82" s="12"/>
      <c r="BE82" s="10">
        <f>+Risultati!U81</f>
        <v>0</v>
      </c>
      <c r="BF82" s="12" t="str">
        <f t="shared" si="99"/>
        <v>0</v>
      </c>
      <c r="BG82" s="12"/>
      <c r="BH82" s="10">
        <f t="shared" si="56"/>
        <v>0</v>
      </c>
      <c r="BI82" s="12" t="str">
        <f t="shared" si="100"/>
        <v>0</v>
      </c>
      <c r="BK82" s="16">
        <f>IF(ISNUMBER(Risultati!X81/100),(Risultati!X81/100))</f>
        <v>0</v>
      </c>
      <c r="BL82" s="16">
        <f>IF(ISNUMBER(Risultati!Y81/100),(Risultati!Y81/100))</f>
        <v>0</v>
      </c>
      <c r="BM82" s="16">
        <f>IF(ISNUMBER(Risultati!Z81/100),(Risultati!Z81/100))</f>
        <v>0</v>
      </c>
      <c r="BN82" s="16">
        <f>IF(AND(Risultati!AY81&lt;0,calcoli!AP82&lt;0),-IF(ISNUMBER(Risultati!AA81/100),(Risultati!AA81/100)),IF(ISNUMBER(Risultati!AA81/100),(Risultati!AA81/100)))</f>
        <v>0</v>
      </c>
      <c r="BO82" s="16" t="str">
        <f t="shared" si="81"/>
        <v>0</v>
      </c>
      <c r="BP82" s="16" t="str">
        <f>IF(Risultati!AB81&gt;0,(AV82/Risultati!AB81),"0")</f>
        <v>0</v>
      </c>
      <c r="BQ82" s="16" t="str">
        <f>IF(Risultati!AG81&lt;&gt;0,(BH82/Risultati!AG81),"0")</f>
        <v>0</v>
      </c>
      <c r="BR82" s="16" t="str">
        <f t="shared" si="82"/>
        <v>0</v>
      </c>
      <c r="BS82" s="14" t="str">
        <f>IF(Risultati!AB81&gt;0,(Risultati!G81/Risultati!AB81),"0")</f>
        <v>0</v>
      </c>
      <c r="BT82" s="15" t="str">
        <f>IF(Risultati!AG81&lt;&gt;0,(Risultati!AB81/Risultati!AG81),"0")</f>
        <v>0</v>
      </c>
      <c r="BU82" s="23" t="str">
        <f>IF(AND(Risultati!G81&gt;0,(Risultati!AE81-Risultati!AF81)&gt;=0),((Risultati!AE81-Risultati!AF81)/Risultati!G81*360),"0")</f>
        <v>0</v>
      </c>
      <c r="BV82" s="21" t="str">
        <f>IF(OR(E82="abbreviato",Risultati!G81=0),"0",((Risultati!AC81+Risultati!AD81)/Risultati!G81*360))</f>
        <v>0</v>
      </c>
      <c r="BW82" s="21" t="str">
        <f>IF(OR(E82="abbreviato",Risultati!G81=0,SUM(Risultati!I81+Risultati!K81+Risultati!M81)=0),"0",(((Risultati!AH81+Risultati!AI81)/(Risultati!I81+Risultati!K81+Risultati!N81)*360)))</f>
        <v>0</v>
      </c>
      <c r="BX82" s="16" t="str">
        <f>IF(Risultati!AB81&gt;0,(+Risultati!AG81/Risultati!AB81),"0")</f>
        <v>0</v>
      </c>
      <c r="BY82" s="22" t="str">
        <f>IF(OR(E82="abbreviato",Risultati!G81=0),"0",(((Risultati!AK81-(Risultati!AL81+Risultati!AM81))/Risultati!G81)))</f>
        <v>0</v>
      </c>
      <c r="BZ82" s="16" t="str">
        <f>IF(Risultati!G81&gt;0,(Risultati!AJ81/Risultati!G81),"0")</f>
        <v>0</v>
      </c>
      <c r="CA82" s="8"/>
      <c r="CB82" s="10">
        <f>+Risultati!AP81</f>
        <v>0</v>
      </c>
      <c r="CC82" s="31" t="str">
        <f t="shared" si="57"/>
        <v>0</v>
      </c>
      <c r="CD82" s="10">
        <f>+Risultati!AQ81</f>
        <v>0</v>
      </c>
      <c r="CE82" s="31" t="str">
        <f t="shared" si="58"/>
        <v>0</v>
      </c>
      <c r="CF82" s="10">
        <f>+Risultati!AR81</f>
        <v>0</v>
      </c>
      <c r="CG82" s="31" t="str">
        <f t="shared" si="59"/>
        <v>0</v>
      </c>
      <c r="CH82" s="10">
        <f>+Risultati!AS81</f>
        <v>0</v>
      </c>
      <c r="CI82" s="31" t="str">
        <f t="shared" si="60"/>
        <v>0</v>
      </c>
      <c r="CJ82" s="10">
        <f t="shared" si="61"/>
        <v>0</v>
      </c>
      <c r="CK82" s="31" t="str">
        <f t="shared" si="62"/>
        <v>0</v>
      </c>
      <c r="CL82" s="10">
        <f>+Risultati!AE81+Risultati!AF81</f>
        <v>0</v>
      </c>
      <c r="CM82" s="31" t="str">
        <f t="shared" si="63"/>
        <v>0</v>
      </c>
      <c r="CN82" s="10">
        <f>+Risultati!AT81</f>
        <v>0</v>
      </c>
      <c r="CO82" s="31" t="str">
        <f t="shared" si="64"/>
        <v>0</v>
      </c>
      <c r="CP82" s="10">
        <f>+Risultati!AU81</f>
        <v>0</v>
      </c>
      <c r="CQ82" s="31" t="str">
        <f t="shared" si="65"/>
        <v>0</v>
      </c>
      <c r="CR82" s="10">
        <f>+Risultati!AL81</f>
        <v>0</v>
      </c>
      <c r="CS82" s="31" t="str">
        <f t="shared" si="66"/>
        <v>0</v>
      </c>
      <c r="CT82" s="10">
        <f t="shared" si="67"/>
        <v>0</v>
      </c>
      <c r="CU82" s="31" t="str">
        <f t="shared" si="68"/>
        <v>0</v>
      </c>
      <c r="CV82" s="10">
        <f>+Risultati!AX81</f>
        <v>0</v>
      </c>
      <c r="CW82" s="31" t="str">
        <f t="shared" si="69"/>
        <v>0</v>
      </c>
      <c r="CX82" s="10">
        <f t="shared" si="70"/>
        <v>0</v>
      </c>
      <c r="CY82" s="31" t="str">
        <f t="shared" si="71"/>
        <v>0</v>
      </c>
      <c r="CZ82" s="10">
        <f>+Risultati!AG81</f>
        <v>0</v>
      </c>
      <c r="DA82" s="31" t="str">
        <f t="shared" si="72"/>
        <v>0</v>
      </c>
      <c r="DB82" s="10">
        <f t="shared" si="73"/>
        <v>0</v>
      </c>
      <c r="DC82" s="31" t="str">
        <f t="shared" si="74"/>
        <v>0</v>
      </c>
      <c r="DD82" s="10">
        <f>+Risultati!AV81</f>
        <v>0</v>
      </c>
      <c r="DE82" s="31" t="str">
        <f t="shared" si="75"/>
        <v>0</v>
      </c>
      <c r="DF82" s="10">
        <f>+Risultati!AJ81</f>
        <v>0</v>
      </c>
      <c r="DG82" s="31" t="str">
        <f t="shared" si="76"/>
        <v>0</v>
      </c>
      <c r="DH82" s="10">
        <f t="shared" si="77"/>
        <v>0</v>
      </c>
      <c r="DI82" s="31" t="str">
        <f t="shared" si="78"/>
        <v>0</v>
      </c>
      <c r="DJ82" s="10">
        <f>+Risultati!AW81</f>
        <v>0</v>
      </c>
      <c r="DK82" s="31" t="str">
        <f t="shared" si="79"/>
        <v>0</v>
      </c>
      <c r="DL82" s="10">
        <f t="shared" si="101"/>
        <v>0</v>
      </c>
      <c r="DM82" s="31" t="str">
        <f t="shared" si="80"/>
        <v>0</v>
      </c>
      <c r="DO82" s="30"/>
      <c r="DP82" s="30"/>
    </row>
    <row r="83" spans="1:120" x14ac:dyDescent="0.2">
      <c r="A83" s="5"/>
      <c r="B83" s="6">
        <f>+Risultati!B82</f>
        <v>0</v>
      </c>
      <c r="C83" s="6">
        <f>+Risultati!C82</f>
        <v>0</v>
      </c>
      <c r="D83" s="26" t="str">
        <f>IF(YEAR(Risultati!D82)=1900,(MID(Risultati!$AP$1,29,4)),YEAR(Risultati!D82))</f>
        <v/>
      </c>
      <c r="E83" s="6">
        <f>+Risultati!E82</f>
        <v>0</v>
      </c>
      <c r="F83" s="8" t="e">
        <f>(LEFT(Risultati!AN82,2)&amp;"-")&amp;VLOOKUP((LEFT(Risultati!AN82,2)),ateco!$B$4:$C$93,2,FALSE)</f>
        <v>#N/A</v>
      </c>
      <c r="G83" s="8" t="str">
        <f>SUBSTITUTE((Risultati!AN82&amp;"-"&amp;Risultati!AO82),",",";")</f>
        <v>-</v>
      </c>
      <c r="I83" s="10">
        <f>+Risultati!G82</f>
        <v>0</v>
      </c>
      <c r="J83" s="11" t="str">
        <f t="shared" si="83"/>
        <v>0</v>
      </c>
      <c r="K83" s="12"/>
      <c r="L83" s="10">
        <f>+Risultati!G82+Risultati!H82</f>
        <v>0</v>
      </c>
      <c r="M83" s="11" t="str">
        <f t="shared" si="84"/>
        <v>0</v>
      </c>
      <c r="N83" s="12"/>
      <c r="O83" s="10">
        <f>+Risultati!I82+Risultati!J82</f>
        <v>0</v>
      </c>
      <c r="P83" s="11" t="str">
        <f t="shared" si="85"/>
        <v>0</v>
      </c>
      <c r="Q83" s="12"/>
      <c r="R83" s="13">
        <f t="shared" si="51"/>
        <v>0</v>
      </c>
      <c r="S83" s="11" t="str">
        <f t="shared" si="86"/>
        <v>0</v>
      </c>
      <c r="T83" s="12"/>
      <c r="U83" s="10">
        <f>+Risultati!F82-(Risultati!G82+Risultati!H82)</f>
        <v>0</v>
      </c>
      <c r="V83" s="12" t="str">
        <f t="shared" si="87"/>
        <v>0</v>
      </c>
      <c r="W83" s="12"/>
      <c r="X83" s="10">
        <f t="shared" si="52"/>
        <v>0</v>
      </c>
      <c r="Y83" s="12" t="str">
        <f t="shared" si="88"/>
        <v>0</v>
      </c>
      <c r="Z83" s="12"/>
      <c r="AA83" s="10">
        <f>+Risultati!K82</f>
        <v>0</v>
      </c>
      <c r="AB83" s="12" t="str">
        <f t="shared" si="89"/>
        <v>0</v>
      </c>
      <c r="AC83" s="12"/>
      <c r="AD83" s="10">
        <f>+Risultati!L82</f>
        <v>0</v>
      </c>
      <c r="AE83" s="12" t="str">
        <f t="shared" si="90"/>
        <v>0</v>
      </c>
      <c r="AF83" s="12"/>
      <c r="AG83" s="10">
        <f>+Risultati!M82+Risultati!P82+Risultati!Q82</f>
        <v>0</v>
      </c>
      <c r="AH83" s="12" t="str">
        <f t="shared" si="91"/>
        <v>0</v>
      </c>
      <c r="AI83" s="12"/>
      <c r="AJ83" s="13">
        <f t="shared" si="53"/>
        <v>0</v>
      </c>
      <c r="AK83" s="11" t="str">
        <f t="shared" si="92"/>
        <v>0</v>
      </c>
      <c r="AL83" s="12"/>
      <c r="AM83" s="10">
        <f>+Risultati!N82</f>
        <v>0</v>
      </c>
      <c r="AN83" s="12" t="str">
        <f t="shared" si="93"/>
        <v>0</v>
      </c>
      <c r="AO83" s="12"/>
      <c r="AP83" s="10">
        <f t="shared" si="54"/>
        <v>0</v>
      </c>
      <c r="AQ83" s="41" t="str">
        <f t="shared" si="94"/>
        <v>0</v>
      </c>
      <c r="AR83" s="12"/>
      <c r="AS83" s="10">
        <f>+Risultati!O82</f>
        <v>0</v>
      </c>
      <c r="AT83" s="12" t="str">
        <f t="shared" si="95"/>
        <v>0</v>
      </c>
      <c r="AU83" s="12"/>
      <c r="AV83" s="10">
        <f t="shared" si="55"/>
        <v>0</v>
      </c>
      <c r="AW83" s="12" t="str">
        <f t="shared" si="96"/>
        <v>0</v>
      </c>
      <c r="AX83" s="12"/>
      <c r="AY83" s="10">
        <f>+Risultati!R82+Risultati!S82</f>
        <v>0</v>
      </c>
      <c r="AZ83" s="12" t="str">
        <f t="shared" si="97"/>
        <v>0</v>
      </c>
      <c r="BA83" s="12"/>
      <c r="BB83" s="10">
        <f>+Risultati!T82</f>
        <v>0</v>
      </c>
      <c r="BC83" s="12" t="str">
        <f t="shared" si="98"/>
        <v>0</v>
      </c>
      <c r="BD83" s="12"/>
      <c r="BE83" s="10">
        <f>+Risultati!U82</f>
        <v>0</v>
      </c>
      <c r="BF83" s="12" t="str">
        <f t="shared" si="99"/>
        <v>0</v>
      </c>
      <c r="BG83" s="12"/>
      <c r="BH83" s="10">
        <f t="shared" si="56"/>
        <v>0</v>
      </c>
      <c r="BI83" s="12" t="str">
        <f t="shared" si="100"/>
        <v>0</v>
      </c>
      <c r="BK83" s="16">
        <f>IF(ISNUMBER(Risultati!X82/100),(Risultati!X82/100))</f>
        <v>0</v>
      </c>
      <c r="BL83" s="16">
        <f>IF(ISNUMBER(Risultati!Y82/100),(Risultati!Y82/100))</f>
        <v>0</v>
      </c>
      <c r="BM83" s="16">
        <f>IF(ISNUMBER(Risultati!Z82/100),(Risultati!Z82/100))</f>
        <v>0</v>
      </c>
      <c r="BN83" s="16">
        <f>IF(AND(Risultati!AY82&lt;0,calcoli!AP83&lt;0),-IF(ISNUMBER(Risultati!AA82/100),(Risultati!AA82/100)),IF(ISNUMBER(Risultati!AA82/100),(Risultati!AA82/100)))</f>
        <v>0</v>
      </c>
      <c r="BO83" s="16" t="str">
        <f t="shared" si="81"/>
        <v>0</v>
      </c>
      <c r="BP83" s="16" t="str">
        <f>IF(Risultati!AB82&gt;0,(AV83/Risultati!AB82),"0")</f>
        <v>0</v>
      </c>
      <c r="BQ83" s="16" t="str">
        <f>IF(Risultati!AG82&lt;&gt;0,(BH83/Risultati!AG82),"0")</f>
        <v>0</v>
      </c>
      <c r="BR83" s="16" t="str">
        <f t="shared" si="82"/>
        <v>0</v>
      </c>
      <c r="BS83" s="14" t="str">
        <f>IF(Risultati!AB82&gt;0,(Risultati!G82/Risultati!AB82),"0")</f>
        <v>0</v>
      </c>
      <c r="BT83" s="15" t="str">
        <f>IF(Risultati!AG82&lt;&gt;0,(Risultati!AB82/Risultati!AG82),"0")</f>
        <v>0</v>
      </c>
      <c r="BU83" s="23" t="str">
        <f>IF(AND(Risultati!G82&gt;0,(Risultati!AE82-Risultati!AF82)&gt;=0),((Risultati!AE82-Risultati!AF82)/Risultati!G82*360),"0")</f>
        <v>0</v>
      </c>
      <c r="BV83" s="21" t="str">
        <f>IF(OR(E83="abbreviato",Risultati!G82=0),"0",((Risultati!AC82+Risultati!AD82)/Risultati!G82*360))</f>
        <v>0</v>
      </c>
      <c r="BW83" s="21" t="str">
        <f>IF(OR(E83="abbreviato",Risultati!G82=0,SUM(Risultati!I82+Risultati!K82+Risultati!M82)=0),"0",(((Risultati!AH82+Risultati!AI82)/(Risultati!I82+Risultati!K82+Risultati!N82)*360)))</f>
        <v>0</v>
      </c>
      <c r="BX83" s="16" t="str">
        <f>IF(Risultati!AB82&gt;0,(+Risultati!AG82/Risultati!AB82),"0")</f>
        <v>0</v>
      </c>
      <c r="BY83" s="22" t="str">
        <f>IF(OR(E83="abbreviato",Risultati!G82=0),"0",(((Risultati!AK82-(Risultati!AL82+Risultati!AM82))/Risultati!G82)))</f>
        <v>0</v>
      </c>
      <c r="BZ83" s="16" t="str">
        <f>IF(Risultati!G82&gt;0,(Risultati!AJ82/Risultati!G82),"0")</f>
        <v>0</v>
      </c>
      <c r="CA83" s="8"/>
      <c r="CB83" s="10">
        <f>+Risultati!AP82</f>
        <v>0</v>
      </c>
      <c r="CC83" s="31" t="str">
        <f t="shared" si="57"/>
        <v>0</v>
      </c>
      <c r="CD83" s="10">
        <f>+Risultati!AQ82</f>
        <v>0</v>
      </c>
      <c r="CE83" s="31" t="str">
        <f t="shared" si="58"/>
        <v>0</v>
      </c>
      <c r="CF83" s="10">
        <f>+Risultati!AR82</f>
        <v>0</v>
      </c>
      <c r="CG83" s="31" t="str">
        <f t="shared" si="59"/>
        <v>0</v>
      </c>
      <c r="CH83" s="10">
        <f>+Risultati!AS82</f>
        <v>0</v>
      </c>
      <c r="CI83" s="31" t="str">
        <f t="shared" si="60"/>
        <v>0</v>
      </c>
      <c r="CJ83" s="10">
        <f t="shared" si="61"/>
        <v>0</v>
      </c>
      <c r="CK83" s="31" t="str">
        <f t="shared" si="62"/>
        <v>0</v>
      </c>
      <c r="CL83" s="10">
        <f>+Risultati!AE82+Risultati!AF82</f>
        <v>0</v>
      </c>
      <c r="CM83" s="31" t="str">
        <f t="shared" si="63"/>
        <v>0</v>
      </c>
      <c r="CN83" s="10">
        <f>+Risultati!AT82</f>
        <v>0</v>
      </c>
      <c r="CO83" s="31" t="str">
        <f t="shared" si="64"/>
        <v>0</v>
      </c>
      <c r="CP83" s="10">
        <f>+Risultati!AU82</f>
        <v>0</v>
      </c>
      <c r="CQ83" s="31" t="str">
        <f t="shared" si="65"/>
        <v>0</v>
      </c>
      <c r="CR83" s="10">
        <f>+Risultati!AL82</f>
        <v>0</v>
      </c>
      <c r="CS83" s="31" t="str">
        <f t="shared" si="66"/>
        <v>0</v>
      </c>
      <c r="CT83" s="10">
        <f t="shared" si="67"/>
        <v>0</v>
      </c>
      <c r="CU83" s="31" t="str">
        <f t="shared" si="68"/>
        <v>0</v>
      </c>
      <c r="CV83" s="10">
        <f>+Risultati!AX82</f>
        <v>0</v>
      </c>
      <c r="CW83" s="31" t="str">
        <f t="shared" si="69"/>
        <v>0</v>
      </c>
      <c r="CX83" s="10">
        <f t="shared" si="70"/>
        <v>0</v>
      </c>
      <c r="CY83" s="31" t="str">
        <f t="shared" si="71"/>
        <v>0</v>
      </c>
      <c r="CZ83" s="10">
        <f>+Risultati!AG82</f>
        <v>0</v>
      </c>
      <c r="DA83" s="31" t="str">
        <f t="shared" si="72"/>
        <v>0</v>
      </c>
      <c r="DB83" s="10">
        <f t="shared" si="73"/>
        <v>0</v>
      </c>
      <c r="DC83" s="31" t="str">
        <f t="shared" si="74"/>
        <v>0</v>
      </c>
      <c r="DD83" s="10">
        <f>+Risultati!AV82</f>
        <v>0</v>
      </c>
      <c r="DE83" s="31" t="str">
        <f t="shared" si="75"/>
        <v>0</v>
      </c>
      <c r="DF83" s="10">
        <f>+Risultati!AJ82</f>
        <v>0</v>
      </c>
      <c r="DG83" s="31" t="str">
        <f t="shared" si="76"/>
        <v>0</v>
      </c>
      <c r="DH83" s="10">
        <f t="shared" si="77"/>
        <v>0</v>
      </c>
      <c r="DI83" s="31" t="str">
        <f t="shared" si="78"/>
        <v>0</v>
      </c>
      <c r="DJ83" s="10">
        <f>+Risultati!AW82</f>
        <v>0</v>
      </c>
      <c r="DK83" s="31" t="str">
        <f t="shared" si="79"/>
        <v>0</v>
      </c>
      <c r="DL83" s="10">
        <f t="shared" si="101"/>
        <v>0</v>
      </c>
      <c r="DM83" s="31" t="str">
        <f t="shared" si="80"/>
        <v>0</v>
      </c>
      <c r="DO83" s="30"/>
      <c r="DP83" s="30"/>
    </row>
    <row r="84" spans="1:120" x14ac:dyDescent="0.2">
      <c r="A84" s="5"/>
      <c r="B84" s="6">
        <f>+Risultati!B83</f>
        <v>0</v>
      </c>
      <c r="C84" s="6">
        <f>+Risultati!C83</f>
        <v>0</v>
      </c>
      <c r="D84" s="26" t="str">
        <f>IF(YEAR(Risultati!D83)=1900,(MID(Risultati!$AP$1,29,4)),YEAR(Risultati!D83))</f>
        <v/>
      </c>
      <c r="E84" s="6">
        <f>+Risultati!E83</f>
        <v>0</v>
      </c>
      <c r="F84" s="8" t="e">
        <f>(LEFT(Risultati!AN83,2)&amp;"-")&amp;VLOOKUP((LEFT(Risultati!AN83,2)),ateco!$B$4:$C$93,2,FALSE)</f>
        <v>#N/A</v>
      </c>
      <c r="G84" s="8" t="str">
        <f>SUBSTITUTE((Risultati!AN83&amp;"-"&amp;Risultati!AO83),",",";")</f>
        <v>-</v>
      </c>
      <c r="I84" s="10">
        <f>+Risultati!G83</f>
        <v>0</v>
      </c>
      <c r="J84" s="11" t="str">
        <f t="shared" si="83"/>
        <v>0</v>
      </c>
      <c r="K84" s="12"/>
      <c r="L84" s="10">
        <f>+Risultati!G83+Risultati!H83</f>
        <v>0</v>
      </c>
      <c r="M84" s="11" t="str">
        <f t="shared" si="84"/>
        <v>0</v>
      </c>
      <c r="N84" s="12"/>
      <c r="O84" s="10">
        <f>+Risultati!I83+Risultati!J83</f>
        <v>0</v>
      </c>
      <c r="P84" s="11" t="str">
        <f t="shared" si="85"/>
        <v>0</v>
      </c>
      <c r="Q84" s="12"/>
      <c r="R84" s="13">
        <f t="shared" si="51"/>
        <v>0</v>
      </c>
      <c r="S84" s="11" t="str">
        <f t="shared" si="86"/>
        <v>0</v>
      </c>
      <c r="T84" s="12"/>
      <c r="U84" s="10">
        <f>+Risultati!F83-(Risultati!G83+Risultati!H83)</f>
        <v>0</v>
      </c>
      <c r="V84" s="12" t="str">
        <f t="shared" si="87"/>
        <v>0</v>
      </c>
      <c r="W84" s="12"/>
      <c r="X84" s="10">
        <f t="shared" si="52"/>
        <v>0</v>
      </c>
      <c r="Y84" s="12" t="str">
        <f t="shared" si="88"/>
        <v>0</v>
      </c>
      <c r="Z84" s="12"/>
      <c r="AA84" s="10">
        <f>+Risultati!K83</f>
        <v>0</v>
      </c>
      <c r="AB84" s="12" t="str">
        <f t="shared" si="89"/>
        <v>0</v>
      </c>
      <c r="AC84" s="12"/>
      <c r="AD84" s="10">
        <f>+Risultati!L83</f>
        <v>0</v>
      </c>
      <c r="AE84" s="12" t="str">
        <f t="shared" si="90"/>
        <v>0</v>
      </c>
      <c r="AF84" s="12"/>
      <c r="AG84" s="10">
        <f>+Risultati!M83+Risultati!P83+Risultati!Q83</f>
        <v>0</v>
      </c>
      <c r="AH84" s="12" t="str">
        <f t="shared" si="91"/>
        <v>0</v>
      </c>
      <c r="AI84" s="12"/>
      <c r="AJ84" s="13">
        <f t="shared" si="53"/>
        <v>0</v>
      </c>
      <c r="AK84" s="11" t="str">
        <f t="shared" si="92"/>
        <v>0</v>
      </c>
      <c r="AL84" s="12"/>
      <c r="AM84" s="10">
        <f>+Risultati!N83</f>
        <v>0</v>
      </c>
      <c r="AN84" s="12" t="str">
        <f t="shared" si="93"/>
        <v>0</v>
      </c>
      <c r="AO84" s="12"/>
      <c r="AP84" s="10">
        <f t="shared" si="54"/>
        <v>0</v>
      </c>
      <c r="AQ84" s="41" t="str">
        <f t="shared" si="94"/>
        <v>0</v>
      </c>
      <c r="AR84" s="12"/>
      <c r="AS84" s="10">
        <f>+Risultati!O83</f>
        <v>0</v>
      </c>
      <c r="AT84" s="12" t="str">
        <f t="shared" si="95"/>
        <v>0</v>
      </c>
      <c r="AU84" s="12"/>
      <c r="AV84" s="10">
        <f t="shared" si="55"/>
        <v>0</v>
      </c>
      <c r="AW84" s="12" t="str">
        <f t="shared" si="96"/>
        <v>0</v>
      </c>
      <c r="AX84" s="12"/>
      <c r="AY84" s="10">
        <f>+Risultati!R83+Risultati!S83</f>
        <v>0</v>
      </c>
      <c r="AZ84" s="12" t="str">
        <f t="shared" si="97"/>
        <v>0</v>
      </c>
      <c r="BA84" s="12"/>
      <c r="BB84" s="10">
        <f>+Risultati!T83</f>
        <v>0</v>
      </c>
      <c r="BC84" s="12" t="str">
        <f t="shared" si="98"/>
        <v>0</v>
      </c>
      <c r="BD84" s="12"/>
      <c r="BE84" s="10">
        <f>+Risultati!U83</f>
        <v>0</v>
      </c>
      <c r="BF84" s="12" t="str">
        <f t="shared" si="99"/>
        <v>0</v>
      </c>
      <c r="BG84" s="12"/>
      <c r="BH84" s="10">
        <f t="shared" si="56"/>
        <v>0</v>
      </c>
      <c r="BI84" s="12" t="str">
        <f t="shared" si="100"/>
        <v>0</v>
      </c>
      <c r="BK84" s="16">
        <f>IF(ISNUMBER(Risultati!X83/100),(Risultati!X83/100))</f>
        <v>0</v>
      </c>
      <c r="BL84" s="16">
        <f>IF(ISNUMBER(Risultati!Y83/100),(Risultati!Y83/100))</f>
        <v>0</v>
      </c>
      <c r="BM84" s="16">
        <f>IF(ISNUMBER(Risultati!Z83/100),(Risultati!Z83/100))</f>
        <v>0</v>
      </c>
      <c r="BN84" s="16">
        <f>IF(AND(Risultati!AY83&lt;0,calcoli!AP84&lt;0),-IF(ISNUMBER(Risultati!AA83/100),(Risultati!AA83/100)),IF(ISNUMBER(Risultati!AA83/100),(Risultati!AA83/100)))</f>
        <v>0</v>
      </c>
      <c r="BO84" s="16" t="str">
        <f t="shared" si="81"/>
        <v>0</v>
      </c>
      <c r="BP84" s="16" t="str">
        <f>IF(Risultati!AB83&gt;0,(AV84/Risultati!AB83),"0")</f>
        <v>0</v>
      </c>
      <c r="BQ84" s="16" t="str">
        <f>IF(Risultati!AG83&lt;&gt;0,(BH84/Risultati!AG83),"0")</f>
        <v>0</v>
      </c>
      <c r="BR84" s="16" t="str">
        <f t="shared" si="82"/>
        <v>0</v>
      </c>
      <c r="BS84" s="14" t="str">
        <f>IF(Risultati!AB83&gt;0,(Risultati!G83/Risultati!AB83),"0")</f>
        <v>0</v>
      </c>
      <c r="BT84" s="15" t="str">
        <f>IF(Risultati!AG83&lt;&gt;0,(Risultati!AB83/Risultati!AG83),"0")</f>
        <v>0</v>
      </c>
      <c r="BU84" s="23" t="str">
        <f>IF(AND(Risultati!G83&gt;0,(Risultati!AE83-Risultati!AF83)&gt;=0),((Risultati!AE83-Risultati!AF83)/Risultati!G83*360),"0")</f>
        <v>0</v>
      </c>
      <c r="BV84" s="21" t="str">
        <f>IF(OR(E84="abbreviato",Risultati!G83=0),"0",((Risultati!AC83+Risultati!AD83)/Risultati!G83*360))</f>
        <v>0</v>
      </c>
      <c r="BW84" s="21" t="str">
        <f>IF(OR(E84="abbreviato",Risultati!G83=0,SUM(Risultati!I83+Risultati!K83+Risultati!M83)=0),"0",(((Risultati!AH83+Risultati!AI83)/(Risultati!I83+Risultati!K83+Risultati!N83)*360)))</f>
        <v>0</v>
      </c>
      <c r="BX84" s="16" t="str">
        <f>IF(Risultati!AB83&gt;0,(+Risultati!AG83/Risultati!AB83),"0")</f>
        <v>0</v>
      </c>
      <c r="BY84" s="22" t="str">
        <f>IF(OR(E84="abbreviato",Risultati!G83=0),"0",(((Risultati!AK83-(Risultati!AL83+Risultati!AM83))/Risultati!G83)))</f>
        <v>0</v>
      </c>
      <c r="BZ84" s="16" t="str">
        <f>IF(Risultati!G83&gt;0,(Risultati!AJ83/Risultati!G83),"0")</f>
        <v>0</v>
      </c>
      <c r="CA84" s="8"/>
      <c r="CB84" s="10">
        <f>+Risultati!AP83</f>
        <v>0</v>
      </c>
      <c r="CC84" s="31" t="str">
        <f t="shared" si="57"/>
        <v>0</v>
      </c>
      <c r="CD84" s="10">
        <f>+Risultati!AQ83</f>
        <v>0</v>
      </c>
      <c r="CE84" s="31" t="str">
        <f t="shared" si="58"/>
        <v>0</v>
      </c>
      <c r="CF84" s="10">
        <f>+Risultati!AR83</f>
        <v>0</v>
      </c>
      <c r="CG84" s="31" t="str">
        <f t="shared" si="59"/>
        <v>0</v>
      </c>
      <c r="CH84" s="10">
        <f>+Risultati!AS83</f>
        <v>0</v>
      </c>
      <c r="CI84" s="31" t="str">
        <f t="shared" si="60"/>
        <v>0</v>
      </c>
      <c r="CJ84" s="10">
        <f t="shared" si="61"/>
        <v>0</v>
      </c>
      <c r="CK84" s="31" t="str">
        <f t="shared" si="62"/>
        <v>0</v>
      </c>
      <c r="CL84" s="10">
        <f>+Risultati!AE83+Risultati!AF83</f>
        <v>0</v>
      </c>
      <c r="CM84" s="31" t="str">
        <f t="shared" si="63"/>
        <v>0</v>
      </c>
      <c r="CN84" s="10">
        <f>+Risultati!AT83</f>
        <v>0</v>
      </c>
      <c r="CO84" s="31" t="str">
        <f t="shared" si="64"/>
        <v>0</v>
      </c>
      <c r="CP84" s="10">
        <f>+Risultati!AU83</f>
        <v>0</v>
      </c>
      <c r="CQ84" s="31" t="str">
        <f t="shared" si="65"/>
        <v>0</v>
      </c>
      <c r="CR84" s="10">
        <f>+Risultati!AL83</f>
        <v>0</v>
      </c>
      <c r="CS84" s="31" t="str">
        <f t="shared" si="66"/>
        <v>0</v>
      </c>
      <c r="CT84" s="10">
        <f t="shared" si="67"/>
        <v>0</v>
      </c>
      <c r="CU84" s="31" t="str">
        <f t="shared" si="68"/>
        <v>0</v>
      </c>
      <c r="CV84" s="10">
        <f>+Risultati!AX83</f>
        <v>0</v>
      </c>
      <c r="CW84" s="31" t="str">
        <f t="shared" si="69"/>
        <v>0</v>
      </c>
      <c r="CX84" s="10">
        <f t="shared" si="70"/>
        <v>0</v>
      </c>
      <c r="CY84" s="31" t="str">
        <f t="shared" si="71"/>
        <v>0</v>
      </c>
      <c r="CZ84" s="10">
        <f>+Risultati!AG83</f>
        <v>0</v>
      </c>
      <c r="DA84" s="31" t="str">
        <f t="shared" si="72"/>
        <v>0</v>
      </c>
      <c r="DB84" s="10">
        <f t="shared" si="73"/>
        <v>0</v>
      </c>
      <c r="DC84" s="31" t="str">
        <f t="shared" si="74"/>
        <v>0</v>
      </c>
      <c r="DD84" s="10">
        <f>+Risultati!AV83</f>
        <v>0</v>
      </c>
      <c r="DE84" s="31" t="str">
        <f t="shared" si="75"/>
        <v>0</v>
      </c>
      <c r="DF84" s="10">
        <f>+Risultati!AJ83</f>
        <v>0</v>
      </c>
      <c r="DG84" s="31" t="str">
        <f t="shared" si="76"/>
        <v>0</v>
      </c>
      <c r="DH84" s="10">
        <f t="shared" si="77"/>
        <v>0</v>
      </c>
      <c r="DI84" s="31" t="str">
        <f t="shared" si="78"/>
        <v>0</v>
      </c>
      <c r="DJ84" s="10">
        <f>+Risultati!AW83</f>
        <v>0</v>
      </c>
      <c r="DK84" s="31" t="str">
        <f t="shared" si="79"/>
        <v>0</v>
      </c>
      <c r="DL84" s="10">
        <f t="shared" si="101"/>
        <v>0</v>
      </c>
      <c r="DM84" s="31" t="str">
        <f t="shared" si="80"/>
        <v>0</v>
      </c>
      <c r="DO84" s="30"/>
      <c r="DP84" s="30"/>
    </row>
    <row r="85" spans="1:120" x14ac:dyDescent="0.2">
      <c r="A85" s="5"/>
      <c r="B85" s="6">
        <f>+Risultati!B84</f>
        <v>0</v>
      </c>
      <c r="C85" s="6">
        <f>+Risultati!C84</f>
        <v>0</v>
      </c>
      <c r="D85" s="26" t="str">
        <f>IF(YEAR(Risultati!D84)=1900,(MID(Risultati!$AP$1,29,4)),YEAR(Risultati!D84))</f>
        <v/>
      </c>
      <c r="E85" s="6">
        <f>+Risultati!E84</f>
        <v>0</v>
      </c>
      <c r="F85" s="8" t="e">
        <f>(LEFT(Risultati!AN84,2)&amp;"-")&amp;VLOOKUP((LEFT(Risultati!AN84,2)),ateco!$B$4:$C$93,2,FALSE)</f>
        <v>#N/A</v>
      </c>
      <c r="G85" s="8" t="str">
        <f>SUBSTITUTE((Risultati!AN84&amp;"-"&amp;Risultati!AO84),",",";")</f>
        <v>-</v>
      </c>
      <c r="I85" s="10">
        <f>+Risultati!G84</f>
        <v>0</v>
      </c>
      <c r="J85" s="11" t="str">
        <f t="shared" si="83"/>
        <v>0</v>
      </c>
      <c r="K85" s="12"/>
      <c r="L85" s="10">
        <f>+Risultati!G84+Risultati!H84</f>
        <v>0</v>
      </c>
      <c r="M85" s="11" t="str">
        <f t="shared" si="84"/>
        <v>0</v>
      </c>
      <c r="N85" s="12"/>
      <c r="O85" s="10">
        <f>+Risultati!I84+Risultati!J84</f>
        <v>0</v>
      </c>
      <c r="P85" s="11" t="str">
        <f t="shared" si="85"/>
        <v>0</v>
      </c>
      <c r="Q85" s="12"/>
      <c r="R85" s="13">
        <f t="shared" si="51"/>
        <v>0</v>
      </c>
      <c r="S85" s="11" t="str">
        <f t="shared" si="86"/>
        <v>0</v>
      </c>
      <c r="T85" s="12"/>
      <c r="U85" s="10">
        <f>+Risultati!F84-(Risultati!G84+Risultati!H84)</f>
        <v>0</v>
      </c>
      <c r="V85" s="12" t="str">
        <f t="shared" si="87"/>
        <v>0</v>
      </c>
      <c r="W85" s="12"/>
      <c r="X85" s="10">
        <f t="shared" si="52"/>
        <v>0</v>
      </c>
      <c r="Y85" s="12" t="str">
        <f t="shared" si="88"/>
        <v>0</v>
      </c>
      <c r="Z85" s="12"/>
      <c r="AA85" s="10">
        <f>+Risultati!K84</f>
        <v>0</v>
      </c>
      <c r="AB85" s="12" t="str">
        <f t="shared" si="89"/>
        <v>0</v>
      </c>
      <c r="AC85" s="12"/>
      <c r="AD85" s="10">
        <f>+Risultati!L84</f>
        <v>0</v>
      </c>
      <c r="AE85" s="12" t="str">
        <f t="shared" si="90"/>
        <v>0</v>
      </c>
      <c r="AF85" s="12"/>
      <c r="AG85" s="10">
        <f>+Risultati!M84+Risultati!P84+Risultati!Q84</f>
        <v>0</v>
      </c>
      <c r="AH85" s="12" t="str">
        <f t="shared" si="91"/>
        <v>0</v>
      </c>
      <c r="AI85" s="12"/>
      <c r="AJ85" s="13">
        <f t="shared" si="53"/>
        <v>0</v>
      </c>
      <c r="AK85" s="11" t="str">
        <f t="shared" si="92"/>
        <v>0</v>
      </c>
      <c r="AL85" s="12"/>
      <c r="AM85" s="10">
        <f>+Risultati!N84</f>
        <v>0</v>
      </c>
      <c r="AN85" s="12" t="str">
        <f t="shared" si="93"/>
        <v>0</v>
      </c>
      <c r="AO85" s="12"/>
      <c r="AP85" s="10">
        <f t="shared" si="54"/>
        <v>0</v>
      </c>
      <c r="AQ85" s="41" t="str">
        <f t="shared" si="94"/>
        <v>0</v>
      </c>
      <c r="AR85" s="12"/>
      <c r="AS85" s="10">
        <f>+Risultati!O84</f>
        <v>0</v>
      </c>
      <c r="AT85" s="12" t="str">
        <f t="shared" si="95"/>
        <v>0</v>
      </c>
      <c r="AU85" s="12"/>
      <c r="AV85" s="10">
        <f t="shared" si="55"/>
        <v>0</v>
      </c>
      <c r="AW85" s="12" t="str">
        <f t="shared" si="96"/>
        <v>0</v>
      </c>
      <c r="AX85" s="12"/>
      <c r="AY85" s="10">
        <f>+Risultati!R84+Risultati!S84</f>
        <v>0</v>
      </c>
      <c r="AZ85" s="12" t="str">
        <f t="shared" si="97"/>
        <v>0</v>
      </c>
      <c r="BA85" s="12"/>
      <c r="BB85" s="10">
        <f>+Risultati!T84</f>
        <v>0</v>
      </c>
      <c r="BC85" s="12" t="str">
        <f t="shared" si="98"/>
        <v>0</v>
      </c>
      <c r="BD85" s="12"/>
      <c r="BE85" s="10">
        <f>+Risultati!U84</f>
        <v>0</v>
      </c>
      <c r="BF85" s="12" t="str">
        <f t="shared" si="99"/>
        <v>0</v>
      </c>
      <c r="BG85" s="12"/>
      <c r="BH85" s="10">
        <f t="shared" si="56"/>
        <v>0</v>
      </c>
      <c r="BI85" s="12" t="str">
        <f t="shared" si="100"/>
        <v>0</v>
      </c>
      <c r="BK85" s="16">
        <f>IF(ISNUMBER(Risultati!X84/100),(Risultati!X84/100))</f>
        <v>0</v>
      </c>
      <c r="BL85" s="16">
        <f>IF(ISNUMBER(Risultati!Y84/100),(Risultati!Y84/100))</f>
        <v>0</v>
      </c>
      <c r="BM85" s="16">
        <f>IF(ISNUMBER(Risultati!Z84/100),(Risultati!Z84/100))</f>
        <v>0</v>
      </c>
      <c r="BN85" s="16">
        <f>IF(AND(Risultati!AY84&lt;0,calcoli!AP85&lt;0),-IF(ISNUMBER(Risultati!AA84/100),(Risultati!AA84/100)),IF(ISNUMBER(Risultati!AA84/100),(Risultati!AA84/100)))</f>
        <v>0</v>
      </c>
      <c r="BO85" s="16" t="str">
        <f t="shared" si="81"/>
        <v>0</v>
      </c>
      <c r="BP85" s="16" t="str">
        <f>IF(Risultati!AB84&gt;0,(AV85/Risultati!AB84),"0")</f>
        <v>0</v>
      </c>
      <c r="BQ85" s="16" t="str">
        <f>IF(Risultati!AG84&lt;&gt;0,(BH85/Risultati!AG84),"0")</f>
        <v>0</v>
      </c>
      <c r="BR85" s="16" t="str">
        <f t="shared" si="82"/>
        <v>0</v>
      </c>
      <c r="BS85" s="14" t="str">
        <f>IF(Risultati!AB84&gt;0,(Risultati!G84/Risultati!AB84),"0")</f>
        <v>0</v>
      </c>
      <c r="BT85" s="15" t="str">
        <f>IF(Risultati!AG84&lt;&gt;0,(Risultati!AB84/Risultati!AG84),"0")</f>
        <v>0</v>
      </c>
      <c r="BU85" s="23" t="str">
        <f>IF(AND(Risultati!G84&gt;0,(Risultati!AE84-Risultati!AF84)&gt;=0),((Risultati!AE84-Risultati!AF84)/Risultati!G84*360),"0")</f>
        <v>0</v>
      </c>
      <c r="BV85" s="21" t="str">
        <f>IF(OR(E85="abbreviato",Risultati!G84=0),"0",((Risultati!AC84+Risultati!AD84)/Risultati!G84*360))</f>
        <v>0</v>
      </c>
      <c r="BW85" s="21" t="str">
        <f>IF(OR(E85="abbreviato",Risultati!G84=0,SUM(Risultati!I84+Risultati!K84+Risultati!M84)=0),"0",(((Risultati!AH84+Risultati!AI84)/(Risultati!I84+Risultati!K84+Risultati!N84)*360)))</f>
        <v>0</v>
      </c>
      <c r="BX85" s="16" t="str">
        <f>IF(Risultati!AB84&gt;0,(+Risultati!AG84/Risultati!AB84),"0")</f>
        <v>0</v>
      </c>
      <c r="BY85" s="22" t="str">
        <f>IF(OR(E85="abbreviato",Risultati!G84=0),"0",(((Risultati!AK84-(Risultati!AL84+Risultati!AM84))/Risultati!G84)))</f>
        <v>0</v>
      </c>
      <c r="BZ85" s="16" t="str">
        <f>IF(Risultati!G84&gt;0,(Risultati!AJ84/Risultati!G84),"0")</f>
        <v>0</v>
      </c>
      <c r="CA85" s="8"/>
      <c r="CB85" s="10">
        <f>+Risultati!AP84</f>
        <v>0</v>
      </c>
      <c r="CC85" s="31" t="str">
        <f t="shared" si="57"/>
        <v>0</v>
      </c>
      <c r="CD85" s="10">
        <f>+Risultati!AQ84</f>
        <v>0</v>
      </c>
      <c r="CE85" s="31" t="str">
        <f t="shared" si="58"/>
        <v>0</v>
      </c>
      <c r="CF85" s="10">
        <f>+Risultati!AR84</f>
        <v>0</v>
      </c>
      <c r="CG85" s="31" t="str">
        <f t="shared" si="59"/>
        <v>0</v>
      </c>
      <c r="CH85" s="10">
        <f>+Risultati!AS84</f>
        <v>0</v>
      </c>
      <c r="CI85" s="31" t="str">
        <f t="shared" si="60"/>
        <v>0</v>
      </c>
      <c r="CJ85" s="10">
        <f t="shared" si="61"/>
        <v>0</v>
      </c>
      <c r="CK85" s="31" t="str">
        <f t="shared" si="62"/>
        <v>0</v>
      </c>
      <c r="CL85" s="10">
        <f>+Risultati!AE84+Risultati!AF84</f>
        <v>0</v>
      </c>
      <c r="CM85" s="31" t="str">
        <f t="shared" si="63"/>
        <v>0</v>
      </c>
      <c r="CN85" s="10">
        <f>+Risultati!AT84</f>
        <v>0</v>
      </c>
      <c r="CO85" s="31" t="str">
        <f t="shared" si="64"/>
        <v>0</v>
      </c>
      <c r="CP85" s="10">
        <f>+Risultati!AU84</f>
        <v>0</v>
      </c>
      <c r="CQ85" s="31" t="str">
        <f t="shared" si="65"/>
        <v>0</v>
      </c>
      <c r="CR85" s="10">
        <f>+Risultati!AL84</f>
        <v>0</v>
      </c>
      <c r="CS85" s="31" t="str">
        <f t="shared" si="66"/>
        <v>0</v>
      </c>
      <c r="CT85" s="10">
        <f t="shared" si="67"/>
        <v>0</v>
      </c>
      <c r="CU85" s="31" t="str">
        <f t="shared" si="68"/>
        <v>0</v>
      </c>
      <c r="CV85" s="10">
        <f>+Risultati!AX84</f>
        <v>0</v>
      </c>
      <c r="CW85" s="31" t="str">
        <f t="shared" si="69"/>
        <v>0</v>
      </c>
      <c r="CX85" s="10">
        <f t="shared" si="70"/>
        <v>0</v>
      </c>
      <c r="CY85" s="31" t="str">
        <f t="shared" si="71"/>
        <v>0</v>
      </c>
      <c r="CZ85" s="10">
        <f>+Risultati!AG84</f>
        <v>0</v>
      </c>
      <c r="DA85" s="31" t="str">
        <f t="shared" si="72"/>
        <v>0</v>
      </c>
      <c r="DB85" s="10">
        <f t="shared" si="73"/>
        <v>0</v>
      </c>
      <c r="DC85" s="31" t="str">
        <f t="shared" si="74"/>
        <v>0</v>
      </c>
      <c r="DD85" s="10">
        <f>+Risultati!AV84</f>
        <v>0</v>
      </c>
      <c r="DE85" s="31" t="str">
        <f t="shared" si="75"/>
        <v>0</v>
      </c>
      <c r="DF85" s="10">
        <f>+Risultati!AJ84</f>
        <v>0</v>
      </c>
      <c r="DG85" s="31" t="str">
        <f t="shared" si="76"/>
        <v>0</v>
      </c>
      <c r="DH85" s="10">
        <f t="shared" si="77"/>
        <v>0</v>
      </c>
      <c r="DI85" s="31" t="str">
        <f t="shared" si="78"/>
        <v>0</v>
      </c>
      <c r="DJ85" s="10">
        <f>+Risultati!AW84</f>
        <v>0</v>
      </c>
      <c r="DK85" s="31" t="str">
        <f t="shared" si="79"/>
        <v>0</v>
      </c>
      <c r="DL85" s="10">
        <f t="shared" si="101"/>
        <v>0</v>
      </c>
      <c r="DM85" s="31" t="str">
        <f t="shared" si="80"/>
        <v>0</v>
      </c>
      <c r="DO85" s="30"/>
      <c r="DP85" s="30"/>
    </row>
    <row r="86" spans="1:120" x14ac:dyDescent="0.2">
      <c r="A86" s="5"/>
      <c r="B86" s="6">
        <f>+Risultati!B85</f>
        <v>0</v>
      </c>
      <c r="C86" s="6">
        <f>+Risultati!C85</f>
        <v>0</v>
      </c>
      <c r="D86" s="26" t="str">
        <f>IF(YEAR(Risultati!D85)=1900,(MID(Risultati!$AP$1,29,4)),YEAR(Risultati!D85))</f>
        <v/>
      </c>
      <c r="E86" s="6">
        <f>+Risultati!E85</f>
        <v>0</v>
      </c>
      <c r="F86" s="8" t="e">
        <f>(LEFT(Risultati!AN85,2)&amp;"-")&amp;VLOOKUP((LEFT(Risultati!AN85,2)),ateco!$B$4:$C$93,2,FALSE)</f>
        <v>#N/A</v>
      </c>
      <c r="G86" s="8" t="str">
        <f>SUBSTITUTE((Risultati!AN85&amp;"-"&amp;Risultati!AO85),",",";")</f>
        <v>-</v>
      </c>
      <c r="I86" s="10">
        <f>+Risultati!G85</f>
        <v>0</v>
      </c>
      <c r="J86" s="11" t="str">
        <f t="shared" si="83"/>
        <v>0</v>
      </c>
      <c r="K86" s="12"/>
      <c r="L86" s="10">
        <f>+Risultati!G85+Risultati!H85</f>
        <v>0</v>
      </c>
      <c r="M86" s="11" t="str">
        <f t="shared" si="84"/>
        <v>0</v>
      </c>
      <c r="N86" s="12"/>
      <c r="O86" s="10">
        <f>+Risultati!I85+Risultati!J85</f>
        <v>0</v>
      </c>
      <c r="P86" s="11" t="str">
        <f t="shared" si="85"/>
        <v>0</v>
      </c>
      <c r="Q86" s="12"/>
      <c r="R86" s="13">
        <f t="shared" si="51"/>
        <v>0</v>
      </c>
      <c r="S86" s="11" t="str">
        <f t="shared" si="86"/>
        <v>0</v>
      </c>
      <c r="T86" s="12"/>
      <c r="U86" s="10">
        <f>+Risultati!F85-(Risultati!G85+Risultati!H85)</f>
        <v>0</v>
      </c>
      <c r="V86" s="12" t="str">
        <f t="shared" si="87"/>
        <v>0</v>
      </c>
      <c r="W86" s="12"/>
      <c r="X86" s="10">
        <f t="shared" si="52"/>
        <v>0</v>
      </c>
      <c r="Y86" s="12" t="str">
        <f t="shared" si="88"/>
        <v>0</v>
      </c>
      <c r="Z86" s="12"/>
      <c r="AA86" s="10">
        <f>+Risultati!K85</f>
        <v>0</v>
      </c>
      <c r="AB86" s="12" t="str">
        <f t="shared" si="89"/>
        <v>0</v>
      </c>
      <c r="AC86" s="12"/>
      <c r="AD86" s="10">
        <f>+Risultati!L85</f>
        <v>0</v>
      </c>
      <c r="AE86" s="12" t="str">
        <f t="shared" si="90"/>
        <v>0</v>
      </c>
      <c r="AF86" s="12"/>
      <c r="AG86" s="10">
        <f>+Risultati!M85+Risultati!P85+Risultati!Q85</f>
        <v>0</v>
      </c>
      <c r="AH86" s="12" t="str">
        <f t="shared" si="91"/>
        <v>0</v>
      </c>
      <c r="AI86" s="12"/>
      <c r="AJ86" s="13">
        <f t="shared" si="53"/>
        <v>0</v>
      </c>
      <c r="AK86" s="11" t="str">
        <f t="shared" si="92"/>
        <v>0</v>
      </c>
      <c r="AL86" s="12"/>
      <c r="AM86" s="10">
        <f>+Risultati!N85</f>
        <v>0</v>
      </c>
      <c r="AN86" s="12" t="str">
        <f t="shared" si="93"/>
        <v>0</v>
      </c>
      <c r="AO86" s="12"/>
      <c r="AP86" s="10">
        <f t="shared" si="54"/>
        <v>0</v>
      </c>
      <c r="AQ86" s="41" t="str">
        <f t="shared" si="94"/>
        <v>0</v>
      </c>
      <c r="AR86" s="12"/>
      <c r="AS86" s="10">
        <f>+Risultati!O85</f>
        <v>0</v>
      </c>
      <c r="AT86" s="12" t="str">
        <f t="shared" si="95"/>
        <v>0</v>
      </c>
      <c r="AU86" s="12"/>
      <c r="AV86" s="10">
        <f t="shared" si="55"/>
        <v>0</v>
      </c>
      <c r="AW86" s="12" t="str">
        <f t="shared" si="96"/>
        <v>0</v>
      </c>
      <c r="AX86" s="12"/>
      <c r="AY86" s="10">
        <f>+Risultati!R85+Risultati!S85</f>
        <v>0</v>
      </c>
      <c r="AZ86" s="12" t="str">
        <f t="shared" si="97"/>
        <v>0</v>
      </c>
      <c r="BA86" s="12"/>
      <c r="BB86" s="10">
        <f>+Risultati!T85</f>
        <v>0</v>
      </c>
      <c r="BC86" s="12" t="str">
        <f t="shared" si="98"/>
        <v>0</v>
      </c>
      <c r="BD86" s="12"/>
      <c r="BE86" s="10">
        <f>+Risultati!U85</f>
        <v>0</v>
      </c>
      <c r="BF86" s="12" t="str">
        <f t="shared" si="99"/>
        <v>0</v>
      </c>
      <c r="BG86" s="12"/>
      <c r="BH86" s="10">
        <f t="shared" si="56"/>
        <v>0</v>
      </c>
      <c r="BI86" s="12" t="str">
        <f t="shared" si="100"/>
        <v>0</v>
      </c>
      <c r="BK86" s="16">
        <f>IF(ISNUMBER(Risultati!X85/100),(Risultati!X85/100))</f>
        <v>0</v>
      </c>
      <c r="BL86" s="16">
        <f>IF(ISNUMBER(Risultati!Y85/100),(Risultati!Y85/100))</f>
        <v>0</v>
      </c>
      <c r="BM86" s="16">
        <f>IF(ISNUMBER(Risultati!Z85/100),(Risultati!Z85/100))</f>
        <v>0</v>
      </c>
      <c r="BN86" s="16">
        <f>IF(AND(Risultati!AY85&lt;0,calcoli!AP86&lt;0),-IF(ISNUMBER(Risultati!AA85/100),(Risultati!AA85/100)),IF(ISNUMBER(Risultati!AA85/100),(Risultati!AA85/100)))</f>
        <v>0</v>
      </c>
      <c r="BO86" s="16" t="str">
        <f t="shared" si="81"/>
        <v>0</v>
      </c>
      <c r="BP86" s="16" t="str">
        <f>IF(Risultati!AB85&gt;0,(AV86/Risultati!AB85),"0")</f>
        <v>0</v>
      </c>
      <c r="BQ86" s="16" t="str">
        <f>IF(Risultati!AG85&lt;&gt;0,(BH86/Risultati!AG85),"0")</f>
        <v>0</v>
      </c>
      <c r="BR86" s="16" t="str">
        <f t="shared" si="82"/>
        <v>0</v>
      </c>
      <c r="BS86" s="14" t="str">
        <f>IF(Risultati!AB85&gt;0,(Risultati!G85/Risultati!AB85),"0")</f>
        <v>0</v>
      </c>
      <c r="BT86" s="15" t="str">
        <f>IF(Risultati!AG85&lt;&gt;0,(Risultati!AB85/Risultati!AG85),"0")</f>
        <v>0</v>
      </c>
      <c r="BU86" s="23" t="str">
        <f>IF(AND(Risultati!G85&gt;0,(Risultati!AE85-Risultati!AF85)&gt;=0),((Risultati!AE85-Risultati!AF85)/Risultati!G85*360),"0")</f>
        <v>0</v>
      </c>
      <c r="BV86" s="21" t="str">
        <f>IF(OR(E86="abbreviato",Risultati!G85=0),"0",((Risultati!AC85+Risultati!AD85)/Risultati!G85*360))</f>
        <v>0</v>
      </c>
      <c r="BW86" s="21" t="str">
        <f>IF(OR(E86="abbreviato",Risultati!G85=0,SUM(Risultati!I85+Risultati!K85+Risultati!M85)=0),"0",(((Risultati!AH85+Risultati!AI85)/(Risultati!I85+Risultati!K85+Risultati!N85)*360)))</f>
        <v>0</v>
      </c>
      <c r="BX86" s="16" t="str">
        <f>IF(Risultati!AB85&gt;0,(+Risultati!AG85/Risultati!AB85),"0")</f>
        <v>0</v>
      </c>
      <c r="BY86" s="22" t="str">
        <f>IF(OR(E86="abbreviato",Risultati!G85=0),"0",(((Risultati!AK85-(Risultati!AL85+Risultati!AM85))/Risultati!G85)))</f>
        <v>0</v>
      </c>
      <c r="BZ86" s="16" t="str">
        <f>IF(Risultati!G85&gt;0,(Risultati!AJ85/Risultati!G85),"0")</f>
        <v>0</v>
      </c>
      <c r="CA86" s="8"/>
      <c r="CB86" s="10">
        <f>+Risultati!AP85</f>
        <v>0</v>
      </c>
      <c r="CC86" s="31" t="str">
        <f t="shared" si="57"/>
        <v>0</v>
      </c>
      <c r="CD86" s="10">
        <f>+Risultati!AQ85</f>
        <v>0</v>
      </c>
      <c r="CE86" s="31" t="str">
        <f t="shared" si="58"/>
        <v>0</v>
      </c>
      <c r="CF86" s="10">
        <f>+Risultati!AR85</f>
        <v>0</v>
      </c>
      <c r="CG86" s="31" t="str">
        <f t="shared" si="59"/>
        <v>0</v>
      </c>
      <c r="CH86" s="10">
        <f>+Risultati!AS85</f>
        <v>0</v>
      </c>
      <c r="CI86" s="31" t="str">
        <f t="shared" si="60"/>
        <v>0</v>
      </c>
      <c r="CJ86" s="10">
        <f t="shared" si="61"/>
        <v>0</v>
      </c>
      <c r="CK86" s="31" t="str">
        <f t="shared" si="62"/>
        <v>0</v>
      </c>
      <c r="CL86" s="10">
        <f>+Risultati!AE85+Risultati!AF85</f>
        <v>0</v>
      </c>
      <c r="CM86" s="31" t="str">
        <f t="shared" si="63"/>
        <v>0</v>
      </c>
      <c r="CN86" s="10">
        <f>+Risultati!AT85</f>
        <v>0</v>
      </c>
      <c r="CO86" s="31" t="str">
        <f t="shared" si="64"/>
        <v>0</v>
      </c>
      <c r="CP86" s="10">
        <f>+Risultati!AU85</f>
        <v>0</v>
      </c>
      <c r="CQ86" s="31" t="str">
        <f t="shared" si="65"/>
        <v>0</v>
      </c>
      <c r="CR86" s="10">
        <f>+Risultati!AL85</f>
        <v>0</v>
      </c>
      <c r="CS86" s="31" t="str">
        <f t="shared" si="66"/>
        <v>0</v>
      </c>
      <c r="CT86" s="10">
        <f t="shared" si="67"/>
        <v>0</v>
      </c>
      <c r="CU86" s="31" t="str">
        <f t="shared" si="68"/>
        <v>0</v>
      </c>
      <c r="CV86" s="10">
        <f>+Risultati!AX85</f>
        <v>0</v>
      </c>
      <c r="CW86" s="31" t="str">
        <f t="shared" si="69"/>
        <v>0</v>
      </c>
      <c r="CX86" s="10">
        <f t="shared" si="70"/>
        <v>0</v>
      </c>
      <c r="CY86" s="31" t="str">
        <f t="shared" si="71"/>
        <v>0</v>
      </c>
      <c r="CZ86" s="10">
        <f>+Risultati!AG85</f>
        <v>0</v>
      </c>
      <c r="DA86" s="31" t="str">
        <f t="shared" si="72"/>
        <v>0</v>
      </c>
      <c r="DB86" s="10">
        <f t="shared" si="73"/>
        <v>0</v>
      </c>
      <c r="DC86" s="31" t="str">
        <f t="shared" si="74"/>
        <v>0</v>
      </c>
      <c r="DD86" s="10">
        <f>+Risultati!AV85</f>
        <v>0</v>
      </c>
      <c r="DE86" s="31" t="str">
        <f t="shared" si="75"/>
        <v>0</v>
      </c>
      <c r="DF86" s="10">
        <f>+Risultati!AJ85</f>
        <v>0</v>
      </c>
      <c r="DG86" s="31" t="str">
        <f t="shared" si="76"/>
        <v>0</v>
      </c>
      <c r="DH86" s="10">
        <f t="shared" si="77"/>
        <v>0</v>
      </c>
      <c r="DI86" s="31" t="str">
        <f t="shared" si="78"/>
        <v>0</v>
      </c>
      <c r="DJ86" s="10">
        <f>+Risultati!AW85</f>
        <v>0</v>
      </c>
      <c r="DK86" s="31" t="str">
        <f t="shared" si="79"/>
        <v>0</v>
      </c>
      <c r="DL86" s="10">
        <f t="shared" si="101"/>
        <v>0</v>
      </c>
      <c r="DM86" s="31" t="str">
        <f t="shared" si="80"/>
        <v>0</v>
      </c>
      <c r="DO86" s="30"/>
      <c r="DP86" s="30"/>
    </row>
    <row r="87" spans="1:120" x14ac:dyDescent="0.2">
      <c r="A87" s="5"/>
      <c r="B87" s="6">
        <f>+Risultati!B86</f>
        <v>0</v>
      </c>
      <c r="C87" s="6">
        <f>+Risultati!C86</f>
        <v>0</v>
      </c>
      <c r="D87" s="26" t="str">
        <f>IF(YEAR(Risultati!D86)=1900,(MID(Risultati!$AP$1,29,4)),YEAR(Risultati!D86))</f>
        <v/>
      </c>
      <c r="E87" s="6">
        <f>+Risultati!E86</f>
        <v>0</v>
      </c>
      <c r="F87" s="8" t="e">
        <f>(LEFT(Risultati!AN86,2)&amp;"-")&amp;VLOOKUP((LEFT(Risultati!AN86,2)),ateco!$B$4:$C$93,2,FALSE)</f>
        <v>#N/A</v>
      </c>
      <c r="G87" s="8" t="str">
        <f>SUBSTITUTE((Risultati!AN86&amp;"-"&amp;Risultati!AO86),",",";")</f>
        <v>-</v>
      </c>
      <c r="I87" s="10">
        <f>+Risultati!G86</f>
        <v>0</v>
      </c>
      <c r="J87" s="11" t="str">
        <f t="shared" si="83"/>
        <v>0</v>
      </c>
      <c r="K87" s="12"/>
      <c r="L87" s="10">
        <f>+Risultati!G86+Risultati!H86</f>
        <v>0</v>
      </c>
      <c r="M87" s="11" t="str">
        <f t="shared" si="84"/>
        <v>0</v>
      </c>
      <c r="N87" s="12"/>
      <c r="O87" s="10">
        <f>+Risultati!I86+Risultati!J86</f>
        <v>0</v>
      </c>
      <c r="P87" s="11" t="str">
        <f t="shared" si="85"/>
        <v>0</v>
      </c>
      <c r="Q87" s="12"/>
      <c r="R87" s="13">
        <f t="shared" si="51"/>
        <v>0</v>
      </c>
      <c r="S87" s="11" t="str">
        <f t="shared" si="86"/>
        <v>0</v>
      </c>
      <c r="T87" s="12"/>
      <c r="U87" s="10">
        <f>+Risultati!F86-(Risultati!G86+Risultati!H86)</f>
        <v>0</v>
      </c>
      <c r="V87" s="12" t="str">
        <f t="shared" si="87"/>
        <v>0</v>
      </c>
      <c r="W87" s="12"/>
      <c r="X87" s="10">
        <f t="shared" si="52"/>
        <v>0</v>
      </c>
      <c r="Y87" s="12" t="str">
        <f t="shared" si="88"/>
        <v>0</v>
      </c>
      <c r="Z87" s="12"/>
      <c r="AA87" s="10">
        <f>+Risultati!K86</f>
        <v>0</v>
      </c>
      <c r="AB87" s="12" t="str">
        <f t="shared" si="89"/>
        <v>0</v>
      </c>
      <c r="AC87" s="12"/>
      <c r="AD87" s="10">
        <f>+Risultati!L86</f>
        <v>0</v>
      </c>
      <c r="AE87" s="12" t="str">
        <f t="shared" si="90"/>
        <v>0</v>
      </c>
      <c r="AF87" s="12"/>
      <c r="AG87" s="10">
        <f>+Risultati!M86+Risultati!P86+Risultati!Q86</f>
        <v>0</v>
      </c>
      <c r="AH87" s="12" t="str">
        <f t="shared" si="91"/>
        <v>0</v>
      </c>
      <c r="AI87" s="12"/>
      <c r="AJ87" s="13">
        <f t="shared" si="53"/>
        <v>0</v>
      </c>
      <c r="AK87" s="11" t="str">
        <f t="shared" si="92"/>
        <v>0</v>
      </c>
      <c r="AL87" s="12"/>
      <c r="AM87" s="10">
        <f>+Risultati!N86</f>
        <v>0</v>
      </c>
      <c r="AN87" s="12" t="str">
        <f t="shared" si="93"/>
        <v>0</v>
      </c>
      <c r="AO87" s="12"/>
      <c r="AP87" s="10">
        <f t="shared" si="54"/>
        <v>0</v>
      </c>
      <c r="AQ87" s="41" t="str">
        <f t="shared" si="94"/>
        <v>0</v>
      </c>
      <c r="AR87" s="12"/>
      <c r="AS87" s="10">
        <f>+Risultati!O86</f>
        <v>0</v>
      </c>
      <c r="AT87" s="12" t="str">
        <f t="shared" si="95"/>
        <v>0</v>
      </c>
      <c r="AU87" s="12"/>
      <c r="AV87" s="10">
        <f t="shared" si="55"/>
        <v>0</v>
      </c>
      <c r="AW87" s="12" t="str">
        <f t="shared" si="96"/>
        <v>0</v>
      </c>
      <c r="AX87" s="12"/>
      <c r="AY87" s="10">
        <f>+Risultati!R86+Risultati!S86</f>
        <v>0</v>
      </c>
      <c r="AZ87" s="12" t="str">
        <f t="shared" si="97"/>
        <v>0</v>
      </c>
      <c r="BA87" s="12"/>
      <c r="BB87" s="10">
        <f>+Risultati!T86</f>
        <v>0</v>
      </c>
      <c r="BC87" s="12" t="str">
        <f t="shared" si="98"/>
        <v>0</v>
      </c>
      <c r="BD87" s="12"/>
      <c r="BE87" s="10">
        <f>+Risultati!U86</f>
        <v>0</v>
      </c>
      <c r="BF87" s="12" t="str">
        <f t="shared" si="99"/>
        <v>0</v>
      </c>
      <c r="BG87" s="12"/>
      <c r="BH87" s="10">
        <f t="shared" si="56"/>
        <v>0</v>
      </c>
      <c r="BI87" s="12" t="str">
        <f t="shared" si="100"/>
        <v>0</v>
      </c>
      <c r="BK87" s="16">
        <f>IF(ISNUMBER(Risultati!X86/100),(Risultati!X86/100))</f>
        <v>0</v>
      </c>
      <c r="BL87" s="16">
        <f>IF(ISNUMBER(Risultati!Y86/100),(Risultati!Y86/100))</f>
        <v>0</v>
      </c>
      <c r="BM87" s="16">
        <f>IF(ISNUMBER(Risultati!Z86/100),(Risultati!Z86/100))</f>
        <v>0</v>
      </c>
      <c r="BN87" s="16">
        <f>IF(AND(Risultati!AY86&lt;0,calcoli!AP87&lt;0),-IF(ISNUMBER(Risultati!AA86/100),(Risultati!AA86/100)),IF(ISNUMBER(Risultati!AA86/100),(Risultati!AA86/100)))</f>
        <v>0</v>
      </c>
      <c r="BO87" s="16" t="str">
        <f t="shared" si="81"/>
        <v>0</v>
      </c>
      <c r="BP87" s="16" t="str">
        <f>IF(Risultati!AB86&gt;0,(AV87/Risultati!AB86),"0")</f>
        <v>0</v>
      </c>
      <c r="BQ87" s="16" t="str">
        <f>IF(Risultati!AG86&lt;&gt;0,(BH87/Risultati!AG86),"0")</f>
        <v>0</v>
      </c>
      <c r="BR87" s="16" t="str">
        <f t="shared" si="82"/>
        <v>0</v>
      </c>
      <c r="BS87" s="14" t="str">
        <f>IF(Risultati!AB86&gt;0,(Risultati!G86/Risultati!AB86),"0")</f>
        <v>0</v>
      </c>
      <c r="BT87" s="15" t="str">
        <f>IF(Risultati!AG86&lt;&gt;0,(Risultati!AB86/Risultati!AG86),"0")</f>
        <v>0</v>
      </c>
      <c r="BU87" s="23" t="str">
        <f>IF(AND(Risultati!G86&gt;0,(Risultati!AE86-Risultati!AF86)&gt;=0),((Risultati!AE86-Risultati!AF86)/Risultati!G86*360),"0")</f>
        <v>0</v>
      </c>
      <c r="BV87" s="21" t="str">
        <f>IF(OR(E87="abbreviato",Risultati!G86=0),"0",((Risultati!AC86+Risultati!AD86)/Risultati!G86*360))</f>
        <v>0</v>
      </c>
      <c r="BW87" s="21" t="str">
        <f>IF(OR(E87="abbreviato",Risultati!G86=0,SUM(Risultati!I86+Risultati!K86+Risultati!M86)=0),"0",(((Risultati!AH86+Risultati!AI86)/(Risultati!I86+Risultati!K86+Risultati!N86)*360)))</f>
        <v>0</v>
      </c>
      <c r="BX87" s="16" t="str">
        <f>IF(Risultati!AB86&gt;0,(+Risultati!AG86/Risultati!AB86),"0")</f>
        <v>0</v>
      </c>
      <c r="BY87" s="22" t="str">
        <f>IF(OR(E87="abbreviato",Risultati!G86=0),"0",(((Risultati!AK86-(Risultati!AL86+Risultati!AM86))/Risultati!G86)))</f>
        <v>0</v>
      </c>
      <c r="BZ87" s="16" t="str">
        <f>IF(Risultati!G86&gt;0,(Risultati!AJ86/Risultati!G86),"0")</f>
        <v>0</v>
      </c>
      <c r="CA87" s="8"/>
      <c r="CB87" s="10">
        <f>+Risultati!AP86</f>
        <v>0</v>
      </c>
      <c r="CC87" s="31" t="str">
        <f t="shared" si="57"/>
        <v>0</v>
      </c>
      <c r="CD87" s="10">
        <f>+Risultati!AQ86</f>
        <v>0</v>
      </c>
      <c r="CE87" s="31" t="str">
        <f t="shared" si="58"/>
        <v>0</v>
      </c>
      <c r="CF87" s="10">
        <f>+Risultati!AR86</f>
        <v>0</v>
      </c>
      <c r="CG87" s="31" t="str">
        <f t="shared" si="59"/>
        <v>0</v>
      </c>
      <c r="CH87" s="10">
        <f>+Risultati!AS86</f>
        <v>0</v>
      </c>
      <c r="CI87" s="31" t="str">
        <f t="shared" si="60"/>
        <v>0</v>
      </c>
      <c r="CJ87" s="10">
        <f t="shared" si="61"/>
        <v>0</v>
      </c>
      <c r="CK87" s="31" t="str">
        <f t="shared" si="62"/>
        <v>0</v>
      </c>
      <c r="CL87" s="10">
        <f>+Risultati!AE86+Risultati!AF86</f>
        <v>0</v>
      </c>
      <c r="CM87" s="31" t="str">
        <f t="shared" si="63"/>
        <v>0</v>
      </c>
      <c r="CN87" s="10">
        <f>+Risultati!AT86</f>
        <v>0</v>
      </c>
      <c r="CO87" s="31" t="str">
        <f t="shared" si="64"/>
        <v>0</v>
      </c>
      <c r="CP87" s="10">
        <f>+Risultati!AU86</f>
        <v>0</v>
      </c>
      <c r="CQ87" s="31" t="str">
        <f t="shared" si="65"/>
        <v>0</v>
      </c>
      <c r="CR87" s="10">
        <f>+Risultati!AL86</f>
        <v>0</v>
      </c>
      <c r="CS87" s="31" t="str">
        <f t="shared" si="66"/>
        <v>0</v>
      </c>
      <c r="CT87" s="10">
        <f t="shared" si="67"/>
        <v>0</v>
      </c>
      <c r="CU87" s="31" t="str">
        <f t="shared" si="68"/>
        <v>0</v>
      </c>
      <c r="CV87" s="10">
        <f>+Risultati!AX86</f>
        <v>0</v>
      </c>
      <c r="CW87" s="31" t="str">
        <f t="shared" si="69"/>
        <v>0</v>
      </c>
      <c r="CX87" s="10">
        <f t="shared" si="70"/>
        <v>0</v>
      </c>
      <c r="CY87" s="31" t="str">
        <f t="shared" si="71"/>
        <v>0</v>
      </c>
      <c r="CZ87" s="10">
        <f>+Risultati!AG86</f>
        <v>0</v>
      </c>
      <c r="DA87" s="31" t="str">
        <f t="shared" si="72"/>
        <v>0</v>
      </c>
      <c r="DB87" s="10">
        <f t="shared" si="73"/>
        <v>0</v>
      </c>
      <c r="DC87" s="31" t="str">
        <f t="shared" si="74"/>
        <v>0</v>
      </c>
      <c r="DD87" s="10">
        <f>+Risultati!AV86</f>
        <v>0</v>
      </c>
      <c r="DE87" s="31" t="str">
        <f t="shared" si="75"/>
        <v>0</v>
      </c>
      <c r="DF87" s="10">
        <f>+Risultati!AJ86</f>
        <v>0</v>
      </c>
      <c r="DG87" s="31" t="str">
        <f t="shared" si="76"/>
        <v>0</v>
      </c>
      <c r="DH87" s="10">
        <f t="shared" si="77"/>
        <v>0</v>
      </c>
      <c r="DI87" s="31" t="str">
        <f t="shared" si="78"/>
        <v>0</v>
      </c>
      <c r="DJ87" s="10">
        <f>+Risultati!AW86</f>
        <v>0</v>
      </c>
      <c r="DK87" s="31" t="str">
        <f t="shared" si="79"/>
        <v>0</v>
      </c>
      <c r="DL87" s="10">
        <f t="shared" si="101"/>
        <v>0</v>
      </c>
      <c r="DM87" s="31" t="str">
        <f t="shared" si="80"/>
        <v>0</v>
      </c>
      <c r="DO87" s="30"/>
      <c r="DP87" s="30"/>
    </row>
    <row r="88" spans="1:120" x14ac:dyDescent="0.2">
      <c r="A88" s="5"/>
      <c r="B88" s="6">
        <f>+Risultati!B87</f>
        <v>0</v>
      </c>
      <c r="C88" s="6">
        <f>+Risultati!C87</f>
        <v>0</v>
      </c>
      <c r="D88" s="26" t="str">
        <f>IF(YEAR(Risultati!D87)=1900,(MID(Risultati!$AP$1,29,4)),YEAR(Risultati!D87))</f>
        <v/>
      </c>
      <c r="E88" s="6">
        <f>+Risultati!E87</f>
        <v>0</v>
      </c>
      <c r="F88" s="8" t="e">
        <f>(LEFT(Risultati!AN87,2)&amp;"-")&amp;VLOOKUP((LEFT(Risultati!AN87,2)),ateco!$B$4:$C$93,2,FALSE)</f>
        <v>#N/A</v>
      </c>
      <c r="G88" s="8" t="str">
        <f>SUBSTITUTE((Risultati!AN87&amp;"-"&amp;Risultati!AO87),",",";")</f>
        <v>-</v>
      </c>
      <c r="I88" s="10">
        <f>+Risultati!G87</f>
        <v>0</v>
      </c>
      <c r="J88" s="11" t="str">
        <f t="shared" si="83"/>
        <v>0</v>
      </c>
      <c r="K88" s="12"/>
      <c r="L88" s="10">
        <f>+Risultati!G87+Risultati!H87</f>
        <v>0</v>
      </c>
      <c r="M88" s="11" t="str">
        <f t="shared" si="84"/>
        <v>0</v>
      </c>
      <c r="N88" s="12"/>
      <c r="O88" s="10">
        <f>+Risultati!I87+Risultati!J87</f>
        <v>0</v>
      </c>
      <c r="P88" s="11" t="str">
        <f t="shared" si="85"/>
        <v>0</v>
      </c>
      <c r="Q88" s="12"/>
      <c r="R88" s="13">
        <f t="shared" si="51"/>
        <v>0</v>
      </c>
      <c r="S88" s="11" t="str">
        <f t="shared" si="86"/>
        <v>0</v>
      </c>
      <c r="T88" s="12"/>
      <c r="U88" s="10">
        <f>+Risultati!F87-(Risultati!G87+Risultati!H87)</f>
        <v>0</v>
      </c>
      <c r="V88" s="12" t="str">
        <f t="shared" si="87"/>
        <v>0</v>
      </c>
      <c r="W88" s="12"/>
      <c r="X88" s="10">
        <f t="shared" si="52"/>
        <v>0</v>
      </c>
      <c r="Y88" s="12" t="str">
        <f t="shared" si="88"/>
        <v>0</v>
      </c>
      <c r="Z88" s="12"/>
      <c r="AA88" s="10">
        <f>+Risultati!K87</f>
        <v>0</v>
      </c>
      <c r="AB88" s="12" t="str">
        <f t="shared" si="89"/>
        <v>0</v>
      </c>
      <c r="AC88" s="12"/>
      <c r="AD88" s="10">
        <f>+Risultati!L87</f>
        <v>0</v>
      </c>
      <c r="AE88" s="12" t="str">
        <f t="shared" si="90"/>
        <v>0</v>
      </c>
      <c r="AF88" s="12"/>
      <c r="AG88" s="10">
        <f>+Risultati!M87+Risultati!P87+Risultati!Q87</f>
        <v>0</v>
      </c>
      <c r="AH88" s="12" t="str">
        <f t="shared" si="91"/>
        <v>0</v>
      </c>
      <c r="AI88" s="12"/>
      <c r="AJ88" s="13">
        <f t="shared" si="53"/>
        <v>0</v>
      </c>
      <c r="AK88" s="11" t="str">
        <f t="shared" si="92"/>
        <v>0</v>
      </c>
      <c r="AL88" s="12"/>
      <c r="AM88" s="10">
        <f>+Risultati!N87</f>
        <v>0</v>
      </c>
      <c r="AN88" s="12" t="str">
        <f t="shared" si="93"/>
        <v>0</v>
      </c>
      <c r="AO88" s="12"/>
      <c r="AP88" s="10">
        <f t="shared" si="54"/>
        <v>0</v>
      </c>
      <c r="AQ88" s="41" t="str">
        <f t="shared" si="94"/>
        <v>0</v>
      </c>
      <c r="AR88" s="12"/>
      <c r="AS88" s="10">
        <f>+Risultati!O87</f>
        <v>0</v>
      </c>
      <c r="AT88" s="12" t="str">
        <f t="shared" si="95"/>
        <v>0</v>
      </c>
      <c r="AU88" s="12"/>
      <c r="AV88" s="10">
        <f t="shared" si="55"/>
        <v>0</v>
      </c>
      <c r="AW88" s="12" t="str">
        <f t="shared" si="96"/>
        <v>0</v>
      </c>
      <c r="AX88" s="12"/>
      <c r="AY88" s="10">
        <f>+Risultati!R87+Risultati!S87</f>
        <v>0</v>
      </c>
      <c r="AZ88" s="12" t="str">
        <f t="shared" si="97"/>
        <v>0</v>
      </c>
      <c r="BA88" s="12"/>
      <c r="BB88" s="10">
        <f>+Risultati!T87</f>
        <v>0</v>
      </c>
      <c r="BC88" s="12" t="str">
        <f t="shared" si="98"/>
        <v>0</v>
      </c>
      <c r="BD88" s="12"/>
      <c r="BE88" s="10">
        <f>+Risultati!U87</f>
        <v>0</v>
      </c>
      <c r="BF88" s="12" t="str">
        <f t="shared" si="99"/>
        <v>0</v>
      </c>
      <c r="BG88" s="12"/>
      <c r="BH88" s="10">
        <f t="shared" si="56"/>
        <v>0</v>
      </c>
      <c r="BI88" s="12" t="str">
        <f t="shared" si="100"/>
        <v>0</v>
      </c>
      <c r="BK88" s="16">
        <f>IF(ISNUMBER(Risultati!X87/100),(Risultati!X87/100))</f>
        <v>0</v>
      </c>
      <c r="BL88" s="16">
        <f>IF(ISNUMBER(Risultati!Y87/100),(Risultati!Y87/100))</f>
        <v>0</v>
      </c>
      <c r="BM88" s="16">
        <f>IF(ISNUMBER(Risultati!Z87/100),(Risultati!Z87/100))</f>
        <v>0</v>
      </c>
      <c r="BN88" s="16">
        <f>IF(AND(Risultati!AY87&lt;0,calcoli!AP88&lt;0),-IF(ISNUMBER(Risultati!AA87/100),(Risultati!AA87/100)),IF(ISNUMBER(Risultati!AA87/100),(Risultati!AA87/100)))</f>
        <v>0</v>
      </c>
      <c r="BO88" s="16" t="str">
        <f t="shared" si="81"/>
        <v>0</v>
      </c>
      <c r="BP88" s="16" t="str">
        <f>IF(Risultati!AB87&gt;0,(AV88/Risultati!AB87),"0")</f>
        <v>0</v>
      </c>
      <c r="BQ88" s="16" t="str">
        <f>IF(Risultati!AG87&lt;&gt;0,(BH88/Risultati!AG87),"0")</f>
        <v>0</v>
      </c>
      <c r="BR88" s="16" t="str">
        <f t="shared" si="82"/>
        <v>0</v>
      </c>
      <c r="BS88" s="14" t="str">
        <f>IF(Risultati!AB87&gt;0,(Risultati!G87/Risultati!AB87),"0")</f>
        <v>0</v>
      </c>
      <c r="BT88" s="15" t="str">
        <f>IF(Risultati!AG87&lt;&gt;0,(Risultati!AB87/Risultati!AG87),"0")</f>
        <v>0</v>
      </c>
      <c r="BU88" s="23" t="str">
        <f>IF(AND(Risultati!G87&gt;0,(Risultati!AE87-Risultati!AF87)&gt;=0),((Risultati!AE87-Risultati!AF87)/Risultati!G87*360),"0")</f>
        <v>0</v>
      </c>
      <c r="BV88" s="21" t="str">
        <f>IF(OR(E88="abbreviato",Risultati!G87=0),"0",((Risultati!AC87+Risultati!AD87)/Risultati!G87*360))</f>
        <v>0</v>
      </c>
      <c r="BW88" s="21" t="str">
        <f>IF(OR(E88="abbreviato",Risultati!G87=0,SUM(Risultati!I87+Risultati!K87+Risultati!M87)=0),"0",(((Risultati!AH87+Risultati!AI87)/(Risultati!I87+Risultati!K87+Risultati!N87)*360)))</f>
        <v>0</v>
      </c>
      <c r="BX88" s="16" t="str">
        <f>IF(Risultati!AB87&gt;0,(+Risultati!AG87/Risultati!AB87),"0")</f>
        <v>0</v>
      </c>
      <c r="BY88" s="22" t="str">
        <f>IF(OR(E88="abbreviato",Risultati!G87=0),"0",(((Risultati!AK87-(Risultati!AL87+Risultati!AM87))/Risultati!G87)))</f>
        <v>0</v>
      </c>
      <c r="BZ88" s="16" t="str">
        <f>IF(Risultati!G87&gt;0,(Risultati!AJ87/Risultati!G87),"0")</f>
        <v>0</v>
      </c>
      <c r="CA88" s="8"/>
      <c r="CB88" s="10">
        <f>+Risultati!AP87</f>
        <v>0</v>
      </c>
      <c r="CC88" s="31" t="str">
        <f t="shared" si="57"/>
        <v>0</v>
      </c>
      <c r="CD88" s="10">
        <f>+Risultati!AQ87</f>
        <v>0</v>
      </c>
      <c r="CE88" s="31" t="str">
        <f t="shared" si="58"/>
        <v>0</v>
      </c>
      <c r="CF88" s="10">
        <f>+Risultati!AR87</f>
        <v>0</v>
      </c>
      <c r="CG88" s="31" t="str">
        <f t="shared" si="59"/>
        <v>0</v>
      </c>
      <c r="CH88" s="10">
        <f>+Risultati!AS87</f>
        <v>0</v>
      </c>
      <c r="CI88" s="31" t="str">
        <f t="shared" si="60"/>
        <v>0</v>
      </c>
      <c r="CJ88" s="10">
        <f t="shared" si="61"/>
        <v>0</v>
      </c>
      <c r="CK88" s="31" t="str">
        <f t="shared" si="62"/>
        <v>0</v>
      </c>
      <c r="CL88" s="10">
        <f>+Risultati!AE87+Risultati!AF87</f>
        <v>0</v>
      </c>
      <c r="CM88" s="31" t="str">
        <f t="shared" si="63"/>
        <v>0</v>
      </c>
      <c r="CN88" s="10">
        <f>+Risultati!AT87</f>
        <v>0</v>
      </c>
      <c r="CO88" s="31" t="str">
        <f t="shared" si="64"/>
        <v>0</v>
      </c>
      <c r="CP88" s="10">
        <f>+Risultati!AU87</f>
        <v>0</v>
      </c>
      <c r="CQ88" s="31" t="str">
        <f t="shared" si="65"/>
        <v>0</v>
      </c>
      <c r="CR88" s="10">
        <f>+Risultati!AL87</f>
        <v>0</v>
      </c>
      <c r="CS88" s="31" t="str">
        <f t="shared" si="66"/>
        <v>0</v>
      </c>
      <c r="CT88" s="10">
        <f t="shared" si="67"/>
        <v>0</v>
      </c>
      <c r="CU88" s="31" t="str">
        <f t="shared" si="68"/>
        <v>0</v>
      </c>
      <c r="CV88" s="10">
        <f>+Risultati!AX87</f>
        <v>0</v>
      </c>
      <c r="CW88" s="31" t="str">
        <f t="shared" si="69"/>
        <v>0</v>
      </c>
      <c r="CX88" s="10">
        <f t="shared" si="70"/>
        <v>0</v>
      </c>
      <c r="CY88" s="31" t="str">
        <f t="shared" si="71"/>
        <v>0</v>
      </c>
      <c r="CZ88" s="10">
        <f>+Risultati!AG87</f>
        <v>0</v>
      </c>
      <c r="DA88" s="31" t="str">
        <f t="shared" si="72"/>
        <v>0</v>
      </c>
      <c r="DB88" s="10">
        <f t="shared" si="73"/>
        <v>0</v>
      </c>
      <c r="DC88" s="31" t="str">
        <f t="shared" si="74"/>
        <v>0</v>
      </c>
      <c r="DD88" s="10">
        <f>+Risultati!AV87</f>
        <v>0</v>
      </c>
      <c r="DE88" s="31" t="str">
        <f t="shared" si="75"/>
        <v>0</v>
      </c>
      <c r="DF88" s="10">
        <f>+Risultati!AJ87</f>
        <v>0</v>
      </c>
      <c r="DG88" s="31" t="str">
        <f t="shared" si="76"/>
        <v>0</v>
      </c>
      <c r="DH88" s="10">
        <f t="shared" si="77"/>
        <v>0</v>
      </c>
      <c r="DI88" s="31" t="str">
        <f t="shared" si="78"/>
        <v>0</v>
      </c>
      <c r="DJ88" s="10">
        <f>+Risultati!AW87</f>
        <v>0</v>
      </c>
      <c r="DK88" s="31" t="str">
        <f t="shared" si="79"/>
        <v>0</v>
      </c>
      <c r="DL88" s="10">
        <f t="shared" si="101"/>
        <v>0</v>
      </c>
      <c r="DM88" s="31" t="str">
        <f t="shared" si="80"/>
        <v>0</v>
      </c>
      <c r="DO88" s="30"/>
      <c r="DP88" s="30"/>
    </row>
    <row r="89" spans="1:120" x14ac:dyDescent="0.2">
      <c r="A89" s="5"/>
      <c r="B89" s="6">
        <f>+Risultati!B88</f>
        <v>0</v>
      </c>
      <c r="C89" s="6">
        <f>+Risultati!C88</f>
        <v>0</v>
      </c>
      <c r="D89" s="26" t="str">
        <f>IF(YEAR(Risultati!D88)=1900,(MID(Risultati!$AP$1,29,4)),YEAR(Risultati!D88))</f>
        <v/>
      </c>
      <c r="E89" s="6">
        <f>+Risultati!E88</f>
        <v>0</v>
      </c>
      <c r="F89" s="8" t="e">
        <f>(LEFT(Risultati!AN88,2)&amp;"-")&amp;VLOOKUP((LEFT(Risultati!AN88,2)),ateco!$B$4:$C$93,2,FALSE)</f>
        <v>#N/A</v>
      </c>
      <c r="G89" s="8" t="str">
        <f>SUBSTITUTE((Risultati!AN88&amp;"-"&amp;Risultati!AO88),",",";")</f>
        <v>-</v>
      </c>
      <c r="I89" s="10">
        <f>+Risultati!G88</f>
        <v>0</v>
      </c>
      <c r="J89" s="11" t="str">
        <f t="shared" si="83"/>
        <v>0</v>
      </c>
      <c r="K89" s="12"/>
      <c r="L89" s="10">
        <f>+Risultati!G88+Risultati!H88</f>
        <v>0</v>
      </c>
      <c r="M89" s="11" t="str">
        <f t="shared" si="84"/>
        <v>0</v>
      </c>
      <c r="N89" s="12"/>
      <c r="O89" s="10">
        <f>+Risultati!I88+Risultati!J88</f>
        <v>0</v>
      </c>
      <c r="P89" s="11" t="str">
        <f t="shared" si="85"/>
        <v>0</v>
      </c>
      <c r="Q89" s="12"/>
      <c r="R89" s="13">
        <f t="shared" si="51"/>
        <v>0</v>
      </c>
      <c r="S89" s="11" t="str">
        <f t="shared" si="86"/>
        <v>0</v>
      </c>
      <c r="T89" s="12"/>
      <c r="U89" s="10">
        <f>+Risultati!F88-(Risultati!G88+Risultati!H88)</f>
        <v>0</v>
      </c>
      <c r="V89" s="12" t="str">
        <f t="shared" si="87"/>
        <v>0</v>
      </c>
      <c r="W89" s="12"/>
      <c r="X89" s="10">
        <f t="shared" si="52"/>
        <v>0</v>
      </c>
      <c r="Y89" s="12" t="str">
        <f t="shared" si="88"/>
        <v>0</v>
      </c>
      <c r="Z89" s="12"/>
      <c r="AA89" s="10">
        <f>+Risultati!K88</f>
        <v>0</v>
      </c>
      <c r="AB89" s="12" t="str">
        <f t="shared" si="89"/>
        <v>0</v>
      </c>
      <c r="AC89" s="12"/>
      <c r="AD89" s="10">
        <f>+Risultati!L88</f>
        <v>0</v>
      </c>
      <c r="AE89" s="12" t="str">
        <f t="shared" si="90"/>
        <v>0</v>
      </c>
      <c r="AF89" s="12"/>
      <c r="AG89" s="10">
        <f>+Risultati!M88+Risultati!P88+Risultati!Q88</f>
        <v>0</v>
      </c>
      <c r="AH89" s="12" t="str">
        <f t="shared" si="91"/>
        <v>0</v>
      </c>
      <c r="AI89" s="12"/>
      <c r="AJ89" s="13">
        <f t="shared" si="53"/>
        <v>0</v>
      </c>
      <c r="AK89" s="11" t="str">
        <f t="shared" si="92"/>
        <v>0</v>
      </c>
      <c r="AL89" s="12"/>
      <c r="AM89" s="10">
        <f>+Risultati!N88</f>
        <v>0</v>
      </c>
      <c r="AN89" s="12" t="str">
        <f t="shared" si="93"/>
        <v>0</v>
      </c>
      <c r="AO89" s="12"/>
      <c r="AP89" s="10">
        <f t="shared" si="54"/>
        <v>0</v>
      </c>
      <c r="AQ89" s="41" t="str">
        <f t="shared" si="94"/>
        <v>0</v>
      </c>
      <c r="AR89" s="12"/>
      <c r="AS89" s="10">
        <f>+Risultati!O88</f>
        <v>0</v>
      </c>
      <c r="AT89" s="12" t="str">
        <f t="shared" si="95"/>
        <v>0</v>
      </c>
      <c r="AU89" s="12"/>
      <c r="AV89" s="10">
        <f t="shared" si="55"/>
        <v>0</v>
      </c>
      <c r="AW89" s="12" t="str">
        <f t="shared" si="96"/>
        <v>0</v>
      </c>
      <c r="AX89" s="12"/>
      <c r="AY89" s="10">
        <f>+Risultati!R88+Risultati!S88</f>
        <v>0</v>
      </c>
      <c r="AZ89" s="12" t="str">
        <f t="shared" si="97"/>
        <v>0</v>
      </c>
      <c r="BA89" s="12"/>
      <c r="BB89" s="10">
        <f>+Risultati!T88</f>
        <v>0</v>
      </c>
      <c r="BC89" s="12" t="str">
        <f t="shared" si="98"/>
        <v>0</v>
      </c>
      <c r="BD89" s="12"/>
      <c r="BE89" s="10">
        <f>+Risultati!U88</f>
        <v>0</v>
      </c>
      <c r="BF89" s="12" t="str">
        <f t="shared" si="99"/>
        <v>0</v>
      </c>
      <c r="BG89" s="12"/>
      <c r="BH89" s="10">
        <f t="shared" si="56"/>
        <v>0</v>
      </c>
      <c r="BI89" s="12" t="str">
        <f t="shared" si="100"/>
        <v>0</v>
      </c>
      <c r="BK89" s="16">
        <f>IF(ISNUMBER(Risultati!X88/100),(Risultati!X88/100))</f>
        <v>0</v>
      </c>
      <c r="BL89" s="16">
        <f>IF(ISNUMBER(Risultati!Y88/100),(Risultati!Y88/100))</f>
        <v>0</v>
      </c>
      <c r="BM89" s="16">
        <f>IF(ISNUMBER(Risultati!Z88/100),(Risultati!Z88/100))</f>
        <v>0</v>
      </c>
      <c r="BN89" s="16">
        <f>IF(AND(Risultati!AY88&lt;0,calcoli!AP89&lt;0),-IF(ISNUMBER(Risultati!AA88/100),(Risultati!AA88/100)),IF(ISNUMBER(Risultati!AA88/100),(Risultati!AA88/100)))</f>
        <v>0</v>
      </c>
      <c r="BO89" s="16" t="str">
        <f t="shared" si="81"/>
        <v>0</v>
      </c>
      <c r="BP89" s="16" t="str">
        <f>IF(Risultati!AB88&gt;0,(AV89/Risultati!AB88),"0")</f>
        <v>0</v>
      </c>
      <c r="BQ89" s="16" t="str">
        <f>IF(Risultati!AG88&lt;&gt;0,(BH89/Risultati!AG88),"0")</f>
        <v>0</v>
      </c>
      <c r="BR89" s="16" t="str">
        <f t="shared" si="82"/>
        <v>0</v>
      </c>
      <c r="BS89" s="14" t="str">
        <f>IF(Risultati!AB88&gt;0,(Risultati!G88/Risultati!AB88),"0")</f>
        <v>0</v>
      </c>
      <c r="BT89" s="15" t="str">
        <f>IF(Risultati!AG88&lt;&gt;0,(Risultati!AB88/Risultati!AG88),"0")</f>
        <v>0</v>
      </c>
      <c r="BU89" s="23" t="str">
        <f>IF(AND(Risultati!G88&gt;0,(Risultati!AE88-Risultati!AF88)&gt;=0),((Risultati!AE88-Risultati!AF88)/Risultati!G88*360),"0")</f>
        <v>0</v>
      </c>
      <c r="BV89" s="21" t="str">
        <f>IF(OR(E89="abbreviato",Risultati!G88=0),"0",((Risultati!AC88+Risultati!AD88)/Risultati!G88*360))</f>
        <v>0</v>
      </c>
      <c r="BW89" s="21" t="str">
        <f>IF(OR(E89="abbreviato",Risultati!G88=0,SUM(Risultati!I88+Risultati!K88+Risultati!M88)=0),"0",(((Risultati!AH88+Risultati!AI88)/(Risultati!I88+Risultati!K88+Risultati!N88)*360)))</f>
        <v>0</v>
      </c>
      <c r="BX89" s="16" t="str">
        <f>IF(Risultati!AB88&gt;0,(+Risultati!AG88/Risultati!AB88),"0")</f>
        <v>0</v>
      </c>
      <c r="BY89" s="22" t="str">
        <f>IF(OR(E89="abbreviato",Risultati!G88=0),"0",(((Risultati!AK88-(Risultati!AL88+Risultati!AM88))/Risultati!G88)))</f>
        <v>0</v>
      </c>
      <c r="BZ89" s="16" t="str">
        <f>IF(Risultati!G88&gt;0,(Risultati!AJ88/Risultati!G88),"0")</f>
        <v>0</v>
      </c>
      <c r="CA89" s="8"/>
      <c r="CB89" s="10">
        <f>+Risultati!AP88</f>
        <v>0</v>
      </c>
      <c r="CC89" s="31" t="str">
        <f t="shared" si="57"/>
        <v>0</v>
      </c>
      <c r="CD89" s="10">
        <f>+Risultati!AQ88</f>
        <v>0</v>
      </c>
      <c r="CE89" s="31" t="str">
        <f t="shared" si="58"/>
        <v>0</v>
      </c>
      <c r="CF89" s="10">
        <f>+Risultati!AR88</f>
        <v>0</v>
      </c>
      <c r="CG89" s="31" t="str">
        <f t="shared" si="59"/>
        <v>0</v>
      </c>
      <c r="CH89" s="10">
        <f>+Risultati!AS88</f>
        <v>0</v>
      </c>
      <c r="CI89" s="31" t="str">
        <f t="shared" si="60"/>
        <v>0</v>
      </c>
      <c r="CJ89" s="10">
        <f t="shared" si="61"/>
        <v>0</v>
      </c>
      <c r="CK89" s="31" t="str">
        <f t="shared" si="62"/>
        <v>0</v>
      </c>
      <c r="CL89" s="10">
        <f>+Risultati!AE88+Risultati!AF88</f>
        <v>0</v>
      </c>
      <c r="CM89" s="31" t="str">
        <f t="shared" si="63"/>
        <v>0</v>
      </c>
      <c r="CN89" s="10">
        <f>+Risultati!AT88</f>
        <v>0</v>
      </c>
      <c r="CO89" s="31" t="str">
        <f t="shared" si="64"/>
        <v>0</v>
      </c>
      <c r="CP89" s="10">
        <f>+Risultati!AU88</f>
        <v>0</v>
      </c>
      <c r="CQ89" s="31" t="str">
        <f t="shared" si="65"/>
        <v>0</v>
      </c>
      <c r="CR89" s="10">
        <f>+Risultati!AL88</f>
        <v>0</v>
      </c>
      <c r="CS89" s="31" t="str">
        <f t="shared" si="66"/>
        <v>0</v>
      </c>
      <c r="CT89" s="10">
        <f t="shared" si="67"/>
        <v>0</v>
      </c>
      <c r="CU89" s="31" t="str">
        <f t="shared" si="68"/>
        <v>0</v>
      </c>
      <c r="CV89" s="10">
        <f>+Risultati!AX88</f>
        <v>0</v>
      </c>
      <c r="CW89" s="31" t="str">
        <f t="shared" si="69"/>
        <v>0</v>
      </c>
      <c r="CX89" s="10">
        <f t="shared" si="70"/>
        <v>0</v>
      </c>
      <c r="CY89" s="31" t="str">
        <f t="shared" si="71"/>
        <v>0</v>
      </c>
      <c r="CZ89" s="10">
        <f>+Risultati!AG88</f>
        <v>0</v>
      </c>
      <c r="DA89" s="31" t="str">
        <f t="shared" si="72"/>
        <v>0</v>
      </c>
      <c r="DB89" s="10">
        <f t="shared" si="73"/>
        <v>0</v>
      </c>
      <c r="DC89" s="31" t="str">
        <f t="shared" si="74"/>
        <v>0</v>
      </c>
      <c r="DD89" s="10">
        <f>+Risultati!AV88</f>
        <v>0</v>
      </c>
      <c r="DE89" s="31" t="str">
        <f t="shared" si="75"/>
        <v>0</v>
      </c>
      <c r="DF89" s="10">
        <f>+Risultati!AJ88</f>
        <v>0</v>
      </c>
      <c r="DG89" s="31" t="str">
        <f t="shared" si="76"/>
        <v>0</v>
      </c>
      <c r="DH89" s="10">
        <f t="shared" si="77"/>
        <v>0</v>
      </c>
      <c r="DI89" s="31" t="str">
        <f t="shared" si="78"/>
        <v>0</v>
      </c>
      <c r="DJ89" s="10">
        <f>+Risultati!AW88</f>
        <v>0</v>
      </c>
      <c r="DK89" s="31" t="str">
        <f t="shared" si="79"/>
        <v>0</v>
      </c>
      <c r="DL89" s="10">
        <f t="shared" si="101"/>
        <v>0</v>
      </c>
      <c r="DM89" s="31" t="str">
        <f t="shared" si="80"/>
        <v>0</v>
      </c>
      <c r="DO89" s="30"/>
      <c r="DP89" s="30"/>
    </row>
    <row r="90" spans="1:120" x14ac:dyDescent="0.2">
      <c r="A90" s="5"/>
      <c r="B90" s="6">
        <f>+Risultati!B89</f>
        <v>0</v>
      </c>
      <c r="C90" s="6">
        <f>+Risultati!C89</f>
        <v>0</v>
      </c>
      <c r="D90" s="26" t="str">
        <f>IF(YEAR(Risultati!D89)=1900,(MID(Risultati!$AP$1,29,4)),YEAR(Risultati!D89))</f>
        <v/>
      </c>
      <c r="E90" s="6">
        <f>+Risultati!E89</f>
        <v>0</v>
      </c>
      <c r="F90" s="8" t="e">
        <f>(LEFT(Risultati!AN89,2)&amp;"-")&amp;VLOOKUP((LEFT(Risultati!AN89,2)),ateco!$B$4:$C$93,2,FALSE)</f>
        <v>#N/A</v>
      </c>
      <c r="G90" s="8" t="str">
        <f>SUBSTITUTE((Risultati!AN89&amp;"-"&amp;Risultati!AO89),",",";")</f>
        <v>-</v>
      </c>
      <c r="I90" s="10">
        <f>+Risultati!G89</f>
        <v>0</v>
      </c>
      <c r="J90" s="11" t="str">
        <f t="shared" si="83"/>
        <v>0</v>
      </c>
      <c r="K90" s="12"/>
      <c r="L90" s="10">
        <f>+Risultati!G89+Risultati!H89</f>
        <v>0</v>
      </c>
      <c r="M90" s="11" t="str">
        <f t="shared" si="84"/>
        <v>0</v>
      </c>
      <c r="N90" s="12"/>
      <c r="O90" s="10">
        <f>+Risultati!I89+Risultati!J89</f>
        <v>0</v>
      </c>
      <c r="P90" s="11" t="str">
        <f t="shared" si="85"/>
        <v>0</v>
      </c>
      <c r="Q90" s="12"/>
      <c r="R90" s="13">
        <f t="shared" ref="R90:R153" si="102">+L90-O90</f>
        <v>0</v>
      </c>
      <c r="S90" s="11" t="str">
        <f t="shared" si="86"/>
        <v>0</v>
      </c>
      <c r="T90" s="12"/>
      <c r="U90" s="10">
        <f>+Risultati!F89-(Risultati!G89+Risultati!H89)</f>
        <v>0</v>
      </c>
      <c r="V90" s="12" t="str">
        <f t="shared" si="87"/>
        <v>0</v>
      </c>
      <c r="W90" s="12"/>
      <c r="X90" s="10">
        <f t="shared" ref="X90:X153" si="103">+U90+R90</f>
        <v>0</v>
      </c>
      <c r="Y90" s="12" t="str">
        <f t="shared" si="88"/>
        <v>0</v>
      </c>
      <c r="Z90" s="12"/>
      <c r="AA90" s="10">
        <f>+Risultati!K89</f>
        <v>0</v>
      </c>
      <c r="AB90" s="12" t="str">
        <f t="shared" si="89"/>
        <v>0</v>
      </c>
      <c r="AC90" s="12"/>
      <c r="AD90" s="10">
        <f>+Risultati!L89</f>
        <v>0</v>
      </c>
      <c r="AE90" s="12" t="str">
        <f t="shared" si="90"/>
        <v>0</v>
      </c>
      <c r="AF90" s="12"/>
      <c r="AG90" s="10">
        <f>+Risultati!M89+Risultati!P89+Risultati!Q89</f>
        <v>0</v>
      </c>
      <c r="AH90" s="12" t="str">
        <f t="shared" si="91"/>
        <v>0</v>
      </c>
      <c r="AI90" s="12"/>
      <c r="AJ90" s="13">
        <f t="shared" ref="AJ90:AJ153" si="104">+X90-AA90-AD90-AG90</f>
        <v>0</v>
      </c>
      <c r="AK90" s="11" t="str">
        <f t="shared" si="92"/>
        <v>0</v>
      </c>
      <c r="AL90" s="12"/>
      <c r="AM90" s="10">
        <f>+Risultati!N89</f>
        <v>0</v>
      </c>
      <c r="AN90" s="12" t="str">
        <f t="shared" si="93"/>
        <v>0</v>
      </c>
      <c r="AO90" s="12"/>
      <c r="AP90" s="10">
        <f t="shared" ref="AP90:AP153" si="105">+AJ90-AM90</f>
        <v>0</v>
      </c>
      <c r="AQ90" s="41" t="str">
        <f t="shared" si="94"/>
        <v>0</v>
      </c>
      <c r="AR90" s="12"/>
      <c r="AS90" s="10">
        <f>+Risultati!O89</f>
        <v>0</v>
      </c>
      <c r="AT90" s="12" t="str">
        <f t="shared" si="95"/>
        <v>0</v>
      </c>
      <c r="AU90" s="12"/>
      <c r="AV90" s="10">
        <f t="shared" ref="AV90:AV153" si="106">+AP90-AS90</f>
        <v>0</v>
      </c>
      <c r="AW90" s="12" t="str">
        <f t="shared" si="96"/>
        <v>0</v>
      </c>
      <c r="AX90" s="12"/>
      <c r="AY90" s="10">
        <f>+Risultati!R89+Risultati!S89</f>
        <v>0</v>
      </c>
      <c r="AZ90" s="12" t="str">
        <f t="shared" si="97"/>
        <v>0</v>
      </c>
      <c r="BA90" s="12"/>
      <c r="BB90" s="10">
        <f>+Risultati!T89</f>
        <v>0</v>
      </c>
      <c r="BC90" s="12" t="str">
        <f t="shared" si="98"/>
        <v>0</v>
      </c>
      <c r="BD90" s="12"/>
      <c r="BE90" s="10">
        <f>+Risultati!U89</f>
        <v>0</v>
      </c>
      <c r="BF90" s="12" t="str">
        <f t="shared" si="99"/>
        <v>0</v>
      </c>
      <c r="BG90" s="12"/>
      <c r="BH90" s="10">
        <f t="shared" ref="BH90:BH153" si="107">+AV90+AY90+BB90-BE90</f>
        <v>0</v>
      </c>
      <c r="BI90" s="12" t="str">
        <f t="shared" si="100"/>
        <v>0</v>
      </c>
      <c r="BK90" s="16">
        <f>IF(ISNUMBER(Risultati!X89/100),(Risultati!X89/100))</f>
        <v>0</v>
      </c>
      <c r="BL90" s="16">
        <f>IF(ISNUMBER(Risultati!Y89/100),(Risultati!Y89/100))</f>
        <v>0</v>
      </c>
      <c r="BM90" s="16">
        <f>IF(ISNUMBER(Risultati!Z89/100),(Risultati!Z89/100))</f>
        <v>0</v>
      </c>
      <c r="BN90" s="16">
        <f>IF(AND(Risultati!AY89&lt;0,calcoli!AP90&lt;0),-IF(ISNUMBER(Risultati!AA89/100),(Risultati!AA89/100)),IF(ISNUMBER(Risultati!AA89/100),(Risultati!AA89/100)))</f>
        <v>0</v>
      </c>
      <c r="BO90" s="16" t="str">
        <f t="shared" si="81"/>
        <v>0</v>
      </c>
      <c r="BP90" s="16" t="str">
        <f>IF(Risultati!AB89&gt;0,(AV90/Risultati!AB89),"0")</f>
        <v>0</v>
      </c>
      <c r="BQ90" s="16" t="str">
        <f>IF(Risultati!AG89&lt;&gt;0,(BH90/Risultati!AG89),"0")</f>
        <v>0</v>
      </c>
      <c r="BR90" s="16" t="str">
        <f t="shared" si="82"/>
        <v>0</v>
      </c>
      <c r="BS90" s="14" t="str">
        <f>IF(Risultati!AB89&gt;0,(Risultati!G89/Risultati!AB89),"0")</f>
        <v>0</v>
      </c>
      <c r="BT90" s="15" t="str">
        <f>IF(Risultati!AG89&lt;&gt;0,(Risultati!AB89/Risultati!AG89),"0")</f>
        <v>0</v>
      </c>
      <c r="BU90" s="23" t="str">
        <f>IF(AND(Risultati!G89&gt;0,(Risultati!AE89-Risultati!AF89)&gt;=0),((Risultati!AE89-Risultati!AF89)/Risultati!G89*360),"0")</f>
        <v>0</v>
      </c>
      <c r="BV90" s="21" t="str">
        <f>IF(OR(E90="abbreviato",Risultati!G89=0),"0",((Risultati!AC89+Risultati!AD89)/Risultati!G89*360))</f>
        <v>0</v>
      </c>
      <c r="BW90" s="21" t="str">
        <f>IF(OR(E90="abbreviato",Risultati!G89=0,SUM(Risultati!I89+Risultati!K89+Risultati!M89)=0),"0",(((Risultati!AH89+Risultati!AI89)/(Risultati!I89+Risultati!K89+Risultati!N89)*360)))</f>
        <v>0</v>
      </c>
      <c r="BX90" s="16" t="str">
        <f>IF(Risultati!AB89&gt;0,(+Risultati!AG89/Risultati!AB89),"0")</f>
        <v>0</v>
      </c>
      <c r="BY90" s="22" t="str">
        <f>IF(OR(E90="abbreviato",Risultati!G89=0),"0",(((Risultati!AK89-(Risultati!AL89+Risultati!AM89))/Risultati!G89)))</f>
        <v>0</v>
      </c>
      <c r="BZ90" s="16" t="str">
        <f>IF(Risultati!G89&gt;0,(Risultati!AJ89/Risultati!G89),"0")</f>
        <v>0</v>
      </c>
      <c r="CA90" s="8"/>
      <c r="CB90" s="10">
        <f>+Risultati!AP89</f>
        <v>0</v>
      </c>
      <c r="CC90" s="31" t="str">
        <f t="shared" ref="CC90:CC153" si="108">IF($CX90&gt;0,(CB90/$CX90),"0")</f>
        <v>0</v>
      </c>
      <c r="CD90" s="10">
        <f>+Risultati!AQ89</f>
        <v>0</v>
      </c>
      <c r="CE90" s="31" t="str">
        <f t="shared" ref="CE90:CE153" si="109">IF($CX90&gt;0,(CD90/$CX90),"0")</f>
        <v>0</v>
      </c>
      <c r="CF90" s="10">
        <f>+Risultati!AR89</f>
        <v>0</v>
      </c>
      <c r="CG90" s="31" t="str">
        <f t="shared" ref="CG90:CG153" si="110">IF($CX90&gt;0,(CF90/$CX90),"0")</f>
        <v>0</v>
      </c>
      <c r="CH90" s="10">
        <f>+Risultati!AS89</f>
        <v>0</v>
      </c>
      <c r="CI90" s="31" t="str">
        <f t="shared" ref="CI90:CI153" si="111">IF($CX90&gt;0,(CH90/$CX90),"0")</f>
        <v>0</v>
      </c>
      <c r="CJ90" s="10">
        <f t="shared" ref="CJ90:CJ153" si="112">+CH90+CF90+CD90</f>
        <v>0</v>
      </c>
      <c r="CK90" s="31" t="str">
        <f t="shared" ref="CK90:CK153" si="113">IF($CX90&gt;0,(CJ90/$CX90),"0")</f>
        <v>0</v>
      </c>
      <c r="CL90" s="10">
        <f>+Risultati!AE89+Risultati!AF89</f>
        <v>0</v>
      </c>
      <c r="CM90" s="31" t="str">
        <f t="shared" ref="CM90:CM153" si="114">IF($CX90&gt;0,(CL90/$CX90),"0")</f>
        <v>0</v>
      </c>
      <c r="CN90" s="10">
        <f>+Risultati!AT89</f>
        <v>0</v>
      </c>
      <c r="CO90" s="31" t="str">
        <f t="shared" ref="CO90:CO153" si="115">IF($CX90&gt;0,(CN90/$CX90),"0")</f>
        <v>0</v>
      </c>
      <c r="CP90" s="10">
        <f>+Risultati!AU89</f>
        <v>0</v>
      </c>
      <c r="CQ90" s="31" t="str">
        <f t="shared" ref="CQ90:CQ153" si="116">IF($CX90&gt;0,(CP90/$CX90),"0")</f>
        <v>0</v>
      </c>
      <c r="CR90" s="10">
        <f>+Risultati!AL89</f>
        <v>0</v>
      </c>
      <c r="CS90" s="31" t="str">
        <f t="shared" ref="CS90:CS153" si="117">IF($CX90&gt;0,(CR90/$CX90),"0")</f>
        <v>0</v>
      </c>
      <c r="CT90" s="10">
        <f t="shared" ref="CT90:CT153" si="118">+CR90+CP90+CN90+CL90</f>
        <v>0</v>
      </c>
      <c r="CU90" s="31" t="str">
        <f t="shared" ref="CU90:CU153" si="119">IF($CX90&gt;0,(CT90/$CX90),"0")</f>
        <v>0</v>
      </c>
      <c r="CV90" s="10">
        <f>+Risultati!AX89</f>
        <v>0</v>
      </c>
      <c r="CW90" s="31" t="str">
        <f t="shared" ref="CW90:CW153" si="120">IF($CX90&gt;0,(CV90/$CX90),"0")</f>
        <v>0</v>
      </c>
      <c r="CX90" s="10">
        <f t="shared" ref="CX90:CX153" si="121">+CV90+CT90+CJ90</f>
        <v>0</v>
      </c>
      <c r="CY90" s="31" t="str">
        <f t="shared" ref="CY90:CY153" si="122">IF($CX90&gt;0,(CX90/$CX90),"0")</f>
        <v>0</v>
      </c>
      <c r="CZ90" s="10">
        <f>+Risultati!AG89</f>
        <v>0</v>
      </c>
      <c r="DA90" s="31" t="str">
        <f t="shared" ref="DA90:DA153" si="123">IF($CX90&gt;0,(CZ90/$CX90),"0")</f>
        <v>0</v>
      </c>
      <c r="DB90" s="10">
        <f t="shared" ref="DB90:DB153" si="124">+DL90-CZ90-DD90-DJ90</f>
        <v>0</v>
      </c>
      <c r="DC90" s="31" t="str">
        <f t="shared" ref="DC90:DC153" si="125">IF($CX90&gt;0,(DB90/$CX90),"0")</f>
        <v>0</v>
      </c>
      <c r="DD90" s="10">
        <f>+Risultati!AV89</f>
        <v>0</v>
      </c>
      <c r="DE90" s="31" t="str">
        <f t="shared" ref="DE90:DE153" si="126">IF($CX90&gt;0,(DD90/$CX90),"0")</f>
        <v>0</v>
      </c>
      <c r="DF90" s="10">
        <f>+Risultati!AJ89</f>
        <v>0</v>
      </c>
      <c r="DG90" s="31" t="str">
        <f t="shared" ref="DG90:DG153" si="127">IF($CX90&gt;0,(DF90/$CX90),"0")</f>
        <v>0</v>
      </c>
      <c r="DH90" s="10">
        <f t="shared" ref="DH90:DH153" si="128">+DD90-DF90</f>
        <v>0</v>
      </c>
      <c r="DI90" s="31" t="str">
        <f t="shared" ref="DI90:DI153" si="129">IF($CX90&gt;0,(DH90/$CX90),"0")</f>
        <v>0</v>
      </c>
      <c r="DJ90" s="10">
        <f>+Risultati!AW89</f>
        <v>0</v>
      </c>
      <c r="DK90" s="31" t="str">
        <f t="shared" ref="DK90:DK153" si="130">IF($CX90&gt;0,(DJ90/$CX90),"0")</f>
        <v>0</v>
      </c>
      <c r="DL90" s="10">
        <f t="shared" si="101"/>
        <v>0</v>
      </c>
      <c r="DM90" s="31" t="str">
        <f t="shared" ref="DM90:DM153" si="131">IF($CX90&gt;0,(DL90/$CX90),"0")</f>
        <v>0</v>
      </c>
      <c r="DO90" s="30"/>
      <c r="DP90" s="30"/>
    </row>
    <row r="91" spans="1:120" x14ac:dyDescent="0.2">
      <c r="A91" s="5"/>
      <c r="B91" s="6">
        <f>+Risultati!B90</f>
        <v>0</v>
      </c>
      <c r="C91" s="6">
        <f>+Risultati!C90</f>
        <v>0</v>
      </c>
      <c r="D91" s="26" t="str">
        <f>IF(YEAR(Risultati!D90)=1900,(MID(Risultati!$AP$1,29,4)),YEAR(Risultati!D90))</f>
        <v/>
      </c>
      <c r="E91" s="6">
        <f>+Risultati!E90</f>
        <v>0</v>
      </c>
      <c r="F91" s="8" t="e">
        <f>(LEFT(Risultati!AN90,2)&amp;"-")&amp;VLOOKUP((LEFT(Risultati!AN90,2)),ateco!$B$4:$C$93,2,FALSE)</f>
        <v>#N/A</v>
      </c>
      <c r="G91" s="8" t="str">
        <f>SUBSTITUTE((Risultati!AN90&amp;"-"&amp;Risultati!AO90),",",";")</f>
        <v>-</v>
      </c>
      <c r="I91" s="10">
        <f>+Risultati!G90</f>
        <v>0</v>
      </c>
      <c r="J91" s="11" t="str">
        <f t="shared" si="83"/>
        <v>0</v>
      </c>
      <c r="K91" s="12"/>
      <c r="L91" s="10">
        <f>+Risultati!G90+Risultati!H90</f>
        <v>0</v>
      </c>
      <c r="M91" s="11" t="str">
        <f t="shared" si="84"/>
        <v>0</v>
      </c>
      <c r="N91" s="12"/>
      <c r="O91" s="10">
        <f>+Risultati!I90+Risultati!J90</f>
        <v>0</v>
      </c>
      <c r="P91" s="11" t="str">
        <f t="shared" si="85"/>
        <v>0</v>
      </c>
      <c r="Q91" s="12"/>
      <c r="R91" s="13">
        <f t="shared" si="102"/>
        <v>0</v>
      </c>
      <c r="S91" s="11" t="str">
        <f t="shared" si="86"/>
        <v>0</v>
      </c>
      <c r="T91" s="12"/>
      <c r="U91" s="10">
        <f>+Risultati!F90-(Risultati!G90+Risultati!H90)</f>
        <v>0</v>
      </c>
      <c r="V91" s="12" t="str">
        <f t="shared" si="87"/>
        <v>0</v>
      </c>
      <c r="W91" s="12"/>
      <c r="X91" s="10">
        <f t="shared" si="103"/>
        <v>0</v>
      </c>
      <c r="Y91" s="12" t="str">
        <f t="shared" si="88"/>
        <v>0</v>
      </c>
      <c r="Z91" s="12"/>
      <c r="AA91" s="10">
        <f>+Risultati!K90</f>
        <v>0</v>
      </c>
      <c r="AB91" s="12" t="str">
        <f t="shared" si="89"/>
        <v>0</v>
      </c>
      <c r="AC91" s="12"/>
      <c r="AD91" s="10">
        <f>+Risultati!L90</f>
        <v>0</v>
      </c>
      <c r="AE91" s="12" t="str">
        <f t="shared" si="90"/>
        <v>0</v>
      </c>
      <c r="AF91" s="12"/>
      <c r="AG91" s="10">
        <f>+Risultati!M90+Risultati!P90+Risultati!Q90</f>
        <v>0</v>
      </c>
      <c r="AH91" s="12" t="str">
        <f t="shared" si="91"/>
        <v>0</v>
      </c>
      <c r="AI91" s="12"/>
      <c r="AJ91" s="13">
        <f t="shared" si="104"/>
        <v>0</v>
      </c>
      <c r="AK91" s="11" t="str">
        <f t="shared" si="92"/>
        <v>0</v>
      </c>
      <c r="AL91" s="12"/>
      <c r="AM91" s="10">
        <f>+Risultati!N90</f>
        <v>0</v>
      </c>
      <c r="AN91" s="12" t="str">
        <f t="shared" si="93"/>
        <v>0</v>
      </c>
      <c r="AO91" s="12"/>
      <c r="AP91" s="10">
        <f t="shared" si="105"/>
        <v>0</v>
      </c>
      <c r="AQ91" s="41" t="str">
        <f t="shared" si="94"/>
        <v>0</v>
      </c>
      <c r="AR91" s="12"/>
      <c r="AS91" s="10">
        <f>+Risultati!O90</f>
        <v>0</v>
      </c>
      <c r="AT91" s="12" t="str">
        <f t="shared" si="95"/>
        <v>0</v>
      </c>
      <c r="AU91" s="12"/>
      <c r="AV91" s="10">
        <f t="shared" si="106"/>
        <v>0</v>
      </c>
      <c r="AW91" s="12" t="str">
        <f t="shared" si="96"/>
        <v>0</v>
      </c>
      <c r="AX91" s="12"/>
      <c r="AY91" s="10">
        <f>+Risultati!R90+Risultati!S90</f>
        <v>0</v>
      </c>
      <c r="AZ91" s="12" t="str">
        <f t="shared" si="97"/>
        <v>0</v>
      </c>
      <c r="BA91" s="12"/>
      <c r="BB91" s="10">
        <f>+Risultati!T90</f>
        <v>0</v>
      </c>
      <c r="BC91" s="12" t="str">
        <f t="shared" si="98"/>
        <v>0</v>
      </c>
      <c r="BD91" s="12"/>
      <c r="BE91" s="10">
        <f>+Risultati!U90</f>
        <v>0</v>
      </c>
      <c r="BF91" s="12" t="str">
        <f t="shared" si="99"/>
        <v>0</v>
      </c>
      <c r="BG91" s="12"/>
      <c r="BH91" s="10">
        <f t="shared" si="107"/>
        <v>0</v>
      </c>
      <c r="BI91" s="12" t="str">
        <f t="shared" si="100"/>
        <v>0</v>
      </c>
      <c r="BK91" s="16">
        <f>IF(ISNUMBER(Risultati!X90/100),(Risultati!X90/100))</f>
        <v>0</v>
      </c>
      <c r="BL91" s="16">
        <f>IF(ISNUMBER(Risultati!Y90/100),(Risultati!Y90/100))</f>
        <v>0</v>
      </c>
      <c r="BM91" s="16">
        <f>IF(ISNUMBER(Risultati!Z90/100),(Risultati!Z90/100))</f>
        <v>0</v>
      </c>
      <c r="BN91" s="16">
        <f>IF(AND(Risultati!AY90&lt;0,calcoli!AP91&lt;0),-IF(ISNUMBER(Risultati!AA90/100),(Risultati!AA90/100)),IF(ISNUMBER(Risultati!AA90/100),(Risultati!AA90/100)))</f>
        <v>0</v>
      </c>
      <c r="BO91" s="16" t="str">
        <f t="shared" si="81"/>
        <v>0</v>
      </c>
      <c r="BP91" s="16" t="str">
        <f>IF(Risultati!AB90&gt;0,(AV91/Risultati!AB90),"0")</f>
        <v>0</v>
      </c>
      <c r="BQ91" s="16" t="str">
        <f>IF(Risultati!AG90&lt;&gt;0,(BH91/Risultati!AG90),"0")</f>
        <v>0</v>
      </c>
      <c r="BR91" s="16" t="str">
        <f t="shared" si="82"/>
        <v>0</v>
      </c>
      <c r="BS91" s="14" t="str">
        <f>IF(Risultati!AB90&gt;0,(Risultati!G90/Risultati!AB90),"0")</f>
        <v>0</v>
      </c>
      <c r="BT91" s="15" t="str">
        <f>IF(Risultati!AG90&lt;&gt;0,(Risultati!AB90/Risultati!AG90),"0")</f>
        <v>0</v>
      </c>
      <c r="BU91" s="23" t="str">
        <f>IF(AND(Risultati!G90&gt;0,(Risultati!AE90-Risultati!AF90)&gt;=0),((Risultati!AE90-Risultati!AF90)/Risultati!G90*360),"0")</f>
        <v>0</v>
      </c>
      <c r="BV91" s="21" t="str">
        <f>IF(OR(E91="abbreviato",Risultati!G90=0),"0",((Risultati!AC90+Risultati!AD90)/Risultati!G90*360))</f>
        <v>0</v>
      </c>
      <c r="BW91" s="21" t="str">
        <f>IF(OR(E91="abbreviato",Risultati!G90=0,SUM(Risultati!I90+Risultati!K90+Risultati!M90)=0),"0",(((Risultati!AH90+Risultati!AI90)/(Risultati!I90+Risultati!K90+Risultati!N90)*360)))</f>
        <v>0</v>
      </c>
      <c r="BX91" s="16" t="str">
        <f>IF(Risultati!AB90&gt;0,(+Risultati!AG90/Risultati!AB90),"0")</f>
        <v>0</v>
      </c>
      <c r="BY91" s="22" t="str">
        <f>IF(OR(E91="abbreviato",Risultati!G90=0),"0",(((Risultati!AK90-(Risultati!AL90+Risultati!AM90))/Risultati!G90)))</f>
        <v>0</v>
      </c>
      <c r="BZ91" s="16" t="str">
        <f>IF(Risultati!G90&gt;0,(Risultati!AJ90/Risultati!G90),"0")</f>
        <v>0</v>
      </c>
      <c r="CA91" s="8"/>
      <c r="CB91" s="10">
        <f>+Risultati!AP90</f>
        <v>0</v>
      </c>
      <c r="CC91" s="31" t="str">
        <f t="shared" si="108"/>
        <v>0</v>
      </c>
      <c r="CD91" s="10">
        <f>+Risultati!AQ90</f>
        <v>0</v>
      </c>
      <c r="CE91" s="31" t="str">
        <f t="shared" si="109"/>
        <v>0</v>
      </c>
      <c r="CF91" s="10">
        <f>+Risultati!AR90</f>
        <v>0</v>
      </c>
      <c r="CG91" s="31" t="str">
        <f t="shared" si="110"/>
        <v>0</v>
      </c>
      <c r="CH91" s="10">
        <f>+Risultati!AS90</f>
        <v>0</v>
      </c>
      <c r="CI91" s="31" t="str">
        <f t="shared" si="111"/>
        <v>0</v>
      </c>
      <c r="CJ91" s="10">
        <f t="shared" si="112"/>
        <v>0</v>
      </c>
      <c r="CK91" s="31" t="str">
        <f t="shared" si="113"/>
        <v>0</v>
      </c>
      <c r="CL91" s="10">
        <f>+Risultati!AE90+Risultati!AF90</f>
        <v>0</v>
      </c>
      <c r="CM91" s="31" t="str">
        <f t="shared" si="114"/>
        <v>0</v>
      </c>
      <c r="CN91" s="10">
        <f>+Risultati!AT90</f>
        <v>0</v>
      </c>
      <c r="CO91" s="31" t="str">
        <f t="shared" si="115"/>
        <v>0</v>
      </c>
      <c r="CP91" s="10">
        <f>+Risultati!AU90</f>
        <v>0</v>
      </c>
      <c r="CQ91" s="31" t="str">
        <f t="shared" si="116"/>
        <v>0</v>
      </c>
      <c r="CR91" s="10">
        <f>+Risultati!AL90</f>
        <v>0</v>
      </c>
      <c r="CS91" s="31" t="str">
        <f t="shared" si="117"/>
        <v>0</v>
      </c>
      <c r="CT91" s="10">
        <f t="shared" si="118"/>
        <v>0</v>
      </c>
      <c r="CU91" s="31" t="str">
        <f t="shared" si="119"/>
        <v>0</v>
      </c>
      <c r="CV91" s="10">
        <f>+Risultati!AX90</f>
        <v>0</v>
      </c>
      <c r="CW91" s="31" t="str">
        <f t="shared" si="120"/>
        <v>0</v>
      </c>
      <c r="CX91" s="10">
        <f t="shared" si="121"/>
        <v>0</v>
      </c>
      <c r="CY91" s="31" t="str">
        <f t="shared" si="122"/>
        <v>0</v>
      </c>
      <c r="CZ91" s="10">
        <f>+Risultati!AG90</f>
        <v>0</v>
      </c>
      <c r="DA91" s="31" t="str">
        <f t="shared" si="123"/>
        <v>0</v>
      </c>
      <c r="DB91" s="10">
        <f t="shared" si="124"/>
        <v>0</v>
      </c>
      <c r="DC91" s="31" t="str">
        <f t="shared" si="125"/>
        <v>0</v>
      </c>
      <c r="DD91" s="10">
        <f>+Risultati!AV90</f>
        <v>0</v>
      </c>
      <c r="DE91" s="31" t="str">
        <f t="shared" si="126"/>
        <v>0</v>
      </c>
      <c r="DF91" s="10">
        <f>+Risultati!AJ90</f>
        <v>0</v>
      </c>
      <c r="DG91" s="31" t="str">
        <f t="shared" si="127"/>
        <v>0</v>
      </c>
      <c r="DH91" s="10">
        <f t="shared" si="128"/>
        <v>0</v>
      </c>
      <c r="DI91" s="31" t="str">
        <f t="shared" si="129"/>
        <v>0</v>
      </c>
      <c r="DJ91" s="10">
        <f>+Risultati!AW90</f>
        <v>0</v>
      </c>
      <c r="DK91" s="31" t="str">
        <f t="shared" si="130"/>
        <v>0</v>
      </c>
      <c r="DL91" s="10">
        <f t="shared" si="101"/>
        <v>0</v>
      </c>
      <c r="DM91" s="31" t="str">
        <f t="shared" si="131"/>
        <v>0</v>
      </c>
      <c r="DO91" s="30"/>
      <c r="DP91" s="30"/>
    </row>
    <row r="92" spans="1:120" x14ac:dyDescent="0.2">
      <c r="A92" s="5"/>
      <c r="B92" s="6">
        <f>+Risultati!B91</f>
        <v>0</v>
      </c>
      <c r="C92" s="6">
        <f>+Risultati!C91</f>
        <v>0</v>
      </c>
      <c r="D92" s="26" t="str">
        <f>IF(YEAR(Risultati!D91)=1900,(MID(Risultati!$AP$1,29,4)),YEAR(Risultati!D91))</f>
        <v/>
      </c>
      <c r="E92" s="6">
        <f>+Risultati!E91</f>
        <v>0</v>
      </c>
      <c r="F92" s="8" t="e">
        <f>(LEFT(Risultati!AN91,2)&amp;"-")&amp;VLOOKUP((LEFT(Risultati!AN91,2)),ateco!$B$4:$C$93,2,FALSE)</f>
        <v>#N/A</v>
      </c>
      <c r="G92" s="8" t="str">
        <f>SUBSTITUTE((Risultati!AN91&amp;"-"&amp;Risultati!AO91),",",";")</f>
        <v>-</v>
      </c>
      <c r="I92" s="10">
        <f>+Risultati!G91</f>
        <v>0</v>
      </c>
      <c r="J92" s="11" t="str">
        <f t="shared" si="83"/>
        <v>0</v>
      </c>
      <c r="K92" s="12"/>
      <c r="L92" s="10">
        <f>+Risultati!G91+Risultati!H91</f>
        <v>0</v>
      </c>
      <c r="M92" s="11" t="str">
        <f t="shared" si="84"/>
        <v>0</v>
      </c>
      <c r="N92" s="12"/>
      <c r="O92" s="10">
        <f>+Risultati!I91+Risultati!J91</f>
        <v>0</v>
      </c>
      <c r="P92" s="11" t="str">
        <f t="shared" si="85"/>
        <v>0</v>
      </c>
      <c r="Q92" s="12"/>
      <c r="R92" s="13">
        <f t="shared" si="102"/>
        <v>0</v>
      </c>
      <c r="S92" s="11" t="str">
        <f t="shared" si="86"/>
        <v>0</v>
      </c>
      <c r="T92" s="12"/>
      <c r="U92" s="10">
        <f>+Risultati!F91-(Risultati!G91+Risultati!H91)</f>
        <v>0</v>
      </c>
      <c r="V92" s="12" t="str">
        <f t="shared" si="87"/>
        <v>0</v>
      </c>
      <c r="W92" s="12"/>
      <c r="X92" s="10">
        <f t="shared" si="103"/>
        <v>0</v>
      </c>
      <c r="Y92" s="12" t="str">
        <f t="shared" si="88"/>
        <v>0</v>
      </c>
      <c r="Z92" s="12"/>
      <c r="AA92" s="10">
        <f>+Risultati!K91</f>
        <v>0</v>
      </c>
      <c r="AB92" s="12" t="str">
        <f t="shared" si="89"/>
        <v>0</v>
      </c>
      <c r="AC92" s="12"/>
      <c r="AD92" s="10">
        <f>+Risultati!L91</f>
        <v>0</v>
      </c>
      <c r="AE92" s="12" t="str">
        <f t="shared" si="90"/>
        <v>0</v>
      </c>
      <c r="AF92" s="12"/>
      <c r="AG92" s="10">
        <f>+Risultati!M91+Risultati!P91+Risultati!Q91</f>
        <v>0</v>
      </c>
      <c r="AH92" s="12" t="str">
        <f t="shared" si="91"/>
        <v>0</v>
      </c>
      <c r="AI92" s="12"/>
      <c r="AJ92" s="13">
        <f t="shared" si="104"/>
        <v>0</v>
      </c>
      <c r="AK92" s="11" t="str">
        <f t="shared" si="92"/>
        <v>0</v>
      </c>
      <c r="AL92" s="12"/>
      <c r="AM92" s="10">
        <f>+Risultati!N91</f>
        <v>0</v>
      </c>
      <c r="AN92" s="12" t="str">
        <f t="shared" si="93"/>
        <v>0</v>
      </c>
      <c r="AO92" s="12"/>
      <c r="AP92" s="10">
        <f t="shared" si="105"/>
        <v>0</v>
      </c>
      <c r="AQ92" s="41" t="str">
        <f t="shared" si="94"/>
        <v>0</v>
      </c>
      <c r="AR92" s="12"/>
      <c r="AS92" s="10">
        <f>+Risultati!O91</f>
        <v>0</v>
      </c>
      <c r="AT92" s="12" t="str">
        <f t="shared" si="95"/>
        <v>0</v>
      </c>
      <c r="AU92" s="12"/>
      <c r="AV92" s="10">
        <f t="shared" si="106"/>
        <v>0</v>
      </c>
      <c r="AW92" s="12" t="str">
        <f t="shared" si="96"/>
        <v>0</v>
      </c>
      <c r="AX92" s="12"/>
      <c r="AY92" s="10">
        <f>+Risultati!R91+Risultati!S91</f>
        <v>0</v>
      </c>
      <c r="AZ92" s="12" t="str">
        <f t="shared" si="97"/>
        <v>0</v>
      </c>
      <c r="BA92" s="12"/>
      <c r="BB92" s="10">
        <f>+Risultati!T91</f>
        <v>0</v>
      </c>
      <c r="BC92" s="12" t="str">
        <f t="shared" si="98"/>
        <v>0</v>
      </c>
      <c r="BD92" s="12"/>
      <c r="BE92" s="10">
        <f>+Risultati!U91</f>
        <v>0</v>
      </c>
      <c r="BF92" s="12" t="str">
        <f t="shared" si="99"/>
        <v>0</v>
      </c>
      <c r="BG92" s="12"/>
      <c r="BH92" s="10">
        <f t="shared" si="107"/>
        <v>0</v>
      </c>
      <c r="BI92" s="12" t="str">
        <f t="shared" si="100"/>
        <v>0</v>
      </c>
      <c r="BK92" s="16">
        <f>IF(ISNUMBER(Risultati!X91/100),(Risultati!X91/100))</f>
        <v>0</v>
      </c>
      <c r="BL92" s="16">
        <f>IF(ISNUMBER(Risultati!Y91/100),(Risultati!Y91/100))</f>
        <v>0</v>
      </c>
      <c r="BM92" s="16">
        <f>IF(ISNUMBER(Risultati!Z91/100),(Risultati!Z91/100))</f>
        <v>0</v>
      </c>
      <c r="BN92" s="16">
        <f>IF(AND(Risultati!AY91&lt;0,calcoli!AP92&lt;0),-IF(ISNUMBER(Risultati!AA91/100),(Risultati!AA91/100)),IF(ISNUMBER(Risultati!AA91/100),(Risultati!AA91/100)))</f>
        <v>0</v>
      </c>
      <c r="BO92" s="16" t="str">
        <f t="shared" si="81"/>
        <v>0</v>
      </c>
      <c r="BP92" s="16" t="str">
        <f>IF(Risultati!AB91&gt;0,(AV92/Risultati!AB91),"0")</f>
        <v>0</v>
      </c>
      <c r="BQ92" s="16" t="str">
        <f>IF(Risultati!AG91&lt;&gt;0,(BH92/Risultati!AG91),"0")</f>
        <v>0</v>
      </c>
      <c r="BR92" s="16" t="str">
        <f t="shared" si="82"/>
        <v>0</v>
      </c>
      <c r="BS92" s="14" t="str">
        <f>IF(Risultati!AB91&gt;0,(Risultati!G91/Risultati!AB91),"0")</f>
        <v>0</v>
      </c>
      <c r="BT92" s="15" t="str">
        <f>IF(Risultati!AG91&lt;&gt;0,(Risultati!AB91/Risultati!AG91),"0")</f>
        <v>0</v>
      </c>
      <c r="BU92" s="23" t="str">
        <f>IF(AND(Risultati!G91&gt;0,(Risultati!AE91-Risultati!AF91)&gt;=0),((Risultati!AE91-Risultati!AF91)/Risultati!G91*360),"0")</f>
        <v>0</v>
      </c>
      <c r="BV92" s="21" t="str">
        <f>IF(OR(E92="abbreviato",Risultati!G91=0),"0",((Risultati!AC91+Risultati!AD91)/Risultati!G91*360))</f>
        <v>0</v>
      </c>
      <c r="BW92" s="21" t="str">
        <f>IF(OR(E92="abbreviato",Risultati!G91=0,SUM(Risultati!I91+Risultati!K91+Risultati!M91)=0),"0",(((Risultati!AH91+Risultati!AI91)/(Risultati!I91+Risultati!K91+Risultati!N91)*360)))</f>
        <v>0</v>
      </c>
      <c r="BX92" s="16" t="str">
        <f>IF(Risultati!AB91&gt;0,(+Risultati!AG91/Risultati!AB91),"0")</f>
        <v>0</v>
      </c>
      <c r="BY92" s="22" t="str">
        <f>IF(OR(E92="abbreviato",Risultati!G91=0),"0",(((Risultati!AK91-(Risultati!AL91+Risultati!AM91))/Risultati!G91)))</f>
        <v>0</v>
      </c>
      <c r="BZ92" s="16" t="str">
        <f>IF(Risultati!G91&gt;0,(Risultati!AJ91/Risultati!G91),"0")</f>
        <v>0</v>
      </c>
      <c r="CA92" s="8"/>
      <c r="CB92" s="10">
        <f>+Risultati!AP91</f>
        <v>0</v>
      </c>
      <c r="CC92" s="31" t="str">
        <f t="shared" si="108"/>
        <v>0</v>
      </c>
      <c r="CD92" s="10">
        <f>+Risultati!AQ91</f>
        <v>0</v>
      </c>
      <c r="CE92" s="31" t="str">
        <f t="shared" si="109"/>
        <v>0</v>
      </c>
      <c r="CF92" s="10">
        <f>+Risultati!AR91</f>
        <v>0</v>
      </c>
      <c r="CG92" s="31" t="str">
        <f t="shared" si="110"/>
        <v>0</v>
      </c>
      <c r="CH92" s="10">
        <f>+Risultati!AS91</f>
        <v>0</v>
      </c>
      <c r="CI92" s="31" t="str">
        <f t="shared" si="111"/>
        <v>0</v>
      </c>
      <c r="CJ92" s="10">
        <f t="shared" si="112"/>
        <v>0</v>
      </c>
      <c r="CK92" s="31" t="str">
        <f t="shared" si="113"/>
        <v>0</v>
      </c>
      <c r="CL92" s="10">
        <f>+Risultati!AE91+Risultati!AF91</f>
        <v>0</v>
      </c>
      <c r="CM92" s="31" t="str">
        <f t="shared" si="114"/>
        <v>0</v>
      </c>
      <c r="CN92" s="10">
        <f>+Risultati!AT91</f>
        <v>0</v>
      </c>
      <c r="CO92" s="31" t="str">
        <f t="shared" si="115"/>
        <v>0</v>
      </c>
      <c r="CP92" s="10">
        <f>+Risultati!AU91</f>
        <v>0</v>
      </c>
      <c r="CQ92" s="31" t="str">
        <f t="shared" si="116"/>
        <v>0</v>
      </c>
      <c r="CR92" s="10">
        <f>+Risultati!AL91</f>
        <v>0</v>
      </c>
      <c r="CS92" s="31" t="str">
        <f t="shared" si="117"/>
        <v>0</v>
      </c>
      <c r="CT92" s="10">
        <f t="shared" si="118"/>
        <v>0</v>
      </c>
      <c r="CU92" s="31" t="str">
        <f t="shared" si="119"/>
        <v>0</v>
      </c>
      <c r="CV92" s="10">
        <f>+Risultati!AX91</f>
        <v>0</v>
      </c>
      <c r="CW92" s="31" t="str">
        <f t="shared" si="120"/>
        <v>0</v>
      </c>
      <c r="CX92" s="10">
        <f t="shared" si="121"/>
        <v>0</v>
      </c>
      <c r="CY92" s="31" t="str">
        <f t="shared" si="122"/>
        <v>0</v>
      </c>
      <c r="CZ92" s="10">
        <f>+Risultati!AG91</f>
        <v>0</v>
      </c>
      <c r="DA92" s="31" t="str">
        <f t="shared" si="123"/>
        <v>0</v>
      </c>
      <c r="DB92" s="10">
        <f t="shared" si="124"/>
        <v>0</v>
      </c>
      <c r="DC92" s="31" t="str">
        <f t="shared" si="125"/>
        <v>0</v>
      </c>
      <c r="DD92" s="10">
        <f>+Risultati!AV91</f>
        <v>0</v>
      </c>
      <c r="DE92" s="31" t="str">
        <f t="shared" si="126"/>
        <v>0</v>
      </c>
      <c r="DF92" s="10">
        <f>+Risultati!AJ91</f>
        <v>0</v>
      </c>
      <c r="DG92" s="31" t="str">
        <f t="shared" si="127"/>
        <v>0</v>
      </c>
      <c r="DH92" s="10">
        <f t="shared" si="128"/>
        <v>0</v>
      </c>
      <c r="DI92" s="31" t="str">
        <f t="shared" si="129"/>
        <v>0</v>
      </c>
      <c r="DJ92" s="10">
        <f>+Risultati!AW91</f>
        <v>0</v>
      </c>
      <c r="DK92" s="31" t="str">
        <f t="shared" si="130"/>
        <v>0</v>
      </c>
      <c r="DL92" s="10">
        <f t="shared" si="101"/>
        <v>0</v>
      </c>
      <c r="DM92" s="31" t="str">
        <f t="shared" si="131"/>
        <v>0</v>
      </c>
      <c r="DO92" s="30"/>
      <c r="DP92" s="30"/>
    </row>
    <row r="93" spans="1:120" x14ac:dyDescent="0.2">
      <c r="A93" s="5"/>
      <c r="B93" s="6">
        <f>+Risultati!B92</f>
        <v>0</v>
      </c>
      <c r="C93" s="6">
        <f>+Risultati!C92</f>
        <v>0</v>
      </c>
      <c r="D93" s="26" t="str">
        <f>IF(YEAR(Risultati!D92)=1900,(MID(Risultati!$AP$1,29,4)),YEAR(Risultati!D92))</f>
        <v/>
      </c>
      <c r="E93" s="6">
        <f>+Risultati!E92</f>
        <v>0</v>
      </c>
      <c r="F93" s="8" t="e">
        <f>(LEFT(Risultati!AN92,2)&amp;"-")&amp;VLOOKUP((LEFT(Risultati!AN92,2)),ateco!$B$4:$C$93,2,FALSE)</f>
        <v>#N/A</v>
      </c>
      <c r="G93" s="8" t="str">
        <f>SUBSTITUTE((Risultati!AN92&amp;"-"&amp;Risultati!AO92),",",";")</f>
        <v>-</v>
      </c>
      <c r="I93" s="10">
        <f>+Risultati!G92</f>
        <v>0</v>
      </c>
      <c r="J93" s="11" t="str">
        <f t="shared" si="83"/>
        <v>0</v>
      </c>
      <c r="K93" s="12"/>
      <c r="L93" s="10">
        <f>+Risultati!G92+Risultati!H92</f>
        <v>0</v>
      </c>
      <c r="M93" s="11" t="str">
        <f t="shared" si="84"/>
        <v>0</v>
      </c>
      <c r="N93" s="12"/>
      <c r="O93" s="10">
        <f>+Risultati!I92+Risultati!J92</f>
        <v>0</v>
      </c>
      <c r="P93" s="11" t="str">
        <f t="shared" si="85"/>
        <v>0</v>
      </c>
      <c r="Q93" s="12"/>
      <c r="R93" s="13">
        <f t="shared" si="102"/>
        <v>0</v>
      </c>
      <c r="S93" s="11" t="str">
        <f t="shared" si="86"/>
        <v>0</v>
      </c>
      <c r="T93" s="12"/>
      <c r="U93" s="10">
        <f>+Risultati!F92-(Risultati!G92+Risultati!H92)</f>
        <v>0</v>
      </c>
      <c r="V93" s="12" t="str">
        <f t="shared" si="87"/>
        <v>0</v>
      </c>
      <c r="W93" s="12"/>
      <c r="X93" s="10">
        <f t="shared" si="103"/>
        <v>0</v>
      </c>
      <c r="Y93" s="12" t="str">
        <f t="shared" si="88"/>
        <v>0</v>
      </c>
      <c r="Z93" s="12"/>
      <c r="AA93" s="10">
        <f>+Risultati!K92</f>
        <v>0</v>
      </c>
      <c r="AB93" s="12" t="str">
        <f t="shared" si="89"/>
        <v>0</v>
      </c>
      <c r="AC93" s="12"/>
      <c r="AD93" s="10">
        <f>+Risultati!L92</f>
        <v>0</v>
      </c>
      <c r="AE93" s="12" t="str">
        <f t="shared" si="90"/>
        <v>0</v>
      </c>
      <c r="AF93" s="12"/>
      <c r="AG93" s="10">
        <f>+Risultati!M92+Risultati!P92+Risultati!Q92</f>
        <v>0</v>
      </c>
      <c r="AH93" s="12" t="str">
        <f t="shared" si="91"/>
        <v>0</v>
      </c>
      <c r="AI93" s="12"/>
      <c r="AJ93" s="13">
        <f t="shared" si="104"/>
        <v>0</v>
      </c>
      <c r="AK93" s="11" t="str">
        <f t="shared" si="92"/>
        <v>0</v>
      </c>
      <c r="AL93" s="12"/>
      <c r="AM93" s="10">
        <f>+Risultati!N92</f>
        <v>0</v>
      </c>
      <c r="AN93" s="12" t="str">
        <f t="shared" si="93"/>
        <v>0</v>
      </c>
      <c r="AO93" s="12"/>
      <c r="AP93" s="10">
        <f t="shared" si="105"/>
        <v>0</v>
      </c>
      <c r="AQ93" s="41" t="str">
        <f t="shared" si="94"/>
        <v>0</v>
      </c>
      <c r="AR93" s="12"/>
      <c r="AS93" s="10">
        <f>+Risultati!O92</f>
        <v>0</v>
      </c>
      <c r="AT93" s="12" t="str">
        <f t="shared" si="95"/>
        <v>0</v>
      </c>
      <c r="AU93" s="12"/>
      <c r="AV93" s="10">
        <f t="shared" si="106"/>
        <v>0</v>
      </c>
      <c r="AW93" s="12" t="str">
        <f t="shared" si="96"/>
        <v>0</v>
      </c>
      <c r="AX93" s="12"/>
      <c r="AY93" s="10">
        <f>+Risultati!R92+Risultati!S92</f>
        <v>0</v>
      </c>
      <c r="AZ93" s="12" t="str">
        <f t="shared" si="97"/>
        <v>0</v>
      </c>
      <c r="BA93" s="12"/>
      <c r="BB93" s="10">
        <f>+Risultati!T92</f>
        <v>0</v>
      </c>
      <c r="BC93" s="12" t="str">
        <f t="shared" si="98"/>
        <v>0</v>
      </c>
      <c r="BD93" s="12"/>
      <c r="BE93" s="10">
        <f>+Risultati!U92</f>
        <v>0</v>
      </c>
      <c r="BF93" s="12" t="str">
        <f t="shared" si="99"/>
        <v>0</v>
      </c>
      <c r="BG93" s="12"/>
      <c r="BH93" s="10">
        <f t="shared" si="107"/>
        <v>0</v>
      </c>
      <c r="BI93" s="12" t="str">
        <f t="shared" si="100"/>
        <v>0</v>
      </c>
      <c r="BK93" s="16">
        <f>IF(ISNUMBER(Risultati!X92/100),(Risultati!X92/100))</f>
        <v>0</v>
      </c>
      <c r="BL93" s="16">
        <f>IF(ISNUMBER(Risultati!Y92/100),(Risultati!Y92/100))</f>
        <v>0</v>
      </c>
      <c r="BM93" s="16">
        <f>IF(ISNUMBER(Risultati!Z92/100),(Risultati!Z92/100))</f>
        <v>0</v>
      </c>
      <c r="BN93" s="16">
        <f>IF(AND(Risultati!AY92&lt;0,calcoli!AP93&lt;0),-IF(ISNUMBER(Risultati!AA92/100),(Risultati!AA92/100)),IF(ISNUMBER(Risultati!AA92/100),(Risultati!AA92/100)))</f>
        <v>0</v>
      </c>
      <c r="BO93" s="16" t="str">
        <f t="shared" si="81"/>
        <v>0</v>
      </c>
      <c r="BP93" s="16" t="str">
        <f>IF(Risultati!AB92&gt;0,(AV93/Risultati!AB92),"0")</f>
        <v>0</v>
      </c>
      <c r="BQ93" s="16" t="str">
        <f>IF(Risultati!AG92&lt;&gt;0,(BH93/Risultati!AG92),"0")</f>
        <v>0</v>
      </c>
      <c r="BR93" s="16" t="str">
        <f t="shared" si="82"/>
        <v>0</v>
      </c>
      <c r="BS93" s="14" t="str">
        <f>IF(Risultati!AB92&gt;0,(Risultati!G92/Risultati!AB92),"0")</f>
        <v>0</v>
      </c>
      <c r="BT93" s="15" t="str">
        <f>IF(Risultati!AG92&lt;&gt;0,(Risultati!AB92/Risultati!AG92),"0")</f>
        <v>0</v>
      </c>
      <c r="BU93" s="23" t="str">
        <f>IF(AND(Risultati!G92&gt;0,(Risultati!AE92-Risultati!AF92)&gt;=0),((Risultati!AE92-Risultati!AF92)/Risultati!G92*360),"0")</f>
        <v>0</v>
      </c>
      <c r="BV93" s="21" t="str">
        <f>IF(OR(E93="abbreviato",Risultati!G92=0),"0",((Risultati!AC92+Risultati!AD92)/Risultati!G92*360))</f>
        <v>0</v>
      </c>
      <c r="BW93" s="21" t="str">
        <f>IF(OR(E93="abbreviato",Risultati!G92=0,SUM(Risultati!I92+Risultati!K92+Risultati!M92)=0),"0",(((Risultati!AH92+Risultati!AI92)/(Risultati!I92+Risultati!K92+Risultati!N92)*360)))</f>
        <v>0</v>
      </c>
      <c r="BX93" s="16" t="str">
        <f>IF(Risultati!AB92&gt;0,(+Risultati!AG92/Risultati!AB92),"0")</f>
        <v>0</v>
      </c>
      <c r="BY93" s="22" t="str">
        <f>IF(OR(E93="abbreviato",Risultati!G92=0),"0",(((Risultati!AK92-(Risultati!AL92+Risultati!AM92))/Risultati!G92)))</f>
        <v>0</v>
      </c>
      <c r="BZ93" s="16" t="str">
        <f>IF(Risultati!G92&gt;0,(Risultati!AJ92/Risultati!G92),"0")</f>
        <v>0</v>
      </c>
      <c r="CA93" s="8"/>
      <c r="CB93" s="10">
        <f>+Risultati!AP92</f>
        <v>0</v>
      </c>
      <c r="CC93" s="31" t="str">
        <f t="shared" si="108"/>
        <v>0</v>
      </c>
      <c r="CD93" s="10">
        <f>+Risultati!AQ92</f>
        <v>0</v>
      </c>
      <c r="CE93" s="31" t="str">
        <f t="shared" si="109"/>
        <v>0</v>
      </c>
      <c r="CF93" s="10">
        <f>+Risultati!AR92</f>
        <v>0</v>
      </c>
      <c r="CG93" s="31" t="str">
        <f t="shared" si="110"/>
        <v>0</v>
      </c>
      <c r="CH93" s="10">
        <f>+Risultati!AS92</f>
        <v>0</v>
      </c>
      <c r="CI93" s="31" t="str">
        <f t="shared" si="111"/>
        <v>0</v>
      </c>
      <c r="CJ93" s="10">
        <f t="shared" si="112"/>
        <v>0</v>
      </c>
      <c r="CK93" s="31" t="str">
        <f t="shared" si="113"/>
        <v>0</v>
      </c>
      <c r="CL93" s="10">
        <f>+Risultati!AE92+Risultati!AF92</f>
        <v>0</v>
      </c>
      <c r="CM93" s="31" t="str">
        <f t="shared" si="114"/>
        <v>0</v>
      </c>
      <c r="CN93" s="10">
        <f>+Risultati!AT92</f>
        <v>0</v>
      </c>
      <c r="CO93" s="31" t="str">
        <f t="shared" si="115"/>
        <v>0</v>
      </c>
      <c r="CP93" s="10">
        <f>+Risultati!AU92</f>
        <v>0</v>
      </c>
      <c r="CQ93" s="31" t="str">
        <f t="shared" si="116"/>
        <v>0</v>
      </c>
      <c r="CR93" s="10">
        <f>+Risultati!AL92</f>
        <v>0</v>
      </c>
      <c r="CS93" s="31" t="str">
        <f t="shared" si="117"/>
        <v>0</v>
      </c>
      <c r="CT93" s="10">
        <f t="shared" si="118"/>
        <v>0</v>
      </c>
      <c r="CU93" s="31" t="str">
        <f t="shared" si="119"/>
        <v>0</v>
      </c>
      <c r="CV93" s="10">
        <f>+Risultati!AX92</f>
        <v>0</v>
      </c>
      <c r="CW93" s="31" t="str">
        <f t="shared" si="120"/>
        <v>0</v>
      </c>
      <c r="CX93" s="10">
        <f t="shared" si="121"/>
        <v>0</v>
      </c>
      <c r="CY93" s="31" t="str">
        <f t="shared" si="122"/>
        <v>0</v>
      </c>
      <c r="CZ93" s="10">
        <f>+Risultati!AG92</f>
        <v>0</v>
      </c>
      <c r="DA93" s="31" t="str">
        <f t="shared" si="123"/>
        <v>0</v>
      </c>
      <c r="DB93" s="10">
        <f t="shared" si="124"/>
        <v>0</v>
      </c>
      <c r="DC93" s="31" t="str">
        <f t="shared" si="125"/>
        <v>0</v>
      </c>
      <c r="DD93" s="10">
        <f>+Risultati!AV92</f>
        <v>0</v>
      </c>
      <c r="DE93" s="31" t="str">
        <f t="shared" si="126"/>
        <v>0</v>
      </c>
      <c r="DF93" s="10">
        <f>+Risultati!AJ92</f>
        <v>0</v>
      </c>
      <c r="DG93" s="31" t="str">
        <f t="shared" si="127"/>
        <v>0</v>
      </c>
      <c r="DH93" s="10">
        <f t="shared" si="128"/>
        <v>0</v>
      </c>
      <c r="DI93" s="31" t="str">
        <f t="shared" si="129"/>
        <v>0</v>
      </c>
      <c r="DJ93" s="10">
        <f>+Risultati!AW92</f>
        <v>0</v>
      </c>
      <c r="DK93" s="31" t="str">
        <f t="shared" si="130"/>
        <v>0</v>
      </c>
      <c r="DL93" s="10">
        <f t="shared" si="101"/>
        <v>0</v>
      </c>
      <c r="DM93" s="31" t="str">
        <f t="shared" si="131"/>
        <v>0</v>
      </c>
      <c r="DO93" s="30"/>
      <c r="DP93" s="30"/>
    </row>
    <row r="94" spans="1:120" x14ac:dyDescent="0.2">
      <c r="A94" s="5"/>
      <c r="B94" s="6">
        <f>+Risultati!B93</f>
        <v>0</v>
      </c>
      <c r="C94" s="6">
        <f>+Risultati!C93</f>
        <v>0</v>
      </c>
      <c r="D94" s="26" t="str">
        <f>IF(YEAR(Risultati!D93)=1900,(MID(Risultati!$AP$1,29,4)),YEAR(Risultati!D93))</f>
        <v/>
      </c>
      <c r="E94" s="6">
        <f>+Risultati!E93</f>
        <v>0</v>
      </c>
      <c r="F94" s="8" t="e">
        <f>(LEFT(Risultati!AN93,2)&amp;"-")&amp;VLOOKUP((LEFT(Risultati!AN93,2)),ateco!$B$4:$C$93,2,FALSE)</f>
        <v>#N/A</v>
      </c>
      <c r="G94" s="8" t="str">
        <f>SUBSTITUTE((Risultati!AN93&amp;"-"&amp;Risultati!AO93),",",";")</f>
        <v>-</v>
      </c>
      <c r="I94" s="10">
        <f>+Risultati!G93</f>
        <v>0</v>
      </c>
      <c r="J94" s="11" t="str">
        <f t="shared" si="83"/>
        <v>0</v>
      </c>
      <c r="K94" s="12"/>
      <c r="L94" s="10">
        <f>+Risultati!G93+Risultati!H93</f>
        <v>0</v>
      </c>
      <c r="M94" s="11" t="str">
        <f t="shared" si="84"/>
        <v>0</v>
      </c>
      <c r="N94" s="12"/>
      <c r="O94" s="10">
        <f>+Risultati!I93+Risultati!J93</f>
        <v>0</v>
      </c>
      <c r="P94" s="11" t="str">
        <f t="shared" si="85"/>
        <v>0</v>
      </c>
      <c r="Q94" s="12"/>
      <c r="R94" s="13">
        <f t="shared" si="102"/>
        <v>0</v>
      </c>
      <c r="S94" s="11" t="str">
        <f t="shared" si="86"/>
        <v>0</v>
      </c>
      <c r="T94" s="12"/>
      <c r="U94" s="10">
        <f>+Risultati!F93-(Risultati!G93+Risultati!H93)</f>
        <v>0</v>
      </c>
      <c r="V94" s="12" t="str">
        <f t="shared" si="87"/>
        <v>0</v>
      </c>
      <c r="W94" s="12"/>
      <c r="X94" s="10">
        <f t="shared" si="103"/>
        <v>0</v>
      </c>
      <c r="Y94" s="12" t="str">
        <f t="shared" si="88"/>
        <v>0</v>
      </c>
      <c r="Z94" s="12"/>
      <c r="AA94" s="10">
        <f>+Risultati!K93</f>
        <v>0</v>
      </c>
      <c r="AB94" s="12" t="str">
        <f t="shared" si="89"/>
        <v>0</v>
      </c>
      <c r="AC94" s="12"/>
      <c r="AD94" s="10">
        <f>+Risultati!L93</f>
        <v>0</v>
      </c>
      <c r="AE94" s="12" t="str">
        <f t="shared" si="90"/>
        <v>0</v>
      </c>
      <c r="AF94" s="12"/>
      <c r="AG94" s="10">
        <f>+Risultati!M93+Risultati!P93+Risultati!Q93</f>
        <v>0</v>
      </c>
      <c r="AH94" s="12" t="str">
        <f t="shared" si="91"/>
        <v>0</v>
      </c>
      <c r="AI94" s="12"/>
      <c r="AJ94" s="13">
        <f t="shared" si="104"/>
        <v>0</v>
      </c>
      <c r="AK94" s="11" t="str">
        <f t="shared" si="92"/>
        <v>0</v>
      </c>
      <c r="AL94" s="12"/>
      <c r="AM94" s="10">
        <f>+Risultati!N93</f>
        <v>0</v>
      </c>
      <c r="AN94" s="12" t="str">
        <f t="shared" si="93"/>
        <v>0</v>
      </c>
      <c r="AO94" s="12"/>
      <c r="AP94" s="10">
        <f t="shared" si="105"/>
        <v>0</v>
      </c>
      <c r="AQ94" s="41" t="str">
        <f t="shared" si="94"/>
        <v>0</v>
      </c>
      <c r="AR94" s="12"/>
      <c r="AS94" s="10">
        <f>+Risultati!O93</f>
        <v>0</v>
      </c>
      <c r="AT94" s="12" t="str">
        <f t="shared" si="95"/>
        <v>0</v>
      </c>
      <c r="AU94" s="12"/>
      <c r="AV94" s="10">
        <f t="shared" si="106"/>
        <v>0</v>
      </c>
      <c r="AW94" s="12" t="str">
        <f t="shared" si="96"/>
        <v>0</v>
      </c>
      <c r="AX94" s="12"/>
      <c r="AY94" s="10">
        <f>+Risultati!R93+Risultati!S93</f>
        <v>0</v>
      </c>
      <c r="AZ94" s="12" t="str">
        <f t="shared" si="97"/>
        <v>0</v>
      </c>
      <c r="BA94" s="12"/>
      <c r="BB94" s="10">
        <f>+Risultati!T93</f>
        <v>0</v>
      </c>
      <c r="BC94" s="12" t="str">
        <f t="shared" si="98"/>
        <v>0</v>
      </c>
      <c r="BD94" s="12"/>
      <c r="BE94" s="10">
        <f>+Risultati!U93</f>
        <v>0</v>
      </c>
      <c r="BF94" s="12" t="str">
        <f t="shared" si="99"/>
        <v>0</v>
      </c>
      <c r="BG94" s="12"/>
      <c r="BH94" s="10">
        <f t="shared" si="107"/>
        <v>0</v>
      </c>
      <c r="BI94" s="12" t="str">
        <f t="shared" si="100"/>
        <v>0</v>
      </c>
      <c r="BK94" s="16">
        <f>IF(ISNUMBER(Risultati!X93/100),(Risultati!X93/100))</f>
        <v>0</v>
      </c>
      <c r="BL94" s="16">
        <f>IF(ISNUMBER(Risultati!Y93/100),(Risultati!Y93/100))</f>
        <v>0</v>
      </c>
      <c r="BM94" s="16">
        <f>IF(ISNUMBER(Risultati!Z93/100),(Risultati!Z93/100))</f>
        <v>0</v>
      </c>
      <c r="BN94" s="16">
        <f>IF(AND(Risultati!AY93&lt;0,calcoli!AP94&lt;0),-IF(ISNUMBER(Risultati!AA93/100),(Risultati!AA93/100)),IF(ISNUMBER(Risultati!AA93/100),(Risultati!AA93/100)))</f>
        <v>0</v>
      </c>
      <c r="BO94" s="16" t="str">
        <f t="shared" si="81"/>
        <v>0</v>
      </c>
      <c r="BP94" s="16" t="str">
        <f>IF(Risultati!AB93&gt;0,(AV94/Risultati!AB93),"0")</f>
        <v>0</v>
      </c>
      <c r="BQ94" s="16" t="str">
        <f>IF(Risultati!AG93&lt;&gt;0,(BH94/Risultati!AG93),"0")</f>
        <v>0</v>
      </c>
      <c r="BR94" s="16" t="str">
        <f t="shared" si="82"/>
        <v>0</v>
      </c>
      <c r="BS94" s="14" t="str">
        <f>IF(Risultati!AB93&gt;0,(Risultati!G93/Risultati!AB93),"0")</f>
        <v>0</v>
      </c>
      <c r="BT94" s="15" t="str">
        <f>IF(Risultati!AG93&lt;&gt;0,(Risultati!AB93/Risultati!AG93),"0")</f>
        <v>0</v>
      </c>
      <c r="BU94" s="23" t="str">
        <f>IF(AND(Risultati!G93&gt;0,(Risultati!AE93-Risultati!AF93)&gt;=0),((Risultati!AE93-Risultati!AF93)/Risultati!G93*360),"0")</f>
        <v>0</v>
      </c>
      <c r="BV94" s="21" t="str">
        <f>IF(OR(E94="abbreviato",Risultati!G93=0),"0",((Risultati!AC93+Risultati!AD93)/Risultati!G93*360))</f>
        <v>0</v>
      </c>
      <c r="BW94" s="21" t="str">
        <f>IF(OR(E94="abbreviato",Risultati!G93=0,SUM(Risultati!I93+Risultati!K93+Risultati!M93)=0),"0",(((Risultati!AH93+Risultati!AI93)/(Risultati!I93+Risultati!K93+Risultati!N93)*360)))</f>
        <v>0</v>
      </c>
      <c r="BX94" s="16" t="str">
        <f>IF(Risultati!AB93&gt;0,(+Risultati!AG93/Risultati!AB93),"0")</f>
        <v>0</v>
      </c>
      <c r="BY94" s="22" t="str">
        <f>IF(OR(E94="abbreviato",Risultati!G93=0),"0",(((Risultati!AK93-(Risultati!AL93+Risultati!AM93))/Risultati!G93)))</f>
        <v>0</v>
      </c>
      <c r="BZ94" s="16" t="str">
        <f>IF(Risultati!G93&gt;0,(Risultati!AJ93/Risultati!G93),"0")</f>
        <v>0</v>
      </c>
      <c r="CA94" s="8"/>
      <c r="CB94" s="10">
        <f>+Risultati!AP93</f>
        <v>0</v>
      </c>
      <c r="CC94" s="31" t="str">
        <f t="shared" si="108"/>
        <v>0</v>
      </c>
      <c r="CD94" s="10">
        <f>+Risultati!AQ93</f>
        <v>0</v>
      </c>
      <c r="CE94" s="31" t="str">
        <f t="shared" si="109"/>
        <v>0</v>
      </c>
      <c r="CF94" s="10">
        <f>+Risultati!AR93</f>
        <v>0</v>
      </c>
      <c r="CG94" s="31" t="str">
        <f t="shared" si="110"/>
        <v>0</v>
      </c>
      <c r="CH94" s="10">
        <f>+Risultati!AS93</f>
        <v>0</v>
      </c>
      <c r="CI94" s="31" t="str">
        <f t="shared" si="111"/>
        <v>0</v>
      </c>
      <c r="CJ94" s="10">
        <f t="shared" si="112"/>
        <v>0</v>
      </c>
      <c r="CK94" s="31" t="str">
        <f t="shared" si="113"/>
        <v>0</v>
      </c>
      <c r="CL94" s="10">
        <f>+Risultati!AE93+Risultati!AF93</f>
        <v>0</v>
      </c>
      <c r="CM94" s="31" t="str">
        <f t="shared" si="114"/>
        <v>0</v>
      </c>
      <c r="CN94" s="10">
        <f>+Risultati!AT93</f>
        <v>0</v>
      </c>
      <c r="CO94" s="31" t="str">
        <f t="shared" si="115"/>
        <v>0</v>
      </c>
      <c r="CP94" s="10">
        <f>+Risultati!AU93</f>
        <v>0</v>
      </c>
      <c r="CQ94" s="31" t="str">
        <f t="shared" si="116"/>
        <v>0</v>
      </c>
      <c r="CR94" s="10">
        <f>+Risultati!AL93</f>
        <v>0</v>
      </c>
      <c r="CS94" s="31" t="str">
        <f t="shared" si="117"/>
        <v>0</v>
      </c>
      <c r="CT94" s="10">
        <f t="shared" si="118"/>
        <v>0</v>
      </c>
      <c r="CU94" s="31" t="str">
        <f t="shared" si="119"/>
        <v>0</v>
      </c>
      <c r="CV94" s="10">
        <f>+Risultati!AX93</f>
        <v>0</v>
      </c>
      <c r="CW94" s="31" t="str">
        <f t="shared" si="120"/>
        <v>0</v>
      </c>
      <c r="CX94" s="10">
        <f t="shared" si="121"/>
        <v>0</v>
      </c>
      <c r="CY94" s="31" t="str">
        <f t="shared" si="122"/>
        <v>0</v>
      </c>
      <c r="CZ94" s="10">
        <f>+Risultati!AG93</f>
        <v>0</v>
      </c>
      <c r="DA94" s="31" t="str">
        <f t="shared" si="123"/>
        <v>0</v>
      </c>
      <c r="DB94" s="10">
        <f t="shared" si="124"/>
        <v>0</v>
      </c>
      <c r="DC94" s="31" t="str">
        <f t="shared" si="125"/>
        <v>0</v>
      </c>
      <c r="DD94" s="10">
        <f>+Risultati!AV93</f>
        <v>0</v>
      </c>
      <c r="DE94" s="31" t="str">
        <f t="shared" si="126"/>
        <v>0</v>
      </c>
      <c r="DF94" s="10">
        <f>+Risultati!AJ93</f>
        <v>0</v>
      </c>
      <c r="DG94" s="31" t="str">
        <f t="shared" si="127"/>
        <v>0</v>
      </c>
      <c r="DH94" s="10">
        <f t="shared" si="128"/>
        <v>0</v>
      </c>
      <c r="DI94" s="31" t="str">
        <f t="shared" si="129"/>
        <v>0</v>
      </c>
      <c r="DJ94" s="10">
        <f>+Risultati!AW93</f>
        <v>0</v>
      </c>
      <c r="DK94" s="31" t="str">
        <f t="shared" si="130"/>
        <v>0</v>
      </c>
      <c r="DL94" s="10">
        <f t="shared" si="101"/>
        <v>0</v>
      </c>
      <c r="DM94" s="31" t="str">
        <f t="shared" si="131"/>
        <v>0</v>
      </c>
      <c r="DO94" s="30"/>
      <c r="DP94" s="30"/>
    </row>
    <row r="95" spans="1:120" x14ac:dyDescent="0.2">
      <c r="A95" s="5"/>
      <c r="B95" s="6">
        <f>+Risultati!B94</f>
        <v>0</v>
      </c>
      <c r="C95" s="6">
        <f>+Risultati!C94</f>
        <v>0</v>
      </c>
      <c r="D95" s="26" t="str">
        <f>IF(YEAR(Risultati!D94)=1900,(MID(Risultati!$AP$1,29,4)),YEAR(Risultati!D94))</f>
        <v/>
      </c>
      <c r="E95" s="6">
        <f>+Risultati!E94</f>
        <v>0</v>
      </c>
      <c r="F95" s="8" t="e">
        <f>(LEFT(Risultati!AN94,2)&amp;"-")&amp;VLOOKUP((LEFT(Risultati!AN94,2)),ateco!$B$4:$C$93,2,FALSE)</f>
        <v>#N/A</v>
      </c>
      <c r="G95" s="8" t="str">
        <f>SUBSTITUTE((Risultati!AN94&amp;"-"&amp;Risultati!AO94),",",";")</f>
        <v>-</v>
      </c>
      <c r="I95" s="10">
        <f>+Risultati!G94</f>
        <v>0</v>
      </c>
      <c r="J95" s="11" t="str">
        <f t="shared" si="83"/>
        <v>0</v>
      </c>
      <c r="K95" s="12"/>
      <c r="L95" s="10">
        <f>+Risultati!G94+Risultati!H94</f>
        <v>0</v>
      </c>
      <c r="M95" s="11" t="str">
        <f t="shared" si="84"/>
        <v>0</v>
      </c>
      <c r="N95" s="12"/>
      <c r="O95" s="10">
        <f>+Risultati!I94+Risultati!J94</f>
        <v>0</v>
      </c>
      <c r="P95" s="11" t="str">
        <f t="shared" si="85"/>
        <v>0</v>
      </c>
      <c r="Q95" s="12"/>
      <c r="R95" s="13">
        <f t="shared" si="102"/>
        <v>0</v>
      </c>
      <c r="S95" s="11" t="str">
        <f t="shared" si="86"/>
        <v>0</v>
      </c>
      <c r="T95" s="12"/>
      <c r="U95" s="10">
        <f>+Risultati!F94-(Risultati!G94+Risultati!H94)</f>
        <v>0</v>
      </c>
      <c r="V95" s="12" t="str">
        <f t="shared" si="87"/>
        <v>0</v>
      </c>
      <c r="W95" s="12"/>
      <c r="X95" s="10">
        <f t="shared" si="103"/>
        <v>0</v>
      </c>
      <c r="Y95" s="12" t="str">
        <f t="shared" si="88"/>
        <v>0</v>
      </c>
      <c r="Z95" s="12"/>
      <c r="AA95" s="10">
        <f>+Risultati!K94</f>
        <v>0</v>
      </c>
      <c r="AB95" s="12" t="str">
        <f t="shared" si="89"/>
        <v>0</v>
      </c>
      <c r="AC95" s="12"/>
      <c r="AD95" s="10">
        <f>+Risultati!L94</f>
        <v>0</v>
      </c>
      <c r="AE95" s="12" t="str">
        <f t="shared" si="90"/>
        <v>0</v>
      </c>
      <c r="AF95" s="12"/>
      <c r="AG95" s="10">
        <f>+Risultati!M94+Risultati!P94+Risultati!Q94</f>
        <v>0</v>
      </c>
      <c r="AH95" s="12" t="str">
        <f t="shared" si="91"/>
        <v>0</v>
      </c>
      <c r="AI95" s="12"/>
      <c r="AJ95" s="13">
        <f t="shared" si="104"/>
        <v>0</v>
      </c>
      <c r="AK95" s="11" t="str">
        <f t="shared" si="92"/>
        <v>0</v>
      </c>
      <c r="AL95" s="12"/>
      <c r="AM95" s="10">
        <f>+Risultati!N94</f>
        <v>0</v>
      </c>
      <c r="AN95" s="12" t="str">
        <f t="shared" si="93"/>
        <v>0</v>
      </c>
      <c r="AO95" s="12"/>
      <c r="AP95" s="10">
        <f t="shared" si="105"/>
        <v>0</v>
      </c>
      <c r="AQ95" s="41" t="str">
        <f t="shared" si="94"/>
        <v>0</v>
      </c>
      <c r="AR95" s="12"/>
      <c r="AS95" s="10">
        <f>+Risultati!O94</f>
        <v>0</v>
      </c>
      <c r="AT95" s="12" t="str">
        <f t="shared" si="95"/>
        <v>0</v>
      </c>
      <c r="AU95" s="12"/>
      <c r="AV95" s="10">
        <f t="shared" si="106"/>
        <v>0</v>
      </c>
      <c r="AW95" s="12" t="str">
        <f t="shared" si="96"/>
        <v>0</v>
      </c>
      <c r="AX95" s="12"/>
      <c r="AY95" s="10">
        <f>+Risultati!R94+Risultati!S94</f>
        <v>0</v>
      </c>
      <c r="AZ95" s="12" t="str">
        <f t="shared" si="97"/>
        <v>0</v>
      </c>
      <c r="BA95" s="12"/>
      <c r="BB95" s="10">
        <f>+Risultati!T94</f>
        <v>0</v>
      </c>
      <c r="BC95" s="12" t="str">
        <f t="shared" si="98"/>
        <v>0</v>
      </c>
      <c r="BD95" s="12"/>
      <c r="BE95" s="10">
        <f>+Risultati!U94</f>
        <v>0</v>
      </c>
      <c r="BF95" s="12" t="str">
        <f t="shared" si="99"/>
        <v>0</v>
      </c>
      <c r="BG95" s="12"/>
      <c r="BH95" s="10">
        <f t="shared" si="107"/>
        <v>0</v>
      </c>
      <c r="BI95" s="12" t="str">
        <f t="shared" si="100"/>
        <v>0</v>
      </c>
      <c r="BK95" s="16">
        <f>IF(ISNUMBER(Risultati!X94/100),(Risultati!X94/100))</f>
        <v>0</v>
      </c>
      <c r="BL95" s="16">
        <f>IF(ISNUMBER(Risultati!Y94/100),(Risultati!Y94/100))</f>
        <v>0</v>
      </c>
      <c r="BM95" s="16">
        <f>IF(ISNUMBER(Risultati!Z94/100),(Risultati!Z94/100))</f>
        <v>0</v>
      </c>
      <c r="BN95" s="16">
        <f>IF(AND(Risultati!AY94&lt;0,calcoli!AP95&lt;0),-IF(ISNUMBER(Risultati!AA94/100),(Risultati!AA94/100)),IF(ISNUMBER(Risultati!AA94/100),(Risultati!AA94/100)))</f>
        <v>0</v>
      </c>
      <c r="BO95" s="16" t="str">
        <f t="shared" si="81"/>
        <v>0</v>
      </c>
      <c r="BP95" s="16" t="str">
        <f>IF(Risultati!AB94&gt;0,(AV95/Risultati!AB94),"0")</f>
        <v>0</v>
      </c>
      <c r="BQ95" s="16" t="str">
        <f>IF(Risultati!AG94&lt;&gt;0,(BH95/Risultati!AG94),"0")</f>
        <v>0</v>
      </c>
      <c r="BR95" s="16" t="str">
        <f t="shared" si="82"/>
        <v>0</v>
      </c>
      <c r="BS95" s="14" t="str">
        <f>IF(Risultati!AB94&gt;0,(Risultati!G94/Risultati!AB94),"0")</f>
        <v>0</v>
      </c>
      <c r="BT95" s="15" t="str">
        <f>IF(Risultati!AG94&lt;&gt;0,(Risultati!AB94/Risultati!AG94),"0")</f>
        <v>0</v>
      </c>
      <c r="BU95" s="23" t="str">
        <f>IF(AND(Risultati!G94&gt;0,(Risultati!AE94-Risultati!AF94)&gt;=0),((Risultati!AE94-Risultati!AF94)/Risultati!G94*360),"0")</f>
        <v>0</v>
      </c>
      <c r="BV95" s="21" t="str">
        <f>IF(OR(E95="abbreviato",Risultati!G94=0),"0",((Risultati!AC94+Risultati!AD94)/Risultati!G94*360))</f>
        <v>0</v>
      </c>
      <c r="BW95" s="21" t="str">
        <f>IF(OR(E95="abbreviato",Risultati!G94=0,SUM(Risultati!I94+Risultati!K94+Risultati!M94)=0),"0",(((Risultati!AH94+Risultati!AI94)/(Risultati!I94+Risultati!K94+Risultati!N94)*360)))</f>
        <v>0</v>
      </c>
      <c r="BX95" s="16" t="str">
        <f>IF(Risultati!AB94&gt;0,(+Risultati!AG94/Risultati!AB94),"0")</f>
        <v>0</v>
      </c>
      <c r="BY95" s="22" t="str">
        <f>IF(OR(E95="abbreviato",Risultati!G94=0),"0",(((Risultati!AK94-(Risultati!AL94+Risultati!AM94))/Risultati!G94)))</f>
        <v>0</v>
      </c>
      <c r="BZ95" s="16" t="str">
        <f>IF(Risultati!G94&gt;0,(Risultati!AJ94/Risultati!G94),"0")</f>
        <v>0</v>
      </c>
      <c r="CA95" s="8"/>
      <c r="CB95" s="10">
        <f>+Risultati!AP94</f>
        <v>0</v>
      </c>
      <c r="CC95" s="31" t="str">
        <f t="shared" si="108"/>
        <v>0</v>
      </c>
      <c r="CD95" s="10">
        <f>+Risultati!AQ94</f>
        <v>0</v>
      </c>
      <c r="CE95" s="31" t="str">
        <f t="shared" si="109"/>
        <v>0</v>
      </c>
      <c r="CF95" s="10">
        <f>+Risultati!AR94</f>
        <v>0</v>
      </c>
      <c r="CG95" s="31" t="str">
        <f t="shared" si="110"/>
        <v>0</v>
      </c>
      <c r="CH95" s="10">
        <f>+Risultati!AS94</f>
        <v>0</v>
      </c>
      <c r="CI95" s="31" t="str">
        <f t="shared" si="111"/>
        <v>0</v>
      </c>
      <c r="CJ95" s="10">
        <f t="shared" si="112"/>
        <v>0</v>
      </c>
      <c r="CK95" s="31" t="str">
        <f t="shared" si="113"/>
        <v>0</v>
      </c>
      <c r="CL95" s="10">
        <f>+Risultati!AE94+Risultati!AF94</f>
        <v>0</v>
      </c>
      <c r="CM95" s="31" t="str">
        <f t="shared" si="114"/>
        <v>0</v>
      </c>
      <c r="CN95" s="10">
        <f>+Risultati!AT94</f>
        <v>0</v>
      </c>
      <c r="CO95" s="31" t="str">
        <f t="shared" si="115"/>
        <v>0</v>
      </c>
      <c r="CP95" s="10">
        <f>+Risultati!AU94</f>
        <v>0</v>
      </c>
      <c r="CQ95" s="31" t="str">
        <f t="shared" si="116"/>
        <v>0</v>
      </c>
      <c r="CR95" s="10">
        <f>+Risultati!AL94</f>
        <v>0</v>
      </c>
      <c r="CS95" s="31" t="str">
        <f t="shared" si="117"/>
        <v>0</v>
      </c>
      <c r="CT95" s="10">
        <f t="shared" si="118"/>
        <v>0</v>
      </c>
      <c r="CU95" s="31" t="str">
        <f t="shared" si="119"/>
        <v>0</v>
      </c>
      <c r="CV95" s="10">
        <f>+Risultati!AX94</f>
        <v>0</v>
      </c>
      <c r="CW95" s="31" t="str">
        <f t="shared" si="120"/>
        <v>0</v>
      </c>
      <c r="CX95" s="10">
        <f t="shared" si="121"/>
        <v>0</v>
      </c>
      <c r="CY95" s="31" t="str">
        <f t="shared" si="122"/>
        <v>0</v>
      </c>
      <c r="CZ95" s="10">
        <f>+Risultati!AG94</f>
        <v>0</v>
      </c>
      <c r="DA95" s="31" t="str">
        <f t="shared" si="123"/>
        <v>0</v>
      </c>
      <c r="DB95" s="10">
        <f t="shared" si="124"/>
        <v>0</v>
      </c>
      <c r="DC95" s="31" t="str">
        <f t="shared" si="125"/>
        <v>0</v>
      </c>
      <c r="DD95" s="10">
        <f>+Risultati!AV94</f>
        <v>0</v>
      </c>
      <c r="DE95" s="31" t="str">
        <f t="shared" si="126"/>
        <v>0</v>
      </c>
      <c r="DF95" s="10">
        <f>+Risultati!AJ94</f>
        <v>0</v>
      </c>
      <c r="DG95" s="31" t="str">
        <f t="shared" si="127"/>
        <v>0</v>
      </c>
      <c r="DH95" s="10">
        <f t="shared" si="128"/>
        <v>0</v>
      </c>
      <c r="DI95" s="31" t="str">
        <f t="shared" si="129"/>
        <v>0</v>
      </c>
      <c r="DJ95" s="10">
        <f>+Risultati!AW94</f>
        <v>0</v>
      </c>
      <c r="DK95" s="31" t="str">
        <f t="shared" si="130"/>
        <v>0</v>
      </c>
      <c r="DL95" s="10">
        <f t="shared" si="101"/>
        <v>0</v>
      </c>
      <c r="DM95" s="31" t="str">
        <f t="shared" si="131"/>
        <v>0</v>
      </c>
      <c r="DO95" s="30"/>
      <c r="DP95" s="30"/>
    </row>
    <row r="96" spans="1:120" x14ac:dyDescent="0.2">
      <c r="A96" s="5"/>
      <c r="B96" s="6">
        <f>+Risultati!B95</f>
        <v>0</v>
      </c>
      <c r="C96" s="6">
        <f>+Risultati!C95</f>
        <v>0</v>
      </c>
      <c r="D96" s="26" t="str">
        <f>IF(YEAR(Risultati!D95)=1900,(MID(Risultati!$AP$1,29,4)),YEAR(Risultati!D95))</f>
        <v/>
      </c>
      <c r="E96" s="6">
        <f>+Risultati!E95</f>
        <v>0</v>
      </c>
      <c r="F96" s="8" t="e">
        <f>(LEFT(Risultati!AN95,2)&amp;"-")&amp;VLOOKUP((LEFT(Risultati!AN95,2)),ateco!$B$4:$C$93,2,FALSE)</f>
        <v>#N/A</v>
      </c>
      <c r="G96" s="8" t="str">
        <f>SUBSTITUTE((Risultati!AN95&amp;"-"&amp;Risultati!AO95),",",";")</f>
        <v>-</v>
      </c>
      <c r="I96" s="10">
        <f>+Risultati!G95</f>
        <v>0</v>
      </c>
      <c r="J96" s="11" t="str">
        <f t="shared" si="83"/>
        <v>0</v>
      </c>
      <c r="K96" s="12"/>
      <c r="L96" s="10">
        <f>+Risultati!G95+Risultati!H95</f>
        <v>0</v>
      </c>
      <c r="M96" s="11" t="str">
        <f t="shared" si="84"/>
        <v>0</v>
      </c>
      <c r="N96" s="12"/>
      <c r="O96" s="10">
        <f>+Risultati!I95+Risultati!J95</f>
        <v>0</v>
      </c>
      <c r="P96" s="11" t="str">
        <f t="shared" si="85"/>
        <v>0</v>
      </c>
      <c r="Q96" s="12"/>
      <c r="R96" s="13">
        <f t="shared" si="102"/>
        <v>0</v>
      </c>
      <c r="S96" s="11" t="str">
        <f t="shared" si="86"/>
        <v>0</v>
      </c>
      <c r="T96" s="12"/>
      <c r="U96" s="10">
        <f>+Risultati!F95-(Risultati!G95+Risultati!H95)</f>
        <v>0</v>
      </c>
      <c r="V96" s="12" t="str">
        <f t="shared" si="87"/>
        <v>0</v>
      </c>
      <c r="W96" s="12"/>
      <c r="X96" s="10">
        <f t="shared" si="103"/>
        <v>0</v>
      </c>
      <c r="Y96" s="12" t="str">
        <f t="shared" si="88"/>
        <v>0</v>
      </c>
      <c r="Z96" s="12"/>
      <c r="AA96" s="10">
        <f>+Risultati!K95</f>
        <v>0</v>
      </c>
      <c r="AB96" s="12" t="str">
        <f t="shared" si="89"/>
        <v>0</v>
      </c>
      <c r="AC96" s="12"/>
      <c r="AD96" s="10">
        <f>+Risultati!L95</f>
        <v>0</v>
      </c>
      <c r="AE96" s="12" t="str">
        <f t="shared" si="90"/>
        <v>0</v>
      </c>
      <c r="AF96" s="12"/>
      <c r="AG96" s="10">
        <f>+Risultati!M95+Risultati!P95+Risultati!Q95</f>
        <v>0</v>
      </c>
      <c r="AH96" s="12" t="str">
        <f t="shared" si="91"/>
        <v>0</v>
      </c>
      <c r="AI96" s="12"/>
      <c r="AJ96" s="13">
        <f t="shared" si="104"/>
        <v>0</v>
      </c>
      <c r="AK96" s="11" t="str">
        <f t="shared" si="92"/>
        <v>0</v>
      </c>
      <c r="AL96" s="12"/>
      <c r="AM96" s="10">
        <f>+Risultati!N95</f>
        <v>0</v>
      </c>
      <c r="AN96" s="12" t="str">
        <f t="shared" si="93"/>
        <v>0</v>
      </c>
      <c r="AO96" s="12"/>
      <c r="AP96" s="10">
        <f t="shared" si="105"/>
        <v>0</v>
      </c>
      <c r="AQ96" s="41" t="str">
        <f t="shared" si="94"/>
        <v>0</v>
      </c>
      <c r="AR96" s="12"/>
      <c r="AS96" s="10">
        <f>+Risultati!O95</f>
        <v>0</v>
      </c>
      <c r="AT96" s="12" t="str">
        <f t="shared" si="95"/>
        <v>0</v>
      </c>
      <c r="AU96" s="12"/>
      <c r="AV96" s="10">
        <f t="shared" si="106"/>
        <v>0</v>
      </c>
      <c r="AW96" s="12" t="str">
        <f t="shared" si="96"/>
        <v>0</v>
      </c>
      <c r="AX96" s="12"/>
      <c r="AY96" s="10">
        <f>+Risultati!R95+Risultati!S95</f>
        <v>0</v>
      </c>
      <c r="AZ96" s="12" t="str">
        <f t="shared" si="97"/>
        <v>0</v>
      </c>
      <c r="BA96" s="12"/>
      <c r="BB96" s="10">
        <f>+Risultati!T95</f>
        <v>0</v>
      </c>
      <c r="BC96" s="12" t="str">
        <f t="shared" si="98"/>
        <v>0</v>
      </c>
      <c r="BD96" s="12"/>
      <c r="BE96" s="10">
        <f>+Risultati!U95</f>
        <v>0</v>
      </c>
      <c r="BF96" s="12" t="str">
        <f t="shared" si="99"/>
        <v>0</v>
      </c>
      <c r="BG96" s="12"/>
      <c r="BH96" s="10">
        <f t="shared" si="107"/>
        <v>0</v>
      </c>
      <c r="BI96" s="12" t="str">
        <f t="shared" si="100"/>
        <v>0</v>
      </c>
      <c r="BK96" s="16">
        <f>IF(ISNUMBER(Risultati!X95/100),(Risultati!X95/100))</f>
        <v>0</v>
      </c>
      <c r="BL96" s="16">
        <f>IF(ISNUMBER(Risultati!Y95/100),(Risultati!Y95/100))</f>
        <v>0</v>
      </c>
      <c r="BM96" s="16">
        <f>IF(ISNUMBER(Risultati!Z95/100),(Risultati!Z95/100))</f>
        <v>0</v>
      </c>
      <c r="BN96" s="16">
        <f>IF(AND(Risultati!AY95&lt;0,calcoli!AP96&lt;0),-IF(ISNUMBER(Risultati!AA95/100),(Risultati!AA95/100)),IF(ISNUMBER(Risultati!AA95/100),(Risultati!AA95/100)))</f>
        <v>0</v>
      </c>
      <c r="BO96" s="16" t="str">
        <f t="shared" si="81"/>
        <v>0</v>
      </c>
      <c r="BP96" s="16" t="str">
        <f>IF(Risultati!AB95&gt;0,(AV96/Risultati!AB95),"0")</f>
        <v>0</v>
      </c>
      <c r="BQ96" s="16" t="str">
        <f>IF(Risultati!AG95&lt;&gt;0,(BH96/Risultati!AG95),"0")</f>
        <v>0</v>
      </c>
      <c r="BR96" s="16" t="str">
        <f t="shared" si="82"/>
        <v>0</v>
      </c>
      <c r="BS96" s="14" t="str">
        <f>IF(Risultati!AB95&gt;0,(Risultati!G95/Risultati!AB95),"0")</f>
        <v>0</v>
      </c>
      <c r="BT96" s="15" t="str">
        <f>IF(Risultati!AG95&lt;&gt;0,(Risultati!AB95/Risultati!AG95),"0")</f>
        <v>0</v>
      </c>
      <c r="BU96" s="23" t="str">
        <f>IF(AND(Risultati!G95&gt;0,(Risultati!AE95-Risultati!AF95)&gt;=0),((Risultati!AE95-Risultati!AF95)/Risultati!G95*360),"0")</f>
        <v>0</v>
      </c>
      <c r="BV96" s="21" t="str">
        <f>IF(OR(E96="abbreviato",Risultati!G95=0),"0",((Risultati!AC95+Risultati!AD95)/Risultati!G95*360))</f>
        <v>0</v>
      </c>
      <c r="BW96" s="21" t="str">
        <f>IF(OR(E96="abbreviato",Risultati!G95=0,SUM(Risultati!I95+Risultati!K95+Risultati!M95)=0),"0",(((Risultati!AH95+Risultati!AI95)/(Risultati!I95+Risultati!K95+Risultati!N95)*360)))</f>
        <v>0</v>
      </c>
      <c r="BX96" s="16" t="str">
        <f>IF(Risultati!AB95&gt;0,(+Risultati!AG95/Risultati!AB95),"0")</f>
        <v>0</v>
      </c>
      <c r="BY96" s="22" t="str">
        <f>IF(OR(E96="abbreviato",Risultati!G95=0),"0",(((Risultati!AK95-(Risultati!AL95+Risultati!AM95))/Risultati!G95)))</f>
        <v>0</v>
      </c>
      <c r="BZ96" s="16" t="str">
        <f>IF(Risultati!G95&gt;0,(Risultati!AJ95/Risultati!G95),"0")</f>
        <v>0</v>
      </c>
      <c r="CA96" s="8"/>
      <c r="CB96" s="10">
        <f>+Risultati!AP95</f>
        <v>0</v>
      </c>
      <c r="CC96" s="31" t="str">
        <f t="shared" si="108"/>
        <v>0</v>
      </c>
      <c r="CD96" s="10">
        <f>+Risultati!AQ95</f>
        <v>0</v>
      </c>
      <c r="CE96" s="31" t="str">
        <f t="shared" si="109"/>
        <v>0</v>
      </c>
      <c r="CF96" s="10">
        <f>+Risultati!AR95</f>
        <v>0</v>
      </c>
      <c r="CG96" s="31" t="str">
        <f t="shared" si="110"/>
        <v>0</v>
      </c>
      <c r="CH96" s="10">
        <f>+Risultati!AS95</f>
        <v>0</v>
      </c>
      <c r="CI96" s="31" t="str">
        <f t="shared" si="111"/>
        <v>0</v>
      </c>
      <c r="CJ96" s="10">
        <f t="shared" si="112"/>
        <v>0</v>
      </c>
      <c r="CK96" s="31" t="str">
        <f t="shared" si="113"/>
        <v>0</v>
      </c>
      <c r="CL96" s="10">
        <f>+Risultati!AE95+Risultati!AF95</f>
        <v>0</v>
      </c>
      <c r="CM96" s="31" t="str">
        <f t="shared" si="114"/>
        <v>0</v>
      </c>
      <c r="CN96" s="10">
        <f>+Risultati!AT95</f>
        <v>0</v>
      </c>
      <c r="CO96" s="31" t="str">
        <f t="shared" si="115"/>
        <v>0</v>
      </c>
      <c r="CP96" s="10">
        <f>+Risultati!AU95</f>
        <v>0</v>
      </c>
      <c r="CQ96" s="31" t="str">
        <f t="shared" si="116"/>
        <v>0</v>
      </c>
      <c r="CR96" s="10">
        <f>+Risultati!AL95</f>
        <v>0</v>
      </c>
      <c r="CS96" s="31" t="str">
        <f t="shared" si="117"/>
        <v>0</v>
      </c>
      <c r="CT96" s="10">
        <f t="shared" si="118"/>
        <v>0</v>
      </c>
      <c r="CU96" s="31" t="str">
        <f t="shared" si="119"/>
        <v>0</v>
      </c>
      <c r="CV96" s="10">
        <f>+Risultati!AX95</f>
        <v>0</v>
      </c>
      <c r="CW96" s="31" t="str">
        <f t="shared" si="120"/>
        <v>0</v>
      </c>
      <c r="CX96" s="10">
        <f t="shared" si="121"/>
        <v>0</v>
      </c>
      <c r="CY96" s="31" t="str">
        <f t="shared" si="122"/>
        <v>0</v>
      </c>
      <c r="CZ96" s="10">
        <f>+Risultati!AG95</f>
        <v>0</v>
      </c>
      <c r="DA96" s="31" t="str">
        <f t="shared" si="123"/>
        <v>0</v>
      </c>
      <c r="DB96" s="10">
        <f t="shared" si="124"/>
        <v>0</v>
      </c>
      <c r="DC96" s="31" t="str">
        <f t="shared" si="125"/>
        <v>0</v>
      </c>
      <c r="DD96" s="10">
        <f>+Risultati!AV95</f>
        <v>0</v>
      </c>
      <c r="DE96" s="31" t="str">
        <f t="shared" si="126"/>
        <v>0</v>
      </c>
      <c r="DF96" s="10">
        <f>+Risultati!AJ95</f>
        <v>0</v>
      </c>
      <c r="DG96" s="31" t="str">
        <f t="shared" si="127"/>
        <v>0</v>
      </c>
      <c r="DH96" s="10">
        <f t="shared" si="128"/>
        <v>0</v>
      </c>
      <c r="DI96" s="31" t="str">
        <f t="shared" si="129"/>
        <v>0</v>
      </c>
      <c r="DJ96" s="10">
        <f>+Risultati!AW95</f>
        <v>0</v>
      </c>
      <c r="DK96" s="31" t="str">
        <f t="shared" si="130"/>
        <v>0</v>
      </c>
      <c r="DL96" s="10">
        <f t="shared" si="101"/>
        <v>0</v>
      </c>
      <c r="DM96" s="31" t="str">
        <f t="shared" si="131"/>
        <v>0</v>
      </c>
      <c r="DO96" s="30"/>
      <c r="DP96" s="30"/>
    </row>
    <row r="97" spans="1:120" x14ac:dyDescent="0.2">
      <c r="A97" s="5"/>
      <c r="B97" s="6">
        <f>+Risultati!B96</f>
        <v>0</v>
      </c>
      <c r="C97" s="6">
        <f>+Risultati!C96</f>
        <v>0</v>
      </c>
      <c r="D97" s="26" t="str">
        <f>IF(YEAR(Risultati!D96)=1900,(MID(Risultati!$AP$1,29,4)),YEAR(Risultati!D96))</f>
        <v/>
      </c>
      <c r="E97" s="6">
        <f>+Risultati!E96</f>
        <v>0</v>
      </c>
      <c r="F97" s="8" t="e">
        <f>(LEFT(Risultati!AN96,2)&amp;"-")&amp;VLOOKUP((LEFT(Risultati!AN96,2)),ateco!$B$4:$C$93,2,FALSE)</f>
        <v>#N/A</v>
      </c>
      <c r="G97" s="8" t="str">
        <f>SUBSTITUTE((Risultati!AN96&amp;"-"&amp;Risultati!AO96),",",";")</f>
        <v>-</v>
      </c>
      <c r="I97" s="10">
        <f>+Risultati!G96</f>
        <v>0</v>
      </c>
      <c r="J97" s="11" t="str">
        <f t="shared" si="83"/>
        <v>0</v>
      </c>
      <c r="K97" s="12"/>
      <c r="L97" s="10">
        <f>+Risultati!G96+Risultati!H96</f>
        <v>0</v>
      </c>
      <c r="M97" s="11" t="str">
        <f t="shared" si="84"/>
        <v>0</v>
      </c>
      <c r="N97" s="12"/>
      <c r="O97" s="10">
        <f>+Risultati!I96+Risultati!J96</f>
        <v>0</v>
      </c>
      <c r="P97" s="11" t="str">
        <f t="shared" si="85"/>
        <v>0</v>
      </c>
      <c r="Q97" s="12"/>
      <c r="R97" s="13">
        <f t="shared" si="102"/>
        <v>0</v>
      </c>
      <c r="S97" s="11" t="str">
        <f t="shared" si="86"/>
        <v>0</v>
      </c>
      <c r="T97" s="12"/>
      <c r="U97" s="10">
        <f>+Risultati!F96-(Risultati!G96+Risultati!H96)</f>
        <v>0</v>
      </c>
      <c r="V97" s="12" t="str">
        <f t="shared" si="87"/>
        <v>0</v>
      </c>
      <c r="W97" s="12"/>
      <c r="X97" s="10">
        <f t="shared" si="103"/>
        <v>0</v>
      </c>
      <c r="Y97" s="12" t="str">
        <f t="shared" si="88"/>
        <v>0</v>
      </c>
      <c r="Z97" s="12"/>
      <c r="AA97" s="10">
        <f>+Risultati!K96</f>
        <v>0</v>
      </c>
      <c r="AB97" s="12" t="str">
        <f t="shared" si="89"/>
        <v>0</v>
      </c>
      <c r="AC97" s="12"/>
      <c r="AD97" s="10">
        <f>+Risultati!L96</f>
        <v>0</v>
      </c>
      <c r="AE97" s="12" t="str">
        <f t="shared" si="90"/>
        <v>0</v>
      </c>
      <c r="AF97" s="12"/>
      <c r="AG97" s="10">
        <f>+Risultati!M96+Risultati!P96+Risultati!Q96</f>
        <v>0</v>
      </c>
      <c r="AH97" s="12" t="str">
        <f t="shared" si="91"/>
        <v>0</v>
      </c>
      <c r="AI97" s="12"/>
      <c r="AJ97" s="13">
        <f t="shared" si="104"/>
        <v>0</v>
      </c>
      <c r="AK97" s="11" t="str">
        <f t="shared" si="92"/>
        <v>0</v>
      </c>
      <c r="AL97" s="12"/>
      <c r="AM97" s="10">
        <f>+Risultati!N96</f>
        <v>0</v>
      </c>
      <c r="AN97" s="12" t="str">
        <f t="shared" si="93"/>
        <v>0</v>
      </c>
      <c r="AO97" s="12"/>
      <c r="AP97" s="10">
        <f t="shared" si="105"/>
        <v>0</v>
      </c>
      <c r="AQ97" s="41" t="str">
        <f t="shared" si="94"/>
        <v>0</v>
      </c>
      <c r="AR97" s="12"/>
      <c r="AS97" s="10">
        <f>+Risultati!O96</f>
        <v>0</v>
      </c>
      <c r="AT97" s="12" t="str">
        <f t="shared" si="95"/>
        <v>0</v>
      </c>
      <c r="AU97" s="12"/>
      <c r="AV97" s="10">
        <f t="shared" si="106"/>
        <v>0</v>
      </c>
      <c r="AW97" s="12" t="str">
        <f t="shared" si="96"/>
        <v>0</v>
      </c>
      <c r="AX97" s="12"/>
      <c r="AY97" s="10">
        <f>+Risultati!R96+Risultati!S96</f>
        <v>0</v>
      </c>
      <c r="AZ97" s="12" t="str">
        <f t="shared" si="97"/>
        <v>0</v>
      </c>
      <c r="BA97" s="12"/>
      <c r="BB97" s="10">
        <f>+Risultati!T96</f>
        <v>0</v>
      </c>
      <c r="BC97" s="12" t="str">
        <f t="shared" si="98"/>
        <v>0</v>
      </c>
      <c r="BD97" s="12"/>
      <c r="BE97" s="10">
        <f>+Risultati!U96</f>
        <v>0</v>
      </c>
      <c r="BF97" s="12" t="str">
        <f t="shared" si="99"/>
        <v>0</v>
      </c>
      <c r="BG97" s="12"/>
      <c r="BH97" s="10">
        <f t="shared" si="107"/>
        <v>0</v>
      </c>
      <c r="BI97" s="12" t="str">
        <f t="shared" si="100"/>
        <v>0</v>
      </c>
      <c r="BK97" s="16">
        <f>IF(ISNUMBER(Risultati!X96/100),(Risultati!X96/100))</f>
        <v>0</v>
      </c>
      <c r="BL97" s="16">
        <f>IF(ISNUMBER(Risultati!Y96/100),(Risultati!Y96/100))</f>
        <v>0</v>
      </c>
      <c r="BM97" s="16">
        <f>IF(ISNUMBER(Risultati!Z96/100),(Risultati!Z96/100))</f>
        <v>0</v>
      </c>
      <c r="BN97" s="16">
        <f>IF(AND(Risultati!AY96&lt;0,calcoli!AP97&lt;0),-IF(ISNUMBER(Risultati!AA96/100),(Risultati!AA96/100)),IF(ISNUMBER(Risultati!AA96/100),(Risultati!AA96/100)))</f>
        <v>0</v>
      </c>
      <c r="BO97" s="16" t="str">
        <f t="shared" si="81"/>
        <v>0</v>
      </c>
      <c r="BP97" s="16" t="str">
        <f>IF(Risultati!AB96&gt;0,(AV97/Risultati!AB96),"0")</f>
        <v>0</v>
      </c>
      <c r="BQ97" s="16" t="str">
        <f>IF(Risultati!AG96&lt;&gt;0,(BH97/Risultati!AG96),"0")</f>
        <v>0</v>
      </c>
      <c r="BR97" s="16" t="str">
        <f t="shared" si="82"/>
        <v>0</v>
      </c>
      <c r="BS97" s="14" t="str">
        <f>IF(Risultati!AB96&gt;0,(Risultati!G96/Risultati!AB96),"0")</f>
        <v>0</v>
      </c>
      <c r="BT97" s="15" t="str">
        <f>IF(Risultati!AG96&lt;&gt;0,(Risultati!AB96/Risultati!AG96),"0")</f>
        <v>0</v>
      </c>
      <c r="BU97" s="23" t="str">
        <f>IF(AND(Risultati!G96&gt;0,(Risultati!AE96-Risultati!AF96)&gt;=0),((Risultati!AE96-Risultati!AF96)/Risultati!G96*360),"0")</f>
        <v>0</v>
      </c>
      <c r="BV97" s="21" t="str">
        <f>IF(OR(E97="abbreviato",Risultati!G96=0),"0",((Risultati!AC96+Risultati!AD96)/Risultati!G96*360))</f>
        <v>0</v>
      </c>
      <c r="BW97" s="21" t="str">
        <f>IF(OR(E97="abbreviato",Risultati!G96=0,SUM(Risultati!I96+Risultati!K96+Risultati!M96)=0),"0",(((Risultati!AH96+Risultati!AI96)/(Risultati!I96+Risultati!K96+Risultati!N96)*360)))</f>
        <v>0</v>
      </c>
      <c r="BX97" s="16" t="str">
        <f>IF(Risultati!AB96&gt;0,(+Risultati!AG96/Risultati!AB96),"0")</f>
        <v>0</v>
      </c>
      <c r="BY97" s="22" t="str">
        <f>IF(OR(E97="abbreviato",Risultati!G96=0),"0",(((Risultati!AK96-(Risultati!AL96+Risultati!AM96))/Risultati!G96)))</f>
        <v>0</v>
      </c>
      <c r="BZ97" s="16" t="str">
        <f>IF(Risultati!G96&gt;0,(Risultati!AJ96/Risultati!G96),"0")</f>
        <v>0</v>
      </c>
      <c r="CA97" s="8"/>
      <c r="CB97" s="10">
        <f>+Risultati!AP96</f>
        <v>0</v>
      </c>
      <c r="CC97" s="31" t="str">
        <f t="shared" si="108"/>
        <v>0</v>
      </c>
      <c r="CD97" s="10">
        <f>+Risultati!AQ96</f>
        <v>0</v>
      </c>
      <c r="CE97" s="31" t="str">
        <f t="shared" si="109"/>
        <v>0</v>
      </c>
      <c r="CF97" s="10">
        <f>+Risultati!AR96</f>
        <v>0</v>
      </c>
      <c r="CG97" s="31" t="str">
        <f t="shared" si="110"/>
        <v>0</v>
      </c>
      <c r="CH97" s="10">
        <f>+Risultati!AS96</f>
        <v>0</v>
      </c>
      <c r="CI97" s="31" t="str">
        <f t="shared" si="111"/>
        <v>0</v>
      </c>
      <c r="CJ97" s="10">
        <f t="shared" si="112"/>
        <v>0</v>
      </c>
      <c r="CK97" s="31" t="str">
        <f t="shared" si="113"/>
        <v>0</v>
      </c>
      <c r="CL97" s="10">
        <f>+Risultati!AE96+Risultati!AF96</f>
        <v>0</v>
      </c>
      <c r="CM97" s="31" t="str">
        <f t="shared" si="114"/>
        <v>0</v>
      </c>
      <c r="CN97" s="10">
        <f>+Risultati!AT96</f>
        <v>0</v>
      </c>
      <c r="CO97" s="31" t="str">
        <f t="shared" si="115"/>
        <v>0</v>
      </c>
      <c r="CP97" s="10">
        <f>+Risultati!AU96</f>
        <v>0</v>
      </c>
      <c r="CQ97" s="31" t="str">
        <f t="shared" si="116"/>
        <v>0</v>
      </c>
      <c r="CR97" s="10">
        <f>+Risultati!AL96</f>
        <v>0</v>
      </c>
      <c r="CS97" s="31" t="str">
        <f t="shared" si="117"/>
        <v>0</v>
      </c>
      <c r="CT97" s="10">
        <f t="shared" si="118"/>
        <v>0</v>
      </c>
      <c r="CU97" s="31" t="str">
        <f t="shared" si="119"/>
        <v>0</v>
      </c>
      <c r="CV97" s="10">
        <f>+Risultati!AX96</f>
        <v>0</v>
      </c>
      <c r="CW97" s="31" t="str">
        <f t="shared" si="120"/>
        <v>0</v>
      </c>
      <c r="CX97" s="10">
        <f t="shared" si="121"/>
        <v>0</v>
      </c>
      <c r="CY97" s="31" t="str">
        <f t="shared" si="122"/>
        <v>0</v>
      </c>
      <c r="CZ97" s="10">
        <f>+Risultati!AG96</f>
        <v>0</v>
      </c>
      <c r="DA97" s="31" t="str">
        <f t="shared" si="123"/>
        <v>0</v>
      </c>
      <c r="DB97" s="10">
        <f t="shared" si="124"/>
        <v>0</v>
      </c>
      <c r="DC97" s="31" t="str">
        <f t="shared" si="125"/>
        <v>0</v>
      </c>
      <c r="DD97" s="10">
        <f>+Risultati!AV96</f>
        <v>0</v>
      </c>
      <c r="DE97" s="31" t="str">
        <f t="shared" si="126"/>
        <v>0</v>
      </c>
      <c r="DF97" s="10">
        <f>+Risultati!AJ96</f>
        <v>0</v>
      </c>
      <c r="DG97" s="31" t="str">
        <f t="shared" si="127"/>
        <v>0</v>
      </c>
      <c r="DH97" s="10">
        <f t="shared" si="128"/>
        <v>0</v>
      </c>
      <c r="DI97" s="31" t="str">
        <f t="shared" si="129"/>
        <v>0</v>
      </c>
      <c r="DJ97" s="10">
        <f>+Risultati!AW96</f>
        <v>0</v>
      </c>
      <c r="DK97" s="31" t="str">
        <f t="shared" si="130"/>
        <v>0</v>
      </c>
      <c r="DL97" s="10">
        <f t="shared" si="101"/>
        <v>0</v>
      </c>
      <c r="DM97" s="31" t="str">
        <f t="shared" si="131"/>
        <v>0</v>
      </c>
      <c r="DO97" s="30"/>
      <c r="DP97" s="30"/>
    </row>
    <row r="98" spans="1:120" x14ac:dyDescent="0.2">
      <c r="A98" s="5"/>
      <c r="B98" s="6">
        <f>+Risultati!B97</f>
        <v>0</v>
      </c>
      <c r="C98" s="6">
        <f>+Risultati!C97</f>
        <v>0</v>
      </c>
      <c r="D98" s="26" t="str">
        <f>IF(YEAR(Risultati!D97)=1900,(MID(Risultati!$AP$1,29,4)),YEAR(Risultati!D97))</f>
        <v/>
      </c>
      <c r="E98" s="6">
        <f>+Risultati!E97</f>
        <v>0</v>
      </c>
      <c r="F98" s="8" t="e">
        <f>(LEFT(Risultati!AN97,2)&amp;"-")&amp;VLOOKUP((LEFT(Risultati!AN97,2)),ateco!$B$4:$C$93,2,FALSE)</f>
        <v>#N/A</v>
      </c>
      <c r="G98" s="8" t="str">
        <f>SUBSTITUTE((Risultati!AN97&amp;"-"&amp;Risultati!AO97),",",";")</f>
        <v>-</v>
      </c>
      <c r="I98" s="10">
        <f>+Risultati!G97</f>
        <v>0</v>
      </c>
      <c r="J98" s="11" t="str">
        <f t="shared" si="83"/>
        <v>0</v>
      </c>
      <c r="K98" s="12"/>
      <c r="L98" s="10">
        <f>+Risultati!G97+Risultati!H97</f>
        <v>0</v>
      </c>
      <c r="M98" s="11" t="str">
        <f t="shared" si="84"/>
        <v>0</v>
      </c>
      <c r="N98" s="12"/>
      <c r="O98" s="10">
        <f>+Risultati!I97+Risultati!J97</f>
        <v>0</v>
      </c>
      <c r="P98" s="11" t="str">
        <f t="shared" si="85"/>
        <v>0</v>
      </c>
      <c r="Q98" s="12"/>
      <c r="R98" s="13">
        <f t="shared" si="102"/>
        <v>0</v>
      </c>
      <c r="S98" s="11" t="str">
        <f t="shared" si="86"/>
        <v>0</v>
      </c>
      <c r="T98" s="12"/>
      <c r="U98" s="10">
        <f>+Risultati!F97-(Risultati!G97+Risultati!H97)</f>
        <v>0</v>
      </c>
      <c r="V98" s="12" t="str">
        <f t="shared" si="87"/>
        <v>0</v>
      </c>
      <c r="W98" s="12"/>
      <c r="X98" s="10">
        <f t="shared" si="103"/>
        <v>0</v>
      </c>
      <c r="Y98" s="12" t="str">
        <f t="shared" si="88"/>
        <v>0</v>
      </c>
      <c r="Z98" s="12"/>
      <c r="AA98" s="10">
        <f>+Risultati!K97</f>
        <v>0</v>
      </c>
      <c r="AB98" s="12" t="str">
        <f t="shared" si="89"/>
        <v>0</v>
      </c>
      <c r="AC98" s="12"/>
      <c r="AD98" s="10">
        <f>+Risultati!L97</f>
        <v>0</v>
      </c>
      <c r="AE98" s="12" t="str">
        <f t="shared" si="90"/>
        <v>0</v>
      </c>
      <c r="AF98" s="12"/>
      <c r="AG98" s="10">
        <f>+Risultati!M97+Risultati!P97+Risultati!Q97</f>
        <v>0</v>
      </c>
      <c r="AH98" s="12" t="str">
        <f t="shared" si="91"/>
        <v>0</v>
      </c>
      <c r="AI98" s="12"/>
      <c r="AJ98" s="13">
        <f t="shared" si="104"/>
        <v>0</v>
      </c>
      <c r="AK98" s="11" t="str">
        <f t="shared" si="92"/>
        <v>0</v>
      </c>
      <c r="AL98" s="12"/>
      <c r="AM98" s="10">
        <f>+Risultati!N97</f>
        <v>0</v>
      </c>
      <c r="AN98" s="12" t="str">
        <f t="shared" si="93"/>
        <v>0</v>
      </c>
      <c r="AO98" s="12"/>
      <c r="AP98" s="10">
        <f t="shared" si="105"/>
        <v>0</v>
      </c>
      <c r="AQ98" s="41" t="str">
        <f t="shared" si="94"/>
        <v>0</v>
      </c>
      <c r="AR98" s="12"/>
      <c r="AS98" s="10">
        <f>+Risultati!O97</f>
        <v>0</v>
      </c>
      <c r="AT98" s="12" t="str">
        <f t="shared" si="95"/>
        <v>0</v>
      </c>
      <c r="AU98" s="12"/>
      <c r="AV98" s="10">
        <f t="shared" si="106"/>
        <v>0</v>
      </c>
      <c r="AW98" s="12" t="str">
        <f t="shared" si="96"/>
        <v>0</v>
      </c>
      <c r="AX98" s="12"/>
      <c r="AY98" s="10">
        <f>+Risultati!R97+Risultati!S97</f>
        <v>0</v>
      </c>
      <c r="AZ98" s="12" t="str">
        <f t="shared" si="97"/>
        <v>0</v>
      </c>
      <c r="BA98" s="12"/>
      <c r="BB98" s="10">
        <f>+Risultati!T97</f>
        <v>0</v>
      </c>
      <c r="BC98" s="12" t="str">
        <f t="shared" si="98"/>
        <v>0</v>
      </c>
      <c r="BD98" s="12"/>
      <c r="BE98" s="10">
        <f>+Risultati!U97</f>
        <v>0</v>
      </c>
      <c r="BF98" s="12" t="str">
        <f t="shared" si="99"/>
        <v>0</v>
      </c>
      <c r="BG98" s="12"/>
      <c r="BH98" s="10">
        <f t="shared" si="107"/>
        <v>0</v>
      </c>
      <c r="BI98" s="12" t="str">
        <f t="shared" si="100"/>
        <v>0</v>
      </c>
      <c r="BK98" s="16">
        <f>IF(ISNUMBER(Risultati!X97/100),(Risultati!X97/100))</f>
        <v>0</v>
      </c>
      <c r="BL98" s="16">
        <f>IF(ISNUMBER(Risultati!Y97/100),(Risultati!Y97/100))</f>
        <v>0</v>
      </c>
      <c r="BM98" s="16">
        <f>IF(ISNUMBER(Risultati!Z97/100),(Risultati!Z97/100))</f>
        <v>0</v>
      </c>
      <c r="BN98" s="16">
        <f>IF(AND(Risultati!AY97&lt;0,calcoli!AP98&lt;0),-IF(ISNUMBER(Risultati!AA97/100),(Risultati!AA97/100)),IF(ISNUMBER(Risultati!AA97/100),(Risultati!AA97/100)))</f>
        <v>0</v>
      </c>
      <c r="BO98" s="16" t="str">
        <f t="shared" si="81"/>
        <v>0</v>
      </c>
      <c r="BP98" s="16" t="str">
        <f>IF(Risultati!AB97&gt;0,(AV98/Risultati!AB97),"0")</f>
        <v>0</v>
      </c>
      <c r="BQ98" s="16" t="str">
        <f>IF(Risultati!AG97&lt;&gt;0,(BH98/Risultati!AG97),"0")</f>
        <v>0</v>
      </c>
      <c r="BR98" s="16" t="str">
        <f t="shared" si="82"/>
        <v>0</v>
      </c>
      <c r="BS98" s="14" t="str">
        <f>IF(Risultati!AB97&gt;0,(Risultati!G97/Risultati!AB97),"0")</f>
        <v>0</v>
      </c>
      <c r="BT98" s="15" t="str">
        <f>IF(Risultati!AG97&lt;&gt;0,(Risultati!AB97/Risultati!AG97),"0")</f>
        <v>0</v>
      </c>
      <c r="BU98" s="23" t="str">
        <f>IF(AND(Risultati!G97&gt;0,(Risultati!AE97-Risultati!AF97)&gt;=0),((Risultati!AE97-Risultati!AF97)/Risultati!G97*360),"0")</f>
        <v>0</v>
      </c>
      <c r="BV98" s="21" t="str">
        <f>IF(OR(E98="abbreviato",Risultati!G97=0),"0",((Risultati!AC97+Risultati!AD97)/Risultati!G97*360))</f>
        <v>0</v>
      </c>
      <c r="BW98" s="21" t="str">
        <f>IF(OR(E98="abbreviato",Risultati!G97=0,SUM(Risultati!I97+Risultati!K97+Risultati!M97)=0),"0",(((Risultati!AH97+Risultati!AI97)/(Risultati!I97+Risultati!K97+Risultati!N97)*360)))</f>
        <v>0</v>
      </c>
      <c r="BX98" s="16" t="str">
        <f>IF(Risultati!AB97&gt;0,(+Risultati!AG97/Risultati!AB97),"0")</f>
        <v>0</v>
      </c>
      <c r="BY98" s="22" t="str">
        <f>IF(OR(E98="abbreviato",Risultati!G97=0),"0",(((Risultati!AK97-(Risultati!AL97+Risultati!AM97))/Risultati!G97)))</f>
        <v>0</v>
      </c>
      <c r="BZ98" s="16" t="str">
        <f>IF(Risultati!G97&gt;0,(Risultati!AJ97/Risultati!G97),"0")</f>
        <v>0</v>
      </c>
      <c r="CA98" s="8"/>
      <c r="CB98" s="10">
        <f>+Risultati!AP97</f>
        <v>0</v>
      </c>
      <c r="CC98" s="31" t="str">
        <f t="shared" si="108"/>
        <v>0</v>
      </c>
      <c r="CD98" s="10">
        <f>+Risultati!AQ97</f>
        <v>0</v>
      </c>
      <c r="CE98" s="31" t="str">
        <f t="shared" si="109"/>
        <v>0</v>
      </c>
      <c r="CF98" s="10">
        <f>+Risultati!AR97</f>
        <v>0</v>
      </c>
      <c r="CG98" s="31" t="str">
        <f t="shared" si="110"/>
        <v>0</v>
      </c>
      <c r="CH98" s="10">
        <f>+Risultati!AS97</f>
        <v>0</v>
      </c>
      <c r="CI98" s="31" t="str">
        <f t="shared" si="111"/>
        <v>0</v>
      </c>
      <c r="CJ98" s="10">
        <f t="shared" si="112"/>
        <v>0</v>
      </c>
      <c r="CK98" s="31" t="str">
        <f t="shared" si="113"/>
        <v>0</v>
      </c>
      <c r="CL98" s="10">
        <f>+Risultati!AE97+Risultati!AF97</f>
        <v>0</v>
      </c>
      <c r="CM98" s="31" t="str">
        <f t="shared" si="114"/>
        <v>0</v>
      </c>
      <c r="CN98" s="10">
        <f>+Risultati!AT97</f>
        <v>0</v>
      </c>
      <c r="CO98" s="31" t="str">
        <f t="shared" si="115"/>
        <v>0</v>
      </c>
      <c r="CP98" s="10">
        <f>+Risultati!AU97</f>
        <v>0</v>
      </c>
      <c r="CQ98" s="31" t="str">
        <f t="shared" si="116"/>
        <v>0</v>
      </c>
      <c r="CR98" s="10">
        <f>+Risultati!AL97</f>
        <v>0</v>
      </c>
      <c r="CS98" s="31" t="str">
        <f t="shared" si="117"/>
        <v>0</v>
      </c>
      <c r="CT98" s="10">
        <f t="shared" si="118"/>
        <v>0</v>
      </c>
      <c r="CU98" s="31" t="str">
        <f t="shared" si="119"/>
        <v>0</v>
      </c>
      <c r="CV98" s="10">
        <f>+Risultati!AX97</f>
        <v>0</v>
      </c>
      <c r="CW98" s="31" t="str">
        <f t="shared" si="120"/>
        <v>0</v>
      </c>
      <c r="CX98" s="10">
        <f t="shared" si="121"/>
        <v>0</v>
      </c>
      <c r="CY98" s="31" t="str">
        <f t="shared" si="122"/>
        <v>0</v>
      </c>
      <c r="CZ98" s="10">
        <f>+Risultati!AG97</f>
        <v>0</v>
      </c>
      <c r="DA98" s="31" t="str">
        <f t="shared" si="123"/>
        <v>0</v>
      </c>
      <c r="DB98" s="10">
        <f t="shared" si="124"/>
        <v>0</v>
      </c>
      <c r="DC98" s="31" t="str">
        <f t="shared" si="125"/>
        <v>0</v>
      </c>
      <c r="DD98" s="10">
        <f>+Risultati!AV97</f>
        <v>0</v>
      </c>
      <c r="DE98" s="31" t="str">
        <f t="shared" si="126"/>
        <v>0</v>
      </c>
      <c r="DF98" s="10">
        <f>+Risultati!AJ97</f>
        <v>0</v>
      </c>
      <c r="DG98" s="31" t="str">
        <f t="shared" si="127"/>
        <v>0</v>
      </c>
      <c r="DH98" s="10">
        <f t="shared" si="128"/>
        <v>0</v>
      </c>
      <c r="DI98" s="31" t="str">
        <f t="shared" si="129"/>
        <v>0</v>
      </c>
      <c r="DJ98" s="10">
        <f>+Risultati!AW97</f>
        <v>0</v>
      </c>
      <c r="DK98" s="31" t="str">
        <f t="shared" si="130"/>
        <v>0</v>
      </c>
      <c r="DL98" s="10">
        <f t="shared" si="101"/>
        <v>0</v>
      </c>
      <c r="DM98" s="31" t="str">
        <f t="shared" si="131"/>
        <v>0</v>
      </c>
      <c r="DO98" s="30"/>
      <c r="DP98" s="30"/>
    </row>
    <row r="99" spans="1:120" x14ac:dyDescent="0.2">
      <c r="A99" s="5"/>
      <c r="B99" s="6">
        <f>+Risultati!B98</f>
        <v>0</v>
      </c>
      <c r="C99" s="6">
        <f>+Risultati!C98</f>
        <v>0</v>
      </c>
      <c r="D99" s="26" t="str">
        <f>IF(YEAR(Risultati!D98)=1900,(MID(Risultati!$AP$1,29,4)),YEAR(Risultati!D98))</f>
        <v/>
      </c>
      <c r="E99" s="6">
        <f>+Risultati!E98</f>
        <v>0</v>
      </c>
      <c r="F99" s="8" t="e">
        <f>(LEFT(Risultati!AN98,2)&amp;"-")&amp;VLOOKUP((LEFT(Risultati!AN98,2)),ateco!$B$4:$C$93,2,FALSE)</f>
        <v>#N/A</v>
      </c>
      <c r="G99" s="8" t="str">
        <f>SUBSTITUTE((Risultati!AN98&amp;"-"&amp;Risultati!AO98),",",";")</f>
        <v>-</v>
      </c>
      <c r="I99" s="10">
        <f>+Risultati!G98</f>
        <v>0</v>
      </c>
      <c r="J99" s="11" t="str">
        <f t="shared" si="83"/>
        <v>0</v>
      </c>
      <c r="K99" s="12"/>
      <c r="L99" s="10">
        <f>+Risultati!G98+Risultati!H98</f>
        <v>0</v>
      </c>
      <c r="M99" s="11" t="str">
        <f t="shared" si="84"/>
        <v>0</v>
      </c>
      <c r="N99" s="12"/>
      <c r="O99" s="10">
        <f>+Risultati!I98+Risultati!J98</f>
        <v>0</v>
      </c>
      <c r="P99" s="11" t="str">
        <f t="shared" si="85"/>
        <v>0</v>
      </c>
      <c r="Q99" s="12"/>
      <c r="R99" s="13">
        <f t="shared" si="102"/>
        <v>0</v>
      </c>
      <c r="S99" s="11" t="str">
        <f t="shared" si="86"/>
        <v>0</v>
      </c>
      <c r="T99" s="12"/>
      <c r="U99" s="10">
        <f>+Risultati!F98-(Risultati!G98+Risultati!H98)</f>
        <v>0</v>
      </c>
      <c r="V99" s="12" t="str">
        <f t="shared" si="87"/>
        <v>0</v>
      </c>
      <c r="W99" s="12"/>
      <c r="X99" s="10">
        <f t="shared" si="103"/>
        <v>0</v>
      </c>
      <c r="Y99" s="12" t="str">
        <f t="shared" si="88"/>
        <v>0</v>
      </c>
      <c r="Z99" s="12"/>
      <c r="AA99" s="10">
        <f>+Risultati!K98</f>
        <v>0</v>
      </c>
      <c r="AB99" s="12" t="str">
        <f t="shared" si="89"/>
        <v>0</v>
      </c>
      <c r="AC99" s="12"/>
      <c r="AD99" s="10">
        <f>+Risultati!L98</f>
        <v>0</v>
      </c>
      <c r="AE99" s="12" t="str">
        <f t="shared" si="90"/>
        <v>0</v>
      </c>
      <c r="AF99" s="12"/>
      <c r="AG99" s="10">
        <f>+Risultati!M98+Risultati!P98+Risultati!Q98</f>
        <v>0</v>
      </c>
      <c r="AH99" s="12" t="str">
        <f t="shared" si="91"/>
        <v>0</v>
      </c>
      <c r="AI99" s="12"/>
      <c r="AJ99" s="13">
        <f t="shared" si="104"/>
        <v>0</v>
      </c>
      <c r="AK99" s="11" t="str">
        <f t="shared" si="92"/>
        <v>0</v>
      </c>
      <c r="AL99" s="12"/>
      <c r="AM99" s="10">
        <f>+Risultati!N98</f>
        <v>0</v>
      </c>
      <c r="AN99" s="12" t="str">
        <f t="shared" si="93"/>
        <v>0</v>
      </c>
      <c r="AO99" s="12"/>
      <c r="AP99" s="10">
        <f t="shared" si="105"/>
        <v>0</v>
      </c>
      <c r="AQ99" s="41" t="str">
        <f t="shared" si="94"/>
        <v>0</v>
      </c>
      <c r="AR99" s="12"/>
      <c r="AS99" s="10">
        <f>+Risultati!O98</f>
        <v>0</v>
      </c>
      <c r="AT99" s="12" t="str">
        <f t="shared" si="95"/>
        <v>0</v>
      </c>
      <c r="AU99" s="12"/>
      <c r="AV99" s="10">
        <f t="shared" si="106"/>
        <v>0</v>
      </c>
      <c r="AW99" s="12" t="str">
        <f t="shared" si="96"/>
        <v>0</v>
      </c>
      <c r="AX99" s="12"/>
      <c r="AY99" s="10">
        <f>+Risultati!R98+Risultati!S98</f>
        <v>0</v>
      </c>
      <c r="AZ99" s="12" t="str">
        <f t="shared" si="97"/>
        <v>0</v>
      </c>
      <c r="BA99" s="12"/>
      <c r="BB99" s="10">
        <f>+Risultati!T98</f>
        <v>0</v>
      </c>
      <c r="BC99" s="12" t="str">
        <f t="shared" si="98"/>
        <v>0</v>
      </c>
      <c r="BD99" s="12"/>
      <c r="BE99" s="10">
        <f>+Risultati!U98</f>
        <v>0</v>
      </c>
      <c r="BF99" s="12" t="str">
        <f t="shared" si="99"/>
        <v>0</v>
      </c>
      <c r="BG99" s="12"/>
      <c r="BH99" s="10">
        <f t="shared" si="107"/>
        <v>0</v>
      </c>
      <c r="BI99" s="12" t="str">
        <f t="shared" si="100"/>
        <v>0</v>
      </c>
      <c r="BK99" s="16">
        <f>IF(ISNUMBER(Risultati!X98/100),(Risultati!X98/100))</f>
        <v>0</v>
      </c>
      <c r="BL99" s="16">
        <f>IF(ISNUMBER(Risultati!Y98/100),(Risultati!Y98/100))</f>
        <v>0</v>
      </c>
      <c r="BM99" s="16">
        <f>IF(ISNUMBER(Risultati!Z98/100),(Risultati!Z98/100))</f>
        <v>0</v>
      </c>
      <c r="BN99" s="16">
        <f>IF(AND(Risultati!AY98&lt;0,calcoli!AP99&lt;0),-IF(ISNUMBER(Risultati!AA98/100),(Risultati!AA98/100)),IF(ISNUMBER(Risultati!AA98/100),(Risultati!AA98/100)))</f>
        <v>0</v>
      </c>
      <c r="BO99" s="16" t="str">
        <f t="shared" si="81"/>
        <v>0</v>
      </c>
      <c r="BP99" s="16" t="str">
        <f>IF(Risultati!AB98&gt;0,(AV99/Risultati!AB98),"0")</f>
        <v>0</v>
      </c>
      <c r="BQ99" s="16" t="str">
        <f>IF(Risultati!AG98&lt;&gt;0,(BH99/Risultati!AG98),"0")</f>
        <v>0</v>
      </c>
      <c r="BR99" s="16" t="str">
        <f t="shared" si="82"/>
        <v>0</v>
      </c>
      <c r="BS99" s="14" t="str">
        <f>IF(Risultati!AB98&gt;0,(Risultati!G98/Risultati!AB98),"0")</f>
        <v>0</v>
      </c>
      <c r="BT99" s="15" t="str">
        <f>IF(Risultati!AG98&lt;&gt;0,(Risultati!AB98/Risultati!AG98),"0")</f>
        <v>0</v>
      </c>
      <c r="BU99" s="23" t="str">
        <f>IF(AND(Risultati!G98&gt;0,(Risultati!AE98-Risultati!AF98)&gt;=0),((Risultati!AE98-Risultati!AF98)/Risultati!G98*360),"0")</f>
        <v>0</v>
      </c>
      <c r="BV99" s="21" t="str">
        <f>IF(OR(E99="abbreviato",Risultati!G98=0),"0",((Risultati!AC98+Risultati!AD98)/Risultati!G98*360))</f>
        <v>0</v>
      </c>
      <c r="BW99" s="21" t="str">
        <f>IF(OR(E99="abbreviato",Risultati!G98=0,SUM(Risultati!I98+Risultati!K98+Risultati!M98)=0),"0",(((Risultati!AH98+Risultati!AI98)/(Risultati!I98+Risultati!K98+Risultati!N98)*360)))</f>
        <v>0</v>
      </c>
      <c r="BX99" s="16" t="str">
        <f>IF(Risultati!AB98&gt;0,(+Risultati!AG98/Risultati!AB98),"0")</f>
        <v>0</v>
      </c>
      <c r="BY99" s="22" t="str">
        <f>IF(OR(E99="abbreviato",Risultati!G98=0),"0",(((Risultati!AK98-(Risultati!AL98+Risultati!AM98))/Risultati!G98)))</f>
        <v>0</v>
      </c>
      <c r="BZ99" s="16" t="str">
        <f>IF(Risultati!G98&gt;0,(Risultati!AJ98/Risultati!G98),"0")</f>
        <v>0</v>
      </c>
      <c r="CA99" s="8"/>
      <c r="CB99" s="10">
        <f>+Risultati!AP98</f>
        <v>0</v>
      </c>
      <c r="CC99" s="31" t="str">
        <f t="shared" si="108"/>
        <v>0</v>
      </c>
      <c r="CD99" s="10">
        <f>+Risultati!AQ98</f>
        <v>0</v>
      </c>
      <c r="CE99" s="31" t="str">
        <f t="shared" si="109"/>
        <v>0</v>
      </c>
      <c r="CF99" s="10">
        <f>+Risultati!AR98</f>
        <v>0</v>
      </c>
      <c r="CG99" s="31" t="str">
        <f t="shared" si="110"/>
        <v>0</v>
      </c>
      <c r="CH99" s="10">
        <f>+Risultati!AS98</f>
        <v>0</v>
      </c>
      <c r="CI99" s="31" t="str">
        <f t="shared" si="111"/>
        <v>0</v>
      </c>
      <c r="CJ99" s="10">
        <f t="shared" si="112"/>
        <v>0</v>
      </c>
      <c r="CK99" s="31" t="str">
        <f t="shared" si="113"/>
        <v>0</v>
      </c>
      <c r="CL99" s="10">
        <f>+Risultati!AE98+Risultati!AF98</f>
        <v>0</v>
      </c>
      <c r="CM99" s="31" t="str">
        <f t="shared" si="114"/>
        <v>0</v>
      </c>
      <c r="CN99" s="10">
        <f>+Risultati!AT98</f>
        <v>0</v>
      </c>
      <c r="CO99" s="31" t="str">
        <f t="shared" si="115"/>
        <v>0</v>
      </c>
      <c r="CP99" s="10">
        <f>+Risultati!AU98</f>
        <v>0</v>
      </c>
      <c r="CQ99" s="31" t="str">
        <f t="shared" si="116"/>
        <v>0</v>
      </c>
      <c r="CR99" s="10">
        <f>+Risultati!AL98</f>
        <v>0</v>
      </c>
      <c r="CS99" s="31" t="str">
        <f t="shared" si="117"/>
        <v>0</v>
      </c>
      <c r="CT99" s="10">
        <f t="shared" si="118"/>
        <v>0</v>
      </c>
      <c r="CU99" s="31" t="str">
        <f t="shared" si="119"/>
        <v>0</v>
      </c>
      <c r="CV99" s="10">
        <f>+Risultati!AX98</f>
        <v>0</v>
      </c>
      <c r="CW99" s="31" t="str">
        <f t="shared" si="120"/>
        <v>0</v>
      </c>
      <c r="CX99" s="10">
        <f t="shared" si="121"/>
        <v>0</v>
      </c>
      <c r="CY99" s="31" t="str">
        <f t="shared" si="122"/>
        <v>0</v>
      </c>
      <c r="CZ99" s="10">
        <f>+Risultati!AG98</f>
        <v>0</v>
      </c>
      <c r="DA99" s="31" t="str">
        <f t="shared" si="123"/>
        <v>0</v>
      </c>
      <c r="DB99" s="10">
        <f t="shared" si="124"/>
        <v>0</v>
      </c>
      <c r="DC99" s="31" t="str">
        <f t="shared" si="125"/>
        <v>0</v>
      </c>
      <c r="DD99" s="10">
        <f>+Risultati!AV98</f>
        <v>0</v>
      </c>
      <c r="DE99" s="31" t="str">
        <f t="shared" si="126"/>
        <v>0</v>
      </c>
      <c r="DF99" s="10">
        <f>+Risultati!AJ98</f>
        <v>0</v>
      </c>
      <c r="DG99" s="31" t="str">
        <f t="shared" si="127"/>
        <v>0</v>
      </c>
      <c r="DH99" s="10">
        <f t="shared" si="128"/>
        <v>0</v>
      </c>
      <c r="DI99" s="31" t="str">
        <f t="shared" si="129"/>
        <v>0</v>
      </c>
      <c r="DJ99" s="10">
        <f>+Risultati!AW98</f>
        <v>0</v>
      </c>
      <c r="DK99" s="31" t="str">
        <f t="shared" si="130"/>
        <v>0</v>
      </c>
      <c r="DL99" s="10">
        <f t="shared" si="101"/>
        <v>0</v>
      </c>
      <c r="DM99" s="31" t="str">
        <f t="shared" si="131"/>
        <v>0</v>
      </c>
      <c r="DO99" s="30"/>
      <c r="DP99" s="30"/>
    </row>
    <row r="100" spans="1:120" x14ac:dyDescent="0.2">
      <c r="A100" s="5"/>
      <c r="B100" s="6">
        <f>+Risultati!B99</f>
        <v>0</v>
      </c>
      <c r="C100" s="6">
        <f>+Risultati!C99</f>
        <v>0</v>
      </c>
      <c r="D100" s="26" t="str">
        <f>IF(YEAR(Risultati!D99)=1900,(MID(Risultati!$AP$1,29,4)),YEAR(Risultati!D99))</f>
        <v/>
      </c>
      <c r="E100" s="6">
        <f>+Risultati!E99</f>
        <v>0</v>
      </c>
      <c r="F100" s="8" t="e">
        <f>(LEFT(Risultati!AN99,2)&amp;"-")&amp;VLOOKUP((LEFT(Risultati!AN99,2)),ateco!$B$4:$C$93,2,FALSE)</f>
        <v>#N/A</v>
      </c>
      <c r="G100" s="8" t="str">
        <f>SUBSTITUTE((Risultati!AN99&amp;"-"&amp;Risultati!AO99),",",";")</f>
        <v>-</v>
      </c>
      <c r="I100" s="10">
        <f>+Risultati!G99</f>
        <v>0</v>
      </c>
      <c r="J100" s="11" t="str">
        <f t="shared" si="83"/>
        <v>0</v>
      </c>
      <c r="K100" s="12"/>
      <c r="L100" s="10">
        <f>+Risultati!G99+Risultati!H99</f>
        <v>0</v>
      </c>
      <c r="M100" s="11" t="str">
        <f t="shared" si="84"/>
        <v>0</v>
      </c>
      <c r="N100" s="12"/>
      <c r="O100" s="10">
        <f>+Risultati!I99+Risultati!J99</f>
        <v>0</v>
      </c>
      <c r="P100" s="11" t="str">
        <f t="shared" si="85"/>
        <v>0</v>
      </c>
      <c r="Q100" s="12"/>
      <c r="R100" s="13">
        <f t="shared" si="102"/>
        <v>0</v>
      </c>
      <c r="S100" s="11" t="str">
        <f t="shared" si="86"/>
        <v>0</v>
      </c>
      <c r="T100" s="12"/>
      <c r="U100" s="10">
        <f>+Risultati!F99-(Risultati!G99+Risultati!H99)</f>
        <v>0</v>
      </c>
      <c r="V100" s="12" t="str">
        <f t="shared" si="87"/>
        <v>0</v>
      </c>
      <c r="W100" s="12"/>
      <c r="X100" s="10">
        <f t="shared" si="103"/>
        <v>0</v>
      </c>
      <c r="Y100" s="12" t="str">
        <f t="shared" si="88"/>
        <v>0</v>
      </c>
      <c r="Z100" s="12"/>
      <c r="AA100" s="10">
        <f>+Risultati!K99</f>
        <v>0</v>
      </c>
      <c r="AB100" s="12" t="str">
        <f t="shared" si="89"/>
        <v>0</v>
      </c>
      <c r="AC100" s="12"/>
      <c r="AD100" s="10">
        <f>+Risultati!L99</f>
        <v>0</v>
      </c>
      <c r="AE100" s="12" t="str">
        <f t="shared" si="90"/>
        <v>0</v>
      </c>
      <c r="AF100" s="12"/>
      <c r="AG100" s="10">
        <f>+Risultati!M99+Risultati!P99+Risultati!Q99</f>
        <v>0</v>
      </c>
      <c r="AH100" s="12" t="str">
        <f t="shared" si="91"/>
        <v>0</v>
      </c>
      <c r="AI100" s="12"/>
      <c r="AJ100" s="13">
        <f t="shared" si="104"/>
        <v>0</v>
      </c>
      <c r="AK100" s="11" t="str">
        <f t="shared" si="92"/>
        <v>0</v>
      </c>
      <c r="AL100" s="12"/>
      <c r="AM100" s="10">
        <f>+Risultati!N99</f>
        <v>0</v>
      </c>
      <c r="AN100" s="12" t="str">
        <f t="shared" si="93"/>
        <v>0</v>
      </c>
      <c r="AO100" s="12"/>
      <c r="AP100" s="10">
        <f t="shared" si="105"/>
        <v>0</v>
      </c>
      <c r="AQ100" s="41" t="str">
        <f t="shared" si="94"/>
        <v>0</v>
      </c>
      <c r="AR100" s="12"/>
      <c r="AS100" s="10">
        <f>+Risultati!O99</f>
        <v>0</v>
      </c>
      <c r="AT100" s="12" t="str">
        <f t="shared" si="95"/>
        <v>0</v>
      </c>
      <c r="AU100" s="12"/>
      <c r="AV100" s="10">
        <f t="shared" si="106"/>
        <v>0</v>
      </c>
      <c r="AW100" s="12" t="str">
        <f t="shared" si="96"/>
        <v>0</v>
      </c>
      <c r="AX100" s="12"/>
      <c r="AY100" s="10">
        <f>+Risultati!R99+Risultati!S99</f>
        <v>0</v>
      </c>
      <c r="AZ100" s="12" t="str">
        <f t="shared" si="97"/>
        <v>0</v>
      </c>
      <c r="BA100" s="12"/>
      <c r="BB100" s="10">
        <f>+Risultati!T99</f>
        <v>0</v>
      </c>
      <c r="BC100" s="12" t="str">
        <f t="shared" si="98"/>
        <v>0</v>
      </c>
      <c r="BD100" s="12"/>
      <c r="BE100" s="10">
        <f>+Risultati!U99</f>
        <v>0</v>
      </c>
      <c r="BF100" s="12" t="str">
        <f t="shared" si="99"/>
        <v>0</v>
      </c>
      <c r="BG100" s="12"/>
      <c r="BH100" s="10">
        <f t="shared" si="107"/>
        <v>0</v>
      </c>
      <c r="BI100" s="12" t="str">
        <f t="shared" si="100"/>
        <v>0</v>
      </c>
      <c r="BK100" s="16">
        <f>IF(ISNUMBER(Risultati!X99/100),(Risultati!X99/100))</f>
        <v>0</v>
      </c>
      <c r="BL100" s="16">
        <f>IF(ISNUMBER(Risultati!Y99/100),(Risultati!Y99/100))</f>
        <v>0</v>
      </c>
      <c r="BM100" s="16">
        <f>IF(ISNUMBER(Risultati!Z99/100),(Risultati!Z99/100))</f>
        <v>0</v>
      </c>
      <c r="BN100" s="16">
        <f>IF(AND(Risultati!AY99&lt;0,calcoli!AP100&lt;0),-IF(ISNUMBER(Risultati!AA99/100),(Risultati!AA99/100)),IF(ISNUMBER(Risultati!AA99/100),(Risultati!AA99/100)))</f>
        <v>0</v>
      </c>
      <c r="BO100" s="16" t="str">
        <f t="shared" si="81"/>
        <v>0</v>
      </c>
      <c r="BP100" s="16" t="str">
        <f>IF(Risultati!AB99&gt;0,(AV100/Risultati!AB99),"0")</f>
        <v>0</v>
      </c>
      <c r="BQ100" s="16" t="str">
        <f>IF(Risultati!AG99&lt;&gt;0,(BH100/Risultati!AG99),"0")</f>
        <v>0</v>
      </c>
      <c r="BR100" s="16" t="str">
        <f t="shared" si="82"/>
        <v>0</v>
      </c>
      <c r="BS100" s="14" t="str">
        <f>IF(Risultati!AB99&gt;0,(Risultati!G99/Risultati!AB99),"0")</f>
        <v>0</v>
      </c>
      <c r="BT100" s="15" t="str">
        <f>IF(Risultati!AG99&lt;&gt;0,(Risultati!AB99/Risultati!AG99),"0")</f>
        <v>0</v>
      </c>
      <c r="BU100" s="23" t="str">
        <f>IF(AND(Risultati!G99&gt;0,(Risultati!AE99-Risultati!AF99)&gt;=0),((Risultati!AE99-Risultati!AF99)/Risultati!G99*360),"0")</f>
        <v>0</v>
      </c>
      <c r="BV100" s="21" t="str">
        <f>IF(OR(E100="abbreviato",Risultati!G99=0),"0",((Risultati!AC99+Risultati!AD99)/Risultati!G99*360))</f>
        <v>0</v>
      </c>
      <c r="BW100" s="21" t="str">
        <f>IF(OR(E100="abbreviato",Risultati!G99=0,SUM(Risultati!I99+Risultati!K99+Risultati!M99)=0),"0",(((Risultati!AH99+Risultati!AI99)/(Risultati!I99+Risultati!K99+Risultati!N99)*360)))</f>
        <v>0</v>
      </c>
      <c r="BX100" s="16" t="str">
        <f>IF(Risultati!AB99&gt;0,(+Risultati!AG99/Risultati!AB99),"0")</f>
        <v>0</v>
      </c>
      <c r="BY100" s="22" t="str">
        <f>IF(OR(E100="abbreviato",Risultati!G99=0),"0",(((Risultati!AK99-(Risultati!AL99+Risultati!AM99))/Risultati!G99)))</f>
        <v>0</v>
      </c>
      <c r="BZ100" s="16" t="str">
        <f>IF(Risultati!G99&gt;0,(Risultati!AJ99/Risultati!G99),"0")</f>
        <v>0</v>
      </c>
      <c r="CA100" s="8"/>
      <c r="CB100" s="10">
        <f>+Risultati!AP99</f>
        <v>0</v>
      </c>
      <c r="CC100" s="31" t="str">
        <f t="shared" si="108"/>
        <v>0</v>
      </c>
      <c r="CD100" s="10">
        <f>+Risultati!AQ99</f>
        <v>0</v>
      </c>
      <c r="CE100" s="31" t="str">
        <f t="shared" si="109"/>
        <v>0</v>
      </c>
      <c r="CF100" s="10">
        <f>+Risultati!AR99</f>
        <v>0</v>
      </c>
      <c r="CG100" s="31" t="str">
        <f t="shared" si="110"/>
        <v>0</v>
      </c>
      <c r="CH100" s="10">
        <f>+Risultati!AS99</f>
        <v>0</v>
      </c>
      <c r="CI100" s="31" t="str">
        <f t="shared" si="111"/>
        <v>0</v>
      </c>
      <c r="CJ100" s="10">
        <f t="shared" si="112"/>
        <v>0</v>
      </c>
      <c r="CK100" s="31" t="str">
        <f t="shared" si="113"/>
        <v>0</v>
      </c>
      <c r="CL100" s="10">
        <f>+Risultati!AE99+Risultati!AF99</f>
        <v>0</v>
      </c>
      <c r="CM100" s="31" t="str">
        <f t="shared" si="114"/>
        <v>0</v>
      </c>
      <c r="CN100" s="10">
        <f>+Risultati!AT99</f>
        <v>0</v>
      </c>
      <c r="CO100" s="31" t="str">
        <f t="shared" si="115"/>
        <v>0</v>
      </c>
      <c r="CP100" s="10">
        <f>+Risultati!AU99</f>
        <v>0</v>
      </c>
      <c r="CQ100" s="31" t="str">
        <f t="shared" si="116"/>
        <v>0</v>
      </c>
      <c r="CR100" s="10">
        <f>+Risultati!AL99</f>
        <v>0</v>
      </c>
      <c r="CS100" s="31" t="str">
        <f t="shared" si="117"/>
        <v>0</v>
      </c>
      <c r="CT100" s="10">
        <f t="shared" si="118"/>
        <v>0</v>
      </c>
      <c r="CU100" s="31" t="str">
        <f t="shared" si="119"/>
        <v>0</v>
      </c>
      <c r="CV100" s="10">
        <f>+Risultati!AX99</f>
        <v>0</v>
      </c>
      <c r="CW100" s="31" t="str">
        <f t="shared" si="120"/>
        <v>0</v>
      </c>
      <c r="CX100" s="10">
        <f t="shared" si="121"/>
        <v>0</v>
      </c>
      <c r="CY100" s="31" t="str">
        <f t="shared" si="122"/>
        <v>0</v>
      </c>
      <c r="CZ100" s="10">
        <f>+Risultati!AG99</f>
        <v>0</v>
      </c>
      <c r="DA100" s="31" t="str">
        <f t="shared" si="123"/>
        <v>0</v>
      </c>
      <c r="DB100" s="10">
        <f t="shared" si="124"/>
        <v>0</v>
      </c>
      <c r="DC100" s="31" t="str">
        <f t="shared" si="125"/>
        <v>0</v>
      </c>
      <c r="DD100" s="10">
        <f>+Risultati!AV99</f>
        <v>0</v>
      </c>
      <c r="DE100" s="31" t="str">
        <f t="shared" si="126"/>
        <v>0</v>
      </c>
      <c r="DF100" s="10">
        <f>+Risultati!AJ99</f>
        <v>0</v>
      </c>
      <c r="DG100" s="31" t="str">
        <f t="shared" si="127"/>
        <v>0</v>
      </c>
      <c r="DH100" s="10">
        <f t="shared" si="128"/>
        <v>0</v>
      </c>
      <c r="DI100" s="31" t="str">
        <f t="shared" si="129"/>
        <v>0</v>
      </c>
      <c r="DJ100" s="10">
        <f>+Risultati!AW99</f>
        <v>0</v>
      </c>
      <c r="DK100" s="31" t="str">
        <f t="shared" si="130"/>
        <v>0</v>
      </c>
      <c r="DL100" s="10">
        <f t="shared" si="101"/>
        <v>0</v>
      </c>
      <c r="DM100" s="31" t="str">
        <f t="shared" si="131"/>
        <v>0</v>
      </c>
      <c r="DO100" s="30"/>
      <c r="DP100" s="30"/>
    </row>
    <row r="101" spans="1:120" x14ac:dyDescent="0.2">
      <c r="A101" s="5"/>
      <c r="B101" s="6">
        <f>+Risultati!B100</f>
        <v>0</v>
      </c>
      <c r="C101" s="6">
        <f>+Risultati!C100</f>
        <v>0</v>
      </c>
      <c r="D101" s="26" t="str">
        <f>IF(YEAR(Risultati!D100)=1900,(MID(Risultati!$AP$1,29,4)),YEAR(Risultati!D100))</f>
        <v/>
      </c>
      <c r="E101" s="6">
        <f>+Risultati!E100</f>
        <v>0</v>
      </c>
      <c r="F101" s="8" t="e">
        <f>(LEFT(Risultati!AN100,2)&amp;"-")&amp;VLOOKUP((LEFT(Risultati!AN100,2)),ateco!$B$4:$C$93,2,FALSE)</f>
        <v>#N/A</v>
      </c>
      <c r="G101" s="8" t="str">
        <f>SUBSTITUTE((Risultati!AN100&amp;"-"&amp;Risultati!AO100),",",";")</f>
        <v>-</v>
      </c>
      <c r="I101" s="10">
        <f>+Risultati!G100</f>
        <v>0</v>
      </c>
      <c r="J101" s="11" t="str">
        <f t="shared" si="83"/>
        <v>0</v>
      </c>
      <c r="K101" s="12"/>
      <c r="L101" s="10">
        <f>+Risultati!G100+Risultati!H100</f>
        <v>0</v>
      </c>
      <c r="M101" s="11" t="str">
        <f t="shared" si="84"/>
        <v>0</v>
      </c>
      <c r="N101" s="12"/>
      <c r="O101" s="10">
        <f>+Risultati!I100+Risultati!J100</f>
        <v>0</v>
      </c>
      <c r="P101" s="11" t="str">
        <f t="shared" si="85"/>
        <v>0</v>
      </c>
      <c r="Q101" s="12"/>
      <c r="R101" s="13">
        <f t="shared" si="102"/>
        <v>0</v>
      </c>
      <c r="S101" s="11" t="str">
        <f t="shared" si="86"/>
        <v>0</v>
      </c>
      <c r="T101" s="12"/>
      <c r="U101" s="10">
        <f>+Risultati!F100-(Risultati!G100+Risultati!H100)</f>
        <v>0</v>
      </c>
      <c r="V101" s="12" t="str">
        <f t="shared" si="87"/>
        <v>0</v>
      </c>
      <c r="W101" s="12"/>
      <c r="X101" s="10">
        <f t="shared" si="103"/>
        <v>0</v>
      </c>
      <c r="Y101" s="12" t="str">
        <f t="shared" si="88"/>
        <v>0</v>
      </c>
      <c r="Z101" s="12"/>
      <c r="AA101" s="10">
        <f>+Risultati!K100</f>
        <v>0</v>
      </c>
      <c r="AB101" s="12" t="str">
        <f t="shared" si="89"/>
        <v>0</v>
      </c>
      <c r="AC101" s="12"/>
      <c r="AD101" s="10">
        <f>+Risultati!L100</f>
        <v>0</v>
      </c>
      <c r="AE101" s="12" t="str">
        <f t="shared" si="90"/>
        <v>0</v>
      </c>
      <c r="AF101" s="12"/>
      <c r="AG101" s="10">
        <f>+Risultati!M100+Risultati!P100+Risultati!Q100</f>
        <v>0</v>
      </c>
      <c r="AH101" s="12" t="str">
        <f t="shared" si="91"/>
        <v>0</v>
      </c>
      <c r="AI101" s="12"/>
      <c r="AJ101" s="13">
        <f t="shared" si="104"/>
        <v>0</v>
      </c>
      <c r="AK101" s="11" t="str">
        <f t="shared" si="92"/>
        <v>0</v>
      </c>
      <c r="AL101" s="12"/>
      <c r="AM101" s="10">
        <f>+Risultati!N100</f>
        <v>0</v>
      </c>
      <c r="AN101" s="12" t="str">
        <f t="shared" si="93"/>
        <v>0</v>
      </c>
      <c r="AO101" s="12"/>
      <c r="AP101" s="10">
        <f t="shared" si="105"/>
        <v>0</v>
      </c>
      <c r="AQ101" s="41" t="str">
        <f t="shared" si="94"/>
        <v>0</v>
      </c>
      <c r="AR101" s="12"/>
      <c r="AS101" s="10">
        <f>+Risultati!O100</f>
        <v>0</v>
      </c>
      <c r="AT101" s="12" t="str">
        <f t="shared" si="95"/>
        <v>0</v>
      </c>
      <c r="AU101" s="12"/>
      <c r="AV101" s="10">
        <f t="shared" si="106"/>
        <v>0</v>
      </c>
      <c r="AW101" s="12" t="str">
        <f t="shared" si="96"/>
        <v>0</v>
      </c>
      <c r="AX101" s="12"/>
      <c r="AY101" s="10">
        <f>+Risultati!R100+Risultati!S100</f>
        <v>0</v>
      </c>
      <c r="AZ101" s="12" t="str">
        <f t="shared" si="97"/>
        <v>0</v>
      </c>
      <c r="BA101" s="12"/>
      <c r="BB101" s="10">
        <f>+Risultati!T100</f>
        <v>0</v>
      </c>
      <c r="BC101" s="12" t="str">
        <f t="shared" si="98"/>
        <v>0</v>
      </c>
      <c r="BD101" s="12"/>
      <c r="BE101" s="10">
        <f>+Risultati!U100</f>
        <v>0</v>
      </c>
      <c r="BF101" s="12" t="str">
        <f t="shared" si="99"/>
        <v>0</v>
      </c>
      <c r="BG101" s="12"/>
      <c r="BH101" s="10">
        <f t="shared" si="107"/>
        <v>0</v>
      </c>
      <c r="BI101" s="12" t="str">
        <f t="shared" si="100"/>
        <v>0</v>
      </c>
      <c r="BK101" s="16">
        <f>IF(ISNUMBER(Risultati!X100/100),(Risultati!X100/100))</f>
        <v>0</v>
      </c>
      <c r="BL101" s="16">
        <f>IF(ISNUMBER(Risultati!Y100/100),(Risultati!Y100/100))</f>
        <v>0</v>
      </c>
      <c r="BM101" s="16">
        <f>IF(ISNUMBER(Risultati!Z100/100),(Risultati!Z100/100))</f>
        <v>0</v>
      </c>
      <c r="BN101" s="16">
        <f>IF(AND(Risultati!AY100&lt;0,calcoli!AP101&lt;0),-IF(ISNUMBER(Risultati!AA100/100),(Risultati!AA100/100)),IF(ISNUMBER(Risultati!AA100/100),(Risultati!AA100/100)))</f>
        <v>0</v>
      </c>
      <c r="BO101" s="16" t="str">
        <f t="shared" si="81"/>
        <v>0</v>
      </c>
      <c r="BP101" s="16" t="str">
        <f>IF(Risultati!AB100&gt;0,(AV101/Risultati!AB100),"0")</f>
        <v>0</v>
      </c>
      <c r="BQ101" s="16" t="str">
        <f>IF(Risultati!AG100&lt;&gt;0,(BH101/Risultati!AG100),"0")</f>
        <v>0</v>
      </c>
      <c r="BR101" s="16" t="str">
        <f t="shared" si="82"/>
        <v>0</v>
      </c>
      <c r="BS101" s="14" t="str">
        <f>IF(Risultati!AB100&gt;0,(Risultati!G100/Risultati!AB100),"0")</f>
        <v>0</v>
      </c>
      <c r="BT101" s="15" t="str">
        <f>IF(Risultati!AG100&lt;&gt;0,(Risultati!AB100/Risultati!AG100),"0")</f>
        <v>0</v>
      </c>
      <c r="BU101" s="23" t="str">
        <f>IF(AND(Risultati!G100&gt;0,(Risultati!AE100-Risultati!AF100)&gt;=0),((Risultati!AE100-Risultati!AF100)/Risultati!G100*360),"0")</f>
        <v>0</v>
      </c>
      <c r="BV101" s="21" t="str">
        <f>IF(OR(E101="abbreviato",Risultati!G100=0),"0",((Risultati!AC100+Risultati!AD100)/Risultati!G100*360))</f>
        <v>0</v>
      </c>
      <c r="BW101" s="21" t="str">
        <f>IF(OR(E101="abbreviato",Risultati!G100=0,SUM(Risultati!I100+Risultati!K100+Risultati!M100)=0),"0",(((Risultati!AH100+Risultati!AI100)/(Risultati!I100+Risultati!K100+Risultati!N100)*360)))</f>
        <v>0</v>
      </c>
      <c r="BX101" s="16" t="str">
        <f>IF(Risultati!AB100&gt;0,(+Risultati!AG100/Risultati!AB100),"0")</f>
        <v>0</v>
      </c>
      <c r="BY101" s="22" t="str">
        <f>IF(OR(E101="abbreviato",Risultati!G100=0),"0",(((Risultati!AK100-(Risultati!AL100+Risultati!AM100))/Risultati!G100)))</f>
        <v>0</v>
      </c>
      <c r="BZ101" s="16" t="str">
        <f>IF(Risultati!G100&gt;0,(Risultati!AJ100/Risultati!G100),"0")</f>
        <v>0</v>
      </c>
      <c r="CA101" s="8"/>
      <c r="CB101" s="10">
        <f>+Risultati!AP100</f>
        <v>0</v>
      </c>
      <c r="CC101" s="31" t="str">
        <f t="shared" si="108"/>
        <v>0</v>
      </c>
      <c r="CD101" s="10">
        <f>+Risultati!AQ100</f>
        <v>0</v>
      </c>
      <c r="CE101" s="31" t="str">
        <f t="shared" si="109"/>
        <v>0</v>
      </c>
      <c r="CF101" s="10">
        <f>+Risultati!AR100</f>
        <v>0</v>
      </c>
      <c r="CG101" s="31" t="str">
        <f t="shared" si="110"/>
        <v>0</v>
      </c>
      <c r="CH101" s="10">
        <f>+Risultati!AS100</f>
        <v>0</v>
      </c>
      <c r="CI101" s="31" t="str">
        <f t="shared" si="111"/>
        <v>0</v>
      </c>
      <c r="CJ101" s="10">
        <f t="shared" si="112"/>
        <v>0</v>
      </c>
      <c r="CK101" s="31" t="str">
        <f t="shared" si="113"/>
        <v>0</v>
      </c>
      <c r="CL101" s="10">
        <f>+Risultati!AE100+Risultati!AF100</f>
        <v>0</v>
      </c>
      <c r="CM101" s="31" t="str">
        <f t="shared" si="114"/>
        <v>0</v>
      </c>
      <c r="CN101" s="10">
        <f>+Risultati!AT100</f>
        <v>0</v>
      </c>
      <c r="CO101" s="31" t="str">
        <f t="shared" si="115"/>
        <v>0</v>
      </c>
      <c r="CP101" s="10">
        <f>+Risultati!AU100</f>
        <v>0</v>
      </c>
      <c r="CQ101" s="31" t="str">
        <f t="shared" si="116"/>
        <v>0</v>
      </c>
      <c r="CR101" s="10">
        <f>+Risultati!AL100</f>
        <v>0</v>
      </c>
      <c r="CS101" s="31" t="str">
        <f t="shared" si="117"/>
        <v>0</v>
      </c>
      <c r="CT101" s="10">
        <f t="shared" si="118"/>
        <v>0</v>
      </c>
      <c r="CU101" s="31" t="str">
        <f t="shared" si="119"/>
        <v>0</v>
      </c>
      <c r="CV101" s="10">
        <f>+Risultati!AX100</f>
        <v>0</v>
      </c>
      <c r="CW101" s="31" t="str">
        <f t="shared" si="120"/>
        <v>0</v>
      </c>
      <c r="CX101" s="10">
        <f t="shared" si="121"/>
        <v>0</v>
      </c>
      <c r="CY101" s="31" t="str">
        <f t="shared" si="122"/>
        <v>0</v>
      </c>
      <c r="CZ101" s="10">
        <f>+Risultati!AG100</f>
        <v>0</v>
      </c>
      <c r="DA101" s="31" t="str">
        <f t="shared" si="123"/>
        <v>0</v>
      </c>
      <c r="DB101" s="10">
        <f t="shared" si="124"/>
        <v>0</v>
      </c>
      <c r="DC101" s="31" t="str">
        <f t="shared" si="125"/>
        <v>0</v>
      </c>
      <c r="DD101" s="10">
        <f>+Risultati!AV100</f>
        <v>0</v>
      </c>
      <c r="DE101" s="31" t="str">
        <f t="shared" si="126"/>
        <v>0</v>
      </c>
      <c r="DF101" s="10">
        <f>+Risultati!AJ100</f>
        <v>0</v>
      </c>
      <c r="DG101" s="31" t="str">
        <f t="shared" si="127"/>
        <v>0</v>
      </c>
      <c r="DH101" s="10">
        <f t="shared" si="128"/>
        <v>0</v>
      </c>
      <c r="DI101" s="31" t="str">
        <f t="shared" si="129"/>
        <v>0</v>
      </c>
      <c r="DJ101" s="10">
        <f>+Risultati!AW100</f>
        <v>0</v>
      </c>
      <c r="DK101" s="31" t="str">
        <f t="shared" si="130"/>
        <v>0</v>
      </c>
      <c r="DL101" s="10">
        <f t="shared" si="101"/>
        <v>0</v>
      </c>
      <c r="DM101" s="31" t="str">
        <f t="shared" si="131"/>
        <v>0</v>
      </c>
      <c r="DO101" s="30"/>
      <c r="DP101" s="30"/>
    </row>
    <row r="102" spans="1:120" x14ac:dyDescent="0.2">
      <c r="A102" s="5"/>
      <c r="B102" s="6">
        <f>+Risultati!B101</f>
        <v>0</v>
      </c>
      <c r="C102" s="6">
        <f>+Risultati!C101</f>
        <v>0</v>
      </c>
      <c r="D102" s="26" t="str">
        <f>IF(YEAR(Risultati!D101)=1900,(MID(Risultati!$AP$1,29,4)),YEAR(Risultati!D101))</f>
        <v/>
      </c>
      <c r="E102" s="6">
        <f>+Risultati!E101</f>
        <v>0</v>
      </c>
      <c r="F102" s="8" t="e">
        <f>(LEFT(Risultati!AN101,2)&amp;"-")&amp;VLOOKUP((LEFT(Risultati!AN101,2)),ateco!$B$4:$C$93,2,FALSE)</f>
        <v>#N/A</v>
      </c>
      <c r="G102" s="8" t="str">
        <f>SUBSTITUTE((Risultati!AN101&amp;"-"&amp;Risultati!AO101),",",";")</f>
        <v>-</v>
      </c>
      <c r="I102" s="10">
        <f>+Risultati!G101</f>
        <v>0</v>
      </c>
      <c r="J102" s="11" t="str">
        <f t="shared" si="83"/>
        <v>0</v>
      </c>
      <c r="K102" s="12"/>
      <c r="L102" s="10">
        <f>+Risultati!G101+Risultati!H101</f>
        <v>0</v>
      </c>
      <c r="M102" s="11" t="str">
        <f t="shared" si="84"/>
        <v>0</v>
      </c>
      <c r="N102" s="12"/>
      <c r="O102" s="10">
        <f>+Risultati!I101+Risultati!J101</f>
        <v>0</v>
      </c>
      <c r="P102" s="11" t="str">
        <f t="shared" si="85"/>
        <v>0</v>
      </c>
      <c r="Q102" s="12"/>
      <c r="R102" s="13">
        <f t="shared" si="102"/>
        <v>0</v>
      </c>
      <c r="S102" s="11" t="str">
        <f t="shared" si="86"/>
        <v>0</v>
      </c>
      <c r="T102" s="12"/>
      <c r="U102" s="10">
        <f>+Risultati!F101-(Risultati!G101+Risultati!H101)</f>
        <v>0</v>
      </c>
      <c r="V102" s="12" t="str">
        <f t="shared" si="87"/>
        <v>0</v>
      </c>
      <c r="W102" s="12"/>
      <c r="X102" s="10">
        <f t="shared" si="103"/>
        <v>0</v>
      </c>
      <c r="Y102" s="12" t="str">
        <f t="shared" si="88"/>
        <v>0</v>
      </c>
      <c r="Z102" s="12"/>
      <c r="AA102" s="10">
        <f>+Risultati!K101</f>
        <v>0</v>
      </c>
      <c r="AB102" s="12" t="str">
        <f t="shared" si="89"/>
        <v>0</v>
      </c>
      <c r="AC102" s="12"/>
      <c r="AD102" s="10">
        <f>+Risultati!L101</f>
        <v>0</v>
      </c>
      <c r="AE102" s="12" t="str">
        <f t="shared" si="90"/>
        <v>0</v>
      </c>
      <c r="AF102" s="12"/>
      <c r="AG102" s="10">
        <f>+Risultati!M101+Risultati!P101+Risultati!Q101</f>
        <v>0</v>
      </c>
      <c r="AH102" s="12" t="str">
        <f t="shared" si="91"/>
        <v>0</v>
      </c>
      <c r="AI102" s="12"/>
      <c r="AJ102" s="13">
        <f t="shared" si="104"/>
        <v>0</v>
      </c>
      <c r="AK102" s="11" t="str">
        <f t="shared" si="92"/>
        <v>0</v>
      </c>
      <c r="AL102" s="12"/>
      <c r="AM102" s="10">
        <f>+Risultati!N101</f>
        <v>0</v>
      </c>
      <c r="AN102" s="12" t="str">
        <f t="shared" si="93"/>
        <v>0</v>
      </c>
      <c r="AO102" s="12"/>
      <c r="AP102" s="10">
        <f t="shared" si="105"/>
        <v>0</v>
      </c>
      <c r="AQ102" s="41" t="str">
        <f t="shared" si="94"/>
        <v>0</v>
      </c>
      <c r="AR102" s="12"/>
      <c r="AS102" s="10">
        <f>+Risultati!O101</f>
        <v>0</v>
      </c>
      <c r="AT102" s="12" t="str">
        <f t="shared" si="95"/>
        <v>0</v>
      </c>
      <c r="AU102" s="12"/>
      <c r="AV102" s="10">
        <f t="shared" si="106"/>
        <v>0</v>
      </c>
      <c r="AW102" s="12" t="str">
        <f t="shared" si="96"/>
        <v>0</v>
      </c>
      <c r="AX102" s="12"/>
      <c r="AY102" s="10">
        <f>+Risultati!R101+Risultati!S101</f>
        <v>0</v>
      </c>
      <c r="AZ102" s="12" t="str">
        <f t="shared" si="97"/>
        <v>0</v>
      </c>
      <c r="BA102" s="12"/>
      <c r="BB102" s="10">
        <f>+Risultati!T101</f>
        <v>0</v>
      </c>
      <c r="BC102" s="12" t="str">
        <f t="shared" si="98"/>
        <v>0</v>
      </c>
      <c r="BD102" s="12"/>
      <c r="BE102" s="10">
        <f>+Risultati!U101</f>
        <v>0</v>
      </c>
      <c r="BF102" s="12" t="str">
        <f t="shared" si="99"/>
        <v>0</v>
      </c>
      <c r="BG102" s="12"/>
      <c r="BH102" s="10">
        <f t="shared" si="107"/>
        <v>0</v>
      </c>
      <c r="BI102" s="12" t="str">
        <f t="shared" si="100"/>
        <v>0</v>
      </c>
      <c r="BK102" s="16">
        <f>IF(ISNUMBER(Risultati!X101/100),(Risultati!X101/100))</f>
        <v>0</v>
      </c>
      <c r="BL102" s="16">
        <f>IF(ISNUMBER(Risultati!Y101/100),(Risultati!Y101/100))</f>
        <v>0</v>
      </c>
      <c r="BM102" s="16">
        <f>IF(ISNUMBER(Risultati!Z101/100),(Risultati!Z101/100))</f>
        <v>0</v>
      </c>
      <c r="BN102" s="16">
        <f>IF(AND(Risultati!AY101&lt;0,calcoli!AP102&lt;0),-IF(ISNUMBER(Risultati!AA101/100),(Risultati!AA101/100)),IF(ISNUMBER(Risultati!AA101/100),(Risultati!AA101/100)))</f>
        <v>0</v>
      </c>
      <c r="BO102" s="16" t="str">
        <f t="shared" si="81"/>
        <v>0</v>
      </c>
      <c r="BP102" s="16" t="str">
        <f>IF(Risultati!AB101&gt;0,(AV102/Risultati!AB101),"0")</f>
        <v>0</v>
      </c>
      <c r="BQ102" s="16" t="str">
        <f>IF(Risultati!AG101&lt;&gt;0,(BH102/Risultati!AG101),"0")</f>
        <v>0</v>
      </c>
      <c r="BR102" s="16" t="str">
        <f t="shared" si="82"/>
        <v>0</v>
      </c>
      <c r="BS102" s="14" t="str">
        <f>IF(Risultati!AB101&gt;0,(Risultati!G101/Risultati!AB101),"0")</f>
        <v>0</v>
      </c>
      <c r="BT102" s="15" t="str">
        <f>IF(Risultati!AG101&lt;&gt;0,(Risultati!AB101/Risultati!AG101),"0")</f>
        <v>0</v>
      </c>
      <c r="BU102" s="23" t="str">
        <f>IF(AND(Risultati!G101&gt;0,(Risultati!AE101-Risultati!AF101)&gt;=0),((Risultati!AE101-Risultati!AF101)/Risultati!G101*360),"0")</f>
        <v>0</v>
      </c>
      <c r="BV102" s="21" t="str">
        <f>IF(OR(E102="abbreviato",Risultati!G101=0),"0",((Risultati!AC101+Risultati!AD101)/Risultati!G101*360))</f>
        <v>0</v>
      </c>
      <c r="BW102" s="21" t="str">
        <f>IF(OR(E102="abbreviato",Risultati!G101=0,SUM(Risultati!I101+Risultati!K101+Risultati!M101)=0),"0",(((Risultati!AH101+Risultati!AI101)/(Risultati!I101+Risultati!K101+Risultati!N101)*360)))</f>
        <v>0</v>
      </c>
      <c r="BX102" s="16" t="str">
        <f>IF(Risultati!AB101&gt;0,(+Risultati!AG101/Risultati!AB101),"0")</f>
        <v>0</v>
      </c>
      <c r="BY102" s="22" t="str">
        <f>IF(OR(E102="abbreviato",Risultati!G101=0),"0",(((Risultati!AK101-(Risultati!AL101+Risultati!AM101))/Risultati!G101)))</f>
        <v>0</v>
      </c>
      <c r="BZ102" s="16" t="str">
        <f>IF(Risultati!G101&gt;0,(Risultati!AJ101/Risultati!G101),"0")</f>
        <v>0</v>
      </c>
      <c r="CA102" s="8"/>
      <c r="CB102" s="10">
        <f>+Risultati!AP101</f>
        <v>0</v>
      </c>
      <c r="CC102" s="31" t="str">
        <f t="shared" si="108"/>
        <v>0</v>
      </c>
      <c r="CD102" s="10">
        <f>+Risultati!AQ101</f>
        <v>0</v>
      </c>
      <c r="CE102" s="31" t="str">
        <f t="shared" si="109"/>
        <v>0</v>
      </c>
      <c r="CF102" s="10">
        <f>+Risultati!AR101</f>
        <v>0</v>
      </c>
      <c r="CG102" s="31" t="str">
        <f t="shared" si="110"/>
        <v>0</v>
      </c>
      <c r="CH102" s="10">
        <f>+Risultati!AS101</f>
        <v>0</v>
      </c>
      <c r="CI102" s="31" t="str">
        <f t="shared" si="111"/>
        <v>0</v>
      </c>
      <c r="CJ102" s="10">
        <f t="shared" si="112"/>
        <v>0</v>
      </c>
      <c r="CK102" s="31" t="str">
        <f t="shared" si="113"/>
        <v>0</v>
      </c>
      <c r="CL102" s="10">
        <f>+Risultati!AE101+Risultati!AF101</f>
        <v>0</v>
      </c>
      <c r="CM102" s="31" t="str">
        <f t="shared" si="114"/>
        <v>0</v>
      </c>
      <c r="CN102" s="10">
        <f>+Risultati!AT101</f>
        <v>0</v>
      </c>
      <c r="CO102" s="31" t="str">
        <f t="shared" si="115"/>
        <v>0</v>
      </c>
      <c r="CP102" s="10">
        <f>+Risultati!AU101</f>
        <v>0</v>
      </c>
      <c r="CQ102" s="31" t="str">
        <f t="shared" si="116"/>
        <v>0</v>
      </c>
      <c r="CR102" s="10">
        <f>+Risultati!AL101</f>
        <v>0</v>
      </c>
      <c r="CS102" s="31" t="str">
        <f t="shared" si="117"/>
        <v>0</v>
      </c>
      <c r="CT102" s="10">
        <f t="shared" si="118"/>
        <v>0</v>
      </c>
      <c r="CU102" s="31" t="str">
        <f t="shared" si="119"/>
        <v>0</v>
      </c>
      <c r="CV102" s="10">
        <f>+Risultati!AX101</f>
        <v>0</v>
      </c>
      <c r="CW102" s="31" t="str">
        <f t="shared" si="120"/>
        <v>0</v>
      </c>
      <c r="CX102" s="10">
        <f t="shared" si="121"/>
        <v>0</v>
      </c>
      <c r="CY102" s="31" t="str">
        <f t="shared" si="122"/>
        <v>0</v>
      </c>
      <c r="CZ102" s="10">
        <f>+Risultati!AG101</f>
        <v>0</v>
      </c>
      <c r="DA102" s="31" t="str">
        <f t="shared" si="123"/>
        <v>0</v>
      </c>
      <c r="DB102" s="10">
        <f t="shared" si="124"/>
        <v>0</v>
      </c>
      <c r="DC102" s="31" t="str">
        <f t="shared" si="125"/>
        <v>0</v>
      </c>
      <c r="DD102" s="10">
        <f>+Risultati!AV101</f>
        <v>0</v>
      </c>
      <c r="DE102" s="31" t="str">
        <f t="shared" si="126"/>
        <v>0</v>
      </c>
      <c r="DF102" s="10">
        <f>+Risultati!AJ101</f>
        <v>0</v>
      </c>
      <c r="DG102" s="31" t="str">
        <f t="shared" si="127"/>
        <v>0</v>
      </c>
      <c r="DH102" s="10">
        <f t="shared" si="128"/>
        <v>0</v>
      </c>
      <c r="DI102" s="31" t="str">
        <f t="shared" si="129"/>
        <v>0</v>
      </c>
      <c r="DJ102" s="10">
        <f>+Risultati!AW101</f>
        <v>0</v>
      </c>
      <c r="DK102" s="31" t="str">
        <f t="shared" si="130"/>
        <v>0</v>
      </c>
      <c r="DL102" s="10">
        <f t="shared" si="101"/>
        <v>0</v>
      </c>
      <c r="DM102" s="31" t="str">
        <f t="shared" si="131"/>
        <v>0</v>
      </c>
      <c r="DO102" s="30"/>
      <c r="DP102" s="30"/>
    </row>
    <row r="103" spans="1:120" x14ac:dyDescent="0.2">
      <c r="A103" s="5"/>
      <c r="B103" s="6">
        <f>+Risultati!B102</f>
        <v>0</v>
      </c>
      <c r="C103" s="6">
        <f>+Risultati!C102</f>
        <v>0</v>
      </c>
      <c r="D103" s="26" t="str">
        <f>IF(YEAR(Risultati!D102)=1900,(MID(Risultati!$AP$1,29,4)),YEAR(Risultati!D102))</f>
        <v/>
      </c>
      <c r="E103" s="6">
        <f>+Risultati!E102</f>
        <v>0</v>
      </c>
      <c r="F103" s="8" t="e">
        <f>(LEFT(Risultati!AN102,2)&amp;"-")&amp;VLOOKUP((LEFT(Risultati!AN102,2)),ateco!$B$4:$C$93,2,FALSE)</f>
        <v>#N/A</v>
      </c>
      <c r="G103" s="8" t="str">
        <f>SUBSTITUTE((Risultati!AN102&amp;"-"&amp;Risultati!AO102),",",";")</f>
        <v>-</v>
      </c>
      <c r="I103" s="10">
        <f>+Risultati!G102</f>
        <v>0</v>
      </c>
      <c r="J103" s="11" t="str">
        <f t="shared" si="83"/>
        <v>0</v>
      </c>
      <c r="K103" s="12"/>
      <c r="L103" s="10">
        <f>+Risultati!G102+Risultati!H102</f>
        <v>0</v>
      </c>
      <c r="M103" s="11" t="str">
        <f t="shared" si="84"/>
        <v>0</v>
      </c>
      <c r="N103" s="12"/>
      <c r="O103" s="10">
        <f>+Risultati!I102+Risultati!J102</f>
        <v>0</v>
      </c>
      <c r="P103" s="11" t="str">
        <f t="shared" si="85"/>
        <v>0</v>
      </c>
      <c r="Q103" s="12"/>
      <c r="R103" s="13">
        <f t="shared" si="102"/>
        <v>0</v>
      </c>
      <c r="S103" s="11" t="str">
        <f t="shared" si="86"/>
        <v>0</v>
      </c>
      <c r="T103" s="12"/>
      <c r="U103" s="10">
        <f>+Risultati!F102-(Risultati!G102+Risultati!H102)</f>
        <v>0</v>
      </c>
      <c r="V103" s="12" t="str">
        <f t="shared" si="87"/>
        <v>0</v>
      </c>
      <c r="W103" s="12"/>
      <c r="X103" s="10">
        <f t="shared" si="103"/>
        <v>0</v>
      </c>
      <c r="Y103" s="12" t="str">
        <f t="shared" si="88"/>
        <v>0</v>
      </c>
      <c r="Z103" s="12"/>
      <c r="AA103" s="10">
        <f>+Risultati!K102</f>
        <v>0</v>
      </c>
      <c r="AB103" s="12" t="str">
        <f t="shared" si="89"/>
        <v>0</v>
      </c>
      <c r="AC103" s="12"/>
      <c r="AD103" s="10">
        <f>+Risultati!L102</f>
        <v>0</v>
      </c>
      <c r="AE103" s="12" t="str">
        <f t="shared" si="90"/>
        <v>0</v>
      </c>
      <c r="AF103" s="12"/>
      <c r="AG103" s="10">
        <f>+Risultati!M102+Risultati!P102+Risultati!Q102</f>
        <v>0</v>
      </c>
      <c r="AH103" s="12" t="str">
        <f t="shared" si="91"/>
        <v>0</v>
      </c>
      <c r="AI103" s="12"/>
      <c r="AJ103" s="13">
        <f t="shared" si="104"/>
        <v>0</v>
      </c>
      <c r="AK103" s="11" t="str">
        <f t="shared" si="92"/>
        <v>0</v>
      </c>
      <c r="AL103" s="12"/>
      <c r="AM103" s="10">
        <f>+Risultati!N102</f>
        <v>0</v>
      </c>
      <c r="AN103" s="12" t="str">
        <f t="shared" si="93"/>
        <v>0</v>
      </c>
      <c r="AO103" s="12"/>
      <c r="AP103" s="10">
        <f t="shared" si="105"/>
        <v>0</v>
      </c>
      <c r="AQ103" s="41" t="str">
        <f t="shared" si="94"/>
        <v>0</v>
      </c>
      <c r="AR103" s="12"/>
      <c r="AS103" s="10">
        <f>+Risultati!O102</f>
        <v>0</v>
      </c>
      <c r="AT103" s="12" t="str">
        <f t="shared" si="95"/>
        <v>0</v>
      </c>
      <c r="AU103" s="12"/>
      <c r="AV103" s="10">
        <f t="shared" si="106"/>
        <v>0</v>
      </c>
      <c r="AW103" s="12" t="str">
        <f t="shared" si="96"/>
        <v>0</v>
      </c>
      <c r="AX103" s="12"/>
      <c r="AY103" s="10">
        <f>+Risultati!R102+Risultati!S102</f>
        <v>0</v>
      </c>
      <c r="AZ103" s="12" t="str">
        <f t="shared" si="97"/>
        <v>0</v>
      </c>
      <c r="BA103" s="12"/>
      <c r="BB103" s="10">
        <f>+Risultati!T102</f>
        <v>0</v>
      </c>
      <c r="BC103" s="12" t="str">
        <f t="shared" si="98"/>
        <v>0</v>
      </c>
      <c r="BD103" s="12"/>
      <c r="BE103" s="10">
        <f>+Risultati!U102</f>
        <v>0</v>
      </c>
      <c r="BF103" s="12" t="str">
        <f t="shared" si="99"/>
        <v>0</v>
      </c>
      <c r="BG103" s="12"/>
      <c r="BH103" s="10">
        <f t="shared" si="107"/>
        <v>0</v>
      </c>
      <c r="BI103" s="12" t="str">
        <f t="shared" si="100"/>
        <v>0</v>
      </c>
      <c r="BK103" s="16">
        <f>IF(ISNUMBER(Risultati!X102/100),(Risultati!X102/100))</f>
        <v>0</v>
      </c>
      <c r="BL103" s="16">
        <f>IF(ISNUMBER(Risultati!Y102/100),(Risultati!Y102/100))</f>
        <v>0</v>
      </c>
      <c r="BM103" s="16">
        <f>IF(ISNUMBER(Risultati!Z102/100),(Risultati!Z102/100))</f>
        <v>0</v>
      </c>
      <c r="BN103" s="16">
        <f>IF(AND(Risultati!AY102&lt;0,calcoli!AP103&lt;0),-IF(ISNUMBER(Risultati!AA102/100),(Risultati!AA102/100)),IF(ISNUMBER(Risultati!AA102/100),(Risultati!AA102/100)))</f>
        <v>0</v>
      </c>
      <c r="BO103" s="16" t="str">
        <f t="shared" si="81"/>
        <v>0</v>
      </c>
      <c r="BP103" s="16" t="str">
        <f>IF(Risultati!AB102&gt;0,(AV103/Risultati!AB102),"0")</f>
        <v>0</v>
      </c>
      <c r="BQ103" s="16" t="str">
        <f>IF(Risultati!AG102&lt;&gt;0,(BH103/Risultati!AG102),"0")</f>
        <v>0</v>
      </c>
      <c r="BR103" s="16" t="str">
        <f t="shared" si="82"/>
        <v>0</v>
      </c>
      <c r="BS103" s="14" t="str">
        <f>IF(Risultati!AB102&gt;0,(Risultati!G102/Risultati!AB102),"0")</f>
        <v>0</v>
      </c>
      <c r="BT103" s="15" t="str">
        <f>IF(Risultati!AG102&lt;&gt;0,(Risultati!AB102/Risultati!AG102),"0")</f>
        <v>0</v>
      </c>
      <c r="BU103" s="23" t="str">
        <f>IF(AND(Risultati!G102&gt;0,(Risultati!AE102-Risultati!AF102)&gt;=0),((Risultati!AE102-Risultati!AF102)/Risultati!G102*360),"0")</f>
        <v>0</v>
      </c>
      <c r="BV103" s="21" t="str">
        <f>IF(OR(E103="abbreviato",Risultati!G102=0),"0",((Risultati!AC102+Risultati!AD102)/Risultati!G102*360))</f>
        <v>0</v>
      </c>
      <c r="BW103" s="21" t="str">
        <f>IF(OR(E103="abbreviato",Risultati!G102=0,SUM(Risultati!I102+Risultati!K102+Risultati!M102)=0),"0",(((Risultati!AH102+Risultati!AI102)/(Risultati!I102+Risultati!K102+Risultati!N102)*360)))</f>
        <v>0</v>
      </c>
      <c r="BX103" s="16" t="str">
        <f>IF(Risultati!AB102&gt;0,(+Risultati!AG102/Risultati!AB102),"0")</f>
        <v>0</v>
      </c>
      <c r="BY103" s="22" t="str">
        <f>IF(OR(E103="abbreviato",Risultati!G102=0),"0",(((Risultati!AK102-(Risultati!AL102+Risultati!AM102))/Risultati!G102)))</f>
        <v>0</v>
      </c>
      <c r="BZ103" s="16" t="str">
        <f>IF(Risultati!G102&gt;0,(Risultati!AJ102/Risultati!G102),"0")</f>
        <v>0</v>
      </c>
      <c r="CA103" s="8"/>
      <c r="CB103" s="10">
        <f>+Risultati!AP102</f>
        <v>0</v>
      </c>
      <c r="CC103" s="31" t="str">
        <f t="shared" si="108"/>
        <v>0</v>
      </c>
      <c r="CD103" s="10">
        <f>+Risultati!AQ102</f>
        <v>0</v>
      </c>
      <c r="CE103" s="31" t="str">
        <f t="shared" si="109"/>
        <v>0</v>
      </c>
      <c r="CF103" s="10">
        <f>+Risultati!AR102</f>
        <v>0</v>
      </c>
      <c r="CG103" s="31" t="str">
        <f t="shared" si="110"/>
        <v>0</v>
      </c>
      <c r="CH103" s="10">
        <f>+Risultati!AS102</f>
        <v>0</v>
      </c>
      <c r="CI103" s="31" t="str">
        <f t="shared" si="111"/>
        <v>0</v>
      </c>
      <c r="CJ103" s="10">
        <f t="shared" si="112"/>
        <v>0</v>
      </c>
      <c r="CK103" s="31" t="str">
        <f t="shared" si="113"/>
        <v>0</v>
      </c>
      <c r="CL103" s="10">
        <f>+Risultati!AE102+Risultati!AF102</f>
        <v>0</v>
      </c>
      <c r="CM103" s="31" t="str">
        <f t="shared" si="114"/>
        <v>0</v>
      </c>
      <c r="CN103" s="10">
        <f>+Risultati!AT102</f>
        <v>0</v>
      </c>
      <c r="CO103" s="31" t="str">
        <f t="shared" si="115"/>
        <v>0</v>
      </c>
      <c r="CP103" s="10">
        <f>+Risultati!AU102</f>
        <v>0</v>
      </c>
      <c r="CQ103" s="31" t="str">
        <f t="shared" si="116"/>
        <v>0</v>
      </c>
      <c r="CR103" s="10">
        <f>+Risultati!AL102</f>
        <v>0</v>
      </c>
      <c r="CS103" s="31" t="str">
        <f t="shared" si="117"/>
        <v>0</v>
      </c>
      <c r="CT103" s="10">
        <f t="shared" si="118"/>
        <v>0</v>
      </c>
      <c r="CU103" s="31" t="str">
        <f t="shared" si="119"/>
        <v>0</v>
      </c>
      <c r="CV103" s="10">
        <f>+Risultati!AX102</f>
        <v>0</v>
      </c>
      <c r="CW103" s="31" t="str">
        <f t="shared" si="120"/>
        <v>0</v>
      </c>
      <c r="CX103" s="10">
        <f t="shared" si="121"/>
        <v>0</v>
      </c>
      <c r="CY103" s="31" t="str">
        <f t="shared" si="122"/>
        <v>0</v>
      </c>
      <c r="CZ103" s="10">
        <f>+Risultati!AG102</f>
        <v>0</v>
      </c>
      <c r="DA103" s="31" t="str">
        <f t="shared" si="123"/>
        <v>0</v>
      </c>
      <c r="DB103" s="10">
        <f t="shared" si="124"/>
        <v>0</v>
      </c>
      <c r="DC103" s="31" t="str">
        <f t="shared" si="125"/>
        <v>0</v>
      </c>
      <c r="DD103" s="10">
        <f>+Risultati!AV102</f>
        <v>0</v>
      </c>
      <c r="DE103" s="31" t="str">
        <f t="shared" si="126"/>
        <v>0</v>
      </c>
      <c r="DF103" s="10">
        <f>+Risultati!AJ102</f>
        <v>0</v>
      </c>
      <c r="DG103" s="31" t="str">
        <f t="shared" si="127"/>
        <v>0</v>
      </c>
      <c r="DH103" s="10">
        <f t="shared" si="128"/>
        <v>0</v>
      </c>
      <c r="DI103" s="31" t="str">
        <f t="shared" si="129"/>
        <v>0</v>
      </c>
      <c r="DJ103" s="10">
        <f>+Risultati!AW102</f>
        <v>0</v>
      </c>
      <c r="DK103" s="31" t="str">
        <f t="shared" si="130"/>
        <v>0</v>
      </c>
      <c r="DL103" s="10">
        <f t="shared" si="101"/>
        <v>0</v>
      </c>
      <c r="DM103" s="31" t="str">
        <f t="shared" si="131"/>
        <v>0</v>
      </c>
      <c r="DO103" s="30"/>
      <c r="DP103" s="30"/>
    </row>
    <row r="104" spans="1:120" x14ac:dyDescent="0.2">
      <c r="A104" s="5"/>
      <c r="B104" s="6">
        <f>+Risultati!B103</f>
        <v>0</v>
      </c>
      <c r="C104" s="6">
        <f>+Risultati!C103</f>
        <v>0</v>
      </c>
      <c r="D104" s="26" t="str">
        <f>IF(YEAR(Risultati!D103)=1900,(MID(Risultati!$AP$1,29,4)),YEAR(Risultati!D103))</f>
        <v/>
      </c>
      <c r="E104" s="6">
        <f>+Risultati!E103</f>
        <v>0</v>
      </c>
      <c r="F104" s="8" t="e">
        <f>(LEFT(Risultati!AN103,2)&amp;"-")&amp;VLOOKUP((LEFT(Risultati!AN103,2)),ateco!$B$4:$C$93,2,FALSE)</f>
        <v>#N/A</v>
      </c>
      <c r="G104" s="8" t="str">
        <f>SUBSTITUTE((Risultati!AN103&amp;"-"&amp;Risultati!AO103),",",";")</f>
        <v>-</v>
      </c>
      <c r="I104" s="10">
        <f>+Risultati!G103</f>
        <v>0</v>
      </c>
      <c r="J104" s="11" t="str">
        <f t="shared" si="83"/>
        <v>0</v>
      </c>
      <c r="K104" s="12"/>
      <c r="L104" s="10">
        <f>+Risultati!G103+Risultati!H103</f>
        <v>0</v>
      </c>
      <c r="M104" s="11" t="str">
        <f t="shared" si="84"/>
        <v>0</v>
      </c>
      <c r="N104" s="12"/>
      <c r="O104" s="10">
        <f>+Risultati!I103+Risultati!J103</f>
        <v>0</v>
      </c>
      <c r="P104" s="11" t="str">
        <f t="shared" si="85"/>
        <v>0</v>
      </c>
      <c r="Q104" s="12"/>
      <c r="R104" s="13">
        <f t="shared" si="102"/>
        <v>0</v>
      </c>
      <c r="S104" s="11" t="str">
        <f t="shared" si="86"/>
        <v>0</v>
      </c>
      <c r="T104" s="12"/>
      <c r="U104" s="10">
        <f>+Risultati!F103-(Risultati!G103+Risultati!H103)</f>
        <v>0</v>
      </c>
      <c r="V104" s="12" t="str">
        <f t="shared" si="87"/>
        <v>0</v>
      </c>
      <c r="W104" s="12"/>
      <c r="X104" s="10">
        <f t="shared" si="103"/>
        <v>0</v>
      </c>
      <c r="Y104" s="12" t="str">
        <f t="shared" si="88"/>
        <v>0</v>
      </c>
      <c r="Z104" s="12"/>
      <c r="AA104" s="10">
        <f>+Risultati!K103</f>
        <v>0</v>
      </c>
      <c r="AB104" s="12" t="str">
        <f t="shared" si="89"/>
        <v>0</v>
      </c>
      <c r="AC104" s="12"/>
      <c r="AD104" s="10">
        <f>+Risultati!L103</f>
        <v>0</v>
      </c>
      <c r="AE104" s="12" t="str">
        <f t="shared" si="90"/>
        <v>0</v>
      </c>
      <c r="AF104" s="12"/>
      <c r="AG104" s="10">
        <f>+Risultati!M103+Risultati!P103+Risultati!Q103</f>
        <v>0</v>
      </c>
      <c r="AH104" s="12" t="str">
        <f t="shared" si="91"/>
        <v>0</v>
      </c>
      <c r="AI104" s="12"/>
      <c r="AJ104" s="13">
        <f t="shared" si="104"/>
        <v>0</v>
      </c>
      <c r="AK104" s="11" t="str">
        <f t="shared" si="92"/>
        <v>0</v>
      </c>
      <c r="AL104" s="12"/>
      <c r="AM104" s="10">
        <f>+Risultati!N103</f>
        <v>0</v>
      </c>
      <c r="AN104" s="12" t="str">
        <f t="shared" si="93"/>
        <v>0</v>
      </c>
      <c r="AO104" s="12"/>
      <c r="AP104" s="10">
        <f t="shared" si="105"/>
        <v>0</v>
      </c>
      <c r="AQ104" s="41" t="str">
        <f t="shared" si="94"/>
        <v>0</v>
      </c>
      <c r="AR104" s="12"/>
      <c r="AS104" s="10">
        <f>+Risultati!O103</f>
        <v>0</v>
      </c>
      <c r="AT104" s="12" t="str">
        <f t="shared" si="95"/>
        <v>0</v>
      </c>
      <c r="AU104" s="12"/>
      <c r="AV104" s="10">
        <f t="shared" si="106"/>
        <v>0</v>
      </c>
      <c r="AW104" s="12" t="str">
        <f t="shared" si="96"/>
        <v>0</v>
      </c>
      <c r="AX104" s="12"/>
      <c r="AY104" s="10">
        <f>+Risultati!R103+Risultati!S103</f>
        <v>0</v>
      </c>
      <c r="AZ104" s="12" t="str">
        <f t="shared" si="97"/>
        <v>0</v>
      </c>
      <c r="BA104" s="12"/>
      <c r="BB104" s="10">
        <f>+Risultati!T103</f>
        <v>0</v>
      </c>
      <c r="BC104" s="12" t="str">
        <f t="shared" si="98"/>
        <v>0</v>
      </c>
      <c r="BD104" s="12"/>
      <c r="BE104" s="10">
        <f>+Risultati!U103</f>
        <v>0</v>
      </c>
      <c r="BF104" s="12" t="str">
        <f t="shared" si="99"/>
        <v>0</v>
      </c>
      <c r="BG104" s="12"/>
      <c r="BH104" s="10">
        <f t="shared" si="107"/>
        <v>0</v>
      </c>
      <c r="BI104" s="12" t="str">
        <f t="shared" si="100"/>
        <v>0</v>
      </c>
      <c r="BK104" s="16">
        <f>IF(ISNUMBER(Risultati!X103/100),(Risultati!X103/100))</f>
        <v>0</v>
      </c>
      <c r="BL104" s="16">
        <f>IF(ISNUMBER(Risultati!Y103/100),(Risultati!Y103/100))</f>
        <v>0</v>
      </c>
      <c r="BM104" s="16">
        <f>IF(ISNUMBER(Risultati!Z103/100),(Risultati!Z103/100))</f>
        <v>0</v>
      </c>
      <c r="BN104" s="16">
        <f>IF(AND(Risultati!AY103&lt;0,calcoli!AP104&lt;0),-IF(ISNUMBER(Risultati!AA103/100),(Risultati!AA103/100)),IF(ISNUMBER(Risultati!AA103/100),(Risultati!AA103/100)))</f>
        <v>0</v>
      </c>
      <c r="BO104" s="16" t="str">
        <f t="shared" si="81"/>
        <v>0</v>
      </c>
      <c r="BP104" s="16" t="str">
        <f>IF(Risultati!AB103&gt;0,(AV104/Risultati!AB103),"0")</f>
        <v>0</v>
      </c>
      <c r="BQ104" s="16" t="str">
        <f>IF(Risultati!AG103&lt;&gt;0,(BH104/Risultati!AG103),"0")</f>
        <v>0</v>
      </c>
      <c r="BR104" s="16" t="str">
        <f t="shared" si="82"/>
        <v>0</v>
      </c>
      <c r="BS104" s="14" t="str">
        <f>IF(Risultati!AB103&gt;0,(Risultati!G103/Risultati!AB103),"0")</f>
        <v>0</v>
      </c>
      <c r="BT104" s="15" t="str">
        <f>IF(Risultati!AG103&lt;&gt;0,(Risultati!AB103/Risultati!AG103),"0")</f>
        <v>0</v>
      </c>
      <c r="BU104" s="23" t="str">
        <f>IF(AND(Risultati!G103&gt;0,(Risultati!AE103-Risultati!AF103)&gt;=0),((Risultati!AE103-Risultati!AF103)/Risultati!G103*360),"0")</f>
        <v>0</v>
      </c>
      <c r="BV104" s="21" t="str">
        <f>IF(OR(E104="abbreviato",Risultati!G103=0),"0",((Risultati!AC103+Risultati!AD103)/Risultati!G103*360))</f>
        <v>0</v>
      </c>
      <c r="BW104" s="21" t="str">
        <f>IF(OR(E104="abbreviato",Risultati!G103=0,SUM(Risultati!I103+Risultati!K103+Risultati!M103)=0),"0",(((Risultati!AH103+Risultati!AI103)/(Risultati!I103+Risultati!K103+Risultati!N103)*360)))</f>
        <v>0</v>
      </c>
      <c r="BX104" s="16" t="str">
        <f>IF(Risultati!AB103&gt;0,(+Risultati!AG103/Risultati!AB103),"0")</f>
        <v>0</v>
      </c>
      <c r="BY104" s="22" t="str">
        <f>IF(OR(E104="abbreviato",Risultati!G103=0),"0",(((Risultati!AK103-(Risultati!AL103+Risultati!AM103))/Risultati!G103)))</f>
        <v>0</v>
      </c>
      <c r="BZ104" s="16" t="str">
        <f>IF(Risultati!G103&gt;0,(Risultati!AJ103/Risultati!G103),"0")</f>
        <v>0</v>
      </c>
      <c r="CA104" s="8"/>
      <c r="CB104" s="10">
        <f>+Risultati!AP103</f>
        <v>0</v>
      </c>
      <c r="CC104" s="31" t="str">
        <f t="shared" si="108"/>
        <v>0</v>
      </c>
      <c r="CD104" s="10">
        <f>+Risultati!AQ103</f>
        <v>0</v>
      </c>
      <c r="CE104" s="31" t="str">
        <f t="shared" si="109"/>
        <v>0</v>
      </c>
      <c r="CF104" s="10">
        <f>+Risultati!AR103</f>
        <v>0</v>
      </c>
      <c r="CG104" s="31" t="str">
        <f t="shared" si="110"/>
        <v>0</v>
      </c>
      <c r="CH104" s="10">
        <f>+Risultati!AS103</f>
        <v>0</v>
      </c>
      <c r="CI104" s="31" t="str">
        <f t="shared" si="111"/>
        <v>0</v>
      </c>
      <c r="CJ104" s="10">
        <f t="shared" si="112"/>
        <v>0</v>
      </c>
      <c r="CK104" s="31" t="str">
        <f t="shared" si="113"/>
        <v>0</v>
      </c>
      <c r="CL104" s="10">
        <f>+Risultati!AE103+Risultati!AF103</f>
        <v>0</v>
      </c>
      <c r="CM104" s="31" t="str">
        <f t="shared" si="114"/>
        <v>0</v>
      </c>
      <c r="CN104" s="10">
        <f>+Risultati!AT103</f>
        <v>0</v>
      </c>
      <c r="CO104" s="31" t="str">
        <f t="shared" si="115"/>
        <v>0</v>
      </c>
      <c r="CP104" s="10">
        <f>+Risultati!AU103</f>
        <v>0</v>
      </c>
      <c r="CQ104" s="31" t="str">
        <f t="shared" si="116"/>
        <v>0</v>
      </c>
      <c r="CR104" s="10">
        <f>+Risultati!AL103</f>
        <v>0</v>
      </c>
      <c r="CS104" s="31" t="str">
        <f t="shared" si="117"/>
        <v>0</v>
      </c>
      <c r="CT104" s="10">
        <f t="shared" si="118"/>
        <v>0</v>
      </c>
      <c r="CU104" s="31" t="str">
        <f t="shared" si="119"/>
        <v>0</v>
      </c>
      <c r="CV104" s="10">
        <f>+Risultati!AX103</f>
        <v>0</v>
      </c>
      <c r="CW104" s="31" t="str">
        <f t="shared" si="120"/>
        <v>0</v>
      </c>
      <c r="CX104" s="10">
        <f t="shared" si="121"/>
        <v>0</v>
      </c>
      <c r="CY104" s="31" t="str">
        <f t="shared" si="122"/>
        <v>0</v>
      </c>
      <c r="CZ104" s="10">
        <f>+Risultati!AG103</f>
        <v>0</v>
      </c>
      <c r="DA104" s="31" t="str">
        <f t="shared" si="123"/>
        <v>0</v>
      </c>
      <c r="DB104" s="10">
        <f t="shared" si="124"/>
        <v>0</v>
      </c>
      <c r="DC104" s="31" t="str">
        <f t="shared" si="125"/>
        <v>0</v>
      </c>
      <c r="DD104" s="10">
        <f>+Risultati!AV103</f>
        <v>0</v>
      </c>
      <c r="DE104" s="31" t="str">
        <f t="shared" si="126"/>
        <v>0</v>
      </c>
      <c r="DF104" s="10">
        <f>+Risultati!AJ103</f>
        <v>0</v>
      </c>
      <c r="DG104" s="31" t="str">
        <f t="shared" si="127"/>
        <v>0</v>
      </c>
      <c r="DH104" s="10">
        <f t="shared" si="128"/>
        <v>0</v>
      </c>
      <c r="DI104" s="31" t="str">
        <f t="shared" si="129"/>
        <v>0</v>
      </c>
      <c r="DJ104" s="10">
        <f>+Risultati!AW103</f>
        <v>0</v>
      </c>
      <c r="DK104" s="31" t="str">
        <f t="shared" si="130"/>
        <v>0</v>
      </c>
      <c r="DL104" s="10">
        <f t="shared" si="101"/>
        <v>0</v>
      </c>
      <c r="DM104" s="31" t="str">
        <f t="shared" si="131"/>
        <v>0</v>
      </c>
      <c r="DO104" s="30"/>
      <c r="DP104" s="30"/>
    </row>
    <row r="105" spans="1:120" x14ac:dyDescent="0.2">
      <c r="A105" s="5"/>
      <c r="B105" s="6">
        <f>+Risultati!B104</f>
        <v>0</v>
      </c>
      <c r="C105" s="6">
        <f>+Risultati!C104</f>
        <v>0</v>
      </c>
      <c r="D105" s="26" t="str">
        <f>IF(YEAR(Risultati!D104)=1900,(MID(Risultati!$AP$1,29,4)),YEAR(Risultati!D104))</f>
        <v/>
      </c>
      <c r="E105" s="6">
        <f>+Risultati!E104</f>
        <v>0</v>
      </c>
      <c r="F105" s="8" t="e">
        <f>(LEFT(Risultati!AN104,2)&amp;"-")&amp;VLOOKUP((LEFT(Risultati!AN104,2)),ateco!$B$4:$C$93,2,FALSE)</f>
        <v>#N/A</v>
      </c>
      <c r="G105" s="8" t="str">
        <f>SUBSTITUTE((Risultati!AN104&amp;"-"&amp;Risultati!AO104),",",";")</f>
        <v>-</v>
      </c>
      <c r="I105" s="10">
        <f>+Risultati!G104</f>
        <v>0</v>
      </c>
      <c r="J105" s="11" t="str">
        <f t="shared" si="83"/>
        <v>0</v>
      </c>
      <c r="K105" s="12"/>
      <c r="L105" s="10">
        <f>+Risultati!G104+Risultati!H104</f>
        <v>0</v>
      </c>
      <c r="M105" s="11" t="str">
        <f t="shared" si="84"/>
        <v>0</v>
      </c>
      <c r="N105" s="12"/>
      <c r="O105" s="10">
        <f>+Risultati!I104+Risultati!J104</f>
        <v>0</v>
      </c>
      <c r="P105" s="11" t="str">
        <f t="shared" si="85"/>
        <v>0</v>
      </c>
      <c r="Q105" s="12"/>
      <c r="R105" s="13">
        <f t="shared" si="102"/>
        <v>0</v>
      </c>
      <c r="S105" s="11" t="str">
        <f t="shared" si="86"/>
        <v>0</v>
      </c>
      <c r="T105" s="12"/>
      <c r="U105" s="10">
        <f>+Risultati!F104-(Risultati!G104+Risultati!H104)</f>
        <v>0</v>
      </c>
      <c r="V105" s="12" t="str">
        <f t="shared" si="87"/>
        <v>0</v>
      </c>
      <c r="W105" s="12"/>
      <c r="X105" s="10">
        <f t="shared" si="103"/>
        <v>0</v>
      </c>
      <c r="Y105" s="12" t="str">
        <f t="shared" si="88"/>
        <v>0</v>
      </c>
      <c r="Z105" s="12"/>
      <c r="AA105" s="10">
        <f>+Risultati!K104</f>
        <v>0</v>
      </c>
      <c r="AB105" s="12" t="str">
        <f t="shared" si="89"/>
        <v>0</v>
      </c>
      <c r="AC105" s="12"/>
      <c r="AD105" s="10">
        <f>+Risultati!L104</f>
        <v>0</v>
      </c>
      <c r="AE105" s="12" t="str">
        <f t="shared" si="90"/>
        <v>0</v>
      </c>
      <c r="AF105" s="12"/>
      <c r="AG105" s="10">
        <f>+Risultati!M104+Risultati!P104+Risultati!Q104</f>
        <v>0</v>
      </c>
      <c r="AH105" s="12" t="str">
        <f t="shared" si="91"/>
        <v>0</v>
      </c>
      <c r="AI105" s="12"/>
      <c r="AJ105" s="13">
        <f t="shared" si="104"/>
        <v>0</v>
      </c>
      <c r="AK105" s="11" t="str">
        <f t="shared" si="92"/>
        <v>0</v>
      </c>
      <c r="AL105" s="12"/>
      <c r="AM105" s="10">
        <f>+Risultati!N104</f>
        <v>0</v>
      </c>
      <c r="AN105" s="12" t="str">
        <f t="shared" si="93"/>
        <v>0</v>
      </c>
      <c r="AO105" s="12"/>
      <c r="AP105" s="10">
        <f t="shared" si="105"/>
        <v>0</v>
      </c>
      <c r="AQ105" s="41" t="str">
        <f t="shared" si="94"/>
        <v>0</v>
      </c>
      <c r="AR105" s="12"/>
      <c r="AS105" s="10">
        <f>+Risultati!O104</f>
        <v>0</v>
      </c>
      <c r="AT105" s="12" t="str">
        <f t="shared" si="95"/>
        <v>0</v>
      </c>
      <c r="AU105" s="12"/>
      <c r="AV105" s="10">
        <f t="shared" si="106"/>
        <v>0</v>
      </c>
      <c r="AW105" s="12" t="str">
        <f t="shared" si="96"/>
        <v>0</v>
      </c>
      <c r="AX105" s="12"/>
      <c r="AY105" s="10">
        <f>+Risultati!R104+Risultati!S104</f>
        <v>0</v>
      </c>
      <c r="AZ105" s="12" t="str">
        <f t="shared" si="97"/>
        <v>0</v>
      </c>
      <c r="BA105" s="12"/>
      <c r="BB105" s="10">
        <f>+Risultati!T104</f>
        <v>0</v>
      </c>
      <c r="BC105" s="12" t="str">
        <f t="shared" si="98"/>
        <v>0</v>
      </c>
      <c r="BD105" s="12"/>
      <c r="BE105" s="10">
        <f>+Risultati!U104</f>
        <v>0</v>
      </c>
      <c r="BF105" s="12" t="str">
        <f t="shared" si="99"/>
        <v>0</v>
      </c>
      <c r="BG105" s="12"/>
      <c r="BH105" s="10">
        <f t="shared" si="107"/>
        <v>0</v>
      </c>
      <c r="BI105" s="12" t="str">
        <f t="shared" si="100"/>
        <v>0</v>
      </c>
      <c r="BK105" s="16">
        <f>IF(ISNUMBER(Risultati!X104/100),(Risultati!X104/100))</f>
        <v>0</v>
      </c>
      <c r="BL105" s="16">
        <f>IF(ISNUMBER(Risultati!Y104/100),(Risultati!Y104/100))</f>
        <v>0</v>
      </c>
      <c r="BM105" s="16">
        <f>IF(ISNUMBER(Risultati!Z104/100),(Risultati!Z104/100))</f>
        <v>0</v>
      </c>
      <c r="BN105" s="16">
        <f>IF(AND(Risultati!AY104&lt;0,calcoli!AP105&lt;0),-IF(ISNUMBER(Risultati!AA104/100),(Risultati!AA104/100)),IF(ISNUMBER(Risultati!AA104/100),(Risultati!AA104/100)))</f>
        <v>0</v>
      </c>
      <c r="BO105" s="16" t="str">
        <f t="shared" si="81"/>
        <v>0</v>
      </c>
      <c r="BP105" s="16" t="str">
        <f>IF(Risultati!AB104&gt;0,(AV105/Risultati!AB104),"0")</f>
        <v>0</v>
      </c>
      <c r="BQ105" s="16" t="str">
        <f>IF(Risultati!AG104&lt;&gt;0,(BH105/Risultati!AG104),"0")</f>
        <v>0</v>
      </c>
      <c r="BR105" s="16" t="str">
        <f t="shared" si="82"/>
        <v>0</v>
      </c>
      <c r="BS105" s="14" t="str">
        <f>IF(Risultati!AB104&gt;0,(Risultati!G104/Risultati!AB104),"0")</f>
        <v>0</v>
      </c>
      <c r="BT105" s="15" t="str">
        <f>IF(Risultati!AG104&lt;&gt;0,(Risultati!AB104/Risultati!AG104),"0")</f>
        <v>0</v>
      </c>
      <c r="BU105" s="23" t="str">
        <f>IF(AND(Risultati!G104&gt;0,(Risultati!AE104-Risultati!AF104)&gt;=0),((Risultati!AE104-Risultati!AF104)/Risultati!G104*360),"0")</f>
        <v>0</v>
      </c>
      <c r="BV105" s="21" t="str">
        <f>IF(OR(E105="abbreviato",Risultati!G104=0),"0",((Risultati!AC104+Risultati!AD104)/Risultati!G104*360))</f>
        <v>0</v>
      </c>
      <c r="BW105" s="21" t="str">
        <f>IF(OR(E105="abbreviato",Risultati!G104=0,SUM(Risultati!I104+Risultati!K104+Risultati!M104)=0),"0",(((Risultati!AH104+Risultati!AI104)/(Risultati!I104+Risultati!K104+Risultati!N104)*360)))</f>
        <v>0</v>
      </c>
      <c r="BX105" s="16" t="str">
        <f>IF(Risultati!AB104&gt;0,(+Risultati!AG104/Risultati!AB104),"0")</f>
        <v>0</v>
      </c>
      <c r="BY105" s="22" t="str">
        <f>IF(OR(E105="abbreviato",Risultati!G104=0),"0",(((Risultati!AK104-(Risultati!AL104+Risultati!AM104))/Risultati!G104)))</f>
        <v>0</v>
      </c>
      <c r="BZ105" s="16" t="str">
        <f>IF(Risultati!G104&gt;0,(Risultati!AJ104/Risultati!G104),"0")</f>
        <v>0</v>
      </c>
      <c r="CA105" s="8"/>
      <c r="CB105" s="10">
        <f>+Risultati!AP104</f>
        <v>0</v>
      </c>
      <c r="CC105" s="31" t="str">
        <f t="shared" si="108"/>
        <v>0</v>
      </c>
      <c r="CD105" s="10">
        <f>+Risultati!AQ104</f>
        <v>0</v>
      </c>
      <c r="CE105" s="31" t="str">
        <f t="shared" si="109"/>
        <v>0</v>
      </c>
      <c r="CF105" s="10">
        <f>+Risultati!AR104</f>
        <v>0</v>
      </c>
      <c r="CG105" s="31" t="str">
        <f t="shared" si="110"/>
        <v>0</v>
      </c>
      <c r="CH105" s="10">
        <f>+Risultati!AS104</f>
        <v>0</v>
      </c>
      <c r="CI105" s="31" t="str">
        <f t="shared" si="111"/>
        <v>0</v>
      </c>
      <c r="CJ105" s="10">
        <f t="shared" si="112"/>
        <v>0</v>
      </c>
      <c r="CK105" s="31" t="str">
        <f t="shared" si="113"/>
        <v>0</v>
      </c>
      <c r="CL105" s="10">
        <f>+Risultati!AE104+Risultati!AF104</f>
        <v>0</v>
      </c>
      <c r="CM105" s="31" t="str">
        <f t="shared" si="114"/>
        <v>0</v>
      </c>
      <c r="CN105" s="10">
        <f>+Risultati!AT104</f>
        <v>0</v>
      </c>
      <c r="CO105" s="31" t="str">
        <f t="shared" si="115"/>
        <v>0</v>
      </c>
      <c r="CP105" s="10">
        <f>+Risultati!AU104</f>
        <v>0</v>
      </c>
      <c r="CQ105" s="31" t="str">
        <f t="shared" si="116"/>
        <v>0</v>
      </c>
      <c r="CR105" s="10">
        <f>+Risultati!AL104</f>
        <v>0</v>
      </c>
      <c r="CS105" s="31" t="str">
        <f t="shared" si="117"/>
        <v>0</v>
      </c>
      <c r="CT105" s="10">
        <f t="shared" si="118"/>
        <v>0</v>
      </c>
      <c r="CU105" s="31" t="str">
        <f t="shared" si="119"/>
        <v>0</v>
      </c>
      <c r="CV105" s="10">
        <f>+Risultati!AX104</f>
        <v>0</v>
      </c>
      <c r="CW105" s="31" t="str">
        <f t="shared" si="120"/>
        <v>0</v>
      </c>
      <c r="CX105" s="10">
        <f t="shared" si="121"/>
        <v>0</v>
      </c>
      <c r="CY105" s="31" t="str">
        <f t="shared" si="122"/>
        <v>0</v>
      </c>
      <c r="CZ105" s="10">
        <f>+Risultati!AG104</f>
        <v>0</v>
      </c>
      <c r="DA105" s="31" t="str">
        <f t="shared" si="123"/>
        <v>0</v>
      </c>
      <c r="DB105" s="10">
        <f t="shared" si="124"/>
        <v>0</v>
      </c>
      <c r="DC105" s="31" t="str">
        <f t="shared" si="125"/>
        <v>0</v>
      </c>
      <c r="DD105" s="10">
        <f>+Risultati!AV104</f>
        <v>0</v>
      </c>
      <c r="DE105" s="31" t="str">
        <f t="shared" si="126"/>
        <v>0</v>
      </c>
      <c r="DF105" s="10">
        <f>+Risultati!AJ104</f>
        <v>0</v>
      </c>
      <c r="DG105" s="31" t="str">
        <f t="shared" si="127"/>
        <v>0</v>
      </c>
      <c r="DH105" s="10">
        <f t="shared" si="128"/>
        <v>0</v>
      </c>
      <c r="DI105" s="31" t="str">
        <f t="shared" si="129"/>
        <v>0</v>
      </c>
      <c r="DJ105" s="10">
        <f>+Risultati!AW104</f>
        <v>0</v>
      </c>
      <c r="DK105" s="31" t="str">
        <f t="shared" si="130"/>
        <v>0</v>
      </c>
      <c r="DL105" s="10">
        <f t="shared" si="101"/>
        <v>0</v>
      </c>
      <c r="DM105" s="31" t="str">
        <f t="shared" si="131"/>
        <v>0</v>
      </c>
      <c r="DO105" s="30"/>
      <c r="DP105" s="30"/>
    </row>
    <row r="106" spans="1:120" x14ac:dyDescent="0.2">
      <c r="A106" s="5"/>
      <c r="B106" s="6">
        <f>+Risultati!B105</f>
        <v>0</v>
      </c>
      <c r="C106" s="6">
        <f>+Risultati!C105</f>
        <v>0</v>
      </c>
      <c r="D106" s="26" t="str">
        <f>IF(YEAR(Risultati!D105)=1900,(MID(Risultati!$AP$1,29,4)),YEAR(Risultati!D105))</f>
        <v/>
      </c>
      <c r="E106" s="6">
        <f>+Risultati!E105</f>
        <v>0</v>
      </c>
      <c r="F106" s="8" t="e">
        <f>(LEFT(Risultati!AN105,2)&amp;"-")&amp;VLOOKUP((LEFT(Risultati!AN105,2)),ateco!$B$4:$C$93,2,FALSE)</f>
        <v>#N/A</v>
      </c>
      <c r="G106" s="8" t="str">
        <f>SUBSTITUTE((Risultati!AN105&amp;"-"&amp;Risultati!AO105),",",";")</f>
        <v>-</v>
      </c>
      <c r="I106" s="10">
        <f>+Risultati!G105</f>
        <v>0</v>
      </c>
      <c r="J106" s="11" t="str">
        <f t="shared" si="83"/>
        <v>0</v>
      </c>
      <c r="K106" s="12"/>
      <c r="L106" s="10">
        <f>+Risultati!G105+Risultati!H105</f>
        <v>0</v>
      </c>
      <c r="M106" s="11" t="str">
        <f t="shared" si="84"/>
        <v>0</v>
      </c>
      <c r="N106" s="12"/>
      <c r="O106" s="10">
        <f>+Risultati!I105+Risultati!J105</f>
        <v>0</v>
      </c>
      <c r="P106" s="11" t="str">
        <f t="shared" si="85"/>
        <v>0</v>
      </c>
      <c r="Q106" s="12"/>
      <c r="R106" s="13">
        <f t="shared" si="102"/>
        <v>0</v>
      </c>
      <c r="S106" s="11" t="str">
        <f t="shared" si="86"/>
        <v>0</v>
      </c>
      <c r="T106" s="12"/>
      <c r="U106" s="10">
        <f>+Risultati!F105-(Risultati!G105+Risultati!H105)</f>
        <v>0</v>
      </c>
      <c r="V106" s="12" t="str">
        <f t="shared" si="87"/>
        <v>0</v>
      </c>
      <c r="W106" s="12"/>
      <c r="X106" s="10">
        <f t="shared" si="103"/>
        <v>0</v>
      </c>
      <c r="Y106" s="12" t="str">
        <f t="shared" si="88"/>
        <v>0</v>
      </c>
      <c r="Z106" s="12"/>
      <c r="AA106" s="10">
        <f>+Risultati!K105</f>
        <v>0</v>
      </c>
      <c r="AB106" s="12" t="str">
        <f t="shared" si="89"/>
        <v>0</v>
      </c>
      <c r="AC106" s="12"/>
      <c r="AD106" s="10">
        <f>+Risultati!L105</f>
        <v>0</v>
      </c>
      <c r="AE106" s="12" t="str">
        <f t="shared" si="90"/>
        <v>0</v>
      </c>
      <c r="AF106" s="12"/>
      <c r="AG106" s="10">
        <f>+Risultati!M105+Risultati!P105+Risultati!Q105</f>
        <v>0</v>
      </c>
      <c r="AH106" s="12" t="str">
        <f t="shared" si="91"/>
        <v>0</v>
      </c>
      <c r="AI106" s="12"/>
      <c r="AJ106" s="13">
        <f t="shared" si="104"/>
        <v>0</v>
      </c>
      <c r="AK106" s="11" t="str">
        <f t="shared" si="92"/>
        <v>0</v>
      </c>
      <c r="AL106" s="12"/>
      <c r="AM106" s="10">
        <f>+Risultati!N105</f>
        <v>0</v>
      </c>
      <c r="AN106" s="12" t="str">
        <f t="shared" si="93"/>
        <v>0</v>
      </c>
      <c r="AO106" s="12"/>
      <c r="AP106" s="10">
        <f t="shared" si="105"/>
        <v>0</v>
      </c>
      <c r="AQ106" s="41" t="str">
        <f t="shared" si="94"/>
        <v>0</v>
      </c>
      <c r="AR106" s="12"/>
      <c r="AS106" s="10">
        <f>+Risultati!O105</f>
        <v>0</v>
      </c>
      <c r="AT106" s="12" t="str">
        <f t="shared" si="95"/>
        <v>0</v>
      </c>
      <c r="AU106" s="12"/>
      <c r="AV106" s="10">
        <f t="shared" si="106"/>
        <v>0</v>
      </c>
      <c r="AW106" s="12" t="str">
        <f t="shared" si="96"/>
        <v>0</v>
      </c>
      <c r="AX106" s="12"/>
      <c r="AY106" s="10">
        <f>+Risultati!R105+Risultati!S105</f>
        <v>0</v>
      </c>
      <c r="AZ106" s="12" t="str">
        <f t="shared" si="97"/>
        <v>0</v>
      </c>
      <c r="BA106" s="12"/>
      <c r="BB106" s="10">
        <f>+Risultati!T105</f>
        <v>0</v>
      </c>
      <c r="BC106" s="12" t="str">
        <f t="shared" si="98"/>
        <v>0</v>
      </c>
      <c r="BD106" s="12"/>
      <c r="BE106" s="10">
        <f>+Risultati!U105</f>
        <v>0</v>
      </c>
      <c r="BF106" s="12" t="str">
        <f t="shared" si="99"/>
        <v>0</v>
      </c>
      <c r="BG106" s="12"/>
      <c r="BH106" s="10">
        <f t="shared" si="107"/>
        <v>0</v>
      </c>
      <c r="BI106" s="12" t="str">
        <f t="shared" si="100"/>
        <v>0</v>
      </c>
      <c r="BK106" s="16">
        <f>IF(ISNUMBER(Risultati!X105/100),(Risultati!X105/100))</f>
        <v>0</v>
      </c>
      <c r="BL106" s="16">
        <f>IF(ISNUMBER(Risultati!Y105/100),(Risultati!Y105/100))</f>
        <v>0</v>
      </c>
      <c r="BM106" s="16">
        <f>IF(ISNUMBER(Risultati!Z105/100),(Risultati!Z105/100))</f>
        <v>0</v>
      </c>
      <c r="BN106" s="16">
        <f>IF(AND(Risultati!AY105&lt;0,calcoli!AP106&lt;0),-IF(ISNUMBER(Risultati!AA105/100),(Risultati!AA105/100)),IF(ISNUMBER(Risultati!AA105/100),(Risultati!AA105/100)))</f>
        <v>0</v>
      </c>
      <c r="BO106" s="16" t="str">
        <f t="shared" si="81"/>
        <v>0</v>
      </c>
      <c r="BP106" s="16" t="str">
        <f>IF(Risultati!AB105&gt;0,(AV106/Risultati!AB105),"0")</f>
        <v>0</v>
      </c>
      <c r="BQ106" s="16" t="str">
        <f>IF(Risultati!AG105&lt;&gt;0,(BH106/Risultati!AG105),"0")</f>
        <v>0</v>
      </c>
      <c r="BR106" s="16" t="str">
        <f t="shared" si="82"/>
        <v>0</v>
      </c>
      <c r="BS106" s="14" t="str">
        <f>IF(Risultati!AB105&gt;0,(Risultati!G105/Risultati!AB105),"0")</f>
        <v>0</v>
      </c>
      <c r="BT106" s="15" t="str">
        <f>IF(Risultati!AG105&lt;&gt;0,(Risultati!AB105/Risultati!AG105),"0")</f>
        <v>0</v>
      </c>
      <c r="BU106" s="23" t="str">
        <f>IF(AND(Risultati!G105&gt;0,(Risultati!AE105-Risultati!AF105)&gt;=0),((Risultati!AE105-Risultati!AF105)/Risultati!G105*360),"0")</f>
        <v>0</v>
      </c>
      <c r="BV106" s="21" t="str">
        <f>IF(OR(E106="abbreviato",Risultati!G105=0),"0",((Risultati!AC105+Risultati!AD105)/Risultati!G105*360))</f>
        <v>0</v>
      </c>
      <c r="BW106" s="21" t="str">
        <f>IF(OR(E106="abbreviato",Risultati!G105=0,SUM(Risultati!I105+Risultati!K105+Risultati!M105)=0),"0",(((Risultati!AH105+Risultati!AI105)/(Risultati!I105+Risultati!K105+Risultati!N105)*360)))</f>
        <v>0</v>
      </c>
      <c r="BX106" s="16" t="str">
        <f>IF(Risultati!AB105&gt;0,(+Risultati!AG105/Risultati!AB105),"0")</f>
        <v>0</v>
      </c>
      <c r="BY106" s="22" t="str">
        <f>IF(OR(E106="abbreviato",Risultati!G105=0),"0",(((Risultati!AK105-(Risultati!AL105+Risultati!AM105))/Risultati!G105)))</f>
        <v>0</v>
      </c>
      <c r="BZ106" s="16" t="str">
        <f>IF(Risultati!G105&gt;0,(Risultati!AJ105/Risultati!G105),"0")</f>
        <v>0</v>
      </c>
      <c r="CA106" s="8"/>
      <c r="CB106" s="10">
        <f>+Risultati!AP105</f>
        <v>0</v>
      </c>
      <c r="CC106" s="31" t="str">
        <f t="shared" si="108"/>
        <v>0</v>
      </c>
      <c r="CD106" s="10">
        <f>+Risultati!AQ105</f>
        <v>0</v>
      </c>
      <c r="CE106" s="31" t="str">
        <f t="shared" si="109"/>
        <v>0</v>
      </c>
      <c r="CF106" s="10">
        <f>+Risultati!AR105</f>
        <v>0</v>
      </c>
      <c r="CG106" s="31" t="str">
        <f t="shared" si="110"/>
        <v>0</v>
      </c>
      <c r="CH106" s="10">
        <f>+Risultati!AS105</f>
        <v>0</v>
      </c>
      <c r="CI106" s="31" t="str">
        <f t="shared" si="111"/>
        <v>0</v>
      </c>
      <c r="CJ106" s="10">
        <f t="shared" si="112"/>
        <v>0</v>
      </c>
      <c r="CK106" s="31" t="str">
        <f t="shared" si="113"/>
        <v>0</v>
      </c>
      <c r="CL106" s="10">
        <f>+Risultati!AE105+Risultati!AF105</f>
        <v>0</v>
      </c>
      <c r="CM106" s="31" t="str">
        <f t="shared" si="114"/>
        <v>0</v>
      </c>
      <c r="CN106" s="10">
        <f>+Risultati!AT105</f>
        <v>0</v>
      </c>
      <c r="CO106" s="31" t="str">
        <f t="shared" si="115"/>
        <v>0</v>
      </c>
      <c r="CP106" s="10">
        <f>+Risultati!AU105</f>
        <v>0</v>
      </c>
      <c r="CQ106" s="31" t="str">
        <f t="shared" si="116"/>
        <v>0</v>
      </c>
      <c r="CR106" s="10">
        <f>+Risultati!AL105</f>
        <v>0</v>
      </c>
      <c r="CS106" s="31" t="str">
        <f t="shared" si="117"/>
        <v>0</v>
      </c>
      <c r="CT106" s="10">
        <f t="shared" si="118"/>
        <v>0</v>
      </c>
      <c r="CU106" s="31" t="str">
        <f t="shared" si="119"/>
        <v>0</v>
      </c>
      <c r="CV106" s="10">
        <f>+Risultati!AX105</f>
        <v>0</v>
      </c>
      <c r="CW106" s="31" t="str">
        <f t="shared" si="120"/>
        <v>0</v>
      </c>
      <c r="CX106" s="10">
        <f t="shared" si="121"/>
        <v>0</v>
      </c>
      <c r="CY106" s="31" t="str">
        <f t="shared" si="122"/>
        <v>0</v>
      </c>
      <c r="CZ106" s="10">
        <f>+Risultati!AG105</f>
        <v>0</v>
      </c>
      <c r="DA106" s="31" t="str">
        <f t="shared" si="123"/>
        <v>0</v>
      </c>
      <c r="DB106" s="10">
        <f t="shared" si="124"/>
        <v>0</v>
      </c>
      <c r="DC106" s="31" t="str">
        <f t="shared" si="125"/>
        <v>0</v>
      </c>
      <c r="DD106" s="10">
        <f>+Risultati!AV105</f>
        <v>0</v>
      </c>
      <c r="DE106" s="31" t="str">
        <f t="shared" si="126"/>
        <v>0</v>
      </c>
      <c r="DF106" s="10">
        <f>+Risultati!AJ105</f>
        <v>0</v>
      </c>
      <c r="DG106" s="31" t="str">
        <f t="shared" si="127"/>
        <v>0</v>
      </c>
      <c r="DH106" s="10">
        <f t="shared" si="128"/>
        <v>0</v>
      </c>
      <c r="DI106" s="31" t="str">
        <f t="shared" si="129"/>
        <v>0</v>
      </c>
      <c r="DJ106" s="10">
        <f>+Risultati!AW105</f>
        <v>0</v>
      </c>
      <c r="DK106" s="31" t="str">
        <f t="shared" si="130"/>
        <v>0</v>
      </c>
      <c r="DL106" s="10">
        <f t="shared" si="101"/>
        <v>0</v>
      </c>
      <c r="DM106" s="31" t="str">
        <f t="shared" si="131"/>
        <v>0</v>
      </c>
      <c r="DO106" s="30"/>
      <c r="DP106" s="30"/>
    </row>
    <row r="107" spans="1:120" x14ac:dyDescent="0.2">
      <c r="A107" s="5"/>
      <c r="B107" s="6">
        <f>+Risultati!B106</f>
        <v>0</v>
      </c>
      <c r="C107" s="6">
        <f>+Risultati!C106</f>
        <v>0</v>
      </c>
      <c r="D107" s="26" t="str">
        <f>IF(YEAR(Risultati!D106)=1900,(MID(Risultati!$AP$1,29,4)),YEAR(Risultati!D106))</f>
        <v/>
      </c>
      <c r="E107" s="6">
        <f>+Risultati!E106</f>
        <v>0</v>
      </c>
      <c r="F107" s="8" t="e">
        <f>(LEFT(Risultati!AN106,2)&amp;"-")&amp;VLOOKUP((LEFT(Risultati!AN106,2)),ateco!$B$4:$C$93,2,FALSE)</f>
        <v>#N/A</v>
      </c>
      <c r="G107" s="8" t="str">
        <f>SUBSTITUTE((Risultati!AN106&amp;"-"&amp;Risultati!AO106),",",";")</f>
        <v>-</v>
      </c>
      <c r="I107" s="10">
        <f>+Risultati!G106</f>
        <v>0</v>
      </c>
      <c r="J107" s="11" t="str">
        <f t="shared" si="83"/>
        <v>0</v>
      </c>
      <c r="K107" s="12"/>
      <c r="L107" s="10">
        <f>+Risultati!G106+Risultati!H106</f>
        <v>0</v>
      </c>
      <c r="M107" s="11" t="str">
        <f t="shared" si="84"/>
        <v>0</v>
      </c>
      <c r="N107" s="12"/>
      <c r="O107" s="10">
        <f>+Risultati!I106+Risultati!J106</f>
        <v>0</v>
      </c>
      <c r="P107" s="11" t="str">
        <f t="shared" si="85"/>
        <v>0</v>
      </c>
      <c r="Q107" s="12"/>
      <c r="R107" s="13">
        <f t="shared" si="102"/>
        <v>0</v>
      </c>
      <c r="S107" s="11" t="str">
        <f t="shared" si="86"/>
        <v>0</v>
      </c>
      <c r="T107" s="12"/>
      <c r="U107" s="10">
        <f>+Risultati!F106-(Risultati!G106+Risultati!H106)</f>
        <v>0</v>
      </c>
      <c r="V107" s="12" t="str">
        <f t="shared" si="87"/>
        <v>0</v>
      </c>
      <c r="W107" s="12"/>
      <c r="X107" s="10">
        <f t="shared" si="103"/>
        <v>0</v>
      </c>
      <c r="Y107" s="12" t="str">
        <f t="shared" si="88"/>
        <v>0</v>
      </c>
      <c r="Z107" s="12"/>
      <c r="AA107" s="10">
        <f>+Risultati!K106</f>
        <v>0</v>
      </c>
      <c r="AB107" s="12" t="str">
        <f t="shared" si="89"/>
        <v>0</v>
      </c>
      <c r="AC107" s="12"/>
      <c r="AD107" s="10">
        <f>+Risultati!L106</f>
        <v>0</v>
      </c>
      <c r="AE107" s="12" t="str">
        <f t="shared" si="90"/>
        <v>0</v>
      </c>
      <c r="AF107" s="12"/>
      <c r="AG107" s="10">
        <f>+Risultati!M106+Risultati!P106+Risultati!Q106</f>
        <v>0</v>
      </c>
      <c r="AH107" s="12" t="str">
        <f t="shared" si="91"/>
        <v>0</v>
      </c>
      <c r="AI107" s="12"/>
      <c r="AJ107" s="13">
        <f t="shared" si="104"/>
        <v>0</v>
      </c>
      <c r="AK107" s="11" t="str">
        <f t="shared" si="92"/>
        <v>0</v>
      </c>
      <c r="AL107" s="12"/>
      <c r="AM107" s="10">
        <f>+Risultati!N106</f>
        <v>0</v>
      </c>
      <c r="AN107" s="12" t="str">
        <f t="shared" si="93"/>
        <v>0</v>
      </c>
      <c r="AO107" s="12"/>
      <c r="AP107" s="10">
        <f t="shared" si="105"/>
        <v>0</v>
      </c>
      <c r="AQ107" s="41" t="str">
        <f t="shared" si="94"/>
        <v>0</v>
      </c>
      <c r="AR107" s="12"/>
      <c r="AS107" s="10">
        <f>+Risultati!O106</f>
        <v>0</v>
      </c>
      <c r="AT107" s="12" t="str">
        <f t="shared" si="95"/>
        <v>0</v>
      </c>
      <c r="AU107" s="12"/>
      <c r="AV107" s="10">
        <f t="shared" si="106"/>
        <v>0</v>
      </c>
      <c r="AW107" s="12" t="str">
        <f t="shared" si="96"/>
        <v>0</v>
      </c>
      <c r="AX107" s="12"/>
      <c r="AY107" s="10">
        <f>+Risultati!R106+Risultati!S106</f>
        <v>0</v>
      </c>
      <c r="AZ107" s="12" t="str">
        <f t="shared" si="97"/>
        <v>0</v>
      </c>
      <c r="BA107" s="12"/>
      <c r="BB107" s="10">
        <f>+Risultati!T106</f>
        <v>0</v>
      </c>
      <c r="BC107" s="12" t="str">
        <f t="shared" si="98"/>
        <v>0</v>
      </c>
      <c r="BD107" s="12"/>
      <c r="BE107" s="10">
        <f>+Risultati!U106</f>
        <v>0</v>
      </c>
      <c r="BF107" s="12" t="str">
        <f t="shared" si="99"/>
        <v>0</v>
      </c>
      <c r="BG107" s="12"/>
      <c r="BH107" s="10">
        <f t="shared" si="107"/>
        <v>0</v>
      </c>
      <c r="BI107" s="12" t="str">
        <f t="shared" si="100"/>
        <v>0</v>
      </c>
      <c r="BK107" s="16">
        <f>IF(ISNUMBER(Risultati!X106/100),(Risultati!X106/100))</f>
        <v>0</v>
      </c>
      <c r="BL107" s="16">
        <f>IF(ISNUMBER(Risultati!Y106/100),(Risultati!Y106/100))</f>
        <v>0</v>
      </c>
      <c r="BM107" s="16">
        <f>IF(ISNUMBER(Risultati!Z106/100),(Risultati!Z106/100))</f>
        <v>0</v>
      </c>
      <c r="BN107" s="16">
        <f>IF(AND(Risultati!AY106&lt;0,calcoli!AP107&lt;0),-IF(ISNUMBER(Risultati!AA106/100),(Risultati!AA106/100)),IF(ISNUMBER(Risultati!AA106/100),(Risultati!AA106/100)))</f>
        <v>0</v>
      </c>
      <c r="BO107" s="16" t="str">
        <f t="shared" si="81"/>
        <v>0</v>
      </c>
      <c r="BP107" s="16" t="str">
        <f>IF(Risultati!AB106&gt;0,(AV107/Risultati!AB106),"0")</f>
        <v>0</v>
      </c>
      <c r="BQ107" s="16" t="str">
        <f>IF(Risultati!AG106&lt;&gt;0,(BH107/Risultati!AG106),"0")</f>
        <v>0</v>
      </c>
      <c r="BR107" s="16" t="str">
        <f t="shared" si="82"/>
        <v>0</v>
      </c>
      <c r="BS107" s="14" t="str">
        <f>IF(Risultati!AB106&gt;0,(Risultati!G106/Risultati!AB106),"0")</f>
        <v>0</v>
      </c>
      <c r="BT107" s="15" t="str">
        <f>IF(Risultati!AG106&lt;&gt;0,(Risultati!AB106/Risultati!AG106),"0")</f>
        <v>0</v>
      </c>
      <c r="BU107" s="23" t="str">
        <f>IF(AND(Risultati!G106&gt;0,(Risultati!AE106-Risultati!AF106)&gt;=0),((Risultati!AE106-Risultati!AF106)/Risultati!G106*360),"0")</f>
        <v>0</v>
      </c>
      <c r="BV107" s="21" t="str">
        <f>IF(OR(E107="abbreviato",Risultati!G106=0),"0",((Risultati!AC106+Risultati!AD106)/Risultati!G106*360))</f>
        <v>0</v>
      </c>
      <c r="BW107" s="21" t="str">
        <f>IF(OR(E107="abbreviato",Risultati!G106=0,SUM(Risultati!I106+Risultati!K106+Risultati!M106)=0),"0",(((Risultati!AH106+Risultati!AI106)/(Risultati!I106+Risultati!K106+Risultati!N106)*360)))</f>
        <v>0</v>
      </c>
      <c r="BX107" s="16" t="str">
        <f>IF(Risultati!AB106&gt;0,(+Risultati!AG106/Risultati!AB106),"0")</f>
        <v>0</v>
      </c>
      <c r="BY107" s="22" t="str">
        <f>IF(OR(E107="abbreviato",Risultati!G106=0),"0",(((Risultati!AK106-(Risultati!AL106+Risultati!AM106))/Risultati!G106)))</f>
        <v>0</v>
      </c>
      <c r="BZ107" s="16" t="str">
        <f>IF(Risultati!G106&gt;0,(Risultati!AJ106/Risultati!G106),"0")</f>
        <v>0</v>
      </c>
      <c r="CA107" s="8"/>
      <c r="CB107" s="10">
        <f>+Risultati!AP106</f>
        <v>0</v>
      </c>
      <c r="CC107" s="31" t="str">
        <f t="shared" si="108"/>
        <v>0</v>
      </c>
      <c r="CD107" s="10">
        <f>+Risultati!AQ106</f>
        <v>0</v>
      </c>
      <c r="CE107" s="31" t="str">
        <f t="shared" si="109"/>
        <v>0</v>
      </c>
      <c r="CF107" s="10">
        <f>+Risultati!AR106</f>
        <v>0</v>
      </c>
      <c r="CG107" s="31" t="str">
        <f t="shared" si="110"/>
        <v>0</v>
      </c>
      <c r="CH107" s="10">
        <f>+Risultati!AS106</f>
        <v>0</v>
      </c>
      <c r="CI107" s="31" t="str">
        <f t="shared" si="111"/>
        <v>0</v>
      </c>
      <c r="CJ107" s="10">
        <f t="shared" si="112"/>
        <v>0</v>
      </c>
      <c r="CK107" s="31" t="str">
        <f t="shared" si="113"/>
        <v>0</v>
      </c>
      <c r="CL107" s="10">
        <f>+Risultati!AE106+Risultati!AF106</f>
        <v>0</v>
      </c>
      <c r="CM107" s="31" t="str">
        <f t="shared" si="114"/>
        <v>0</v>
      </c>
      <c r="CN107" s="10">
        <f>+Risultati!AT106</f>
        <v>0</v>
      </c>
      <c r="CO107" s="31" t="str">
        <f t="shared" si="115"/>
        <v>0</v>
      </c>
      <c r="CP107" s="10">
        <f>+Risultati!AU106</f>
        <v>0</v>
      </c>
      <c r="CQ107" s="31" t="str">
        <f t="shared" si="116"/>
        <v>0</v>
      </c>
      <c r="CR107" s="10">
        <f>+Risultati!AL106</f>
        <v>0</v>
      </c>
      <c r="CS107" s="31" t="str">
        <f t="shared" si="117"/>
        <v>0</v>
      </c>
      <c r="CT107" s="10">
        <f t="shared" si="118"/>
        <v>0</v>
      </c>
      <c r="CU107" s="31" t="str">
        <f t="shared" si="119"/>
        <v>0</v>
      </c>
      <c r="CV107" s="10">
        <f>+Risultati!AX106</f>
        <v>0</v>
      </c>
      <c r="CW107" s="31" t="str">
        <f t="shared" si="120"/>
        <v>0</v>
      </c>
      <c r="CX107" s="10">
        <f t="shared" si="121"/>
        <v>0</v>
      </c>
      <c r="CY107" s="31" t="str">
        <f t="shared" si="122"/>
        <v>0</v>
      </c>
      <c r="CZ107" s="10">
        <f>+Risultati!AG106</f>
        <v>0</v>
      </c>
      <c r="DA107" s="31" t="str">
        <f t="shared" si="123"/>
        <v>0</v>
      </c>
      <c r="DB107" s="10">
        <f t="shared" si="124"/>
        <v>0</v>
      </c>
      <c r="DC107" s="31" t="str">
        <f t="shared" si="125"/>
        <v>0</v>
      </c>
      <c r="DD107" s="10">
        <f>+Risultati!AV106</f>
        <v>0</v>
      </c>
      <c r="DE107" s="31" t="str">
        <f t="shared" si="126"/>
        <v>0</v>
      </c>
      <c r="DF107" s="10">
        <f>+Risultati!AJ106</f>
        <v>0</v>
      </c>
      <c r="DG107" s="31" t="str">
        <f t="shared" si="127"/>
        <v>0</v>
      </c>
      <c r="DH107" s="10">
        <f t="shared" si="128"/>
        <v>0</v>
      </c>
      <c r="DI107" s="31" t="str">
        <f t="shared" si="129"/>
        <v>0</v>
      </c>
      <c r="DJ107" s="10">
        <f>+Risultati!AW106</f>
        <v>0</v>
      </c>
      <c r="DK107" s="31" t="str">
        <f t="shared" si="130"/>
        <v>0</v>
      </c>
      <c r="DL107" s="10">
        <f t="shared" si="101"/>
        <v>0</v>
      </c>
      <c r="DM107" s="31" t="str">
        <f t="shared" si="131"/>
        <v>0</v>
      </c>
      <c r="DO107" s="30"/>
      <c r="DP107" s="30"/>
    </row>
    <row r="108" spans="1:120" x14ac:dyDescent="0.2">
      <c r="A108" s="5"/>
      <c r="B108" s="6">
        <f>+Risultati!B107</f>
        <v>0</v>
      </c>
      <c r="C108" s="6">
        <f>+Risultati!C107</f>
        <v>0</v>
      </c>
      <c r="D108" s="26" t="str">
        <f>IF(YEAR(Risultati!D107)=1900,(MID(Risultati!$AP$1,29,4)),YEAR(Risultati!D107))</f>
        <v/>
      </c>
      <c r="E108" s="6">
        <f>+Risultati!E107</f>
        <v>0</v>
      </c>
      <c r="F108" s="8" t="e">
        <f>(LEFT(Risultati!AN107,2)&amp;"-")&amp;VLOOKUP((LEFT(Risultati!AN107,2)),ateco!$B$4:$C$93,2,FALSE)</f>
        <v>#N/A</v>
      </c>
      <c r="G108" s="8" t="str">
        <f>SUBSTITUTE((Risultati!AN107&amp;"-"&amp;Risultati!AO107),",",";")</f>
        <v>-</v>
      </c>
      <c r="I108" s="10">
        <f>+Risultati!G107</f>
        <v>0</v>
      </c>
      <c r="J108" s="11" t="str">
        <f t="shared" si="83"/>
        <v>0</v>
      </c>
      <c r="K108" s="12"/>
      <c r="L108" s="10">
        <f>+Risultati!G107+Risultati!H107</f>
        <v>0</v>
      </c>
      <c r="M108" s="11" t="str">
        <f t="shared" si="84"/>
        <v>0</v>
      </c>
      <c r="N108" s="12"/>
      <c r="O108" s="10">
        <f>+Risultati!I107+Risultati!J107</f>
        <v>0</v>
      </c>
      <c r="P108" s="11" t="str">
        <f t="shared" si="85"/>
        <v>0</v>
      </c>
      <c r="Q108" s="12"/>
      <c r="R108" s="13">
        <f t="shared" si="102"/>
        <v>0</v>
      </c>
      <c r="S108" s="11" t="str">
        <f t="shared" si="86"/>
        <v>0</v>
      </c>
      <c r="T108" s="12"/>
      <c r="U108" s="10">
        <f>+Risultati!F107-(Risultati!G107+Risultati!H107)</f>
        <v>0</v>
      </c>
      <c r="V108" s="12" t="str">
        <f t="shared" si="87"/>
        <v>0</v>
      </c>
      <c r="W108" s="12"/>
      <c r="X108" s="10">
        <f t="shared" si="103"/>
        <v>0</v>
      </c>
      <c r="Y108" s="12" t="str">
        <f t="shared" si="88"/>
        <v>0</v>
      </c>
      <c r="Z108" s="12"/>
      <c r="AA108" s="10">
        <f>+Risultati!K107</f>
        <v>0</v>
      </c>
      <c r="AB108" s="12" t="str">
        <f t="shared" si="89"/>
        <v>0</v>
      </c>
      <c r="AC108" s="12"/>
      <c r="AD108" s="10">
        <f>+Risultati!L107</f>
        <v>0</v>
      </c>
      <c r="AE108" s="12" t="str">
        <f t="shared" si="90"/>
        <v>0</v>
      </c>
      <c r="AF108" s="12"/>
      <c r="AG108" s="10">
        <f>+Risultati!M107+Risultati!P107+Risultati!Q107</f>
        <v>0</v>
      </c>
      <c r="AH108" s="12" t="str">
        <f t="shared" si="91"/>
        <v>0</v>
      </c>
      <c r="AI108" s="12"/>
      <c r="AJ108" s="13">
        <f t="shared" si="104"/>
        <v>0</v>
      </c>
      <c r="AK108" s="11" t="str">
        <f t="shared" si="92"/>
        <v>0</v>
      </c>
      <c r="AL108" s="12"/>
      <c r="AM108" s="10">
        <f>+Risultati!N107</f>
        <v>0</v>
      </c>
      <c r="AN108" s="12" t="str">
        <f t="shared" si="93"/>
        <v>0</v>
      </c>
      <c r="AO108" s="12"/>
      <c r="AP108" s="10">
        <f t="shared" si="105"/>
        <v>0</v>
      </c>
      <c r="AQ108" s="41" t="str">
        <f t="shared" si="94"/>
        <v>0</v>
      </c>
      <c r="AR108" s="12"/>
      <c r="AS108" s="10">
        <f>+Risultati!O107</f>
        <v>0</v>
      </c>
      <c r="AT108" s="12" t="str">
        <f t="shared" si="95"/>
        <v>0</v>
      </c>
      <c r="AU108" s="12"/>
      <c r="AV108" s="10">
        <f t="shared" si="106"/>
        <v>0</v>
      </c>
      <c r="AW108" s="12" t="str">
        <f t="shared" si="96"/>
        <v>0</v>
      </c>
      <c r="AX108" s="12"/>
      <c r="AY108" s="10">
        <f>+Risultati!R107+Risultati!S107</f>
        <v>0</v>
      </c>
      <c r="AZ108" s="12" t="str">
        <f t="shared" si="97"/>
        <v>0</v>
      </c>
      <c r="BA108" s="12"/>
      <c r="BB108" s="10">
        <f>+Risultati!T107</f>
        <v>0</v>
      </c>
      <c r="BC108" s="12" t="str">
        <f t="shared" si="98"/>
        <v>0</v>
      </c>
      <c r="BD108" s="12"/>
      <c r="BE108" s="10">
        <f>+Risultati!U107</f>
        <v>0</v>
      </c>
      <c r="BF108" s="12" t="str">
        <f t="shared" si="99"/>
        <v>0</v>
      </c>
      <c r="BG108" s="12"/>
      <c r="BH108" s="10">
        <f t="shared" si="107"/>
        <v>0</v>
      </c>
      <c r="BI108" s="12" t="str">
        <f t="shared" si="100"/>
        <v>0</v>
      </c>
      <c r="BK108" s="16">
        <f>IF(ISNUMBER(Risultati!X107/100),(Risultati!X107/100))</f>
        <v>0</v>
      </c>
      <c r="BL108" s="16">
        <f>IF(ISNUMBER(Risultati!Y107/100),(Risultati!Y107/100))</f>
        <v>0</v>
      </c>
      <c r="BM108" s="16">
        <f>IF(ISNUMBER(Risultati!Z107/100),(Risultati!Z107/100))</f>
        <v>0</v>
      </c>
      <c r="BN108" s="16">
        <f>IF(AND(Risultati!AY107&lt;0,calcoli!AP108&lt;0),-IF(ISNUMBER(Risultati!AA107/100),(Risultati!AA107/100)),IF(ISNUMBER(Risultati!AA107/100),(Risultati!AA107/100)))</f>
        <v>0</v>
      </c>
      <c r="BO108" s="16" t="str">
        <f t="shared" si="81"/>
        <v>0</v>
      </c>
      <c r="BP108" s="16" t="str">
        <f>IF(Risultati!AB107&gt;0,(AV108/Risultati!AB107),"0")</f>
        <v>0</v>
      </c>
      <c r="BQ108" s="16" t="str">
        <f>IF(Risultati!AG107&lt;&gt;0,(BH108/Risultati!AG107),"0")</f>
        <v>0</v>
      </c>
      <c r="BR108" s="16" t="str">
        <f t="shared" si="82"/>
        <v>0</v>
      </c>
      <c r="BS108" s="14" t="str">
        <f>IF(Risultati!AB107&gt;0,(Risultati!G107/Risultati!AB107),"0")</f>
        <v>0</v>
      </c>
      <c r="BT108" s="15" t="str">
        <f>IF(Risultati!AG107&lt;&gt;0,(Risultati!AB107/Risultati!AG107),"0")</f>
        <v>0</v>
      </c>
      <c r="BU108" s="23" t="str">
        <f>IF(AND(Risultati!G107&gt;0,(Risultati!AE107-Risultati!AF107)&gt;=0),((Risultati!AE107-Risultati!AF107)/Risultati!G107*360),"0")</f>
        <v>0</v>
      </c>
      <c r="BV108" s="21" t="str">
        <f>IF(OR(E108="abbreviato",Risultati!G107=0),"0",((Risultati!AC107+Risultati!AD107)/Risultati!G107*360))</f>
        <v>0</v>
      </c>
      <c r="BW108" s="21" t="str">
        <f>IF(OR(E108="abbreviato",Risultati!G107=0,SUM(Risultati!I107+Risultati!K107+Risultati!M107)=0),"0",(((Risultati!AH107+Risultati!AI107)/(Risultati!I107+Risultati!K107+Risultati!N107)*360)))</f>
        <v>0</v>
      </c>
      <c r="BX108" s="16" t="str">
        <f>IF(Risultati!AB107&gt;0,(+Risultati!AG107/Risultati!AB107),"0")</f>
        <v>0</v>
      </c>
      <c r="BY108" s="22" t="str">
        <f>IF(OR(E108="abbreviato",Risultati!G107=0),"0",(((Risultati!AK107-(Risultati!AL107+Risultati!AM107))/Risultati!G107)))</f>
        <v>0</v>
      </c>
      <c r="BZ108" s="16" t="str">
        <f>IF(Risultati!G107&gt;0,(Risultati!AJ107/Risultati!G107),"0")</f>
        <v>0</v>
      </c>
      <c r="CA108" s="8"/>
      <c r="CB108" s="10">
        <f>+Risultati!AP107</f>
        <v>0</v>
      </c>
      <c r="CC108" s="31" t="str">
        <f t="shared" si="108"/>
        <v>0</v>
      </c>
      <c r="CD108" s="10">
        <f>+Risultati!AQ107</f>
        <v>0</v>
      </c>
      <c r="CE108" s="31" t="str">
        <f t="shared" si="109"/>
        <v>0</v>
      </c>
      <c r="CF108" s="10">
        <f>+Risultati!AR107</f>
        <v>0</v>
      </c>
      <c r="CG108" s="31" t="str">
        <f t="shared" si="110"/>
        <v>0</v>
      </c>
      <c r="CH108" s="10">
        <f>+Risultati!AS107</f>
        <v>0</v>
      </c>
      <c r="CI108" s="31" t="str">
        <f t="shared" si="111"/>
        <v>0</v>
      </c>
      <c r="CJ108" s="10">
        <f t="shared" si="112"/>
        <v>0</v>
      </c>
      <c r="CK108" s="31" t="str">
        <f t="shared" si="113"/>
        <v>0</v>
      </c>
      <c r="CL108" s="10">
        <f>+Risultati!AE107+Risultati!AF107</f>
        <v>0</v>
      </c>
      <c r="CM108" s="31" t="str">
        <f t="shared" si="114"/>
        <v>0</v>
      </c>
      <c r="CN108" s="10">
        <f>+Risultati!AT107</f>
        <v>0</v>
      </c>
      <c r="CO108" s="31" t="str">
        <f t="shared" si="115"/>
        <v>0</v>
      </c>
      <c r="CP108" s="10">
        <f>+Risultati!AU107</f>
        <v>0</v>
      </c>
      <c r="CQ108" s="31" t="str">
        <f t="shared" si="116"/>
        <v>0</v>
      </c>
      <c r="CR108" s="10">
        <f>+Risultati!AL107</f>
        <v>0</v>
      </c>
      <c r="CS108" s="31" t="str">
        <f t="shared" si="117"/>
        <v>0</v>
      </c>
      <c r="CT108" s="10">
        <f t="shared" si="118"/>
        <v>0</v>
      </c>
      <c r="CU108" s="31" t="str">
        <f t="shared" si="119"/>
        <v>0</v>
      </c>
      <c r="CV108" s="10">
        <f>+Risultati!AX107</f>
        <v>0</v>
      </c>
      <c r="CW108" s="31" t="str">
        <f t="shared" si="120"/>
        <v>0</v>
      </c>
      <c r="CX108" s="10">
        <f t="shared" si="121"/>
        <v>0</v>
      </c>
      <c r="CY108" s="31" t="str">
        <f t="shared" si="122"/>
        <v>0</v>
      </c>
      <c r="CZ108" s="10">
        <f>+Risultati!AG107</f>
        <v>0</v>
      </c>
      <c r="DA108" s="31" t="str">
        <f t="shared" si="123"/>
        <v>0</v>
      </c>
      <c r="DB108" s="10">
        <f t="shared" si="124"/>
        <v>0</v>
      </c>
      <c r="DC108" s="31" t="str">
        <f t="shared" si="125"/>
        <v>0</v>
      </c>
      <c r="DD108" s="10">
        <f>+Risultati!AV107</f>
        <v>0</v>
      </c>
      <c r="DE108" s="31" t="str">
        <f t="shared" si="126"/>
        <v>0</v>
      </c>
      <c r="DF108" s="10">
        <f>+Risultati!AJ107</f>
        <v>0</v>
      </c>
      <c r="DG108" s="31" t="str">
        <f t="shared" si="127"/>
        <v>0</v>
      </c>
      <c r="DH108" s="10">
        <f t="shared" si="128"/>
        <v>0</v>
      </c>
      <c r="DI108" s="31" t="str">
        <f t="shared" si="129"/>
        <v>0</v>
      </c>
      <c r="DJ108" s="10">
        <f>+Risultati!AW107</f>
        <v>0</v>
      </c>
      <c r="DK108" s="31" t="str">
        <f t="shared" si="130"/>
        <v>0</v>
      </c>
      <c r="DL108" s="10">
        <f t="shared" si="101"/>
        <v>0</v>
      </c>
      <c r="DM108" s="31" t="str">
        <f t="shared" si="131"/>
        <v>0</v>
      </c>
      <c r="DO108" s="30"/>
      <c r="DP108" s="30"/>
    </row>
    <row r="109" spans="1:120" x14ac:dyDescent="0.2">
      <c r="A109" s="5"/>
      <c r="B109" s="6">
        <f>+Risultati!B108</f>
        <v>0</v>
      </c>
      <c r="C109" s="6">
        <f>+Risultati!C108</f>
        <v>0</v>
      </c>
      <c r="D109" s="26" t="str">
        <f>IF(YEAR(Risultati!D108)=1900,(MID(Risultati!$AP$1,29,4)),YEAR(Risultati!D108))</f>
        <v/>
      </c>
      <c r="E109" s="6">
        <f>+Risultati!E108</f>
        <v>0</v>
      </c>
      <c r="F109" s="8" t="e">
        <f>(LEFT(Risultati!AN108,2)&amp;"-")&amp;VLOOKUP((LEFT(Risultati!AN108,2)),ateco!$B$4:$C$93,2,FALSE)</f>
        <v>#N/A</v>
      </c>
      <c r="G109" s="8" t="str">
        <f>SUBSTITUTE((Risultati!AN108&amp;"-"&amp;Risultati!AO108),",",";")</f>
        <v>-</v>
      </c>
      <c r="I109" s="10">
        <f>+Risultati!G108</f>
        <v>0</v>
      </c>
      <c r="J109" s="11" t="str">
        <f t="shared" si="83"/>
        <v>0</v>
      </c>
      <c r="K109" s="12"/>
      <c r="L109" s="10">
        <f>+Risultati!G108+Risultati!H108</f>
        <v>0</v>
      </c>
      <c r="M109" s="11" t="str">
        <f t="shared" si="84"/>
        <v>0</v>
      </c>
      <c r="N109" s="12"/>
      <c r="O109" s="10">
        <f>+Risultati!I108+Risultati!J108</f>
        <v>0</v>
      </c>
      <c r="P109" s="11" t="str">
        <f t="shared" si="85"/>
        <v>0</v>
      </c>
      <c r="Q109" s="12"/>
      <c r="R109" s="13">
        <f t="shared" si="102"/>
        <v>0</v>
      </c>
      <c r="S109" s="11" t="str">
        <f t="shared" si="86"/>
        <v>0</v>
      </c>
      <c r="T109" s="12"/>
      <c r="U109" s="10">
        <f>+Risultati!F108-(Risultati!G108+Risultati!H108)</f>
        <v>0</v>
      </c>
      <c r="V109" s="12" t="str">
        <f t="shared" si="87"/>
        <v>0</v>
      </c>
      <c r="W109" s="12"/>
      <c r="X109" s="10">
        <f t="shared" si="103"/>
        <v>0</v>
      </c>
      <c r="Y109" s="12" t="str">
        <f t="shared" si="88"/>
        <v>0</v>
      </c>
      <c r="Z109" s="12"/>
      <c r="AA109" s="10">
        <f>+Risultati!K108</f>
        <v>0</v>
      </c>
      <c r="AB109" s="12" t="str">
        <f t="shared" si="89"/>
        <v>0</v>
      </c>
      <c r="AC109" s="12"/>
      <c r="AD109" s="10">
        <f>+Risultati!L108</f>
        <v>0</v>
      </c>
      <c r="AE109" s="12" t="str">
        <f t="shared" si="90"/>
        <v>0</v>
      </c>
      <c r="AF109" s="12"/>
      <c r="AG109" s="10">
        <f>+Risultati!M108+Risultati!P108+Risultati!Q108</f>
        <v>0</v>
      </c>
      <c r="AH109" s="12" t="str">
        <f t="shared" si="91"/>
        <v>0</v>
      </c>
      <c r="AI109" s="12"/>
      <c r="AJ109" s="13">
        <f t="shared" si="104"/>
        <v>0</v>
      </c>
      <c r="AK109" s="11" t="str">
        <f t="shared" si="92"/>
        <v>0</v>
      </c>
      <c r="AL109" s="12"/>
      <c r="AM109" s="10">
        <f>+Risultati!N108</f>
        <v>0</v>
      </c>
      <c r="AN109" s="12" t="str">
        <f t="shared" si="93"/>
        <v>0</v>
      </c>
      <c r="AO109" s="12"/>
      <c r="AP109" s="10">
        <f t="shared" si="105"/>
        <v>0</v>
      </c>
      <c r="AQ109" s="41" t="str">
        <f t="shared" si="94"/>
        <v>0</v>
      </c>
      <c r="AR109" s="12"/>
      <c r="AS109" s="10">
        <f>+Risultati!O108</f>
        <v>0</v>
      </c>
      <c r="AT109" s="12" t="str">
        <f t="shared" si="95"/>
        <v>0</v>
      </c>
      <c r="AU109" s="12"/>
      <c r="AV109" s="10">
        <f t="shared" si="106"/>
        <v>0</v>
      </c>
      <c r="AW109" s="12" t="str">
        <f t="shared" si="96"/>
        <v>0</v>
      </c>
      <c r="AX109" s="12"/>
      <c r="AY109" s="10">
        <f>+Risultati!R108+Risultati!S108</f>
        <v>0</v>
      </c>
      <c r="AZ109" s="12" t="str">
        <f t="shared" si="97"/>
        <v>0</v>
      </c>
      <c r="BA109" s="12"/>
      <c r="BB109" s="10">
        <f>+Risultati!T108</f>
        <v>0</v>
      </c>
      <c r="BC109" s="12" t="str">
        <f t="shared" si="98"/>
        <v>0</v>
      </c>
      <c r="BD109" s="12"/>
      <c r="BE109" s="10">
        <f>+Risultati!U108</f>
        <v>0</v>
      </c>
      <c r="BF109" s="12" t="str">
        <f t="shared" si="99"/>
        <v>0</v>
      </c>
      <c r="BG109" s="12"/>
      <c r="BH109" s="10">
        <f t="shared" si="107"/>
        <v>0</v>
      </c>
      <c r="BI109" s="12" t="str">
        <f t="shared" si="100"/>
        <v>0</v>
      </c>
      <c r="BK109" s="16">
        <f>IF(ISNUMBER(Risultati!X108/100),(Risultati!X108/100))</f>
        <v>0</v>
      </c>
      <c r="BL109" s="16">
        <f>IF(ISNUMBER(Risultati!Y108/100),(Risultati!Y108/100))</f>
        <v>0</v>
      </c>
      <c r="BM109" s="16">
        <f>IF(ISNUMBER(Risultati!Z108/100),(Risultati!Z108/100))</f>
        <v>0</v>
      </c>
      <c r="BN109" s="16">
        <f>IF(AND(Risultati!AY108&lt;0,calcoli!AP109&lt;0),-IF(ISNUMBER(Risultati!AA108/100),(Risultati!AA108/100)),IF(ISNUMBER(Risultati!AA108/100),(Risultati!AA108/100)))</f>
        <v>0</v>
      </c>
      <c r="BO109" s="16" t="str">
        <f t="shared" si="81"/>
        <v>0</v>
      </c>
      <c r="BP109" s="16" t="str">
        <f>IF(Risultati!AB108&gt;0,(AV109/Risultati!AB108),"0")</f>
        <v>0</v>
      </c>
      <c r="BQ109" s="16" t="str">
        <f>IF(Risultati!AG108&lt;&gt;0,(BH109/Risultati!AG108),"0")</f>
        <v>0</v>
      </c>
      <c r="BR109" s="16" t="str">
        <f t="shared" si="82"/>
        <v>0</v>
      </c>
      <c r="BS109" s="14" t="str">
        <f>IF(Risultati!AB108&gt;0,(Risultati!G108/Risultati!AB108),"0")</f>
        <v>0</v>
      </c>
      <c r="BT109" s="15" t="str">
        <f>IF(Risultati!AG108&lt;&gt;0,(Risultati!AB108/Risultati!AG108),"0")</f>
        <v>0</v>
      </c>
      <c r="BU109" s="23" t="str">
        <f>IF(AND(Risultati!G108&gt;0,(Risultati!AE108-Risultati!AF108)&gt;=0),((Risultati!AE108-Risultati!AF108)/Risultati!G108*360),"0")</f>
        <v>0</v>
      </c>
      <c r="BV109" s="21" t="str">
        <f>IF(OR(E109="abbreviato",Risultati!G108=0),"0",((Risultati!AC108+Risultati!AD108)/Risultati!G108*360))</f>
        <v>0</v>
      </c>
      <c r="BW109" s="21" t="str">
        <f>IF(OR(E109="abbreviato",Risultati!G108=0,SUM(Risultati!I108+Risultati!K108+Risultati!M108)=0),"0",(((Risultati!AH108+Risultati!AI108)/(Risultati!I108+Risultati!K108+Risultati!N108)*360)))</f>
        <v>0</v>
      </c>
      <c r="BX109" s="16" t="str">
        <f>IF(Risultati!AB108&gt;0,(+Risultati!AG108/Risultati!AB108),"0")</f>
        <v>0</v>
      </c>
      <c r="BY109" s="22" t="str">
        <f>IF(OR(E109="abbreviato",Risultati!G108=0),"0",(((Risultati!AK108-(Risultati!AL108+Risultati!AM108))/Risultati!G108)))</f>
        <v>0</v>
      </c>
      <c r="BZ109" s="16" t="str">
        <f>IF(Risultati!G108&gt;0,(Risultati!AJ108/Risultati!G108),"0")</f>
        <v>0</v>
      </c>
      <c r="CA109" s="8"/>
      <c r="CB109" s="10">
        <f>+Risultati!AP108</f>
        <v>0</v>
      </c>
      <c r="CC109" s="31" t="str">
        <f t="shared" si="108"/>
        <v>0</v>
      </c>
      <c r="CD109" s="10">
        <f>+Risultati!AQ108</f>
        <v>0</v>
      </c>
      <c r="CE109" s="31" t="str">
        <f t="shared" si="109"/>
        <v>0</v>
      </c>
      <c r="CF109" s="10">
        <f>+Risultati!AR108</f>
        <v>0</v>
      </c>
      <c r="CG109" s="31" t="str">
        <f t="shared" si="110"/>
        <v>0</v>
      </c>
      <c r="CH109" s="10">
        <f>+Risultati!AS108</f>
        <v>0</v>
      </c>
      <c r="CI109" s="31" t="str">
        <f t="shared" si="111"/>
        <v>0</v>
      </c>
      <c r="CJ109" s="10">
        <f t="shared" si="112"/>
        <v>0</v>
      </c>
      <c r="CK109" s="31" t="str">
        <f t="shared" si="113"/>
        <v>0</v>
      </c>
      <c r="CL109" s="10">
        <f>+Risultati!AE108+Risultati!AF108</f>
        <v>0</v>
      </c>
      <c r="CM109" s="31" t="str">
        <f t="shared" si="114"/>
        <v>0</v>
      </c>
      <c r="CN109" s="10">
        <f>+Risultati!AT108</f>
        <v>0</v>
      </c>
      <c r="CO109" s="31" t="str">
        <f t="shared" si="115"/>
        <v>0</v>
      </c>
      <c r="CP109" s="10">
        <f>+Risultati!AU108</f>
        <v>0</v>
      </c>
      <c r="CQ109" s="31" t="str">
        <f t="shared" si="116"/>
        <v>0</v>
      </c>
      <c r="CR109" s="10">
        <f>+Risultati!AL108</f>
        <v>0</v>
      </c>
      <c r="CS109" s="31" t="str">
        <f t="shared" si="117"/>
        <v>0</v>
      </c>
      <c r="CT109" s="10">
        <f t="shared" si="118"/>
        <v>0</v>
      </c>
      <c r="CU109" s="31" t="str">
        <f t="shared" si="119"/>
        <v>0</v>
      </c>
      <c r="CV109" s="10">
        <f>+Risultati!AX108</f>
        <v>0</v>
      </c>
      <c r="CW109" s="31" t="str">
        <f t="shared" si="120"/>
        <v>0</v>
      </c>
      <c r="CX109" s="10">
        <f t="shared" si="121"/>
        <v>0</v>
      </c>
      <c r="CY109" s="31" t="str">
        <f t="shared" si="122"/>
        <v>0</v>
      </c>
      <c r="CZ109" s="10">
        <f>+Risultati!AG108</f>
        <v>0</v>
      </c>
      <c r="DA109" s="31" t="str">
        <f t="shared" si="123"/>
        <v>0</v>
      </c>
      <c r="DB109" s="10">
        <f t="shared" si="124"/>
        <v>0</v>
      </c>
      <c r="DC109" s="31" t="str">
        <f t="shared" si="125"/>
        <v>0</v>
      </c>
      <c r="DD109" s="10">
        <f>+Risultati!AV108</f>
        <v>0</v>
      </c>
      <c r="DE109" s="31" t="str">
        <f t="shared" si="126"/>
        <v>0</v>
      </c>
      <c r="DF109" s="10">
        <f>+Risultati!AJ108</f>
        <v>0</v>
      </c>
      <c r="DG109" s="31" t="str">
        <f t="shared" si="127"/>
        <v>0</v>
      </c>
      <c r="DH109" s="10">
        <f t="shared" si="128"/>
        <v>0</v>
      </c>
      <c r="DI109" s="31" t="str">
        <f t="shared" si="129"/>
        <v>0</v>
      </c>
      <c r="DJ109" s="10">
        <f>+Risultati!AW108</f>
        <v>0</v>
      </c>
      <c r="DK109" s="31" t="str">
        <f t="shared" si="130"/>
        <v>0</v>
      </c>
      <c r="DL109" s="10">
        <f t="shared" si="101"/>
        <v>0</v>
      </c>
      <c r="DM109" s="31" t="str">
        <f t="shared" si="131"/>
        <v>0</v>
      </c>
      <c r="DO109" s="30"/>
      <c r="DP109" s="30"/>
    </row>
    <row r="110" spans="1:120" x14ac:dyDescent="0.2">
      <c r="A110" s="5"/>
      <c r="B110" s="6">
        <f>+Risultati!B109</f>
        <v>0</v>
      </c>
      <c r="C110" s="6">
        <f>+Risultati!C109</f>
        <v>0</v>
      </c>
      <c r="D110" s="26" t="str">
        <f>IF(YEAR(Risultati!D109)=1900,(MID(Risultati!$AP$1,29,4)),YEAR(Risultati!D109))</f>
        <v/>
      </c>
      <c r="E110" s="6">
        <f>+Risultati!E109</f>
        <v>0</v>
      </c>
      <c r="F110" s="8" t="e">
        <f>(LEFT(Risultati!AN109,2)&amp;"-")&amp;VLOOKUP((LEFT(Risultati!AN109,2)),ateco!$B$4:$C$93,2,FALSE)</f>
        <v>#N/A</v>
      </c>
      <c r="G110" s="8" t="str">
        <f>SUBSTITUTE((Risultati!AN109&amp;"-"&amp;Risultati!AO109),",",";")</f>
        <v>-</v>
      </c>
      <c r="I110" s="10">
        <f>+Risultati!G109</f>
        <v>0</v>
      </c>
      <c r="J110" s="11" t="str">
        <f t="shared" si="83"/>
        <v>0</v>
      </c>
      <c r="K110" s="12"/>
      <c r="L110" s="10">
        <f>+Risultati!G109+Risultati!H109</f>
        <v>0</v>
      </c>
      <c r="M110" s="11" t="str">
        <f t="shared" si="84"/>
        <v>0</v>
      </c>
      <c r="N110" s="12"/>
      <c r="O110" s="10">
        <f>+Risultati!I109+Risultati!J109</f>
        <v>0</v>
      </c>
      <c r="P110" s="11" t="str">
        <f t="shared" si="85"/>
        <v>0</v>
      </c>
      <c r="Q110" s="12"/>
      <c r="R110" s="13">
        <f t="shared" si="102"/>
        <v>0</v>
      </c>
      <c r="S110" s="11" t="str">
        <f t="shared" si="86"/>
        <v>0</v>
      </c>
      <c r="T110" s="12"/>
      <c r="U110" s="10">
        <f>+Risultati!F109-(Risultati!G109+Risultati!H109)</f>
        <v>0</v>
      </c>
      <c r="V110" s="12" t="str">
        <f t="shared" si="87"/>
        <v>0</v>
      </c>
      <c r="W110" s="12"/>
      <c r="X110" s="10">
        <f t="shared" si="103"/>
        <v>0</v>
      </c>
      <c r="Y110" s="12" t="str">
        <f t="shared" si="88"/>
        <v>0</v>
      </c>
      <c r="Z110" s="12"/>
      <c r="AA110" s="10">
        <f>+Risultati!K109</f>
        <v>0</v>
      </c>
      <c r="AB110" s="12" t="str">
        <f t="shared" si="89"/>
        <v>0</v>
      </c>
      <c r="AC110" s="12"/>
      <c r="AD110" s="10">
        <f>+Risultati!L109</f>
        <v>0</v>
      </c>
      <c r="AE110" s="12" t="str">
        <f t="shared" si="90"/>
        <v>0</v>
      </c>
      <c r="AF110" s="12"/>
      <c r="AG110" s="10">
        <f>+Risultati!M109+Risultati!P109+Risultati!Q109</f>
        <v>0</v>
      </c>
      <c r="AH110" s="12" t="str">
        <f t="shared" si="91"/>
        <v>0</v>
      </c>
      <c r="AI110" s="12"/>
      <c r="AJ110" s="13">
        <f t="shared" si="104"/>
        <v>0</v>
      </c>
      <c r="AK110" s="11" t="str">
        <f t="shared" si="92"/>
        <v>0</v>
      </c>
      <c r="AL110" s="12"/>
      <c r="AM110" s="10">
        <f>+Risultati!N109</f>
        <v>0</v>
      </c>
      <c r="AN110" s="12" t="str">
        <f t="shared" si="93"/>
        <v>0</v>
      </c>
      <c r="AO110" s="12"/>
      <c r="AP110" s="10">
        <f t="shared" si="105"/>
        <v>0</v>
      </c>
      <c r="AQ110" s="41" t="str">
        <f t="shared" si="94"/>
        <v>0</v>
      </c>
      <c r="AR110" s="12"/>
      <c r="AS110" s="10">
        <f>+Risultati!O109</f>
        <v>0</v>
      </c>
      <c r="AT110" s="12" t="str">
        <f t="shared" si="95"/>
        <v>0</v>
      </c>
      <c r="AU110" s="12"/>
      <c r="AV110" s="10">
        <f t="shared" si="106"/>
        <v>0</v>
      </c>
      <c r="AW110" s="12" t="str">
        <f t="shared" si="96"/>
        <v>0</v>
      </c>
      <c r="AX110" s="12"/>
      <c r="AY110" s="10">
        <f>+Risultati!R109+Risultati!S109</f>
        <v>0</v>
      </c>
      <c r="AZ110" s="12" t="str">
        <f t="shared" si="97"/>
        <v>0</v>
      </c>
      <c r="BA110" s="12"/>
      <c r="BB110" s="10">
        <f>+Risultati!T109</f>
        <v>0</v>
      </c>
      <c r="BC110" s="12" t="str">
        <f t="shared" si="98"/>
        <v>0</v>
      </c>
      <c r="BD110" s="12"/>
      <c r="BE110" s="10">
        <f>+Risultati!U109</f>
        <v>0</v>
      </c>
      <c r="BF110" s="12" t="str">
        <f t="shared" si="99"/>
        <v>0</v>
      </c>
      <c r="BG110" s="12"/>
      <c r="BH110" s="10">
        <f t="shared" si="107"/>
        <v>0</v>
      </c>
      <c r="BI110" s="12" t="str">
        <f t="shared" si="100"/>
        <v>0</v>
      </c>
      <c r="BK110" s="16">
        <f>IF(ISNUMBER(Risultati!X109/100),(Risultati!X109/100))</f>
        <v>0</v>
      </c>
      <c r="BL110" s="16">
        <f>IF(ISNUMBER(Risultati!Y109/100),(Risultati!Y109/100))</f>
        <v>0</v>
      </c>
      <c r="BM110" s="16">
        <f>IF(ISNUMBER(Risultati!Z109/100),(Risultati!Z109/100))</f>
        <v>0</v>
      </c>
      <c r="BN110" s="16">
        <f>IF(AND(Risultati!AY109&lt;0,calcoli!AP110&lt;0),-IF(ISNUMBER(Risultati!AA109/100),(Risultati!AA109/100)),IF(ISNUMBER(Risultati!AA109/100),(Risultati!AA109/100)))</f>
        <v>0</v>
      </c>
      <c r="BO110" s="16" t="str">
        <f t="shared" si="81"/>
        <v>0</v>
      </c>
      <c r="BP110" s="16" t="str">
        <f>IF(Risultati!AB109&gt;0,(AV110/Risultati!AB109),"0")</f>
        <v>0</v>
      </c>
      <c r="BQ110" s="16" t="str">
        <f>IF(Risultati!AG109&lt;&gt;0,(BH110/Risultati!AG109),"0")</f>
        <v>0</v>
      </c>
      <c r="BR110" s="16" t="str">
        <f t="shared" si="82"/>
        <v>0</v>
      </c>
      <c r="BS110" s="14" t="str">
        <f>IF(Risultati!AB109&gt;0,(Risultati!G109/Risultati!AB109),"0")</f>
        <v>0</v>
      </c>
      <c r="BT110" s="15" t="str">
        <f>IF(Risultati!AG109&lt;&gt;0,(Risultati!AB109/Risultati!AG109),"0")</f>
        <v>0</v>
      </c>
      <c r="BU110" s="23" t="str">
        <f>IF(AND(Risultati!G109&gt;0,(Risultati!AE109-Risultati!AF109)&gt;=0),((Risultati!AE109-Risultati!AF109)/Risultati!G109*360),"0")</f>
        <v>0</v>
      </c>
      <c r="BV110" s="21" t="str">
        <f>IF(OR(E110="abbreviato",Risultati!G109=0),"0",((Risultati!AC109+Risultati!AD109)/Risultati!G109*360))</f>
        <v>0</v>
      </c>
      <c r="BW110" s="21" t="str">
        <f>IF(OR(E110="abbreviato",Risultati!G109=0,SUM(Risultati!I109+Risultati!K109+Risultati!M109)=0),"0",(((Risultati!AH109+Risultati!AI109)/(Risultati!I109+Risultati!K109+Risultati!N109)*360)))</f>
        <v>0</v>
      </c>
      <c r="BX110" s="16" t="str">
        <f>IF(Risultati!AB109&gt;0,(+Risultati!AG109/Risultati!AB109),"0")</f>
        <v>0</v>
      </c>
      <c r="BY110" s="22" t="str">
        <f>IF(OR(E110="abbreviato",Risultati!G109=0),"0",(((Risultati!AK109-(Risultati!AL109+Risultati!AM109))/Risultati!G109)))</f>
        <v>0</v>
      </c>
      <c r="BZ110" s="16" t="str">
        <f>IF(Risultati!G109&gt;0,(Risultati!AJ109/Risultati!G109),"0")</f>
        <v>0</v>
      </c>
      <c r="CA110" s="8"/>
      <c r="CB110" s="10">
        <f>+Risultati!AP109</f>
        <v>0</v>
      </c>
      <c r="CC110" s="31" t="str">
        <f t="shared" si="108"/>
        <v>0</v>
      </c>
      <c r="CD110" s="10">
        <f>+Risultati!AQ109</f>
        <v>0</v>
      </c>
      <c r="CE110" s="31" t="str">
        <f t="shared" si="109"/>
        <v>0</v>
      </c>
      <c r="CF110" s="10">
        <f>+Risultati!AR109</f>
        <v>0</v>
      </c>
      <c r="CG110" s="31" t="str">
        <f t="shared" si="110"/>
        <v>0</v>
      </c>
      <c r="CH110" s="10">
        <f>+Risultati!AS109</f>
        <v>0</v>
      </c>
      <c r="CI110" s="31" t="str">
        <f t="shared" si="111"/>
        <v>0</v>
      </c>
      <c r="CJ110" s="10">
        <f t="shared" si="112"/>
        <v>0</v>
      </c>
      <c r="CK110" s="31" t="str">
        <f t="shared" si="113"/>
        <v>0</v>
      </c>
      <c r="CL110" s="10">
        <f>+Risultati!AE109+Risultati!AF109</f>
        <v>0</v>
      </c>
      <c r="CM110" s="31" t="str">
        <f t="shared" si="114"/>
        <v>0</v>
      </c>
      <c r="CN110" s="10">
        <f>+Risultati!AT109</f>
        <v>0</v>
      </c>
      <c r="CO110" s="31" t="str">
        <f t="shared" si="115"/>
        <v>0</v>
      </c>
      <c r="CP110" s="10">
        <f>+Risultati!AU109</f>
        <v>0</v>
      </c>
      <c r="CQ110" s="31" t="str">
        <f t="shared" si="116"/>
        <v>0</v>
      </c>
      <c r="CR110" s="10">
        <f>+Risultati!AL109</f>
        <v>0</v>
      </c>
      <c r="CS110" s="31" t="str">
        <f t="shared" si="117"/>
        <v>0</v>
      </c>
      <c r="CT110" s="10">
        <f t="shared" si="118"/>
        <v>0</v>
      </c>
      <c r="CU110" s="31" t="str">
        <f t="shared" si="119"/>
        <v>0</v>
      </c>
      <c r="CV110" s="10">
        <f>+Risultati!AX109</f>
        <v>0</v>
      </c>
      <c r="CW110" s="31" t="str">
        <f t="shared" si="120"/>
        <v>0</v>
      </c>
      <c r="CX110" s="10">
        <f t="shared" si="121"/>
        <v>0</v>
      </c>
      <c r="CY110" s="31" t="str">
        <f t="shared" si="122"/>
        <v>0</v>
      </c>
      <c r="CZ110" s="10">
        <f>+Risultati!AG109</f>
        <v>0</v>
      </c>
      <c r="DA110" s="31" t="str">
        <f t="shared" si="123"/>
        <v>0</v>
      </c>
      <c r="DB110" s="10">
        <f t="shared" si="124"/>
        <v>0</v>
      </c>
      <c r="DC110" s="31" t="str">
        <f t="shared" si="125"/>
        <v>0</v>
      </c>
      <c r="DD110" s="10">
        <f>+Risultati!AV109</f>
        <v>0</v>
      </c>
      <c r="DE110" s="31" t="str">
        <f t="shared" si="126"/>
        <v>0</v>
      </c>
      <c r="DF110" s="10">
        <f>+Risultati!AJ109</f>
        <v>0</v>
      </c>
      <c r="DG110" s="31" t="str">
        <f t="shared" si="127"/>
        <v>0</v>
      </c>
      <c r="DH110" s="10">
        <f t="shared" si="128"/>
        <v>0</v>
      </c>
      <c r="DI110" s="31" t="str">
        <f t="shared" si="129"/>
        <v>0</v>
      </c>
      <c r="DJ110" s="10">
        <f>+Risultati!AW109</f>
        <v>0</v>
      </c>
      <c r="DK110" s="31" t="str">
        <f t="shared" si="130"/>
        <v>0</v>
      </c>
      <c r="DL110" s="10">
        <f t="shared" si="101"/>
        <v>0</v>
      </c>
      <c r="DM110" s="31" t="str">
        <f t="shared" si="131"/>
        <v>0</v>
      </c>
      <c r="DO110" s="30"/>
      <c r="DP110" s="30"/>
    </row>
    <row r="111" spans="1:120" x14ac:dyDescent="0.2">
      <c r="A111" s="5"/>
      <c r="B111" s="6">
        <f>+Risultati!B110</f>
        <v>0</v>
      </c>
      <c r="C111" s="6">
        <f>+Risultati!C110</f>
        <v>0</v>
      </c>
      <c r="D111" s="26" t="str">
        <f>IF(YEAR(Risultati!D110)=1900,(MID(Risultati!$AP$1,29,4)),YEAR(Risultati!D110))</f>
        <v/>
      </c>
      <c r="E111" s="6">
        <f>+Risultati!E110</f>
        <v>0</v>
      </c>
      <c r="F111" s="8" t="e">
        <f>(LEFT(Risultati!AN110,2)&amp;"-")&amp;VLOOKUP((LEFT(Risultati!AN110,2)),ateco!$B$4:$C$93,2,FALSE)</f>
        <v>#N/A</v>
      </c>
      <c r="G111" s="8" t="str">
        <f>SUBSTITUTE((Risultati!AN110&amp;"-"&amp;Risultati!AO110),",",";")</f>
        <v>-</v>
      </c>
      <c r="I111" s="10">
        <f>+Risultati!G110</f>
        <v>0</v>
      </c>
      <c r="J111" s="11" t="str">
        <f t="shared" si="83"/>
        <v>0</v>
      </c>
      <c r="K111" s="12"/>
      <c r="L111" s="10">
        <f>+Risultati!G110+Risultati!H110</f>
        <v>0</v>
      </c>
      <c r="M111" s="11" t="str">
        <f t="shared" si="84"/>
        <v>0</v>
      </c>
      <c r="N111" s="12"/>
      <c r="O111" s="10">
        <f>+Risultati!I110+Risultati!J110</f>
        <v>0</v>
      </c>
      <c r="P111" s="11" t="str">
        <f t="shared" si="85"/>
        <v>0</v>
      </c>
      <c r="Q111" s="12"/>
      <c r="R111" s="13">
        <f t="shared" si="102"/>
        <v>0</v>
      </c>
      <c r="S111" s="11" t="str">
        <f t="shared" si="86"/>
        <v>0</v>
      </c>
      <c r="T111" s="12"/>
      <c r="U111" s="10">
        <f>+Risultati!F110-(Risultati!G110+Risultati!H110)</f>
        <v>0</v>
      </c>
      <c r="V111" s="12" t="str">
        <f t="shared" si="87"/>
        <v>0</v>
      </c>
      <c r="W111" s="12"/>
      <c r="X111" s="10">
        <f t="shared" si="103"/>
        <v>0</v>
      </c>
      <c r="Y111" s="12" t="str">
        <f t="shared" si="88"/>
        <v>0</v>
      </c>
      <c r="Z111" s="12"/>
      <c r="AA111" s="10">
        <f>+Risultati!K110</f>
        <v>0</v>
      </c>
      <c r="AB111" s="12" t="str">
        <f t="shared" si="89"/>
        <v>0</v>
      </c>
      <c r="AC111" s="12"/>
      <c r="AD111" s="10">
        <f>+Risultati!L110</f>
        <v>0</v>
      </c>
      <c r="AE111" s="12" t="str">
        <f t="shared" si="90"/>
        <v>0</v>
      </c>
      <c r="AF111" s="12"/>
      <c r="AG111" s="10">
        <f>+Risultati!M110+Risultati!P110+Risultati!Q110</f>
        <v>0</v>
      </c>
      <c r="AH111" s="12" t="str">
        <f t="shared" si="91"/>
        <v>0</v>
      </c>
      <c r="AI111" s="12"/>
      <c r="AJ111" s="13">
        <f t="shared" si="104"/>
        <v>0</v>
      </c>
      <c r="AK111" s="11" t="str">
        <f t="shared" si="92"/>
        <v>0</v>
      </c>
      <c r="AL111" s="12"/>
      <c r="AM111" s="10">
        <f>+Risultati!N110</f>
        <v>0</v>
      </c>
      <c r="AN111" s="12" t="str">
        <f t="shared" si="93"/>
        <v>0</v>
      </c>
      <c r="AO111" s="12"/>
      <c r="AP111" s="10">
        <f t="shared" si="105"/>
        <v>0</v>
      </c>
      <c r="AQ111" s="41" t="str">
        <f t="shared" si="94"/>
        <v>0</v>
      </c>
      <c r="AR111" s="12"/>
      <c r="AS111" s="10">
        <f>+Risultati!O110</f>
        <v>0</v>
      </c>
      <c r="AT111" s="12" t="str">
        <f t="shared" si="95"/>
        <v>0</v>
      </c>
      <c r="AU111" s="12"/>
      <c r="AV111" s="10">
        <f t="shared" si="106"/>
        <v>0</v>
      </c>
      <c r="AW111" s="12" t="str">
        <f t="shared" si="96"/>
        <v>0</v>
      </c>
      <c r="AX111" s="12"/>
      <c r="AY111" s="10">
        <f>+Risultati!R110+Risultati!S110</f>
        <v>0</v>
      </c>
      <c r="AZ111" s="12" t="str">
        <f t="shared" si="97"/>
        <v>0</v>
      </c>
      <c r="BA111" s="12"/>
      <c r="BB111" s="10">
        <f>+Risultati!T110</f>
        <v>0</v>
      </c>
      <c r="BC111" s="12" t="str">
        <f t="shared" si="98"/>
        <v>0</v>
      </c>
      <c r="BD111" s="12"/>
      <c r="BE111" s="10">
        <f>+Risultati!U110</f>
        <v>0</v>
      </c>
      <c r="BF111" s="12" t="str">
        <f t="shared" si="99"/>
        <v>0</v>
      </c>
      <c r="BG111" s="12"/>
      <c r="BH111" s="10">
        <f t="shared" si="107"/>
        <v>0</v>
      </c>
      <c r="BI111" s="12" t="str">
        <f t="shared" si="100"/>
        <v>0</v>
      </c>
      <c r="BK111" s="16">
        <f>IF(ISNUMBER(Risultati!X110/100),(Risultati!X110/100))</f>
        <v>0</v>
      </c>
      <c r="BL111" s="16">
        <f>IF(ISNUMBER(Risultati!Y110/100),(Risultati!Y110/100))</f>
        <v>0</v>
      </c>
      <c r="BM111" s="16">
        <f>IF(ISNUMBER(Risultati!Z110/100),(Risultati!Z110/100))</f>
        <v>0</v>
      </c>
      <c r="BN111" s="16">
        <f>IF(AND(Risultati!AY110&lt;0,calcoli!AP111&lt;0),-IF(ISNUMBER(Risultati!AA110/100),(Risultati!AA110/100)),IF(ISNUMBER(Risultati!AA110/100),(Risultati!AA110/100)))</f>
        <v>0</v>
      </c>
      <c r="BO111" s="16" t="str">
        <f t="shared" si="81"/>
        <v>0</v>
      </c>
      <c r="BP111" s="16" t="str">
        <f>IF(Risultati!AB110&gt;0,(AV111/Risultati!AB110),"0")</f>
        <v>0</v>
      </c>
      <c r="BQ111" s="16" t="str">
        <f>IF(Risultati!AG110&lt;&gt;0,(BH111/Risultati!AG110),"0")</f>
        <v>0</v>
      </c>
      <c r="BR111" s="16" t="str">
        <f t="shared" si="82"/>
        <v>0</v>
      </c>
      <c r="BS111" s="14" t="str">
        <f>IF(Risultati!AB110&gt;0,(Risultati!G110/Risultati!AB110),"0")</f>
        <v>0</v>
      </c>
      <c r="BT111" s="15" t="str">
        <f>IF(Risultati!AG110&lt;&gt;0,(Risultati!AB110/Risultati!AG110),"0")</f>
        <v>0</v>
      </c>
      <c r="BU111" s="23" t="str">
        <f>IF(AND(Risultati!G110&gt;0,(Risultati!AE110-Risultati!AF110)&gt;=0),((Risultati!AE110-Risultati!AF110)/Risultati!G110*360),"0")</f>
        <v>0</v>
      </c>
      <c r="BV111" s="21" t="str">
        <f>IF(OR(E111="abbreviato",Risultati!G110=0),"0",((Risultati!AC110+Risultati!AD110)/Risultati!G110*360))</f>
        <v>0</v>
      </c>
      <c r="BW111" s="21" t="str">
        <f>IF(OR(E111="abbreviato",Risultati!G110=0,SUM(Risultati!I110+Risultati!K110+Risultati!M110)=0),"0",(((Risultati!AH110+Risultati!AI110)/(Risultati!I110+Risultati!K110+Risultati!N110)*360)))</f>
        <v>0</v>
      </c>
      <c r="BX111" s="16" t="str">
        <f>IF(Risultati!AB110&gt;0,(+Risultati!AG110/Risultati!AB110),"0")</f>
        <v>0</v>
      </c>
      <c r="BY111" s="22" t="str">
        <f>IF(OR(E111="abbreviato",Risultati!G110=0),"0",(((Risultati!AK110-(Risultati!AL110+Risultati!AM110))/Risultati!G110)))</f>
        <v>0</v>
      </c>
      <c r="BZ111" s="16" t="str">
        <f>IF(Risultati!G110&gt;0,(Risultati!AJ110/Risultati!G110),"0")</f>
        <v>0</v>
      </c>
      <c r="CA111" s="8"/>
      <c r="CB111" s="10">
        <f>+Risultati!AP110</f>
        <v>0</v>
      </c>
      <c r="CC111" s="31" t="str">
        <f t="shared" si="108"/>
        <v>0</v>
      </c>
      <c r="CD111" s="10">
        <f>+Risultati!AQ110</f>
        <v>0</v>
      </c>
      <c r="CE111" s="31" t="str">
        <f t="shared" si="109"/>
        <v>0</v>
      </c>
      <c r="CF111" s="10">
        <f>+Risultati!AR110</f>
        <v>0</v>
      </c>
      <c r="CG111" s="31" t="str">
        <f t="shared" si="110"/>
        <v>0</v>
      </c>
      <c r="CH111" s="10">
        <f>+Risultati!AS110</f>
        <v>0</v>
      </c>
      <c r="CI111" s="31" t="str">
        <f t="shared" si="111"/>
        <v>0</v>
      </c>
      <c r="CJ111" s="10">
        <f t="shared" si="112"/>
        <v>0</v>
      </c>
      <c r="CK111" s="31" t="str">
        <f t="shared" si="113"/>
        <v>0</v>
      </c>
      <c r="CL111" s="10">
        <f>+Risultati!AE110+Risultati!AF110</f>
        <v>0</v>
      </c>
      <c r="CM111" s="31" t="str">
        <f t="shared" si="114"/>
        <v>0</v>
      </c>
      <c r="CN111" s="10">
        <f>+Risultati!AT110</f>
        <v>0</v>
      </c>
      <c r="CO111" s="31" t="str">
        <f t="shared" si="115"/>
        <v>0</v>
      </c>
      <c r="CP111" s="10">
        <f>+Risultati!AU110</f>
        <v>0</v>
      </c>
      <c r="CQ111" s="31" t="str">
        <f t="shared" si="116"/>
        <v>0</v>
      </c>
      <c r="CR111" s="10">
        <f>+Risultati!AL110</f>
        <v>0</v>
      </c>
      <c r="CS111" s="31" t="str">
        <f t="shared" si="117"/>
        <v>0</v>
      </c>
      <c r="CT111" s="10">
        <f t="shared" si="118"/>
        <v>0</v>
      </c>
      <c r="CU111" s="31" t="str">
        <f t="shared" si="119"/>
        <v>0</v>
      </c>
      <c r="CV111" s="10">
        <f>+Risultati!AX110</f>
        <v>0</v>
      </c>
      <c r="CW111" s="31" t="str">
        <f t="shared" si="120"/>
        <v>0</v>
      </c>
      <c r="CX111" s="10">
        <f t="shared" si="121"/>
        <v>0</v>
      </c>
      <c r="CY111" s="31" t="str">
        <f t="shared" si="122"/>
        <v>0</v>
      </c>
      <c r="CZ111" s="10">
        <f>+Risultati!AG110</f>
        <v>0</v>
      </c>
      <c r="DA111" s="31" t="str">
        <f t="shared" si="123"/>
        <v>0</v>
      </c>
      <c r="DB111" s="10">
        <f t="shared" si="124"/>
        <v>0</v>
      </c>
      <c r="DC111" s="31" t="str">
        <f t="shared" si="125"/>
        <v>0</v>
      </c>
      <c r="DD111" s="10">
        <f>+Risultati!AV110</f>
        <v>0</v>
      </c>
      <c r="DE111" s="31" t="str">
        <f t="shared" si="126"/>
        <v>0</v>
      </c>
      <c r="DF111" s="10">
        <f>+Risultati!AJ110</f>
        <v>0</v>
      </c>
      <c r="DG111" s="31" t="str">
        <f t="shared" si="127"/>
        <v>0</v>
      </c>
      <c r="DH111" s="10">
        <f t="shared" si="128"/>
        <v>0</v>
      </c>
      <c r="DI111" s="31" t="str">
        <f t="shared" si="129"/>
        <v>0</v>
      </c>
      <c r="DJ111" s="10">
        <f>+Risultati!AW110</f>
        <v>0</v>
      </c>
      <c r="DK111" s="31" t="str">
        <f t="shared" si="130"/>
        <v>0</v>
      </c>
      <c r="DL111" s="10">
        <f t="shared" si="101"/>
        <v>0</v>
      </c>
      <c r="DM111" s="31" t="str">
        <f t="shared" si="131"/>
        <v>0</v>
      </c>
      <c r="DO111" s="30"/>
      <c r="DP111" s="30"/>
    </row>
    <row r="112" spans="1:120" x14ac:dyDescent="0.2">
      <c r="A112" s="5"/>
      <c r="B112" s="6">
        <f>+Risultati!B111</f>
        <v>0</v>
      </c>
      <c r="C112" s="6">
        <f>+Risultati!C111</f>
        <v>0</v>
      </c>
      <c r="D112" s="26" t="str">
        <f>IF(YEAR(Risultati!D111)=1900,(MID(Risultati!$AP$1,29,4)),YEAR(Risultati!D111))</f>
        <v/>
      </c>
      <c r="E112" s="6">
        <f>+Risultati!E111</f>
        <v>0</v>
      </c>
      <c r="F112" s="8" t="e">
        <f>(LEFT(Risultati!AN111,2)&amp;"-")&amp;VLOOKUP((LEFT(Risultati!AN111,2)),ateco!$B$4:$C$93,2,FALSE)</f>
        <v>#N/A</v>
      </c>
      <c r="G112" s="8" t="str">
        <f>SUBSTITUTE((Risultati!AN111&amp;"-"&amp;Risultati!AO111),",",";")</f>
        <v>-</v>
      </c>
      <c r="I112" s="10">
        <f>+Risultati!G111</f>
        <v>0</v>
      </c>
      <c r="J112" s="11" t="str">
        <f t="shared" si="83"/>
        <v>0</v>
      </c>
      <c r="K112" s="12"/>
      <c r="L112" s="10">
        <f>+Risultati!G111+Risultati!H111</f>
        <v>0</v>
      </c>
      <c r="M112" s="11" t="str">
        <f t="shared" si="84"/>
        <v>0</v>
      </c>
      <c r="N112" s="12"/>
      <c r="O112" s="10">
        <f>+Risultati!I111+Risultati!J111</f>
        <v>0</v>
      </c>
      <c r="P112" s="11" t="str">
        <f t="shared" si="85"/>
        <v>0</v>
      </c>
      <c r="Q112" s="12"/>
      <c r="R112" s="13">
        <f t="shared" si="102"/>
        <v>0</v>
      </c>
      <c r="S112" s="11" t="str">
        <f t="shared" si="86"/>
        <v>0</v>
      </c>
      <c r="T112" s="12"/>
      <c r="U112" s="10">
        <f>+Risultati!F111-(Risultati!G111+Risultati!H111)</f>
        <v>0</v>
      </c>
      <c r="V112" s="12" t="str">
        <f t="shared" si="87"/>
        <v>0</v>
      </c>
      <c r="W112" s="12"/>
      <c r="X112" s="10">
        <f t="shared" si="103"/>
        <v>0</v>
      </c>
      <c r="Y112" s="12" t="str">
        <f t="shared" si="88"/>
        <v>0</v>
      </c>
      <c r="Z112" s="12"/>
      <c r="AA112" s="10">
        <f>+Risultati!K111</f>
        <v>0</v>
      </c>
      <c r="AB112" s="12" t="str">
        <f t="shared" si="89"/>
        <v>0</v>
      </c>
      <c r="AC112" s="12"/>
      <c r="AD112" s="10">
        <f>+Risultati!L111</f>
        <v>0</v>
      </c>
      <c r="AE112" s="12" t="str">
        <f t="shared" si="90"/>
        <v>0</v>
      </c>
      <c r="AF112" s="12"/>
      <c r="AG112" s="10">
        <f>+Risultati!M111+Risultati!P111+Risultati!Q111</f>
        <v>0</v>
      </c>
      <c r="AH112" s="12" t="str">
        <f t="shared" si="91"/>
        <v>0</v>
      </c>
      <c r="AI112" s="12"/>
      <c r="AJ112" s="13">
        <f t="shared" si="104"/>
        <v>0</v>
      </c>
      <c r="AK112" s="11" t="str">
        <f t="shared" si="92"/>
        <v>0</v>
      </c>
      <c r="AL112" s="12"/>
      <c r="AM112" s="10">
        <f>+Risultati!N111</f>
        <v>0</v>
      </c>
      <c r="AN112" s="12" t="str">
        <f t="shared" si="93"/>
        <v>0</v>
      </c>
      <c r="AO112" s="12"/>
      <c r="AP112" s="10">
        <f t="shared" si="105"/>
        <v>0</v>
      </c>
      <c r="AQ112" s="41" t="str">
        <f t="shared" si="94"/>
        <v>0</v>
      </c>
      <c r="AR112" s="12"/>
      <c r="AS112" s="10">
        <f>+Risultati!O111</f>
        <v>0</v>
      </c>
      <c r="AT112" s="12" t="str">
        <f t="shared" si="95"/>
        <v>0</v>
      </c>
      <c r="AU112" s="12"/>
      <c r="AV112" s="10">
        <f t="shared" si="106"/>
        <v>0</v>
      </c>
      <c r="AW112" s="12" t="str">
        <f t="shared" si="96"/>
        <v>0</v>
      </c>
      <c r="AX112" s="12"/>
      <c r="AY112" s="10">
        <f>+Risultati!R111+Risultati!S111</f>
        <v>0</v>
      </c>
      <c r="AZ112" s="12" t="str">
        <f t="shared" si="97"/>
        <v>0</v>
      </c>
      <c r="BA112" s="12"/>
      <c r="BB112" s="10">
        <f>+Risultati!T111</f>
        <v>0</v>
      </c>
      <c r="BC112" s="12" t="str">
        <f t="shared" si="98"/>
        <v>0</v>
      </c>
      <c r="BD112" s="12"/>
      <c r="BE112" s="10">
        <f>+Risultati!U111</f>
        <v>0</v>
      </c>
      <c r="BF112" s="12" t="str">
        <f t="shared" si="99"/>
        <v>0</v>
      </c>
      <c r="BG112" s="12"/>
      <c r="BH112" s="10">
        <f t="shared" si="107"/>
        <v>0</v>
      </c>
      <c r="BI112" s="12" t="str">
        <f t="shared" si="100"/>
        <v>0</v>
      </c>
      <c r="BK112" s="16">
        <f>IF(ISNUMBER(Risultati!X111/100),(Risultati!X111/100))</f>
        <v>0</v>
      </c>
      <c r="BL112" s="16">
        <f>IF(ISNUMBER(Risultati!Y111/100),(Risultati!Y111/100))</f>
        <v>0</v>
      </c>
      <c r="BM112" s="16">
        <f>IF(ISNUMBER(Risultati!Z111/100),(Risultati!Z111/100))</f>
        <v>0</v>
      </c>
      <c r="BN112" s="16">
        <f>IF(AND(Risultati!AY111&lt;0,calcoli!AP112&lt;0),-IF(ISNUMBER(Risultati!AA111/100),(Risultati!AA111/100)),IF(ISNUMBER(Risultati!AA111/100),(Risultati!AA111/100)))</f>
        <v>0</v>
      </c>
      <c r="BO112" s="16" t="str">
        <f t="shared" si="81"/>
        <v>0</v>
      </c>
      <c r="BP112" s="16" t="str">
        <f>IF(Risultati!AB111&gt;0,(AV112/Risultati!AB111),"0")</f>
        <v>0</v>
      </c>
      <c r="BQ112" s="16" t="str">
        <f>IF(Risultati!AG111&lt;&gt;0,(BH112/Risultati!AG111),"0")</f>
        <v>0</v>
      </c>
      <c r="BR112" s="16" t="str">
        <f t="shared" si="82"/>
        <v>0</v>
      </c>
      <c r="BS112" s="14" t="str">
        <f>IF(Risultati!AB111&gt;0,(Risultati!G111/Risultati!AB111),"0")</f>
        <v>0</v>
      </c>
      <c r="BT112" s="15" t="str">
        <f>IF(Risultati!AG111&lt;&gt;0,(Risultati!AB111/Risultati!AG111),"0")</f>
        <v>0</v>
      </c>
      <c r="BU112" s="23" t="str">
        <f>IF(AND(Risultati!G111&gt;0,(Risultati!AE111-Risultati!AF111)&gt;=0),((Risultati!AE111-Risultati!AF111)/Risultati!G111*360),"0")</f>
        <v>0</v>
      </c>
      <c r="BV112" s="21" t="str">
        <f>IF(OR(E112="abbreviato",Risultati!G111=0),"0",((Risultati!AC111+Risultati!AD111)/Risultati!G111*360))</f>
        <v>0</v>
      </c>
      <c r="BW112" s="21" t="str">
        <f>IF(OR(E112="abbreviato",Risultati!G111=0,SUM(Risultati!I111+Risultati!K111+Risultati!M111)=0),"0",(((Risultati!AH111+Risultati!AI111)/(Risultati!I111+Risultati!K111+Risultati!N111)*360)))</f>
        <v>0</v>
      </c>
      <c r="BX112" s="16" t="str">
        <f>IF(Risultati!AB111&gt;0,(+Risultati!AG111/Risultati!AB111),"0")</f>
        <v>0</v>
      </c>
      <c r="BY112" s="22" t="str">
        <f>IF(OR(E112="abbreviato",Risultati!G111=0),"0",(((Risultati!AK111-(Risultati!AL111+Risultati!AM111))/Risultati!G111)))</f>
        <v>0</v>
      </c>
      <c r="BZ112" s="16" t="str">
        <f>IF(Risultati!G111&gt;0,(Risultati!AJ111/Risultati!G111),"0")</f>
        <v>0</v>
      </c>
      <c r="CA112" s="8"/>
      <c r="CB112" s="10">
        <f>+Risultati!AP111</f>
        <v>0</v>
      </c>
      <c r="CC112" s="31" t="str">
        <f t="shared" si="108"/>
        <v>0</v>
      </c>
      <c r="CD112" s="10">
        <f>+Risultati!AQ111</f>
        <v>0</v>
      </c>
      <c r="CE112" s="31" t="str">
        <f t="shared" si="109"/>
        <v>0</v>
      </c>
      <c r="CF112" s="10">
        <f>+Risultati!AR111</f>
        <v>0</v>
      </c>
      <c r="CG112" s="31" t="str">
        <f t="shared" si="110"/>
        <v>0</v>
      </c>
      <c r="CH112" s="10">
        <f>+Risultati!AS111</f>
        <v>0</v>
      </c>
      <c r="CI112" s="31" t="str">
        <f t="shared" si="111"/>
        <v>0</v>
      </c>
      <c r="CJ112" s="10">
        <f t="shared" si="112"/>
        <v>0</v>
      </c>
      <c r="CK112" s="31" t="str">
        <f t="shared" si="113"/>
        <v>0</v>
      </c>
      <c r="CL112" s="10">
        <f>+Risultati!AE111+Risultati!AF111</f>
        <v>0</v>
      </c>
      <c r="CM112" s="31" t="str">
        <f t="shared" si="114"/>
        <v>0</v>
      </c>
      <c r="CN112" s="10">
        <f>+Risultati!AT111</f>
        <v>0</v>
      </c>
      <c r="CO112" s="31" t="str">
        <f t="shared" si="115"/>
        <v>0</v>
      </c>
      <c r="CP112" s="10">
        <f>+Risultati!AU111</f>
        <v>0</v>
      </c>
      <c r="CQ112" s="31" t="str">
        <f t="shared" si="116"/>
        <v>0</v>
      </c>
      <c r="CR112" s="10">
        <f>+Risultati!AL111</f>
        <v>0</v>
      </c>
      <c r="CS112" s="31" t="str">
        <f t="shared" si="117"/>
        <v>0</v>
      </c>
      <c r="CT112" s="10">
        <f t="shared" si="118"/>
        <v>0</v>
      </c>
      <c r="CU112" s="31" t="str">
        <f t="shared" si="119"/>
        <v>0</v>
      </c>
      <c r="CV112" s="10">
        <f>+Risultati!AX111</f>
        <v>0</v>
      </c>
      <c r="CW112" s="31" t="str">
        <f t="shared" si="120"/>
        <v>0</v>
      </c>
      <c r="CX112" s="10">
        <f t="shared" si="121"/>
        <v>0</v>
      </c>
      <c r="CY112" s="31" t="str">
        <f t="shared" si="122"/>
        <v>0</v>
      </c>
      <c r="CZ112" s="10">
        <f>+Risultati!AG111</f>
        <v>0</v>
      </c>
      <c r="DA112" s="31" t="str">
        <f t="shared" si="123"/>
        <v>0</v>
      </c>
      <c r="DB112" s="10">
        <f t="shared" si="124"/>
        <v>0</v>
      </c>
      <c r="DC112" s="31" t="str">
        <f t="shared" si="125"/>
        <v>0</v>
      </c>
      <c r="DD112" s="10">
        <f>+Risultati!AV111</f>
        <v>0</v>
      </c>
      <c r="DE112" s="31" t="str">
        <f t="shared" si="126"/>
        <v>0</v>
      </c>
      <c r="DF112" s="10">
        <f>+Risultati!AJ111</f>
        <v>0</v>
      </c>
      <c r="DG112" s="31" t="str">
        <f t="shared" si="127"/>
        <v>0</v>
      </c>
      <c r="DH112" s="10">
        <f t="shared" si="128"/>
        <v>0</v>
      </c>
      <c r="DI112" s="31" t="str">
        <f t="shared" si="129"/>
        <v>0</v>
      </c>
      <c r="DJ112" s="10">
        <f>+Risultati!AW111</f>
        <v>0</v>
      </c>
      <c r="DK112" s="31" t="str">
        <f t="shared" si="130"/>
        <v>0</v>
      </c>
      <c r="DL112" s="10">
        <f t="shared" si="101"/>
        <v>0</v>
      </c>
      <c r="DM112" s="31" t="str">
        <f t="shared" si="131"/>
        <v>0</v>
      </c>
      <c r="DO112" s="30"/>
      <c r="DP112" s="30"/>
    </row>
    <row r="113" spans="1:120" x14ac:dyDescent="0.2">
      <c r="A113" s="5"/>
      <c r="B113" s="6">
        <f>+Risultati!B112</f>
        <v>0</v>
      </c>
      <c r="C113" s="6">
        <f>+Risultati!C112</f>
        <v>0</v>
      </c>
      <c r="D113" s="26" t="str">
        <f>IF(YEAR(Risultati!D112)=1900,(MID(Risultati!$AP$1,29,4)),YEAR(Risultati!D112))</f>
        <v/>
      </c>
      <c r="E113" s="6">
        <f>+Risultati!E112</f>
        <v>0</v>
      </c>
      <c r="F113" s="8" t="e">
        <f>(LEFT(Risultati!AN112,2)&amp;"-")&amp;VLOOKUP((LEFT(Risultati!AN112,2)),ateco!$B$4:$C$93,2,FALSE)</f>
        <v>#N/A</v>
      </c>
      <c r="G113" s="8" t="str">
        <f>SUBSTITUTE((Risultati!AN112&amp;"-"&amp;Risultati!AO112),",",";")</f>
        <v>-</v>
      </c>
      <c r="I113" s="10">
        <f>+Risultati!G112</f>
        <v>0</v>
      </c>
      <c r="J113" s="11" t="str">
        <f t="shared" si="83"/>
        <v>0</v>
      </c>
      <c r="K113" s="12"/>
      <c r="L113" s="10">
        <f>+Risultati!G112+Risultati!H112</f>
        <v>0</v>
      </c>
      <c r="M113" s="11" t="str">
        <f t="shared" si="84"/>
        <v>0</v>
      </c>
      <c r="N113" s="12"/>
      <c r="O113" s="10">
        <f>+Risultati!I112+Risultati!J112</f>
        <v>0</v>
      </c>
      <c r="P113" s="11" t="str">
        <f t="shared" si="85"/>
        <v>0</v>
      </c>
      <c r="Q113" s="12"/>
      <c r="R113" s="13">
        <f t="shared" si="102"/>
        <v>0</v>
      </c>
      <c r="S113" s="11" t="str">
        <f t="shared" si="86"/>
        <v>0</v>
      </c>
      <c r="T113" s="12"/>
      <c r="U113" s="10">
        <f>+Risultati!F112-(Risultati!G112+Risultati!H112)</f>
        <v>0</v>
      </c>
      <c r="V113" s="12" t="str">
        <f t="shared" si="87"/>
        <v>0</v>
      </c>
      <c r="W113" s="12"/>
      <c r="X113" s="10">
        <f t="shared" si="103"/>
        <v>0</v>
      </c>
      <c r="Y113" s="12" t="str">
        <f t="shared" si="88"/>
        <v>0</v>
      </c>
      <c r="Z113" s="12"/>
      <c r="AA113" s="10">
        <f>+Risultati!K112</f>
        <v>0</v>
      </c>
      <c r="AB113" s="12" t="str">
        <f t="shared" si="89"/>
        <v>0</v>
      </c>
      <c r="AC113" s="12"/>
      <c r="AD113" s="10">
        <f>+Risultati!L112</f>
        <v>0</v>
      </c>
      <c r="AE113" s="12" t="str">
        <f t="shared" si="90"/>
        <v>0</v>
      </c>
      <c r="AF113" s="12"/>
      <c r="AG113" s="10">
        <f>+Risultati!M112+Risultati!P112+Risultati!Q112</f>
        <v>0</v>
      </c>
      <c r="AH113" s="12" t="str">
        <f t="shared" si="91"/>
        <v>0</v>
      </c>
      <c r="AI113" s="12"/>
      <c r="AJ113" s="13">
        <f t="shared" si="104"/>
        <v>0</v>
      </c>
      <c r="AK113" s="11" t="str">
        <f t="shared" si="92"/>
        <v>0</v>
      </c>
      <c r="AL113" s="12"/>
      <c r="AM113" s="10">
        <f>+Risultati!N112</f>
        <v>0</v>
      </c>
      <c r="AN113" s="12" t="str">
        <f t="shared" si="93"/>
        <v>0</v>
      </c>
      <c r="AO113" s="12"/>
      <c r="AP113" s="10">
        <f t="shared" si="105"/>
        <v>0</v>
      </c>
      <c r="AQ113" s="41" t="str">
        <f t="shared" si="94"/>
        <v>0</v>
      </c>
      <c r="AR113" s="12"/>
      <c r="AS113" s="10">
        <f>+Risultati!O112</f>
        <v>0</v>
      </c>
      <c r="AT113" s="12" t="str">
        <f t="shared" si="95"/>
        <v>0</v>
      </c>
      <c r="AU113" s="12"/>
      <c r="AV113" s="10">
        <f t="shared" si="106"/>
        <v>0</v>
      </c>
      <c r="AW113" s="12" t="str">
        <f t="shared" si="96"/>
        <v>0</v>
      </c>
      <c r="AX113" s="12"/>
      <c r="AY113" s="10">
        <f>+Risultati!R112+Risultati!S112</f>
        <v>0</v>
      </c>
      <c r="AZ113" s="12" t="str">
        <f t="shared" si="97"/>
        <v>0</v>
      </c>
      <c r="BA113" s="12"/>
      <c r="BB113" s="10">
        <f>+Risultati!T112</f>
        <v>0</v>
      </c>
      <c r="BC113" s="12" t="str">
        <f t="shared" si="98"/>
        <v>0</v>
      </c>
      <c r="BD113" s="12"/>
      <c r="BE113" s="10">
        <f>+Risultati!U112</f>
        <v>0</v>
      </c>
      <c r="BF113" s="12" t="str">
        <f t="shared" si="99"/>
        <v>0</v>
      </c>
      <c r="BG113" s="12"/>
      <c r="BH113" s="10">
        <f t="shared" si="107"/>
        <v>0</v>
      </c>
      <c r="BI113" s="12" t="str">
        <f t="shared" si="100"/>
        <v>0</v>
      </c>
      <c r="BK113" s="16">
        <f>IF(ISNUMBER(Risultati!X112/100),(Risultati!X112/100))</f>
        <v>0</v>
      </c>
      <c r="BL113" s="16">
        <f>IF(ISNUMBER(Risultati!Y112/100),(Risultati!Y112/100))</f>
        <v>0</v>
      </c>
      <c r="BM113" s="16">
        <f>IF(ISNUMBER(Risultati!Z112/100),(Risultati!Z112/100))</f>
        <v>0</v>
      </c>
      <c r="BN113" s="16">
        <f>IF(AND(Risultati!AY112&lt;0,calcoli!AP113&lt;0),-IF(ISNUMBER(Risultati!AA112/100),(Risultati!AA112/100)),IF(ISNUMBER(Risultati!AA112/100),(Risultati!AA112/100)))</f>
        <v>0</v>
      </c>
      <c r="BO113" s="16" t="str">
        <f t="shared" si="81"/>
        <v>0</v>
      </c>
      <c r="BP113" s="16" t="str">
        <f>IF(Risultati!AB112&gt;0,(AV113/Risultati!AB112),"0")</f>
        <v>0</v>
      </c>
      <c r="BQ113" s="16" t="str">
        <f>IF(Risultati!AG112&lt;&gt;0,(BH113/Risultati!AG112),"0")</f>
        <v>0</v>
      </c>
      <c r="BR113" s="16" t="str">
        <f t="shared" si="82"/>
        <v>0</v>
      </c>
      <c r="BS113" s="14" t="str">
        <f>IF(Risultati!AB112&gt;0,(Risultati!G112/Risultati!AB112),"0")</f>
        <v>0</v>
      </c>
      <c r="BT113" s="15" t="str">
        <f>IF(Risultati!AG112&lt;&gt;0,(Risultati!AB112/Risultati!AG112),"0")</f>
        <v>0</v>
      </c>
      <c r="BU113" s="23" t="str">
        <f>IF(AND(Risultati!G112&gt;0,(Risultati!AE112-Risultati!AF112)&gt;=0),((Risultati!AE112-Risultati!AF112)/Risultati!G112*360),"0")</f>
        <v>0</v>
      </c>
      <c r="BV113" s="21" t="str">
        <f>IF(OR(E113="abbreviato",Risultati!G112=0),"0",((Risultati!AC112+Risultati!AD112)/Risultati!G112*360))</f>
        <v>0</v>
      </c>
      <c r="BW113" s="21" t="str">
        <f>IF(OR(E113="abbreviato",Risultati!G112=0,SUM(Risultati!I112+Risultati!K112+Risultati!M112)=0),"0",(((Risultati!AH112+Risultati!AI112)/(Risultati!I112+Risultati!K112+Risultati!N112)*360)))</f>
        <v>0</v>
      </c>
      <c r="BX113" s="16" t="str">
        <f>IF(Risultati!AB112&gt;0,(+Risultati!AG112/Risultati!AB112),"0")</f>
        <v>0</v>
      </c>
      <c r="BY113" s="22" t="str">
        <f>IF(OR(E113="abbreviato",Risultati!G112=0),"0",(((Risultati!AK112-(Risultati!AL112+Risultati!AM112))/Risultati!G112)))</f>
        <v>0</v>
      </c>
      <c r="BZ113" s="16" t="str">
        <f>IF(Risultati!G112&gt;0,(Risultati!AJ112/Risultati!G112),"0")</f>
        <v>0</v>
      </c>
      <c r="CA113" s="8"/>
      <c r="CB113" s="10">
        <f>+Risultati!AP112</f>
        <v>0</v>
      </c>
      <c r="CC113" s="31" t="str">
        <f t="shared" si="108"/>
        <v>0</v>
      </c>
      <c r="CD113" s="10">
        <f>+Risultati!AQ112</f>
        <v>0</v>
      </c>
      <c r="CE113" s="31" t="str">
        <f t="shared" si="109"/>
        <v>0</v>
      </c>
      <c r="CF113" s="10">
        <f>+Risultati!AR112</f>
        <v>0</v>
      </c>
      <c r="CG113" s="31" t="str">
        <f t="shared" si="110"/>
        <v>0</v>
      </c>
      <c r="CH113" s="10">
        <f>+Risultati!AS112</f>
        <v>0</v>
      </c>
      <c r="CI113" s="31" t="str">
        <f t="shared" si="111"/>
        <v>0</v>
      </c>
      <c r="CJ113" s="10">
        <f t="shared" si="112"/>
        <v>0</v>
      </c>
      <c r="CK113" s="31" t="str">
        <f t="shared" si="113"/>
        <v>0</v>
      </c>
      <c r="CL113" s="10">
        <f>+Risultati!AE112+Risultati!AF112</f>
        <v>0</v>
      </c>
      <c r="CM113" s="31" t="str">
        <f t="shared" si="114"/>
        <v>0</v>
      </c>
      <c r="CN113" s="10">
        <f>+Risultati!AT112</f>
        <v>0</v>
      </c>
      <c r="CO113" s="31" t="str">
        <f t="shared" si="115"/>
        <v>0</v>
      </c>
      <c r="CP113" s="10">
        <f>+Risultati!AU112</f>
        <v>0</v>
      </c>
      <c r="CQ113" s="31" t="str">
        <f t="shared" si="116"/>
        <v>0</v>
      </c>
      <c r="CR113" s="10">
        <f>+Risultati!AL112</f>
        <v>0</v>
      </c>
      <c r="CS113" s="31" t="str">
        <f t="shared" si="117"/>
        <v>0</v>
      </c>
      <c r="CT113" s="10">
        <f t="shared" si="118"/>
        <v>0</v>
      </c>
      <c r="CU113" s="31" t="str">
        <f t="shared" si="119"/>
        <v>0</v>
      </c>
      <c r="CV113" s="10">
        <f>+Risultati!AX112</f>
        <v>0</v>
      </c>
      <c r="CW113" s="31" t="str">
        <f t="shared" si="120"/>
        <v>0</v>
      </c>
      <c r="CX113" s="10">
        <f t="shared" si="121"/>
        <v>0</v>
      </c>
      <c r="CY113" s="31" t="str">
        <f t="shared" si="122"/>
        <v>0</v>
      </c>
      <c r="CZ113" s="10">
        <f>+Risultati!AG112</f>
        <v>0</v>
      </c>
      <c r="DA113" s="31" t="str">
        <f t="shared" si="123"/>
        <v>0</v>
      </c>
      <c r="DB113" s="10">
        <f t="shared" si="124"/>
        <v>0</v>
      </c>
      <c r="DC113" s="31" t="str">
        <f t="shared" si="125"/>
        <v>0</v>
      </c>
      <c r="DD113" s="10">
        <f>+Risultati!AV112</f>
        <v>0</v>
      </c>
      <c r="DE113" s="31" t="str">
        <f t="shared" si="126"/>
        <v>0</v>
      </c>
      <c r="DF113" s="10">
        <f>+Risultati!AJ112</f>
        <v>0</v>
      </c>
      <c r="DG113" s="31" t="str">
        <f t="shared" si="127"/>
        <v>0</v>
      </c>
      <c r="DH113" s="10">
        <f t="shared" si="128"/>
        <v>0</v>
      </c>
      <c r="DI113" s="31" t="str">
        <f t="shared" si="129"/>
        <v>0</v>
      </c>
      <c r="DJ113" s="10">
        <f>+Risultati!AW112</f>
        <v>0</v>
      </c>
      <c r="DK113" s="31" t="str">
        <f t="shared" si="130"/>
        <v>0</v>
      </c>
      <c r="DL113" s="10">
        <f t="shared" si="101"/>
        <v>0</v>
      </c>
      <c r="DM113" s="31" t="str">
        <f t="shared" si="131"/>
        <v>0</v>
      </c>
      <c r="DO113" s="30"/>
      <c r="DP113" s="30"/>
    </row>
    <row r="114" spans="1:120" x14ac:dyDescent="0.2">
      <c r="A114" s="5"/>
      <c r="B114" s="6">
        <f>+Risultati!B113</f>
        <v>0</v>
      </c>
      <c r="C114" s="6">
        <f>+Risultati!C113</f>
        <v>0</v>
      </c>
      <c r="D114" s="26" t="str">
        <f>IF(YEAR(Risultati!D113)=1900,(MID(Risultati!$AP$1,29,4)),YEAR(Risultati!D113))</f>
        <v/>
      </c>
      <c r="E114" s="6">
        <f>+Risultati!E113</f>
        <v>0</v>
      </c>
      <c r="F114" s="8" t="e">
        <f>(LEFT(Risultati!AN113,2)&amp;"-")&amp;VLOOKUP((LEFT(Risultati!AN113,2)),ateco!$B$4:$C$93,2,FALSE)</f>
        <v>#N/A</v>
      </c>
      <c r="G114" s="8" t="str">
        <f>SUBSTITUTE((Risultati!AN113&amp;"-"&amp;Risultati!AO113),",",";")</f>
        <v>-</v>
      </c>
      <c r="I114" s="10">
        <f>+Risultati!G113</f>
        <v>0</v>
      </c>
      <c r="J114" s="11" t="str">
        <f t="shared" si="83"/>
        <v>0</v>
      </c>
      <c r="K114" s="12"/>
      <c r="L114" s="10">
        <f>+Risultati!G113+Risultati!H113</f>
        <v>0</v>
      </c>
      <c r="M114" s="11" t="str">
        <f t="shared" si="84"/>
        <v>0</v>
      </c>
      <c r="N114" s="12"/>
      <c r="O114" s="10">
        <f>+Risultati!I113+Risultati!J113</f>
        <v>0</v>
      </c>
      <c r="P114" s="11" t="str">
        <f t="shared" si="85"/>
        <v>0</v>
      </c>
      <c r="Q114" s="12"/>
      <c r="R114" s="13">
        <f t="shared" si="102"/>
        <v>0</v>
      </c>
      <c r="S114" s="11" t="str">
        <f t="shared" si="86"/>
        <v>0</v>
      </c>
      <c r="T114" s="12"/>
      <c r="U114" s="10">
        <f>+Risultati!F113-(Risultati!G113+Risultati!H113)</f>
        <v>0</v>
      </c>
      <c r="V114" s="12" t="str">
        <f t="shared" si="87"/>
        <v>0</v>
      </c>
      <c r="W114" s="12"/>
      <c r="X114" s="10">
        <f t="shared" si="103"/>
        <v>0</v>
      </c>
      <c r="Y114" s="12" t="str">
        <f t="shared" si="88"/>
        <v>0</v>
      </c>
      <c r="Z114" s="12"/>
      <c r="AA114" s="10">
        <f>+Risultati!K113</f>
        <v>0</v>
      </c>
      <c r="AB114" s="12" t="str">
        <f t="shared" si="89"/>
        <v>0</v>
      </c>
      <c r="AC114" s="12"/>
      <c r="AD114" s="10">
        <f>+Risultati!L113</f>
        <v>0</v>
      </c>
      <c r="AE114" s="12" t="str">
        <f t="shared" si="90"/>
        <v>0</v>
      </c>
      <c r="AF114" s="12"/>
      <c r="AG114" s="10">
        <f>+Risultati!M113+Risultati!P113+Risultati!Q113</f>
        <v>0</v>
      </c>
      <c r="AH114" s="12" t="str">
        <f t="shared" si="91"/>
        <v>0</v>
      </c>
      <c r="AI114" s="12"/>
      <c r="AJ114" s="13">
        <f t="shared" si="104"/>
        <v>0</v>
      </c>
      <c r="AK114" s="11" t="str">
        <f t="shared" si="92"/>
        <v>0</v>
      </c>
      <c r="AL114" s="12"/>
      <c r="AM114" s="10">
        <f>+Risultati!N113</f>
        <v>0</v>
      </c>
      <c r="AN114" s="12" t="str">
        <f t="shared" si="93"/>
        <v>0</v>
      </c>
      <c r="AO114" s="12"/>
      <c r="AP114" s="10">
        <f t="shared" si="105"/>
        <v>0</v>
      </c>
      <c r="AQ114" s="41" t="str">
        <f t="shared" si="94"/>
        <v>0</v>
      </c>
      <c r="AR114" s="12"/>
      <c r="AS114" s="10">
        <f>+Risultati!O113</f>
        <v>0</v>
      </c>
      <c r="AT114" s="12" t="str">
        <f t="shared" si="95"/>
        <v>0</v>
      </c>
      <c r="AU114" s="12"/>
      <c r="AV114" s="10">
        <f t="shared" si="106"/>
        <v>0</v>
      </c>
      <c r="AW114" s="12" t="str">
        <f t="shared" si="96"/>
        <v>0</v>
      </c>
      <c r="AX114" s="12"/>
      <c r="AY114" s="10">
        <f>+Risultati!R113+Risultati!S113</f>
        <v>0</v>
      </c>
      <c r="AZ114" s="12" t="str">
        <f t="shared" si="97"/>
        <v>0</v>
      </c>
      <c r="BA114" s="12"/>
      <c r="BB114" s="10">
        <f>+Risultati!T113</f>
        <v>0</v>
      </c>
      <c r="BC114" s="12" t="str">
        <f t="shared" si="98"/>
        <v>0</v>
      </c>
      <c r="BD114" s="12"/>
      <c r="BE114" s="10">
        <f>+Risultati!U113</f>
        <v>0</v>
      </c>
      <c r="BF114" s="12" t="str">
        <f t="shared" si="99"/>
        <v>0</v>
      </c>
      <c r="BG114" s="12"/>
      <c r="BH114" s="10">
        <f t="shared" si="107"/>
        <v>0</v>
      </c>
      <c r="BI114" s="12" t="str">
        <f t="shared" si="100"/>
        <v>0</v>
      </c>
      <c r="BK114" s="16">
        <f>IF(ISNUMBER(Risultati!X113/100),(Risultati!X113/100))</f>
        <v>0</v>
      </c>
      <c r="BL114" s="16">
        <f>IF(ISNUMBER(Risultati!Y113/100),(Risultati!Y113/100))</f>
        <v>0</v>
      </c>
      <c r="BM114" s="16">
        <f>IF(ISNUMBER(Risultati!Z113/100),(Risultati!Z113/100))</f>
        <v>0</v>
      </c>
      <c r="BN114" s="16">
        <f>IF(AND(Risultati!AY113&lt;0,calcoli!AP114&lt;0),-IF(ISNUMBER(Risultati!AA113/100),(Risultati!AA113/100)),IF(ISNUMBER(Risultati!AA113/100),(Risultati!AA113/100)))</f>
        <v>0</v>
      </c>
      <c r="BO114" s="16" t="str">
        <f t="shared" si="81"/>
        <v>0</v>
      </c>
      <c r="BP114" s="16" t="str">
        <f>IF(Risultati!AB113&gt;0,(AV114/Risultati!AB113),"0")</f>
        <v>0</v>
      </c>
      <c r="BQ114" s="16" t="str">
        <f>IF(Risultati!AG113&lt;&gt;0,(BH114/Risultati!AG113),"0")</f>
        <v>0</v>
      </c>
      <c r="BR114" s="16" t="str">
        <f t="shared" si="82"/>
        <v>0</v>
      </c>
      <c r="BS114" s="14" t="str">
        <f>IF(Risultati!AB113&gt;0,(Risultati!G113/Risultati!AB113),"0")</f>
        <v>0</v>
      </c>
      <c r="BT114" s="15" t="str">
        <f>IF(Risultati!AG113&lt;&gt;0,(Risultati!AB113/Risultati!AG113),"0")</f>
        <v>0</v>
      </c>
      <c r="BU114" s="23" t="str">
        <f>IF(AND(Risultati!G113&gt;0,(Risultati!AE113-Risultati!AF113)&gt;=0),((Risultati!AE113-Risultati!AF113)/Risultati!G113*360),"0")</f>
        <v>0</v>
      </c>
      <c r="BV114" s="21" t="str">
        <f>IF(OR(E114="abbreviato",Risultati!G113=0),"0",((Risultati!AC113+Risultati!AD113)/Risultati!G113*360))</f>
        <v>0</v>
      </c>
      <c r="BW114" s="21" t="str">
        <f>IF(OR(E114="abbreviato",Risultati!G113=0,SUM(Risultati!I113+Risultati!K113+Risultati!M113)=0),"0",(((Risultati!AH113+Risultati!AI113)/(Risultati!I113+Risultati!K113+Risultati!N113)*360)))</f>
        <v>0</v>
      </c>
      <c r="BX114" s="16" t="str">
        <f>IF(Risultati!AB113&gt;0,(+Risultati!AG113/Risultati!AB113),"0")</f>
        <v>0</v>
      </c>
      <c r="BY114" s="22" t="str">
        <f>IF(OR(E114="abbreviato",Risultati!G113=0),"0",(((Risultati!AK113-(Risultati!AL113+Risultati!AM113))/Risultati!G113)))</f>
        <v>0</v>
      </c>
      <c r="BZ114" s="16" t="str">
        <f>IF(Risultati!G113&gt;0,(Risultati!AJ113/Risultati!G113),"0")</f>
        <v>0</v>
      </c>
      <c r="CA114" s="8"/>
      <c r="CB114" s="10">
        <f>+Risultati!AP113</f>
        <v>0</v>
      </c>
      <c r="CC114" s="31" t="str">
        <f t="shared" si="108"/>
        <v>0</v>
      </c>
      <c r="CD114" s="10">
        <f>+Risultati!AQ113</f>
        <v>0</v>
      </c>
      <c r="CE114" s="31" t="str">
        <f t="shared" si="109"/>
        <v>0</v>
      </c>
      <c r="CF114" s="10">
        <f>+Risultati!AR113</f>
        <v>0</v>
      </c>
      <c r="CG114" s="31" t="str">
        <f t="shared" si="110"/>
        <v>0</v>
      </c>
      <c r="CH114" s="10">
        <f>+Risultati!AS113</f>
        <v>0</v>
      </c>
      <c r="CI114" s="31" t="str">
        <f t="shared" si="111"/>
        <v>0</v>
      </c>
      <c r="CJ114" s="10">
        <f t="shared" si="112"/>
        <v>0</v>
      </c>
      <c r="CK114" s="31" t="str">
        <f t="shared" si="113"/>
        <v>0</v>
      </c>
      <c r="CL114" s="10">
        <f>+Risultati!AE113+Risultati!AF113</f>
        <v>0</v>
      </c>
      <c r="CM114" s="31" t="str">
        <f t="shared" si="114"/>
        <v>0</v>
      </c>
      <c r="CN114" s="10">
        <f>+Risultati!AT113</f>
        <v>0</v>
      </c>
      <c r="CO114" s="31" t="str">
        <f t="shared" si="115"/>
        <v>0</v>
      </c>
      <c r="CP114" s="10">
        <f>+Risultati!AU113</f>
        <v>0</v>
      </c>
      <c r="CQ114" s="31" t="str">
        <f t="shared" si="116"/>
        <v>0</v>
      </c>
      <c r="CR114" s="10">
        <f>+Risultati!AL113</f>
        <v>0</v>
      </c>
      <c r="CS114" s="31" t="str">
        <f t="shared" si="117"/>
        <v>0</v>
      </c>
      <c r="CT114" s="10">
        <f t="shared" si="118"/>
        <v>0</v>
      </c>
      <c r="CU114" s="31" t="str">
        <f t="shared" si="119"/>
        <v>0</v>
      </c>
      <c r="CV114" s="10">
        <f>+Risultati!AX113</f>
        <v>0</v>
      </c>
      <c r="CW114" s="31" t="str">
        <f t="shared" si="120"/>
        <v>0</v>
      </c>
      <c r="CX114" s="10">
        <f t="shared" si="121"/>
        <v>0</v>
      </c>
      <c r="CY114" s="31" t="str">
        <f t="shared" si="122"/>
        <v>0</v>
      </c>
      <c r="CZ114" s="10">
        <f>+Risultati!AG113</f>
        <v>0</v>
      </c>
      <c r="DA114" s="31" t="str">
        <f t="shared" si="123"/>
        <v>0</v>
      </c>
      <c r="DB114" s="10">
        <f t="shared" si="124"/>
        <v>0</v>
      </c>
      <c r="DC114" s="31" t="str">
        <f t="shared" si="125"/>
        <v>0</v>
      </c>
      <c r="DD114" s="10">
        <f>+Risultati!AV113</f>
        <v>0</v>
      </c>
      <c r="DE114" s="31" t="str">
        <f t="shared" si="126"/>
        <v>0</v>
      </c>
      <c r="DF114" s="10">
        <f>+Risultati!AJ113</f>
        <v>0</v>
      </c>
      <c r="DG114" s="31" t="str">
        <f t="shared" si="127"/>
        <v>0</v>
      </c>
      <c r="DH114" s="10">
        <f t="shared" si="128"/>
        <v>0</v>
      </c>
      <c r="DI114" s="31" t="str">
        <f t="shared" si="129"/>
        <v>0</v>
      </c>
      <c r="DJ114" s="10">
        <f>+Risultati!AW113</f>
        <v>0</v>
      </c>
      <c r="DK114" s="31" t="str">
        <f t="shared" si="130"/>
        <v>0</v>
      </c>
      <c r="DL114" s="10">
        <f t="shared" si="101"/>
        <v>0</v>
      </c>
      <c r="DM114" s="31" t="str">
        <f t="shared" si="131"/>
        <v>0</v>
      </c>
      <c r="DO114" s="30"/>
      <c r="DP114" s="30"/>
    </row>
    <row r="115" spans="1:120" x14ac:dyDescent="0.2">
      <c r="A115" s="5"/>
      <c r="B115" s="6">
        <f>+Risultati!B114</f>
        <v>0</v>
      </c>
      <c r="C115" s="6">
        <f>+Risultati!C114</f>
        <v>0</v>
      </c>
      <c r="D115" s="26" t="str">
        <f>IF(YEAR(Risultati!D114)=1900,(MID(Risultati!$AP$1,29,4)),YEAR(Risultati!D114))</f>
        <v/>
      </c>
      <c r="E115" s="6">
        <f>+Risultati!E114</f>
        <v>0</v>
      </c>
      <c r="F115" s="8" t="e">
        <f>(LEFT(Risultati!AN114,2)&amp;"-")&amp;VLOOKUP((LEFT(Risultati!AN114,2)),ateco!$B$4:$C$93,2,FALSE)</f>
        <v>#N/A</v>
      </c>
      <c r="G115" s="8" t="str">
        <f>SUBSTITUTE((Risultati!AN114&amp;"-"&amp;Risultati!AO114),",",";")</f>
        <v>-</v>
      </c>
      <c r="I115" s="10">
        <f>+Risultati!G114</f>
        <v>0</v>
      </c>
      <c r="J115" s="11" t="str">
        <f t="shared" si="83"/>
        <v>0</v>
      </c>
      <c r="K115" s="12"/>
      <c r="L115" s="10">
        <f>+Risultati!G114+Risultati!H114</f>
        <v>0</v>
      </c>
      <c r="M115" s="11" t="str">
        <f t="shared" si="84"/>
        <v>0</v>
      </c>
      <c r="N115" s="12"/>
      <c r="O115" s="10">
        <f>+Risultati!I114+Risultati!J114</f>
        <v>0</v>
      </c>
      <c r="P115" s="11" t="str">
        <f t="shared" si="85"/>
        <v>0</v>
      </c>
      <c r="Q115" s="12"/>
      <c r="R115" s="13">
        <f t="shared" si="102"/>
        <v>0</v>
      </c>
      <c r="S115" s="11" t="str">
        <f t="shared" si="86"/>
        <v>0</v>
      </c>
      <c r="T115" s="12"/>
      <c r="U115" s="10">
        <f>+Risultati!F114-(Risultati!G114+Risultati!H114)</f>
        <v>0</v>
      </c>
      <c r="V115" s="12" t="str">
        <f t="shared" si="87"/>
        <v>0</v>
      </c>
      <c r="W115" s="12"/>
      <c r="X115" s="10">
        <f t="shared" si="103"/>
        <v>0</v>
      </c>
      <c r="Y115" s="12" t="str">
        <f t="shared" si="88"/>
        <v>0</v>
      </c>
      <c r="Z115" s="12"/>
      <c r="AA115" s="10">
        <f>+Risultati!K114</f>
        <v>0</v>
      </c>
      <c r="AB115" s="12" t="str">
        <f t="shared" si="89"/>
        <v>0</v>
      </c>
      <c r="AC115" s="12"/>
      <c r="AD115" s="10">
        <f>+Risultati!L114</f>
        <v>0</v>
      </c>
      <c r="AE115" s="12" t="str">
        <f t="shared" si="90"/>
        <v>0</v>
      </c>
      <c r="AF115" s="12"/>
      <c r="AG115" s="10">
        <f>+Risultati!M114+Risultati!P114+Risultati!Q114</f>
        <v>0</v>
      </c>
      <c r="AH115" s="12" t="str">
        <f t="shared" si="91"/>
        <v>0</v>
      </c>
      <c r="AI115" s="12"/>
      <c r="AJ115" s="13">
        <f t="shared" si="104"/>
        <v>0</v>
      </c>
      <c r="AK115" s="11" t="str">
        <f t="shared" si="92"/>
        <v>0</v>
      </c>
      <c r="AL115" s="12"/>
      <c r="AM115" s="10">
        <f>+Risultati!N114</f>
        <v>0</v>
      </c>
      <c r="AN115" s="12" t="str">
        <f t="shared" si="93"/>
        <v>0</v>
      </c>
      <c r="AO115" s="12"/>
      <c r="AP115" s="10">
        <f t="shared" si="105"/>
        <v>0</v>
      </c>
      <c r="AQ115" s="41" t="str">
        <f t="shared" si="94"/>
        <v>0</v>
      </c>
      <c r="AR115" s="12"/>
      <c r="AS115" s="10">
        <f>+Risultati!O114</f>
        <v>0</v>
      </c>
      <c r="AT115" s="12" t="str">
        <f t="shared" si="95"/>
        <v>0</v>
      </c>
      <c r="AU115" s="12"/>
      <c r="AV115" s="10">
        <f t="shared" si="106"/>
        <v>0</v>
      </c>
      <c r="AW115" s="12" t="str">
        <f t="shared" si="96"/>
        <v>0</v>
      </c>
      <c r="AX115" s="12"/>
      <c r="AY115" s="10">
        <f>+Risultati!R114+Risultati!S114</f>
        <v>0</v>
      </c>
      <c r="AZ115" s="12" t="str">
        <f t="shared" si="97"/>
        <v>0</v>
      </c>
      <c r="BA115" s="12"/>
      <c r="BB115" s="10">
        <f>+Risultati!T114</f>
        <v>0</v>
      </c>
      <c r="BC115" s="12" t="str">
        <f t="shared" si="98"/>
        <v>0</v>
      </c>
      <c r="BD115" s="12"/>
      <c r="BE115" s="10">
        <f>+Risultati!U114</f>
        <v>0</v>
      </c>
      <c r="BF115" s="12" t="str">
        <f t="shared" si="99"/>
        <v>0</v>
      </c>
      <c r="BG115" s="12"/>
      <c r="BH115" s="10">
        <f t="shared" si="107"/>
        <v>0</v>
      </c>
      <c r="BI115" s="12" t="str">
        <f t="shared" si="100"/>
        <v>0</v>
      </c>
      <c r="BK115" s="16">
        <f>IF(ISNUMBER(Risultati!X114/100),(Risultati!X114/100))</f>
        <v>0</v>
      </c>
      <c r="BL115" s="16">
        <f>IF(ISNUMBER(Risultati!Y114/100),(Risultati!Y114/100))</f>
        <v>0</v>
      </c>
      <c r="BM115" s="16">
        <f>IF(ISNUMBER(Risultati!Z114/100),(Risultati!Z114/100))</f>
        <v>0</v>
      </c>
      <c r="BN115" s="16">
        <f>IF(AND(Risultati!AY114&lt;0,calcoli!AP115&lt;0),-IF(ISNUMBER(Risultati!AA114/100),(Risultati!AA114/100)),IF(ISNUMBER(Risultati!AA114/100),(Risultati!AA114/100)))</f>
        <v>0</v>
      </c>
      <c r="BO115" s="16" t="str">
        <f t="shared" si="81"/>
        <v>0</v>
      </c>
      <c r="BP115" s="16" t="str">
        <f>IF(Risultati!AB114&gt;0,(AV115/Risultati!AB114),"0")</f>
        <v>0</v>
      </c>
      <c r="BQ115" s="16" t="str">
        <f>IF(Risultati!AG114&lt;&gt;0,(BH115/Risultati!AG114),"0")</f>
        <v>0</v>
      </c>
      <c r="BR115" s="16" t="str">
        <f t="shared" si="82"/>
        <v>0</v>
      </c>
      <c r="BS115" s="14" t="str">
        <f>IF(Risultati!AB114&gt;0,(Risultati!G114/Risultati!AB114),"0")</f>
        <v>0</v>
      </c>
      <c r="BT115" s="15" t="str">
        <f>IF(Risultati!AG114&lt;&gt;0,(Risultati!AB114/Risultati!AG114),"0")</f>
        <v>0</v>
      </c>
      <c r="BU115" s="23" t="str">
        <f>IF(AND(Risultati!G114&gt;0,(Risultati!AE114-Risultati!AF114)&gt;=0),((Risultati!AE114-Risultati!AF114)/Risultati!G114*360),"0")</f>
        <v>0</v>
      </c>
      <c r="BV115" s="21" t="str">
        <f>IF(OR(E115="abbreviato",Risultati!G114=0),"0",((Risultati!AC114+Risultati!AD114)/Risultati!G114*360))</f>
        <v>0</v>
      </c>
      <c r="BW115" s="21" t="str">
        <f>IF(OR(E115="abbreviato",Risultati!G114=0,SUM(Risultati!I114+Risultati!K114+Risultati!M114)=0),"0",(((Risultati!AH114+Risultati!AI114)/(Risultati!I114+Risultati!K114+Risultati!N114)*360)))</f>
        <v>0</v>
      </c>
      <c r="BX115" s="16" t="str">
        <f>IF(Risultati!AB114&gt;0,(+Risultati!AG114/Risultati!AB114),"0")</f>
        <v>0</v>
      </c>
      <c r="BY115" s="22" t="str">
        <f>IF(OR(E115="abbreviato",Risultati!G114=0),"0",(((Risultati!AK114-(Risultati!AL114+Risultati!AM114))/Risultati!G114)))</f>
        <v>0</v>
      </c>
      <c r="BZ115" s="16" t="str">
        <f>IF(Risultati!G114&gt;0,(Risultati!AJ114/Risultati!G114),"0")</f>
        <v>0</v>
      </c>
      <c r="CA115" s="8"/>
      <c r="CB115" s="10">
        <f>+Risultati!AP114</f>
        <v>0</v>
      </c>
      <c r="CC115" s="31" t="str">
        <f t="shared" si="108"/>
        <v>0</v>
      </c>
      <c r="CD115" s="10">
        <f>+Risultati!AQ114</f>
        <v>0</v>
      </c>
      <c r="CE115" s="31" t="str">
        <f t="shared" si="109"/>
        <v>0</v>
      </c>
      <c r="CF115" s="10">
        <f>+Risultati!AR114</f>
        <v>0</v>
      </c>
      <c r="CG115" s="31" t="str">
        <f t="shared" si="110"/>
        <v>0</v>
      </c>
      <c r="CH115" s="10">
        <f>+Risultati!AS114</f>
        <v>0</v>
      </c>
      <c r="CI115" s="31" t="str">
        <f t="shared" si="111"/>
        <v>0</v>
      </c>
      <c r="CJ115" s="10">
        <f t="shared" si="112"/>
        <v>0</v>
      </c>
      <c r="CK115" s="31" t="str">
        <f t="shared" si="113"/>
        <v>0</v>
      </c>
      <c r="CL115" s="10">
        <f>+Risultati!AE114+Risultati!AF114</f>
        <v>0</v>
      </c>
      <c r="CM115" s="31" t="str">
        <f t="shared" si="114"/>
        <v>0</v>
      </c>
      <c r="CN115" s="10">
        <f>+Risultati!AT114</f>
        <v>0</v>
      </c>
      <c r="CO115" s="31" t="str">
        <f t="shared" si="115"/>
        <v>0</v>
      </c>
      <c r="CP115" s="10">
        <f>+Risultati!AU114</f>
        <v>0</v>
      </c>
      <c r="CQ115" s="31" t="str">
        <f t="shared" si="116"/>
        <v>0</v>
      </c>
      <c r="CR115" s="10">
        <f>+Risultati!AL114</f>
        <v>0</v>
      </c>
      <c r="CS115" s="31" t="str">
        <f t="shared" si="117"/>
        <v>0</v>
      </c>
      <c r="CT115" s="10">
        <f t="shared" si="118"/>
        <v>0</v>
      </c>
      <c r="CU115" s="31" t="str">
        <f t="shared" si="119"/>
        <v>0</v>
      </c>
      <c r="CV115" s="10">
        <f>+Risultati!AX114</f>
        <v>0</v>
      </c>
      <c r="CW115" s="31" t="str">
        <f t="shared" si="120"/>
        <v>0</v>
      </c>
      <c r="CX115" s="10">
        <f t="shared" si="121"/>
        <v>0</v>
      </c>
      <c r="CY115" s="31" t="str">
        <f t="shared" si="122"/>
        <v>0</v>
      </c>
      <c r="CZ115" s="10">
        <f>+Risultati!AG114</f>
        <v>0</v>
      </c>
      <c r="DA115" s="31" t="str">
        <f t="shared" si="123"/>
        <v>0</v>
      </c>
      <c r="DB115" s="10">
        <f t="shared" si="124"/>
        <v>0</v>
      </c>
      <c r="DC115" s="31" t="str">
        <f t="shared" si="125"/>
        <v>0</v>
      </c>
      <c r="DD115" s="10">
        <f>+Risultati!AV114</f>
        <v>0</v>
      </c>
      <c r="DE115" s="31" t="str">
        <f t="shared" si="126"/>
        <v>0</v>
      </c>
      <c r="DF115" s="10">
        <f>+Risultati!AJ114</f>
        <v>0</v>
      </c>
      <c r="DG115" s="31" t="str">
        <f t="shared" si="127"/>
        <v>0</v>
      </c>
      <c r="DH115" s="10">
        <f t="shared" si="128"/>
        <v>0</v>
      </c>
      <c r="DI115" s="31" t="str">
        <f t="shared" si="129"/>
        <v>0</v>
      </c>
      <c r="DJ115" s="10">
        <f>+Risultati!AW114</f>
        <v>0</v>
      </c>
      <c r="DK115" s="31" t="str">
        <f t="shared" si="130"/>
        <v>0</v>
      </c>
      <c r="DL115" s="10">
        <f t="shared" si="101"/>
        <v>0</v>
      </c>
      <c r="DM115" s="31" t="str">
        <f t="shared" si="131"/>
        <v>0</v>
      </c>
      <c r="DO115" s="30"/>
      <c r="DP115" s="30"/>
    </row>
    <row r="116" spans="1:120" x14ac:dyDescent="0.2">
      <c r="A116" s="5"/>
      <c r="B116" s="6">
        <f>+Risultati!B115</f>
        <v>0</v>
      </c>
      <c r="C116" s="6">
        <f>+Risultati!C115</f>
        <v>0</v>
      </c>
      <c r="D116" s="26" t="str">
        <f>IF(YEAR(Risultati!D115)=1900,(MID(Risultati!$AP$1,29,4)),YEAR(Risultati!D115))</f>
        <v/>
      </c>
      <c r="E116" s="6">
        <f>+Risultati!E115</f>
        <v>0</v>
      </c>
      <c r="F116" s="8" t="e">
        <f>(LEFT(Risultati!AN115,2)&amp;"-")&amp;VLOOKUP((LEFT(Risultati!AN115,2)),ateco!$B$4:$C$93,2,FALSE)</f>
        <v>#N/A</v>
      </c>
      <c r="G116" s="8" t="str">
        <f>SUBSTITUTE((Risultati!AN115&amp;"-"&amp;Risultati!AO115),",",";")</f>
        <v>-</v>
      </c>
      <c r="I116" s="10">
        <f>+Risultati!G115</f>
        <v>0</v>
      </c>
      <c r="J116" s="11" t="str">
        <f t="shared" si="83"/>
        <v>0</v>
      </c>
      <c r="K116" s="12"/>
      <c r="L116" s="10">
        <f>+Risultati!G115+Risultati!H115</f>
        <v>0</v>
      </c>
      <c r="M116" s="11" t="str">
        <f t="shared" si="84"/>
        <v>0</v>
      </c>
      <c r="N116" s="12"/>
      <c r="O116" s="10">
        <f>+Risultati!I115+Risultati!J115</f>
        <v>0</v>
      </c>
      <c r="P116" s="11" t="str">
        <f t="shared" si="85"/>
        <v>0</v>
      </c>
      <c r="Q116" s="12"/>
      <c r="R116" s="13">
        <f t="shared" si="102"/>
        <v>0</v>
      </c>
      <c r="S116" s="11" t="str">
        <f t="shared" si="86"/>
        <v>0</v>
      </c>
      <c r="T116" s="12"/>
      <c r="U116" s="10">
        <f>+Risultati!F115-(Risultati!G115+Risultati!H115)</f>
        <v>0</v>
      </c>
      <c r="V116" s="12" t="str">
        <f t="shared" si="87"/>
        <v>0</v>
      </c>
      <c r="W116" s="12"/>
      <c r="X116" s="10">
        <f t="shared" si="103"/>
        <v>0</v>
      </c>
      <c r="Y116" s="12" t="str">
        <f t="shared" si="88"/>
        <v>0</v>
      </c>
      <c r="Z116" s="12"/>
      <c r="AA116" s="10">
        <f>+Risultati!K115</f>
        <v>0</v>
      </c>
      <c r="AB116" s="12" t="str">
        <f t="shared" si="89"/>
        <v>0</v>
      </c>
      <c r="AC116" s="12"/>
      <c r="AD116" s="10">
        <f>+Risultati!L115</f>
        <v>0</v>
      </c>
      <c r="AE116" s="12" t="str">
        <f t="shared" si="90"/>
        <v>0</v>
      </c>
      <c r="AF116" s="12"/>
      <c r="AG116" s="10">
        <f>+Risultati!M115+Risultati!P115+Risultati!Q115</f>
        <v>0</v>
      </c>
      <c r="AH116" s="12" t="str">
        <f t="shared" si="91"/>
        <v>0</v>
      </c>
      <c r="AI116" s="12"/>
      <c r="AJ116" s="13">
        <f t="shared" si="104"/>
        <v>0</v>
      </c>
      <c r="AK116" s="11" t="str">
        <f t="shared" si="92"/>
        <v>0</v>
      </c>
      <c r="AL116" s="12"/>
      <c r="AM116" s="10">
        <f>+Risultati!N115</f>
        <v>0</v>
      </c>
      <c r="AN116" s="12" t="str">
        <f t="shared" si="93"/>
        <v>0</v>
      </c>
      <c r="AO116" s="12"/>
      <c r="AP116" s="10">
        <f t="shared" si="105"/>
        <v>0</v>
      </c>
      <c r="AQ116" s="41" t="str">
        <f t="shared" si="94"/>
        <v>0</v>
      </c>
      <c r="AR116" s="12"/>
      <c r="AS116" s="10">
        <f>+Risultati!O115</f>
        <v>0</v>
      </c>
      <c r="AT116" s="12" t="str">
        <f t="shared" si="95"/>
        <v>0</v>
      </c>
      <c r="AU116" s="12"/>
      <c r="AV116" s="10">
        <f t="shared" si="106"/>
        <v>0</v>
      </c>
      <c r="AW116" s="12" t="str">
        <f t="shared" si="96"/>
        <v>0</v>
      </c>
      <c r="AX116" s="12"/>
      <c r="AY116" s="10">
        <f>+Risultati!R115+Risultati!S115</f>
        <v>0</v>
      </c>
      <c r="AZ116" s="12" t="str">
        <f t="shared" si="97"/>
        <v>0</v>
      </c>
      <c r="BA116" s="12"/>
      <c r="BB116" s="10">
        <f>+Risultati!T115</f>
        <v>0</v>
      </c>
      <c r="BC116" s="12" t="str">
        <f t="shared" si="98"/>
        <v>0</v>
      </c>
      <c r="BD116" s="12"/>
      <c r="BE116" s="10">
        <f>+Risultati!U115</f>
        <v>0</v>
      </c>
      <c r="BF116" s="12" t="str">
        <f t="shared" si="99"/>
        <v>0</v>
      </c>
      <c r="BG116" s="12"/>
      <c r="BH116" s="10">
        <f t="shared" si="107"/>
        <v>0</v>
      </c>
      <c r="BI116" s="12" t="str">
        <f t="shared" si="100"/>
        <v>0</v>
      </c>
      <c r="BK116" s="16">
        <f>IF(ISNUMBER(Risultati!X115/100),(Risultati!X115/100))</f>
        <v>0</v>
      </c>
      <c r="BL116" s="16">
        <f>IF(ISNUMBER(Risultati!Y115/100),(Risultati!Y115/100))</f>
        <v>0</v>
      </c>
      <c r="BM116" s="16">
        <f>IF(ISNUMBER(Risultati!Z115/100),(Risultati!Z115/100))</f>
        <v>0</v>
      </c>
      <c r="BN116" s="16">
        <f>IF(AND(Risultati!AY115&lt;0,calcoli!AP116&lt;0),-IF(ISNUMBER(Risultati!AA115/100),(Risultati!AA115/100)),IF(ISNUMBER(Risultati!AA115/100),(Risultati!AA115/100)))</f>
        <v>0</v>
      </c>
      <c r="BO116" s="16" t="str">
        <f t="shared" si="81"/>
        <v>0</v>
      </c>
      <c r="BP116" s="16" t="str">
        <f>IF(Risultati!AB115&gt;0,(AV116/Risultati!AB115),"0")</f>
        <v>0</v>
      </c>
      <c r="BQ116" s="16" t="str">
        <f>IF(Risultati!AG115&lt;&gt;0,(BH116/Risultati!AG115),"0")</f>
        <v>0</v>
      </c>
      <c r="BR116" s="16" t="str">
        <f t="shared" si="82"/>
        <v>0</v>
      </c>
      <c r="BS116" s="14" t="str">
        <f>IF(Risultati!AB115&gt;0,(Risultati!G115/Risultati!AB115),"0")</f>
        <v>0</v>
      </c>
      <c r="BT116" s="15" t="str">
        <f>IF(Risultati!AG115&lt;&gt;0,(Risultati!AB115/Risultati!AG115),"0")</f>
        <v>0</v>
      </c>
      <c r="BU116" s="23" t="str">
        <f>IF(AND(Risultati!G115&gt;0,(Risultati!AE115-Risultati!AF115)&gt;=0),((Risultati!AE115-Risultati!AF115)/Risultati!G115*360),"0")</f>
        <v>0</v>
      </c>
      <c r="BV116" s="21" t="str">
        <f>IF(OR(E116="abbreviato",Risultati!G115=0),"0",((Risultati!AC115+Risultati!AD115)/Risultati!G115*360))</f>
        <v>0</v>
      </c>
      <c r="BW116" s="21" t="str">
        <f>IF(OR(E116="abbreviato",Risultati!G115=0,SUM(Risultati!I115+Risultati!K115+Risultati!M115)=0),"0",(((Risultati!AH115+Risultati!AI115)/(Risultati!I115+Risultati!K115+Risultati!N115)*360)))</f>
        <v>0</v>
      </c>
      <c r="BX116" s="16" t="str">
        <f>IF(Risultati!AB115&gt;0,(+Risultati!AG115/Risultati!AB115),"0")</f>
        <v>0</v>
      </c>
      <c r="BY116" s="22" t="str">
        <f>IF(OR(E116="abbreviato",Risultati!G115=0),"0",(((Risultati!AK115-(Risultati!AL115+Risultati!AM115))/Risultati!G115)))</f>
        <v>0</v>
      </c>
      <c r="BZ116" s="16" t="str">
        <f>IF(Risultati!G115&gt;0,(Risultati!AJ115/Risultati!G115),"0")</f>
        <v>0</v>
      </c>
      <c r="CA116" s="8"/>
      <c r="CB116" s="10">
        <f>+Risultati!AP115</f>
        <v>0</v>
      </c>
      <c r="CC116" s="31" t="str">
        <f t="shared" si="108"/>
        <v>0</v>
      </c>
      <c r="CD116" s="10">
        <f>+Risultati!AQ115</f>
        <v>0</v>
      </c>
      <c r="CE116" s="31" t="str">
        <f t="shared" si="109"/>
        <v>0</v>
      </c>
      <c r="CF116" s="10">
        <f>+Risultati!AR115</f>
        <v>0</v>
      </c>
      <c r="CG116" s="31" t="str">
        <f t="shared" si="110"/>
        <v>0</v>
      </c>
      <c r="CH116" s="10">
        <f>+Risultati!AS115</f>
        <v>0</v>
      </c>
      <c r="CI116" s="31" t="str">
        <f t="shared" si="111"/>
        <v>0</v>
      </c>
      <c r="CJ116" s="10">
        <f t="shared" si="112"/>
        <v>0</v>
      </c>
      <c r="CK116" s="31" t="str">
        <f t="shared" si="113"/>
        <v>0</v>
      </c>
      <c r="CL116" s="10">
        <f>+Risultati!AE115+Risultati!AF115</f>
        <v>0</v>
      </c>
      <c r="CM116" s="31" t="str">
        <f t="shared" si="114"/>
        <v>0</v>
      </c>
      <c r="CN116" s="10">
        <f>+Risultati!AT115</f>
        <v>0</v>
      </c>
      <c r="CO116" s="31" t="str">
        <f t="shared" si="115"/>
        <v>0</v>
      </c>
      <c r="CP116" s="10">
        <f>+Risultati!AU115</f>
        <v>0</v>
      </c>
      <c r="CQ116" s="31" t="str">
        <f t="shared" si="116"/>
        <v>0</v>
      </c>
      <c r="CR116" s="10">
        <f>+Risultati!AL115</f>
        <v>0</v>
      </c>
      <c r="CS116" s="31" t="str">
        <f t="shared" si="117"/>
        <v>0</v>
      </c>
      <c r="CT116" s="10">
        <f t="shared" si="118"/>
        <v>0</v>
      </c>
      <c r="CU116" s="31" t="str">
        <f t="shared" si="119"/>
        <v>0</v>
      </c>
      <c r="CV116" s="10">
        <f>+Risultati!AX115</f>
        <v>0</v>
      </c>
      <c r="CW116" s="31" t="str">
        <f t="shared" si="120"/>
        <v>0</v>
      </c>
      <c r="CX116" s="10">
        <f t="shared" si="121"/>
        <v>0</v>
      </c>
      <c r="CY116" s="31" t="str">
        <f t="shared" si="122"/>
        <v>0</v>
      </c>
      <c r="CZ116" s="10">
        <f>+Risultati!AG115</f>
        <v>0</v>
      </c>
      <c r="DA116" s="31" t="str">
        <f t="shared" si="123"/>
        <v>0</v>
      </c>
      <c r="DB116" s="10">
        <f t="shared" si="124"/>
        <v>0</v>
      </c>
      <c r="DC116" s="31" t="str">
        <f t="shared" si="125"/>
        <v>0</v>
      </c>
      <c r="DD116" s="10">
        <f>+Risultati!AV115</f>
        <v>0</v>
      </c>
      <c r="DE116" s="31" t="str">
        <f t="shared" si="126"/>
        <v>0</v>
      </c>
      <c r="DF116" s="10">
        <f>+Risultati!AJ115</f>
        <v>0</v>
      </c>
      <c r="DG116" s="31" t="str">
        <f t="shared" si="127"/>
        <v>0</v>
      </c>
      <c r="DH116" s="10">
        <f t="shared" si="128"/>
        <v>0</v>
      </c>
      <c r="DI116" s="31" t="str">
        <f t="shared" si="129"/>
        <v>0</v>
      </c>
      <c r="DJ116" s="10">
        <f>+Risultati!AW115</f>
        <v>0</v>
      </c>
      <c r="DK116" s="31" t="str">
        <f t="shared" si="130"/>
        <v>0</v>
      </c>
      <c r="DL116" s="10">
        <f t="shared" si="101"/>
        <v>0</v>
      </c>
      <c r="DM116" s="31" t="str">
        <f t="shared" si="131"/>
        <v>0</v>
      </c>
      <c r="DO116" s="30"/>
      <c r="DP116" s="30"/>
    </row>
    <row r="117" spans="1:120" x14ac:dyDescent="0.2">
      <c r="A117" s="5"/>
      <c r="B117" s="6">
        <f>+Risultati!B116</f>
        <v>0</v>
      </c>
      <c r="C117" s="6">
        <f>+Risultati!C116</f>
        <v>0</v>
      </c>
      <c r="D117" s="26" t="str">
        <f>IF(YEAR(Risultati!D116)=1900,(MID(Risultati!$AP$1,29,4)),YEAR(Risultati!D116))</f>
        <v/>
      </c>
      <c r="E117" s="6">
        <f>+Risultati!E116</f>
        <v>0</v>
      </c>
      <c r="F117" s="8" t="e">
        <f>(LEFT(Risultati!AN116,2)&amp;"-")&amp;VLOOKUP((LEFT(Risultati!AN116,2)),ateco!$B$4:$C$93,2,FALSE)</f>
        <v>#N/A</v>
      </c>
      <c r="G117" s="8" t="str">
        <f>SUBSTITUTE((Risultati!AN116&amp;"-"&amp;Risultati!AO116),",",";")</f>
        <v>-</v>
      </c>
      <c r="I117" s="10">
        <f>+Risultati!G116</f>
        <v>0</v>
      </c>
      <c r="J117" s="11" t="str">
        <f t="shared" si="83"/>
        <v>0</v>
      </c>
      <c r="K117" s="12"/>
      <c r="L117" s="10">
        <f>+Risultati!G116+Risultati!H116</f>
        <v>0</v>
      </c>
      <c r="M117" s="11" t="str">
        <f t="shared" si="84"/>
        <v>0</v>
      </c>
      <c r="N117" s="12"/>
      <c r="O117" s="10">
        <f>+Risultati!I116+Risultati!J116</f>
        <v>0</v>
      </c>
      <c r="P117" s="11" t="str">
        <f t="shared" si="85"/>
        <v>0</v>
      </c>
      <c r="Q117" s="12"/>
      <c r="R117" s="13">
        <f t="shared" si="102"/>
        <v>0</v>
      </c>
      <c r="S117" s="11" t="str">
        <f t="shared" si="86"/>
        <v>0</v>
      </c>
      <c r="T117" s="12"/>
      <c r="U117" s="10">
        <f>+Risultati!F116-(Risultati!G116+Risultati!H116)</f>
        <v>0</v>
      </c>
      <c r="V117" s="12" t="str">
        <f t="shared" si="87"/>
        <v>0</v>
      </c>
      <c r="W117" s="12"/>
      <c r="X117" s="10">
        <f t="shared" si="103"/>
        <v>0</v>
      </c>
      <c r="Y117" s="12" t="str">
        <f t="shared" si="88"/>
        <v>0</v>
      </c>
      <c r="Z117" s="12"/>
      <c r="AA117" s="10">
        <f>+Risultati!K116</f>
        <v>0</v>
      </c>
      <c r="AB117" s="12" t="str">
        <f t="shared" si="89"/>
        <v>0</v>
      </c>
      <c r="AC117" s="12"/>
      <c r="AD117" s="10">
        <f>+Risultati!L116</f>
        <v>0</v>
      </c>
      <c r="AE117" s="12" t="str">
        <f t="shared" si="90"/>
        <v>0</v>
      </c>
      <c r="AF117" s="12"/>
      <c r="AG117" s="10">
        <f>+Risultati!M116+Risultati!P116+Risultati!Q116</f>
        <v>0</v>
      </c>
      <c r="AH117" s="12" t="str">
        <f t="shared" si="91"/>
        <v>0</v>
      </c>
      <c r="AI117" s="12"/>
      <c r="AJ117" s="13">
        <f t="shared" si="104"/>
        <v>0</v>
      </c>
      <c r="AK117" s="11" t="str">
        <f t="shared" si="92"/>
        <v>0</v>
      </c>
      <c r="AL117" s="12"/>
      <c r="AM117" s="10">
        <f>+Risultati!N116</f>
        <v>0</v>
      </c>
      <c r="AN117" s="12" t="str">
        <f t="shared" si="93"/>
        <v>0</v>
      </c>
      <c r="AO117" s="12"/>
      <c r="AP117" s="10">
        <f t="shared" si="105"/>
        <v>0</v>
      </c>
      <c r="AQ117" s="41" t="str">
        <f t="shared" si="94"/>
        <v>0</v>
      </c>
      <c r="AR117" s="12"/>
      <c r="AS117" s="10">
        <f>+Risultati!O116</f>
        <v>0</v>
      </c>
      <c r="AT117" s="12" t="str">
        <f t="shared" si="95"/>
        <v>0</v>
      </c>
      <c r="AU117" s="12"/>
      <c r="AV117" s="10">
        <f t="shared" si="106"/>
        <v>0</v>
      </c>
      <c r="AW117" s="12" t="str">
        <f t="shared" si="96"/>
        <v>0</v>
      </c>
      <c r="AX117" s="12"/>
      <c r="AY117" s="10">
        <f>+Risultati!R116+Risultati!S116</f>
        <v>0</v>
      </c>
      <c r="AZ117" s="12" t="str">
        <f t="shared" si="97"/>
        <v>0</v>
      </c>
      <c r="BA117" s="12"/>
      <c r="BB117" s="10">
        <f>+Risultati!T116</f>
        <v>0</v>
      </c>
      <c r="BC117" s="12" t="str">
        <f t="shared" si="98"/>
        <v>0</v>
      </c>
      <c r="BD117" s="12"/>
      <c r="BE117" s="10">
        <f>+Risultati!U116</f>
        <v>0</v>
      </c>
      <c r="BF117" s="12" t="str">
        <f t="shared" si="99"/>
        <v>0</v>
      </c>
      <c r="BG117" s="12"/>
      <c r="BH117" s="10">
        <f t="shared" si="107"/>
        <v>0</v>
      </c>
      <c r="BI117" s="12" t="str">
        <f t="shared" si="100"/>
        <v>0</v>
      </c>
      <c r="BK117" s="16">
        <f>IF(ISNUMBER(Risultati!X116/100),(Risultati!X116/100))</f>
        <v>0</v>
      </c>
      <c r="BL117" s="16">
        <f>IF(ISNUMBER(Risultati!Y116/100),(Risultati!Y116/100))</f>
        <v>0</v>
      </c>
      <c r="BM117" s="16">
        <f>IF(ISNUMBER(Risultati!Z116/100),(Risultati!Z116/100))</f>
        <v>0</v>
      </c>
      <c r="BN117" s="16">
        <f>IF(AND(Risultati!AY116&lt;0,calcoli!AP117&lt;0),-IF(ISNUMBER(Risultati!AA116/100),(Risultati!AA116/100)),IF(ISNUMBER(Risultati!AA116/100),(Risultati!AA116/100)))</f>
        <v>0</v>
      </c>
      <c r="BO117" s="16" t="str">
        <f t="shared" si="81"/>
        <v>0</v>
      </c>
      <c r="BP117" s="16" t="str">
        <f>IF(Risultati!AB116&gt;0,(AV117/Risultati!AB116),"0")</f>
        <v>0</v>
      </c>
      <c r="BQ117" s="16" t="str">
        <f>IF(Risultati!AG116&lt;&gt;0,(BH117/Risultati!AG116),"0")</f>
        <v>0</v>
      </c>
      <c r="BR117" s="16" t="str">
        <f t="shared" si="82"/>
        <v>0</v>
      </c>
      <c r="BS117" s="14" t="str">
        <f>IF(Risultati!AB116&gt;0,(Risultati!G116/Risultati!AB116),"0")</f>
        <v>0</v>
      </c>
      <c r="BT117" s="15" t="str">
        <f>IF(Risultati!AG116&lt;&gt;0,(Risultati!AB116/Risultati!AG116),"0")</f>
        <v>0</v>
      </c>
      <c r="BU117" s="23" t="str">
        <f>IF(AND(Risultati!G116&gt;0,(Risultati!AE116-Risultati!AF116)&gt;=0),((Risultati!AE116-Risultati!AF116)/Risultati!G116*360),"0")</f>
        <v>0</v>
      </c>
      <c r="BV117" s="21" t="str">
        <f>IF(OR(E117="abbreviato",Risultati!G116=0),"0",((Risultati!AC116+Risultati!AD116)/Risultati!G116*360))</f>
        <v>0</v>
      </c>
      <c r="BW117" s="21" t="str">
        <f>IF(OR(E117="abbreviato",Risultati!G116=0,SUM(Risultati!I116+Risultati!K116+Risultati!M116)=0),"0",(((Risultati!AH116+Risultati!AI116)/(Risultati!I116+Risultati!K116+Risultati!N116)*360)))</f>
        <v>0</v>
      </c>
      <c r="BX117" s="16" t="str">
        <f>IF(Risultati!AB116&gt;0,(+Risultati!AG116/Risultati!AB116),"0")</f>
        <v>0</v>
      </c>
      <c r="BY117" s="22" t="str">
        <f>IF(OR(E117="abbreviato",Risultati!G116=0),"0",(((Risultati!AK116-(Risultati!AL116+Risultati!AM116))/Risultati!G116)))</f>
        <v>0</v>
      </c>
      <c r="BZ117" s="16" t="str">
        <f>IF(Risultati!G116&gt;0,(Risultati!AJ116/Risultati!G116),"0")</f>
        <v>0</v>
      </c>
      <c r="CA117" s="8"/>
      <c r="CB117" s="10">
        <f>+Risultati!AP116</f>
        <v>0</v>
      </c>
      <c r="CC117" s="31" t="str">
        <f t="shared" si="108"/>
        <v>0</v>
      </c>
      <c r="CD117" s="10">
        <f>+Risultati!AQ116</f>
        <v>0</v>
      </c>
      <c r="CE117" s="31" t="str">
        <f t="shared" si="109"/>
        <v>0</v>
      </c>
      <c r="CF117" s="10">
        <f>+Risultati!AR116</f>
        <v>0</v>
      </c>
      <c r="CG117" s="31" t="str">
        <f t="shared" si="110"/>
        <v>0</v>
      </c>
      <c r="CH117" s="10">
        <f>+Risultati!AS116</f>
        <v>0</v>
      </c>
      <c r="CI117" s="31" t="str">
        <f t="shared" si="111"/>
        <v>0</v>
      </c>
      <c r="CJ117" s="10">
        <f t="shared" si="112"/>
        <v>0</v>
      </c>
      <c r="CK117" s="31" t="str">
        <f t="shared" si="113"/>
        <v>0</v>
      </c>
      <c r="CL117" s="10">
        <f>+Risultati!AE116+Risultati!AF116</f>
        <v>0</v>
      </c>
      <c r="CM117" s="31" t="str">
        <f t="shared" si="114"/>
        <v>0</v>
      </c>
      <c r="CN117" s="10">
        <f>+Risultati!AT116</f>
        <v>0</v>
      </c>
      <c r="CO117" s="31" t="str">
        <f t="shared" si="115"/>
        <v>0</v>
      </c>
      <c r="CP117" s="10">
        <f>+Risultati!AU116</f>
        <v>0</v>
      </c>
      <c r="CQ117" s="31" t="str">
        <f t="shared" si="116"/>
        <v>0</v>
      </c>
      <c r="CR117" s="10">
        <f>+Risultati!AL116</f>
        <v>0</v>
      </c>
      <c r="CS117" s="31" t="str">
        <f t="shared" si="117"/>
        <v>0</v>
      </c>
      <c r="CT117" s="10">
        <f t="shared" si="118"/>
        <v>0</v>
      </c>
      <c r="CU117" s="31" t="str">
        <f t="shared" si="119"/>
        <v>0</v>
      </c>
      <c r="CV117" s="10">
        <f>+Risultati!AX116</f>
        <v>0</v>
      </c>
      <c r="CW117" s="31" t="str">
        <f t="shared" si="120"/>
        <v>0</v>
      </c>
      <c r="CX117" s="10">
        <f t="shared" si="121"/>
        <v>0</v>
      </c>
      <c r="CY117" s="31" t="str">
        <f t="shared" si="122"/>
        <v>0</v>
      </c>
      <c r="CZ117" s="10">
        <f>+Risultati!AG116</f>
        <v>0</v>
      </c>
      <c r="DA117" s="31" t="str">
        <f t="shared" si="123"/>
        <v>0</v>
      </c>
      <c r="DB117" s="10">
        <f t="shared" si="124"/>
        <v>0</v>
      </c>
      <c r="DC117" s="31" t="str">
        <f t="shared" si="125"/>
        <v>0</v>
      </c>
      <c r="DD117" s="10">
        <f>+Risultati!AV116</f>
        <v>0</v>
      </c>
      <c r="DE117" s="31" t="str">
        <f t="shared" si="126"/>
        <v>0</v>
      </c>
      <c r="DF117" s="10">
        <f>+Risultati!AJ116</f>
        <v>0</v>
      </c>
      <c r="DG117" s="31" t="str">
        <f t="shared" si="127"/>
        <v>0</v>
      </c>
      <c r="DH117" s="10">
        <f t="shared" si="128"/>
        <v>0</v>
      </c>
      <c r="DI117" s="31" t="str">
        <f t="shared" si="129"/>
        <v>0</v>
      </c>
      <c r="DJ117" s="10">
        <f>+Risultati!AW116</f>
        <v>0</v>
      </c>
      <c r="DK117" s="31" t="str">
        <f t="shared" si="130"/>
        <v>0</v>
      </c>
      <c r="DL117" s="10">
        <f t="shared" si="101"/>
        <v>0</v>
      </c>
      <c r="DM117" s="31" t="str">
        <f t="shared" si="131"/>
        <v>0</v>
      </c>
      <c r="DO117" s="30"/>
      <c r="DP117" s="30"/>
    </row>
    <row r="118" spans="1:120" x14ac:dyDescent="0.2">
      <c r="A118" s="5"/>
      <c r="B118" s="6">
        <f>+Risultati!B117</f>
        <v>0</v>
      </c>
      <c r="C118" s="6">
        <f>+Risultati!C117</f>
        <v>0</v>
      </c>
      <c r="D118" s="26" t="str">
        <f>IF(YEAR(Risultati!D117)=1900,(MID(Risultati!$AP$1,29,4)),YEAR(Risultati!D117))</f>
        <v/>
      </c>
      <c r="E118" s="6">
        <f>+Risultati!E117</f>
        <v>0</v>
      </c>
      <c r="F118" s="8" t="e">
        <f>(LEFT(Risultati!AN117,2)&amp;"-")&amp;VLOOKUP((LEFT(Risultati!AN117,2)),ateco!$B$4:$C$93,2,FALSE)</f>
        <v>#N/A</v>
      </c>
      <c r="G118" s="8" t="str">
        <f>SUBSTITUTE((Risultati!AN117&amp;"-"&amp;Risultati!AO117),",",";")</f>
        <v>-</v>
      </c>
      <c r="I118" s="10">
        <f>+Risultati!G117</f>
        <v>0</v>
      </c>
      <c r="J118" s="11" t="str">
        <f t="shared" si="83"/>
        <v>0</v>
      </c>
      <c r="K118" s="12"/>
      <c r="L118" s="10">
        <f>+Risultati!G117+Risultati!H117</f>
        <v>0</v>
      </c>
      <c r="M118" s="11" t="str">
        <f t="shared" si="84"/>
        <v>0</v>
      </c>
      <c r="N118" s="12"/>
      <c r="O118" s="10">
        <f>+Risultati!I117+Risultati!J117</f>
        <v>0</v>
      </c>
      <c r="P118" s="11" t="str">
        <f t="shared" si="85"/>
        <v>0</v>
      </c>
      <c r="Q118" s="12"/>
      <c r="R118" s="13">
        <f t="shared" si="102"/>
        <v>0</v>
      </c>
      <c r="S118" s="11" t="str">
        <f t="shared" si="86"/>
        <v>0</v>
      </c>
      <c r="T118" s="12"/>
      <c r="U118" s="10">
        <f>+Risultati!F117-(Risultati!G117+Risultati!H117)</f>
        <v>0</v>
      </c>
      <c r="V118" s="12" t="str">
        <f t="shared" si="87"/>
        <v>0</v>
      </c>
      <c r="W118" s="12"/>
      <c r="X118" s="10">
        <f t="shared" si="103"/>
        <v>0</v>
      </c>
      <c r="Y118" s="12" t="str">
        <f t="shared" si="88"/>
        <v>0</v>
      </c>
      <c r="Z118" s="12"/>
      <c r="AA118" s="10">
        <f>+Risultati!K117</f>
        <v>0</v>
      </c>
      <c r="AB118" s="12" t="str">
        <f t="shared" si="89"/>
        <v>0</v>
      </c>
      <c r="AC118" s="12"/>
      <c r="AD118" s="10">
        <f>+Risultati!L117</f>
        <v>0</v>
      </c>
      <c r="AE118" s="12" t="str">
        <f t="shared" si="90"/>
        <v>0</v>
      </c>
      <c r="AF118" s="12"/>
      <c r="AG118" s="10">
        <f>+Risultati!M117+Risultati!P117+Risultati!Q117</f>
        <v>0</v>
      </c>
      <c r="AH118" s="12" t="str">
        <f t="shared" si="91"/>
        <v>0</v>
      </c>
      <c r="AI118" s="12"/>
      <c r="AJ118" s="13">
        <f t="shared" si="104"/>
        <v>0</v>
      </c>
      <c r="AK118" s="11" t="str">
        <f t="shared" si="92"/>
        <v>0</v>
      </c>
      <c r="AL118" s="12"/>
      <c r="AM118" s="10">
        <f>+Risultati!N117</f>
        <v>0</v>
      </c>
      <c r="AN118" s="12" t="str">
        <f t="shared" si="93"/>
        <v>0</v>
      </c>
      <c r="AO118" s="12"/>
      <c r="AP118" s="10">
        <f t="shared" si="105"/>
        <v>0</v>
      </c>
      <c r="AQ118" s="41" t="str">
        <f t="shared" si="94"/>
        <v>0</v>
      </c>
      <c r="AR118" s="12"/>
      <c r="AS118" s="10">
        <f>+Risultati!O117</f>
        <v>0</v>
      </c>
      <c r="AT118" s="12" t="str">
        <f t="shared" si="95"/>
        <v>0</v>
      </c>
      <c r="AU118" s="12"/>
      <c r="AV118" s="10">
        <f t="shared" si="106"/>
        <v>0</v>
      </c>
      <c r="AW118" s="12" t="str">
        <f t="shared" si="96"/>
        <v>0</v>
      </c>
      <c r="AX118" s="12"/>
      <c r="AY118" s="10">
        <f>+Risultati!R117+Risultati!S117</f>
        <v>0</v>
      </c>
      <c r="AZ118" s="12" t="str">
        <f t="shared" si="97"/>
        <v>0</v>
      </c>
      <c r="BA118" s="12"/>
      <c r="BB118" s="10">
        <f>+Risultati!T117</f>
        <v>0</v>
      </c>
      <c r="BC118" s="12" t="str">
        <f t="shared" si="98"/>
        <v>0</v>
      </c>
      <c r="BD118" s="12"/>
      <c r="BE118" s="10">
        <f>+Risultati!U117</f>
        <v>0</v>
      </c>
      <c r="BF118" s="12" t="str">
        <f t="shared" si="99"/>
        <v>0</v>
      </c>
      <c r="BG118" s="12"/>
      <c r="BH118" s="10">
        <f t="shared" si="107"/>
        <v>0</v>
      </c>
      <c r="BI118" s="12" t="str">
        <f t="shared" si="100"/>
        <v>0</v>
      </c>
      <c r="BK118" s="16">
        <f>IF(ISNUMBER(Risultati!X117/100),(Risultati!X117/100))</f>
        <v>0</v>
      </c>
      <c r="BL118" s="16">
        <f>IF(ISNUMBER(Risultati!Y117/100),(Risultati!Y117/100))</f>
        <v>0</v>
      </c>
      <c r="BM118" s="16">
        <f>IF(ISNUMBER(Risultati!Z117/100),(Risultati!Z117/100))</f>
        <v>0</v>
      </c>
      <c r="BN118" s="16">
        <f>IF(AND(Risultati!AY117&lt;0,calcoli!AP118&lt;0),-IF(ISNUMBER(Risultati!AA117/100),(Risultati!AA117/100)),IF(ISNUMBER(Risultati!AA117/100),(Risultati!AA117/100)))</f>
        <v>0</v>
      </c>
      <c r="BO118" s="16" t="str">
        <f t="shared" si="81"/>
        <v>0</v>
      </c>
      <c r="BP118" s="16" t="str">
        <f>IF(Risultati!AB117&gt;0,(AV118/Risultati!AB117),"0")</f>
        <v>0</v>
      </c>
      <c r="BQ118" s="16" t="str">
        <f>IF(Risultati!AG117&lt;&gt;0,(BH118/Risultati!AG117),"0")</f>
        <v>0</v>
      </c>
      <c r="BR118" s="16" t="str">
        <f t="shared" si="82"/>
        <v>0</v>
      </c>
      <c r="BS118" s="14" t="str">
        <f>IF(Risultati!AB117&gt;0,(Risultati!G117/Risultati!AB117),"0")</f>
        <v>0</v>
      </c>
      <c r="BT118" s="15" t="str">
        <f>IF(Risultati!AG117&lt;&gt;0,(Risultati!AB117/Risultati!AG117),"0")</f>
        <v>0</v>
      </c>
      <c r="BU118" s="23" t="str">
        <f>IF(AND(Risultati!G117&gt;0,(Risultati!AE117-Risultati!AF117)&gt;=0),((Risultati!AE117-Risultati!AF117)/Risultati!G117*360),"0")</f>
        <v>0</v>
      </c>
      <c r="BV118" s="21" t="str">
        <f>IF(OR(E118="abbreviato",Risultati!G117=0),"0",((Risultati!AC117+Risultati!AD117)/Risultati!G117*360))</f>
        <v>0</v>
      </c>
      <c r="BW118" s="21" t="str">
        <f>IF(OR(E118="abbreviato",Risultati!G117=0,SUM(Risultati!I117+Risultati!K117+Risultati!M117)=0),"0",(((Risultati!AH117+Risultati!AI117)/(Risultati!I117+Risultati!K117+Risultati!N117)*360)))</f>
        <v>0</v>
      </c>
      <c r="BX118" s="16" t="str">
        <f>IF(Risultati!AB117&gt;0,(+Risultati!AG117/Risultati!AB117),"0")</f>
        <v>0</v>
      </c>
      <c r="BY118" s="22" t="str">
        <f>IF(OR(E118="abbreviato",Risultati!G117=0),"0",(((Risultati!AK117-(Risultati!AL117+Risultati!AM117))/Risultati!G117)))</f>
        <v>0</v>
      </c>
      <c r="BZ118" s="16" t="str">
        <f>IF(Risultati!G117&gt;0,(Risultati!AJ117/Risultati!G117),"0")</f>
        <v>0</v>
      </c>
      <c r="CA118" s="8"/>
      <c r="CB118" s="10">
        <f>+Risultati!AP117</f>
        <v>0</v>
      </c>
      <c r="CC118" s="31" t="str">
        <f t="shared" si="108"/>
        <v>0</v>
      </c>
      <c r="CD118" s="10">
        <f>+Risultati!AQ117</f>
        <v>0</v>
      </c>
      <c r="CE118" s="31" t="str">
        <f t="shared" si="109"/>
        <v>0</v>
      </c>
      <c r="CF118" s="10">
        <f>+Risultati!AR117</f>
        <v>0</v>
      </c>
      <c r="CG118" s="31" t="str">
        <f t="shared" si="110"/>
        <v>0</v>
      </c>
      <c r="CH118" s="10">
        <f>+Risultati!AS117</f>
        <v>0</v>
      </c>
      <c r="CI118" s="31" t="str">
        <f t="shared" si="111"/>
        <v>0</v>
      </c>
      <c r="CJ118" s="10">
        <f t="shared" si="112"/>
        <v>0</v>
      </c>
      <c r="CK118" s="31" t="str">
        <f t="shared" si="113"/>
        <v>0</v>
      </c>
      <c r="CL118" s="10">
        <f>+Risultati!AE117+Risultati!AF117</f>
        <v>0</v>
      </c>
      <c r="CM118" s="31" t="str">
        <f t="shared" si="114"/>
        <v>0</v>
      </c>
      <c r="CN118" s="10">
        <f>+Risultati!AT117</f>
        <v>0</v>
      </c>
      <c r="CO118" s="31" t="str">
        <f t="shared" si="115"/>
        <v>0</v>
      </c>
      <c r="CP118" s="10">
        <f>+Risultati!AU117</f>
        <v>0</v>
      </c>
      <c r="CQ118" s="31" t="str">
        <f t="shared" si="116"/>
        <v>0</v>
      </c>
      <c r="CR118" s="10">
        <f>+Risultati!AL117</f>
        <v>0</v>
      </c>
      <c r="CS118" s="31" t="str">
        <f t="shared" si="117"/>
        <v>0</v>
      </c>
      <c r="CT118" s="10">
        <f t="shared" si="118"/>
        <v>0</v>
      </c>
      <c r="CU118" s="31" t="str">
        <f t="shared" si="119"/>
        <v>0</v>
      </c>
      <c r="CV118" s="10">
        <f>+Risultati!AX117</f>
        <v>0</v>
      </c>
      <c r="CW118" s="31" t="str">
        <f t="shared" si="120"/>
        <v>0</v>
      </c>
      <c r="CX118" s="10">
        <f t="shared" si="121"/>
        <v>0</v>
      </c>
      <c r="CY118" s="31" t="str">
        <f t="shared" si="122"/>
        <v>0</v>
      </c>
      <c r="CZ118" s="10">
        <f>+Risultati!AG117</f>
        <v>0</v>
      </c>
      <c r="DA118" s="31" t="str">
        <f t="shared" si="123"/>
        <v>0</v>
      </c>
      <c r="DB118" s="10">
        <f t="shared" si="124"/>
        <v>0</v>
      </c>
      <c r="DC118" s="31" t="str">
        <f t="shared" si="125"/>
        <v>0</v>
      </c>
      <c r="DD118" s="10">
        <f>+Risultati!AV117</f>
        <v>0</v>
      </c>
      <c r="DE118" s="31" t="str">
        <f t="shared" si="126"/>
        <v>0</v>
      </c>
      <c r="DF118" s="10">
        <f>+Risultati!AJ117</f>
        <v>0</v>
      </c>
      <c r="DG118" s="31" t="str">
        <f t="shared" si="127"/>
        <v>0</v>
      </c>
      <c r="DH118" s="10">
        <f t="shared" si="128"/>
        <v>0</v>
      </c>
      <c r="DI118" s="31" t="str">
        <f t="shared" si="129"/>
        <v>0</v>
      </c>
      <c r="DJ118" s="10">
        <f>+Risultati!AW117</f>
        <v>0</v>
      </c>
      <c r="DK118" s="31" t="str">
        <f t="shared" si="130"/>
        <v>0</v>
      </c>
      <c r="DL118" s="10">
        <f t="shared" si="101"/>
        <v>0</v>
      </c>
      <c r="DM118" s="31" t="str">
        <f t="shared" si="131"/>
        <v>0</v>
      </c>
      <c r="DO118" s="30"/>
      <c r="DP118" s="30"/>
    </row>
    <row r="119" spans="1:120" x14ac:dyDescent="0.2">
      <c r="A119" s="5"/>
      <c r="B119" s="6">
        <f>+Risultati!B118</f>
        <v>0</v>
      </c>
      <c r="C119" s="6">
        <f>+Risultati!C118</f>
        <v>0</v>
      </c>
      <c r="D119" s="26" t="str">
        <f>IF(YEAR(Risultati!D118)=1900,(MID(Risultati!$AP$1,29,4)),YEAR(Risultati!D118))</f>
        <v/>
      </c>
      <c r="E119" s="6">
        <f>+Risultati!E118</f>
        <v>0</v>
      </c>
      <c r="F119" s="8" t="e">
        <f>(LEFT(Risultati!AN118,2)&amp;"-")&amp;VLOOKUP((LEFT(Risultati!AN118,2)),ateco!$B$4:$C$93,2,FALSE)</f>
        <v>#N/A</v>
      </c>
      <c r="G119" s="8" t="str">
        <f>SUBSTITUTE((Risultati!AN118&amp;"-"&amp;Risultati!AO118),",",";")</f>
        <v>-</v>
      </c>
      <c r="I119" s="10">
        <f>+Risultati!G118</f>
        <v>0</v>
      </c>
      <c r="J119" s="11" t="str">
        <f t="shared" si="83"/>
        <v>0</v>
      </c>
      <c r="K119" s="12"/>
      <c r="L119" s="10">
        <f>+Risultati!G118+Risultati!H118</f>
        <v>0</v>
      </c>
      <c r="M119" s="11" t="str">
        <f t="shared" si="84"/>
        <v>0</v>
      </c>
      <c r="N119" s="12"/>
      <c r="O119" s="10">
        <f>+Risultati!I118+Risultati!J118</f>
        <v>0</v>
      </c>
      <c r="P119" s="11" t="str">
        <f t="shared" si="85"/>
        <v>0</v>
      </c>
      <c r="Q119" s="12"/>
      <c r="R119" s="13">
        <f t="shared" si="102"/>
        <v>0</v>
      </c>
      <c r="S119" s="11" t="str">
        <f t="shared" si="86"/>
        <v>0</v>
      </c>
      <c r="T119" s="12"/>
      <c r="U119" s="10">
        <f>+Risultati!F118-(Risultati!G118+Risultati!H118)</f>
        <v>0</v>
      </c>
      <c r="V119" s="12" t="str">
        <f t="shared" si="87"/>
        <v>0</v>
      </c>
      <c r="W119" s="12"/>
      <c r="X119" s="10">
        <f t="shared" si="103"/>
        <v>0</v>
      </c>
      <c r="Y119" s="12" t="str">
        <f t="shared" si="88"/>
        <v>0</v>
      </c>
      <c r="Z119" s="12"/>
      <c r="AA119" s="10">
        <f>+Risultati!K118</f>
        <v>0</v>
      </c>
      <c r="AB119" s="12" t="str">
        <f t="shared" si="89"/>
        <v>0</v>
      </c>
      <c r="AC119" s="12"/>
      <c r="AD119" s="10">
        <f>+Risultati!L118</f>
        <v>0</v>
      </c>
      <c r="AE119" s="12" t="str">
        <f t="shared" si="90"/>
        <v>0</v>
      </c>
      <c r="AF119" s="12"/>
      <c r="AG119" s="10">
        <f>+Risultati!M118+Risultati!P118+Risultati!Q118</f>
        <v>0</v>
      </c>
      <c r="AH119" s="12" t="str">
        <f t="shared" si="91"/>
        <v>0</v>
      </c>
      <c r="AI119" s="12"/>
      <c r="AJ119" s="13">
        <f t="shared" si="104"/>
        <v>0</v>
      </c>
      <c r="AK119" s="11" t="str">
        <f t="shared" si="92"/>
        <v>0</v>
      </c>
      <c r="AL119" s="12"/>
      <c r="AM119" s="10">
        <f>+Risultati!N118</f>
        <v>0</v>
      </c>
      <c r="AN119" s="12" t="str">
        <f t="shared" si="93"/>
        <v>0</v>
      </c>
      <c r="AO119" s="12"/>
      <c r="AP119" s="10">
        <f t="shared" si="105"/>
        <v>0</v>
      </c>
      <c r="AQ119" s="41" t="str">
        <f t="shared" si="94"/>
        <v>0</v>
      </c>
      <c r="AR119" s="12"/>
      <c r="AS119" s="10">
        <f>+Risultati!O118</f>
        <v>0</v>
      </c>
      <c r="AT119" s="12" t="str">
        <f t="shared" si="95"/>
        <v>0</v>
      </c>
      <c r="AU119" s="12"/>
      <c r="AV119" s="10">
        <f t="shared" si="106"/>
        <v>0</v>
      </c>
      <c r="AW119" s="12" t="str">
        <f t="shared" si="96"/>
        <v>0</v>
      </c>
      <c r="AX119" s="12"/>
      <c r="AY119" s="10">
        <f>+Risultati!R118+Risultati!S118</f>
        <v>0</v>
      </c>
      <c r="AZ119" s="12" t="str">
        <f t="shared" si="97"/>
        <v>0</v>
      </c>
      <c r="BA119" s="12"/>
      <c r="BB119" s="10">
        <f>+Risultati!T118</f>
        <v>0</v>
      </c>
      <c r="BC119" s="12" t="str">
        <f t="shared" si="98"/>
        <v>0</v>
      </c>
      <c r="BD119" s="12"/>
      <c r="BE119" s="10">
        <f>+Risultati!U118</f>
        <v>0</v>
      </c>
      <c r="BF119" s="12" t="str">
        <f t="shared" si="99"/>
        <v>0</v>
      </c>
      <c r="BG119" s="12"/>
      <c r="BH119" s="10">
        <f t="shared" si="107"/>
        <v>0</v>
      </c>
      <c r="BI119" s="12" t="str">
        <f t="shared" si="100"/>
        <v>0</v>
      </c>
      <c r="BK119" s="16">
        <f>IF(ISNUMBER(Risultati!X118/100),(Risultati!X118/100))</f>
        <v>0</v>
      </c>
      <c r="BL119" s="16">
        <f>IF(ISNUMBER(Risultati!Y118/100),(Risultati!Y118/100))</f>
        <v>0</v>
      </c>
      <c r="BM119" s="16">
        <f>IF(ISNUMBER(Risultati!Z118/100),(Risultati!Z118/100))</f>
        <v>0</v>
      </c>
      <c r="BN119" s="16">
        <f>IF(AND(Risultati!AY118&lt;0,calcoli!AP119&lt;0),-IF(ISNUMBER(Risultati!AA118/100),(Risultati!AA118/100)),IF(ISNUMBER(Risultati!AA118/100),(Risultati!AA118/100)))</f>
        <v>0</v>
      </c>
      <c r="BO119" s="16" t="str">
        <f t="shared" si="81"/>
        <v>0</v>
      </c>
      <c r="BP119" s="16" t="str">
        <f>IF(Risultati!AB118&gt;0,(AV119/Risultati!AB118),"0")</f>
        <v>0</v>
      </c>
      <c r="BQ119" s="16" t="str">
        <f>IF(Risultati!AG118&lt;&gt;0,(BH119/Risultati!AG118),"0")</f>
        <v>0</v>
      </c>
      <c r="BR119" s="16" t="str">
        <f t="shared" si="82"/>
        <v>0</v>
      </c>
      <c r="BS119" s="14" t="str">
        <f>IF(Risultati!AB118&gt;0,(Risultati!G118/Risultati!AB118),"0")</f>
        <v>0</v>
      </c>
      <c r="BT119" s="15" t="str">
        <f>IF(Risultati!AG118&lt;&gt;0,(Risultati!AB118/Risultati!AG118),"0")</f>
        <v>0</v>
      </c>
      <c r="BU119" s="23" t="str">
        <f>IF(AND(Risultati!G118&gt;0,(Risultati!AE118-Risultati!AF118)&gt;=0),((Risultati!AE118-Risultati!AF118)/Risultati!G118*360),"0")</f>
        <v>0</v>
      </c>
      <c r="BV119" s="21" t="str">
        <f>IF(OR(E119="abbreviato",Risultati!G118=0),"0",((Risultati!AC118+Risultati!AD118)/Risultati!G118*360))</f>
        <v>0</v>
      </c>
      <c r="BW119" s="21" t="str">
        <f>IF(OR(E119="abbreviato",Risultati!G118=0,SUM(Risultati!I118+Risultati!K118+Risultati!M118)=0),"0",(((Risultati!AH118+Risultati!AI118)/(Risultati!I118+Risultati!K118+Risultati!N118)*360)))</f>
        <v>0</v>
      </c>
      <c r="BX119" s="16" t="str">
        <f>IF(Risultati!AB118&gt;0,(+Risultati!AG118/Risultati!AB118),"0")</f>
        <v>0</v>
      </c>
      <c r="BY119" s="22" t="str">
        <f>IF(OR(E119="abbreviato",Risultati!G118=0),"0",(((Risultati!AK118-(Risultati!AL118+Risultati!AM118))/Risultati!G118)))</f>
        <v>0</v>
      </c>
      <c r="BZ119" s="16" t="str">
        <f>IF(Risultati!G118&gt;0,(Risultati!AJ118/Risultati!G118),"0")</f>
        <v>0</v>
      </c>
      <c r="CA119" s="8"/>
      <c r="CB119" s="10">
        <f>+Risultati!AP118</f>
        <v>0</v>
      </c>
      <c r="CC119" s="31" t="str">
        <f t="shared" si="108"/>
        <v>0</v>
      </c>
      <c r="CD119" s="10">
        <f>+Risultati!AQ118</f>
        <v>0</v>
      </c>
      <c r="CE119" s="31" t="str">
        <f t="shared" si="109"/>
        <v>0</v>
      </c>
      <c r="CF119" s="10">
        <f>+Risultati!AR118</f>
        <v>0</v>
      </c>
      <c r="CG119" s="31" t="str">
        <f t="shared" si="110"/>
        <v>0</v>
      </c>
      <c r="CH119" s="10">
        <f>+Risultati!AS118</f>
        <v>0</v>
      </c>
      <c r="CI119" s="31" t="str">
        <f t="shared" si="111"/>
        <v>0</v>
      </c>
      <c r="CJ119" s="10">
        <f t="shared" si="112"/>
        <v>0</v>
      </c>
      <c r="CK119" s="31" t="str">
        <f t="shared" si="113"/>
        <v>0</v>
      </c>
      <c r="CL119" s="10">
        <f>+Risultati!AE118+Risultati!AF118</f>
        <v>0</v>
      </c>
      <c r="CM119" s="31" t="str">
        <f t="shared" si="114"/>
        <v>0</v>
      </c>
      <c r="CN119" s="10">
        <f>+Risultati!AT118</f>
        <v>0</v>
      </c>
      <c r="CO119" s="31" t="str">
        <f t="shared" si="115"/>
        <v>0</v>
      </c>
      <c r="CP119" s="10">
        <f>+Risultati!AU118</f>
        <v>0</v>
      </c>
      <c r="CQ119" s="31" t="str">
        <f t="shared" si="116"/>
        <v>0</v>
      </c>
      <c r="CR119" s="10">
        <f>+Risultati!AL118</f>
        <v>0</v>
      </c>
      <c r="CS119" s="31" t="str">
        <f t="shared" si="117"/>
        <v>0</v>
      </c>
      <c r="CT119" s="10">
        <f t="shared" si="118"/>
        <v>0</v>
      </c>
      <c r="CU119" s="31" t="str">
        <f t="shared" si="119"/>
        <v>0</v>
      </c>
      <c r="CV119" s="10">
        <f>+Risultati!AX118</f>
        <v>0</v>
      </c>
      <c r="CW119" s="31" t="str">
        <f t="shared" si="120"/>
        <v>0</v>
      </c>
      <c r="CX119" s="10">
        <f t="shared" si="121"/>
        <v>0</v>
      </c>
      <c r="CY119" s="31" t="str">
        <f t="shared" si="122"/>
        <v>0</v>
      </c>
      <c r="CZ119" s="10">
        <f>+Risultati!AG118</f>
        <v>0</v>
      </c>
      <c r="DA119" s="31" t="str">
        <f t="shared" si="123"/>
        <v>0</v>
      </c>
      <c r="DB119" s="10">
        <f t="shared" si="124"/>
        <v>0</v>
      </c>
      <c r="DC119" s="31" t="str">
        <f t="shared" si="125"/>
        <v>0</v>
      </c>
      <c r="DD119" s="10">
        <f>+Risultati!AV118</f>
        <v>0</v>
      </c>
      <c r="DE119" s="31" t="str">
        <f t="shared" si="126"/>
        <v>0</v>
      </c>
      <c r="DF119" s="10">
        <f>+Risultati!AJ118</f>
        <v>0</v>
      </c>
      <c r="DG119" s="31" t="str">
        <f t="shared" si="127"/>
        <v>0</v>
      </c>
      <c r="DH119" s="10">
        <f t="shared" si="128"/>
        <v>0</v>
      </c>
      <c r="DI119" s="31" t="str">
        <f t="shared" si="129"/>
        <v>0</v>
      </c>
      <c r="DJ119" s="10">
        <f>+Risultati!AW118</f>
        <v>0</v>
      </c>
      <c r="DK119" s="31" t="str">
        <f t="shared" si="130"/>
        <v>0</v>
      </c>
      <c r="DL119" s="10">
        <f t="shared" si="101"/>
        <v>0</v>
      </c>
      <c r="DM119" s="31" t="str">
        <f t="shared" si="131"/>
        <v>0</v>
      </c>
      <c r="DO119" s="30"/>
      <c r="DP119" s="30"/>
    </row>
    <row r="120" spans="1:120" x14ac:dyDescent="0.2">
      <c r="A120" s="5"/>
      <c r="B120" s="6">
        <f>+Risultati!B119</f>
        <v>0</v>
      </c>
      <c r="C120" s="6">
        <f>+Risultati!C119</f>
        <v>0</v>
      </c>
      <c r="D120" s="26" t="str">
        <f>IF(YEAR(Risultati!D119)=1900,(MID(Risultati!$AP$1,29,4)),YEAR(Risultati!D119))</f>
        <v/>
      </c>
      <c r="E120" s="6">
        <f>+Risultati!E119</f>
        <v>0</v>
      </c>
      <c r="F120" s="8" t="e">
        <f>(LEFT(Risultati!AN119,2)&amp;"-")&amp;VLOOKUP((LEFT(Risultati!AN119,2)),ateco!$B$4:$C$93,2,FALSE)</f>
        <v>#N/A</v>
      </c>
      <c r="G120" s="8" t="str">
        <f>SUBSTITUTE((Risultati!AN119&amp;"-"&amp;Risultati!AO119),",",";")</f>
        <v>-</v>
      </c>
      <c r="I120" s="10">
        <f>+Risultati!G119</f>
        <v>0</v>
      </c>
      <c r="J120" s="11" t="str">
        <f t="shared" si="83"/>
        <v>0</v>
      </c>
      <c r="K120" s="12"/>
      <c r="L120" s="10">
        <f>+Risultati!G119+Risultati!H119</f>
        <v>0</v>
      </c>
      <c r="M120" s="11" t="str">
        <f t="shared" si="84"/>
        <v>0</v>
      </c>
      <c r="N120" s="12"/>
      <c r="O120" s="10">
        <f>+Risultati!I119+Risultati!J119</f>
        <v>0</v>
      </c>
      <c r="P120" s="11" t="str">
        <f t="shared" si="85"/>
        <v>0</v>
      </c>
      <c r="Q120" s="12"/>
      <c r="R120" s="13">
        <f t="shared" si="102"/>
        <v>0</v>
      </c>
      <c r="S120" s="11" t="str">
        <f t="shared" si="86"/>
        <v>0</v>
      </c>
      <c r="T120" s="12"/>
      <c r="U120" s="10">
        <f>+Risultati!F119-(Risultati!G119+Risultati!H119)</f>
        <v>0</v>
      </c>
      <c r="V120" s="12" t="str">
        <f t="shared" si="87"/>
        <v>0</v>
      </c>
      <c r="W120" s="12"/>
      <c r="X120" s="10">
        <f t="shared" si="103"/>
        <v>0</v>
      </c>
      <c r="Y120" s="12" t="str">
        <f t="shared" si="88"/>
        <v>0</v>
      </c>
      <c r="Z120" s="12"/>
      <c r="AA120" s="10">
        <f>+Risultati!K119</f>
        <v>0</v>
      </c>
      <c r="AB120" s="12" t="str">
        <f t="shared" si="89"/>
        <v>0</v>
      </c>
      <c r="AC120" s="12"/>
      <c r="AD120" s="10">
        <f>+Risultati!L119</f>
        <v>0</v>
      </c>
      <c r="AE120" s="12" t="str">
        <f t="shared" si="90"/>
        <v>0</v>
      </c>
      <c r="AF120" s="12"/>
      <c r="AG120" s="10">
        <f>+Risultati!M119+Risultati!P119+Risultati!Q119</f>
        <v>0</v>
      </c>
      <c r="AH120" s="12" t="str">
        <f t="shared" si="91"/>
        <v>0</v>
      </c>
      <c r="AI120" s="12"/>
      <c r="AJ120" s="13">
        <f t="shared" si="104"/>
        <v>0</v>
      </c>
      <c r="AK120" s="11" t="str">
        <f t="shared" si="92"/>
        <v>0</v>
      </c>
      <c r="AL120" s="12"/>
      <c r="AM120" s="10">
        <f>+Risultati!N119</f>
        <v>0</v>
      </c>
      <c r="AN120" s="12" t="str">
        <f t="shared" si="93"/>
        <v>0</v>
      </c>
      <c r="AO120" s="12"/>
      <c r="AP120" s="10">
        <f t="shared" si="105"/>
        <v>0</v>
      </c>
      <c r="AQ120" s="41" t="str">
        <f t="shared" si="94"/>
        <v>0</v>
      </c>
      <c r="AR120" s="12"/>
      <c r="AS120" s="10">
        <f>+Risultati!O119</f>
        <v>0</v>
      </c>
      <c r="AT120" s="12" t="str">
        <f t="shared" si="95"/>
        <v>0</v>
      </c>
      <c r="AU120" s="12"/>
      <c r="AV120" s="10">
        <f t="shared" si="106"/>
        <v>0</v>
      </c>
      <c r="AW120" s="12" t="str">
        <f t="shared" si="96"/>
        <v>0</v>
      </c>
      <c r="AX120" s="12"/>
      <c r="AY120" s="10">
        <f>+Risultati!R119+Risultati!S119</f>
        <v>0</v>
      </c>
      <c r="AZ120" s="12" t="str">
        <f t="shared" si="97"/>
        <v>0</v>
      </c>
      <c r="BA120" s="12"/>
      <c r="BB120" s="10">
        <f>+Risultati!T119</f>
        <v>0</v>
      </c>
      <c r="BC120" s="12" t="str">
        <f t="shared" si="98"/>
        <v>0</v>
      </c>
      <c r="BD120" s="12"/>
      <c r="BE120" s="10">
        <f>+Risultati!U119</f>
        <v>0</v>
      </c>
      <c r="BF120" s="12" t="str">
        <f t="shared" si="99"/>
        <v>0</v>
      </c>
      <c r="BG120" s="12"/>
      <c r="BH120" s="10">
        <f t="shared" si="107"/>
        <v>0</v>
      </c>
      <c r="BI120" s="12" t="str">
        <f t="shared" si="100"/>
        <v>0</v>
      </c>
      <c r="BK120" s="16">
        <f>IF(ISNUMBER(Risultati!X119/100),(Risultati!X119/100))</f>
        <v>0</v>
      </c>
      <c r="BL120" s="16">
        <f>IF(ISNUMBER(Risultati!Y119/100),(Risultati!Y119/100))</f>
        <v>0</v>
      </c>
      <c r="BM120" s="16">
        <f>IF(ISNUMBER(Risultati!Z119/100),(Risultati!Z119/100))</f>
        <v>0</v>
      </c>
      <c r="BN120" s="16">
        <f>IF(AND(Risultati!AY119&lt;0,calcoli!AP120&lt;0),-IF(ISNUMBER(Risultati!AA119/100),(Risultati!AA119/100)),IF(ISNUMBER(Risultati!AA119/100),(Risultati!AA119/100)))</f>
        <v>0</v>
      </c>
      <c r="BO120" s="16" t="str">
        <f t="shared" si="81"/>
        <v>0</v>
      </c>
      <c r="BP120" s="16" t="str">
        <f>IF(Risultati!AB119&gt;0,(AV120/Risultati!AB119),"0")</f>
        <v>0</v>
      </c>
      <c r="BQ120" s="16" t="str">
        <f>IF(Risultati!AG119&lt;&gt;0,(BH120/Risultati!AG119),"0")</f>
        <v>0</v>
      </c>
      <c r="BR120" s="16" t="str">
        <f t="shared" si="82"/>
        <v>0</v>
      </c>
      <c r="BS120" s="14" t="str">
        <f>IF(Risultati!AB119&gt;0,(Risultati!G119/Risultati!AB119),"0")</f>
        <v>0</v>
      </c>
      <c r="BT120" s="15" t="str">
        <f>IF(Risultati!AG119&lt;&gt;0,(Risultati!AB119/Risultati!AG119),"0")</f>
        <v>0</v>
      </c>
      <c r="BU120" s="23" t="str">
        <f>IF(AND(Risultati!G119&gt;0,(Risultati!AE119-Risultati!AF119)&gt;=0),((Risultati!AE119-Risultati!AF119)/Risultati!G119*360),"0")</f>
        <v>0</v>
      </c>
      <c r="BV120" s="21" t="str">
        <f>IF(OR(E120="abbreviato",Risultati!G119=0),"0",((Risultati!AC119+Risultati!AD119)/Risultati!G119*360))</f>
        <v>0</v>
      </c>
      <c r="BW120" s="21" t="str">
        <f>IF(OR(E120="abbreviato",Risultati!G119=0,SUM(Risultati!I119+Risultati!K119+Risultati!M119)=0),"0",(((Risultati!AH119+Risultati!AI119)/(Risultati!I119+Risultati!K119+Risultati!N119)*360)))</f>
        <v>0</v>
      </c>
      <c r="BX120" s="16" t="str">
        <f>IF(Risultati!AB119&gt;0,(+Risultati!AG119/Risultati!AB119),"0")</f>
        <v>0</v>
      </c>
      <c r="BY120" s="22" t="str">
        <f>IF(OR(E120="abbreviato",Risultati!G119=0),"0",(((Risultati!AK119-(Risultati!AL119+Risultati!AM119))/Risultati!G119)))</f>
        <v>0</v>
      </c>
      <c r="BZ120" s="16" t="str">
        <f>IF(Risultati!G119&gt;0,(Risultati!AJ119/Risultati!G119),"0")</f>
        <v>0</v>
      </c>
      <c r="CA120" s="8"/>
      <c r="CB120" s="10">
        <f>+Risultati!AP119</f>
        <v>0</v>
      </c>
      <c r="CC120" s="31" t="str">
        <f t="shared" si="108"/>
        <v>0</v>
      </c>
      <c r="CD120" s="10">
        <f>+Risultati!AQ119</f>
        <v>0</v>
      </c>
      <c r="CE120" s="31" t="str">
        <f t="shared" si="109"/>
        <v>0</v>
      </c>
      <c r="CF120" s="10">
        <f>+Risultati!AR119</f>
        <v>0</v>
      </c>
      <c r="CG120" s="31" t="str">
        <f t="shared" si="110"/>
        <v>0</v>
      </c>
      <c r="CH120" s="10">
        <f>+Risultati!AS119</f>
        <v>0</v>
      </c>
      <c r="CI120" s="31" t="str">
        <f t="shared" si="111"/>
        <v>0</v>
      </c>
      <c r="CJ120" s="10">
        <f t="shared" si="112"/>
        <v>0</v>
      </c>
      <c r="CK120" s="31" t="str">
        <f t="shared" si="113"/>
        <v>0</v>
      </c>
      <c r="CL120" s="10">
        <f>+Risultati!AE119+Risultati!AF119</f>
        <v>0</v>
      </c>
      <c r="CM120" s="31" t="str">
        <f t="shared" si="114"/>
        <v>0</v>
      </c>
      <c r="CN120" s="10">
        <f>+Risultati!AT119</f>
        <v>0</v>
      </c>
      <c r="CO120" s="31" t="str">
        <f t="shared" si="115"/>
        <v>0</v>
      </c>
      <c r="CP120" s="10">
        <f>+Risultati!AU119</f>
        <v>0</v>
      </c>
      <c r="CQ120" s="31" t="str">
        <f t="shared" si="116"/>
        <v>0</v>
      </c>
      <c r="CR120" s="10">
        <f>+Risultati!AL119</f>
        <v>0</v>
      </c>
      <c r="CS120" s="31" t="str">
        <f t="shared" si="117"/>
        <v>0</v>
      </c>
      <c r="CT120" s="10">
        <f t="shared" si="118"/>
        <v>0</v>
      </c>
      <c r="CU120" s="31" t="str">
        <f t="shared" si="119"/>
        <v>0</v>
      </c>
      <c r="CV120" s="10">
        <f>+Risultati!AX119</f>
        <v>0</v>
      </c>
      <c r="CW120" s="31" t="str">
        <f t="shared" si="120"/>
        <v>0</v>
      </c>
      <c r="CX120" s="10">
        <f t="shared" si="121"/>
        <v>0</v>
      </c>
      <c r="CY120" s="31" t="str">
        <f t="shared" si="122"/>
        <v>0</v>
      </c>
      <c r="CZ120" s="10">
        <f>+Risultati!AG119</f>
        <v>0</v>
      </c>
      <c r="DA120" s="31" t="str">
        <f t="shared" si="123"/>
        <v>0</v>
      </c>
      <c r="DB120" s="10">
        <f t="shared" si="124"/>
        <v>0</v>
      </c>
      <c r="DC120" s="31" t="str">
        <f t="shared" si="125"/>
        <v>0</v>
      </c>
      <c r="DD120" s="10">
        <f>+Risultati!AV119</f>
        <v>0</v>
      </c>
      <c r="DE120" s="31" t="str">
        <f t="shared" si="126"/>
        <v>0</v>
      </c>
      <c r="DF120" s="10">
        <f>+Risultati!AJ119</f>
        <v>0</v>
      </c>
      <c r="DG120" s="31" t="str">
        <f t="shared" si="127"/>
        <v>0</v>
      </c>
      <c r="DH120" s="10">
        <f t="shared" si="128"/>
        <v>0</v>
      </c>
      <c r="DI120" s="31" t="str">
        <f t="shared" si="129"/>
        <v>0</v>
      </c>
      <c r="DJ120" s="10">
        <f>+Risultati!AW119</f>
        <v>0</v>
      </c>
      <c r="DK120" s="31" t="str">
        <f t="shared" si="130"/>
        <v>0</v>
      </c>
      <c r="DL120" s="10">
        <f t="shared" si="101"/>
        <v>0</v>
      </c>
      <c r="DM120" s="31" t="str">
        <f t="shared" si="131"/>
        <v>0</v>
      </c>
      <c r="DO120" s="30"/>
      <c r="DP120" s="30"/>
    </row>
    <row r="121" spans="1:120" x14ac:dyDescent="0.2">
      <c r="A121" s="5"/>
      <c r="B121" s="6">
        <f>+Risultati!B120</f>
        <v>0</v>
      </c>
      <c r="C121" s="6">
        <f>+Risultati!C120</f>
        <v>0</v>
      </c>
      <c r="D121" s="26" t="str">
        <f>IF(YEAR(Risultati!D120)=1900,(MID(Risultati!$AP$1,29,4)),YEAR(Risultati!D120))</f>
        <v/>
      </c>
      <c r="E121" s="6">
        <f>+Risultati!E120</f>
        <v>0</v>
      </c>
      <c r="F121" s="8" t="e">
        <f>(LEFT(Risultati!AN120,2)&amp;"-")&amp;VLOOKUP((LEFT(Risultati!AN120,2)),ateco!$B$4:$C$93,2,FALSE)</f>
        <v>#N/A</v>
      </c>
      <c r="G121" s="8" t="str">
        <f>SUBSTITUTE((Risultati!AN120&amp;"-"&amp;Risultati!AO120),",",";")</f>
        <v>-</v>
      </c>
      <c r="I121" s="10">
        <f>+Risultati!G120</f>
        <v>0</v>
      </c>
      <c r="J121" s="11" t="str">
        <f t="shared" si="83"/>
        <v>0</v>
      </c>
      <c r="K121" s="12"/>
      <c r="L121" s="10">
        <f>+Risultati!G120+Risultati!H120</f>
        <v>0</v>
      </c>
      <c r="M121" s="11" t="str">
        <f t="shared" si="84"/>
        <v>0</v>
      </c>
      <c r="N121" s="12"/>
      <c r="O121" s="10">
        <f>+Risultati!I120+Risultati!J120</f>
        <v>0</v>
      </c>
      <c r="P121" s="11" t="str">
        <f t="shared" si="85"/>
        <v>0</v>
      </c>
      <c r="Q121" s="12"/>
      <c r="R121" s="13">
        <f t="shared" si="102"/>
        <v>0</v>
      </c>
      <c r="S121" s="11" t="str">
        <f t="shared" si="86"/>
        <v>0</v>
      </c>
      <c r="T121" s="12"/>
      <c r="U121" s="10">
        <f>+Risultati!F120-(Risultati!G120+Risultati!H120)</f>
        <v>0</v>
      </c>
      <c r="V121" s="12" t="str">
        <f t="shared" si="87"/>
        <v>0</v>
      </c>
      <c r="W121" s="12"/>
      <c r="X121" s="10">
        <f t="shared" si="103"/>
        <v>0</v>
      </c>
      <c r="Y121" s="12" t="str">
        <f t="shared" si="88"/>
        <v>0</v>
      </c>
      <c r="Z121" s="12"/>
      <c r="AA121" s="10">
        <f>+Risultati!K120</f>
        <v>0</v>
      </c>
      <c r="AB121" s="12" t="str">
        <f t="shared" si="89"/>
        <v>0</v>
      </c>
      <c r="AC121" s="12"/>
      <c r="AD121" s="10">
        <f>+Risultati!L120</f>
        <v>0</v>
      </c>
      <c r="AE121" s="12" t="str">
        <f t="shared" si="90"/>
        <v>0</v>
      </c>
      <c r="AF121" s="12"/>
      <c r="AG121" s="10">
        <f>+Risultati!M120+Risultati!P120+Risultati!Q120</f>
        <v>0</v>
      </c>
      <c r="AH121" s="12" t="str">
        <f t="shared" si="91"/>
        <v>0</v>
      </c>
      <c r="AI121" s="12"/>
      <c r="AJ121" s="13">
        <f t="shared" si="104"/>
        <v>0</v>
      </c>
      <c r="AK121" s="11" t="str">
        <f t="shared" si="92"/>
        <v>0</v>
      </c>
      <c r="AL121" s="12"/>
      <c r="AM121" s="10">
        <f>+Risultati!N120</f>
        <v>0</v>
      </c>
      <c r="AN121" s="12" t="str">
        <f t="shared" si="93"/>
        <v>0</v>
      </c>
      <c r="AO121" s="12"/>
      <c r="AP121" s="10">
        <f t="shared" si="105"/>
        <v>0</v>
      </c>
      <c r="AQ121" s="41" t="str">
        <f t="shared" si="94"/>
        <v>0</v>
      </c>
      <c r="AR121" s="12"/>
      <c r="AS121" s="10">
        <f>+Risultati!O120</f>
        <v>0</v>
      </c>
      <c r="AT121" s="12" t="str">
        <f t="shared" si="95"/>
        <v>0</v>
      </c>
      <c r="AU121" s="12"/>
      <c r="AV121" s="10">
        <f t="shared" si="106"/>
        <v>0</v>
      </c>
      <c r="AW121" s="12" t="str">
        <f t="shared" si="96"/>
        <v>0</v>
      </c>
      <c r="AX121" s="12"/>
      <c r="AY121" s="10">
        <f>+Risultati!R120+Risultati!S120</f>
        <v>0</v>
      </c>
      <c r="AZ121" s="12" t="str">
        <f t="shared" si="97"/>
        <v>0</v>
      </c>
      <c r="BA121" s="12"/>
      <c r="BB121" s="10">
        <f>+Risultati!T120</f>
        <v>0</v>
      </c>
      <c r="BC121" s="12" t="str">
        <f t="shared" si="98"/>
        <v>0</v>
      </c>
      <c r="BD121" s="12"/>
      <c r="BE121" s="10">
        <f>+Risultati!U120</f>
        <v>0</v>
      </c>
      <c r="BF121" s="12" t="str">
        <f t="shared" si="99"/>
        <v>0</v>
      </c>
      <c r="BG121" s="12"/>
      <c r="BH121" s="10">
        <f t="shared" si="107"/>
        <v>0</v>
      </c>
      <c r="BI121" s="12" t="str">
        <f t="shared" si="100"/>
        <v>0</v>
      </c>
      <c r="BK121" s="16">
        <f>IF(ISNUMBER(Risultati!X120/100),(Risultati!X120/100))</f>
        <v>0</v>
      </c>
      <c r="BL121" s="16">
        <f>IF(ISNUMBER(Risultati!Y120/100),(Risultati!Y120/100))</f>
        <v>0</v>
      </c>
      <c r="BM121" s="16">
        <f>IF(ISNUMBER(Risultati!Z120/100),(Risultati!Z120/100))</f>
        <v>0</v>
      </c>
      <c r="BN121" s="16">
        <f>IF(AND(Risultati!AY120&lt;0,calcoli!AP121&lt;0),-IF(ISNUMBER(Risultati!AA120/100),(Risultati!AA120/100)),IF(ISNUMBER(Risultati!AA120/100),(Risultati!AA120/100)))</f>
        <v>0</v>
      </c>
      <c r="BO121" s="16" t="str">
        <f t="shared" si="81"/>
        <v>0</v>
      </c>
      <c r="BP121" s="16" t="str">
        <f>IF(Risultati!AB120&gt;0,(AV121/Risultati!AB120),"0")</f>
        <v>0</v>
      </c>
      <c r="BQ121" s="16" t="str">
        <f>IF(Risultati!AG120&lt;&gt;0,(BH121/Risultati!AG120),"0")</f>
        <v>0</v>
      </c>
      <c r="BR121" s="16" t="str">
        <f t="shared" si="82"/>
        <v>0</v>
      </c>
      <c r="BS121" s="14" t="str">
        <f>IF(Risultati!AB120&gt;0,(Risultati!G120/Risultati!AB120),"0")</f>
        <v>0</v>
      </c>
      <c r="BT121" s="15" t="str">
        <f>IF(Risultati!AG120&lt;&gt;0,(Risultati!AB120/Risultati!AG120),"0")</f>
        <v>0</v>
      </c>
      <c r="BU121" s="23" t="str">
        <f>IF(AND(Risultati!G120&gt;0,(Risultati!AE120-Risultati!AF120)&gt;=0),((Risultati!AE120-Risultati!AF120)/Risultati!G120*360),"0")</f>
        <v>0</v>
      </c>
      <c r="BV121" s="21" t="str">
        <f>IF(OR(E121="abbreviato",Risultati!G120=0),"0",((Risultati!AC120+Risultati!AD120)/Risultati!G120*360))</f>
        <v>0</v>
      </c>
      <c r="BW121" s="21" t="str">
        <f>IF(OR(E121="abbreviato",Risultati!G120=0,SUM(Risultati!I120+Risultati!K120+Risultati!M120)=0),"0",(((Risultati!AH120+Risultati!AI120)/(Risultati!I120+Risultati!K120+Risultati!N120)*360)))</f>
        <v>0</v>
      </c>
      <c r="BX121" s="16" t="str">
        <f>IF(Risultati!AB120&gt;0,(+Risultati!AG120/Risultati!AB120),"0")</f>
        <v>0</v>
      </c>
      <c r="BY121" s="22" t="str">
        <f>IF(OR(E121="abbreviato",Risultati!G120=0),"0",(((Risultati!AK120-(Risultati!AL120+Risultati!AM120))/Risultati!G120)))</f>
        <v>0</v>
      </c>
      <c r="BZ121" s="16" t="str">
        <f>IF(Risultati!G120&gt;0,(Risultati!AJ120/Risultati!G120),"0")</f>
        <v>0</v>
      </c>
      <c r="CA121" s="8"/>
      <c r="CB121" s="10">
        <f>+Risultati!AP120</f>
        <v>0</v>
      </c>
      <c r="CC121" s="31" t="str">
        <f t="shared" si="108"/>
        <v>0</v>
      </c>
      <c r="CD121" s="10">
        <f>+Risultati!AQ120</f>
        <v>0</v>
      </c>
      <c r="CE121" s="31" t="str">
        <f t="shared" si="109"/>
        <v>0</v>
      </c>
      <c r="CF121" s="10">
        <f>+Risultati!AR120</f>
        <v>0</v>
      </c>
      <c r="CG121" s="31" t="str">
        <f t="shared" si="110"/>
        <v>0</v>
      </c>
      <c r="CH121" s="10">
        <f>+Risultati!AS120</f>
        <v>0</v>
      </c>
      <c r="CI121" s="31" t="str">
        <f t="shared" si="111"/>
        <v>0</v>
      </c>
      <c r="CJ121" s="10">
        <f t="shared" si="112"/>
        <v>0</v>
      </c>
      <c r="CK121" s="31" t="str">
        <f t="shared" si="113"/>
        <v>0</v>
      </c>
      <c r="CL121" s="10">
        <f>+Risultati!AE120+Risultati!AF120</f>
        <v>0</v>
      </c>
      <c r="CM121" s="31" t="str">
        <f t="shared" si="114"/>
        <v>0</v>
      </c>
      <c r="CN121" s="10">
        <f>+Risultati!AT120</f>
        <v>0</v>
      </c>
      <c r="CO121" s="31" t="str">
        <f t="shared" si="115"/>
        <v>0</v>
      </c>
      <c r="CP121" s="10">
        <f>+Risultati!AU120</f>
        <v>0</v>
      </c>
      <c r="CQ121" s="31" t="str">
        <f t="shared" si="116"/>
        <v>0</v>
      </c>
      <c r="CR121" s="10">
        <f>+Risultati!AL120</f>
        <v>0</v>
      </c>
      <c r="CS121" s="31" t="str">
        <f t="shared" si="117"/>
        <v>0</v>
      </c>
      <c r="CT121" s="10">
        <f t="shared" si="118"/>
        <v>0</v>
      </c>
      <c r="CU121" s="31" t="str">
        <f t="shared" si="119"/>
        <v>0</v>
      </c>
      <c r="CV121" s="10">
        <f>+Risultati!AX120</f>
        <v>0</v>
      </c>
      <c r="CW121" s="31" t="str">
        <f t="shared" si="120"/>
        <v>0</v>
      </c>
      <c r="CX121" s="10">
        <f t="shared" si="121"/>
        <v>0</v>
      </c>
      <c r="CY121" s="31" t="str">
        <f t="shared" si="122"/>
        <v>0</v>
      </c>
      <c r="CZ121" s="10">
        <f>+Risultati!AG120</f>
        <v>0</v>
      </c>
      <c r="DA121" s="31" t="str">
        <f t="shared" si="123"/>
        <v>0</v>
      </c>
      <c r="DB121" s="10">
        <f t="shared" si="124"/>
        <v>0</v>
      </c>
      <c r="DC121" s="31" t="str">
        <f t="shared" si="125"/>
        <v>0</v>
      </c>
      <c r="DD121" s="10">
        <f>+Risultati!AV120</f>
        <v>0</v>
      </c>
      <c r="DE121" s="31" t="str">
        <f t="shared" si="126"/>
        <v>0</v>
      </c>
      <c r="DF121" s="10">
        <f>+Risultati!AJ120</f>
        <v>0</v>
      </c>
      <c r="DG121" s="31" t="str">
        <f t="shared" si="127"/>
        <v>0</v>
      </c>
      <c r="DH121" s="10">
        <f t="shared" si="128"/>
        <v>0</v>
      </c>
      <c r="DI121" s="31" t="str">
        <f t="shared" si="129"/>
        <v>0</v>
      </c>
      <c r="DJ121" s="10">
        <f>+Risultati!AW120</f>
        <v>0</v>
      </c>
      <c r="DK121" s="31" t="str">
        <f t="shared" si="130"/>
        <v>0</v>
      </c>
      <c r="DL121" s="10">
        <f t="shared" si="101"/>
        <v>0</v>
      </c>
      <c r="DM121" s="31" t="str">
        <f t="shared" si="131"/>
        <v>0</v>
      </c>
      <c r="DO121" s="30"/>
      <c r="DP121" s="30"/>
    </row>
    <row r="122" spans="1:120" x14ac:dyDescent="0.2">
      <c r="A122" s="5"/>
      <c r="B122" s="6">
        <f>+Risultati!B121</f>
        <v>0</v>
      </c>
      <c r="C122" s="6">
        <f>+Risultati!C121</f>
        <v>0</v>
      </c>
      <c r="D122" s="26" t="str">
        <f>IF(YEAR(Risultati!D121)=1900,(MID(Risultati!$AP$1,29,4)),YEAR(Risultati!D121))</f>
        <v/>
      </c>
      <c r="E122" s="6">
        <f>+Risultati!E121</f>
        <v>0</v>
      </c>
      <c r="F122" s="8" t="e">
        <f>(LEFT(Risultati!AN121,2)&amp;"-")&amp;VLOOKUP((LEFT(Risultati!AN121,2)),ateco!$B$4:$C$93,2,FALSE)</f>
        <v>#N/A</v>
      </c>
      <c r="G122" s="8" t="str">
        <f>SUBSTITUTE((Risultati!AN121&amp;"-"&amp;Risultati!AO121),",",";")</f>
        <v>-</v>
      </c>
      <c r="I122" s="10">
        <f>+Risultati!G121</f>
        <v>0</v>
      </c>
      <c r="J122" s="11" t="str">
        <f t="shared" si="83"/>
        <v>0</v>
      </c>
      <c r="K122" s="12"/>
      <c r="L122" s="10">
        <f>+Risultati!G121+Risultati!H121</f>
        <v>0</v>
      </c>
      <c r="M122" s="11" t="str">
        <f t="shared" si="84"/>
        <v>0</v>
      </c>
      <c r="N122" s="12"/>
      <c r="O122" s="10">
        <f>+Risultati!I121+Risultati!J121</f>
        <v>0</v>
      </c>
      <c r="P122" s="11" t="str">
        <f t="shared" si="85"/>
        <v>0</v>
      </c>
      <c r="Q122" s="12"/>
      <c r="R122" s="13">
        <f t="shared" si="102"/>
        <v>0</v>
      </c>
      <c r="S122" s="11" t="str">
        <f t="shared" si="86"/>
        <v>0</v>
      </c>
      <c r="T122" s="12"/>
      <c r="U122" s="10">
        <f>+Risultati!F121-(Risultati!G121+Risultati!H121)</f>
        <v>0</v>
      </c>
      <c r="V122" s="12" t="str">
        <f t="shared" si="87"/>
        <v>0</v>
      </c>
      <c r="W122" s="12"/>
      <c r="X122" s="10">
        <f t="shared" si="103"/>
        <v>0</v>
      </c>
      <c r="Y122" s="12" t="str">
        <f t="shared" si="88"/>
        <v>0</v>
      </c>
      <c r="Z122" s="12"/>
      <c r="AA122" s="10">
        <f>+Risultati!K121</f>
        <v>0</v>
      </c>
      <c r="AB122" s="12" t="str">
        <f t="shared" si="89"/>
        <v>0</v>
      </c>
      <c r="AC122" s="12"/>
      <c r="AD122" s="10">
        <f>+Risultati!L121</f>
        <v>0</v>
      </c>
      <c r="AE122" s="12" t="str">
        <f t="shared" si="90"/>
        <v>0</v>
      </c>
      <c r="AF122" s="12"/>
      <c r="AG122" s="10">
        <f>+Risultati!M121+Risultati!P121+Risultati!Q121</f>
        <v>0</v>
      </c>
      <c r="AH122" s="12" t="str">
        <f t="shared" si="91"/>
        <v>0</v>
      </c>
      <c r="AI122" s="12"/>
      <c r="AJ122" s="13">
        <f t="shared" si="104"/>
        <v>0</v>
      </c>
      <c r="AK122" s="11" t="str">
        <f t="shared" si="92"/>
        <v>0</v>
      </c>
      <c r="AL122" s="12"/>
      <c r="AM122" s="10">
        <f>+Risultati!N121</f>
        <v>0</v>
      </c>
      <c r="AN122" s="12" t="str">
        <f t="shared" si="93"/>
        <v>0</v>
      </c>
      <c r="AO122" s="12"/>
      <c r="AP122" s="10">
        <f t="shared" si="105"/>
        <v>0</v>
      </c>
      <c r="AQ122" s="41" t="str">
        <f t="shared" si="94"/>
        <v>0</v>
      </c>
      <c r="AR122" s="12"/>
      <c r="AS122" s="10">
        <f>+Risultati!O121</f>
        <v>0</v>
      </c>
      <c r="AT122" s="12" t="str">
        <f t="shared" si="95"/>
        <v>0</v>
      </c>
      <c r="AU122" s="12"/>
      <c r="AV122" s="10">
        <f t="shared" si="106"/>
        <v>0</v>
      </c>
      <c r="AW122" s="12" t="str">
        <f t="shared" si="96"/>
        <v>0</v>
      </c>
      <c r="AX122" s="12"/>
      <c r="AY122" s="10">
        <f>+Risultati!R121+Risultati!S121</f>
        <v>0</v>
      </c>
      <c r="AZ122" s="12" t="str">
        <f t="shared" si="97"/>
        <v>0</v>
      </c>
      <c r="BA122" s="12"/>
      <c r="BB122" s="10">
        <f>+Risultati!T121</f>
        <v>0</v>
      </c>
      <c r="BC122" s="12" t="str">
        <f t="shared" si="98"/>
        <v>0</v>
      </c>
      <c r="BD122" s="12"/>
      <c r="BE122" s="10">
        <f>+Risultati!U121</f>
        <v>0</v>
      </c>
      <c r="BF122" s="12" t="str">
        <f t="shared" si="99"/>
        <v>0</v>
      </c>
      <c r="BG122" s="12"/>
      <c r="BH122" s="10">
        <f t="shared" si="107"/>
        <v>0</v>
      </c>
      <c r="BI122" s="12" t="str">
        <f t="shared" si="100"/>
        <v>0</v>
      </c>
      <c r="BK122" s="16">
        <f>IF(ISNUMBER(Risultati!X121/100),(Risultati!X121/100))</f>
        <v>0</v>
      </c>
      <c r="BL122" s="16">
        <f>IF(ISNUMBER(Risultati!Y121/100),(Risultati!Y121/100))</f>
        <v>0</v>
      </c>
      <c r="BM122" s="16">
        <f>IF(ISNUMBER(Risultati!Z121/100),(Risultati!Z121/100))</f>
        <v>0</v>
      </c>
      <c r="BN122" s="16">
        <f>IF(AND(Risultati!AY121&lt;0,calcoli!AP122&lt;0),-IF(ISNUMBER(Risultati!AA121/100),(Risultati!AA121/100)),IF(ISNUMBER(Risultati!AA121/100),(Risultati!AA121/100)))</f>
        <v>0</v>
      </c>
      <c r="BO122" s="16" t="str">
        <f t="shared" si="81"/>
        <v>0</v>
      </c>
      <c r="BP122" s="16" t="str">
        <f>IF(Risultati!AB121&gt;0,(AV122/Risultati!AB121),"0")</f>
        <v>0</v>
      </c>
      <c r="BQ122" s="16" t="str">
        <f>IF(Risultati!AG121&lt;&gt;0,(BH122/Risultati!AG121),"0")</f>
        <v>0</v>
      </c>
      <c r="BR122" s="16" t="str">
        <f t="shared" si="82"/>
        <v>0</v>
      </c>
      <c r="BS122" s="14" t="str">
        <f>IF(Risultati!AB121&gt;0,(Risultati!G121/Risultati!AB121),"0")</f>
        <v>0</v>
      </c>
      <c r="BT122" s="15" t="str">
        <f>IF(Risultati!AG121&lt;&gt;0,(Risultati!AB121/Risultati!AG121),"0")</f>
        <v>0</v>
      </c>
      <c r="BU122" s="23" t="str">
        <f>IF(AND(Risultati!G121&gt;0,(Risultati!AE121-Risultati!AF121)&gt;=0),((Risultati!AE121-Risultati!AF121)/Risultati!G121*360),"0")</f>
        <v>0</v>
      </c>
      <c r="BV122" s="21" t="str">
        <f>IF(OR(E122="abbreviato",Risultati!G121=0),"0",((Risultati!AC121+Risultati!AD121)/Risultati!G121*360))</f>
        <v>0</v>
      </c>
      <c r="BW122" s="21" t="str">
        <f>IF(OR(E122="abbreviato",Risultati!G121=0,SUM(Risultati!I121+Risultati!K121+Risultati!M121)=0),"0",(((Risultati!AH121+Risultati!AI121)/(Risultati!I121+Risultati!K121+Risultati!N121)*360)))</f>
        <v>0</v>
      </c>
      <c r="BX122" s="16" t="str">
        <f>IF(Risultati!AB121&gt;0,(+Risultati!AG121/Risultati!AB121),"0")</f>
        <v>0</v>
      </c>
      <c r="BY122" s="22" t="str">
        <f>IF(OR(E122="abbreviato",Risultati!G121=0),"0",(((Risultati!AK121-(Risultati!AL121+Risultati!AM121))/Risultati!G121)))</f>
        <v>0</v>
      </c>
      <c r="BZ122" s="16" t="str">
        <f>IF(Risultati!G121&gt;0,(Risultati!AJ121/Risultati!G121),"0")</f>
        <v>0</v>
      </c>
      <c r="CA122" s="8"/>
      <c r="CB122" s="10">
        <f>+Risultati!AP121</f>
        <v>0</v>
      </c>
      <c r="CC122" s="31" t="str">
        <f t="shared" si="108"/>
        <v>0</v>
      </c>
      <c r="CD122" s="10">
        <f>+Risultati!AQ121</f>
        <v>0</v>
      </c>
      <c r="CE122" s="31" t="str">
        <f t="shared" si="109"/>
        <v>0</v>
      </c>
      <c r="CF122" s="10">
        <f>+Risultati!AR121</f>
        <v>0</v>
      </c>
      <c r="CG122" s="31" t="str">
        <f t="shared" si="110"/>
        <v>0</v>
      </c>
      <c r="CH122" s="10">
        <f>+Risultati!AS121</f>
        <v>0</v>
      </c>
      <c r="CI122" s="31" t="str">
        <f t="shared" si="111"/>
        <v>0</v>
      </c>
      <c r="CJ122" s="10">
        <f t="shared" si="112"/>
        <v>0</v>
      </c>
      <c r="CK122" s="31" t="str">
        <f t="shared" si="113"/>
        <v>0</v>
      </c>
      <c r="CL122" s="10">
        <f>+Risultati!AE121+Risultati!AF121</f>
        <v>0</v>
      </c>
      <c r="CM122" s="31" t="str">
        <f t="shared" si="114"/>
        <v>0</v>
      </c>
      <c r="CN122" s="10">
        <f>+Risultati!AT121</f>
        <v>0</v>
      </c>
      <c r="CO122" s="31" t="str">
        <f t="shared" si="115"/>
        <v>0</v>
      </c>
      <c r="CP122" s="10">
        <f>+Risultati!AU121</f>
        <v>0</v>
      </c>
      <c r="CQ122" s="31" t="str">
        <f t="shared" si="116"/>
        <v>0</v>
      </c>
      <c r="CR122" s="10">
        <f>+Risultati!AL121</f>
        <v>0</v>
      </c>
      <c r="CS122" s="31" t="str">
        <f t="shared" si="117"/>
        <v>0</v>
      </c>
      <c r="CT122" s="10">
        <f t="shared" si="118"/>
        <v>0</v>
      </c>
      <c r="CU122" s="31" t="str">
        <f t="shared" si="119"/>
        <v>0</v>
      </c>
      <c r="CV122" s="10">
        <f>+Risultati!AX121</f>
        <v>0</v>
      </c>
      <c r="CW122" s="31" t="str">
        <f t="shared" si="120"/>
        <v>0</v>
      </c>
      <c r="CX122" s="10">
        <f t="shared" si="121"/>
        <v>0</v>
      </c>
      <c r="CY122" s="31" t="str">
        <f t="shared" si="122"/>
        <v>0</v>
      </c>
      <c r="CZ122" s="10">
        <f>+Risultati!AG121</f>
        <v>0</v>
      </c>
      <c r="DA122" s="31" t="str">
        <f t="shared" si="123"/>
        <v>0</v>
      </c>
      <c r="DB122" s="10">
        <f t="shared" si="124"/>
        <v>0</v>
      </c>
      <c r="DC122" s="31" t="str">
        <f t="shared" si="125"/>
        <v>0</v>
      </c>
      <c r="DD122" s="10">
        <f>+Risultati!AV121</f>
        <v>0</v>
      </c>
      <c r="DE122" s="31" t="str">
        <f t="shared" si="126"/>
        <v>0</v>
      </c>
      <c r="DF122" s="10">
        <f>+Risultati!AJ121</f>
        <v>0</v>
      </c>
      <c r="DG122" s="31" t="str">
        <f t="shared" si="127"/>
        <v>0</v>
      </c>
      <c r="DH122" s="10">
        <f t="shared" si="128"/>
        <v>0</v>
      </c>
      <c r="DI122" s="31" t="str">
        <f t="shared" si="129"/>
        <v>0</v>
      </c>
      <c r="DJ122" s="10">
        <f>+Risultati!AW121</f>
        <v>0</v>
      </c>
      <c r="DK122" s="31" t="str">
        <f t="shared" si="130"/>
        <v>0</v>
      </c>
      <c r="DL122" s="10">
        <f t="shared" si="101"/>
        <v>0</v>
      </c>
      <c r="DM122" s="31" t="str">
        <f t="shared" si="131"/>
        <v>0</v>
      </c>
      <c r="DO122" s="30"/>
      <c r="DP122" s="30"/>
    </row>
    <row r="123" spans="1:120" x14ac:dyDescent="0.2">
      <c r="A123" s="5"/>
      <c r="B123" s="6">
        <f>+Risultati!B122</f>
        <v>0</v>
      </c>
      <c r="C123" s="6">
        <f>+Risultati!C122</f>
        <v>0</v>
      </c>
      <c r="D123" s="26" t="str">
        <f>IF(YEAR(Risultati!D122)=1900,(MID(Risultati!$AP$1,29,4)),YEAR(Risultati!D122))</f>
        <v/>
      </c>
      <c r="E123" s="6">
        <f>+Risultati!E122</f>
        <v>0</v>
      </c>
      <c r="F123" s="8" t="e">
        <f>(LEFT(Risultati!AN122,2)&amp;"-")&amp;VLOOKUP((LEFT(Risultati!AN122,2)),ateco!$B$4:$C$93,2,FALSE)</f>
        <v>#N/A</v>
      </c>
      <c r="G123" s="8" t="str">
        <f>SUBSTITUTE((Risultati!AN122&amp;"-"&amp;Risultati!AO122),",",";")</f>
        <v>-</v>
      </c>
      <c r="I123" s="10">
        <f>+Risultati!G122</f>
        <v>0</v>
      </c>
      <c r="J123" s="11" t="str">
        <f t="shared" si="83"/>
        <v>0</v>
      </c>
      <c r="K123" s="12"/>
      <c r="L123" s="10">
        <f>+Risultati!G122+Risultati!H122</f>
        <v>0</v>
      </c>
      <c r="M123" s="11" t="str">
        <f t="shared" si="84"/>
        <v>0</v>
      </c>
      <c r="N123" s="12"/>
      <c r="O123" s="10">
        <f>+Risultati!I122+Risultati!J122</f>
        <v>0</v>
      </c>
      <c r="P123" s="11" t="str">
        <f t="shared" si="85"/>
        <v>0</v>
      </c>
      <c r="Q123" s="12"/>
      <c r="R123" s="13">
        <f t="shared" si="102"/>
        <v>0</v>
      </c>
      <c r="S123" s="11" t="str">
        <f t="shared" si="86"/>
        <v>0</v>
      </c>
      <c r="T123" s="12"/>
      <c r="U123" s="10">
        <f>+Risultati!F122-(Risultati!G122+Risultati!H122)</f>
        <v>0</v>
      </c>
      <c r="V123" s="12" t="str">
        <f t="shared" si="87"/>
        <v>0</v>
      </c>
      <c r="W123" s="12"/>
      <c r="X123" s="10">
        <f t="shared" si="103"/>
        <v>0</v>
      </c>
      <c r="Y123" s="12" t="str">
        <f t="shared" si="88"/>
        <v>0</v>
      </c>
      <c r="Z123" s="12"/>
      <c r="AA123" s="10">
        <f>+Risultati!K122</f>
        <v>0</v>
      </c>
      <c r="AB123" s="12" t="str">
        <f t="shared" si="89"/>
        <v>0</v>
      </c>
      <c r="AC123" s="12"/>
      <c r="AD123" s="10">
        <f>+Risultati!L122</f>
        <v>0</v>
      </c>
      <c r="AE123" s="12" t="str">
        <f t="shared" si="90"/>
        <v>0</v>
      </c>
      <c r="AF123" s="12"/>
      <c r="AG123" s="10">
        <f>+Risultati!M122+Risultati!P122+Risultati!Q122</f>
        <v>0</v>
      </c>
      <c r="AH123" s="12" t="str">
        <f t="shared" si="91"/>
        <v>0</v>
      </c>
      <c r="AI123" s="12"/>
      <c r="AJ123" s="13">
        <f t="shared" si="104"/>
        <v>0</v>
      </c>
      <c r="AK123" s="11" t="str">
        <f t="shared" si="92"/>
        <v>0</v>
      </c>
      <c r="AL123" s="12"/>
      <c r="AM123" s="10">
        <f>+Risultati!N122</f>
        <v>0</v>
      </c>
      <c r="AN123" s="12" t="str">
        <f t="shared" si="93"/>
        <v>0</v>
      </c>
      <c r="AO123" s="12"/>
      <c r="AP123" s="10">
        <f t="shared" si="105"/>
        <v>0</v>
      </c>
      <c r="AQ123" s="41" t="str">
        <f t="shared" si="94"/>
        <v>0</v>
      </c>
      <c r="AR123" s="12"/>
      <c r="AS123" s="10">
        <f>+Risultati!O122</f>
        <v>0</v>
      </c>
      <c r="AT123" s="12" t="str">
        <f t="shared" si="95"/>
        <v>0</v>
      </c>
      <c r="AU123" s="12"/>
      <c r="AV123" s="10">
        <f t="shared" si="106"/>
        <v>0</v>
      </c>
      <c r="AW123" s="12" t="str">
        <f t="shared" si="96"/>
        <v>0</v>
      </c>
      <c r="AX123" s="12"/>
      <c r="AY123" s="10">
        <f>+Risultati!R122+Risultati!S122</f>
        <v>0</v>
      </c>
      <c r="AZ123" s="12" t="str">
        <f t="shared" si="97"/>
        <v>0</v>
      </c>
      <c r="BA123" s="12"/>
      <c r="BB123" s="10">
        <f>+Risultati!T122</f>
        <v>0</v>
      </c>
      <c r="BC123" s="12" t="str">
        <f t="shared" si="98"/>
        <v>0</v>
      </c>
      <c r="BD123" s="12"/>
      <c r="BE123" s="10">
        <f>+Risultati!U122</f>
        <v>0</v>
      </c>
      <c r="BF123" s="12" t="str">
        <f t="shared" si="99"/>
        <v>0</v>
      </c>
      <c r="BG123" s="12"/>
      <c r="BH123" s="10">
        <f t="shared" si="107"/>
        <v>0</v>
      </c>
      <c r="BI123" s="12" t="str">
        <f t="shared" si="100"/>
        <v>0</v>
      </c>
      <c r="BK123" s="16">
        <f>IF(ISNUMBER(Risultati!X122/100),(Risultati!X122/100))</f>
        <v>0</v>
      </c>
      <c r="BL123" s="16">
        <f>IF(ISNUMBER(Risultati!Y122/100),(Risultati!Y122/100))</f>
        <v>0</v>
      </c>
      <c r="BM123" s="16">
        <f>IF(ISNUMBER(Risultati!Z122/100),(Risultati!Z122/100))</f>
        <v>0</v>
      </c>
      <c r="BN123" s="16">
        <f>IF(AND(Risultati!AY122&lt;0,calcoli!AP123&lt;0),-IF(ISNUMBER(Risultati!AA122/100),(Risultati!AA122/100)),IF(ISNUMBER(Risultati!AA122/100),(Risultati!AA122/100)))</f>
        <v>0</v>
      </c>
      <c r="BO123" s="16" t="str">
        <f t="shared" si="81"/>
        <v>0</v>
      </c>
      <c r="BP123" s="16" t="str">
        <f>IF(Risultati!AB122&gt;0,(AV123/Risultati!AB122),"0")</f>
        <v>0</v>
      </c>
      <c r="BQ123" s="16" t="str">
        <f>IF(Risultati!AG122&lt;&gt;0,(BH123/Risultati!AG122),"0")</f>
        <v>0</v>
      </c>
      <c r="BR123" s="16" t="str">
        <f t="shared" si="82"/>
        <v>0</v>
      </c>
      <c r="BS123" s="14" t="str">
        <f>IF(Risultati!AB122&gt;0,(Risultati!G122/Risultati!AB122),"0")</f>
        <v>0</v>
      </c>
      <c r="BT123" s="15" t="str">
        <f>IF(Risultati!AG122&lt;&gt;0,(Risultati!AB122/Risultati!AG122),"0")</f>
        <v>0</v>
      </c>
      <c r="BU123" s="23" t="str">
        <f>IF(AND(Risultati!G122&gt;0,(Risultati!AE122-Risultati!AF122)&gt;=0),((Risultati!AE122-Risultati!AF122)/Risultati!G122*360),"0")</f>
        <v>0</v>
      </c>
      <c r="BV123" s="21" t="str">
        <f>IF(OR(E123="abbreviato",Risultati!G122=0),"0",((Risultati!AC122+Risultati!AD122)/Risultati!G122*360))</f>
        <v>0</v>
      </c>
      <c r="BW123" s="21" t="str">
        <f>IF(OR(E123="abbreviato",Risultati!G122=0,SUM(Risultati!I122+Risultati!K122+Risultati!M122)=0),"0",(((Risultati!AH122+Risultati!AI122)/(Risultati!I122+Risultati!K122+Risultati!N122)*360)))</f>
        <v>0</v>
      </c>
      <c r="BX123" s="16" t="str">
        <f>IF(Risultati!AB122&gt;0,(+Risultati!AG122/Risultati!AB122),"0")</f>
        <v>0</v>
      </c>
      <c r="BY123" s="22" t="str">
        <f>IF(OR(E123="abbreviato",Risultati!G122=0),"0",(((Risultati!AK122-(Risultati!AL122+Risultati!AM122))/Risultati!G122)))</f>
        <v>0</v>
      </c>
      <c r="BZ123" s="16" t="str">
        <f>IF(Risultati!G122&gt;0,(Risultati!AJ122/Risultati!G122),"0")</f>
        <v>0</v>
      </c>
      <c r="CA123" s="8"/>
      <c r="CB123" s="10">
        <f>+Risultati!AP122</f>
        <v>0</v>
      </c>
      <c r="CC123" s="31" t="str">
        <f t="shared" si="108"/>
        <v>0</v>
      </c>
      <c r="CD123" s="10">
        <f>+Risultati!AQ122</f>
        <v>0</v>
      </c>
      <c r="CE123" s="31" t="str">
        <f t="shared" si="109"/>
        <v>0</v>
      </c>
      <c r="CF123" s="10">
        <f>+Risultati!AR122</f>
        <v>0</v>
      </c>
      <c r="CG123" s="31" t="str">
        <f t="shared" si="110"/>
        <v>0</v>
      </c>
      <c r="CH123" s="10">
        <f>+Risultati!AS122</f>
        <v>0</v>
      </c>
      <c r="CI123" s="31" t="str">
        <f t="shared" si="111"/>
        <v>0</v>
      </c>
      <c r="CJ123" s="10">
        <f t="shared" si="112"/>
        <v>0</v>
      </c>
      <c r="CK123" s="31" t="str">
        <f t="shared" si="113"/>
        <v>0</v>
      </c>
      <c r="CL123" s="10">
        <f>+Risultati!AE122+Risultati!AF122</f>
        <v>0</v>
      </c>
      <c r="CM123" s="31" t="str">
        <f t="shared" si="114"/>
        <v>0</v>
      </c>
      <c r="CN123" s="10">
        <f>+Risultati!AT122</f>
        <v>0</v>
      </c>
      <c r="CO123" s="31" t="str">
        <f t="shared" si="115"/>
        <v>0</v>
      </c>
      <c r="CP123" s="10">
        <f>+Risultati!AU122</f>
        <v>0</v>
      </c>
      <c r="CQ123" s="31" t="str">
        <f t="shared" si="116"/>
        <v>0</v>
      </c>
      <c r="CR123" s="10">
        <f>+Risultati!AL122</f>
        <v>0</v>
      </c>
      <c r="CS123" s="31" t="str">
        <f t="shared" si="117"/>
        <v>0</v>
      </c>
      <c r="CT123" s="10">
        <f t="shared" si="118"/>
        <v>0</v>
      </c>
      <c r="CU123" s="31" t="str">
        <f t="shared" si="119"/>
        <v>0</v>
      </c>
      <c r="CV123" s="10">
        <f>+Risultati!AX122</f>
        <v>0</v>
      </c>
      <c r="CW123" s="31" t="str">
        <f t="shared" si="120"/>
        <v>0</v>
      </c>
      <c r="CX123" s="10">
        <f t="shared" si="121"/>
        <v>0</v>
      </c>
      <c r="CY123" s="31" t="str">
        <f t="shared" si="122"/>
        <v>0</v>
      </c>
      <c r="CZ123" s="10">
        <f>+Risultati!AG122</f>
        <v>0</v>
      </c>
      <c r="DA123" s="31" t="str">
        <f t="shared" si="123"/>
        <v>0</v>
      </c>
      <c r="DB123" s="10">
        <f t="shared" si="124"/>
        <v>0</v>
      </c>
      <c r="DC123" s="31" t="str">
        <f t="shared" si="125"/>
        <v>0</v>
      </c>
      <c r="DD123" s="10">
        <f>+Risultati!AV122</f>
        <v>0</v>
      </c>
      <c r="DE123" s="31" t="str">
        <f t="shared" si="126"/>
        <v>0</v>
      </c>
      <c r="DF123" s="10">
        <f>+Risultati!AJ122</f>
        <v>0</v>
      </c>
      <c r="DG123" s="31" t="str">
        <f t="shared" si="127"/>
        <v>0</v>
      </c>
      <c r="DH123" s="10">
        <f t="shared" si="128"/>
        <v>0</v>
      </c>
      <c r="DI123" s="31" t="str">
        <f t="shared" si="129"/>
        <v>0</v>
      </c>
      <c r="DJ123" s="10">
        <f>+Risultati!AW122</f>
        <v>0</v>
      </c>
      <c r="DK123" s="31" t="str">
        <f t="shared" si="130"/>
        <v>0</v>
      </c>
      <c r="DL123" s="10">
        <f t="shared" si="101"/>
        <v>0</v>
      </c>
      <c r="DM123" s="31" t="str">
        <f t="shared" si="131"/>
        <v>0</v>
      </c>
      <c r="DO123" s="30"/>
      <c r="DP123" s="30"/>
    </row>
    <row r="124" spans="1:120" x14ac:dyDescent="0.2">
      <c r="A124" s="5"/>
      <c r="B124" s="6">
        <f>+Risultati!B123</f>
        <v>0</v>
      </c>
      <c r="C124" s="6">
        <f>+Risultati!C123</f>
        <v>0</v>
      </c>
      <c r="D124" s="26" t="str">
        <f>IF(YEAR(Risultati!D123)=1900,(MID(Risultati!$AP$1,29,4)),YEAR(Risultati!D123))</f>
        <v/>
      </c>
      <c r="E124" s="6">
        <f>+Risultati!E123</f>
        <v>0</v>
      </c>
      <c r="F124" s="8" t="e">
        <f>(LEFT(Risultati!AN123,2)&amp;"-")&amp;VLOOKUP((LEFT(Risultati!AN123,2)),ateco!$B$4:$C$93,2,FALSE)</f>
        <v>#N/A</v>
      </c>
      <c r="G124" s="8" t="str">
        <f>SUBSTITUTE((Risultati!AN123&amp;"-"&amp;Risultati!AO123),",",";")</f>
        <v>-</v>
      </c>
      <c r="I124" s="10">
        <f>+Risultati!G123</f>
        <v>0</v>
      </c>
      <c r="J124" s="11" t="str">
        <f t="shared" si="83"/>
        <v>0</v>
      </c>
      <c r="K124" s="12"/>
      <c r="L124" s="10">
        <f>+Risultati!G123+Risultati!H123</f>
        <v>0</v>
      </c>
      <c r="M124" s="11" t="str">
        <f t="shared" si="84"/>
        <v>0</v>
      </c>
      <c r="N124" s="12"/>
      <c r="O124" s="10">
        <f>+Risultati!I123+Risultati!J123</f>
        <v>0</v>
      </c>
      <c r="P124" s="11" t="str">
        <f t="shared" si="85"/>
        <v>0</v>
      </c>
      <c r="Q124" s="12"/>
      <c r="R124" s="13">
        <f t="shared" si="102"/>
        <v>0</v>
      </c>
      <c r="S124" s="11" t="str">
        <f t="shared" si="86"/>
        <v>0</v>
      </c>
      <c r="T124" s="12"/>
      <c r="U124" s="10">
        <f>+Risultati!F123-(Risultati!G123+Risultati!H123)</f>
        <v>0</v>
      </c>
      <c r="V124" s="12" t="str">
        <f t="shared" si="87"/>
        <v>0</v>
      </c>
      <c r="W124" s="12"/>
      <c r="X124" s="10">
        <f t="shared" si="103"/>
        <v>0</v>
      </c>
      <c r="Y124" s="12" t="str">
        <f t="shared" si="88"/>
        <v>0</v>
      </c>
      <c r="Z124" s="12"/>
      <c r="AA124" s="10">
        <f>+Risultati!K123</f>
        <v>0</v>
      </c>
      <c r="AB124" s="12" t="str">
        <f t="shared" si="89"/>
        <v>0</v>
      </c>
      <c r="AC124" s="12"/>
      <c r="AD124" s="10">
        <f>+Risultati!L123</f>
        <v>0</v>
      </c>
      <c r="AE124" s="12" t="str">
        <f t="shared" si="90"/>
        <v>0</v>
      </c>
      <c r="AF124" s="12"/>
      <c r="AG124" s="10">
        <f>+Risultati!M123+Risultati!P123+Risultati!Q123</f>
        <v>0</v>
      </c>
      <c r="AH124" s="12" t="str">
        <f t="shared" si="91"/>
        <v>0</v>
      </c>
      <c r="AI124" s="12"/>
      <c r="AJ124" s="13">
        <f t="shared" si="104"/>
        <v>0</v>
      </c>
      <c r="AK124" s="11" t="str">
        <f t="shared" si="92"/>
        <v>0</v>
      </c>
      <c r="AL124" s="12"/>
      <c r="AM124" s="10">
        <f>+Risultati!N123</f>
        <v>0</v>
      </c>
      <c r="AN124" s="12" t="str">
        <f t="shared" si="93"/>
        <v>0</v>
      </c>
      <c r="AO124" s="12"/>
      <c r="AP124" s="10">
        <f t="shared" si="105"/>
        <v>0</v>
      </c>
      <c r="AQ124" s="41" t="str">
        <f t="shared" si="94"/>
        <v>0</v>
      </c>
      <c r="AR124" s="12"/>
      <c r="AS124" s="10">
        <f>+Risultati!O123</f>
        <v>0</v>
      </c>
      <c r="AT124" s="12" t="str">
        <f t="shared" si="95"/>
        <v>0</v>
      </c>
      <c r="AU124" s="12"/>
      <c r="AV124" s="10">
        <f t="shared" si="106"/>
        <v>0</v>
      </c>
      <c r="AW124" s="12" t="str">
        <f t="shared" si="96"/>
        <v>0</v>
      </c>
      <c r="AX124" s="12"/>
      <c r="AY124" s="10">
        <f>+Risultati!R123+Risultati!S123</f>
        <v>0</v>
      </c>
      <c r="AZ124" s="12" t="str">
        <f t="shared" si="97"/>
        <v>0</v>
      </c>
      <c r="BA124" s="12"/>
      <c r="BB124" s="10">
        <f>+Risultati!T123</f>
        <v>0</v>
      </c>
      <c r="BC124" s="12" t="str">
        <f t="shared" si="98"/>
        <v>0</v>
      </c>
      <c r="BD124" s="12"/>
      <c r="BE124" s="10">
        <f>+Risultati!U123</f>
        <v>0</v>
      </c>
      <c r="BF124" s="12" t="str">
        <f t="shared" si="99"/>
        <v>0</v>
      </c>
      <c r="BG124" s="12"/>
      <c r="BH124" s="10">
        <f t="shared" si="107"/>
        <v>0</v>
      </c>
      <c r="BI124" s="12" t="str">
        <f t="shared" si="100"/>
        <v>0</v>
      </c>
      <c r="BK124" s="16">
        <f>IF(ISNUMBER(Risultati!X123/100),(Risultati!X123/100))</f>
        <v>0</v>
      </c>
      <c r="BL124" s="16">
        <f>IF(ISNUMBER(Risultati!Y123/100),(Risultati!Y123/100))</f>
        <v>0</v>
      </c>
      <c r="BM124" s="16">
        <f>IF(ISNUMBER(Risultati!Z123/100),(Risultati!Z123/100))</f>
        <v>0</v>
      </c>
      <c r="BN124" s="16">
        <f>IF(AND(Risultati!AY123&lt;0,calcoli!AP124&lt;0),-IF(ISNUMBER(Risultati!AA123/100),(Risultati!AA123/100)),IF(ISNUMBER(Risultati!AA123/100),(Risultati!AA123/100)))</f>
        <v>0</v>
      </c>
      <c r="BO124" s="16" t="str">
        <f t="shared" si="81"/>
        <v>0</v>
      </c>
      <c r="BP124" s="16" t="str">
        <f>IF(Risultati!AB123&gt;0,(AV124/Risultati!AB123),"0")</f>
        <v>0</v>
      </c>
      <c r="BQ124" s="16" t="str">
        <f>IF(Risultati!AG123&lt;&gt;0,(BH124/Risultati!AG123),"0")</f>
        <v>0</v>
      </c>
      <c r="BR124" s="16" t="str">
        <f t="shared" si="82"/>
        <v>0</v>
      </c>
      <c r="BS124" s="14" t="str">
        <f>IF(Risultati!AB123&gt;0,(Risultati!G123/Risultati!AB123),"0")</f>
        <v>0</v>
      </c>
      <c r="BT124" s="15" t="str">
        <f>IF(Risultati!AG123&lt;&gt;0,(Risultati!AB123/Risultati!AG123),"0")</f>
        <v>0</v>
      </c>
      <c r="BU124" s="23" t="str">
        <f>IF(AND(Risultati!G123&gt;0,(Risultati!AE123-Risultati!AF123)&gt;=0),((Risultati!AE123-Risultati!AF123)/Risultati!G123*360),"0")</f>
        <v>0</v>
      </c>
      <c r="BV124" s="21" t="str">
        <f>IF(OR(E124="abbreviato",Risultati!G123=0),"0",((Risultati!AC123+Risultati!AD123)/Risultati!G123*360))</f>
        <v>0</v>
      </c>
      <c r="BW124" s="21" t="str">
        <f>IF(OR(E124="abbreviato",Risultati!G123=0,SUM(Risultati!I123+Risultati!K123+Risultati!M123)=0),"0",(((Risultati!AH123+Risultati!AI123)/(Risultati!I123+Risultati!K123+Risultati!N123)*360)))</f>
        <v>0</v>
      </c>
      <c r="BX124" s="16" t="str">
        <f>IF(Risultati!AB123&gt;0,(+Risultati!AG123/Risultati!AB123),"0")</f>
        <v>0</v>
      </c>
      <c r="BY124" s="22" t="str">
        <f>IF(OR(E124="abbreviato",Risultati!G123=0),"0",(((Risultati!AK123-(Risultati!AL123+Risultati!AM123))/Risultati!G123)))</f>
        <v>0</v>
      </c>
      <c r="BZ124" s="16" t="str">
        <f>IF(Risultati!G123&gt;0,(Risultati!AJ123/Risultati!G123),"0")</f>
        <v>0</v>
      </c>
      <c r="CA124" s="8"/>
      <c r="CB124" s="10">
        <f>+Risultati!AP123</f>
        <v>0</v>
      </c>
      <c r="CC124" s="31" t="str">
        <f t="shared" si="108"/>
        <v>0</v>
      </c>
      <c r="CD124" s="10">
        <f>+Risultati!AQ123</f>
        <v>0</v>
      </c>
      <c r="CE124" s="31" t="str">
        <f t="shared" si="109"/>
        <v>0</v>
      </c>
      <c r="CF124" s="10">
        <f>+Risultati!AR123</f>
        <v>0</v>
      </c>
      <c r="CG124" s="31" t="str">
        <f t="shared" si="110"/>
        <v>0</v>
      </c>
      <c r="CH124" s="10">
        <f>+Risultati!AS123</f>
        <v>0</v>
      </c>
      <c r="CI124" s="31" t="str">
        <f t="shared" si="111"/>
        <v>0</v>
      </c>
      <c r="CJ124" s="10">
        <f t="shared" si="112"/>
        <v>0</v>
      </c>
      <c r="CK124" s="31" t="str">
        <f t="shared" si="113"/>
        <v>0</v>
      </c>
      <c r="CL124" s="10">
        <f>+Risultati!AE123+Risultati!AF123</f>
        <v>0</v>
      </c>
      <c r="CM124" s="31" t="str">
        <f t="shared" si="114"/>
        <v>0</v>
      </c>
      <c r="CN124" s="10">
        <f>+Risultati!AT123</f>
        <v>0</v>
      </c>
      <c r="CO124" s="31" t="str">
        <f t="shared" si="115"/>
        <v>0</v>
      </c>
      <c r="CP124" s="10">
        <f>+Risultati!AU123</f>
        <v>0</v>
      </c>
      <c r="CQ124" s="31" t="str">
        <f t="shared" si="116"/>
        <v>0</v>
      </c>
      <c r="CR124" s="10">
        <f>+Risultati!AL123</f>
        <v>0</v>
      </c>
      <c r="CS124" s="31" t="str">
        <f t="shared" si="117"/>
        <v>0</v>
      </c>
      <c r="CT124" s="10">
        <f t="shared" si="118"/>
        <v>0</v>
      </c>
      <c r="CU124" s="31" t="str">
        <f t="shared" si="119"/>
        <v>0</v>
      </c>
      <c r="CV124" s="10">
        <f>+Risultati!AX123</f>
        <v>0</v>
      </c>
      <c r="CW124" s="31" t="str">
        <f t="shared" si="120"/>
        <v>0</v>
      </c>
      <c r="CX124" s="10">
        <f t="shared" si="121"/>
        <v>0</v>
      </c>
      <c r="CY124" s="31" t="str">
        <f t="shared" si="122"/>
        <v>0</v>
      </c>
      <c r="CZ124" s="10">
        <f>+Risultati!AG123</f>
        <v>0</v>
      </c>
      <c r="DA124" s="31" t="str">
        <f t="shared" si="123"/>
        <v>0</v>
      </c>
      <c r="DB124" s="10">
        <f t="shared" si="124"/>
        <v>0</v>
      </c>
      <c r="DC124" s="31" t="str">
        <f t="shared" si="125"/>
        <v>0</v>
      </c>
      <c r="DD124" s="10">
        <f>+Risultati!AV123</f>
        <v>0</v>
      </c>
      <c r="DE124" s="31" t="str">
        <f t="shared" si="126"/>
        <v>0</v>
      </c>
      <c r="DF124" s="10">
        <f>+Risultati!AJ123</f>
        <v>0</v>
      </c>
      <c r="DG124" s="31" t="str">
        <f t="shared" si="127"/>
        <v>0</v>
      </c>
      <c r="DH124" s="10">
        <f t="shared" si="128"/>
        <v>0</v>
      </c>
      <c r="DI124" s="31" t="str">
        <f t="shared" si="129"/>
        <v>0</v>
      </c>
      <c r="DJ124" s="10">
        <f>+Risultati!AW123</f>
        <v>0</v>
      </c>
      <c r="DK124" s="31" t="str">
        <f t="shared" si="130"/>
        <v>0</v>
      </c>
      <c r="DL124" s="10">
        <f t="shared" si="101"/>
        <v>0</v>
      </c>
      <c r="DM124" s="31" t="str">
        <f t="shared" si="131"/>
        <v>0</v>
      </c>
      <c r="DO124" s="30"/>
      <c r="DP124" s="30"/>
    </row>
    <row r="125" spans="1:120" x14ac:dyDescent="0.2">
      <c r="A125" s="5"/>
      <c r="B125" s="6">
        <f>+Risultati!B124</f>
        <v>0</v>
      </c>
      <c r="C125" s="6">
        <f>+Risultati!C124</f>
        <v>0</v>
      </c>
      <c r="D125" s="26" t="str">
        <f>IF(YEAR(Risultati!D124)=1900,(MID(Risultati!$AP$1,29,4)),YEAR(Risultati!D124))</f>
        <v/>
      </c>
      <c r="E125" s="6">
        <f>+Risultati!E124</f>
        <v>0</v>
      </c>
      <c r="F125" s="8" t="e">
        <f>(LEFT(Risultati!AN124,2)&amp;"-")&amp;VLOOKUP((LEFT(Risultati!AN124,2)),ateco!$B$4:$C$93,2,FALSE)</f>
        <v>#N/A</v>
      </c>
      <c r="G125" s="8" t="str">
        <f>SUBSTITUTE((Risultati!AN124&amp;"-"&amp;Risultati!AO124),",",";")</f>
        <v>-</v>
      </c>
      <c r="I125" s="10">
        <f>+Risultati!G124</f>
        <v>0</v>
      </c>
      <c r="J125" s="11" t="str">
        <f t="shared" si="83"/>
        <v>0</v>
      </c>
      <c r="K125" s="12"/>
      <c r="L125" s="10">
        <f>+Risultati!G124+Risultati!H124</f>
        <v>0</v>
      </c>
      <c r="M125" s="11" t="str">
        <f t="shared" si="84"/>
        <v>0</v>
      </c>
      <c r="N125" s="12"/>
      <c r="O125" s="10">
        <f>+Risultati!I124+Risultati!J124</f>
        <v>0</v>
      </c>
      <c r="P125" s="11" t="str">
        <f t="shared" si="85"/>
        <v>0</v>
      </c>
      <c r="Q125" s="12"/>
      <c r="R125" s="13">
        <f t="shared" si="102"/>
        <v>0</v>
      </c>
      <c r="S125" s="11" t="str">
        <f t="shared" si="86"/>
        <v>0</v>
      </c>
      <c r="T125" s="12"/>
      <c r="U125" s="10">
        <f>+Risultati!F124-(Risultati!G124+Risultati!H124)</f>
        <v>0</v>
      </c>
      <c r="V125" s="12" t="str">
        <f t="shared" si="87"/>
        <v>0</v>
      </c>
      <c r="W125" s="12"/>
      <c r="X125" s="10">
        <f t="shared" si="103"/>
        <v>0</v>
      </c>
      <c r="Y125" s="12" t="str">
        <f t="shared" si="88"/>
        <v>0</v>
      </c>
      <c r="Z125" s="12"/>
      <c r="AA125" s="10">
        <f>+Risultati!K124</f>
        <v>0</v>
      </c>
      <c r="AB125" s="12" t="str">
        <f t="shared" si="89"/>
        <v>0</v>
      </c>
      <c r="AC125" s="12"/>
      <c r="AD125" s="10">
        <f>+Risultati!L124</f>
        <v>0</v>
      </c>
      <c r="AE125" s="12" t="str">
        <f t="shared" si="90"/>
        <v>0</v>
      </c>
      <c r="AF125" s="12"/>
      <c r="AG125" s="10">
        <f>+Risultati!M124+Risultati!P124+Risultati!Q124</f>
        <v>0</v>
      </c>
      <c r="AH125" s="12" t="str">
        <f t="shared" si="91"/>
        <v>0</v>
      </c>
      <c r="AI125" s="12"/>
      <c r="AJ125" s="13">
        <f t="shared" si="104"/>
        <v>0</v>
      </c>
      <c r="AK125" s="11" t="str">
        <f t="shared" si="92"/>
        <v>0</v>
      </c>
      <c r="AL125" s="12"/>
      <c r="AM125" s="10">
        <f>+Risultati!N124</f>
        <v>0</v>
      </c>
      <c r="AN125" s="12" t="str">
        <f t="shared" si="93"/>
        <v>0</v>
      </c>
      <c r="AO125" s="12"/>
      <c r="AP125" s="10">
        <f t="shared" si="105"/>
        <v>0</v>
      </c>
      <c r="AQ125" s="41" t="str">
        <f t="shared" si="94"/>
        <v>0</v>
      </c>
      <c r="AR125" s="12"/>
      <c r="AS125" s="10">
        <f>+Risultati!O124</f>
        <v>0</v>
      </c>
      <c r="AT125" s="12" t="str">
        <f t="shared" si="95"/>
        <v>0</v>
      </c>
      <c r="AU125" s="12"/>
      <c r="AV125" s="10">
        <f t="shared" si="106"/>
        <v>0</v>
      </c>
      <c r="AW125" s="12" t="str">
        <f t="shared" si="96"/>
        <v>0</v>
      </c>
      <c r="AX125" s="12"/>
      <c r="AY125" s="10">
        <f>+Risultati!R124+Risultati!S124</f>
        <v>0</v>
      </c>
      <c r="AZ125" s="12" t="str">
        <f t="shared" si="97"/>
        <v>0</v>
      </c>
      <c r="BA125" s="12"/>
      <c r="BB125" s="10">
        <f>+Risultati!T124</f>
        <v>0</v>
      </c>
      <c r="BC125" s="12" t="str">
        <f t="shared" si="98"/>
        <v>0</v>
      </c>
      <c r="BD125" s="12"/>
      <c r="BE125" s="10">
        <f>+Risultati!U124</f>
        <v>0</v>
      </c>
      <c r="BF125" s="12" t="str">
        <f t="shared" si="99"/>
        <v>0</v>
      </c>
      <c r="BG125" s="12"/>
      <c r="BH125" s="10">
        <f t="shared" si="107"/>
        <v>0</v>
      </c>
      <c r="BI125" s="12" t="str">
        <f t="shared" si="100"/>
        <v>0</v>
      </c>
      <c r="BK125" s="16">
        <f>IF(ISNUMBER(Risultati!X124/100),(Risultati!X124/100))</f>
        <v>0</v>
      </c>
      <c r="BL125" s="16">
        <f>IF(ISNUMBER(Risultati!Y124/100),(Risultati!Y124/100))</f>
        <v>0</v>
      </c>
      <c r="BM125" s="16">
        <f>IF(ISNUMBER(Risultati!Z124/100),(Risultati!Z124/100))</f>
        <v>0</v>
      </c>
      <c r="BN125" s="16">
        <f>IF(AND(Risultati!AY124&lt;0,calcoli!AP125&lt;0),-IF(ISNUMBER(Risultati!AA124/100),(Risultati!AA124/100)),IF(ISNUMBER(Risultati!AA124/100),(Risultati!AA124/100)))</f>
        <v>0</v>
      </c>
      <c r="BO125" s="16" t="str">
        <f t="shared" si="81"/>
        <v>0</v>
      </c>
      <c r="BP125" s="16" t="str">
        <f>IF(Risultati!AB124&gt;0,(AV125/Risultati!AB124),"0")</f>
        <v>0</v>
      </c>
      <c r="BQ125" s="16" t="str">
        <f>IF(Risultati!AG124&lt;&gt;0,(BH125/Risultati!AG124),"0")</f>
        <v>0</v>
      </c>
      <c r="BR125" s="16" t="str">
        <f t="shared" si="82"/>
        <v>0</v>
      </c>
      <c r="BS125" s="14" t="str">
        <f>IF(Risultati!AB124&gt;0,(Risultati!G124/Risultati!AB124),"0")</f>
        <v>0</v>
      </c>
      <c r="BT125" s="15" t="str">
        <f>IF(Risultati!AG124&lt;&gt;0,(Risultati!AB124/Risultati!AG124),"0")</f>
        <v>0</v>
      </c>
      <c r="BU125" s="23" t="str">
        <f>IF(AND(Risultati!G124&gt;0,(Risultati!AE124-Risultati!AF124)&gt;=0),((Risultati!AE124-Risultati!AF124)/Risultati!G124*360),"0")</f>
        <v>0</v>
      </c>
      <c r="BV125" s="21" t="str">
        <f>IF(OR(E125="abbreviato",Risultati!G124=0),"0",((Risultati!AC124+Risultati!AD124)/Risultati!G124*360))</f>
        <v>0</v>
      </c>
      <c r="BW125" s="21" t="str">
        <f>IF(OR(E125="abbreviato",Risultati!G124=0,SUM(Risultati!I124+Risultati!K124+Risultati!M124)=0),"0",(((Risultati!AH124+Risultati!AI124)/(Risultati!I124+Risultati!K124+Risultati!N124)*360)))</f>
        <v>0</v>
      </c>
      <c r="BX125" s="16" t="str">
        <f>IF(Risultati!AB124&gt;0,(+Risultati!AG124/Risultati!AB124),"0")</f>
        <v>0</v>
      </c>
      <c r="BY125" s="22" t="str">
        <f>IF(OR(E125="abbreviato",Risultati!G124=0),"0",(((Risultati!AK124-(Risultati!AL124+Risultati!AM124))/Risultati!G124)))</f>
        <v>0</v>
      </c>
      <c r="BZ125" s="16" t="str">
        <f>IF(Risultati!G124&gt;0,(Risultati!AJ124/Risultati!G124),"0")</f>
        <v>0</v>
      </c>
      <c r="CA125" s="8"/>
      <c r="CB125" s="10">
        <f>+Risultati!AP124</f>
        <v>0</v>
      </c>
      <c r="CC125" s="31" t="str">
        <f t="shared" si="108"/>
        <v>0</v>
      </c>
      <c r="CD125" s="10">
        <f>+Risultati!AQ124</f>
        <v>0</v>
      </c>
      <c r="CE125" s="31" t="str">
        <f t="shared" si="109"/>
        <v>0</v>
      </c>
      <c r="CF125" s="10">
        <f>+Risultati!AR124</f>
        <v>0</v>
      </c>
      <c r="CG125" s="31" t="str">
        <f t="shared" si="110"/>
        <v>0</v>
      </c>
      <c r="CH125" s="10">
        <f>+Risultati!AS124</f>
        <v>0</v>
      </c>
      <c r="CI125" s="31" t="str">
        <f t="shared" si="111"/>
        <v>0</v>
      </c>
      <c r="CJ125" s="10">
        <f t="shared" si="112"/>
        <v>0</v>
      </c>
      <c r="CK125" s="31" t="str">
        <f t="shared" si="113"/>
        <v>0</v>
      </c>
      <c r="CL125" s="10">
        <f>+Risultati!AE124+Risultati!AF124</f>
        <v>0</v>
      </c>
      <c r="CM125" s="31" t="str">
        <f t="shared" si="114"/>
        <v>0</v>
      </c>
      <c r="CN125" s="10">
        <f>+Risultati!AT124</f>
        <v>0</v>
      </c>
      <c r="CO125" s="31" t="str">
        <f t="shared" si="115"/>
        <v>0</v>
      </c>
      <c r="CP125" s="10">
        <f>+Risultati!AU124</f>
        <v>0</v>
      </c>
      <c r="CQ125" s="31" t="str">
        <f t="shared" si="116"/>
        <v>0</v>
      </c>
      <c r="CR125" s="10">
        <f>+Risultati!AL124</f>
        <v>0</v>
      </c>
      <c r="CS125" s="31" t="str">
        <f t="shared" si="117"/>
        <v>0</v>
      </c>
      <c r="CT125" s="10">
        <f t="shared" si="118"/>
        <v>0</v>
      </c>
      <c r="CU125" s="31" t="str">
        <f t="shared" si="119"/>
        <v>0</v>
      </c>
      <c r="CV125" s="10">
        <f>+Risultati!AX124</f>
        <v>0</v>
      </c>
      <c r="CW125" s="31" t="str">
        <f t="shared" si="120"/>
        <v>0</v>
      </c>
      <c r="CX125" s="10">
        <f t="shared" si="121"/>
        <v>0</v>
      </c>
      <c r="CY125" s="31" t="str">
        <f t="shared" si="122"/>
        <v>0</v>
      </c>
      <c r="CZ125" s="10">
        <f>+Risultati!AG124</f>
        <v>0</v>
      </c>
      <c r="DA125" s="31" t="str">
        <f t="shared" si="123"/>
        <v>0</v>
      </c>
      <c r="DB125" s="10">
        <f t="shared" si="124"/>
        <v>0</v>
      </c>
      <c r="DC125" s="31" t="str">
        <f t="shared" si="125"/>
        <v>0</v>
      </c>
      <c r="DD125" s="10">
        <f>+Risultati!AV124</f>
        <v>0</v>
      </c>
      <c r="DE125" s="31" t="str">
        <f t="shared" si="126"/>
        <v>0</v>
      </c>
      <c r="DF125" s="10">
        <f>+Risultati!AJ124</f>
        <v>0</v>
      </c>
      <c r="DG125" s="31" t="str">
        <f t="shared" si="127"/>
        <v>0</v>
      </c>
      <c r="DH125" s="10">
        <f t="shared" si="128"/>
        <v>0</v>
      </c>
      <c r="DI125" s="31" t="str">
        <f t="shared" si="129"/>
        <v>0</v>
      </c>
      <c r="DJ125" s="10">
        <f>+Risultati!AW124</f>
        <v>0</v>
      </c>
      <c r="DK125" s="31" t="str">
        <f t="shared" si="130"/>
        <v>0</v>
      </c>
      <c r="DL125" s="10">
        <f t="shared" si="101"/>
        <v>0</v>
      </c>
      <c r="DM125" s="31" t="str">
        <f t="shared" si="131"/>
        <v>0</v>
      </c>
      <c r="DO125" s="30"/>
      <c r="DP125" s="30"/>
    </row>
    <row r="126" spans="1:120" x14ac:dyDescent="0.2">
      <c r="A126" s="5"/>
      <c r="B126" s="6">
        <f>+Risultati!B125</f>
        <v>0</v>
      </c>
      <c r="C126" s="6">
        <f>+Risultati!C125</f>
        <v>0</v>
      </c>
      <c r="D126" s="26" t="str">
        <f>IF(YEAR(Risultati!D125)=1900,(MID(Risultati!$AP$1,29,4)),YEAR(Risultati!D125))</f>
        <v/>
      </c>
      <c r="E126" s="6">
        <f>+Risultati!E125</f>
        <v>0</v>
      </c>
      <c r="F126" s="8" t="e">
        <f>(LEFT(Risultati!AN125,2)&amp;"-")&amp;VLOOKUP((LEFT(Risultati!AN125,2)),ateco!$B$4:$C$93,2,FALSE)</f>
        <v>#N/A</v>
      </c>
      <c r="G126" s="8" t="str">
        <f>SUBSTITUTE((Risultati!AN125&amp;"-"&amp;Risultati!AO125),",",";")</f>
        <v>-</v>
      </c>
      <c r="I126" s="10">
        <f>+Risultati!G125</f>
        <v>0</v>
      </c>
      <c r="J126" s="11" t="str">
        <f t="shared" si="83"/>
        <v>0</v>
      </c>
      <c r="K126" s="12"/>
      <c r="L126" s="10">
        <f>+Risultati!G125+Risultati!H125</f>
        <v>0</v>
      </c>
      <c r="M126" s="11" t="str">
        <f t="shared" si="84"/>
        <v>0</v>
      </c>
      <c r="N126" s="12"/>
      <c r="O126" s="10">
        <f>+Risultati!I125+Risultati!J125</f>
        <v>0</v>
      </c>
      <c r="P126" s="11" t="str">
        <f t="shared" si="85"/>
        <v>0</v>
      </c>
      <c r="Q126" s="12"/>
      <c r="R126" s="13">
        <f t="shared" si="102"/>
        <v>0</v>
      </c>
      <c r="S126" s="11" t="str">
        <f t="shared" si="86"/>
        <v>0</v>
      </c>
      <c r="T126" s="12"/>
      <c r="U126" s="10">
        <f>+Risultati!F125-(Risultati!G125+Risultati!H125)</f>
        <v>0</v>
      </c>
      <c r="V126" s="12" t="str">
        <f t="shared" si="87"/>
        <v>0</v>
      </c>
      <c r="W126" s="12"/>
      <c r="X126" s="10">
        <f t="shared" si="103"/>
        <v>0</v>
      </c>
      <c r="Y126" s="12" t="str">
        <f t="shared" si="88"/>
        <v>0</v>
      </c>
      <c r="Z126" s="12"/>
      <c r="AA126" s="10">
        <f>+Risultati!K125</f>
        <v>0</v>
      </c>
      <c r="AB126" s="12" t="str">
        <f t="shared" si="89"/>
        <v>0</v>
      </c>
      <c r="AC126" s="12"/>
      <c r="AD126" s="10">
        <f>+Risultati!L125</f>
        <v>0</v>
      </c>
      <c r="AE126" s="12" t="str">
        <f t="shared" si="90"/>
        <v>0</v>
      </c>
      <c r="AF126" s="12"/>
      <c r="AG126" s="10">
        <f>+Risultati!M125+Risultati!P125+Risultati!Q125</f>
        <v>0</v>
      </c>
      <c r="AH126" s="12" t="str">
        <f t="shared" si="91"/>
        <v>0</v>
      </c>
      <c r="AI126" s="12"/>
      <c r="AJ126" s="13">
        <f t="shared" si="104"/>
        <v>0</v>
      </c>
      <c r="AK126" s="11" t="str">
        <f t="shared" si="92"/>
        <v>0</v>
      </c>
      <c r="AL126" s="12"/>
      <c r="AM126" s="10">
        <f>+Risultati!N125</f>
        <v>0</v>
      </c>
      <c r="AN126" s="12" t="str">
        <f t="shared" si="93"/>
        <v>0</v>
      </c>
      <c r="AO126" s="12"/>
      <c r="AP126" s="10">
        <f t="shared" si="105"/>
        <v>0</v>
      </c>
      <c r="AQ126" s="41" t="str">
        <f t="shared" si="94"/>
        <v>0</v>
      </c>
      <c r="AR126" s="12"/>
      <c r="AS126" s="10">
        <f>+Risultati!O125</f>
        <v>0</v>
      </c>
      <c r="AT126" s="12" t="str">
        <f t="shared" si="95"/>
        <v>0</v>
      </c>
      <c r="AU126" s="12"/>
      <c r="AV126" s="10">
        <f t="shared" si="106"/>
        <v>0</v>
      </c>
      <c r="AW126" s="12" t="str">
        <f t="shared" si="96"/>
        <v>0</v>
      </c>
      <c r="AX126" s="12"/>
      <c r="AY126" s="10">
        <f>+Risultati!R125+Risultati!S125</f>
        <v>0</v>
      </c>
      <c r="AZ126" s="12" t="str">
        <f t="shared" si="97"/>
        <v>0</v>
      </c>
      <c r="BA126" s="12"/>
      <c r="BB126" s="10">
        <f>+Risultati!T125</f>
        <v>0</v>
      </c>
      <c r="BC126" s="12" t="str">
        <f t="shared" si="98"/>
        <v>0</v>
      </c>
      <c r="BD126" s="12"/>
      <c r="BE126" s="10">
        <f>+Risultati!U125</f>
        <v>0</v>
      </c>
      <c r="BF126" s="12" t="str">
        <f t="shared" si="99"/>
        <v>0</v>
      </c>
      <c r="BG126" s="12"/>
      <c r="BH126" s="10">
        <f t="shared" si="107"/>
        <v>0</v>
      </c>
      <c r="BI126" s="12" t="str">
        <f t="shared" si="100"/>
        <v>0</v>
      </c>
      <c r="BK126" s="16">
        <f>IF(ISNUMBER(Risultati!X125/100),(Risultati!X125/100))</f>
        <v>0</v>
      </c>
      <c r="BL126" s="16">
        <f>IF(ISNUMBER(Risultati!Y125/100),(Risultati!Y125/100))</f>
        <v>0</v>
      </c>
      <c r="BM126" s="16">
        <f>IF(ISNUMBER(Risultati!Z125/100),(Risultati!Z125/100))</f>
        <v>0</v>
      </c>
      <c r="BN126" s="16">
        <f>IF(AND(Risultati!AY125&lt;0,calcoli!AP126&lt;0),-IF(ISNUMBER(Risultati!AA125/100),(Risultati!AA125/100)),IF(ISNUMBER(Risultati!AA125/100),(Risultati!AA125/100)))</f>
        <v>0</v>
      </c>
      <c r="BO126" s="16" t="str">
        <f t="shared" si="81"/>
        <v>0</v>
      </c>
      <c r="BP126" s="16" t="str">
        <f>IF(Risultati!AB125&gt;0,(AV126/Risultati!AB125),"0")</f>
        <v>0</v>
      </c>
      <c r="BQ126" s="16" t="str">
        <f>IF(Risultati!AG125&lt;&gt;0,(BH126/Risultati!AG125),"0")</f>
        <v>0</v>
      </c>
      <c r="BR126" s="16" t="str">
        <f t="shared" si="82"/>
        <v>0</v>
      </c>
      <c r="BS126" s="14" t="str">
        <f>IF(Risultati!AB125&gt;0,(Risultati!G125/Risultati!AB125),"0")</f>
        <v>0</v>
      </c>
      <c r="BT126" s="15" t="str">
        <f>IF(Risultati!AG125&lt;&gt;0,(Risultati!AB125/Risultati!AG125),"0")</f>
        <v>0</v>
      </c>
      <c r="BU126" s="23" t="str">
        <f>IF(AND(Risultati!G125&gt;0,(Risultati!AE125-Risultati!AF125)&gt;=0),((Risultati!AE125-Risultati!AF125)/Risultati!G125*360),"0")</f>
        <v>0</v>
      </c>
      <c r="BV126" s="21" t="str">
        <f>IF(OR(E126="abbreviato",Risultati!G125=0),"0",((Risultati!AC125+Risultati!AD125)/Risultati!G125*360))</f>
        <v>0</v>
      </c>
      <c r="BW126" s="21" t="str">
        <f>IF(OR(E126="abbreviato",Risultati!G125=0,SUM(Risultati!I125+Risultati!K125+Risultati!M125)=0),"0",(((Risultati!AH125+Risultati!AI125)/(Risultati!I125+Risultati!K125+Risultati!N125)*360)))</f>
        <v>0</v>
      </c>
      <c r="BX126" s="16" t="str">
        <f>IF(Risultati!AB125&gt;0,(+Risultati!AG125/Risultati!AB125),"0")</f>
        <v>0</v>
      </c>
      <c r="BY126" s="22" t="str">
        <f>IF(OR(E126="abbreviato",Risultati!G125=0),"0",(((Risultati!AK125-(Risultati!AL125+Risultati!AM125))/Risultati!G125)))</f>
        <v>0</v>
      </c>
      <c r="BZ126" s="16" t="str">
        <f>IF(Risultati!G125&gt;0,(Risultati!AJ125/Risultati!G125),"0")</f>
        <v>0</v>
      </c>
      <c r="CA126" s="8"/>
      <c r="CB126" s="10">
        <f>+Risultati!AP125</f>
        <v>0</v>
      </c>
      <c r="CC126" s="31" t="str">
        <f t="shared" si="108"/>
        <v>0</v>
      </c>
      <c r="CD126" s="10">
        <f>+Risultati!AQ125</f>
        <v>0</v>
      </c>
      <c r="CE126" s="31" t="str">
        <f t="shared" si="109"/>
        <v>0</v>
      </c>
      <c r="CF126" s="10">
        <f>+Risultati!AR125</f>
        <v>0</v>
      </c>
      <c r="CG126" s="31" t="str">
        <f t="shared" si="110"/>
        <v>0</v>
      </c>
      <c r="CH126" s="10">
        <f>+Risultati!AS125</f>
        <v>0</v>
      </c>
      <c r="CI126" s="31" t="str">
        <f t="shared" si="111"/>
        <v>0</v>
      </c>
      <c r="CJ126" s="10">
        <f t="shared" si="112"/>
        <v>0</v>
      </c>
      <c r="CK126" s="31" t="str">
        <f t="shared" si="113"/>
        <v>0</v>
      </c>
      <c r="CL126" s="10">
        <f>+Risultati!AE125+Risultati!AF125</f>
        <v>0</v>
      </c>
      <c r="CM126" s="31" t="str">
        <f t="shared" si="114"/>
        <v>0</v>
      </c>
      <c r="CN126" s="10">
        <f>+Risultati!AT125</f>
        <v>0</v>
      </c>
      <c r="CO126" s="31" t="str">
        <f t="shared" si="115"/>
        <v>0</v>
      </c>
      <c r="CP126" s="10">
        <f>+Risultati!AU125</f>
        <v>0</v>
      </c>
      <c r="CQ126" s="31" t="str">
        <f t="shared" si="116"/>
        <v>0</v>
      </c>
      <c r="CR126" s="10">
        <f>+Risultati!AL125</f>
        <v>0</v>
      </c>
      <c r="CS126" s="31" t="str">
        <f t="shared" si="117"/>
        <v>0</v>
      </c>
      <c r="CT126" s="10">
        <f t="shared" si="118"/>
        <v>0</v>
      </c>
      <c r="CU126" s="31" t="str">
        <f t="shared" si="119"/>
        <v>0</v>
      </c>
      <c r="CV126" s="10">
        <f>+Risultati!AX125</f>
        <v>0</v>
      </c>
      <c r="CW126" s="31" t="str">
        <f t="shared" si="120"/>
        <v>0</v>
      </c>
      <c r="CX126" s="10">
        <f t="shared" si="121"/>
        <v>0</v>
      </c>
      <c r="CY126" s="31" t="str">
        <f t="shared" si="122"/>
        <v>0</v>
      </c>
      <c r="CZ126" s="10">
        <f>+Risultati!AG125</f>
        <v>0</v>
      </c>
      <c r="DA126" s="31" t="str">
        <f t="shared" si="123"/>
        <v>0</v>
      </c>
      <c r="DB126" s="10">
        <f t="shared" si="124"/>
        <v>0</v>
      </c>
      <c r="DC126" s="31" t="str">
        <f t="shared" si="125"/>
        <v>0</v>
      </c>
      <c r="DD126" s="10">
        <f>+Risultati!AV125</f>
        <v>0</v>
      </c>
      <c r="DE126" s="31" t="str">
        <f t="shared" si="126"/>
        <v>0</v>
      </c>
      <c r="DF126" s="10">
        <f>+Risultati!AJ125</f>
        <v>0</v>
      </c>
      <c r="DG126" s="31" t="str">
        <f t="shared" si="127"/>
        <v>0</v>
      </c>
      <c r="DH126" s="10">
        <f t="shared" si="128"/>
        <v>0</v>
      </c>
      <c r="DI126" s="31" t="str">
        <f t="shared" si="129"/>
        <v>0</v>
      </c>
      <c r="DJ126" s="10">
        <f>+Risultati!AW125</f>
        <v>0</v>
      </c>
      <c r="DK126" s="31" t="str">
        <f t="shared" si="130"/>
        <v>0</v>
      </c>
      <c r="DL126" s="10">
        <f t="shared" si="101"/>
        <v>0</v>
      </c>
      <c r="DM126" s="31" t="str">
        <f t="shared" si="131"/>
        <v>0</v>
      </c>
      <c r="DO126" s="30"/>
      <c r="DP126" s="30"/>
    </row>
    <row r="127" spans="1:120" x14ac:dyDescent="0.2">
      <c r="A127" s="5"/>
      <c r="B127" s="6">
        <f>+Risultati!B126</f>
        <v>0</v>
      </c>
      <c r="C127" s="6">
        <f>+Risultati!C126</f>
        <v>0</v>
      </c>
      <c r="D127" s="26" t="str">
        <f>IF(YEAR(Risultati!D126)=1900,(MID(Risultati!$AP$1,29,4)),YEAR(Risultati!D126))</f>
        <v/>
      </c>
      <c r="E127" s="6">
        <f>+Risultati!E126</f>
        <v>0</v>
      </c>
      <c r="F127" s="8" t="e">
        <f>(LEFT(Risultati!AN126,2)&amp;"-")&amp;VLOOKUP((LEFT(Risultati!AN126,2)),ateco!$B$4:$C$93,2,FALSE)</f>
        <v>#N/A</v>
      </c>
      <c r="G127" s="8" t="str">
        <f>SUBSTITUTE((Risultati!AN126&amp;"-"&amp;Risultati!AO126),",",";")</f>
        <v>-</v>
      </c>
      <c r="I127" s="10">
        <f>+Risultati!G126</f>
        <v>0</v>
      </c>
      <c r="J127" s="11" t="str">
        <f t="shared" si="83"/>
        <v>0</v>
      </c>
      <c r="K127" s="12"/>
      <c r="L127" s="10">
        <f>+Risultati!G126+Risultati!H126</f>
        <v>0</v>
      </c>
      <c r="M127" s="11" t="str">
        <f t="shared" si="84"/>
        <v>0</v>
      </c>
      <c r="N127" s="12"/>
      <c r="O127" s="10">
        <f>+Risultati!I126+Risultati!J126</f>
        <v>0</v>
      </c>
      <c r="P127" s="11" t="str">
        <f t="shared" si="85"/>
        <v>0</v>
      </c>
      <c r="Q127" s="12"/>
      <c r="R127" s="13">
        <f t="shared" si="102"/>
        <v>0</v>
      </c>
      <c r="S127" s="11" t="str">
        <f t="shared" si="86"/>
        <v>0</v>
      </c>
      <c r="T127" s="12"/>
      <c r="U127" s="10">
        <f>+Risultati!F126-(Risultati!G126+Risultati!H126)</f>
        <v>0</v>
      </c>
      <c r="V127" s="12" t="str">
        <f t="shared" si="87"/>
        <v>0</v>
      </c>
      <c r="W127" s="12"/>
      <c r="X127" s="10">
        <f t="shared" si="103"/>
        <v>0</v>
      </c>
      <c r="Y127" s="12" t="str">
        <f t="shared" si="88"/>
        <v>0</v>
      </c>
      <c r="Z127" s="12"/>
      <c r="AA127" s="10">
        <f>+Risultati!K126</f>
        <v>0</v>
      </c>
      <c r="AB127" s="12" t="str">
        <f t="shared" si="89"/>
        <v>0</v>
      </c>
      <c r="AC127" s="12"/>
      <c r="AD127" s="10">
        <f>+Risultati!L126</f>
        <v>0</v>
      </c>
      <c r="AE127" s="12" t="str">
        <f t="shared" si="90"/>
        <v>0</v>
      </c>
      <c r="AF127" s="12"/>
      <c r="AG127" s="10">
        <f>+Risultati!M126+Risultati!P126+Risultati!Q126</f>
        <v>0</v>
      </c>
      <c r="AH127" s="12" t="str">
        <f t="shared" si="91"/>
        <v>0</v>
      </c>
      <c r="AI127" s="12"/>
      <c r="AJ127" s="13">
        <f t="shared" si="104"/>
        <v>0</v>
      </c>
      <c r="AK127" s="11" t="str">
        <f t="shared" si="92"/>
        <v>0</v>
      </c>
      <c r="AL127" s="12"/>
      <c r="AM127" s="10">
        <f>+Risultati!N126</f>
        <v>0</v>
      </c>
      <c r="AN127" s="12" t="str">
        <f t="shared" si="93"/>
        <v>0</v>
      </c>
      <c r="AO127" s="12"/>
      <c r="AP127" s="10">
        <f t="shared" si="105"/>
        <v>0</v>
      </c>
      <c r="AQ127" s="41" t="str">
        <f t="shared" si="94"/>
        <v>0</v>
      </c>
      <c r="AR127" s="12"/>
      <c r="AS127" s="10">
        <f>+Risultati!O126</f>
        <v>0</v>
      </c>
      <c r="AT127" s="12" t="str">
        <f t="shared" si="95"/>
        <v>0</v>
      </c>
      <c r="AU127" s="12"/>
      <c r="AV127" s="10">
        <f t="shared" si="106"/>
        <v>0</v>
      </c>
      <c r="AW127" s="12" t="str">
        <f t="shared" si="96"/>
        <v>0</v>
      </c>
      <c r="AX127" s="12"/>
      <c r="AY127" s="10">
        <f>+Risultati!R126+Risultati!S126</f>
        <v>0</v>
      </c>
      <c r="AZ127" s="12" t="str">
        <f t="shared" si="97"/>
        <v>0</v>
      </c>
      <c r="BA127" s="12"/>
      <c r="BB127" s="10">
        <f>+Risultati!T126</f>
        <v>0</v>
      </c>
      <c r="BC127" s="12" t="str">
        <f t="shared" si="98"/>
        <v>0</v>
      </c>
      <c r="BD127" s="12"/>
      <c r="BE127" s="10">
        <f>+Risultati!U126</f>
        <v>0</v>
      </c>
      <c r="BF127" s="12" t="str">
        <f t="shared" si="99"/>
        <v>0</v>
      </c>
      <c r="BG127" s="12"/>
      <c r="BH127" s="10">
        <f t="shared" si="107"/>
        <v>0</v>
      </c>
      <c r="BI127" s="12" t="str">
        <f t="shared" si="100"/>
        <v>0</v>
      </c>
      <c r="BK127" s="16">
        <f>IF(ISNUMBER(Risultati!X126/100),(Risultati!X126/100))</f>
        <v>0</v>
      </c>
      <c r="BL127" s="16">
        <f>IF(ISNUMBER(Risultati!Y126/100),(Risultati!Y126/100))</f>
        <v>0</v>
      </c>
      <c r="BM127" s="16">
        <f>IF(ISNUMBER(Risultati!Z126/100),(Risultati!Z126/100))</f>
        <v>0</v>
      </c>
      <c r="BN127" s="16">
        <f>IF(AND(Risultati!AY126&lt;0,calcoli!AP127&lt;0),-IF(ISNUMBER(Risultati!AA126/100),(Risultati!AA126/100)),IF(ISNUMBER(Risultati!AA126/100),(Risultati!AA126/100)))</f>
        <v>0</v>
      </c>
      <c r="BO127" s="16" t="str">
        <f t="shared" si="81"/>
        <v>0</v>
      </c>
      <c r="BP127" s="16" t="str">
        <f>IF(Risultati!AB126&gt;0,(AV127/Risultati!AB126),"0")</f>
        <v>0</v>
      </c>
      <c r="BQ127" s="16" t="str">
        <f>IF(Risultati!AG126&lt;&gt;0,(BH127/Risultati!AG126),"0")</f>
        <v>0</v>
      </c>
      <c r="BR127" s="16" t="str">
        <f t="shared" si="82"/>
        <v>0</v>
      </c>
      <c r="BS127" s="14" t="str">
        <f>IF(Risultati!AB126&gt;0,(Risultati!G126/Risultati!AB126),"0")</f>
        <v>0</v>
      </c>
      <c r="BT127" s="15" t="str">
        <f>IF(Risultati!AG126&lt;&gt;0,(Risultati!AB126/Risultati!AG126),"0")</f>
        <v>0</v>
      </c>
      <c r="BU127" s="23" t="str">
        <f>IF(AND(Risultati!G126&gt;0,(Risultati!AE126-Risultati!AF126)&gt;=0),((Risultati!AE126-Risultati!AF126)/Risultati!G126*360),"0")</f>
        <v>0</v>
      </c>
      <c r="BV127" s="21" t="str">
        <f>IF(OR(E127="abbreviato",Risultati!G126=0),"0",((Risultati!AC126+Risultati!AD126)/Risultati!G126*360))</f>
        <v>0</v>
      </c>
      <c r="BW127" s="21" t="str">
        <f>IF(OR(E127="abbreviato",Risultati!G126=0,SUM(Risultati!I126+Risultati!K126+Risultati!M126)=0),"0",(((Risultati!AH126+Risultati!AI126)/(Risultati!I126+Risultati!K126+Risultati!N126)*360)))</f>
        <v>0</v>
      </c>
      <c r="BX127" s="16" t="str">
        <f>IF(Risultati!AB126&gt;0,(+Risultati!AG126/Risultati!AB126),"0")</f>
        <v>0</v>
      </c>
      <c r="BY127" s="22" t="str">
        <f>IF(OR(E127="abbreviato",Risultati!G126=0),"0",(((Risultati!AK126-(Risultati!AL126+Risultati!AM126))/Risultati!G126)))</f>
        <v>0</v>
      </c>
      <c r="BZ127" s="16" t="str">
        <f>IF(Risultati!G126&gt;0,(Risultati!AJ126/Risultati!G126),"0")</f>
        <v>0</v>
      </c>
      <c r="CA127" s="8"/>
      <c r="CB127" s="10">
        <f>+Risultati!AP126</f>
        <v>0</v>
      </c>
      <c r="CC127" s="31" t="str">
        <f t="shared" si="108"/>
        <v>0</v>
      </c>
      <c r="CD127" s="10">
        <f>+Risultati!AQ126</f>
        <v>0</v>
      </c>
      <c r="CE127" s="31" t="str">
        <f t="shared" si="109"/>
        <v>0</v>
      </c>
      <c r="CF127" s="10">
        <f>+Risultati!AR126</f>
        <v>0</v>
      </c>
      <c r="CG127" s="31" t="str">
        <f t="shared" si="110"/>
        <v>0</v>
      </c>
      <c r="CH127" s="10">
        <f>+Risultati!AS126</f>
        <v>0</v>
      </c>
      <c r="CI127" s="31" t="str">
        <f t="shared" si="111"/>
        <v>0</v>
      </c>
      <c r="CJ127" s="10">
        <f t="shared" si="112"/>
        <v>0</v>
      </c>
      <c r="CK127" s="31" t="str">
        <f t="shared" si="113"/>
        <v>0</v>
      </c>
      <c r="CL127" s="10">
        <f>+Risultati!AE126+Risultati!AF126</f>
        <v>0</v>
      </c>
      <c r="CM127" s="31" t="str">
        <f t="shared" si="114"/>
        <v>0</v>
      </c>
      <c r="CN127" s="10">
        <f>+Risultati!AT126</f>
        <v>0</v>
      </c>
      <c r="CO127" s="31" t="str">
        <f t="shared" si="115"/>
        <v>0</v>
      </c>
      <c r="CP127" s="10">
        <f>+Risultati!AU126</f>
        <v>0</v>
      </c>
      <c r="CQ127" s="31" t="str">
        <f t="shared" si="116"/>
        <v>0</v>
      </c>
      <c r="CR127" s="10">
        <f>+Risultati!AL126</f>
        <v>0</v>
      </c>
      <c r="CS127" s="31" t="str">
        <f t="shared" si="117"/>
        <v>0</v>
      </c>
      <c r="CT127" s="10">
        <f t="shared" si="118"/>
        <v>0</v>
      </c>
      <c r="CU127" s="31" t="str">
        <f t="shared" si="119"/>
        <v>0</v>
      </c>
      <c r="CV127" s="10">
        <f>+Risultati!AX126</f>
        <v>0</v>
      </c>
      <c r="CW127" s="31" t="str">
        <f t="shared" si="120"/>
        <v>0</v>
      </c>
      <c r="CX127" s="10">
        <f t="shared" si="121"/>
        <v>0</v>
      </c>
      <c r="CY127" s="31" t="str">
        <f t="shared" si="122"/>
        <v>0</v>
      </c>
      <c r="CZ127" s="10">
        <f>+Risultati!AG126</f>
        <v>0</v>
      </c>
      <c r="DA127" s="31" t="str">
        <f t="shared" si="123"/>
        <v>0</v>
      </c>
      <c r="DB127" s="10">
        <f t="shared" si="124"/>
        <v>0</v>
      </c>
      <c r="DC127" s="31" t="str">
        <f t="shared" si="125"/>
        <v>0</v>
      </c>
      <c r="DD127" s="10">
        <f>+Risultati!AV126</f>
        <v>0</v>
      </c>
      <c r="DE127" s="31" t="str">
        <f t="shared" si="126"/>
        <v>0</v>
      </c>
      <c r="DF127" s="10">
        <f>+Risultati!AJ126</f>
        <v>0</v>
      </c>
      <c r="DG127" s="31" t="str">
        <f t="shared" si="127"/>
        <v>0</v>
      </c>
      <c r="DH127" s="10">
        <f t="shared" si="128"/>
        <v>0</v>
      </c>
      <c r="DI127" s="31" t="str">
        <f t="shared" si="129"/>
        <v>0</v>
      </c>
      <c r="DJ127" s="10">
        <f>+Risultati!AW126</f>
        <v>0</v>
      </c>
      <c r="DK127" s="31" t="str">
        <f t="shared" si="130"/>
        <v>0</v>
      </c>
      <c r="DL127" s="10">
        <f t="shared" si="101"/>
        <v>0</v>
      </c>
      <c r="DM127" s="31" t="str">
        <f t="shared" si="131"/>
        <v>0</v>
      </c>
      <c r="DO127" s="30"/>
      <c r="DP127" s="30"/>
    </row>
    <row r="128" spans="1:120" x14ac:dyDescent="0.2">
      <c r="A128" s="5"/>
      <c r="B128" s="6">
        <f>+Risultati!B127</f>
        <v>0</v>
      </c>
      <c r="C128" s="6">
        <f>+Risultati!C127</f>
        <v>0</v>
      </c>
      <c r="D128" s="26" t="str">
        <f>IF(YEAR(Risultati!D127)=1900,(MID(Risultati!$AP$1,29,4)),YEAR(Risultati!D127))</f>
        <v/>
      </c>
      <c r="E128" s="6">
        <f>+Risultati!E127</f>
        <v>0</v>
      </c>
      <c r="F128" s="8" t="e">
        <f>(LEFT(Risultati!AN127,2)&amp;"-")&amp;VLOOKUP((LEFT(Risultati!AN127,2)),ateco!$B$4:$C$93,2,FALSE)</f>
        <v>#N/A</v>
      </c>
      <c r="G128" s="8" t="str">
        <f>SUBSTITUTE((Risultati!AN127&amp;"-"&amp;Risultati!AO127),",",";")</f>
        <v>-</v>
      </c>
      <c r="I128" s="10">
        <f>+Risultati!G127</f>
        <v>0</v>
      </c>
      <c r="J128" s="11" t="str">
        <f t="shared" si="83"/>
        <v>0</v>
      </c>
      <c r="K128" s="12"/>
      <c r="L128" s="10">
        <f>+Risultati!G127+Risultati!H127</f>
        <v>0</v>
      </c>
      <c r="M128" s="11" t="str">
        <f t="shared" si="84"/>
        <v>0</v>
      </c>
      <c r="N128" s="12"/>
      <c r="O128" s="10">
        <f>+Risultati!I127+Risultati!J127</f>
        <v>0</v>
      </c>
      <c r="P128" s="11" t="str">
        <f t="shared" si="85"/>
        <v>0</v>
      </c>
      <c r="Q128" s="12"/>
      <c r="R128" s="13">
        <f t="shared" si="102"/>
        <v>0</v>
      </c>
      <c r="S128" s="11" t="str">
        <f t="shared" si="86"/>
        <v>0</v>
      </c>
      <c r="T128" s="12"/>
      <c r="U128" s="10">
        <f>+Risultati!F127-(Risultati!G127+Risultati!H127)</f>
        <v>0</v>
      </c>
      <c r="V128" s="12" t="str">
        <f t="shared" si="87"/>
        <v>0</v>
      </c>
      <c r="W128" s="12"/>
      <c r="X128" s="10">
        <f t="shared" si="103"/>
        <v>0</v>
      </c>
      <c r="Y128" s="12" t="str">
        <f t="shared" si="88"/>
        <v>0</v>
      </c>
      <c r="Z128" s="12"/>
      <c r="AA128" s="10">
        <f>+Risultati!K127</f>
        <v>0</v>
      </c>
      <c r="AB128" s="12" t="str">
        <f t="shared" si="89"/>
        <v>0</v>
      </c>
      <c r="AC128" s="12"/>
      <c r="AD128" s="10">
        <f>+Risultati!L127</f>
        <v>0</v>
      </c>
      <c r="AE128" s="12" t="str">
        <f t="shared" si="90"/>
        <v>0</v>
      </c>
      <c r="AF128" s="12"/>
      <c r="AG128" s="10">
        <f>+Risultati!M127+Risultati!P127+Risultati!Q127</f>
        <v>0</v>
      </c>
      <c r="AH128" s="12" t="str">
        <f t="shared" si="91"/>
        <v>0</v>
      </c>
      <c r="AI128" s="12"/>
      <c r="AJ128" s="13">
        <f t="shared" si="104"/>
        <v>0</v>
      </c>
      <c r="AK128" s="11" t="str">
        <f t="shared" si="92"/>
        <v>0</v>
      </c>
      <c r="AL128" s="12"/>
      <c r="AM128" s="10">
        <f>+Risultati!N127</f>
        <v>0</v>
      </c>
      <c r="AN128" s="12" t="str">
        <f t="shared" si="93"/>
        <v>0</v>
      </c>
      <c r="AO128" s="12"/>
      <c r="AP128" s="10">
        <f t="shared" si="105"/>
        <v>0</v>
      </c>
      <c r="AQ128" s="41" t="str">
        <f t="shared" si="94"/>
        <v>0</v>
      </c>
      <c r="AR128" s="12"/>
      <c r="AS128" s="10">
        <f>+Risultati!O127</f>
        <v>0</v>
      </c>
      <c r="AT128" s="12" t="str">
        <f t="shared" si="95"/>
        <v>0</v>
      </c>
      <c r="AU128" s="12"/>
      <c r="AV128" s="10">
        <f t="shared" si="106"/>
        <v>0</v>
      </c>
      <c r="AW128" s="12" t="str">
        <f t="shared" si="96"/>
        <v>0</v>
      </c>
      <c r="AX128" s="12"/>
      <c r="AY128" s="10">
        <f>+Risultati!R127+Risultati!S127</f>
        <v>0</v>
      </c>
      <c r="AZ128" s="12" t="str">
        <f t="shared" si="97"/>
        <v>0</v>
      </c>
      <c r="BA128" s="12"/>
      <c r="BB128" s="10">
        <f>+Risultati!T127</f>
        <v>0</v>
      </c>
      <c r="BC128" s="12" t="str">
        <f t="shared" si="98"/>
        <v>0</v>
      </c>
      <c r="BD128" s="12"/>
      <c r="BE128" s="10">
        <f>+Risultati!U127</f>
        <v>0</v>
      </c>
      <c r="BF128" s="12" t="str">
        <f t="shared" si="99"/>
        <v>0</v>
      </c>
      <c r="BG128" s="12"/>
      <c r="BH128" s="10">
        <f t="shared" si="107"/>
        <v>0</v>
      </c>
      <c r="BI128" s="12" t="str">
        <f t="shared" si="100"/>
        <v>0</v>
      </c>
      <c r="BK128" s="16">
        <f>IF(ISNUMBER(Risultati!X127/100),(Risultati!X127/100))</f>
        <v>0</v>
      </c>
      <c r="BL128" s="16">
        <f>IF(ISNUMBER(Risultati!Y127/100),(Risultati!Y127/100))</f>
        <v>0</v>
      </c>
      <c r="BM128" s="16">
        <f>IF(ISNUMBER(Risultati!Z127/100),(Risultati!Z127/100))</f>
        <v>0</v>
      </c>
      <c r="BN128" s="16">
        <f>IF(AND(Risultati!AY127&lt;0,calcoli!AP128&lt;0),-IF(ISNUMBER(Risultati!AA127/100),(Risultati!AA127/100)),IF(ISNUMBER(Risultati!AA127/100),(Risultati!AA127/100)))</f>
        <v>0</v>
      </c>
      <c r="BO128" s="16" t="str">
        <f t="shared" si="81"/>
        <v>0</v>
      </c>
      <c r="BP128" s="16" t="str">
        <f>IF(Risultati!AB127&gt;0,(AV128/Risultati!AB127),"0")</f>
        <v>0</v>
      </c>
      <c r="BQ128" s="16" t="str">
        <f>IF(Risultati!AG127&lt;&gt;0,(BH128/Risultati!AG127),"0")</f>
        <v>0</v>
      </c>
      <c r="BR128" s="16" t="str">
        <f t="shared" si="82"/>
        <v>0</v>
      </c>
      <c r="BS128" s="14" t="str">
        <f>IF(Risultati!AB127&gt;0,(Risultati!G127/Risultati!AB127),"0")</f>
        <v>0</v>
      </c>
      <c r="BT128" s="15" t="str">
        <f>IF(Risultati!AG127&lt;&gt;0,(Risultati!AB127/Risultati!AG127),"0")</f>
        <v>0</v>
      </c>
      <c r="BU128" s="23" t="str">
        <f>IF(AND(Risultati!G127&gt;0,(Risultati!AE127-Risultati!AF127)&gt;=0),((Risultati!AE127-Risultati!AF127)/Risultati!G127*360),"0")</f>
        <v>0</v>
      </c>
      <c r="BV128" s="21" t="str">
        <f>IF(OR(E128="abbreviato",Risultati!G127=0),"0",((Risultati!AC127+Risultati!AD127)/Risultati!G127*360))</f>
        <v>0</v>
      </c>
      <c r="BW128" s="21" t="str">
        <f>IF(OR(E128="abbreviato",Risultati!G127=0,SUM(Risultati!I127+Risultati!K127+Risultati!M127)=0),"0",(((Risultati!AH127+Risultati!AI127)/(Risultati!I127+Risultati!K127+Risultati!N127)*360)))</f>
        <v>0</v>
      </c>
      <c r="BX128" s="16" t="str">
        <f>IF(Risultati!AB127&gt;0,(+Risultati!AG127/Risultati!AB127),"0")</f>
        <v>0</v>
      </c>
      <c r="BY128" s="22" t="str">
        <f>IF(OR(E128="abbreviato",Risultati!G127=0),"0",(((Risultati!AK127-(Risultati!AL127+Risultati!AM127))/Risultati!G127)))</f>
        <v>0</v>
      </c>
      <c r="BZ128" s="16" t="str">
        <f>IF(Risultati!G127&gt;0,(Risultati!AJ127/Risultati!G127),"0")</f>
        <v>0</v>
      </c>
      <c r="CA128" s="8"/>
      <c r="CB128" s="10">
        <f>+Risultati!AP127</f>
        <v>0</v>
      </c>
      <c r="CC128" s="31" t="str">
        <f t="shared" si="108"/>
        <v>0</v>
      </c>
      <c r="CD128" s="10">
        <f>+Risultati!AQ127</f>
        <v>0</v>
      </c>
      <c r="CE128" s="31" t="str">
        <f t="shared" si="109"/>
        <v>0</v>
      </c>
      <c r="CF128" s="10">
        <f>+Risultati!AR127</f>
        <v>0</v>
      </c>
      <c r="CG128" s="31" t="str">
        <f t="shared" si="110"/>
        <v>0</v>
      </c>
      <c r="CH128" s="10">
        <f>+Risultati!AS127</f>
        <v>0</v>
      </c>
      <c r="CI128" s="31" t="str">
        <f t="shared" si="111"/>
        <v>0</v>
      </c>
      <c r="CJ128" s="10">
        <f t="shared" si="112"/>
        <v>0</v>
      </c>
      <c r="CK128" s="31" t="str">
        <f t="shared" si="113"/>
        <v>0</v>
      </c>
      <c r="CL128" s="10">
        <f>+Risultati!AE127+Risultati!AF127</f>
        <v>0</v>
      </c>
      <c r="CM128" s="31" t="str">
        <f t="shared" si="114"/>
        <v>0</v>
      </c>
      <c r="CN128" s="10">
        <f>+Risultati!AT127</f>
        <v>0</v>
      </c>
      <c r="CO128" s="31" t="str">
        <f t="shared" si="115"/>
        <v>0</v>
      </c>
      <c r="CP128" s="10">
        <f>+Risultati!AU127</f>
        <v>0</v>
      </c>
      <c r="CQ128" s="31" t="str">
        <f t="shared" si="116"/>
        <v>0</v>
      </c>
      <c r="CR128" s="10">
        <f>+Risultati!AL127</f>
        <v>0</v>
      </c>
      <c r="CS128" s="31" t="str">
        <f t="shared" si="117"/>
        <v>0</v>
      </c>
      <c r="CT128" s="10">
        <f t="shared" si="118"/>
        <v>0</v>
      </c>
      <c r="CU128" s="31" t="str">
        <f t="shared" si="119"/>
        <v>0</v>
      </c>
      <c r="CV128" s="10">
        <f>+Risultati!AX127</f>
        <v>0</v>
      </c>
      <c r="CW128" s="31" t="str">
        <f t="shared" si="120"/>
        <v>0</v>
      </c>
      <c r="CX128" s="10">
        <f t="shared" si="121"/>
        <v>0</v>
      </c>
      <c r="CY128" s="31" t="str">
        <f t="shared" si="122"/>
        <v>0</v>
      </c>
      <c r="CZ128" s="10">
        <f>+Risultati!AG127</f>
        <v>0</v>
      </c>
      <c r="DA128" s="31" t="str">
        <f t="shared" si="123"/>
        <v>0</v>
      </c>
      <c r="DB128" s="10">
        <f t="shared" si="124"/>
        <v>0</v>
      </c>
      <c r="DC128" s="31" t="str">
        <f t="shared" si="125"/>
        <v>0</v>
      </c>
      <c r="DD128" s="10">
        <f>+Risultati!AV127</f>
        <v>0</v>
      </c>
      <c r="DE128" s="31" t="str">
        <f t="shared" si="126"/>
        <v>0</v>
      </c>
      <c r="DF128" s="10">
        <f>+Risultati!AJ127</f>
        <v>0</v>
      </c>
      <c r="DG128" s="31" t="str">
        <f t="shared" si="127"/>
        <v>0</v>
      </c>
      <c r="DH128" s="10">
        <f t="shared" si="128"/>
        <v>0</v>
      </c>
      <c r="DI128" s="31" t="str">
        <f t="shared" si="129"/>
        <v>0</v>
      </c>
      <c r="DJ128" s="10">
        <f>+Risultati!AW127</f>
        <v>0</v>
      </c>
      <c r="DK128" s="31" t="str">
        <f t="shared" si="130"/>
        <v>0</v>
      </c>
      <c r="DL128" s="10">
        <f t="shared" si="101"/>
        <v>0</v>
      </c>
      <c r="DM128" s="31" t="str">
        <f t="shared" si="131"/>
        <v>0</v>
      </c>
      <c r="DO128" s="30"/>
      <c r="DP128" s="30"/>
    </row>
    <row r="129" spans="1:120" x14ac:dyDescent="0.2">
      <c r="A129" s="5"/>
      <c r="B129" s="6">
        <f>+Risultati!B128</f>
        <v>0</v>
      </c>
      <c r="C129" s="6">
        <f>+Risultati!C128</f>
        <v>0</v>
      </c>
      <c r="D129" s="26" t="str">
        <f>IF(YEAR(Risultati!D128)=1900,(MID(Risultati!$AP$1,29,4)),YEAR(Risultati!D128))</f>
        <v/>
      </c>
      <c r="E129" s="6">
        <f>+Risultati!E128</f>
        <v>0</v>
      </c>
      <c r="F129" s="8" t="e">
        <f>(LEFT(Risultati!AN128,2)&amp;"-")&amp;VLOOKUP((LEFT(Risultati!AN128,2)),ateco!$B$4:$C$93,2,FALSE)</f>
        <v>#N/A</v>
      </c>
      <c r="G129" s="8" t="str">
        <f>SUBSTITUTE((Risultati!AN128&amp;"-"&amp;Risultati!AO128),",",";")</f>
        <v>-</v>
      </c>
      <c r="I129" s="10">
        <f>+Risultati!G128</f>
        <v>0</v>
      </c>
      <c r="J129" s="11" t="str">
        <f t="shared" si="83"/>
        <v>0</v>
      </c>
      <c r="K129" s="12"/>
      <c r="L129" s="10">
        <f>+Risultati!G128+Risultati!H128</f>
        <v>0</v>
      </c>
      <c r="M129" s="11" t="str">
        <f t="shared" si="84"/>
        <v>0</v>
      </c>
      <c r="N129" s="12"/>
      <c r="O129" s="10">
        <f>+Risultati!I128+Risultati!J128</f>
        <v>0</v>
      </c>
      <c r="P129" s="11" t="str">
        <f t="shared" si="85"/>
        <v>0</v>
      </c>
      <c r="Q129" s="12"/>
      <c r="R129" s="13">
        <f t="shared" si="102"/>
        <v>0</v>
      </c>
      <c r="S129" s="11" t="str">
        <f t="shared" si="86"/>
        <v>0</v>
      </c>
      <c r="T129" s="12"/>
      <c r="U129" s="10">
        <f>+Risultati!F128-(Risultati!G128+Risultati!H128)</f>
        <v>0</v>
      </c>
      <c r="V129" s="12" t="str">
        <f t="shared" si="87"/>
        <v>0</v>
      </c>
      <c r="W129" s="12"/>
      <c r="X129" s="10">
        <f t="shared" si="103"/>
        <v>0</v>
      </c>
      <c r="Y129" s="12" t="str">
        <f t="shared" si="88"/>
        <v>0</v>
      </c>
      <c r="Z129" s="12"/>
      <c r="AA129" s="10">
        <f>+Risultati!K128</f>
        <v>0</v>
      </c>
      <c r="AB129" s="12" t="str">
        <f t="shared" si="89"/>
        <v>0</v>
      </c>
      <c r="AC129" s="12"/>
      <c r="AD129" s="10">
        <f>+Risultati!L128</f>
        <v>0</v>
      </c>
      <c r="AE129" s="12" t="str">
        <f t="shared" si="90"/>
        <v>0</v>
      </c>
      <c r="AF129" s="12"/>
      <c r="AG129" s="10">
        <f>+Risultati!M128+Risultati!P128+Risultati!Q128</f>
        <v>0</v>
      </c>
      <c r="AH129" s="12" t="str">
        <f t="shared" si="91"/>
        <v>0</v>
      </c>
      <c r="AI129" s="12"/>
      <c r="AJ129" s="13">
        <f t="shared" si="104"/>
        <v>0</v>
      </c>
      <c r="AK129" s="11" t="str">
        <f t="shared" si="92"/>
        <v>0</v>
      </c>
      <c r="AL129" s="12"/>
      <c r="AM129" s="10">
        <f>+Risultati!N128</f>
        <v>0</v>
      </c>
      <c r="AN129" s="12" t="str">
        <f t="shared" si="93"/>
        <v>0</v>
      </c>
      <c r="AO129" s="12"/>
      <c r="AP129" s="10">
        <f t="shared" si="105"/>
        <v>0</v>
      </c>
      <c r="AQ129" s="41" t="str">
        <f t="shared" si="94"/>
        <v>0</v>
      </c>
      <c r="AR129" s="12"/>
      <c r="AS129" s="10">
        <f>+Risultati!O128</f>
        <v>0</v>
      </c>
      <c r="AT129" s="12" t="str">
        <f t="shared" si="95"/>
        <v>0</v>
      </c>
      <c r="AU129" s="12"/>
      <c r="AV129" s="10">
        <f t="shared" si="106"/>
        <v>0</v>
      </c>
      <c r="AW129" s="12" t="str">
        <f t="shared" si="96"/>
        <v>0</v>
      </c>
      <c r="AX129" s="12"/>
      <c r="AY129" s="10">
        <f>+Risultati!R128+Risultati!S128</f>
        <v>0</v>
      </c>
      <c r="AZ129" s="12" t="str">
        <f t="shared" si="97"/>
        <v>0</v>
      </c>
      <c r="BA129" s="12"/>
      <c r="BB129" s="10">
        <f>+Risultati!T128</f>
        <v>0</v>
      </c>
      <c r="BC129" s="12" t="str">
        <f t="shared" si="98"/>
        <v>0</v>
      </c>
      <c r="BD129" s="12"/>
      <c r="BE129" s="10">
        <f>+Risultati!U128</f>
        <v>0</v>
      </c>
      <c r="BF129" s="12" t="str">
        <f t="shared" si="99"/>
        <v>0</v>
      </c>
      <c r="BG129" s="12"/>
      <c r="BH129" s="10">
        <f t="shared" si="107"/>
        <v>0</v>
      </c>
      <c r="BI129" s="12" t="str">
        <f t="shared" si="100"/>
        <v>0</v>
      </c>
      <c r="BK129" s="16">
        <f>IF(ISNUMBER(Risultati!X128/100),(Risultati!X128/100))</f>
        <v>0</v>
      </c>
      <c r="BL129" s="16">
        <f>IF(ISNUMBER(Risultati!Y128/100),(Risultati!Y128/100))</f>
        <v>0</v>
      </c>
      <c r="BM129" s="16">
        <f>IF(ISNUMBER(Risultati!Z128/100),(Risultati!Z128/100))</f>
        <v>0</v>
      </c>
      <c r="BN129" s="16">
        <f>IF(AND(Risultati!AY128&lt;0,calcoli!AP129&lt;0),-IF(ISNUMBER(Risultati!AA128/100),(Risultati!AA128/100)),IF(ISNUMBER(Risultati!AA128/100),(Risultati!AA128/100)))</f>
        <v>0</v>
      </c>
      <c r="BO129" s="16" t="str">
        <f t="shared" si="81"/>
        <v>0</v>
      </c>
      <c r="BP129" s="16" t="str">
        <f>IF(Risultati!AB128&gt;0,(AV129/Risultati!AB128),"0")</f>
        <v>0</v>
      </c>
      <c r="BQ129" s="16" t="str">
        <f>IF(Risultati!AG128&lt;&gt;0,(BH129/Risultati!AG128),"0")</f>
        <v>0</v>
      </c>
      <c r="BR129" s="16" t="str">
        <f t="shared" si="82"/>
        <v>0</v>
      </c>
      <c r="BS129" s="14" t="str">
        <f>IF(Risultati!AB128&gt;0,(Risultati!G128/Risultati!AB128),"0")</f>
        <v>0</v>
      </c>
      <c r="BT129" s="15" t="str">
        <f>IF(Risultati!AG128&lt;&gt;0,(Risultati!AB128/Risultati!AG128),"0")</f>
        <v>0</v>
      </c>
      <c r="BU129" s="23" t="str">
        <f>IF(AND(Risultati!G128&gt;0,(Risultati!AE128-Risultati!AF128)&gt;=0),((Risultati!AE128-Risultati!AF128)/Risultati!G128*360),"0")</f>
        <v>0</v>
      </c>
      <c r="BV129" s="21" t="str">
        <f>IF(OR(E129="abbreviato",Risultati!G128=0),"0",((Risultati!AC128+Risultati!AD128)/Risultati!G128*360))</f>
        <v>0</v>
      </c>
      <c r="BW129" s="21" t="str">
        <f>IF(OR(E129="abbreviato",Risultati!G128=0,SUM(Risultati!I128+Risultati!K128+Risultati!M128)=0),"0",(((Risultati!AH128+Risultati!AI128)/(Risultati!I128+Risultati!K128+Risultati!N128)*360)))</f>
        <v>0</v>
      </c>
      <c r="BX129" s="16" t="str">
        <f>IF(Risultati!AB128&gt;0,(+Risultati!AG128/Risultati!AB128),"0")</f>
        <v>0</v>
      </c>
      <c r="BY129" s="22" t="str">
        <f>IF(OR(E129="abbreviato",Risultati!G128=0),"0",(((Risultati!AK128-(Risultati!AL128+Risultati!AM128))/Risultati!G128)))</f>
        <v>0</v>
      </c>
      <c r="BZ129" s="16" t="str">
        <f>IF(Risultati!G128&gt;0,(Risultati!AJ128/Risultati!G128),"0")</f>
        <v>0</v>
      </c>
      <c r="CA129" s="8"/>
      <c r="CB129" s="10">
        <f>+Risultati!AP128</f>
        <v>0</v>
      </c>
      <c r="CC129" s="31" t="str">
        <f t="shared" si="108"/>
        <v>0</v>
      </c>
      <c r="CD129" s="10">
        <f>+Risultati!AQ128</f>
        <v>0</v>
      </c>
      <c r="CE129" s="31" t="str">
        <f t="shared" si="109"/>
        <v>0</v>
      </c>
      <c r="CF129" s="10">
        <f>+Risultati!AR128</f>
        <v>0</v>
      </c>
      <c r="CG129" s="31" t="str">
        <f t="shared" si="110"/>
        <v>0</v>
      </c>
      <c r="CH129" s="10">
        <f>+Risultati!AS128</f>
        <v>0</v>
      </c>
      <c r="CI129" s="31" t="str">
        <f t="shared" si="111"/>
        <v>0</v>
      </c>
      <c r="CJ129" s="10">
        <f t="shared" si="112"/>
        <v>0</v>
      </c>
      <c r="CK129" s="31" t="str">
        <f t="shared" si="113"/>
        <v>0</v>
      </c>
      <c r="CL129" s="10">
        <f>+Risultati!AE128+Risultati!AF128</f>
        <v>0</v>
      </c>
      <c r="CM129" s="31" t="str">
        <f t="shared" si="114"/>
        <v>0</v>
      </c>
      <c r="CN129" s="10">
        <f>+Risultati!AT128</f>
        <v>0</v>
      </c>
      <c r="CO129" s="31" t="str">
        <f t="shared" si="115"/>
        <v>0</v>
      </c>
      <c r="CP129" s="10">
        <f>+Risultati!AU128</f>
        <v>0</v>
      </c>
      <c r="CQ129" s="31" t="str">
        <f t="shared" si="116"/>
        <v>0</v>
      </c>
      <c r="CR129" s="10">
        <f>+Risultati!AL128</f>
        <v>0</v>
      </c>
      <c r="CS129" s="31" t="str">
        <f t="shared" si="117"/>
        <v>0</v>
      </c>
      <c r="CT129" s="10">
        <f t="shared" si="118"/>
        <v>0</v>
      </c>
      <c r="CU129" s="31" t="str">
        <f t="shared" si="119"/>
        <v>0</v>
      </c>
      <c r="CV129" s="10">
        <f>+Risultati!AX128</f>
        <v>0</v>
      </c>
      <c r="CW129" s="31" t="str">
        <f t="shared" si="120"/>
        <v>0</v>
      </c>
      <c r="CX129" s="10">
        <f t="shared" si="121"/>
        <v>0</v>
      </c>
      <c r="CY129" s="31" t="str">
        <f t="shared" si="122"/>
        <v>0</v>
      </c>
      <c r="CZ129" s="10">
        <f>+Risultati!AG128</f>
        <v>0</v>
      </c>
      <c r="DA129" s="31" t="str">
        <f t="shared" si="123"/>
        <v>0</v>
      </c>
      <c r="DB129" s="10">
        <f t="shared" si="124"/>
        <v>0</v>
      </c>
      <c r="DC129" s="31" t="str">
        <f t="shared" si="125"/>
        <v>0</v>
      </c>
      <c r="DD129" s="10">
        <f>+Risultati!AV128</f>
        <v>0</v>
      </c>
      <c r="DE129" s="31" t="str">
        <f t="shared" si="126"/>
        <v>0</v>
      </c>
      <c r="DF129" s="10">
        <f>+Risultati!AJ128</f>
        <v>0</v>
      </c>
      <c r="DG129" s="31" t="str">
        <f t="shared" si="127"/>
        <v>0</v>
      </c>
      <c r="DH129" s="10">
        <f t="shared" si="128"/>
        <v>0</v>
      </c>
      <c r="DI129" s="31" t="str">
        <f t="shared" si="129"/>
        <v>0</v>
      </c>
      <c r="DJ129" s="10">
        <f>+Risultati!AW128</f>
        <v>0</v>
      </c>
      <c r="DK129" s="31" t="str">
        <f t="shared" si="130"/>
        <v>0</v>
      </c>
      <c r="DL129" s="10">
        <f t="shared" si="101"/>
        <v>0</v>
      </c>
      <c r="DM129" s="31" t="str">
        <f t="shared" si="131"/>
        <v>0</v>
      </c>
      <c r="DO129" s="30"/>
      <c r="DP129" s="30"/>
    </row>
    <row r="130" spans="1:120" x14ac:dyDescent="0.2">
      <c r="A130" s="5"/>
      <c r="B130" s="6">
        <f>+Risultati!B129</f>
        <v>0</v>
      </c>
      <c r="C130" s="6">
        <f>+Risultati!C129</f>
        <v>0</v>
      </c>
      <c r="D130" s="26" t="str">
        <f>IF(YEAR(Risultati!D129)=1900,(MID(Risultati!$AP$1,29,4)),YEAR(Risultati!D129))</f>
        <v/>
      </c>
      <c r="E130" s="6">
        <f>+Risultati!E129</f>
        <v>0</v>
      </c>
      <c r="F130" s="8" t="e">
        <f>(LEFT(Risultati!AN129,2)&amp;"-")&amp;VLOOKUP((LEFT(Risultati!AN129,2)),ateco!$B$4:$C$93,2,FALSE)</f>
        <v>#N/A</v>
      </c>
      <c r="G130" s="8" t="str">
        <f>SUBSTITUTE((Risultati!AN129&amp;"-"&amp;Risultati!AO129),",",";")</f>
        <v>-</v>
      </c>
      <c r="I130" s="10">
        <f>+Risultati!G129</f>
        <v>0</v>
      </c>
      <c r="J130" s="11" t="str">
        <f t="shared" si="83"/>
        <v>0</v>
      </c>
      <c r="K130" s="12"/>
      <c r="L130" s="10">
        <f>+Risultati!G129+Risultati!H129</f>
        <v>0</v>
      </c>
      <c r="M130" s="11" t="str">
        <f t="shared" si="84"/>
        <v>0</v>
      </c>
      <c r="N130" s="12"/>
      <c r="O130" s="10">
        <f>+Risultati!I129+Risultati!J129</f>
        <v>0</v>
      </c>
      <c r="P130" s="11" t="str">
        <f t="shared" si="85"/>
        <v>0</v>
      </c>
      <c r="Q130" s="12"/>
      <c r="R130" s="13">
        <f t="shared" si="102"/>
        <v>0</v>
      </c>
      <c r="S130" s="11" t="str">
        <f t="shared" si="86"/>
        <v>0</v>
      </c>
      <c r="T130" s="12"/>
      <c r="U130" s="10">
        <f>+Risultati!F129-(Risultati!G129+Risultati!H129)</f>
        <v>0</v>
      </c>
      <c r="V130" s="12" t="str">
        <f t="shared" si="87"/>
        <v>0</v>
      </c>
      <c r="W130" s="12"/>
      <c r="X130" s="10">
        <f t="shared" si="103"/>
        <v>0</v>
      </c>
      <c r="Y130" s="12" t="str">
        <f t="shared" si="88"/>
        <v>0</v>
      </c>
      <c r="Z130" s="12"/>
      <c r="AA130" s="10">
        <f>+Risultati!K129</f>
        <v>0</v>
      </c>
      <c r="AB130" s="12" t="str">
        <f t="shared" si="89"/>
        <v>0</v>
      </c>
      <c r="AC130" s="12"/>
      <c r="AD130" s="10">
        <f>+Risultati!L129</f>
        <v>0</v>
      </c>
      <c r="AE130" s="12" t="str">
        <f t="shared" si="90"/>
        <v>0</v>
      </c>
      <c r="AF130" s="12"/>
      <c r="AG130" s="10">
        <f>+Risultati!M129+Risultati!P129+Risultati!Q129</f>
        <v>0</v>
      </c>
      <c r="AH130" s="12" t="str">
        <f t="shared" si="91"/>
        <v>0</v>
      </c>
      <c r="AI130" s="12"/>
      <c r="AJ130" s="13">
        <f t="shared" si="104"/>
        <v>0</v>
      </c>
      <c r="AK130" s="11" t="str">
        <f t="shared" si="92"/>
        <v>0</v>
      </c>
      <c r="AL130" s="12"/>
      <c r="AM130" s="10">
        <f>+Risultati!N129</f>
        <v>0</v>
      </c>
      <c r="AN130" s="12" t="str">
        <f t="shared" si="93"/>
        <v>0</v>
      </c>
      <c r="AO130" s="12"/>
      <c r="AP130" s="10">
        <f t="shared" si="105"/>
        <v>0</v>
      </c>
      <c r="AQ130" s="41" t="str">
        <f t="shared" si="94"/>
        <v>0</v>
      </c>
      <c r="AR130" s="12"/>
      <c r="AS130" s="10">
        <f>+Risultati!O129</f>
        <v>0</v>
      </c>
      <c r="AT130" s="12" t="str">
        <f t="shared" si="95"/>
        <v>0</v>
      </c>
      <c r="AU130" s="12"/>
      <c r="AV130" s="10">
        <f t="shared" si="106"/>
        <v>0</v>
      </c>
      <c r="AW130" s="12" t="str">
        <f t="shared" si="96"/>
        <v>0</v>
      </c>
      <c r="AX130" s="12"/>
      <c r="AY130" s="10">
        <f>+Risultati!R129+Risultati!S129</f>
        <v>0</v>
      </c>
      <c r="AZ130" s="12" t="str">
        <f t="shared" si="97"/>
        <v>0</v>
      </c>
      <c r="BA130" s="12"/>
      <c r="BB130" s="10">
        <f>+Risultati!T129</f>
        <v>0</v>
      </c>
      <c r="BC130" s="12" t="str">
        <f t="shared" si="98"/>
        <v>0</v>
      </c>
      <c r="BD130" s="12"/>
      <c r="BE130" s="10">
        <f>+Risultati!U129</f>
        <v>0</v>
      </c>
      <c r="BF130" s="12" t="str">
        <f t="shared" si="99"/>
        <v>0</v>
      </c>
      <c r="BG130" s="12"/>
      <c r="BH130" s="10">
        <f t="shared" si="107"/>
        <v>0</v>
      </c>
      <c r="BI130" s="12" t="str">
        <f t="shared" si="100"/>
        <v>0</v>
      </c>
      <c r="BK130" s="16">
        <f>IF(ISNUMBER(Risultati!X129/100),(Risultati!X129/100))</f>
        <v>0</v>
      </c>
      <c r="BL130" s="16">
        <f>IF(ISNUMBER(Risultati!Y129/100),(Risultati!Y129/100))</f>
        <v>0</v>
      </c>
      <c r="BM130" s="16">
        <f>IF(ISNUMBER(Risultati!Z129/100),(Risultati!Z129/100))</f>
        <v>0</v>
      </c>
      <c r="BN130" s="16">
        <f>IF(AND(Risultati!AY129&lt;0,calcoli!AP130&lt;0),-IF(ISNUMBER(Risultati!AA129/100),(Risultati!AA129/100)),IF(ISNUMBER(Risultati!AA129/100),(Risultati!AA129/100)))</f>
        <v>0</v>
      </c>
      <c r="BO130" s="16" t="str">
        <f t="shared" si="81"/>
        <v>0</v>
      </c>
      <c r="BP130" s="16" t="str">
        <f>IF(Risultati!AB129&gt;0,(AV130/Risultati!AB129),"0")</f>
        <v>0</v>
      </c>
      <c r="BQ130" s="16" t="str">
        <f>IF(Risultati!AG129&lt;&gt;0,(BH130/Risultati!AG129),"0")</f>
        <v>0</v>
      </c>
      <c r="BR130" s="16" t="str">
        <f t="shared" si="82"/>
        <v>0</v>
      </c>
      <c r="BS130" s="14" t="str">
        <f>IF(Risultati!AB129&gt;0,(Risultati!G129/Risultati!AB129),"0")</f>
        <v>0</v>
      </c>
      <c r="BT130" s="15" t="str">
        <f>IF(Risultati!AG129&lt;&gt;0,(Risultati!AB129/Risultati!AG129),"0")</f>
        <v>0</v>
      </c>
      <c r="BU130" s="23" t="str">
        <f>IF(AND(Risultati!G129&gt;0,(Risultati!AE129-Risultati!AF129)&gt;=0),((Risultati!AE129-Risultati!AF129)/Risultati!G129*360),"0")</f>
        <v>0</v>
      </c>
      <c r="BV130" s="21" t="str">
        <f>IF(OR(E130="abbreviato",Risultati!G129=0),"0",((Risultati!AC129+Risultati!AD129)/Risultati!G129*360))</f>
        <v>0</v>
      </c>
      <c r="BW130" s="21" t="str">
        <f>IF(OR(E130="abbreviato",Risultati!G129=0,SUM(Risultati!I129+Risultati!K129+Risultati!M129)=0),"0",(((Risultati!AH129+Risultati!AI129)/(Risultati!I129+Risultati!K129+Risultati!N129)*360)))</f>
        <v>0</v>
      </c>
      <c r="BX130" s="16" t="str">
        <f>IF(Risultati!AB129&gt;0,(+Risultati!AG129/Risultati!AB129),"0")</f>
        <v>0</v>
      </c>
      <c r="BY130" s="22" t="str">
        <f>IF(OR(E130="abbreviato",Risultati!G129=0),"0",(((Risultati!AK129-(Risultati!AL129+Risultati!AM129))/Risultati!G129)))</f>
        <v>0</v>
      </c>
      <c r="BZ130" s="16" t="str">
        <f>IF(Risultati!G129&gt;0,(Risultati!AJ129/Risultati!G129),"0")</f>
        <v>0</v>
      </c>
      <c r="CA130" s="8"/>
      <c r="CB130" s="10">
        <f>+Risultati!AP129</f>
        <v>0</v>
      </c>
      <c r="CC130" s="31" t="str">
        <f t="shared" si="108"/>
        <v>0</v>
      </c>
      <c r="CD130" s="10">
        <f>+Risultati!AQ129</f>
        <v>0</v>
      </c>
      <c r="CE130" s="31" t="str">
        <f t="shared" si="109"/>
        <v>0</v>
      </c>
      <c r="CF130" s="10">
        <f>+Risultati!AR129</f>
        <v>0</v>
      </c>
      <c r="CG130" s="31" t="str">
        <f t="shared" si="110"/>
        <v>0</v>
      </c>
      <c r="CH130" s="10">
        <f>+Risultati!AS129</f>
        <v>0</v>
      </c>
      <c r="CI130" s="31" t="str">
        <f t="shared" si="111"/>
        <v>0</v>
      </c>
      <c r="CJ130" s="10">
        <f t="shared" si="112"/>
        <v>0</v>
      </c>
      <c r="CK130" s="31" t="str">
        <f t="shared" si="113"/>
        <v>0</v>
      </c>
      <c r="CL130" s="10">
        <f>+Risultati!AE129+Risultati!AF129</f>
        <v>0</v>
      </c>
      <c r="CM130" s="31" t="str">
        <f t="shared" si="114"/>
        <v>0</v>
      </c>
      <c r="CN130" s="10">
        <f>+Risultati!AT129</f>
        <v>0</v>
      </c>
      <c r="CO130" s="31" t="str">
        <f t="shared" si="115"/>
        <v>0</v>
      </c>
      <c r="CP130" s="10">
        <f>+Risultati!AU129</f>
        <v>0</v>
      </c>
      <c r="CQ130" s="31" t="str">
        <f t="shared" si="116"/>
        <v>0</v>
      </c>
      <c r="CR130" s="10">
        <f>+Risultati!AL129</f>
        <v>0</v>
      </c>
      <c r="CS130" s="31" t="str">
        <f t="shared" si="117"/>
        <v>0</v>
      </c>
      <c r="CT130" s="10">
        <f t="shared" si="118"/>
        <v>0</v>
      </c>
      <c r="CU130" s="31" t="str">
        <f t="shared" si="119"/>
        <v>0</v>
      </c>
      <c r="CV130" s="10">
        <f>+Risultati!AX129</f>
        <v>0</v>
      </c>
      <c r="CW130" s="31" t="str">
        <f t="shared" si="120"/>
        <v>0</v>
      </c>
      <c r="CX130" s="10">
        <f t="shared" si="121"/>
        <v>0</v>
      </c>
      <c r="CY130" s="31" t="str">
        <f t="shared" si="122"/>
        <v>0</v>
      </c>
      <c r="CZ130" s="10">
        <f>+Risultati!AG129</f>
        <v>0</v>
      </c>
      <c r="DA130" s="31" t="str">
        <f t="shared" si="123"/>
        <v>0</v>
      </c>
      <c r="DB130" s="10">
        <f t="shared" si="124"/>
        <v>0</v>
      </c>
      <c r="DC130" s="31" t="str">
        <f t="shared" si="125"/>
        <v>0</v>
      </c>
      <c r="DD130" s="10">
        <f>+Risultati!AV129</f>
        <v>0</v>
      </c>
      <c r="DE130" s="31" t="str">
        <f t="shared" si="126"/>
        <v>0</v>
      </c>
      <c r="DF130" s="10">
        <f>+Risultati!AJ129</f>
        <v>0</v>
      </c>
      <c r="DG130" s="31" t="str">
        <f t="shared" si="127"/>
        <v>0</v>
      </c>
      <c r="DH130" s="10">
        <f t="shared" si="128"/>
        <v>0</v>
      </c>
      <c r="DI130" s="31" t="str">
        <f t="shared" si="129"/>
        <v>0</v>
      </c>
      <c r="DJ130" s="10">
        <f>+Risultati!AW129</f>
        <v>0</v>
      </c>
      <c r="DK130" s="31" t="str">
        <f t="shared" si="130"/>
        <v>0</v>
      </c>
      <c r="DL130" s="10">
        <f t="shared" si="101"/>
        <v>0</v>
      </c>
      <c r="DM130" s="31" t="str">
        <f t="shared" si="131"/>
        <v>0</v>
      </c>
      <c r="DO130" s="30"/>
      <c r="DP130" s="30"/>
    </row>
    <row r="131" spans="1:120" x14ac:dyDescent="0.2">
      <c r="A131" s="5"/>
      <c r="B131" s="6">
        <f>+Risultati!B130</f>
        <v>0</v>
      </c>
      <c r="C131" s="6">
        <f>+Risultati!C130</f>
        <v>0</v>
      </c>
      <c r="D131" s="26" t="str">
        <f>IF(YEAR(Risultati!D130)=1900,(MID(Risultati!$AP$1,29,4)),YEAR(Risultati!D130))</f>
        <v/>
      </c>
      <c r="E131" s="6">
        <f>+Risultati!E130</f>
        <v>0</v>
      </c>
      <c r="F131" s="8" t="e">
        <f>(LEFT(Risultati!AN130,2)&amp;"-")&amp;VLOOKUP((LEFT(Risultati!AN130,2)),ateco!$B$4:$C$93,2,FALSE)</f>
        <v>#N/A</v>
      </c>
      <c r="G131" s="8" t="str">
        <f>SUBSTITUTE((Risultati!AN130&amp;"-"&amp;Risultati!AO130),",",";")</f>
        <v>-</v>
      </c>
      <c r="I131" s="10">
        <f>+Risultati!G130</f>
        <v>0</v>
      </c>
      <c r="J131" s="11" t="str">
        <f t="shared" si="83"/>
        <v>0</v>
      </c>
      <c r="K131" s="12"/>
      <c r="L131" s="10">
        <f>+Risultati!G130+Risultati!H130</f>
        <v>0</v>
      </c>
      <c r="M131" s="11" t="str">
        <f t="shared" si="84"/>
        <v>0</v>
      </c>
      <c r="N131" s="12"/>
      <c r="O131" s="10">
        <f>+Risultati!I130+Risultati!J130</f>
        <v>0</v>
      </c>
      <c r="P131" s="11" t="str">
        <f t="shared" si="85"/>
        <v>0</v>
      </c>
      <c r="Q131" s="12"/>
      <c r="R131" s="13">
        <f t="shared" si="102"/>
        <v>0</v>
      </c>
      <c r="S131" s="11" t="str">
        <f t="shared" si="86"/>
        <v>0</v>
      </c>
      <c r="T131" s="12"/>
      <c r="U131" s="10">
        <f>+Risultati!F130-(Risultati!G130+Risultati!H130)</f>
        <v>0</v>
      </c>
      <c r="V131" s="12" t="str">
        <f t="shared" si="87"/>
        <v>0</v>
      </c>
      <c r="W131" s="12"/>
      <c r="X131" s="10">
        <f t="shared" si="103"/>
        <v>0</v>
      </c>
      <c r="Y131" s="12" t="str">
        <f t="shared" si="88"/>
        <v>0</v>
      </c>
      <c r="Z131" s="12"/>
      <c r="AA131" s="10">
        <f>+Risultati!K130</f>
        <v>0</v>
      </c>
      <c r="AB131" s="12" t="str">
        <f t="shared" si="89"/>
        <v>0</v>
      </c>
      <c r="AC131" s="12"/>
      <c r="AD131" s="10">
        <f>+Risultati!L130</f>
        <v>0</v>
      </c>
      <c r="AE131" s="12" t="str">
        <f t="shared" si="90"/>
        <v>0</v>
      </c>
      <c r="AF131" s="12"/>
      <c r="AG131" s="10">
        <f>+Risultati!M130+Risultati!P130+Risultati!Q130</f>
        <v>0</v>
      </c>
      <c r="AH131" s="12" t="str">
        <f t="shared" si="91"/>
        <v>0</v>
      </c>
      <c r="AI131" s="12"/>
      <c r="AJ131" s="13">
        <f t="shared" si="104"/>
        <v>0</v>
      </c>
      <c r="AK131" s="11" t="str">
        <f t="shared" si="92"/>
        <v>0</v>
      </c>
      <c r="AL131" s="12"/>
      <c r="AM131" s="10">
        <f>+Risultati!N130</f>
        <v>0</v>
      </c>
      <c r="AN131" s="12" t="str">
        <f t="shared" si="93"/>
        <v>0</v>
      </c>
      <c r="AO131" s="12"/>
      <c r="AP131" s="10">
        <f t="shared" si="105"/>
        <v>0</v>
      </c>
      <c r="AQ131" s="41" t="str">
        <f t="shared" si="94"/>
        <v>0</v>
      </c>
      <c r="AR131" s="12"/>
      <c r="AS131" s="10">
        <f>+Risultati!O130</f>
        <v>0</v>
      </c>
      <c r="AT131" s="12" t="str">
        <f t="shared" si="95"/>
        <v>0</v>
      </c>
      <c r="AU131" s="12"/>
      <c r="AV131" s="10">
        <f t="shared" si="106"/>
        <v>0</v>
      </c>
      <c r="AW131" s="12" t="str">
        <f t="shared" si="96"/>
        <v>0</v>
      </c>
      <c r="AX131" s="12"/>
      <c r="AY131" s="10">
        <f>+Risultati!R130+Risultati!S130</f>
        <v>0</v>
      </c>
      <c r="AZ131" s="12" t="str">
        <f t="shared" si="97"/>
        <v>0</v>
      </c>
      <c r="BA131" s="12"/>
      <c r="BB131" s="10">
        <f>+Risultati!T130</f>
        <v>0</v>
      </c>
      <c r="BC131" s="12" t="str">
        <f t="shared" si="98"/>
        <v>0</v>
      </c>
      <c r="BD131" s="12"/>
      <c r="BE131" s="10">
        <f>+Risultati!U130</f>
        <v>0</v>
      </c>
      <c r="BF131" s="12" t="str">
        <f t="shared" si="99"/>
        <v>0</v>
      </c>
      <c r="BG131" s="12"/>
      <c r="BH131" s="10">
        <f t="shared" si="107"/>
        <v>0</v>
      </c>
      <c r="BI131" s="12" t="str">
        <f t="shared" si="100"/>
        <v>0</v>
      </c>
      <c r="BK131" s="16">
        <f>IF(ISNUMBER(Risultati!X130/100),(Risultati!X130/100))</f>
        <v>0</v>
      </c>
      <c r="BL131" s="16">
        <f>IF(ISNUMBER(Risultati!Y130/100),(Risultati!Y130/100))</f>
        <v>0</v>
      </c>
      <c r="BM131" s="16">
        <f>IF(ISNUMBER(Risultati!Z130/100),(Risultati!Z130/100))</f>
        <v>0</v>
      </c>
      <c r="BN131" s="16">
        <f>IF(AND(Risultati!AY130&lt;0,calcoli!AP131&lt;0),-IF(ISNUMBER(Risultati!AA130/100),(Risultati!AA130/100)),IF(ISNUMBER(Risultati!AA130/100),(Risultati!AA130/100)))</f>
        <v>0</v>
      </c>
      <c r="BO131" s="16" t="str">
        <f t="shared" ref="BO131:BO194" si="132">+BI131</f>
        <v>0</v>
      </c>
      <c r="BP131" s="16" t="str">
        <f>IF(Risultati!AB130&gt;0,(AV131/Risultati!AB130),"0")</f>
        <v>0</v>
      </c>
      <c r="BQ131" s="16" t="str">
        <f>IF(Risultati!AG130&lt;&gt;0,(BH131/Risultati!AG130),"0")</f>
        <v>0</v>
      </c>
      <c r="BR131" s="16" t="str">
        <f t="shared" ref="BR131:BR194" si="133">+BI131</f>
        <v>0</v>
      </c>
      <c r="BS131" s="14" t="str">
        <f>IF(Risultati!AB130&gt;0,(Risultati!G130/Risultati!AB130),"0")</f>
        <v>0</v>
      </c>
      <c r="BT131" s="15" t="str">
        <f>IF(Risultati!AG130&lt;&gt;0,(Risultati!AB130/Risultati!AG130),"0")</f>
        <v>0</v>
      </c>
      <c r="BU131" s="23" t="str">
        <f>IF(AND(Risultati!G130&gt;0,(Risultati!AE130-Risultati!AF130)&gt;=0),((Risultati!AE130-Risultati!AF130)/Risultati!G130*360),"0")</f>
        <v>0</v>
      </c>
      <c r="BV131" s="21" t="str">
        <f>IF(OR(E131="abbreviato",Risultati!G130=0),"0",((Risultati!AC130+Risultati!AD130)/Risultati!G130*360))</f>
        <v>0</v>
      </c>
      <c r="BW131" s="21" t="str">
        <f>IF(OR(E131="abbreviato",Risultati!G130=0,SUM(Risultati!I130+Risultati!K130+Risultati!M130)=0),"0",(((Risultati!AH130+Risultati!AI130)/(Risultati!I130+Risultati!K130+Risultati!N130)*360)))</f>
        <v>0</v>
      </c>
      <c r="BX131" s="16" t="str">
        <f>IF(Risultati!AB130&gt;0,(+Risultati!AG130/Risultati!AB130),"0")</f>
        <v>0</v>
      </c>
      <c r="BY131" s="22" t="str">
        <f>IF(OR(E131="abbreviato",Risultati!G130=0),"0",(((Risultati!AK130-(Risultati!AL130+Risultati!AM130))/Risultati!G130)))</f>
        <v>0</v>
      </c>
      <c r="BZ131" s="16" t="str">
        <f>IF(Risultati!G130&gt;0,(Risultati!AJ130/Risultati!G130),"0")</f>
        <v>0</v>
      </c>
      <c r="CA131" s="8"/>
      <c r="CB131" s="10">
        <f>+Risultati!AP130</f>
        <v>0</v>
      </c>
      <c r="CC131" s="31" t="str">
        <f t="shared" si="108"/>
        <v>0</v>
      </c>
      <c r="CD131" s="10">
        <f>+Risultati!AQ130</f>
        <v>0</v>
      </c>
      <c r="CE131" s="31" t="str">
        <f t="shared" si="109"/>
        <v>0</v>
      </c>
      <c r="CF131" s="10">
        <f>+Risultati!AR130</f>
        <v>0</v>
      </c>
      <c r="CG131" s="31" t="str">
        <f t="shared" si="110"/>
        <v>0</v>
      </c>
      <c r="CH131" s="10">
        <f>+Risultati!AS130</f>
        <v>0</v>
      </c>
      <c r="CI131" s="31" t="str">
        <f t="shared" si="111"/>
        <v>0</v>
      </c>
      <c r="CJ131" s="10">
        <f t="shared" si="112"/>
        <v>0</v>
      </c>
      <c r="CK131" s="31" t="str">
        <f t="shared" si="113"/>
        <v>0</v>
      </c>
      <c r="CL131" s="10">
        <f>+Risultati!AE130+Risultati!AF130</f>
        <v>0</v>
      </c>
      <c r="CM131" s="31" t="str">
        <f t="shared" si="114"/>
        <v>0</v>
      </c>
      <c r="CN131" s="10">
        <f>+Risultati!AT130</f>
        <v>0</v>
      </c>
      <c r="CO131" s="31" t="str">
        <f t="shared" si="115"/>
        <v>0</v>
      </c>
      <c r="CP131" s="10">
        <f>+Risultati!AU130</f>
        <v>0</v>
      </c>
      <c r="CQ131" s="31" t="str">
        <f t="shared" si="116"/>
        <v>0</v>
      </c>
      <c r="CR131" s="10">
        <f>+Risultati!AL130</f>
        <v>0</v>
      </c>
      <c r="CS131" s="31" t="str">
        <f t="shared" si="117"/>
        <v>0</v>
      </c>
      <c r="CT131" s="10">
        <f t="shared" si="118"/>
        <v>0</v>
      </c>
      <c r="CU131" s="31" t="str">
        <f t="shared" si="119"/>
        <v>0</v>
      </c>
      <c r="CV131" s="10">
        <f>+Risultati!AX130</f>
        <v>0</v>
      </c>
      <c r="CW131" s="31" t="str">
        <f t="shared" si="120"/>
        <v>0</v>
      </c>
      <c r="CX131" s="10">
        <f t="shared" si="121"/>
        <v>0</v>
      </c>
      <c r="CY131" s="31" t="str">
        <f t="shared" si="122"/>
        <v>0</v>
      </c>
      <c r="CZ131" s="10">
        <f>+Risultati!AG130</f>
        <v>0</v>
      </c>
      <c r="DA131" s="31" t="str">
        <f t="shared" si="123"/>
        <v>0</v>
      </c>
      <c r="DB131" s="10">
        <f t="shared" si="124"/>
        <v>0</v>
      </c>
      <c r="DC131" s="31" t="str">
        <f t="shared" si="125"/>
        <v>0</v>
      </c>
      <c r="DD131" s="10">
        <f>+Risultati!AV130</f>
        <v>0</v>
      </c>
      <c r="DE131" s="31" t="str">
        <f t="shared" si="126"/>
        <v>0</v>
      </c>
      <c r="DF131" s="10">
        <f>+Risultati!AJ130</f>
        <v>0</v>
      </c>
      <c r="DG131" s="31" t="str">
        <f t="shared" si="127"/>
        <v>0</v>
      </c>
      <c r="DH131" s="10">
        <f t="shared" si="128"/>
        <v>0</v>
      </c>
      <c r="DI131" s="31" t="str">
        <f t="shared" si="129"/>
        <v>0</v>
      </c>
      <c r="DJ131" s="10">
        <f>+Risultati!AW130</f>
        <v>0</v>
      </c>
      <c r="DK131" s="31" t="str">
        <f t="shared" si="130"/>
        <v>0</v>
      </c>
      <c r="DL131" s="10">
        <f t="shared" si="101"/>
        <v>0</v>
      </c>
      <c r="DM131" s="31" t="str">
        <f t="shared" si="131"/>
        <v>0</v>
      </c>
      <c r="DO131" s="30"/>
      <c r="DP131" s="30"/>
    </row>
    <row r="132" spans="1:120" x14ac:dyDescent="0.2">
      <c r="A132" s="5"/>
      <c r="B132" s="6">
        <f>+Risultati!B131</f>
        <v>0</v>
      </c>
      <c r="C132" s="6">
        <f>+Risultati!C131</f>
        <v>0</v>
      </c>
      <c r="D132" s="26" t="str">
        <f>IF(YEAR(Risultati!D131)=1900,(MID(Risultati!$AP$1,29,4)),YEAR(Risultati!D131))</f>
        <v/>
      </c>
      <c r="E132" s="6">
        <f>+Risultati!E131</f>
        <v>0</v>
      </c>
      <c r="F132" s="8" t="e">
        <f>(LEFT(Risultati!AN131,2)&amp;"-")&amp;VLOOKUP((LEFT(Risultati!AN131,2)),ateco!$B$4:$C$93,2,FALSE)</f>
        <v>#N/A</v>
      </c>
      <c r="G132" s="8" t="str">
        <f>SUBSTITUTE((Risultati!AN131&amp;"-"&amp;Risultati!AO131),",",";")</f>
        <v>-</v>
      </c>
      <c r="I132" s="10">
        <f>+Risultati!G131</f>
        <v>0</v>
      </c>
      <c r="J132" s="11" t="str">
        <f t="shared" ref="J132:J195" si="134">IF(L132&lt;&gt;0,(I132/L132),"0")</f>
        <v>0</v>
      </c>
      <c r="K132" s="12"/>
      <c r="L132" s="10">
        <f>+Risultati!G131+Risultati!H131</f>
        <v>0</v>
      </c>
      <c r="M132" s="11" t="str">
        <f t="shared" ref="M132:M195" si="135">IF(L132&lt;&gt;0,(L132/(L132+U132)),"0")</f>
        <v>0</v>
      </c>
      <c r="N132" s="12"/>
      <c r="O132" s="10">
        <f>+Risultati!I131+Risultati!J131</f>
        <v>0</v>
      </c>
      <c r="P132" s="11" t="str">
        <f t="shared" ref="P132:P195" si="136">IF(L132&lt;&gt;0,(O132/(L132+U132)),"0")</f>
        <v>0</v>
      </c>
      <c r="Q132" s="12"/>
      <c r="R132" s="13">
        <f t="shared" si="102"/>
        <v>0</v>
      </c>
      <c r="S132" s="11" t="str">
        <f t="shared" ref="S132:S195" si="137">IF(L132&lt;&gt;0,(R132/(L132+U132)),"0")</f>
        <v>0</v>
      </c>
      <c r="T132" s="12"/>
      <c r="U132" s="10">
        <f>+Risultati!F131-(Risultati!G131+Risultati!H131)</f>
        <v>0</v>
      </c>
      <c r="V132" s="12" t="str">
        <f t="shared" ref="V132:V195" si="138">IF(L132&lt;&gt;0,(U132/(L132+U132)),"0")</f>
        <v>0</v>
      </c>
      <c r="W132" s="12"/>
      <c r="X132" s="10">
        <f t="shared" si="103"/>
        <v>0</v>
      </c>
      <c r="Y132" s="12" t="str">
        <f t="shared" ref="Y132:Y195" si="139">IF(L132&lt;&gt;0,(X132/(L132+U132)),"0")</f>
        <v>0</v>
      </c>
      <c r="Z132" s="12"/>
      <c r="AA132" s="10">
        <f>+Risultati!K131</f>
        <v>0</v>
      </c>
      <c r="AB132" s="12" t="str">
        <f t="shared" ref="AB132:AB195" si="140">IF(L132&lt;&gt;0,(AA132/(L132+U132)),"0")</f>
        <v>0</v>
      </c>
      <c r="AC132" s="12"/>
      <c r="AD132" s="10">
        <f>+Risultati!L131</f>
        <v>0</v>
      </c>
      <c r="AE132" s="12" t="str">
        <f t="shared" ref="AE132:AE195" si="141">IF(L132&lt;&gt;0,(AD132/(L132+U132)),"0")</f>
        <v>0</v>
      </c>
      <c r="AF132" s="12"/>
      <c r="AG132" s="10">
        <f>+Risultati!M131+Risultati!P131+Risultati!Q131</f>
        <v>0</v>
      </c>
      <c r="AH132" s="12" t="str">
        <f t="shared" ref="AH132:AH195" si="142">IF(L132&lt;&gt;0,(AG132/(L132+U132)),"0")</f>
        <v>0</v>
      </c>
      <c r="AI132" s="12"/>
      <c r="AJ132" s="13">
        <f t="shared" si="104"/>
        <v>0</v>
      </c>
      <c r="AK132" s="11" t="str">
        <f t="shared" ref="AK132:AK195" si="143">IF(L132&lt;&gt;0,(AJ132/(L132+U132)),"0")</f>
        <v>0</v>
      </c>
      <c r="AL132" s="12"/>
      <c r="AM132" s="10">
        <f>+Risultati!N131</f>
        <v>0</v>
      </c>
      <c r="AN132" s="12" t="str">
        <f t="shared" ref="AN132:AN195" si="144">IF(L132&lt;&gt;0,(AM132/(L132+U132)),"0")</f>
        <v>0</v>
      </c>
      <c r="AO132" s="12"/>
      <c r="AP132" s="10">
        <f t="shared" si="105"/>
        <v>0</v>
      </c>
      <c r="AQ132" s="41" t="str">
        <f t="shared" ref="AQ132:AQ195" si="145">IF(L132&lt;&gt;0,(AP132/(L132+U132)),"0")</f>
        <v>0</v>
      </c>
      <c r="AR132" s="12"/>
      <c r="AS132" s="10">
        <f>+Risultati!O131</f>
        <v>0</v>
      </c>
      <c r="AT132" s="12" t="str">
        <f t="shared" ref="AT132:AT195" si="146">IF(L132&lt;&gt;0,(AS132/(L132+U132)),"0")</f>
        <v>0</v>
      </c>
      <c r="AU132" s="12"/>
      <c r="AV132" s="10">
        <f t="shared" si="106"/>
        <v>0</v>
      </c>
      <c r="AW132" s="12" t="str">
        <f t="shared" ref="AW132:AW195" si="147">IF(L132&lt;&gt;0,(AV132/(L132+U132)),"0")</f>
        <v>0</v>
      </c>
      <c r="AX132" s="12"/>
      <c r="AY132" s="10">
        <f>+Risultati!R131+Risultati!S131</f>
        <v>0</v>
      </c>
      <c r="AZ132" s="12" t="str">
        <f t="shared" ref="AZ132:AZ195" si="148">IF(L132&lt;&gt;0,(AY132/(L132+U132)),"0")</f>
        <v>0</v>
      </c>
      <c r="BA132" s="12"/>
      <c r="BB132" s="10">
        <f>+Risultati!T131</f>
        <v>0</v>
      </c>
      <c r="BC132" s="12" t="str">
        <f t="shared" ref="BC132:BC195" si="149">IF(L132&lt;&gt;0,(BB132/(L132+U132)),"0")</f>
        <v>0</v>
      </c>
      <c r="BD132" s="12"/>
      <c r="BE132" s="10">
        <f>+Risultati!U131</f>
        <v>0</v>
      </c>
      <c r="BF132" s="12" t="str">
        <f t="shared" ref="BF132:BF195" si="150">IF(L132&lt;&gt;0,(BE132/(L132+U132)),"0")</f>
        <v>0</v>
      </c>
      <c r="BG132" s="12"/>
      <c r="BH132" s="10">
        <f t="shared" si="107"/>
        <v>0</v>
      </c>
      <c r="BI132" s="12" t="str">
        <f t="shared" ref="BI132:BI195" si="151">IF(L132&lt;&gt;0,(+BH132/(L132+U132)),"0")</f>
        <v>0</v>
      </c>
      <c r="BK132" s="16">
        <f>IF(ISNUMBER(Risultati!X131/100),(Risultati!X131/100))</f>
        <v>0</v>
      </c>
      <c r="BL132" s="16">
        <f>IF(ISNUMBER(Risultati!Y131/100),(Risultati!Y131/100))</f>
        <v>0</v>
      </c>
      <c r="BM132" s="16">
        <f>IF(ISNUMBER(Risultati!Z131/100),(Risultati!Z131/100))</f>
        <v>0</v>
      </c>
      <c r="BN132" s="16">
        <f>IF(AND(Risultati!AY131&lt;0,calcoli!AP132&lt;0),-IF(ISNUMBER(Risultati!AA131/100),(Risultati!AA131/100)),IF(ISNUMBER(Risultati!AA131/100),(Risultati!AA131/100)))</f>
        <v>0</v>
      </c>
      <c r="BO132" s="16" t="str">
        <f t="shared" si="132"/>
        <v>0</v>
      </c>
      <c r="BP132" s="16" t="str">
        <f>IF(Risultati!AB131&gt;0,(AV132/Risultati!AB131),"0")</f>
        <v>0</v>
      </c>
      <c r="BQ132" s="16" t="str">
        <f>IF(Risultati!AG131&lt;&gt;0,(BH132/Risultati!AG131),"0")</f>
        <v>0</v>
      </c>
      <c r="BR132" s="16" t="str">
        <f t="shared" si="133"/>
        <v>0</v>
      </c>
      <c r="BS132" s="14" t="str">
        <f>IF(Risultati!AB131&gt;0,(Risultati!G131/Risultati!AB131),"0")</f>
        <v>0</v>
      </c>
      <c r="BT132" s="15" t="str">
        <f>IF(Risultati!AG131&lt;&gt;0,(Risultati!AB131/Risultati!AG131),"0")</f>
        <v>0</v>
      </c>
      <c r="BU132" s="23" t="str">
        <f>IF(AND(Risultati!G131&gt;0,(Risultati!AE131-Risultati!AF131)&gt;=0),((Risultati!AE131-Risultati!AF131)/Risultati!G131*360),"0")</f>
        <v>0</v>
      </c>
      <c r="BV132" s="21" t="str">
        <f>IF(OR(E132="abbreviato",Risultati!G131=0),"0",((Risultati!AC131+Risultati!AD131)/Risultati!G131*360))</f>
        <v>0</v>
      </c>
      <c r="BW132" s="21" t="str">
        <f>IF(OR(E132="abbreviato",Risultati!G131=0,SUM(Risultati!I131+Risultati!K131+Risultati!M131)=0),"0",(((Risultati!AH131+Risultati!AI131)/(Risultati!I131+Risultati!K131+Risultati!N131)*360)))</f>
        <v>0</v>
      </c>
      <c r="BX132" s="16" t="str">
        <f>IF(Risultati!AB131&gt;0,(+Risultati!AG131/Risultati!AB131),"0")</f>
        <v>0</v>
      </c>
      <c r="BY132" s="22" t="str">
        <f>IF(OR(E132="abbreviato",Risultati!G131=0),"0",(((Risultati!AK131-(Risultati!AL131+Risultati!AM131))/Risultati!G131)))</f>
        <v>0</v>
      </c>
      <c r="BZ132" s="16" t="str">
        <f>IF(Risultati!G131&gt;0,(Risultati!AJ131/Risultati!G131),"0")</f>
        <v>0</v>
      </c>
      <c r="CA132" s="8"/>
      <c r="CB132" s="10">
        <f>+Risultati!AP131</f>
        <v>0</v>
      </c>
      <c r="CC132" s="31" t="str">
        <f t="shared" si="108"/>
        <v>0</v>
      </c>
      <c r="CD132" s="10">
        <f>+Risultati!AQ131</f>
        <v>0</v>
      </c>
      <c r="CE132" s="31" t="str">
        <f t="shared" si="109"/>
        <v>0</v>
      </c>
      <c r="CF132" s="10">
        <f>+Risultati!AR131</f>
        <v>0</v>
      </c>
      <c r="CG132" s="31" t="str">
        <f t="shared" si="110"/>
        <v>0</v>
      </c>
      <c r="CH132" s="10">
        <f>+Risultati!AS131</f>
        <v>0</v>
      </c>
      <c r="CI132" s="31" t="str">
        <f t="shared" si="111"/>
        <v>0</v>
      </c>
      <c r="CJ132" s="10">
        <f t="shared" si="112"/>
        <v>0</v>
      </c>
      <c r="CK132" s="31" t="str">
        <f t="shared" si="113"/>
        <v>0</v>
      </c>
      <c r="CL132" s="10">
        <f>+Risultati!AE131+Risultati!AF131</f>
        <v>0</v>
      </c>
      <c r="CM132" s="31" t="str">
        <f t="shared" si="114"/>
        <v>0</v>
      </c>
      <c r="CN132" s="10">
        <f>+Risultati!AT131</f>
        <v>0</v>
      </c>
      <c r="CO132" s="31" t="str">
        <f t="shared" si="115"/>
        <v>0</v>
      </c>
      <c r="CP132" s="10">
        <f>+Risultati!AU131</f>
        <v>0</v>
      </c>
      <c r="CQ132" s="31" t="str">
        <f t="shared" si="116"/>
        <v>0</v>
      </c>
      <c r="CR132" s="10">
        <f>+Risultati!AL131</f>
        <v>0</v>
      </c>
      <c r="CS132" s="31" t="str">
        <f t="shared" si="117"/>
        <v>0</v>
      </c>
      <c r="CT132" s="10">
        <f t="shared" si="118"/>
        <v>0</v>
      </c>
      <c r="CU132" s="31" t="str">
        <f t="shared" si="119"/>
        <v>0</v>
      </c>
      <c r="CV132" s="10">
        <f>+Risultati!AX131</f>
        <v>0</v>
      </c>
      <c r="CW132" s="31" t="str">
        <f t="shared" si="120"/>
        <v>0</v>
      </c>
      <c r="CX132" s="10">
        <f t="shared" si="121"/>
        <v>0</v>
      </c>
      <c r="CY132" s="31" t="str">
        <f t="shared" si="122"/>
        <v>0</v>
      </c>
      <c r="CZ132" s="10">
        <f>+Risultati!AG131</f>
        <v>0</v>
      </c>
      <c r="DA132" s="31" t="str">
        <f t="shared" si="123"/>
        <v>0</v>
      </c>
      <c r="DB132" s="10">
        <f t="shared" si="124"/>
        <v>0</v>
      </c>
      <c r="DC132" s="31" t="str">
        <f t="shared" si="125"/>
        <v>0</v>
      </c>
      <c r="DD132" s="10">
        <f>+Risultati!AV131</f>
        <v>0</v>
      </c>
      <c r="DE132" s="31" t="str">
        <f t="shared" si="126"/>
        <v>0</v>
      </c>
      <c r="DF132" s="10">
        <f>+Risultati!AJ131</f>
        <v>0</v>
      </c>
      <c r="DG132" s="31" t="str">
        <f t="shared" si="127"/>
        <v>0</v>
      </c>
      <c r="DH132" s="10">
        <f t="shared" si="128"/>
        <v>0</v>
      </c>
      <c r="DI132" s="31" t="str">
        <f t="shared" si="129"/>
        <v>0</v>
      </c>
      <c r="DJ132" s="10">
        <f>+Risultati!AW131</f>
        <v>0</v>
      </c>
      <c r="DK132" s="31" t="str">
        <f t="shared" si="130"/>
        <v>0</v>
      </c>
      <c r="DL132" s="10">
        <f t="shared" ref="DL132:DL195" si="152">+CX132</f>
        <v>0</v>
      </c>
      <c r="DM132" s="31" t="str">
        <f t="shared" si="131"/>
        <v>0</v>
      </c>
      <c r="DO132" s="30"/>
      <c r="DP132" s="30"/>
    </row>
    <row r="133" spans="1:120" x14ac:dyDescent="0.2">
      <c r="A133" s="5"/>
      <c r="B133" s="6">
        <f>+Risultati!B132</f>
        <v>0</v>
      </c>
      <c r="C133" s="6">
        <f>+Risultati!C132</f>
        <v>0</v>
      </c>
      <c r="D133" s="26" t="str">
        <f>IF(YEAR(Risultati!D132)=1900,(MID(Risultati!$AP$1,29,4)),YEAR(Risultati!D132))</f>
        <v/>
      </c>
      <c r="E133" s="6">
        <f>+Risultati!E132</f>
        <v>0</v>
      </c>
      <c r="F133" s="8" t="e">
        <f>(LEFT(Risultati!AN132,2)&amp;"-")&amp;VLOOKUP((LEFT(Risultati!AN132,2)),ateco!$B$4:$C$93,2,FALSE)</f>
        <v>#N/A</v>
      </c>
      <c r="G133" s="8" t="str">
        <f>SUBSTITUTE((Risultati!AN132&amp;"-"&amp;Risultati!AO132),",",";")</f>
        <v>-</v>
      </c>
      <c r="I133" s="10">
        <f>+Risultati!G132</f>
        <v>0</v>
      </c>
      <c r="J133" s="11" t="str">
        <f t="shared" si="134"/>
        <v>0</v>
      </c>
      <c r="K133" s="12"/>
      <c r="L133" s="10">
        <f>+Risultati!G132+Risultati!H132</f>
        <v>0</v>
      </c>
      <c r="M133" s="11" t="str">
        <f t="shared" si="135"/>
        <v>0</v>
      </c>
      <c r="N133" s="12"/>
      <c r="O133" s="10">
        <f>+Risultati!I132+Risultati!J132</f>
        <v>0</v>
      </c>
      <c r="P133" s="11" t="str">
        <f t="shared" si="136"/>
        <v>0</v>
      </c>
      <c r="Q133" s="12"/>
      <c r="R133" s="13">
        <f t="shared" si="102"/>
        <v>0</v>
      </c>
      <c r="S133" s="11" t="str">
        <f t="shared" si="137"/>
        <v>0</v>
      </c>
      <c r="T133" s="12"/>
      <c r="U133" s="10">
        <f>+Risultati!F132-(Risultati!G132+Risultati!H132)</f>
        <v>0</v>
      </c>
      <c r="V133" s="12" t="str">
        <f t="shared" si="138"/>
        <v>0</v>
      </c>
      <c r="W133" s="12"/>
      <c r="X133" s="10">
        <f t="shared" si="103"/>
        <v>0</v>
      </c>
      <c r="Y133" s="12" t="str">
        <f t="shared" si="139"/>
        <v>0</v>
      </c>
      <c r="Z133" s="12"/>
      <c r="AA133" s="10">
        <f>+Risultati!K132</f>
        <v>0</v>
      </c>
      <c r="AB133" s="12" t="str">
        <f t="shared" si="140"/>
        <v>0</v>
      </c>
      <c r="AC133" s="12"/>
      <c r="AD133" s="10">
        <f>+Risultati!L132</f>
        <v>0</v>
      </c>
      <c r="AE133" s="12" t="str">
        <f t="shared" si="141"/>
        <v>0</v>
      </c>
      <c r="AF133" s="12"/>
      <c r="AG133" s="10">
        <f>+Risultati!M132+Risultati!P132+Risultati!Q132</f>
        <v>0</v>
      </c>
      <c r="AH133" s="12" t="str">
        <f t="shared" si="142"/>
        <v>0</v>
      </c>
      <c r="AI133" s="12"/>
      <c r="AJ133" s="13">
        <f t="shared" si="104"/>
        <v>0</v>
      </c>
      <c r="AK133" s="11" t="str">
        <f t="shared" si="143"/>
        <v>0</v>
      </c>
      <c r="AL133" s="12"/>
      <c r="AM133" s="10">
        <f>+Risultati!N132</f>
        <v>0</v>
      </c>
      <c r="AN133" s="12" t="str">
        <f t="shared" si="144"/>
        <v>0</v>
      </c>
      <c r="AO133" s="12"/>
      <c r="AP133" s="10">
        <f t="shared" si="105"/>
        <v>0</v>
      </c>
      <c r="AQ133" s="41" t="str">
        <f t="shared" si="145"/>
        <v>0</v>
      </c>
      <c r="AR133" s="12"/>
      <c r="AS133" s="10">
        <f>+Risultati!O132</f>
        <v>0</v>
      </c>
      <c r="AT133" s="12" t="str">
        <f t="shared" si="146"/>
        <v>0</v>
      </c>
      <c r="AU133" s="12"/>
      <c r="AV133" s="10">
        <f t="shared" si="106"/>
        <v>0</v>
      </c>
      <c r="AW133" s="12" t="str">
        <f t="shared" si="147"/>
        <v>0</v>
      </c>
      <c r="AX133" s="12"/>
      <c r="AY133" s="10">
        <f>+Risultati!R132+Risultati!S132</f>
        <v>0</v>
      </c>
      <c r="AZ133" s="12" t="str">
        <f t="shared" si="148"/>
        <v>0</v>
      </c>
      <c r="BA133" s="12"/>
      <c r="BB133" s="10">
        <f>+Risultati!T132</f>
        <v>0</v>
      </c>
      <c r="BC133" s="12" t="str">
        <f t="shared" si="149"/>
        <v>0</v>
      </c>
      <c r="BD133" s="12"/>
      <c r="BE133" s="10">
        <f>+Risultati!U132</f>
        <v>0</v>
      </c>
      <c r="BF133" s="12" t="str">
        <f t="shared" si="150"/>
        <v>0</v>
      </c>
      <c r="BG133" s="12"/>
      <c r="BH133" s="10">
        <f t="shared" si="107"/>
        <v>0</v>
      </c>
      <c r="BI133" s="12" t="str">
        <f t="shared" si="151"/>
        <v>0</v>
      </c>
      <c r="BK133" s="16">
        <f>IF(ISNUMBER(Risultati!X132/100),(Risultati!X132/100))</f>
        <v>0</v>
      </c>
      <c r="BL133" s="16">
        <f>IF(ISNUMBER(Risultati!Y132/100),(Risultati!Y132/100))</f>
        <v>0</v>
      </c>
      <c r="BM133" s="16">
        <f>IF(ISNUMBER(Risultati!Z132/100),(Risultati!Z132/100))</f>
        <v>0</v>
      </c>
      <c r="BN133" s="16">
        <f>IF(AND(Risultati!AY132&lt;0,calcoli!AP133&lt;0),-IF(ISNUMBER(Risultati!AA132/100),(Risultati!AA132/100)),IF(ISNUMBER(Risultati!AA132/100),(Risultati!AA132/100)))</f>
        <v>0</v>
      </c>
      <c r="BO133" s="16" t="str">
        <f t="shared" si="132"/>
        <v>0</v>
      </c>
      <c r="BP133" s="16" t="str">
        <f>IF(Risultati!AB132&gt;0,(AV133/Risultati!AB132),"0")</f>
        <v>0</v>
      </c>
      <c r="BQ133" s="16" t="str">
        <f>IF(Risultati!AG132&lt;&gt;0,(BH133/Risultati!AG132),"0")</f>
        <v>0</v>
      </c>
      <c r="BR133" s="16" t="str">
        <f t="shared" si="133"/>
        <v>0</v>
      </c>
      <c r="BS133" s="14" t="str">
        <f>IF(Risultati!AB132&gt;0,(Risultati!G132/Risultati!AB132),"0")</f>
        <v>0</v>
      </c>
      <c r="BT133" s="15" t="str">
        <f>IF(Risultati!AG132&lt;&gt;0,(Risultati!AB132/Risultati!AG132),"0")</f>
        <v>0</v>
      </c>
      <c r="BU133" s="23" t="str">
        <f>IF(AND(Risultati!G132&gt;0,(Risultati!AE132-Risultati!AF132)&gt;=0),((Risultati!AE132-Risultati!AF132)/Risultati!G132*360),"0")</f>
        <v>0</v>
      </c>
      <c r="BV133" s="21" t="str">
        <f>IF(OR(E133="abbreviato",Risultati!G132=0),"0",((Risultati!AC132+Risultati!AD132)/Risultati!G132*360))</f>
        <v>0</v>
      </c>
      <c r="BW133" s="21" t="str">
        <f>IF(OR(E133="abbreviato",Risultati!G132=0,SUM(Risultati!I132+Risultati!K132+Risultati!M132)=0),"0",(((Risultati!AH132+Risultati!AI132)/(Risultati!I132+Risultati!K132+Risultati!N132)*360)))</f>
        <v>0</v>
      </c>
      <c r="BX133" s="16" t="str">
        <f>IF(Risultati!AB132&gt;0,(+Risultati!AG132/Risultati!AB132),"0")</f>
        <v>0</v>
      </c>
      <c r="BY133" s="22" t="str">
        <f>IF(OR(E133="abbreviato",Risultati!G132=0),"0",(((Risultati!AK132-(Risultati!AL132+Risultati!AM132))/Risultati!G132)))</f>
        <v>0</v>
      </c>
      <c r="BZ133" s="16" t="str">
        <f>IF(Risultati!G132&gt;0,(Risultati!AJ132/Risultati!G132),"0")</f>
        <v>0</v>
      </c>
      <c r="CA133" s="8"/>
      <c r="CB133" s="10">
        <f>+Risultati!AP132</f>
        <v>0</v>
      </c>
      <c r="CC133" s="31" t="str">
        <f t="shared" si="108"/>
        <v>0</v>
      </c>
      <c r="CD133" s="10">
        <f>+Risultati!AQ132</f>
        <v>0</v>
      </c>
      <c r="CE133" s="31" t="str">
        <f t="shared" si="109"/>
        <v>0</v>
      </c>
      <c r="CF133" s="10">
        <f>+Risultati!AR132</f>
        <v>0</v>
      </c>
      <c r="CG133" s="31" t="str">
        <f t="shared" si="110"/>
        <v>0</v>
      </c>
      <c r="CH133" s="10">
        <f>+Risultati!AS132</f>
        <v>0</v>
      </c>
      <c r="CI133" s="31" t="str">
        <f t="shared" si="111"/>
        <v>0</v>
      </c>
      <c r="CJ133" s="10">
        <f t="shared" si="112"/>
        <v>0</v>
      </c>
      <c r="CK133" s="31" t="str">
        <f t="shared" si="113"/>
        <v>0</v>
      </c>
      <c r="CL133" s="10">
        <f>+Risultati!AE132+Risultati!AF132</f>
        <v>0</v>
      </c>
      <c r="CM133" s="31" t="str">
        <f t="shared" si="114"/>
        <v>0</v>
      </c>
      <c r="CN133" s="10">
        <f>+Risultati!AT132</f>
        <v>0</v>
      </c>
      <c r="CO133" s="31" t="str">
        <f t="shared" si="115"/>
        <v>0</v>
      </c>
      <c r="CP133" s="10">
        <f>+Risultati!AU132</f>
        <v>0</v>
      </c>
      <c r="CQ133" s="31" t="str">
        <f t="shared" si="116"/>
        <v>0</v>
      </c>
      <c r="CR133" s="10">
        <f>+Risultati!AL132</f>
        <v>0</v>
      </c>
      <c r="CS133" s="31" t="str">
        <f t="shared" si="117"/>
        <v>0</v>
      </c>
      <c r="CT133" s="10">
        <f t="shared" si="118"/>
        <v>0</v>
      </c>
      <c r="CU133" s="31" t="str">
        <f t="shared" si="119"/>
        <v>0</v>
      </c>
      <c r="CV133" s="10">
        <f>+Risultati!AX132</f>
        <v>0</v>
      </c>
      <c r="CW133" s="31" t="str">
        <f t="shared" si="120"/>
        <v>0</v>
      </c>
      <c r="CX133" s="10">
        <f t="shared" si="121"/>
        <v>0</v>
      </c>
      <c r="CY133" s="31" t="str">
        <f t="shared" si="122"/>
        <v>0</v>
      </c>
      <c r="CZ133" s="10">
        <f>+Risultati!AG132</f>
        <v>0</v>
      </c>
      <c r="DA133" s="31" t="str">
        <f t="shared" si="123"/>
        <v>0</v>
      </c>
      <c r="DB133" s="10">
        <f t="shared" si="124"/>
        <v>0</v>
      </c>
      <c r="DC133" s="31" t="str">
        <f t="shared" si="125"/>
        <v>0</v>
      </c>
      <c r="DD133" s="10">
        <f>+Risultati!AV132</f>
        <v>0</v>
      </c>
      <c r="DE133" s="31" t="str">
        <f t="shared" si="126"/>
        <v>0</v>
      </c>
      <c r="DF133" s="10">
        <f>+Risultati!AJ132</f>
        <v>0</v>
      </c>
      <c r="DG133" s="31" t="str">
        <f t="shared" si="127"/>
        <v>0</v>
      </c>
      <c r="DH133" s="10">
        <f t="shared" si="128"/>
        <v>0</v>
      </c>
      <c r="DI133" s="31" t="str">
        <f t="shared" si="129"/>
        <v>0</v>
      </c>
      <c r="DJ133" s="10">
        <f>+Risultati!AW132</f>
        <v>0</v>
      </c>
      <c r="DK133" s="31" t="str">
        <f t="shared" si="130"/>
        <v>0</v>
      </c>
      <c r="DL133" s="10">
        <f t="shared" si="152"/>
        <v>0</v>
      </c>
      <c r="DM133" s="31" t="str">
        <f t="shared" si="131"/>
        <v>0</v>
      </c>
      <c r="DO133" s="30"/>
      <c r="DP133" s="30"/>
    </row>
    <row r="134" spans="1:120" x14ac:dyDescent="0.2">
      <c r="A134" s="5"/>
      <c r="B134" s="6">
        <f>+Risultati!B133</f>
        <v>0</v>
      </c>
      <c r="C134" s="6">
        <f>+Risultati!C133</f>
        <v>0</v>
      </c>
      <c r="D134" s="26" t="str">
        <f>IF(YEAR(Risultati!D133)=1900,(MID(Risultati!$AP$1,29,4)),YEAR(Risultati!D133))</f>
        <v/>
      </c>
      <c r="E134" s="6">
        <f>+Risultati!E133</f>
        <v>0</v>
      </c>
      <c r="F134" s="8" t="e">
        <f>(LEFT(Risultati!AN133,2)&amp;"-")&amp;VLOOKUP((LEFT(Risultati!AN133,2)),ateco!$B$4:$C$93,2,FALSE)</f>
        <v>#N/A</v>
      </c>
      <c r="G134" s="8" t="str">
        <f>SUBSTITUTE((Risultati!AN133&amp;"-"&amp;Risultati!AO133),",",";")</f>
        <v>-</v>
      </c>
      <c r="I134" s="10">
        <f>+Risultati!G133</f>
        <v>0</v>
      </c>
      <c r="J134" s="11" t="str">
        <f t="shared" si="134"/>
        <v>0</v>
      </c>
      <c r="K134" s="12"/>
      <c r="L134" s="10">
        <f>+Risultati!G133+Risultati!H133</f>
        <v>0</v>
      </c>
      <c r="M134" s="11" t="str">
        <f t="shared" si="135"/>
        <v>0</v>
      </c>
      <c r="N134" s="12"/>
      <c r="O134" s="10">
        <f>+Risultati!I133+Risultati!J133</f>
        <v>0</v>
      </c>
      <c r="P134" s="11" t="str">
        <f t="shared" si="136"/>
        <v>0</v>
      </c>
      <c r="Q134" s="12"/>
      <c r="R134" s="13">
        <f t="shared" si="102"/>
        <v>0</v>
      </c>
      <c r="S134" s="11" t="str">
        <f t="shared" si="137"/>
        <v>0</v>
      </c>
      <c r="T134" s="12"/>
      <c r="U134" s="10">
        <f>+Risultati!F133-(Risultati!G133+Risultati!H133)</f>
        <v>0</v>
      </c>
      <c r="V134" s="12" t="str">
        <f t="shared" si="138"/>
        <v>0</v>
      </c>
      <c r="W134" s="12"/>
      <c r="X134" s="10">
        <f t="shared" si="103"/>
        <v>0</v>
      </c>
      <c r="Y134" s="12" t="str">
        <f t="shared" si="139"/>
        <v>0</v>
      </c>
      <c r="Z134" s="12"/>
      <c r="AA134" s="10">
        <f>+Risultati!K133</f>
        <v>0</v>
      </c>
      <c r="AB134" s="12" t="str">
        <f t="shared" si="140"/>
        <v>0</v>
      </c>
      <c r="AC134" s="12"/>
      <c r="AD134" s="10">
        <f>+Risultati!L133</f>
        <v>0</v>
      </c>
      <c r="AE134" s="12" t="str">
        <f t="shared" si="141"/>
        <v>0</v>
      </c>
      <c r="AF134" s="12"/>
      <c r="AG134" s="10">
        <f>+Risultati!M133+Risultati!P133+Risultati!Q133</f>
        <v>0</v>
      </c>
      <c r="AH134" s="12" t="str">
        <f t="shared" si="142"/>
        <v>0</v>
      </c>
      <c r="AI134" s="12"/>
      <c r="AJ134" s="13">
        <f t="shared" si="104"/>
        <v>0</v>
      </c>
      <c r="AK134" s="11" t="str">
        <f t="shared" si="143"/>
        <v>0</v>
      </c>
      <c r="AL134" s="12"/>
      <c r="AM134" s="10">
        <f>+Risultati!N133</f>
        <v>0</v>
      </c>
      <c r="AN134" s="12" t="str">
        <f t="shared" si="144"/>
        <v>0</v>
      </c>
      <c r="AO134" s="12"/>
      <c r="AP134" s="10">
        <f t="shared" si="105"/>
        <v>0</v>
      </c>
      <c r="AQ134" s="41" t="str">
        <f t="shared" si="145"/>
        <v>0</v>
      </c>
      <c r="AR134" s="12"/>
      <c r="AS134" s="10">
        <f>+Risultati!O133</f>
        <v>0</v>
      </c>
      <c r="AT134" s="12" t="str">
        <f t="shared" si="146"/>
        <v>0</v>
      </c>
      <c r="AU134" s="12"/>
      <c r="AV134" s="10">
        <f t="shared" si="106"/>
        <v>0</v>
      </c>
      <c r="AW134" s="12" t="str">
        <f t="shared" si="147"/>
        <v>0</v>
      </c>
      <c r="AX134" s="12"/>
      <c r="AY134" s="10">
        <f>+Risultati!R133+Risultati!S133</f>
        <v>0</v>
      </c>
      <c r="AZ134" s="12" t="str">
        <f t="shared" si="148"/>
        <v>0</v>
      </c>
      <c r="BA134" s="12"/>
      <c r="BB134" s="10">
        <f>+Risultati!T133</f>
        <v>0</v>
      </c>
      <c r="BC134" s="12" t="str">
        <f t="shared" si="149"/>
        <v>0</v>
      </c>
      <c r="BD134" s="12"/>
      <c r="BE134" s="10">
        <f>+Risultati!U133</f>
        <v>0</v>
      </c>
      <c r="BF134" s="12" t="str">
        <f t="shared" si="150"/>
        <v>0</v>
      </c>
      <c r="BG134" s="12"/>
      <c r="BH134" s="10">
        <f t="shared" si="107"/>
        <v>0</v>
      </c>
      <c r="BI134" s="12" t="str">
        <f t="shared" si="151"/>
        <v>0</v>
      </c>
      <c r="BK134" s="16">
        <f>IF(ISNUMBER(Risultati!X133/100),(Risultati!X133/100))</f>
        <v>0</v>
      </c>
      <c r="BL134" s="16">
        <f>IF(ISNUMBER(Risultati!Y133/100),(Risultati!Y133/100))</f>
        <v>0</v>
      </c>
      <c r="BM134" s="16">
        <f>IF(ISNUMBER(Risultati!Z133/100),(Risultati!Z133/100))</f>
        <v>0</v>
      </c>
      <c r="BN134" s="16">
        <f>IF(AND(Risultati!AY133&lt;0,calcoli!AP134&lt;0),-IF(ISNUMBER(Risultati!AA133/100),(Risultati!AA133/100)),IF(ISNUMBER(Risultati!AA133/100),(Risultati!AA133/100)))</f>
        <v>0</v>
      </c>
      <c r="BO134" s="16" t="str">
        <f t="shared" si="132"/>
        <v>0</v>
      </c>
      <c r="BP134" s="16" t="str">
        <f>IF(Risultati!AB133&gt;0,(AV134/Risultati!AB133),"0")</f>
        <v>0</v>
      </c>
      <c r="BQ134" s="16" t="str">
        <f>IF(Risultati!AG133&lt;&gt;0,(BH134/Risultati!AG133),"0")</f>
        <v>0</v>
      </c>
      <c r="BR134" s="16" t="str">
        <f t="shared" si="133"/>
        <v>0</v>
      </c>
      <c r="BS134" s="14" t="str">
        <f>IF(Risultati!AB133&gt;0,(Risultati!G133/Risultati!AB133),"0")</f>
        <v>0</v>
      </c>
      <c r="BT134" s="15" t="str">
        <f>IF(Risultati!AG133&lt;&gt;0,(Risultati!AB133/Risultati!AG133),"0")</f>
        <v>0</v>
      </c>
      <c r="BU134" s="23" t="str">
        <f>IF(AND(Risultati!G133&gt;0,(Risultati!AE133-Risultati!AF133)&gt;=0),((Risultati!AE133-Risultati!AF133)/Risultati!G133*360),"0")</f>
        <v>0</v>
      </c>
      <c r="BV134" s="21" t="str">
        <f>IF(OR(E134="abbreviato",Risultati!G133=0),"0",((Risultati!AC133+Risultati!AD133)/Risultati!G133*360))</f>
        <v>0</v>
      </c>
      <c r="BW134" s="21" t="str">
        <f>IF(OR(E134="abbreviato",Risultati!G133=0,SUM(Risultati!I133+Risultati!K133+Risultati!M133)=0),"0",(((Risultati!AH133+Risultati!AI133)/(Risultati!I133+Risultati!K133+Risultati!N133)*360)))</f>
        <v>0</v>
      </c>
      <c r="BX134" s="16" t="str">
        <f>IF(Risultati!AB133&gt;0,(+Risultati!AG133/Risultati!AB133),"0")</f>
        <v>0</v>
      </c>
      <c r="BY134" s="22" t="str">
        <f>IF(OR(E134="abbreviato",Risultati!G133=0),"0",(((Risultati!AK133-(Risultati!AL133+Risultati!AM133))/Risultati!G133)))</f>
        <v>0</v>
      </c>
      <c r="BZ134" s="16" t="str">
        <f>IF(Risultati!G133&gt;0,(Risultati!AJ133/Risultati!G133),"0")</f>
        <v>0</v>
      </c>
      <c r="CA134" s="8"/>
      <c r="CB134" s="10">
        <f>+Risultati!AP133</f>
        <v>0</v>
      </c>
      <c r="CC134" s="31" t="str">
        <f t="shared" si="108"/>
        <v>0</v>
      </c>
      <c r="CD134" s="10">
        <f>+Risultati!AQ133</f>
        <v>0</v>
      </c>
      <c r="CE134" s="31" t="str">
        <f t="shared" si="109"/>
        <v>0</v>
      </c>
      <c r="CF134" s="10">
        <f>+Risultati!AR133</f>
        <v>0</v>
      </c>
      <c r="CG134" s="31" t="str">
        <f t="shared" si="110"/>
        <v>0</v>
      </c>
      <c r="CH134" s="10">
        <f>+Risultati!AS133</f>
        <v>0</v>
      </c>
      <c r="CI134" s="31" t="str">
        <f t="shared" si="111"/>
        <v>0</v>
      </c>
      <c r="CJ134" s="10">
        <f t="shared" si="112"/>
        <v>0</v>
      </c>
      <c r="CK134" s="31" t="str">
        <f t="shared" si="113"/>
        <v>0</v>
      </c>
      <c r="CL134" s="10">
        <f>+Risultati!AE133+Risultati!AF133</f>
        <v>0</v>
      </c>
      <c r="CM134" s="31" t="str">
        <f t="shared" si="114"/>
        <v>0</v>
      </c>
      <c r="CN134" s="10">
        <f>+Risultati!AT133</f>
        <v>0</v>
      </c>
      <c r="CO134" s="31" t="str">
        <f t="shared" si="115"/>
        <v>0</v>
      </c>
      <c r="CP134" s="10">
        <f>+Risultati!AU133</f>
        <v>0</v>
      </c>
      <c r="CQ134" s="31" t="str">
        <f t="shared" si="116"/>
        <v>0</v>
      </c>
      <c r="CR134" s="10">
        <f>+Risultati!AL133</f>
        <v>0</v>
      </c>
      <c r="CS134" s="31" t="str">
        <f t="shared" si="117"/>
        <v>0</v>
      </c>
      <c r="CT134" s="10">
        <f t="shared" si="118"/>
        <v>0</v>
      </c>
      <c r="CU134" s="31" t="str">
        <f t="shared" si="119"/>
        <v>0</v>
      </c>
      <c r="CV134" s="10">
        <f>+Risultati!AX133</f>
        <v>0</v>
      </c>
      <c r="CW134" s="31" t="str">
        <f t="shared" si="120"/>
        <v>0</v>
      </c>
      <c r="CX134" s="10">
        <f t="shared" si="121"/>
        <v>0</v>
      </c>
      <c r="CY134" s="31" t="str">
        <f t="shared" si="122"/>
        <v>0</v>
      </c>
      <c r="CZ134" s="10">
        <f>+Risultati!AG133</f>
        <v>0</v>
      </c>
      <c r="DA134" s="31" t="str">
        <f t="shared" si="123"/>
        <v>0</v>
      </c>
      <c r="DB134" s="10">
        <f t="shared" si="124"/>
        <v>0</v>
      </c>
      <c r="DC134" s="31" t="str">
        <f t="shared" si="125"/>
        <v>0</v>
      </c>
      <c r="DD134" s="10">
        <f>+Risultati!AV133</f>
        <v>0</v>
      </c>
      <c r="DE134" s="31" t="str">
        <f t="shared" si="126"/>
        <v>0</v>
      </c>
      <c r="DF134" s="10">
        <f>+Risultati!AJ133</f>
        <v>0</v>
      </c>
      <c r="DG134" s="31" t="str">
        <f t="shared" si="127"/>
        <v>0</v>
      </c>
      <c r="DH134" s="10">
        <f t="shared" si="128"/>
        <v>0</v>
      </c>
      <c r="DI134" s="31" t="str">
        <f t="shared" si="129"/>
        <v>0</v>
      </c>
      <c r="DJ134" s="10">
        <f>+Risultati!AW133</f>
        <v>0</v>
      </c>
      <c r="DK134" s="31" t="str">
        <f t="shared" si="130"/>
        <v>0</v>
      </c>
      <c r="DL134" s="10">
        <f t="shared" si="152"/>
        <v>0</v>
      </c>
      <c r="DM134" s="31" t="str">
        <f t="shared" si="131"/>
        <v>0</v>
      </c>
      <c r="DO134" s="30"/>
      <c r="DP134" s="30"/>
    </row>
    <row r="135" spans="1:120" x14ac:dyDescent="0.2">
      <c r="A135" s="5"/>
      <c r="B135" s="6">
        <f>+Risultati!B134</f>
        <v>0</v>
      </c>
      <c r="C135" s="6">
        <f>+Risultati!C134</f>
        <v>0</v>
      </c>
      <c r="D135" s="26" t="str">
        <f>IF(YEAR(Risultati!D134)=1900,(MID(Risultati!$AP$1,29,4)),YEAR(Risultati!D134))</f>
        <v/>
      </c>
      <c r="E135" s="6">
        <f>+Risultati!E134</f>
        <v>0</v>
      </c>
      <c r="F135" s="8" t="e">
        <f>(LEFT(Risultati!AN134,2)&amp;"-")&amp;VLOOKUP((LEFT(Risultati!AN134,2)),ateco!$B$4:$C$93,2,FALSE)</f>
        <v>#N/A</v>
      </c>
      <c r="G135" s="8" t="str">
        <f>SUBSTITUTE((Risultati!AN134&amp;"-"&amp;Risultati!AO134),",",";")</f>
        <v>-</v>
      </c>
      <c r="I135" s="10">
        <f>+Risultati!G134</f>
        <v>0</v>
      </c>
      <c r="J135" s="11" t="str">
        <f t="shared" si="134"/>
        <v>0</v>
      </c>
      <c r="K135" s="12"/>
      <c r="L135" s="10">
        <f>+Risultati!G134+Risultati!H134</f>
        <v>0</v>
      </c>
      <c r="M135" s="11" t="str">
        <f t="shared" si="135"/>
        <v>0</v>
      </c>
      <c r="N135" s="12"/>
      <c r="O135" s="10">
        <f>+Risultati!I134+Risultati!J134</f>
        <v>0</v>
      </c>
      <c r="P135" s="11" t="str">
        <f t="shared" si="136"/>
        <v>0</v>
      </c>
      <c r="Q135" s="12"/>
      <c r="R135" s="13">
        <f t="shared" si="102"/>
        <v>0</v>
      </c>
      <c r="S135" s="11" t="str">
        <f t="shared" si="137"/>
        <v>0</v>
      </c>
      <c r="T135" s="12"/>
      <c r="U135" s="10">
        <f>+Risultati!F134-(Risultati!G134+Risultati!H134)</f>
        <v>0</v>
      </c>
      <c r="V135" s="12" t="str">
        <f t="shared" si="138"/>
        <v>0</v>
      </c>
      <c r="W135" s="12"/>
      <c r="X135" s="10">
        <f t="shared" si="103"/>
        <v>0</v>
      </c>
      <c r="Y135" s="12" t="str">
        <f t="shared" si="139"/>
        <v>0</v>
      </c>
      <c r="Z135" s="12"/>
      <c r="AA135" s="10">
        <f>+Risultati!K134</f>
        <v>0</v>
      </c>
      <c r="AB135" s="12" t="str">
        <f t="shared" si="140"/>
        <v>0</v>
      </c>
      <c r="AC135" s="12"/>
      <c r="AD135" s="10">
        <f>+Risultati!L134</f>
        <v>0</v>
      </c>
      <c r="AE135" s="12" t="str">
        <f t="shared" si="141"/>
        <v>0</v>
      </c>
      <c r="AF135" s="12"/>
      <c r="AG135" s="10">
        <f>+Risultati!M134+Risultati!P134+Risultati!Q134</f>
        <v>0</v>
      </c>
      <c r="AH135" s="12" t="str">
        <f t="shared" si="142"/>
        <v>0</v>
      </c>
      <c r="AI135" s="12"/>
      <c r="AJ135" s="13">
        <f t="shared" si="104"/>
        <v>0</v>
      </c>
      <c r="AK135" s="11" t="str">
        <f t="shared" si="143"/>
        <v>0</v>
      </c>
      <c r="AL135" s="12"/>
      <c r="AM135" s="10">
        <f>+Risultati!N134</f>
        <v>0</v>
      </c>
      <c r="AN135" s="12" t="str">
        <f t="shared" si="144"/>
        <v>0</v>
      </c>
      <c r="AO135" s="12"/>
      <c r="AP135" s="10">
        <f t="shared" si="105"/>
        <v>0</v>
      </c>
      <c r="AQ135" s="41" t="str">
        <f t="shared" si="145"/>
        <v>0</v>
      </c>
      <c r="AR135" s="12"/>
      <c r="AS135" s="10">
        <f>+Risultati!O134</f>
        <v>0</v>
      </c>
      <c r="AT135" s="12" t="str">
        <f t="shared" si="146"/>
        <v>0</v>
      </c>
      <c r="AU135" s="12"/>
      <c r="AV135" s="10">
        <f t="shared" si="106"/>
        <v>0</v>
      </c>
      <c r="AW135" s="12" t="str">
        <f t="shared" si="147"/>
        <v>0</v>
      </c>
      <c r="AX135" s="12"/>
      <c r="AY135" s="10">
        <f>+Risultati!R134+Risultati!S134</f>
        <v>0</v>
      </c>
      <c r="AZ135" s="12" t="str">
        <f t="shared" si="148"/>
        <v>0</v>
      </c>
      <c r="BA135" s="12"/>
      <c r="BB135" s="10">
        <f>+Risultati!T134</f>
        <v>0</v>
      </c>
      <c r="BC135" s="12" t="str">
        <f t="shared" si="149"/>
        <v>0</v>
      </c>
      <c r="BD135" s="12"/>
      <c r="BE135" s="10">
        <f>+Risultati!U134</f>
        <v>0</v>
      </c>
      <c r="BF135" s="12" t="str">
        <f t="shared" si="150"/>
        <v>0</v>
      </c>
      <c r="BG135" s="12"/>
      <c r="BH135" s="10">
        <f t="shared" si="107"/>
        <v>0</v>
      </c>
      <c r="BI135" s="12" t="str">
        <f t="shared" si="151"/>
        <v>0</v>
      </c>
      <c r="BK135" s="16">
        <f>IF(ISNUMBER(Risultati!X134/100),(Risultati!X134/100))</f>
        <v>0</v>
      </c>
      <c r="BL135" s="16">
        <f>IF(ISNUMBER(Risultati!Y134/100),(Risultati!Y134/100))</f>
        <v>0</v>
      </c>
      <c r="BM135" s="16">
        <f>IF(ISNUMBER(Risultati!Z134/100),(Risultati!Z134/100))</f>
        <v>0</v>
      </c>
      <c r="BN135" s="16">
        <f>IF(AND(Risultati!AY134&lt;0,calcoli!AP135&lt;0),-IF(ISNUMBER(Risultati!AA134/100),(Risultati!AA134/100)),IF(ISNUMBER(Risultati!AA134/100),(Risultati!AA134/100)))</f>
        <v>0</v>
      </c>
      <c r="BO135" s="16" t="str">
        <f t="shared" si="132"/>
        <v>0</v>
      </c>
      <c r="BP135" s="16" t="str">
        <f>IF(Risultati!AB134&gt;0,(AV135/Risultati!AB134),"0")</f>
        <v>0</v>
      </c>
      <c r="BQ135" s="16" t="str">
        <f>IF(Risultati!AG134&lt;&gt;0,(BH135/Risultati!AG134),"0")</f>
        <v>0</v>
      </c>
      <c r="BR135" s="16" t="str">
        <f t="shared" si="133"/>
        <v>0</v>
      </c>
      <c r="BS135" s="14" t="str">
        <f>IF(Risultati!AB134&gt;0,(Risultati!G134/Risultati!AB134),"0")</f>
        <v>0</v>
      </c>
      <c r="BT135" s="15" t="str">
        <f>IF(Risultati!AG134&lt;&gt;0,(Risultati!AB134/Risultati!AG134),"0")</f>
        <v>0</v>
      </c>
      <c r="BU135" s="23" t="str">
        <f>IF(AND(Risultati!G134&gt;0,(Risultati!AE134-Risultati!AF134)&gt;=0),((Risultati!AE134-Risultati!AF134)/Risultati!G134*360),"0")</f>
        <v>0</v>
      </c>
      <c r="BV135" s="21" t="str">
        <f>IF(OR(E135="abbreviato",Risultati!G134=0),"0",((Risultati!AC134+Risultati!AD134)/Risultati!G134*360))</f>
        <v>0</v>
      </c>
      <c r="BW135" s="21" t="str">
        <f>IF(OR(E135="abbreviato",Risultati!G134=0,SUM(Risultati!I134+Risultati!K134+Risultati!M134)=0),"0",(((Risultati!AH134+Risultati!AI134)/(Risultati!I134+Risultati!K134+Risultati!N134)*360)))</f>
        <v>0</v>
      </c>
      <c r="BX135" s="16" t="str">
        <f>IF(Risultati!AB134&gt;0,(+Risultati!AG134/Risultati!AB134),"0")</f>
        <v>0</v>
      </c>
      <c r="BY135" s="22" t="str">
        <f>IF(OR(E135="abbreviato",Risultati!G134=0),"0",(((Risultati!AK134-(Risultati!AL134+Risultati!AM134))/Risultati!G134)))</f>
        <v>0</v>
      </c>
      <c r="BZ135" s="16" t="str">
        <f>IF(Risultati!G134&gt;0,(Risultati!AJ134/Risultati!G134),"0")</f>
        <v>0</v>
      </c>
      <c r="CA135" s="8"/>
      <c r="CB135" s="10">
        <f>+Risultati!AP134</f>
        <v>0</v>
      </c>
      <c r="CC135" s="31" t="str">
        <f t="shared" si="108"/>
        <v>0</v>
      </c>
      <c r="CD135" s="10">
        <f>+Risultati!AQ134</f>
        <v>0</v>
      </c>
      <c r="CE135" s="31" t="str">
        <f t="shared" si="109"/>
        <v>0</v>
      </c>
      <c r="CF135" s="10">
        <f>+Risultati!AR134</f>
        <v>0</v>
      </c>
      <c r="CG135" s="31" t="str">
        <f t="shared" si="110"/>
        <v>0</v>
      </c>
      <c r="CH135" s="10">
        <f>+Risultati!AS134</f>
        <v>0</v>
      </c>
      <c r="CI135" s="31" t="str">
        <f t="shared" si="111"/>
        <v>0</v>
      </c>
      <c r="CJ135" s="10">
        <f t="shared" si="112"/>
        <v>0</v>
      </c>
      <c r="CK135" s="31" t="str">
        <f t="shared" si="113"/>
        <v>0</v>
      </c>
      <c r="CL135" s="10">
        <f>+Risultati!AE134+Risultati!AF134</f>
        <v>0</v>
      </c>
      <c r="CM135" s="31" t="str">
        <f t="shared" si="114"/>
        <v>0</v>
      </c>
      <c r="CN135" s="10">
        <f>+Risultati!AT134</f>
        <v>0</v>
      </c>
      <c r="CO135" s="31" t="str">
        <f t="shared" si="115"/>
        <v>0</v>
      </c>
      <c r="CP135" s="10">
        <f>+Risultati!AU134</f>
        <v>0</v>
      </c>
      <c r="CQ135" s="31" t="str">
        <f t="shared" si="116"/>
        <v>0</v>
      </c>
      <c r="CR135" s="10">
        <f>+Risultati!AL134</f>
        <v>0</v>
      </c>
      <c r="CS135" s="31" t="str">
        <f t="shared" si="117"/>
        <v>0</v>
      </c>
      <c r="CT135" s="10">
        <f t="shared" si="118"/>
        <v>0</v>
      </c>
      <c r="CU135" s="31" t="str">
        <f t="shared" si="119"/>
        <v>0</v>
      </c>
      <c r="CV135" s="10">
        <f>+Risultati!AX134</f>
        <v>0</v>
      </c>
      <c r="CW135" s="31" t="str">
        <f t="shared" si="120"/>
        <v>0</v>
      </c>
      <c r="CX135" s="10">
        <f t="shared" si="121"/>
        <v>0</v>
      </c>
      <c r="CY135" s="31" t="str">
        <f t="shared" si="122"/>
        <v>0</v>
      </c>
      <c r="CZ135" s="10">
        <f>+Risultati!AG134</f>
        <v>0</v>
      </c>
      <c r="DA135" s="31" t="str">
        <f t="shared" si="123"/>
        <v>0</v>
      </c>
      <c r="DB135" s="10">
        <f t="shared" si="124"/>
        <v>0</v>
      </c>
      <c r="DC135" s="31" t="str">
        <f t="shared" si="125"/>
        <v>0</v>
      </c>
      <c r="DD135" s="10">
        <f>+Risultati!AV134</f>
        <v>0</v>
      </c>
      <c r="DE135" s="31" t="str">
        <f t="shared" si="126"/>
        <v>0</v>
      </c>
      <c r="DF135" s="10">
        <f>+Risultati!AJ134</f>
        <v>0</v>
      </c>
      <c r="DG135" s="31" t="str">
        <f t="shared" si="127"/>
        <v>0</v>
      </c>
      <c r="DH135" s="10">
        <f t="shared" si="128"/>
        <v>0</v>
      </c>
      <c r="DI135" s="31" t="str">
        <f t="shared" si="129"/>
        <v>0</v>
      </c>
      <c r="DJ135" s="10">
        <f>+Risultati!AW134</f>
        <v>0</v>
      </c>
      <c r="DK135" s="31" t="str">
        <f t="shared" si="130"/>
        <v>0</v>
      </c>
      <c r="DL135" s="10">
        <f t="shared" si="152"/>
        <v>0</v>
      </c>
      <c r="DM135" s="31" t="str">
        <f t="shared" si="131"/>
        <v>0</v>
      </c>
      <c r="DO135" s="30"/>
      <c r="DP135" s="30"/>
    </row>
    <row r="136" spans="1:120" x14ac:dyDescent="0.2">
      <c r="A136" s="5"/>
      <c r="B136" s="6">
        <f>+Risultati!B135</f>
        <v>0</v>
      </c>
      <c r="C136" s="6">
        <f>+Risultati!C135</f>
        <v>0</v>
      </c>
      <c r="D136" s="26" t="str">
        <f>IF(YEAR(Risultati!D135)=1900,(MID(Risultati!$AP$1,29,4)),YEAR(Risultati!D135))</f>
        <v/>
      </c>
      <c r="E136" s="6">
        <f>+Risultati!E135</f>
        <v>0</v>
      </c>
      <c r="F136" s="8" t="e">
        <f>(LEFT(Risultati!AN135,2)&amp;"-")&amp;VLOOKUP((LEFT(Risultati!AN135,2)),ateco!$B$4:$C$93,2,FALSE)</f>
        <v>#N/A</v>
      </c>
      <c r="G136" s="8" t="str">
        <f>SUBSTITUTE((Risultati!AN135&amp;"-"&amp;Risultati!AO135),",",";")</f>
        <v>-</v>
      </c>
      <c r="I136" s="10">
        <f>+Risultati!G135</f>
        <v>0</v>
      </c>
      <c r="J136" s="11" t="str">
        <f t="shared" si="134"/>
        <v>0</v>
      </c>
      <c r="K136" s="12"/>
      <c r="L136" s="10">
        <f>+Risultati!G135+Risultati!H135</f>
        <v>0</v>
      </c>
      <c r="M136" s="11" t="str">
        <f t="shared" si="135"/>
        <v>0</v>
      </c>
      <c r="N136" s="12"/>
      <c r="O136" s="10">
        <f>+Risultati!I135+Risultati!J135</f>
        <v>0</v>
      </c>
      <c r="P136" s="11" t="str">
        <f t="shared" si="136"/>
        <v>0</v>
      </c>
      <c r="Q136" s="12"/>
      <c r="R136" s="13">
        <f t="shared" si="102"/>
        <v>0</v>
      </c>
      <c r="S136" s="11" t="str">
        <f t="shared" si="137"/>
        <v>0</v>
      </c>
      <c r="T136" s="12"/>
      <c r="U136" s="10">
        <f>+Risultati!F135-(Risultati!G135+Risultati!H135)</f>
        <v>0</v>
      </c>
      <c r="V136" s="12" t="str">
        <f t="shared" si="138"/>
        <v>0</v>
      </c>
      <c r="W136" s="12"/>
      <c r="X136" s="10">
        <f t="shared" si="103"/>
        <v>0</v>
      </c>
      <c r="Y136" s="12" t="str">
        <f t="shared" si="139"/>
        <v>0</v>
      </c>
      <c r="Z136" s="12"/>
      <c r="AA136" s="10">
        <f>+Risultati!K135</f>
        <v>0</v>
      </c>
      <c r="AB136" s="12" t="str">
        <f t="shared" si="140"/>
        <v>0</v>
      </c>
      <c r="AC136" s="12"/>
      <c r="AD136" s="10">
        <f>+Risultati!L135</f>
        <v>0</v>
      </c>
      <c r="AE136" s="12" t="str">
        <f t="shared" si="141"/>
        <v>0</v>
      </c>
      <c r="AF136" s="12"/>
      <c r="AG136" s="10">
        <f>+Risultati!M135+Risultati!P135+Risultati!Q135</f>
        <v>0</v>
      </c>
      <c r="AH136" s="12" t="str">
        <f t="shared" si="142"/>
        <v>0</v>
      </c>
      <c r="AI136" s="12"/>
      <c r="AJ136" s="13">
        <f t="shared" si="104"/>
        <v>0</v>
      </c>
      <c r="AK136" s="11" t="str">
        <f t="shared" si="143"/>
        <v>0</v>
      </c>
      <c r="AL136" s="12"/>
      <c r="AM136" s="10">
        <f>+Risultati!N135</f>
        <v>0</v>
      </c>
      <c r="AN136" s="12" t="str">
        <f t="shared" si="144"/>
        <v>0</v>
      </c>
      <c r="AO136" s="12"/>
      <c r="AP136" s="10">
        <f t="shared" si="105"/>
        <v>0</v>
      </c>
      <c r="AQ136" s="41" t="str">
        <f t="shared" si="145"/>
        <v>0</v>
      </c>
      <c r="AR136" s="12"/>
      <c r="AS136" s="10">
        <f>+Risultati!O135</f>
        <v>0</v>
      </c>
      <c r="AT136" s="12" t="str">
        <f t="shared" si="146"/>
        <v>0</v>
      </c>
      <c r="AU136" s="12"/>
      <c r="AV136" s="10">
        <f t="shared" si="106"/>
        <v>0</v>
      </c>
      <c r="AW136" s="12" t="str">
        <f t="shared" si="147"/>
        <v>0</v>
      </c>
      <c r="AX136" s="12"/>
      <c r="AY136" s="10">
        <f>+Risultati!R135+Risultati!S135</f>
        <v>0</v>
      </c>
      <c r="AZ136" s="12" t="str">
        <f t="shared" si="148"/>
        <v>0</v>
      </c>
      <c r="BA136" s="12"/>
      <c r="BB136" s="10">
        <f>+Risultati!T135</f>
        <v>0</v>
      </c>
      <c r="BC136" s="12" t="str">
        <f t="shared" si="149"/>
        <v>0</v>
      </c>
      <c r="BD136" s="12"/>
      <c r="BE136" s="10">
        <f>+Risultati!U135</f>
        <v>0</v>
      </c>
      <c r="BF136" s="12" t="str">
        <f t="shared" si="150"/>
        <v>0</v>
      </c>
      <c r="BG136" s="12"/>
      <c r="BH136" s="10">
        <f t="shared" si="107"/>
        <v>0</v>
      </c>
      <c r="BI136" s="12" t="str">
        <f t="shared" si="151"/>
        <v>0</v>
      </c>
      <c r="BK136" s="16">
        <f>IF(ISNUMBER(Risultati!X135/100),(Risultati!X135/100))</f>
        <v>0</v>
      </c>
      <c r="BL136" s="16">
        <f>IF(ISNUMBER(Risultati!Y135/100),(Risultati!Y135/100))</f>
        <v>0</v>
      </c>
      <c r="BM136" s="16">
        <f>IF(ISNUMBER(Risultati!Z135/100),(Risultati!Z135/100))</f>
        <v>0</v>
      </c>
      <c r="BN136" s="16">
        <f>IF(AND(Risultati!AY135&lt;0,calcoli!AP136&lt;0),-IF(ISNUMBER(Risultati!AA135/100),(Risultati!AA135/100)),IF(ISNUMBER(Risultati!AA135/100),(Risultati!AA135/100)))</f>
        <v>0</v>
      </c>
      <c r="BO136" s="16" t="str">
        <f t="shared" si="132"/>
        <v>0</v>
      </c>
      <c r="BP136" s="16" t="str">
        <f>IF(Risultati!AB135&gt;0,(AV136/Risultati!AB135),"0")</f>
        <v>0</v>
      </c>
      <c r="BQ136" s="16" t="str">
        <f>IF(Risultati!AG135&lt;&gt;0,(BH136/Risultati!AG135),"0")</f>
        <v>0</v>
      </c>
      <c r="BR136" s="16" t="str">
        <f t="shared" si="133"/>
        <v>0</v>
      </c>
      <c r="BS136" s="14" t="str">
        <f>IF(Risultati!AB135&gt;0,(Risultati!G135/Risultati!AB135),"0")</f>
        <v>0</v>
      </c>
      <c r="BT136" s="15" t="str">
        <f>IF(Risultati!AG135&lt;&gt;0,(Risultati!AB135/Risultati!AG135),"0")</f>
        <v>0</v>
      </c>
      <c r="BU136" s="23" t="str">
        <f>IF(AND(Risultati!G135&gt;0,(Risultati!AE135-Risultati!AF135)&gt;=0),((Risultati!AE135-Risultati!AF135)/Risultati!G135*360),"0")</f>
        <v>0</v>
      </c>
      <c r="BV136" s="21" t="str">
        <f>IF(OR(E136="abbreviato",Risultati!G135=0),"0",((Risultati!AC135+Risultati!AD135)/Risultati!G135*360))</f>
        <v>0</v>
      </c>
      <c r="BW136" s="21" t="str">
        <f>IF(OR(E136="abbreviato",Risultati!G135=0,SUM(Risultati!I135+Risultati!K135+Risultati!M135)=0),"0",(((Risultati!AH135+Risultati!AI135)/(Risultati!I135+Risultati!K135+Risultati!N135)*360)))</f>
        <v>0</v>
      </c>
      <c r="BX136" s="16" t="str">
        <f>IF(Risultati!AB135&gt;0,(+Risultati!AG135/Risultati!AB135),"0")</f>
        <v>0</v>
      </c>
      <c r="BY136" s="22" t="str">
        <f>IF(OR(E136="abbreviato",Risultati!G135=0),"0",(((Risultati!AK135-(Risultati!AL135+Risultati!AM135))/Risultati!G135)))</f>
        <v>0</v>
      </c>
      <c r="BZ136" s="16" t="str">
        <f>IF(Risultati!G135&gt;0,(Risultati!AJ135/Risultati!G135),"0")</f>
        <v>0</v>
      </c>
      <c r="CA136" s="8"/>
      <c r="CB136" s="10">
        <f>+Risultati!AP135</f>
        <v>0</v>
      </c>
      <c r="CC136" s="31" t="str">
        <f t="shared" si="108"/>
        <v>0</v>
      </c>
      <c r="CD136" s="10">
        <f>+Risultati!AQ135</f>
        <v>0</v>
      </c>
      <c r="CE136" s="31" t="str">
        <f t="shared" si="109"/>
        <v>0</v>
      </c>
      <c r="CF136" s="10">
        <f>+Risultati!AR135</f>
        <v>0</v>
      </c>
      <c r="CG136" s="31" t="str">
        <f t="shared" si="110"/>
        <v>0</v>
      </c>
      <c r="CH136" s="10">
        <f>+Risultati!AS135</f>
        <v>0</v>
      </c>
      <c r="CI136" s="31" t="str">
        <f t="shared" si="111"/>
        <v>0</v>
      </c>
      <c r="CJ136" s="10">
        <f t="shared" si="112"/>
        <v>0</v>
      </c>
      <c r="CK136" s="31" t="str">
        <f t="shared" si="113"/>
        <v>0</v>
      </c>
      <c r="CL136" s="10">
        <f>+Risultati!AE135+Risultati!AF135</f>
        <v>0</v>
      </c>
      <c r="CM136" s="31" t="str">
        <f t="shared" si="114"/>
        <v>0</v>
      </c>
      <c r="CN136" s="10">
        <f>+Risultati!AT135</f>
        <v>0</v>
      </c>
      <c r="CO136" s="31" t="str">
        <f t="shared" si="115"/>
        <v>0</v>
      </c>
      <c r="CP136" s="10">
        <f>+Risultati!AU135</f>
        <v>0</v>
      </c>
      <c r="CQ136" s="31" t="str">
        <f t="shared" si="116"/>
        <v>0</v>
      </c>
      <c r="CR136" s="10">
        <f>+Risultati!AL135</f>
        <v>0</v>
      </c>
      <c r="CS136" s="31" t="str">
        <f t="shared" si="117"/>
        <v>0</v>
      </c>
      <c r="CT136" s="10">
        <f t="shared" si="118"/>
        <v>0</v>
      </c>
      <c r="CU136" s="31" t="str">
        <f t="shared" si="119"/>
        <v>0</v>
      </c>
      <c r="CV136" s="10">
        <f>+Risultati!AX135</f>
        <v>0</v>
      </c>
      <c r="CW136" s="31" t="str">
        <f t="shared" si="120"/>
        <v>0</v>
      </c>
      <c r="CX136" s="10">
        <f t="shared" si="121"/>
        <v>0</v>
      </c>
      <c r="CY136" s="31" t="str">
        <f t="shared" si="122"/>
        <v>0</v>
      </c>
      <c r="CZ136" s="10">
        <f>+Risultati!AG135</f>
        <v>0</v>
      </c>
      <c r="DA136" s="31" t="str">
        <f t="shared" si="123"/>
        <v>0</v>
      </c>
      <c r="DB136" s="10">
        <f t="shared" si="124"/>
        <v>0</v>
      </c>
      <c r="DC136" s="31" t="str">
        <f t="shared" si="125"/>
        <v>0</v>
      </c>
      <c r="DD136" s="10">
        <f>+Risultati!AV135</f>
        <v>0</v>
      </c>
      <c r="DE136" s="31" t="str">
        <f t="shared" si="126"/>
        <v>0</v>
      </c>
      <c r="DF136" s="10">
        <f>+Risultati!AJ135</f>
        <v>0</v>
      </c>
      <c r="DG136" s="31" t="str">
        <f t="shared" si="127"/>
        <v>0</v>
      </c>
      <c r="DH136" s="10">
        <f t="shared" si="128"/>
        <v>0</v>
      </c>
      <c r="DI136" s="31" t="str">
        <f t="shared" si="129"/>
        <v>0</v>
      </c>
      <c r="DJ136" s="10">
        <f>+Risultati!AW135</f>
        <v>0</v>
      </c>
      <c r="DK136" s="31" t="str">
        <f t="shared" si="130"/>
        <v>0</v>
      </c>
      <c r="DL136" s="10">
        <f t="shared" si="152"/>
        <v>0</v>
      </c>
      <c r="DM136" s="31" t="str">
        <f t="shared" si="131"/>
        <v>0</v>
      </c>
      <c r="DO136" s="30"/>
      <c r="DP136" s="30"/>
    </row>
    <row r="137" spans="1:120" x14ac:dyDescent="0.2">
      <c r="A137" s="5"/>
      <c r="B137" s="6">
        <f>+Risultati!B136</f>
        <v>0</v>
      </c>
      <c r="C137" s="6">
        <f>+Risultati!C136</f>
        <v>0</v>
      </c>
      <c r="D137" s="26" t="str">
        <f>IF(YEAR(Risultati!D136)=1900,(MID(Risultati!$AP$1,29,4)),YEAR(Risultati!D136))</f>
        <v/>
      </c>
      <c r="E137" s="6">
        <f>+Risultati!E136</f>
        <v>0</v>
      </c>
      <c r="F137" s="8" t="e">
        <f>(LEFT(Risultati!AN136,2)&amp;"-")&amp;VLOOKUP((LEFT(Risultati!AN136,2)),ateco!$B$4:$C$93,2,FALSE)</f>
        <v>#N/A</v>
      </c>
      <c r="G137" s="8" t="str">
        <f>SUBSTITUTE((Risultati!AN136&amp;"-"&amp;Risultati!AO136),",",";")</f>
        <v>-</v>
      </c>
      <c r="I137" s="10">
        <f>+Risultati!G136</f>
        <v>0</v>
      </c>
      <c r="J137" s="11" t="str">
        <f t="shared" si="134"/>
        <v>0</v>
      </c>
      <c r="K137" s="12"/>
      <c r="L137" s="10">
        <f>+Risultati!G136+Risultati!H136</f>
        <v>0</v>
      </c>
      <c r="M137" s="11" t="str">
        <f t="shared" si="135"/>
        <v>0</v>
      </c>
      <c r="N137" s="12"/>
      <c r="O137" s="10">
        <f>+Risultati!I136+Risultati!J136</f>
        <v>0</v>
      </c>
      <c r="P137" s="11" t="str">
        <f t="shared" si="136"/>
        <v>0</v>
      </c>
      <c r="Q137" s="12"/>
      <c r="R137" s="13">
        <f t="shared" si="102"/>
        <v>0</v>
      </c>
      <c r="S137" s="11" t="str">
        <f t="shared" si="137"/>
        <v>0</v>
      </c>
      <c r="T137" s="12"/>
      <c r="U137" s="10">
        <f>+Risultati!F136-(Risultati!G136+Risultati!H136)</f>
        <v>0</v>
      </c>
      <c r="V137" s="12" t="str">
        <f t="shared" si="138"/>
        <v>0</v>
      </c>
      <c r="W137" s="12"/>
      <c r="X137" s="10">
        <f t="shared" si="103"/>
        <v>0</v>
      </c>
      <c r="Y137" s="12" t="str">
        <f t="shared" si="139"/>
        <v>0</v>
      </c>
      <c r="Z137" s="12"/>
      <c r="AA137" s="10">
        <f>+Risultati!K136</f>
        <v>0</v>
      </c>
      <c r="AB137" s="12" t="str">
        <f t="shared" si="140"/>
        <v>0</v>
      </c>
      <c r="AC137" s="12"/>
      <c r="AD137" s="10">
        <f>+Risultati!L136</f>
        <v>0</v>
      </c>
      <c r="AE137" s="12" t="str">
        <f t="shared" si="141"/>
        <v>0</v>
      </c>
      <c r="AF137" s="12"/>
      <c r="AG137" s="10">
        <f>+Risultati!M136+Risultati!P136+Risultati!Q136</f>
        <v>0</v>
      </c>
      <c r="AH137" s="12" t="str">
        <f t="shared" si="142"/>
        <v>0</v>
      </c>
      <c r="AI137" s="12"/>
      <c r="AJ137" s="13">
        <f t="shared" si="104"/>
        <v>0</v>
      </c>
      <c r="AK137" s="11" t="str">
        <f t="shared" si="143"/>
        <v>0</v>
      </c>
      <c r="AL137" s="12"/>
      <c r="AM137" s="10">
        <f>+Risultati!N136</f>
        <v>0</v>
      </c>
      <c r="AN137" s="12" t="str">
        <f t="shared" si="144"/>
        <v>0</v>
      </c>
      <c r="AO137" s="12"/>
      <c r="AP137" s="10">
        <f t="shared" si="105"/>
        <v>0</v>
      </c>
      <c r="AQ137" s="41" t="str">
        <f t="shared" si="145"/>
        <v>0</v>
      </c>
      <c r="AR137" s="12"/>
      <c r="AS137" s="10">
        <f>+Risultati!O136</f>
        <v>0</v>
      </c>
      <c r="AT137" s="12" t="str">
        <f t="shared" si="146"/>
        <v>0</v>
      </c>
      <c r="AU137" s="12"/>
      <c r="AV137" s="10">
        <f t="shared" si="106"/>
        <v>0</v>
      </c>
      <c r="AW137" s="12" t="str">
        <f t="shared" si="147"/>
        <v>0</v>
      </c>
      <c r="AX137" s="12"/>
      <c r="AY137" s="10">
        <f>+Risultati!R136+Risultati!S136</f>
        <v>0</v>
      </c>
      <c r="AZ137" s="12" t="str">
        <f t="shared" si="148"/>
        <v>0</v>
      </c>
      <c r="BA137" s="12"/>
      <c r="BB137" s="10">
        <f>+Risultati!T136</f>
        <v>0</v>
      </c>
      <c r="BC137" s="12" t="str">
        <f t="shared" si="149"/>
        <v>0</v>
      </c>
      <c r="BD137" s="12"/>
      <c r="BE137" s="10">
        <f>+Risultati!U136</f>
        <v>0</v>
      </c>
      <c r="BF137" s="12" t="str">
        <f t="shared" si="150"/>
        <v>0</v>
      </c>
      <c r="BG137" s="12"/>
      <c r="BH137" s="10">
        <f t="shared" si="107"/>
        <v>0</v>
      </c>
      <c r="BI137" s="12" t="str">
        <f t="shared" si="151"/>
        <v>0</v>
      </c>
      <c r="BK137" s="16">
        <f>IF(ISNUMBER(Risultati!X136/100),(Risultati!X136/100))</f>
        <v>0</v>
      </c>
      <c r="BL137" s="16">
        <f>IF(ISNUMBER(Risultati!Y136/100),(Risultati!Y136/100))</f>
        <v>0</v>
      </c>
      <c r="BM137" s="16">
        <f>IF(ISNUMBER(Risultati!Z136/100),(Risultati!Z136/100))</f>
        <v>0</v>
      </c>
      <c r="BN137" s="16">
        <f>IF(AND(Risultati!AY136&lt;0,calcoli!AP137&lt;0),-IF(ISNUMBER(Risultati!AA136/100),(Risultati!AA136/100)),IF(ISNUMBER(Risultati!AA136/100),(Risultati!AA136/100)))</f>
        <v>0</v>
      </c>
      <c r="BO137" s="16" t="str">
        <f t="shared" si="132"/>
        <v>0</v>
      </c>
      <c r="BP137" s="16" t="str">
        <f>IF(Risultati!AB136&gt;0,(AV137/Risultati!AB136),"0")</f>
        <v>0</v>
      </c>
      <c r="BQ137" s="16" t="str">
        <f>IF(Risultati!AG136&lt;&gt;0,(BH137/Risultati!AG136),"0")</f>
        <v>0</v>
      </c>
      <c r="BR137" s="16" t="str">
        <f t="shared" si="133"/>
        <v>0</v>
      </c>
      <c r="BS137" s="14" t="str">
        <f>IF(Risultati!AB136&gt;0,(Risultati!G136/Risultati!AB136),"0")</f>
        <v>0</v>
      </c>
      <c r="BT137" s="15" t="str">
        <f>IF(Risultati!AG136&lt;&gt;0,(Risultati!AB136/Risultati!AG136),"0")</f>
        <v>0</v>
      </c>
      <c r="BU137" s="23" t="str">
        <f>IF(AND(Risultati!G136&gt;0,(Risultati!AE136-Risultati!AF136)&gt;=0),((Risultati!AE136-Risultati!AF136)/Risultati!G136*360),"0")</f>
        <v>0</v>
      </c>
      <c r="BV137" s="21" t="str">
        <f>IF(OR(E137="abbreviato",Risultati!G136=0),"0",((Risultati!AC136+Risultati!AD136)/Risultati!G136*360))</f>
        <v>0</v>
      </c>
      <c r="BW137" s="21" t="str">
        <f>IF(OR(E137="abbreviato",Risultati!G136=0,SUM(Risultati!I136+Risultati!K136+Risultati!M136)=0),"0",(((Risultati!AH136+Risultati!AI136)/(Risultati!I136+Risultati!K136+Risultati!N136)*360)))</f>
        <v>0</v>
      </c>
      <c r="BX137" s="16" t="str">
        <f>IF(Risultati!AB136&gt;0,(+Risultati!AG136/Risultati!AB136),"0")</f>
        <v>0</v>
      </c>
      <c r="BY137" s="22" t="str">
        <f>IF(OR(E137="abbreviato",Risultati!G136=0),"0",(((Risultati!AK136-(Risultati!AL136+Risultati!AM136))/Risultati!G136)))</f>
        <v>0</v>
      </c>
      <c r="BZ137" s="16" t="str">
        <f>IF(Risultati!G136&gt;0,(Risultati!AJ136/Risultati!G136),"0")</f>
        <v>0</v>
      </c>
      <c r="CA137" s="8"/>
      <c r="CB137" s="10">
        <f>+Risultati!AP136</f>
        <v>0</v>
      </c>
      <c r="CC137" s="31" t="str">
        <f t="shared" si="108"/>
        <v>0</v>
      </c>
      <c r="CD137" s="10">
        <f>+Risultati!AQ136</f>
        <v>0</v>
      </c>
      <c r="CE137" s="31" t="str">
        <f t="shared" si="109"/>
        <v>0</v>
      </c>
      <c r="CF137" s="10">
        <f>+Risultati!AR136</f>
        <v>0</v>
      </c>
      <c r="CG137" s="31" t="str">
        <f t="shared" si="110"/>
        <v>0</v>
      </c>
      <c r="CH137" s="10">
        <f>+Risultati!AS136</f>
        <v>0</v>
      </c>
      <c r="CI137" s="31" t="str">
        <f t="shared" si="111"/>
        <v>0</v>
      </c>
      <c r="CJ137" s="10">
        <f t="shared" si="112"/>
        <v>0</v>
      </c>
      <c r="CK137" s="31" t="str">
        <f t="shared" si="113"/>
        <v>0</v>
      </c>
      <c r="CL137" s="10">
        <f>+Risultati!AE136+Risultati!AF136</f>
        <v>0</v>
      </c>
      <c r="CM137" s="31" t="str">
        <f t="shared" si="114"/>
        <v>0</v>
      </c>
      <c r="CN137" s="10">
        <f>+Risultati!AT136</f>
        <v>0</v>
      </c>
      <c r="CO137" s="31" t="str">
        <f t="shared" si="115"/>
        <v>0</v>
      </c>
      <c r="CP137" s="10">
        <f>+Risultati!AU136</f>
        <v>0</v>
      </c>
      <c r="CQ137" s="31" t="str">
        <f t="shared" si="116"/>
        <v>0</v>
      </c>
      <c r="CR137" s="10">
        <f>+Risultati!AL136</f>
        <v>0</v>
      </c>
      <c r="CS137" s="31" t="str">
        <f t="shared" si="117"/>
        <v>0</v>
      </c>
      <c r="CT137" s="10">
        <f t="shared" si="118"/>
        <v>0</v>
      </c>
      <c r="CU137" s="31" t="str">
        <f t="shared" si="119"/>
        <v>0</v>
      </c>
      <c r="CV137" s="10">
        <f>+Risultati!AX136</f>
        <v>0</v>
      </c>
      <c r="CW137" s="31" t="str">
        <f t="shared" si="120"/>
        <v>0</v>
      </c>
      <c r="CX137" s="10">
        <f t="shared" si="121"/>
        <v>0</v>
      </c>
      <c r="CY137" s="31" t="str">
        <f t="shared" si="122"/>
        <v>0</v>
      </c>
      <c r="CZ137" s="10">
        <f>+Risultati!AG136</f>
        <v>0</v>
      </c>
      <c r="DA137" s="31" t="str">
        <f t="shared" si="123"/>
        <v>0</v>
      </c>
      <c r="DB137" s="10">
        <f t="shared" si="124"/>
        <v>0</v>
      </c>
      <c r="DC137" s="31" t="str">
        <f t="shared" si="125"/>
        <v>0</v>
      </c>
      <c r="DD137" s="10">
        <f>+Risultati!AV136</f>
        <v>0</v>
      </c>
      <c r="DE137" s="31" t="str">
        <f t="shared" si="126"/>
        <v>0</v>
      </c>
      <c r="DF137" s="10">
        <f>+Risultati!AJ136</f>
        <v>0</v>
      </c>
      <c r="DG137" s="31" t="str">
        <f t="shared" si="127"/>
        <v>0</v>
      </c>
      <c r="DH137" s="10">
        <f t="shared" si="128"/>
        <v>0</v>
      </c>
      <c r="DI137" s="31" t="str">
        <f t="shared" si="129"/>
        <v>0</v>
      </c>
      <c r="DJ137" s="10">
        <f>+Risultati!AW136</f>
        <v>0</v>
      </c>
      <c r="DK137" s="31" t="str">
        <f t="shared" si="130"/>
        <v>0</v>
      </c>
      <c r="DL137" s="10">
        <f t="shared" si="152"/>
        <v>0</v>
      </c>
      <c r="DM137" s="31" t="str">
        <f t="shared" si="131"/>
        <v>0</v>
      </c>
      <c r="DO137" s="30"/>
      <c r="DP137" s="30"/>
    </row>
    <row r="138" spans="1:120" x14ac:dyDescent="0.2">
      <c r="A138" s="5"/>
      <c r="B138" s="6">
        <f>+Risultati!B137</f>
        <v>0</v>
      </c>
      <c r="C138" s="6">
        <f>+Risultati!C137</f>
        <v>0</v>
      </c>
      <c r="D138" s="26" t="str">
        <f>IF(YEAR(Risultati!D137)=1900,(MID(Risultati!$AP$1,29,4)),YEAR(Risultati!D137))</f>
        <v/>
      </c>
      <c r="E138" s="6">
        <f>+Risultati!E137</f>
        <v>0</v>
      </c>
      <c r="F138" s="8" t="e">
        <f>(LEFT(Risultati!AN137,2)&amp;"-")&amp;VLOOKUP((LEFT(Risultati!AN137,2)),ateco!$B$4:$C$93,2,FALSE)</f>
        <v>#N/A</v>
      </c>
      <c r="G138" s="8" t="str">
        <f>SUBSTITUTE((Risultati!AN137&amp;"-"&amp;Risultati!AO137),",",";")</f>
        <v>-</v>
      </c>
      <c r="I138" s="10">
        <f>+Risultati!G137</f>
        <v>0</v>
      </c>
      <c r="J138" s="11" t="str">
        <f t="shared" si="134"/>
        <v>0</v>
      </c>
      <c r="K138" s="12"/>
      <c r="L138" s="10">
        <f>+Risultati!G137+Risultati!H137</f>
        <v>0</v>
      </c>
      <c r="M138" s="11" t="str">
        <f t="shared" si="135"/>
        <v>0</v>
      </c>
      <c r="N138" s="12"/>
      <c r="O138" s="10">
        <f>+Risultati!I137+Risultati!J137</f>
        <v>0</v>
      </c>
      <c r="P138" s="11" t="str">
        <f t="shared" si="136"/>
        <v>0</v>
      </c>
      <c r="Q138" s="12"/>
      <c r="R138" s="13">
        <f t="shared" si="102"/>
        <v>0</v>
      </c>
      <c r="S138" s="11" t="str">
        <f t="shared" si="137"/>
        <v>0</v>
      </c>
      <c r="T138" s="12"/>
      <c r="U138" s="10">
        <f>+Risultati!F137-(Risultati!G137+Risultati!H137)</f>
        <v>0</v>
      </c>
      <c r="V138" s="12" t="str">
        <f t="shared" si="138"/>
        <v>0</v>
      </c>
      <c r="W138" s="12"/>
      <c r="X138" s="10">
        <f t="shared" si="103"/>
        <v>0</v>
      </c>
      <c r="Y138" s="12" t="str">
        <f t="shared" si="139"/>
        <v>0</v>
      </c>
      <c r="Z138" s="12"/>
      <c r="AA138" s="10">
        <f>+Risultati!K137</f>
        <v>0</v>
      </c>
      <c r="AB138" s="12" t="str">
        <f t="shared" si="140"/>
        <v>0</v>
      </c>
      <c r="AC138" s="12"/>
      <c r="AD138" s="10">
        <f>+Risultati!L137</f>
        <v>0</v>
      </c>
      <c r="AE138" s="12" t="str">
        <f t="shared" si="141"/>
        <v>0</v>
      </c>
      <c r="AF138" s="12"/>
      <c r="AG138" s="10">
        <f>+Risultati!M137+Risultati!P137+Risultati!Q137</f>
        <v>0</v>
      </c>
      <c r="AH138" s="12" t="str">
        <f t="shared" si="142"/>
        <v>0</v>
      </c>
      <c r="AI138" s="12"/>
      <c r="AJ138" s="13">
        <f t="shared" si="104"/>
        <v>0</v>
      </c>
      <c r="AK138" s="11" t="str">
        <f t="shared" si="143"/>
        <v>0</v>
      </c>
      <c r="AL138" s="12"/>
      <c r="AM138" s="10">
        <f>+Risultati!N137</f>
        <v>0</v>
      </c>
      <c r="AN138" s="12" t="str">
        <f t="shared" si="144"/>
        <v>0</v>
      </c>
      <c r="AO138" s="12"/>
      <c r="AP138" s="10">
        <f t="shared" si="105"/>
        <v>0</v>
      </c>
      <c r="AQ138" s="41" t="str">
        <f t="shared" si="145"/>
        <v>0</v>
      </c>
      <c r="AR138" s="12"/>
      <c r="AS138" s="10">
        <f>+Risultati!O137</f>
        <v>0</v>
      </c>
      <c r="AT138" s="12" t="str">
        <f t="shared" si="146"/>
        <v>0</v>
      </c>
      <c r="AU138" s="12"/>
      <c r="AV138" s="10">
        <f t="shared" si="106"/>
        <v>0</v>
      </c>
      <c r="AW138" s="12" t="str">
        <f t="shared" si="147"/>
        <v>0</v>
      </c>
      <c r="AX138" s="12"/>
      <c r="AY138" s="10">
        <f>+Risultati!R137+Risultati!S137</f>
        <v>0</v>
      </c>
      <c r="AZ138" s="12" t="str">
        <f t="shared" si="148"/>
        <v>0</v>
      </c>
      <c r="BA138" s="12"/>
      <c r="BB138" s="10">
        <f>+Risultati!T137</f>
        <v>0</v>
      </c>
      <c r="BC138" s="12" t="str">
        <f t="shared" si="149"/>
        <v>0</v>
      </c>
      <c r="BD138" s="12"/>
      <c r="BE138" s="10">
        <f>+Risultati!U137</f>
        <v>0</v>
      </c>
      <c r="BF138" s="12" t="str">
        <f t="shared" si="150"/>
        <v>0</v>
      </c>
      <c r="BG138" s="12"/>
      <c r="BH138" s="10">
        <f t="shared" si="107"/>
        <v>0</v>
      </c>
      <c r="BI138" s="12" t="str">
        <f t="shared" si="151"/>
        <v>0</v>
      </c>
      <c r="BK138" s="16">
        <f>IF(ISNUMBER(Risultati!X137/100),(Risultati!X137/100))</f>
        <v>0</v>
      </c>
      <c r="BL138" s="16">
        <f>IF(ISNUMBER(Risultati!Y137/100),(Risultati!Y137/100))</f>
        <v>0</v>
      </c>
      <c r="BM138" s="16">
        <f>IF(ISNUMBER(Risultati!Z137/100),(Risultati!Z137/100))</f>
        <v>0</v>
      </c>
      <c r="BN138" s="16">
        <f>IF(AND(Risultati!AY137&lt;0,calcoli!AP138&lt;0),-IF(ISNUMBER(Risultati!AA137/100),(Risultati!AA137/100)),IF(ISNUMBER(Risultati!AA137/100),(Risultati!AA137/100)))</f>
        <v>0</v>
      </c>
      <c r="BO138" s="16" t="str">
        <f t="shared" si="132"/>
        <v>0</v>
      </c>
      <c r="BP138" s="16" t="str">
        <f>IF(Risultati!AB137&gt;0,(AV138/Risultati!AB137),"0")</f>
        <v>0</v>
      </c>
      <c r="BQ138" s="16" t="str">
        <f>IF(Risultati!AG137&lt;&gt;0,(BH138/Risultati!AG137),"0")</f>
        <v>0</v>
      </c>
      <c r="BR138" s="16" t="str">
        <f t="shared" si="133"/>
        <v>0</v>
      </c>
      <c r="BS138" s="14" t="str">
        <f>IF(Risultati!AB137&gt;0,(Risultati!G137/Risultati!AB137),"0")</f>
        <v>0</v>
      </c>
      <c r="BT138" s="15" t="str">
        <f>IF(Risultati!AG137&lt;&gt;0,(Risultati!AB137/Risultati!AG137),"0")</f>
        <v>0</v>
      </c>
      <c r="BU138" s="23" t="str">
        <f>IF(AND(Risultati!G137&gt;0,(Risultati!AE137-Risultati!AF137)&gt;=0),((Risultati!AE137-Risultati!AF137)/Risultati!G137*360),"0")</f>
        <v>0</v>
      </c>
      <c r="BV138" s="21" t="str">
        <f>IF(OR(E138="abbreviato",Risultati!G137=0),"0",((Risultati!AC137+Risultati!AD137)/Risultati!G137*360))</f>
        <v>0</v>
      </c>
      <c r="BW138" s="21" t="str">
        <f>IF(OR(E138="abbreviato",Risultati!G137=0,SUM(Risultati!I137+Risultati!K137+Risultati!M137)=0),"0",(((Risultati!AH137+Risultati!AI137)/(Risultati!I137+Risultati!K137+Risultati!N137)*360)))</f>
        <v>0</v>
      </c>
      <c r="BX138" s="16" t="str">
        <f>IF(Risultati!AB137&gt;0,(+Risultati!AG137/Risultati!AB137),"0")</f>
        <v>0</v>
      </c>
      <c r="BY138" s="22" t="str">
        <f>IF(OR(E138="abbreviato",Risultati!G137=0),"0",(((Risultati!AK137-(Risultati!AL137+Risultati!AM137))/Risultati!G137)))</f>
        <v>0</v>
      </c>
      <c r="BZ138" s="16" t="str">
        <f>IF(Risultati!G137&gt;0,(Risultati!AJ137/Risultati!G137),"0")</f>
        <v>0</v>
      </c>
      <c r="CA138" s="8"/>
      <c r="CB138" s="10">
        <f>+Risultati!AP137</f>
        <v>0</v>
      </c>
      <c r="CC138" s="31" t="str">
        <f t="shared" si="108"/>
        <v>0</v>
      </c>
      <c r="CD138" s="10">
        <f>+Risultati!AQ137</f>
        <v>0</v>
      </c>
      <c r="CE138" s="31" t="str">
        <f t="shared" si="109"/>
        <v>0</v>
      </c>
      <c r="CF138" s="10">
        <f>+Risultati!AR137</f>
        <v>0</v>
      </c>
      <c r="CG138" s="31" t="str">
        <f t="shared" si="110"/>
        <v>0</v>
      </c>
      <c r="CH138" s="10">
        <f>+Risultati!AS137</f>
        <v>0</v>
      </c>
      <c r="CI138" s="31" t="str">
        <f t="shared" si="111"/>
        <v>0</v>
      </c>
      <c r="CJ138" s="10">
        <f t="shared" si="112"/>
        <v>0</v>
      </c>
      <c r="CK138" s="31" t="str">
        <f t="shared" si="113"/>
        <v>0</v>
      </c>
      <c r="CL138" s="10">
        <f>+Risultati!AE137+Risultati!AF137</f>
        <v>0</v>
      </c>
      <c r="CM138" s="31" t="str">
        <f t="shared" si="114"/>
        <v>0</v>
      </c>
      <c r="CN138" s="10">
        <f>+Risultati!AT137</f>
        <v>0</v>
      </c>
      <c r="CO138" s="31" t="str">
        <f t="shared" si="115"/>
        <v>0</v>
      </c>
      <c r="CP138" s="10">
        <f>+Risultati!AU137</f>
        <v>0</v>
      </c>
      <c r="CQ138" s="31" t="str">
        <f t="shared" si="116"/>
        <v>0</v>
      </c>
      <c r="CR138" s="10">
        <f>+Risultati!AL137</f>
        <v>0</v>
      </c>
      <c r="CS138" s="31" t="str">
        <f t="shared" si="117"/>
        <v>0</v>
      </c>
      <c r="CT138" s="10">
        <f t="shared" si="118"/>
        <v>0</v>
      </c>
      <c r="CU138" s="31" t="str">
        <f t="shared" si="119"/>
        <v>0</v>
      </c>
      <c r="CV138" s="10">
        <f>+Risultati!AX137</f>
        <v>0</v>
      </c>
      <c r="CW138" s="31" t="str">
        <f t="shared" si="120"/>
        <v>0</v>
      </c>
      <c r="CX138" s="10">
        <f t="shared" si="121"/>
        <v>0</v>
      </c>
      <c r="CY138" s="31" t="str">
        <f t="shared" si="122"/>
        <v>0</v>
      </c>
      <c r="CZ138" s="10">
        <f>+Risultati!AG137</f>
        <v>0</v>
      </c>
      <c r="DA138" s="31" t="str">
        <f t="shared" si="123"/>
        <v>0</v>
      </c>
      <c r="DB138" s="10">
        <f t="shared" si="124"/>
        <v>0</v>
      </c>
      <c r="DC138" s="31" t="str">
        <f t="shared" si="125"/>
        <v>0</v>
      </c>
      <c r="DD138" s="10">
        <f>+Risultati!AV137</f>
        <v>0</v>
      </c>
      <c r="DE138" s="31" t="str">
        <f t="shared" si="126"/>
        <v>0</v>
      </c>
      <c r="DF138" s="10">
        <f>+Risultati!AJ137</f>
        <v>0</v>
      </c>
      <c r="DG138" s="31" t="str">
        <f t="shared" si="127"/>
        <v>0</v>
      </c>
      <c r="DH138" s="10">
        <f t="shared" si="128"/>
        <v>0</v>
      </c>
      <c r="DI138" s="31" t="str">
        <f t="shared" si="129"/>
        <v>0</v>
      </c>
      <c r="DJ138" s="10">
        <f>+Risultati!AW137</f>
        <v>0</v>
      </c>
      <c r="DK138" s="31" t="str">
        <f t="shared" si="130"/>
        <v>0</v>
      </c>
      <c r="DL138" s="10">
        <f t="shared" si="152"/>
        <v>0</v>
      </c>
      <c r="DM138" s="31" t="str">
        <f t="shared" si="131"/>
        <v>0</v>
      </c>
      <c r="DO138" s="30"/>
      <c r="DP138" s="30"/>
    </row>
    <row r="139" spans="1:120" x14ac:dyDescent="0.2">
      <c r="A139" s="5"/>
      <c r="B139" s="6">
        <f>+Risultati!B138</f>
        <v>0</v>
      </c>
      <c r="C139" s="6">
        <f>+Risultati!C138</f>
        <v>0</v>
      </c>
      <c r="D139" s="26" t="str">
        <f>IF(YEAR(Risultati!D138)=1900,(MID(Risultati!$AP$1,29,4)),YEAR(Risultati!D138))</f>
        <v/>
      </c>
      <c r="E139" s="6">
        <f>+Risultati!E138</f>
        <v>0</v>
      </c>
      <c r="F139" s="8" t="e">
        <f>(LEFT(Risultati!AN138,2)&amp;"-")&amp;VLOOKUP((LEFT(Risultati!AN138,2)),ateco!$B$4:$C$93,2,FALSE)</f>
        <v>#N/A</v>
      </c>
      <c r="G139" s="8" t="str">
        <f>SUBSTITUTE((Risultati!AN138&amp;"-"&amp;Risultati!AO138),",",";")</f>
        <v>-</v>
      </c>
      <c r="I139" s="10">
        <f>+Risultati!G138</f>
        <v>0</v>
      </c>
      <c r="J139" s="11" t="str">
        <f t="shared" si="134"/>
        <v>0</v>
      </c>
      <c r="K139" s="12"/>
      <c r="L139" s="10">
        <f>+Risultati!G138+Risultati!H138</f>
        <v>0</v>
      </c>
      <c r="M139" s="11" t="str">
        <f t="shared" si="135"/>
        <v>0</v>
      </c>
      <c r="N139" s="12"/>
      <c r="O139" s="10">
        <f>+Risultati!I138+Risultati!J138</f>
        <v>0</v>
      </c>
      <c r="P139" s="11" t="str">
        <f t="shared" si="136"/>
        <v>0</v>
      </c>
      <c r="Q139" s="12"/>
      <c r="R139" s="13">
        <f t="shared" si="102"/>
        <v>0</v>
      </c>
      <c r="S139" s="11" t="str">
        <f t="shared" si="137"/>
        <v>0</v>
      </c>
      <c r="T139" s="12"/>
      <c r="U139" s="10">
        <f>+Risultati!F138-(Risultati!G138+Risultati!H138)</f>
        <v>0</v>
      </c>
      <c r="V139" s="12" t="str">
        <f t="shared" si="138"/>
        <v>0</v>
      </c>
      <c r="W139" s="12"/>
      <c r="X139" s="10">
        <f t="shared" si="103"/>
        <v>0</v>
      </c>
      <c r="Y139" s="12" t="str">
        <f t="shared" si="139"/>
        <v>0</v>
      </c>
      <c r="Z139" s="12"/>
      <c r="AA139" s="10">
        <f>+Risultati!K138</f>
        <v>0</v>
      </c>
      <c r="AB139" s="12" t="str">
        <f t="shared" si="140"/>
        <v>0</v>
      </c>
      <c r="AC139" s="12"/>
      <c r="AD139" s="10">
        <f>+Risultati!L138</f>
        <v>0</v>
      </c>
      <c r="AE139" s="12" t="str">
        <f t="shared" si="141"/>
        <v>0</v>
      </c>
      <c r="AF139" s="12"/>
      <c r="AG139" s="10">
        <f>+Risultati!M138+Risultati!P138+Risultati!Q138</f>
        <v>0</v>
      </c>
      <c r="AH139" s="12" t="str">
        <f t="shared" si="142"/>
        <v>0</v>
      </c>
      <c r="AI139" s="12"/>
      <c r="AJ139" s="13">
        <f t="shared" si="104"/>
        <v>0</v>
      </c>
      <c r="AK139" s="11" t="str">
        <f t="shared" si="143"/>
        <v>0</v>
      </c>
      <c r="AL139" s="12"/>
      <c r="AM139" s="10">
        <f>+Risultati!N138</f>
        <v>0</v>
      </c>
      <c r="AN139" s="12" t="str">
        <f t="shared" si="144"/>
        <v>0</v>
      </c>
      <c r="AO139" s="12"/>
      <c r="AP139" s="10">
        <f t="shared" si="105"/>
        <v>0</v>
      </c>
      <c r="AQ139" s="41" t="str">
        <f t="shared" si="145"/>
        <v>0</v>
      </c>
      <c r="AR139" s="12"/>
      <c r="AS139" s="10">
        <f>+Risultati!O138</f>
        <v>0</v>
      </c>
      <c r="AT139" s="12" t="str">
        <f t="shared" si="146"/>
        <v>0</v>
      </c>
      <c r="AU139" s="12"/>
      <c r="AV139" s="10">
        <f t="shared" si="106"/>
        <v>0</v>
      </c>
      <c r="AW139" s="12" t="str">
        <f t="shared" si="147"/>
        <v>0</v>
      </c>
      <c r="AX139" s="12"/>
      <c r="AY139" s="10">
        <f>+Risultati!R138+Risultati!S138</f>
        <v>0</v>
      </c>
      <c r="AZ139" s="12" t="str">
        <f t="shared" si="148"/>
        <v>0</v>
      </c>
      <c r="BA139" s="12"/>
      <c r="BB139" s="10">
        <f>+Risultati!T138</f>
        <v>0</v>
      </c>
      <c r="BC139" s="12" t="str">
        <f t="shared" si="149"/>
        <v>0</v>
      </c>
      <c r="BD139" s="12"/>
      <c r="BE139" s="10">
        <f>+Risultati!U138</f>
        <v>0</v>
      </c>
      <c r="BF139" s="12" t="str">
        <f t="shared" si="150"/>
        <v>0</v>
      </c>
      <c r="BG139" s="12"/>
      <c r="BH139" s="10">
        <f t="shared" si="107"/>
        <v>0</v>
      </c>
      <c r="BI139" s="12" t="str">
        <f t="shared" si="151"/>
        <v>0</v>
      </c>
      <c r="BK139" s="16">
        <f>IF(ISNUMBER(Risultati!X138/100),(Risultati!X138/100))</f>
        <v>0</v>
      </c>
      <c r="BL139" s="16">
        <f>IF(ISNUMBER(Risultati!Y138/100),(Risultati!Y138/100))</f>
        <v>0</v>
      </c>
      <c r="BM139" s="16">
        <f>IF(ISNUMBER(Risultati!Z138/100),(Risultati!Z138/100))</f>
        <v>0</v>
      </c>
      <c r="BN139" s="16">
        <f>IF(AND(Risultati!AY138&lt;0,calcoli!AP139&lt;0),-IF(ISNUMBER(Risultati!AA138/100),(Risultati!AA138/100)),IF(ISNUMBER(Risultati!AA138/100),(Risultati!AA138/100)))</f>
        <v>0</v>
      </c>
      <c r="BO139" s="16" t="str">
        <f t="shared" si="132"/>
        <v>0</v>
      </c>
      <c r="BP139" s="16" t="str">
        <f>IF(Risultati!AB138&gt;0,(AV139/Risultati!AB138),"0")</f>
        <v>0</v>
      </c>
      <c r="BQ139" s="16" t="str">
        <f>IF(Risultati!AG138&lt;&gt;0,(BH139/Risultati!AG138),"0")</f>
        <v>0</v>
      </c>
      <c r="BR139" s="16" t="str">
        <f t="shared" si="133"/>
        <v>0</v>
      </c>
      <c r="BS139" s="14" t="str">
        <f>IF(Risultati!AB138&gt;0,(Risultati!G138/Risultati!AB138),"0")</f>
        <v>0</v>
      </c>
      <c r="BT139" s="15" t="str">
        <f>IF(Risultati!AG138&lt;&gt;0,(Risultati!AB138/Risultati!AG138),"0")</f>
        <v>0</v>
      </c>
      <c r="BU139" s="23" t="str">
        <f>IF(AND(Risultati!G138&gt;0,(Risultati!AE138-Risultati!AF138)&gt;=0),((Risultati!AE138-Risultati!AF138)/Risultati!G138*360),"0")</f>
        <v>0</v>
      </c>
      <c r="BV139" s="21" t="str">
        <f>IF(OR(E139="abbreviato",Risultati!G138=0),"0",((Risultati!AC138+Risultati!AD138)/Risultati!G138*360))</f>
        <v>0</v>
      </c>
      <c r="BW139" s="21" t="str">
        <f>IF(OR(E139="abbreviato",Risultati!G138=0,SUM(Risultati!I138+Risultati!K138+Risultati!M138)=0),"0",(((Risultati!AH138+Risultati!AI138)/(Risultati!I138+Risultati!K138+Risultati!N138)*360)))</f>
        <v>0</v>
      </c>
      <c r="BX139" s="16" t="str">
        <f>IF(Risultati!AB138&gt;0,(+Risultati!AG138/Risultati!AB138),"0")</f>
        <v>0</v>
      </c>
      <c r="BY139" s="22" t="str">
        <f>IF(OR(E139="abbreviato",Risultati!G138=0),"0",(((Risultati!AK138-(Risultati!AL138+Risultati!AM138))/Risultati!G138)))</f>
        <v>0</v>
      </c>
      <c r="BZ139" s="16" t="str">
        <f>IF(Risultati!G138&gt;0,(Risultati!AJ138/Risultati!G138),"0")</f>
        <v>0</v>
      </c>
      <c r="CA139" s="8"/>
      <c r="CB139" s="10">
        <f>+Risultati!AP138</f>
        <v>0</v>
      </c>
      <c r="CC139" s="31" t="str">
        <f t="shared" si="108"/>
        <v>0</v>
      </c>
      <c r="CD139" s="10">
        <f>+Risultati!AQ138</f>
        <v>0</v>
      </c>
      <c r="CE139" s="31" t="str">
        <f t="shared" si="109"/>
        <v>0</v>
      </c>
      <c r="CF139" s="10">
        <f>+Risultati!AR138</f>
        <v>0</v>
      </c>
      <c r="CG139" s="31" t="str">
        <f t="shared" si="110"/>
        <v>0</v>
      </c>
      <c r="CH139" s="10">
        <f>+Risultati!AS138</f>
        <v>0</v>
      </c>
      <c r="CI139" s="31" t="str">
        <f t="shared" si="111"/>
        <v>0</v>
      </c>
      <c r="CJ139" s="10">
        <f t="shared" si="112"/>
        <v>0</v>
      </c>
      <c r="CK139" s="31" t="str">
        <f t="shared" si="113"/>
        <v>0</v>
      </c>
      <c r="CL139" s="10">
        <f>+Risultati!AE138+Risultati!AF138</f>
        <v>0</v>
      </c>
      <c r="CM139" s="31" t="str">
        <f t="shared" si="114"/>
        <v>0</v>
      </c>
      <c r="CN139" s="10">
        <f>+Risultati!AT138</f>
        <v>0</v>
      </c>
      <c r="CO139" s="31" t="str">
        <f t="shared" si="115"/>
        <v>0</v>
      </c>
      <c r="CP139" s="10">
        <f>+Risultati!AU138</f>
        <v>0</v>
      </c>
      <c r="CQ139" s="31" t="str">
        <f t="shared" si="116"/>
        <v>0</v>
      </c>
      <c r="CR139" s="10">
        <f>+Risultati!AL138</f>
        <v>0</v>
      </c>
      <c r="CS139" s="31" t="str">
        <f t="shared" si="117"/>
        <v>0</v>
      </c>
      <c r="CT139" s="10">
        <f t="shared" si="118"/>
        <v>0</v>
      </c>
      <c r="CU139" s="31" t="str">
        <f t="shared" si="119"/>
        <v>0</v>
      </c>
      <c r="CV139" s="10">
        <f>+Risultati!AX138</f>
        <v>0</v>
      </c>
      <c r="CW139" s="31" t="str">
        <f t="shared" si="120"/>
        <v>0</v>
      </c>
      <c r="CX139" s="10">
        <f t="shared" si="121"/>
        <v>0</v>
      </c>
      <c r="CY139" s="31" t="str">
        <f t="shared" si="122"/>
        <v>0</v>
      </c>
      <c r="CZ139" s="10">
        <f>+Risultati!AG138</f>
        <v>0</v>
      </c>
      <c r="DA139" s="31" t="str">
        <f t="shared" si="123"/>
        <v>0</v>
      </c>
      <c r="DB139" s="10">
        <f t="shared" si="124"/>
        <v>0</v>
      </c>
      <c r="DC139" s="31" t="str">
        <f t="shared" si="125"/>
        <v>0</v>
      </c>
      <c r="DD139" s="10">
        <f>+Risultati!AV138</f>
        <v>0</v>
      </c>
      <c r="DE139" s="31" t="str">
        <f t="shared" si="126"/>
        <v>0</v>
      </c>
      <c r="DF139" s="10">
        <f>+Risultati!AJ138</f>
        <v>0</v>
      </c>
      <c r="DG139" s="31" t="str">
        <f t="shared" si="127"/>
        <v>0</v>
      </c>
      <c r="DH139" s="10">
        <f t="shared" si="128"/>
        <v>0</v>
      </c>
      <c r="DI139" s="31" t="str">
        <f t="shared" si="129"/>
        <v>0</v>
      </c>
      <c r="DJ139" s="10">
        <f>+Risultati!AW138</f>
        <v>0</v>
      </c>
      <c r="DK139" s="31" t="str">
        <f t="shared" si="130"/>
        <v>0</v>
      </c>
      <c r="DL139" s="10">
        <f t="shared" si="152"/>
        <v>0</v>
      </c>
      <c r="DM139" s="31" t="str">
        <f t="shared" si="131"/>
        <v>0</v>
      </c>
      <c r="DO139" s="30"/>
      <c r="DP139" s="30"/>
    </row>
    <row r="140" spans="1:120" x14ac:dyDescent="0.2">
      <c r="A140" s="5"/>
      <c r="B140" s="6">
        <f>+Risultati!B139</f>
        <v>0</v>
      </c>
      <c r="C140" s="6">
        <f>+Risultati!C139</f>
        <v>0</v>
      </c>
      <c r="D140" s="26" t="str">
        <f>IF(YEAR(Risultati!D139)=1900,(MID(Risultati!$AP$1,29,4)),YEAR(Risultati!D139))</f>
        <v/>
      </c>
      <c r="E140" s="6">
        <f>+Risultati!E139</f>
        <v>0</v>
      </c>
      <c r="F140" s="8" t="e">
        <f>(LEFT(Risultati!AN139,2)&amp;"-")&amp;VLOOKUP((LEFT(Risultati!AN139,2)),ateco!$B$4:$C$93,2,FALSE)</f>
        <v>#N/A</v>
      </c>
      <c r="G140" s="8" t="str">
        <f>SUBSTITUTE((Risultati!AN139&amp;"-"&amp;Risultati!AO139),",",";")</f>
        <v>-</v>
      </c>
      <c r="I140" s="10">
        <f>+Risultati!G139</f>
        <v>0</v>
      </c>
      <c r="J140" s="11" t="str">
        <f t="shared" si="134"/>
        <v>0</v>
      </c>
      <c r="K140" s="12"/>
      <c r="L140" s="10">
        <f>+Risultati!G139+Risultati!H139</f>
        <v>0</v>
      </c>
      <c r="M140" s="11" t="str">
        <f t="shared" si="135"/>
        <v>0</v>
      </c>
      <c r="N140" s="12"/>
      <c r="O140" s="10">
        <f>+Risultati!I139+Risultati!J139</f>
        <v>0</v>
      </c>
      <c r="P140" s="11" t="str">
        <f t="shared" si="136"/>
        <v>0</v>
      </c>
      <c r="Q140" s="12"/>
      <c r="R140" s="13">
        <f t="shared" si="102"/>
        <v>0</v>
      </c>
      <c r="S140" s="11" t="str">
        <f t="shared" si="137"/>
        <v>0</v>
      </c>
      <c r="T140" s="12"/>
      <c r="U140" s="10">
        <f>+Risultati!F139-(Risultati!G139+Risultati!H139)</f>
        <v>0</v>
      </c>
      <c r="V140" s="12" t="str">
        <f t="shared" si="138"/>
        <v>0</v>
      </c>
      <c r="W140" s="12"/>
      <c r="X140" s="10">
        <f t="shared" si="103"/>
        <v>0</v>
      </c>
      <c r="Y140" s="12" t="str">
        <f t="shared" si="139"/>
        <v>0</v>
      </c>
      <c r="Z140" s="12"/>
      <c r="AA140" s="10">
        <f>+Risultati!K139</f>
        <v>0</v>
      </c>
      <c r="AB140" s="12" t="str">
        <f t="shared" si="140"/>
        <v>0</v>
      </c>
      <c r="AC140" s="12"/>
      <c r="AD140" s="10">
        <f>+Risultati!L139</f>
        <v>0</v>
      </c>
      <c r="AE140" s="12" t="str">
        <f t="shared" si="141"/>
        <v>0</v>
      </c>
      <c r="AF140" s="12"/>
      <c r="AG140" s="10">
        <f>+Risultati!M139+Risultati!P139+Risultati!Q139</f>
        <v>0</v>
      </c>
      <c r="AH140" s="12" t="str">
        <f t="shared" si="142"/>
        <v>0</v>
      </c>
      <c r="AI140" s="12"/>
      <c r="AJ140" s="13">
        <f t="shared" si="104"/>
        <v>0</v>
      </c>
      <c r="AK140" s="11" t="str">
        <f t="shared" si="143"/>
        <v>0</v>
      </c>
      <c r="AL140" s="12"/>
      <c r="AM140" s="10">
        <f>+Risultati!N139</f>
        <v>0</v>
      </c>
      <c r="AN140" s="12" t="str">
        <f t="shared" si="144"/>
        <v>0</v>
      </c>
      <c r="AO140" s="12"/>
      <c r="AP140" s="10">
        <f t="shared" si="105"/>
        <v>0</v>
      </c>
      <c r="AQ140" s="41" t="str">
        <f t="shared" si="145"/>
        <v>0</v>
      </c>
      <c r="AR140" s="12"/>
      <c r="AS140" s="10">
        <f>+Risultati!O139</f>
        <v>0</v>
      </c>
      <c r="AT140" s="12" t="str">
        <f t="shared" si="146"/>
        <v>0</v>
      </c>
      <c r="AU140" s="12"/>
      <c r="AV140" s="10">
        <f t="shared" si="106"/>
        <v>0</v>
      </c>
      <c r="AW140" s="12" t="str">
        <f t="shared" si="147"/>
        <v>0</v>
      </c>
      <c r="AX140" s="12"/>
      <c r="AY140" s="10">
        <f>+Risultati!R139+Risultati!S139</f>
        <v>0</v>
      </c>
      <c r="AZ140" s="12" t="str">
        <f t="shared" si="148"/>
        <v>0</v>
      </c>
      <c r="BA140" s="12"/>
      <c r="BB140" s="10">
        <f>+Risultati!T139</f>
        <v>0</v>
      </c>
      <c r="BC140" s="12" t="str">
        <f t="shared" si="149"/>
        <v>0</v>
      </c>
      <c r="BD140" s="12"/>
      <c r="BE140" s="10">
        <f>+Risultati!U139</f>
        <v>0</v>
      </c>
      <c r="BF140" s="12" t="str">
        <f t="shared" si="150"/>
        <v>0</v>
      </c>
      <c r="BG140" s="12"/>
      <c r="BH140" s="10">
        <f t="shared" si="107"/>
        <v>0</v>
      </c>
      <c r="BI140" s="12" t="str">
        <f t="shared" si="151"/>
        <v>0</v>
      </c>
      <c r="BK140" s="16">
        <f>IF(ISNUMBER(Risultati!X139/100),(Risultati!X139/100))</f>
        <v>0</v>
      </c>
      <c r="BL140" s="16">
        <f>IF(ISNUMBER(Risultati!Y139/100),(Risultati!Y139/100))</f>
        <v>0</v>
      </c>
      <c r="BM140" s="16">
        <f>IF(ISNUMBER(Risultati!Z139/100),(Risultati!Z139/100))</f>
        <v>0</v>
      </c>
      <c r="BN140" s="16">
        <f>IF(AND(Risultati!AY139&lt;0,calcoli!AP140&lt;0),-IF(ISNUMBER(Risultati!AA139/100),(Risultati!AA139/100)),IF(ISNUMBER(Risultati!AA139/100),(Risultati!AA139/100)))</f>
        <v>0</v>
      </c>
      <c r="BO140" s="16" t="str">
        <f t="shared" si="132"/>
        <v>0</v>
      </c>
      <c r="BP140" s="16" t="str">
        <f>IF(Risultati!AB139&gt;0,(AV140/Risultati!AB139),"0")</f>
        <v>0</v>
      </c>
      <c r="BQ140" s="16" t="str">
        <f>IF(Risultati!AG139&lt;&gt;0,(BH140/Risultati!AG139),"0")</f>
        <v>0</v>
      </c>
      <c r="BR140" s="16" t="str">
        <f t="shared" si="133"/>
        <v>0</v>
      </c>
      <c r="BS140" s="14" t="str">
        <f>IF(Risultati!AB139&gt;0,(Risultati!G139/Risultati!AB139),"0")</f>
        <v>0</v>
      </c>
      <c r="BT140" s="15" t="str">
        <f>IF(Risultati!AG139&lt;&gt;0,(Risultati!AB139/Risultati!AG139),"0")</f>
        <v>0</v>
      </c>
      <c r="BU140" s="23" t="str">
        <f>IF(AND(Risultati!G139&gt;0,(Risultati!AE139-Risultati!AF139)&gt;=0),((Risultati!AE139-Risultati!AF139)/Risultati!G139*360),"0")</f>
        <v>0</v>
      </c>
      <c r="BV140" s="21" t="str">
        <f>IF(OR(E140="abbreviato",Risultati!G139=0),"0",((Risultati!AC139+Risultati!AD139)/Risultati!G139*360))</f>
        <v>0</v>
      </c>
      <c r="BW140" s="21" t="str">
        <f>IF(OR(E140="abbreviato",Risultati!G139=0,SUM(Risultati!I139+Risultati!K139+Risultati!M139)=0),"0",(((Risultati!AH139+Risultati!AI139)/(Risultati!I139+Risultati!K139+Risultati!N139)*360)))</f>
        <v>0</v>
      </c>
      <c r="BX140" s="16" t="str">
        <f>IF(Risultati!AB139&gt;0,(+Risultati!AG139/Risultati!AB139),"0")</f>
        <v>0</v>
      </c>
      <c r="BY140" s="22" t="str">
        <f>IF(OR(E140="abbreviato",Risultati!G139=0),"0",(((Risultati!AK139-(Risultati!AL139+Risultati!AM139))/Risultati!G139)))</f>
        <v>0</v>
      </c>
      <c r="BZ140" s="16" t="str">
        <f>IF(Risultati!G139&gt;0,(Risultati!AJ139/Risultati!G139),"0")</f>
        <v>0</v>
      </c>
      <c r="CA140" s="8"/>
      <c r="CB140" s="10">
        <f>+Risultati!AP139</f>
        <v>0</v>
      </c>
      <c r="CC140" s="31" t="str">
        <f t="shared" si="108"/>
        <v>0</v>
      </c>
      <c r="CD140" s="10">
        <f>+Risultati!AQ139</f>
        <v>0</v>
      </c>
      <c r="CE140" s="31" t="str">
        <f t="shared" si="109"/>
        <v>0</v>
      </c>
      <c r="CF140" s="10">
        <f>+Risultati!AR139</f>
        <v>0</v>
      </c>
      <c r="CG140" s="31" t="str">
        <f t="shared" si="110"/>
        <v>0</v>
      </c>
      <c r="CH140" s="10">
        <f>+Risultati!AS139</f>
        <v>0</v>
      </c>
      <c r="CI140" s="31" t="str">
        <f t="shared" si="111"/>
        <v>0</v>
      </c>
      <c r="CJ140" s="10">
        <f t="shared" si="112"/>
        <v>0</v>
      </c>
      <c r="CK140" s="31" t="str">
        <f t="shared" si="113"/>
        <v>0</v>
      </c>
      <c r="CL140" s="10">
        <f>+Risultati!AE139+Risultati!AF139</f>
        <v>0</v>
      </c>
      <c r="CM140" s="31" t="str">
        <f t="shared" si="114"/>
        <v>0</v>
      </c>
      <c r="CN140" s="10">
        <f>+Risultati!AT139</f>
        <v>0</v>
      </c>
      <c r="CO140" s="31" t="str">
        <f t="shared" si="115"/>
        <v>0</v>
      </c>
      <c r="CP140" s="10">
        <f>+Risultati!AU139</f>
        <v>0</v>
      </c>
      <c r="CQ140" s="31" t="str">
        <f t="shared" si="116"/>
        <v>0</v>
      </c>
      <c r="CR140" s="10">
        <f>+Risultati!AL139</f>
        <v>0</v>
      </c>
      <c r="CS140" s="31" t="str">
        <f t="shared" si="117"/>
        <v>0</v>
      </c>
      <c r="CT140" s="10">
        <f t="shared" si="118"/>
        <v>0</v>
      </c>
      <c r="CU140" s="31" t="str">
        <f t="shared" si="119"/>
        <v>0</v>
      </c>
      <c r="CV140" s="10">
        <f>+Risultati!AX139</f>
        <v>0</v>
      </c>
      <c r="CW140" s="31" t="str">
        <f t="shared" si="120"/>
        <v>0</v>
      </c>
      <c r="CX140" s="10">
        <f t="shared" si="121"/>
        <v>0</v>
      </c>
      <c r="CY140" s="31" t="str">
        <f t="shared" si="122"/>
        <v>0</v>
      </c>
      <c r="CZ140" s="10">
        <f>+Risultati!AG139</f>
        <v>0</v>
      </c>
      <c r="DA140" s="31" t="str">
        <f t="shared" si="123"/>
        <v>0</v>
      </c>
      <c r="DB140" s="10">
        <f t="shared" si="124"/>
        <v>0</v>
      </c>
      <c r="DC140" s="31" t="str">
        <f t="shared" si="125"/>
        <v>0</v>
      </c>
      <c r="DD140" s="10">
        <f>+Risultati!AV139</f>
        <v>0</v>
      </c>
      <c r="DE140" s="31" t="str">
        <f t="shared" si="126"/>
        <v>0</v>
      </c>
      <c r="DF140" s="10">
        <f>+Risultati!AJ139</f>
        <v>0</v>
      </c>
      <c r="DG140" s="31" t="str">
        <f t="shared" si="127"/>
        <v>0</v>
      </c>
      <c r="DH140" s="10">
        <f t="shared" si="128"/>
        <v>0</v>
      </c>
      <c r="DI140" s="31" t="str">
        <f t="shared" si="129"/>
        <v>0</v>
      </c>
      <c r="DJ140" s="10">
        <f>+Risultati!AW139</f>
        <v>0</v>
      </c>
      <c r="DK140" s="31" t="str">
        <f t="shared" si="130"/>
        <v>0</v>
      </c>
      <c r="DL140" s="10">
        <f t="shared" si="152"/>
        <v>0</v>
      </c>
      <c r="DM140" s="31" t="str">
        <f t="shared" si="131"/>
        <v>0</v>
      </c>
      <c r="DO140" s="30"/>
      <c r="DP140" s="30"/>
    </row>
    <row r="141" spans="1:120" x14ac:dyDescent="0.2">
      <c r="A141" s="5"/>
      <c r="B141" s="6">
        <f>+Risultati!B140</f>
        <v>0</v>
      </c>
      <c r="C141" s="6">
        <f>+Risultati!C140</f>
        <v>0</v>
      </c>
      <c r="D141" s="26" t="str">
        <f>IF(YEAR(Risultati!D140)=1900,(MID(Risultati!$AP$1,29,4)),YEAR(Risultati!D140))</f>
        <v/>
      </c>
      <c r="E141" s="6">
        <f>+Risultati!E140</f>
        <v>0</v>
      </c>
      <c r="F141" s="8" t="e">
        <f>(LEFT(Risultati!AN140,2)&amp;"-")&amp;VLOOKUP((LEFT(Risultati!AN140,2)),ateco!$B$4:$C$93,2,FALSE)</f>
        <v>#N/A</v>
      </c>
      <c r="G141" s="8" t="str">
        <f>SUBSTITUTE((Risultati!AN140&amp;"-"&amp;Risultati!AO140),",",";")</f>
        <v>-</v>
      </c>
      <c r="I141" s="10">
        <f>+Risultati!G140</f>
        <v>0</v>
      </c>
      <c r="J141" s="11" t="str">
        <f t="shared" si="134"/>
        <v>0</v>
      </c>
      <c r="K141" s="12"/>
      <c r="L141" s="10">
        <f>+Risultati!G140+Risultati!H140</f>
        <v>0</v>
      </c>
      <c r="M141" s="11" t="str">
        <f t="shared" si="135"/>
        <v>0</v>
      </c>
      <c r="N141" s="12"/>
      <c r="O141" s="10">
        <f>+Risultati!I140+Risultati!J140</f>
        <v>0</v>
      </c>
      <c r="P141" s="11" t="str">
        <f t="shared" si="136"/>
        <v>0</v>
      </c>
      <c r="Q141" s="12"/>
      <c r="R141" s="13">
        <f t="shared" si="102"/>
        <v>0</v>
      </c>
      <c r="S141" s="11" t="str">
        <f t="shared" si="137"/>
        <v>0</v>
      </c>
      <c r="T141" s="12"/>
      <c r="U141" s="10">
        <f>+Risultati!F140-(Risultati!G140+Risultati!H140)</f>
        <v>0</v>
      </c>
      <c r="V141" s="12" t="str">
        <f t="shared" si="138"/>
        <v>0</v>
      </c>
      <c r="W141" s="12"/>
      <c r="X141" s="10">
        <f t="shared" si="103"/>
        <v>0</v>
      </c>
      <c r="Y141" s="12" t="str">
        <f t="shared" si="139"/>
        <v>0</v>
      </c>
      <c r="Z141" s="12"/>
      <c r="AA141" s="10">
        <f>+Risultati!K140</f>
        <v>0</v>
      </c>
      <c r="AB141" s="12" t="str">
        <f t="shared" si="140"/>
        <v>0</v>
      </c>
      <c r="AC141" s="12"/>
      <c r="AD141" s="10">
        <f>+Risultati!L140</f>
        <v>0</v>
      </c>
      <c r="AE141" s="12" t="str">
        <f t="shared" si="141"/>
        <v>0</v>
      </c>
      <c r="AF141" s="12"/>
      <c r="AG141" s="10">
        <f>+Risultati!M140+Risultati!P140+Risultati!Q140</f>
        <v>0</v>
      </c>
      <c r="AH141" s="12" t="str">
        <f t="shared" si="142"/>
        <v>0</v>
      </c>
      <c r="AI141" s="12"/>
      <c r="AJ141" s="13">
        <f t="shared" si="104"/>
        <v>0</v>
      </c>
      <c r="AK141" s="11" t="str">
        <f t="shared" si="143"/>
        <v>0</v>
      </c>
      <c r="AL141" s="12"/>
      <c r="AM141" s="10">
        <f>+Risultati!N140</f>
        <v>0</v>
      </c>
      <c r="AN141" s="12" t="str">
        <f t="shared" si="144"/>
        <v>0</v>
      </c>
      <c r="AO141" s="12"/>
      <c r="AP141" s="10">
        <f t="shared" si="105"/>
        <v>0</v>
      </c>
      <c r="AQ141" s="41" t="str">
        <f t="shared" si="145"/>
        <v>0</v>
      </c>
      <c r="AR141" s="12"/>
      <c r="AS141" s="10">
        <f>+Risultati!O140</f>
        <v>0</v>
      </c>
      <c r="AT141" s="12" t="str">
        <f t="shared" si="146"/>
        <v>0</v>
      </c>
      <c r="AU141" s="12"/>
      <c r="AV141" s="10">
        <f t="shared" si="106"/>
        <v>0</v>
      </c>
      <c r="AW141" s="12" t="str">
        <f t="shared" si="147"/>
        <v>0</v>
      </c>
      <c r="AX141" s="12"/>
      <c r="AY141" s="10">
        <f>+Risultati!R140+Risultati!S140</f>
        <v>0</v>
      </c>
      <c r="AZ141" s="12" t="str">
        <f t="shared" si="148"/>
        <v>0</v>
      </c>
      <c r="BA141" s="12"/>
      <c r="BB141" s="10">
        <f>+Risultati!T140</f>
        <v>0</v>
      </c>
      <c r="BC141" s="12" t="str">
        <f t="shared" si="149"/>
        <v>0</v>
      </c>
      <c r="BD141" s="12"/>
      <c r="BE141" s="10">
        <f>+Risultati!U140</f>
        <v>0</v>
      </c>
      <c r="BF141" s="12" t="str">
        <f t="shared" si="150"/>
        <v>0</v>
      </c>
      <c r="BG141" s="12"/>
      <c r="BH141" s="10">
        <f t="shared" si="107"/>
        <v>0</v>
      </c>
      <c r="BI141" s="12" t="str">
        <f t="shared" si="151"/>
        <v>0</v>
      </c>
      <c r="BK141" s="16">
        <f>IF(ISNUMBER(Risultati!X140/100),(Risultati!X140/100))</f>
        <v>0</v>
      </c>
      <c r="BL141" s="16">
        <f>IF(ISNUMBER(Risultati!Y140/100),(Risultati!Y140/100))</f>
        <v>0</v>
      </c>
      <c r="BM141" s="16">
        <f>IF(ISNUMBER(Risultati!Z140/100),(Risultati!Z140/100))</f>
        <v>0</v>
      </c>
      <c r="BN141" s="16">
        <f>IF(AND(Risultati!AY140&lt;0,calcoli!AP141&lt;0),-IF(ISNUMBER(Risultati!AA140/100),(Risultati!AA140/100)),IF(ISNUMBER(Risultati!AA140/100),(Risultati!AA140/100)))</f>
        <v>0</v>
      </c>
      <c r="BO141" s="16" t="str">
        <f t="shared" si="132"/>
        <v>0</v>
      </c>
      <c r="BP141" s="16" t="str">
        <f>IF(Risultati!AB140&gt;0,(AV141/Risultati!AB140),"0")</f>
        <v>0</v>
      </c>
      <c r="BQ141" s="16" t="str">
        <f>IF(Risultati!AG140&lt;&gt;0,(BH141/Risultati!AG140),"0")</f>
        <v>0</v>
      </c>
      <c r="BR141" s="16" t="str">
        <f t="shared" si="133"/>
        <v>0</v>
      </c>
      <c r="BS141" s="14" t="str">
        <f>IF(Risultati!AB140&gt;0,(Risultati!G140/Risultati!AB140),"0")</f>
        <v>0</v>
      </c>
      <c r="BT141" s="15" t="str">
        <f>IF(Risultati!AG140&lt;&gt;0,(Risultati!AB140/Risultati!AG140),"0")</f>
        <v>0</v>
      </c>
      <c r="BU141" s="23" t="str">
        <f>IF(AND(Risultati!G140&gt;0,(Risultati!AE140-Risultati!AF140)&gt;=0),((Risultati!AE140-Risultati!AF140)/Risultati!G140*360),"0")</f>
        <v>0</v>
      </c>
      <c r="BV141" s="21" t="str">
        <f>IF(OR(E141="abbreviato",Risultati!G140=0),"0",((Risultati!AC140+Risultati!AD140)/Risultati!G140*360))</f>
        <v>0</v>
      </c>
      <c r="BW141" s="21" t="str">
        <f>IF(OR(E141="abbreviato",Risultati!G140=0,SUM(Risultati!I140+Risultati!K140+Risultati!M140)=0),"0",(((Risultati!AH140+Risultati!AI140)/(Risultati!I140+Risultati!K140+Risultati!N140)*360)))</f>
        <v>0</v>
      </c>
      <c r="BX141" s="16" t="str">
        <f>IF(Risultati!AB140&gt;0,(+Risultati!AG140/Risultati!AB140),"0")</f>
        <v>0</v>
      </c>
      <c r="BY141" s="22" t="str">
        <f>IF(OR(E141="abbreviato",Risultati!G140=0),"0",(((Risultati!AK140-(Risultati!AL140+Risultati!AM140))/Risultati!G140)))</f>
        <v>0</v>
      </c>
      <c r="BZ141" s="16" t="str">
        <f>IF(Risultati!G140&gt;0,(Risultati!AJ140/Risultati!G140),"0")</f>
        <v>0</v>
      </c>
      <c r="CA141" s="8"/>
      <c r="CB141" s="10">
        <f>+Risultati!AP140</f>
        <v>0</v>
      </c>
      <c r="CC141" s="31" t="str">
        <f t="shared" si="108"/>
        <v>0</v>
      </c>
      <c r="CD141" s="10">
        <f>+Risultati!AQ140</f>
        <v>0</v>
      </c>
      <c r="CE141" s="31" t="str">
        <f t="shared" si="109"/>
        <v>0</v>
      </c>
      <c r="CF141" s="10">
        <f>+Risultati!AR140</f>
        <v>0</v>
      </c>
      <c r="CG141" s="31" t="str">
        <f t="shared" si="110"/>
        <v>0</v>
      </c>
      <c r="CH141" s="10">
        <f>+Risultati!AS140</f>
        <v>0</v>
      </c>
      <c r="CI141" s="31" t="str">
        <f t="shared" si="111"/>
        <v>0</v>
      </c>
      <c r="CJ141" s="10">
        <f t="shared" si="112"/>
        <v>0</v>
      </c>
      <c r="CK141" s="31" t="str">
        <f t="shared" si="113"/>
        <v>0</v>
      </c>
      <c r="CL141" s="10">
        <f>+Risultati!AE140+Risultati!AF140</f>
        <v>0</v>
      </c>
      <c r="CM141" s="31" t="str">
        <f t="shared" si="114"/>
        <v>0</v>
      </c>
      <c r="CN141" s="10">
        <f>+Risultati!AT140</f>
        <v>0</v>
      </c>
      <c r="CO141" s="31" t="str">
        <f t="shared" si="115"/>
        <v>0</v>
      </c>
      <c r="CP141" s="10">
        <f>+Risultati!AU140</f>
        <v>0</v>
      </c>
      <c r="CQ141" s="31" t="str">
        <f t="shared" si="116"/>
        <v>0</v>
      </c>
      <c r="CR141" s="10">
        <f>+Risultati!AL140</f>
        <v>0</v>
      </c>
      <c r="CS141" s="31" t="str">
        <f t="shared" si="117"/>
        <v>0</v>
      </c>
      <c r="CT141" s="10">
        <f t="shared" si="118"/>
        <v>0</v>
      </c>
      <c r="CU141" s="31" t="str">
        <f t="shared" si="119"/>
        <v>0</v>
      </c>
      <c r="CV141" s="10">
        <f>+Risultati!AX140</f>
        <v>0</v>
      </c>
      <c r="CW141" s="31" t="str">
        <f t="shared" si="120"/>
        <v>0</v>
      </c>
      <c r="CX141" s="10">
        <f t="shared" si="121"/>
        <v>0</v>
      </c>
      <c r="CY141" s="31" t="str">
        <f t="shared" si="122"/>
        <v>0</v>
      </c>
      <c r="CZ141" s="10">
        <f>+Risultati!AG140</f>
        <v>0</v>
      </c>
      <c r="DA141" s="31" t="str">
        <f t="shared" si="123"/>
        <v>0</v>
      </c>
      <c r="DB141" s="10">
        <f t="shared" si="124"/>
        <v>0</v>
      </c>
      <c r="DC141" s="31" t="str">
        <f t="shared" si="125"/>
        <v>0</v>
      </c>
      <c r="DD141" s="10">
        <f>+Risultati!AV140</f>
        <v>0</v>
      </c>
      <c r="DE141" s="31" t="str">
        <f t="shared" si="126"/>
        <v>0</v>
      </c>
      <c r="DF141" s="10">
        <f>+Risultati!AJ140</f>
        <v>0</v>
      </c>
      <c r="DG141" s="31" t="str">
        <f t="shared" si="127"/>
        <v>0</v>
      </c>
      <c r="DH141" s="10">
        <f t="shared" si="128"/>
        <v>0</v>
      </c>
      <c r="DI141" s="31" t="str">
        <f t="shared" si="129"/>
        <v>0</v>
      </c>
      <c r="DJ141" s="10">
        <f>+Risultati!AW140</f>
        <v>0</v>
      </c>
      <c r="DK141" s="31" t="str">
        <f t="shared" si="130"/>
        <v>0</v>
      </c>
      <c r="DL141" s="10">
        <f t="shared" si="152"/>
        <v>0</v>
      </c>
      <c r="DM141" s="31" t="str">
        <f t="shared" si="131"/>
        <v>0</v>
      </c>
      <c r="DO141" s="30"/>
      <c r="DP141" s="30"/>
    </row>
    <row r="142" spans="1:120" x14ac:dyDescent="0.2">
      <c r="A142" s="5"/>
      <c r="B142" s="6">
        <f>+Risultati!B141</f>
        <v>0</v>
      </c>
      <c r="C142" s="6">
        <f>+Risultati!C141</f>
        <v>0</v>
      </c>
      <c r="D142" s="26" t="str">
        <f>IF(YEAR(Risultati!D141)=1900,(MID(Risultati!$AP$1,29,4)),YEAR(Risultati!D141))</f>
        <v/>
      </c>
      <c r="E142" s="6">
        <f>+Risultati!E141</f>
        <v>0</v>
      </c>
      <c r="F142" s="8" t="e">
        <f>(LEFT(Risultati!AN141,2)&amp;"-")&amp;VLOOKUP((LEFT(Risultati!AN141,2)),ateco!$B$4:$C$93,2,FALSE)</f>
        <v>#N/A</v>
      </c>
      <c r="G142" s="8" t="str">
        <f>SUBSTITUTE((Risultati!AN141&amp;"-"&amp;Risultati!AO141),",",";")</f>
        <v>-</v>
      </c>
      <c r="I142" s="10">
        <f>+Risultati!G141</f>
        <v>0</v>
      </c>
      <c r="J142" s="11" t="str">
        <f t="shared" si="134"/>
        <v>0</v>
      </c>
      <c r="K142" s="12"/>
      <c r="L142" s="10">
        <f>+Risultati!G141+Risultati!H141</f>
        <v>0</v>
      </c>
      <c r="M142" s="11" t="str">
        <f t="shared" si="135"/>
        <v>0</v>
      </c>
      <c r="N142" s="12"/>
      <c r="O142" s="10">
        <f>+Risultati!I141+Risultati!J141</f>
        <v>0</v>
      </c>
      <c r="P142" s="11" t="str">
        <f t="shared" si="136"/>
        <v>0</v>
      </c>
      <c r="Q142" s="12"/>
      <c r="R142" s="13">
        <f t="shared" si="102"/>
        <v>0</v>
      </c>
      <c r="S142" s="11" t="str">
        <f t="shared" si="137"/>
        <v>0</v>
      </c>
      <c r="T142" s="12"/>
      <c r="U142" s="10">
        <f>+Risultati!F141-(Risultati!G141+Risultati!H141)</f>
        <v>0</v>
      </c>
      <c r="V142" s="12" t="str">
        <f t="shared" si="138"/>
        <v>0</v>
      </c>
      <c r="W142" s="12"/>
      <c r="X142" s="10">
        <f t="shared" si="103"/>
        <v>0</v>
      </c>
      <c r="Y142" s="12" t="str">
        <f t="shared" si="139"/>
        <v>0</v>
      </c>
      <c r="Z142" s="12"/>
      <c r="AA142" s="10">
        <f>+Risultati!K141</f>
        <v>0</v>
      </c>
      <c r="AB142" s="12" t="str">
        <f t="shared" si="140"/>
        <v>0</v>
      </c>
      <c r="AC142" s="12"/>
      <c r="AD142" s="10">
        <f>+Risultati!L141</f>
        <v>0</v>
      </c>
      <c r="AE142" s="12" t="str">
        <f t="shared" si="141"/>
        <v>0</v>
      </c>
      <c r="AF142" s="12"/>
      <c r="AG142" s="10">
        <f>+Risultati!M141+Risultati!P141+Risultati!Q141</f>
        <v>0</v>
      </c>
      <c r="AH142" s="12" t="str">
        <f t="shared" si="142"/>
        <v>0</v>
      </c>
      <c r="AI142" s="12"/>
      <c r="AJ142" s="13">
        <f t="shared" si="104"/>
        <v>0</v>
      </c>
      <c r="AK142" s="11" t="str">
        <f t="shared" si="143"/>
        <v>0</v>
      </c>
      <c r="AL142" s="12"/>
      <c r="AM142" s="10">
        <f>+Risultati!N141</f>
        <v>0</v>
      </c>
      <c r="AN142" s="12" t="str">
        <f t="shared" si="144"/>
        <v>0</v>
      </c>
      <c r="AO142" s="12"/>
      <c r="AP142" s="10">
        <f t="shared" si="105"/>
        <v>0</v>
      </c>
      <c r="AQ142" s="41" t="str">
        <f t="shared" si="145"/>
        <v>0</v>
      </c>
      <c r="AR142" s="12"/>
      <c r="AS142" s="10">
        <f>+Risultati!O141</f>
        <v>0</v>
      </c>
      <c r="AT142" s="12" t="str">
        <f t="shared" si="146"/>
        <v>0</v>
      </c>
      <c r="AU142" s="12"/>
      <c r="AV142" s="10">
        <f t="shared" si="106"/>
        <v>0</v>
      </c>
      <c r="AW142" s="12" t="str">
        <f t="shared" si="147"/>
        <v>0</v>
      </c>
      <c r="AX142" s="12"/>
      <c r="AY142" s="10">
        <f>+Risultati!R141+Risultati!S141</f>
        <v>0</v>
      </c>
      <c r="AZ142" s="12" t="str">
        <f t="shared" si="148"/>
        <v>0</v>
      </c>
      <c r="BA142" s="12"/>
      <c r="BB142" s="10">
        <f>+Risultati!T141</f>
        <v>0</v>
      </c>
      <c r="BC142" s="12" t="str">
        <f t="shared" si="149"/>
        <v>0</v>
      </c>
      <c r="BD142" s="12"/>
      <c r="BE142" s="10">
        <f>+Risultati!U141</f>
        <v>0</v>
      </c>
      <c r="BF142" s="12" t="str">
        <f t="shared" si="150"/>
        <v>0</v>
      </c>
      <c r="BG142" s="12"/>
      <c r="BH142" s="10">
        <f t="shared" si="107"/>
        <v>0</v>
      </c>
      <c r="BI142" s="12" t="str">
        <f t="shared" si="151"/>
        <v>0</v>
      </c>
      <c r="BK142" s="16">
        <f>IF(ISNUMBER(Risultati!X141/100),(Risultati!X141/100))</f>
        <v>0</v>
      </c>
      <c r="BL142" s="16">
        <f>IF(ISNUMBER(Risultati!Y141/100),(Risultati!Y141/100))</f>
        <v>0</v>
      </c>
      <c r="BM142" s="16">
        <f>IF(ISNUMBER(Risultati!Z141/100),(Risultati!Z141/100))</f>
        <v>0</v>
      </c>
      <c r="BN142" s="16">
        <f>IF(AND(Risultati!AY141&lt;0,calcoli!AP142&lt;0),-IF(ISNUMBER(Risultati!AA141/100),(Risultati!AA141/100)),IF(ISNUMBER(Risultati!AA141/100),(Risultati!AA141/100)))</f>
        <v>0</v>
      </c>
      <c r="BO142" s="16" t="str">
        <f t="shared" si="132"/>
        <v>0</v>
      </c>
      <c r="BP142" s="16" t="str">
        <f>IF(Risultati!AB141&gt;0,(AV142/Risultati!AB141),"0")</f>
        <v>0</v>
      </c>
      <c r="BQ142" s="16" t="str">
        <f>IF(Risultati!AG141&lt;&gt;0,(BH142/Risultati!AG141),"0")</f>
        <v>0</v>
      </c>
      <c r="BR142" s="16" t="str">
        <f t="shared" si="133"/>
        <v>0</v>
      </c>
      <c r="BS142" s="14" t="str">
        <f>IF(Risultati!AB141&gt;0,(Risultati!G141/Risultati!AB141),"0")</f>
        <v>0</v>
      </c>
      <c r="BT142" s="15" t="str">
        <f>IF(Risultati!AG141&lt;&gt;0,(Risultati!AB141/Risultati!AG141),"0")</f>
        <v>0</v>
      </c>
      <c r="BU142" s="23" t="str">
        <f>IF(AND(Risultati!G141&gt;0,(Risultati!AE141-Risultati!AF141)&gt;=0),((Risultati!AE141-Risultati!AF141)/Risultati!G141*360),"0")</f>
        <v>0</v>
      </c>
      <c r="BV142" s="21" t="str">
        <f>IF(OR(E142="abbreviato",Risultati!G141=0),"0",((Risultati!AC141+Risultati!AD141)/Risultati!G141*360))</f>
        <v>0</v>
      </c>
      <c r="BW142" s="21" t="str">
        <f>IF(OR(E142="abbreviato",Risultati!G141=0,SUM(Risultati!I141+Risultati!K141+Risultati!M141)=0),"0",(((Risultati!AH141+Risultati!AI141)/(Risultati!I141+Risultati!K141+Risultati!N141)*360)))</f>
        <v>0</v>
      </c>
      <c r="BX142" s="16" t="str">
        <f>IF(Risultati!AB141&gt;0,(+Risultati!AG141/Risultati!AB141),"0")</f>
        <v>0</v>
      </c>
      <c r="BY142" s="22" t="str">
        <f>IF(OR(E142="abbreviato",Risultati!G141=0),"0",(((Risultati!AK141-(Risultati!AL141+Risultati!AM141))/Risultati!G141)))</f>
        <v>0</v>
      </c>
      <c r="BZ142" s="16" t="str">
        <f>IF(Risultati!G141&gt;0,(Risultati!AJ141/Risultati!G141),"0")</f>
        <v>0</v>
      </c>
      <c r="CA142" s="8"/>
      <c r="CB142" s="10">
        <f>+Risultati!AP141</f>
        <v>0</v>
      </c>
      <c r="CC142" s="31" t="str">
        <f t="shared" si="108"/>
        <v>0</v>
      </c>
      <c r="CD142" s="10">
        <f>+Risultati!AQ141</f>
        <v>0</v>
      </c>
      <c r="CE142" s="31" t="str">
        <f t="shared" si="109"/>
        <v>0</v>
      </c>
      <c r="CF142" s="10">
        <f>+Risultati!AR141</f>
        <v>0</v>
      </c>
      <c r="CG142" s="31" t="str">
        <f t="shared" si="110"/>
        <v>0</v>
      </c>
      <c r="CH142" s="10">
        <f>+Risultati!AS141</f>
        <v>0</v>
      </c>
      <c r="CI142" s="31" t="str">
        <f t="shared" si="111"/>
        <v>0</v>
      </c>
      <c r="CJ142" s="10">
        <f t="shared" si="112"/>
        <v>0</v>
      </c>
      <c r="CK142" s="31" t="str">
        <f t="shared" si="113"/>
        <v>0</v>
      </c>
      <c r="CL142" s="10">
        <f>+Risultati!AE141+Risultati!AF141</f>
        <v>0</v>
      </c>
      <c r="CM142" s="31" t="str">
        <f t="shared" si="114"/>
        <v>0</v>
      </c>
      <c r="CN142" s="10">
        <f>+Risultati!AT141</f>
        <v>0</v>
      </c>
      <c r="CO142" s="31" t="str">
        <f t="shared" si="115"/>
        <v>0</v>
      </c>
      <c r="CP142" s="10">
        <f>+Risultati!AU141</f>
        <v>0</v>
      </c>
      <c r="CQ142" s="31" t="str">
        <f t="shared" si="116"/>
        <v>0</v>
      </c>
      <c r="CR142" s="10">
        <f>+Risultati!AL141</f>
        <v>0</v>
      </c>
      <c r="CS142" s="31" t="str">
        <f t="shared" si="117"/>
        <v>0</v>
      </c>
      <c r="CT142" s="10">
        <f t="shared" si="118"/>
        <v>0</v>
      </c>
      <c r="CU142" s="31" t="str">
        <f t="shared" si="119"/>
        <v>0</v>
      </c>
      <c r="CV142" s="10">
        <f>+Risultati!AX141</f>
        <v>0</v>
      </c>
      <c r="CW142" s="31" t="str">
        <f t="shared" si="120"/>
        <v>0</v>
      </c>
      <c r="CX142" s="10">
        <f t="shared" si="121"/>
        <v>0</v>
      </c>
      <c r="CY142" s="31" t="str">
        <f t="shared" si="122"/>
        <v>0</v>
      </c>
      <c r="CZ142" s="10">
        <f>+Risultati!AG141</f>
        <v>0</v>
      </c>
      <c r="DA142" s="31" t="str">
        <f t="shared" si="123"/>
        <v>0</v>
      </c>
      <c r="DB142" s="10">
        <f t="shared" si="124"/>
        <v>0</v>
      </c>
      <c r="DC142" s="31" t="str">
        <f t="shared" si="125"/>
        <v>0</v>
      </c>
      <c r="DD142" s="10">
        <f>+Risultati!AV141</f>
        <v>0</v>
      </c>
      <c r="DE142" s="31" t="str">
        <f t="shared" si="126"/>
        <v>0</v>
      </c>
      <c r="DF142" s="10">
        <f>+Risultati!AJ141</f>
        <v>0</v>
      </c>
      <c r="DG142" s="31" t="str">
        <f t="shared" si="127"/>
        <v>0</v>
      </c>
      <c r="DH142" s="10">
        <f t="shared" si="128"/>
        <v>0</v>
      </c>
      <c r="DI142" s="31" t="str">
        <f t="shared" si="129"/>
        <v>0</v>
      </c>
      <c r="DJ142" s="10">
        <f>+Risultati!AW141</f>
        <v>0</v>
      </c>
      <c r="DK142" s="31" t="str">
        <f t="shared" si="130"/>
        <v>0</v>
      </c>
      <c r="DL142" s="10">
        <f t="shared" si="152"/>
        <v>0</v>
      </c>
      <c r="DM142" s="31" t="str">
        <f t="shared" si="131"/>
        <v>0</v>
      </c>
      <c r="DO142" s="30"/>
      <c r="DP142" s="30"/>
    </row>
    <row r="143" spans="1:120" x14ac:dyDescent="0.2">
      <c r="A143" s="5"/>
      <c r="B143" s="6">
        <f>+Risultati!B142</f>
        <v>0</v>
      </c>
      <c r="C143" s="6">
        <f>+Risultati!C142</f>
        <v>0</v>
      </c>
      <c r="D143" s="26" t="str">
        <f>IF(YEAR(Risultati!D142)=1900,(MID(Risultati!$AP$1,29,4)),YEAR(Risultati!D142))</f>
        <v/>
      </c>
      <c r="E143" s="6">
        <f>+Risultati!E142</f>
        <v>0</v>
      </c>
      <c r="F143" s="8" t="e">
        <f>(LEFT(Risultati!AN142,2)&amp;"-")&amp;VLOOKUP((LEFT(Risultati!AN142,2)),ateco!$B$4:$C$93,2,FALSE)</f>
        <v>#N/A</v>
      </c>
      <c r="G143" s="8" t="str">
        <f>SUBSTITUTE((Risultati!AN142&amp;"-"&amp;Risultati!AO142),",",";")</f>
        <v>-</v>
      </c>
      <c r="I143" s="10">
        <f>+Risultati!G142</f>
        <v>0</v>
      </c>
      <c r="J143" s="11" t="str">
        <f t="shared" si="134"/>
        <v>0</v>
      </c>
      <c r="K143" s="12"/>
      <c r="L143" s="10">
        <f>+Risultati!G142+Risultati!H142</f>
        <v>0</v>
      </c>
      <c r="M143" s="11" t="str">
        <f t="shared" si="135"/>
        <v>0</v>
      </c>
      <c r="N143" s="12"/>
      <c r="O143" s="10">
        <f>+Risultati!I142+Risultati!J142</f>
        <v>0</v>
      </c>
      <c r="P143" s="11" t="str">
        <f t="shared" si="136"/>
        <v>0</v>
      </c>
      <c r="Q143" s="12"/>
      <c r="R143" s="13">
        <f t="shared" si="102"/>
        <v>0</v>
      </c>
      <c r="S143" s="11" t="str">
        <f t="shared" si="137"/>
        <v>0</v>
      </c>
      <c r="T143" s="12"/>
      <c r="U143" s="10">
        <f>+Risultati!F142-(Risultati!G142+Risultati!H142)</f>
        <v>0</v>
      </c>
      <c r="V143" s="12" t="str">
        <f t="shared" si="138"/>
        <v>0</v>
      </c>
      <c r="W143" s="12"/>
      <c r="X143" s="10">
        <f t="shared" si="103"/>
        <v>0</v>
      </c>
      <c r="Y143" s="12" t="str">
        <f t="shared" si="139"/>
        <v>0</v>
      </c>
      <c r="Z143" s="12"/>
      <c r="AA143" s="10">
        <f>+Risultati!K142</f>
        <v>0</v>
      </c>
      <c r="AB143" s="12" t="str">
        <f t="shared" si="140"/>
        <v>0</v>
      </c>
      <c r="AC143" s="12"/>
      <c r="AD143" s="10">
        <f>+Risultati!L142</f>
        <v>0</v>
      </c>
      <c r="AE143" s="12" t="str">
        <f t="shared" si="141"/>
        <v>0</v>
      </c>
      <c r="AF143" s="12"/>
      <c r="AG143" s="10">
        <f>+Risultati!M142+Risultati!P142+Risultati!Q142</f>
        <v>0</v>
      </c>
      <c r="AH143" s="12" t="str">
        <f t="shared" si="142"/>
        <v>0</v>
      </c>
      <c r="AI143" s="12"/>
      <c r="AJ143" s="13">
        <f t="shared" si="104"/>
        <v>0</v>
      </c>
      <c r="AK143" s="11" t="str">
        <f t="shared" si="143"/>
        <v>0</v>
      </c>
      <c r="AL143" s="12"/>
      <c r="AM143" s="10">
        <f>+Risultati!N142</f>
        <v>0</v>
      </c>
      <c r="AN143" s="12" t="str">
        <f t="shared" si="144"/>
        <v>0</v>
      </c>
      <c r="AO143" s="12"/>
      <c r="AP143" s="10">
        <f t="shared" si="105"/>
        <v>0</v>
      </c>
      <c r="AQ143" s="41" t="str">
        <f t="shared" si="145"/>
        <v>0</v>
      </c>
      <c r="AR143" s="12"/>
      <c r="AS143" s="10">
        <f>+Risultati!O142</f>
        <v>0</v>
      </c>
      <c r="AT143" s="12" t="str">
        <f t="shared" si="146"/>
        <v>0</v>
      </c>
      <c r="AU143" s="12"/>
      <c r="AV143" s="10">
        <f t="shared" si="106"/>
        <v>0</v>
      </c>
      <c r="AW143" s="12" t="str">
        <f t="shared" si="147"/>
        <v>0</v>
      </c>
      <c r="AX143" s="12"/>
      <c r="AY143" s="10">
        <f>+Risultati!R142+Risultati!S142</f>
        <v>0</v>
      </c>
      <c r="AZ143" s="12" t="str">
        <f t="shared" si="148"/>
        <v>0</v>
      </c>
      <c r="BA143" s="12"/>
      <c r="BB143" s="10">
        <f>+Risultati!T142</f>
        <v>0</v>
      </c>
      <c r="BC143" s="12" t="str">
        <f t="shared" si="149"/>
        <v>0</v>
      </c>
      <c r="BD143" s="12"/>
      <c r="BE143" s="10">
        <f>+Risultati!U142</f>
        <v>0</v>
      </c>
      <c r="BF143" s="12" t="str">
        <f t="shared" si="150"/>
        <v>0</v>
      </c>
      <c r="BG143" s="12"/>
      <c r="BH143" s="10">
        <f t="shared" si="107"/>
        <v>0</v>
      </c>
      <c r="BI143" s="12" t="str">
        <f t="shared" si="151"/>
        <v>0</v>
      </c>
      <c r="BK143" s="16">
        <f>IF(ISNUMBER(Risultati!X142/100),(Risultati!X142/100))</f>
        <v>0</v>
      </c>
      <c r="BL143" s="16">
        <f>IF(ISNUMBER(Risultati!Y142/100),(Risultati!Y142/100))</f>
        <v>0</v>
      </c>
      <c r="BM143" s="16">
        <f>IF(ISNUMBER(Risultati!Z142/100),(Risultati!Z142/100))</f>
        <v>0</v>
      </c>
      <c r="BN143" s="16">
        <f>IF(AND(Risultati!AY142&lt;0,calcoli!AP143&lt;0),-IF(ISNUMBER(Risultati!AA142/100),(Risultati!AA142/100)),IF(ISNUMBER(Risultati!AA142/100),(Risultati!AA142/100)))</f>
        <v>0</v>
      </c>
      <c r="BO143" s="16" t="str">
        <f t="shared" si="132"/>
        <v>0</v>
      </c>
      <c r="BP143" s="16" t="str">
        <f>IF(Risultati!AB142&gt;0,(AV143/Risultati!AB142),"0")</f>
        <v>0</v>
      </c>
      <c r="BQ143" s="16" t="str">
        <f>IF(Risultati!AG142&lt;&gt;0,(BH143/Risultati!AG142),"0")</f>
        <v>0</v>
      </c>
      <c r="BR143" s="16" t="str">
        <f t="shared" si="133"/>
        <v>0</v>
      </c>
      <c r="BS143" s="14" t="str">
        <f>IF(Risultati!AB142&gt;0,(Risultati!G142/Risultati!AB142),"0")</f>
        <v>0</v>
      </c>
      <c r="BT143" s="15" t="str">
        <f>IF(Risultati!AG142&lt;&gt;0,(Risultati!AB142/Risultati!AG142),"0")</f>
        <v>0</v>
      </c>
      <c r="BU143" s="23" t="str">
        <f>IF(AND(Risultati!G142&gt;0,(Risultati!AE142-Risultati!AF142)&gt;=0),((Risultati!AE142-Risultati!AF142)/Risultati!G142*360),"0")</f>
        <v>0</v>
      </c>
      <c r="BV143" s="21" t="str">
        <f>IF(OR(E143="abbreviato",Risultati!G142=0),"0",((Risultati!AC142+Risultati!AD142)/Risultati!G142*360))</f>
        <v>0</v>
      </c>
      <c r="BW143" s="21" t="str">
        <f>IF(OR(E143="abbreviato",Risultati!G142=0,SUM(Risultati!I142+Risultati!K142+Risultati!M142)=0),"0",(((Risultati!AH142+Risultati!AI142)/(Risultati!I142+Risultati!K142+Risultati!N142)*360)))</f>
        <v>0</v>
      </c>
      <c r="BX143" s="16" t="str">
        <f>IF(Risultati!AB142&gt;0,(+Risultati!AG142/Risultati!AB142),"0")</f>
        <v>0</v>
      </c>
      <c r="BY143" s="22" t="str">
        <f>IF(OR(E143="abbreviato",Risultati!G142=0),"0",(((Risultati!AK142-(Risultati!AL142+Risultati!AM142))/Risultati!G142)))</f>
        <v>0</v>
      </c>
      <c r="BZ143" s="16" t="str">
        <f>IF(Risultati!G142&gt;0,(Risultati!AJ142/Risultati!G142),"0")</f>
        <v>0</v>
      </c>
      <c r="CA143" s="8"/>
      <c r="CB143" s="10">
        <f>+Risultati!AP142</f>
        <v>0</v>
      </c>
      <c r="CC143" s="31" t="str">
        <f t="shared" si="108"/>
        <v>0</v>
      </c>
      <c r="CD143" s="10">
        <f>+Risultati!AQ142</f>
        <v>0</v>
      </c>
      <c r="CE143" s="31" t="str">
        <f t="shared" si="109"/>
        <v>0</v>
      </c>
      <c r="CF143" s="10">
        <f>+Risultati!AR142</f>
        <v>0</v>
      </c>
      <c r="CG143" s="31" t="str">
        <f t="shared" si="110"/>
        <v>0</v>
      </c>
      <c r="CH143" s="10">
        <f>+Risultati!AS142</f>
        <v>0</v>
      </c>
      <c r="CI143" s="31" t="str">
        <f t="shared" si="111"/>
        <v>0</v>
      </c>
      <c r="CJ143" s="10">
        <f t="shared" si="112"/>
        <v>0</v>
      </c>
      <c r="CK143" s="31" t="str">
        <f t="shared" si="113"/>
        <v>0</v>
      </c>
      <c r="CL143" s="10">
        <f>+Risultati!AE142+Risultati!AF142</f>
        <v>0</v>
      </c>
      <c r="CM143" s="31" t="str">
        <f t="shared" si="114"/>
        <v>0</v>
      </c>
      <c r="CN143" s="10">
        <f>+Risultati!AT142</f>
        <v>0</v>
      </c>
      <c r="CO143" s="31" t="str">
        <f t="shared" si="115"/>
        <v>0</v>
      </c>
      <c r="CP143" s="10">
        <f>+Risultati!AU142</f>
        <v>0</v>
      </c>
      <c r="CQ143" s="31" t="str">
        <f t="shared" si="116"/>
        <v>0</v>
      </c>
      <c r="CR143" s="10">
        <f>+Risultati!AL142</f>
        <v>0</v>
      </c>
      <c r="CS143" s="31" t="str">
        <f t="shared" si="117"/>
        <v>0</v>
      </c>
      <c r="CT143" s="10">
        <f t="shared" si="118"/>
        <v>0</v>
      </c>
      <c r="CU143" s="31" t="str">
        <f t="shared" si="119"/>
        <v>0</v>
      </c>
      <c r="CV143" s="10">
        <f>+Risultati!AX142</f>
        <v>0</v>
      </c>
      <c r="CW143" s="31" t="str">
        <f t="shared" si="120"/>
        <v>0</v>
      </c>
      <c r="CX143" s="10">
        <f t="shared" si="121"/>
        <v>0</v>
      </c>
      <c r="CY143" s="31" t="str">
        <f t="shared" si="122"/>
        <v>0</v>
      </c>
      <c r="CZ143" s="10">
        <f>+Risultati!AG142</f>
        <v>0</v>
      </c>
      <c r="DA143" s="31" t="str">
        <f t="shared" si="123"/>
        <v>0</v>
      </c>
      <c r="DB143" s="10">
        <f t="shared" si="124"/>
        <v>0</v>
      </c>
      <c r="DC143" s="31" t="str">
        <f t="shared" si="125"/>
        <v>0</v>
      </c>
      <c r="DD143" s="10">
        <f>+Risultati!AV142</f>
        <v>0</v>
      </c>
      <c r="DE143" s="31" t="str">
        <f t="shared" si="126"/>
        <v>0</v>
      </c>
      <c r="DF143" s="10">
        <f>+Risultati!AJ142</f>
        <v>0</v>
      </c>
      <c r="DG143" s="31" t="str">
        <f t="shared" si="127"/>
        <v>0</v>
      </c>
      <c r="DH143" s="10">
        <f t="shared" si="128"/>
        <v>0</v>
      </c>
      <c r="DI143" s="31" t="str">
        <f t="shared" si="129"/>
        <v>0</v>
      </c>
      <c r="DJ143" s="10">
        <f>+Risultati!AW142</f>
        <v>0</v>
      </c>
      <c r="DK143" s="31" t="str">
        <f t="shared" si="130"/>
        <v>0</v>
      </c>
      <c r="DL143" s="10">
        <f t="shared" si="152"/>
        <v>0</v>
      </c>
      <c r="DM143" s="31" t="str">
        <f t="shared" si="131"/>
        <v>0</v>
      </c>
      <c r="DO143" s="30"/>
      <c r="DP143" s="30"/>
    </row>
    <row r="144" spans="1:120" x14ac:dyDescent="0.2">
      <c r="A144" s="5"/>
      <c r="B144" s="6">
        <f>+Risultati!B143</f>
        <v>0</v>
      </c>
      <c r="C144" s="6">
        <f>+Risultati!C143</f>
        <v>0</v>
      </c>
      <c r="D144" s="26" t="str">
        <f>IF(YEAR(Risultati!D143)=1900,(MID(Risultati!$AP$1,29,4)),YEAR(Risultati!D143))</f>
        <v/>
      </c>
      <c r="E144" s="6">
        <f>+Risultati!E143</f>
        <v>0</v>
      </c>
      <c r="F144" s="8" t="e">
        <f>(LEFT(Risultati!AN143,2)&amp;"-")&amp;VLOOKUP((LEFT(Risultati!AN143,2)),ateco!$B$4:$C$93,2,FALSE)</f>
        <v>#N/A</v>
      </c>
      <c r="G144" s="8" t="str">
        <f>SUBSTITUTE((Risultati!AN143&amp;"-"&amp;Risultati!AO143),",",";")</f>
        <v>-</v>
      </c>
      <c r="I144" s="10">
        <f>+Risultati!G143</f>
        <v>0</v>
      </c>
      <c r="J144" s="11" t="str">
        <f t="shared" si="134"/>
        <v>0</v>
      </c>
      <c r="K144" s="12"/>
      <c r="L144" s="10">
        <f>+Risultati!G143+Risultati!H143</f>
        <v>0</v>
      </c>
      <c r="M144" s="11" t="str">
        <f t="shared" si="135"/>
        <v>0</v>
      </c>
      <c r="N144" s="12"/>
      <c r="O144" s="10">
        <f>+Risultati!I143+Risultati!J143</f>
        <v>0</v>
      </c>
      <c r="P144" s="11" t="str">
        <f t="shared" si="136"/>
        <v>0</v>
      </c>
      <c r="Q144" s="12"/>
      <c r="R144" s="13">
        <f t="shared" si="102"/>
        <v>0</v>
      </c>
      <c r="S144" s="11" t="str">
        <f t="shared" si="137"/>
        <v>0</v>
      </c>
      <c r="T144" s="12"/>
      <c r="U144" s="10">
        <f>+Risultati!F143-(Risultati!G143+Risultati!H143)</f>
        <v>0</v>
      </c>
      <c r="V144" s="12" t="str">
        <f t="shared" si="138"/>
        <v>0</v>
      </c>
      <c r="W144" s="12"/>
      <c r="X144" s="10">
        <f t="shared" si="103"/>
        <v>0</v>
      </c>
      <c r="Y144" s="12" t="str">
        <f t="shared" si="139"/>
        <v>0</v>
      </c>
      <c r="Z144" s="12"/>
      <c r="AA144" s="10">
        <f>+Risultati!K143</f>
        <v>0</v>
      </c>
      <c r="AB144" s="12" t="str">
        <f t="shared" si="140"/>
        <v>0</v>
      </c>
      <c r="AC144" s="12"/>
      <c r="AD144" s="10">
        <f>+Risultati!L143</f>
        <v>0</v>
      </c>
      <c r="AE144" s="12" t="str">
        <f t="shared" si="141"/>
        <v>0</v>
      </c>
      <c r="AF144" s="12"/>
      <c r="AG144" s="10">
        <f>+Risultati!M143+Risultati!P143+Risultati!Q143</f>
        <v>0</v>
      </c>
      <c r="AH144" s="12" t="str">
        <f t="shared" si="142"/>
        <v>0</v>
      </c>
      <c r="AI144" s="12"/>
      <c r="AJ144" s="13">
        <f t="shared" si="104"/>
        <v>0</v>
      </c>
      <c r="AK144" s="11" t="str">
        <f t="shared" si="143"/>
        <v>0</v>
      </c>
      <c r="AL144" s="12"/>
      <c r="AM144" s="10">
        <f>+Risultati!N143</f>
        <v>0</v>
      </c>
      <c r="AN144" s="12" t="str">
        <f t="shared" si="144"/>
        <v>0</v>
      </c>
      <c r="AO144" s="12"/>
      <c r="AP144" s="10">
        <f t="shared" si="105"/>
        <v>0</v>
      </c>
      <c r="AQ144" s="41" t="str">
        <f t="shared" si="145"/>
        <v>0</v>
      </c>
      <c r="AR144" s="12"/>
      <c r="AS144" s="10">
        <f>+Risultati!O143</f>
        <v>0</v>
      </c>
      <c r="AT144" s="12" t="str">
        <f t="shared" si="146"/>
        <v>0</v>
      </c>
      <c r="AU144" s="12"/>
      <c r="AV144" s="10">
        <f t="shared" si="106"/>
        <v>0</v>
      </c>
      <c r="AW144" s="12" t="str">
        <f t="shared" si="147"/>
        <v>0</v>
      </c>
      <c r="AX144" s="12"/>
      <c r="AY144" s="10">
        <f>+Risultati!R143+Risultati!S143</f>
        <v>0</v>
      </c>
      <c r="AZ144" s="12" t="str">
        <f t="shared" si="148"/>
        <v>0</v>
      </c>
      <c r="BA144" s="12"/>
      <c r="BB144" s="10">
        <f>+Risultati!T143</f>
        <v>0</v>
      </c>
      <c r="BC144" s="12" t="str">
        <f t="shared" si="149"/>
        <v>0</v>
      </c>
      <c r="BD144" s="12"/>
      <c r="BE144" s="10">
        <f>+Risultati!U143</f>
        <v>0</v>
      </c>
      <c r="BF144" s="12" t="str">
        <f t="shared" si="150"/>
        <v>0</v>
      </c>
      <c r="BG144" s="12"/>
      <c r="BH144" s="10">
        <f t="shared" si="107"/>
        <v>0</v>
      </c>
      <c r="BI144" s="12" t="str">
        <f t="shared" si="151"/>
        <v>0</v>
      </c>
      <c r="BK144" s="16">
        <f>IF(ISNUMBER(Risultati!X143/100),(Risultati!X143/100))</f>
        <v>0</v>
      </c>
      <c r="BL144" s="16">
        <f>IF(ISNUMBER(Risultati!Y143/100),(Risultati!Y143/100))</f>
        <v>0</v>
      </c>
      <c r="BM144" s="16">
        <f>IF(ISNUMBER(Risultati!Z143/100),(Risultati!Z143/100))</f>
        <v>0</v>
      </c>
      <c r="BN144" s="16">
        <f>IF(AND(Risultati!AY143&lt;0,calcoli!AP144&lt;0),-IF(ISNUMBER(Risultati!AA143/100),(Risultati!AA143/100)),IF(ISNUMBER(Risultati!AA143/100),(Risultati!AA143/100)))</f>
        <v>0</v>
      </c>
      <c r="BO144" s="16" t="str">
        <f t="shared" si="132"/>
        <v>0</v>
      </c>
      <c r="BP144" s="16" t="str">
        <f>IF(Risultati!AB143&gt;0,(AV144/Risultati!AB143),"0")</f>
        <v>0</v>
      </c>
      <c r="BQ144" s="16" t="str">
        <f>IF(Risultati!AG143&lt;&gt;0,(BH144/Risultati!AG143),"0")</f>
        <v>0</v>
      </c>
      <c r="BR144" s="16" t="str">
        <f t="shared" si="133"/>
        <v>0</v>
      </c>
      <c r="BS144" s="14" t="str">
        <f>IF(Risultati!AB143&gt;0,(Risultati!G143/Risultati!AB143),"0")</f>
        <v>0</v>
      </c>
      <c r="BT144" s="15" t="str">
        <f>IF(Risultati!AG143&lt;&gt;0,(Risultati!AB143/Risultati!AG143),"0")</f>
        <v>0</v>
      </c>
      <c r="BU144" s="23" t="str">
        <f>IF(AND(Risultati!G143&gt;0,(Risultati!AE143-Risultati!AF143)&gt;=0),((Risultati!AE143-Risultati!AF143)/Risultati!G143*360),"0")</f>
        <v>0</v>
      </c>
      <c r="BV144" s="21" t="str">
        <f>IF(OR(E144="abbreviato",Risultati!G143=0),"0",((Risultati!AC143+Risultati!AD143)/Risultati!G143*360))</f>
        <v>0</v>
      </c>
      <c r="BW144" s="21" t="str">
        <f>IF(OR(E144="abbreviato",Risultati!G143=0,SUM(Risultati!I143+Risultati!K143+Risultati!M143)=0),"0",(((Risultati!AH143+Risultati!AI143)/(Risultati!I143+Risultati!K143+Risultati!N143)*360)))</f>
        <v>0</v>
      </c>
      <c r="BX144" s="16" t="str">
        <f>IF(Risultati!AB143&gt;0,(+Risultati!AG143/Risultati!AB143),"0")</f>
        <v>0</v>
      </c>
      <c r="BY144" s="22" t="str">
        <f>IF(OR(E144="abbreviato",Risultati!G143=0),"0",(((Risultati!AK143-(Risultati!AL143+Risultati!AM143))/Risultati!G143)))</f>
        <v>0</v>
      </c>
      <c r="BZ144" s="16" t="str">
        <f>IF(Risultati!G143&gt;0,(Risultati!AJ143/Risultati!G143),"0")</f>
        <v>0</v>
      </c>
      <c r="CA144" s="8"/>
      <c r="CB144" s="10">
        <f>+Risultati!AP143</f>
        <v>0</v>
      </c>
      <c r="CC144" s="31" t="str">
        <f t="shared" si="108"/>
        <v>0</v>
      </c>
      <c r="CD144" s="10">
        <f>+Risultati!AQ143</f>
        <v>0</v>
      </c>
      <c r="CE144" s="31" t="str">
        <f t="shared" si="109"/>
        <v>0</v>
      </c>
      <c r="CF144" s="10">
        <f>+Risultati!AR143</f>
        <v>0</v>
      </c>
      <c r="CG144" s="31" t="str">
        <f t="shared" si="110"/>
        <v>0</v>
      </c>
      <c r="CH144" s="10">
        <f>+Risultati!AS143</f>
        <v>0</v>
      </c>
      <c r="CI144" s="31" t="str">
        <f t="shared" si="111"/>
        <v>0</v>
      </c>
      <c r="CJ144" s="10">
        <f t="shared" si="112"/>
        <v>0</v>
      </c>
      <c r="CK144" s="31" t="str">
        <f t="shared" si="113"/>
        <v>0</v>
      </c>
      <c r="CL144" s="10">
        <f>+Risultati!AE143+Risultati!AF143</f>
        <v>0</v>
      </c>
      <c r="CM144" s="31" t="str">
        <f t="shared" si="114"/>
        <v>0</v>
      </c>
      <c r="CN144" s="10">
        <f>+Risultati!AT143</f>
        <v>0</v>
      </c>
      <c r="CO144" s="31" t="str">
        <f t="shared" si="115"/>
        <v>0</v>
      </c>
      <c r="CP144" s="10">
        <f>+Risultati!AU143</f>
        <v>0</v>
      </c>
      <c r="CQ144" s="31" t="str">
        <f t="shared" si="116"/>
        <v>0</v>
      </c>
      <c r="CR144" s="10">
        <f>+Risultati!AL143</f>
        <v>0</v>
      </c>
      <c r="CS144" s="31" t="str">
        <f t="shared" si="117"/>
        <v>0</v>
      </c>
      <c r="CT144" s="10">
        <f t="shared" si="118"/>
        <v>0</v>
      </c>
      <c r="CU144" s="31" t="str">
        <f t="shared" si="119"/>
        <v>0</v>
      </c>
      <c r="CV144" s="10">
        <f>+Risultati!AX143</f>
        <v>0</v>
      </c>
      <c r="CW144" s="31" t="str">
        <f t="shared" si="120"/>
        <v>0</v>
      </c>
      <c r="CX144" s="10">
        <f t="shared" si="121"/>
        <v>0</v>
      </c>
      <c r="CY144" s="31" t="str">
        <f t="shared" si="122"/>
        <v>0</v>
      </c>
      <c r="CZ144" s="10">
        <f>+Risultati!AG143</f>
        <v>0</v>
      </c>
      <c r="DA144" s="31" t="str">
        <f t="shared" si="123"/>
        <v>0</v>
      </c>
      <c r="DB144" s="10">
        <f t="shared" si="124"/>
        <v>0</v>
      </c>
      <c r="DC144" s="31" t="str">
        <f t="shared" si="125"/>
        <v>0</v>
      </c>
      <c r="DD144" s="10">
        <f>+Risultati!AV143</f>
        <v>0</v>
      </c>
      <c r="DE144" s="31" t="str">
        <f t="shared" si="126"/>
        <v>0</v>
      </c>
      <c r="DF144" s="10">
        <f>+Risultati!AJ143</f>
        <v>0</v>
      </c>
      <c r="DG144" s="31" t="str">
        <f t="shared" si="127"/>
        <v>0</v>
      </c>
      <c r="DH144" s="10">
        <f t="shared" si="128"/>
        <v>0</v>
      </c>
      <c r="DI144" s="31" t="str">
        <f t="shared" si="129"/>
        <v>0</v>
      </c>
      <c r="DJ144" s="10">
        <f>+Risultati!AW143</f>
        <v>0</v>
      </c>
      <c r="DK144" s="31" t="str">
        <f t="shared" si="130"/>
        <v>0</v>
      </c>
      <c r="DL144" s="10">
        <f t="shared" si="152"/>
        <v>0</v>
      </c>
      <c r="DM144" s="31" t="str">
        <f t="shared" si="131"/>
        <v>0</v>
      </c>
      <c r="DO144" s="30"/>
      <c r="DP144" s="30"/>
    </row>
    <row r="145" spans="1:120" x14ac:dyDescent="0.2">
      <c r="A145" s="5"/>
      <c r="B145" s="6">
        <f>+Risultati!B144</f>
        <v>0</v>
      </c>
      <c r="C145" s="6">
        <f>+Risultati!C144</f>
        <v>0</v>
      </c>
      <c r="D145" s="26" t="str">
        <f>IF(YEAR(Risultati!D144)=1900,(MID(Risultati!$AP$1,29,4)),YEAR(Risultati!D144))</f>
        <v/>
      </c>
      <c r="E145" s="6">
        <f>+Risultati!E144</f>
        <v>0</v>
      </c>
      <c r="F145" s="8" t="e">
        <f>(LEFT(Risultati!AN144,2)&amp;"-")&amp;VLOOKUP((LEFT(Risultati!AN144,2)),ateco!$B$4:$C$93,2,FALSE)</f>
        <v>#N/A</v>
      </c>
      <c r="G145" s="8" t="str">
        <f>SUBSTITUTE((Risultati!AN144&amp;"-"&amp;Risultati!AO144),",",";")</f>
        <v>-</v>
      </c>
      <c r="I145" s="10">
        <f>+Risultati!G144</f>
        <v>0</v>
      </c>
      <c r="J145" s="11" t="str">
        <f t="shared" si="134"/>
        <v>0</v>
      </c>
      <c r="K145" s="12"/>
      <c r="L145" s="10">
        <f>+Risultati!G144+Risultati!H144</f>
        <v>0</v>
      </c>
      <c r="M145" s="11" t="str">
        <f t="shared" si="135"/>
        <v>0</v>
      </c>
      <c r="N145" s="12"/>
      <c r="O145" s="10">
        <f>+Risultati!I144+Risultati!J144</f>
        <v>0</v>
      </c>
      <c r="P145" s="11" t="str">
        <f t="shared" si="136"/>
        <v>0</v>
      </c>
      <c r="Q145" s="12"/>
      <c r="R145" s="13">
        <f t="shared" si="102"/>
        <v>0</v>
      </c>
      <c r="S145" s="11" t="str">
        <f t="shared" si="137"/>
        <v>0</v>
      </c>
      <c r="T145" s="12"/>
      <c r="U145" s="10">
        <f>+Risultati!F144-(Risultati!G144+Risultati!H144)</f>
        <v>0</v>
      </c>
      <c r="V145" s="12" t="str">
        <f t="shared" si="138"/>
        <v>0</v>
      </c>
      <c r="W145" s="12"/>
      <c r="X145" s="10">
        <f t="shared" si="103"/>
        <v>0</v>
      </c>
      <c r="Y145" s="12" t="str">
        <f t="shared" si="139"/>
        <v>0</v>
      </c>
      <c r="Z145" s="12"/>
      <c r="AA145" s="10">
        <f>+Risultati!K144</f>
        <v>0</v>
      </c>
      <c r="AB145" s="12" t="str">
        <f t="shared" si="140"/>
        <v>0</v>
      </c>
      <c r="AC145" s="12"/>
      <c r="AD145" s="10">
        <f>+Risultati!L144</f>
        <v>0</v>
      </c>
      <c r="AE145" s="12" t="str">
        <f t="shared" si="141"/>
        <v>0</v>
      </c>
      <c r="AF145" s="12"/>
      <c r="AG145" s="10">
        <f>+Risultati!M144+Risultati!P144+Risultati!Q144</f>
        <v>0</v>
      </c>
      <c r="AH145" s="12" t="str">
        <f t="shared" si="142"/>
        <v>0</v>
      </c>
      <c r="AI145" s="12"/>
      <c r="AJ145" s="13">
        <f t="shared" si="104"/>
        <v>0</v>
      </c>
      <c r="AK145" s="11" t="str">
        <f t="shared" si="143"/>
        <v>0</v>
      </c>
      <c r="AL145" s="12"/>
      <c r="AM145" s="10">
        <f>+Risultati!N144</f>
        <v>0</v>
      </c>
      <c r="AN145" s="12" t="str">
        <f t="shared" si="144"/>
        <v>0</v>
      </c>
      <c r="AO145" s="12"/>
      <c r="AP145" s="10">
        <f t="shared" si="105"/>
        <v>0</v>
      </c>
      <c r="AQ145" s="41" t="str">
        <f t="shared" si="145"/>
        <v>0</v>
      </c>
      <c r="AR145" s="12"/>
      <c r="AS145" s="10">
        <f>+Risultati!O144</f>
        <v>0</v>
      </c>
      <c r="AT145" s="12" t="str">
        <f t="shared" si="146"/>
        <v>0</v>
      </c>
      <c r="AU145" s="12"/>
      <c r="AV145" s="10">
        <f t="shared" si="106"/>
        <v>0</v>
      </c>
      <c r="AW145" s="12" t="str">
        <f t="shared" si="147"/>
        <v>0</v>
      </c>
      <c r="AX145" s="12"/>
      <c r="AY145" s="10">
        <f>+Risultati!R144+Risultati!S144</f>
        <v>0</v>
      </c>
      <c r="AZ145" s="12" t="str">
        <f t="shared" si="148"/>
        <v>0</v>
      </c>
      <c r="BA145" s="12"/>
      <c r="BB145" s="10">
        <f>+Risultati!T144</f>
        <v>0</v>
      </c>
      <c r="BC145" s="12" t="str">
        <f t="shared" si="149"/>
        <v>0</v>
      </c>
      <c r="BD145" s="12"/>
      <c r="BE145" s="10">
        <f>+Risultati!U144</f>
        <v>0</v>
      </c>
      <c r="BF145" s="12" t="str">
        <f t="shared" si="150"/>
        <v>0</v>
      </c>
      <c r="BG145" s="12"/>
      <c r="BH145" s="10">
        <f t="shared" si="107"/>
        <v>0</v>
      </c>
      <c r="BI145" s="12" t="str">
        <f t="shared" si="151"/>
        <v>0</v>
      </c>
      <c r="BK145" s="16">
        <f>IF(ISNUMBER(Risultati!X144/100),(Risultati!X144/100))</f>
        <v>0</v>
      </c>
      <c r="BL145" s="16">
        <f>IF(ISNUMBER(Risultati!Y144/100),(Risultati!Y144/100))</f>
        <v>0</v>
      </c>
      <c r="BM145" s="16">
        <f>IF(ISNUMBER(Risultati!Z144/100),(Risultati!Z144/100))</f>
        <v>0</v>
      </c>
      <c r="BN145" s="16">
        <f>IF(AND(Risultati!AY144&lt;0,calcoli!AP145&lt;0),-IF(ISNUMBER(Risultati!AA144/100),(Risultati!AA144/100)),IF(ISNUMBER(Risultati!AA144/100),(Risultati!AA144/100)))</f>
        <v>0</v>
      </c>
      <c r="BO145" s="16" t="str">
        <f t="shared" si="132"/>
        <v>0</v>
      </c>
      <c r="BP145" s="16" t="str">
        <f>IF(Risultati!AB144&gt;0,(AV145/Risultati!AB144),"0")</f>
        <v>0</v>
      </c>
      <c r="BQ145" s="16" t="str">
        <f>IF(Risultati!AG144&lt;&gt;0,(BH145/Risultati!AG144),"0")</f>
        <v>0</v>
      </c>
      <c r="BR145" s="16" t="str">
        <f t="shared" si="133"/>
        <v>0</v>
      </c>
      <c r="BS145" s="14" t="str">
        <f>IF(Risultati!AB144&gt;0,(Risultati!G144/Risultati!AB144),"0")</f>
        <v>0</v>
      </c>
      <c r="BT145" s="15" t="str">
        <f>IF(Risultati!AG144&lt;&gt;0,(Risultati!AB144/Risultati!AG144),"0")</f>
        <v>0</v>
      </c>
      <c r="BU145" s="23" t="str">
        <f>IF(AND(Risultati!G144&gt;0,(Risultati!AE144-Risultati!AF144)&gt;=0),((Risultati!AE144-Risultati!AF144)/Risultati!G144*360),"0")</f>
        <v>0</v>
      </c>
      <c r="BV145" s="21" t="str">
        <f>IF(OR(E145="abbreviato",Risultati!G144=0),"0",((Risultati!AC144+Risultati!AD144)/Risultati!G144*360))</f>
        <v>0</v>
      </c>
      <c r="BW145" s="21" t="str">
        <f>IF(OR(E145="abbreviato",Risultati!G144=0,SUM(Risultati!I144+Risultati!K144+Risultati!M144)=0),"0",(((Risultati!AH144+Risultati!AI144)/(Risultati!I144+Risultati!K144+Risultati!N144)*360)))</f>
        <v>0</v>
      </c>
      <c r="BX145" s="16" t="str">
        <f>IF(Risultati!AB144&gt;0,(+Risultati!AG144/Risultati!AB144),"0")</f>
        <v>0</v>
      </c>
      <c r="BY145" s="22" t="str">
        <f>IF(OR(E145="abbreviato",Risultati!G144=0),"0",(((Risultati!AK144-(Risultati!AL144+Risultati!AM144))/Risultati!G144)))</f>
        <v>0</v>
      </c>
      <c r="BZ145" s="16" t="str">
        <f>IF(Risultati!G144&gt;0,(Risultati!AJ144/Risultati!G144),"0")</f>
        <v>0</v>
      </c>
      <c r="CA145" s="8"/>
      <c r="CB145" s="10">
        <f>+Risultati!AP144</f>
        <v>0</v>
      </c>
      <c r="CC145" s="31" t="str">
        <f t="shared" si="108"/>
        <v>0</v>
      </c>
      <c r="CD145" s="10">
        <f>+Risultati!AQ144</f>
        <v>0</v>
      </c>
      <c r="CE145" s="31" t="str">
        <f t="shared" si="109"/>
        <v>0</v>
      </c>
      <c r="CF145" s="10">
        <f>+Risultati!AR144</f>
        <v>0</v>
      </c>
      <c r="CG145" s="31" t="str">
        <f t="shared" si="110"/>
        <v>0</v>
      </c>
      <c r="CH145" s="10">
        <f>+Risultati!AS144</f>
        <v>0</v>
      </c>
      <c r="CI145" s="31" t="str">
        <f t="shared" si="111"/>
        <v>0</v>
      </c>
      <c r="CJ145" s="10">
        <f t="shared" si="112"/>
        <v>0</v>
      </c>
      <c r="CK145" s="31" t="str">
        <f t="shared" si="113"/>
        <v>0</v>
      </c>
      <c r="CL145" s="10">
        <f>+Risultati!AE144+Risultati!AF144</f>
        <v>0</v>
      </c>
      <c r="CM145" s="31" t="str">
        <f t="shared" si="114"/>
        <v>0</v>
      </c>
      <c r="CN145" s="10">
        <f>+Risultati!AT144</f>
        <v>0</v>
      </c>
      <c r="CO145" s="31" t="str">
        <f t="shared" si="115"/>
        <v>0</v>
      </c>
      <c r="CP145" s="10">
        <f>+Risultati!AU144</f>
        <v>0</v>
      </c>
      <c r="CQ145" s="31" t="str">
        <f t="shared" si="116"/>
        <v>0</v>
      </c>
      <c r="CR145" s="10">
        <f>+Risultati!AL144</f>
        <v>0</v>
      </c>
      <c r="CS145" s="31" t="str">
        <f t="shared" si="117"/>
        <v>0</v>
      </c>
      <c r="CT145" s="10">
        <f t="shared" si="118"/>
        <v>0</v>
      </c>
      <c r="CU145" s="31" t="str">
        <f t="shared" si="119"/>
        <v>0</v>
      </c>
      <c r="CV145" s="10">
        <f>+Risultati!AX144</f>
        <v>0</v>
      </c>
      <c r="CW145" s="31" t="str">
        <f t="shared" si="120"/>
        <v>0</v>
      </c>
      <c r="CX145" s="10">
        <f t="shared" si="121"/>
        <v>0</v>
      </c>
      <c r="CY145" s="31" t="str">
        <f t="shared" si="122"/>
        <v>0</v>
      </c>
      <c r="CZ145" s="10">
        <f>+Risultati!AG144</f>
        <v>0</v>
      </c>
      <c r="DA145" s="31" t="str">
        <f t="shared" si="123"/>
        <v>0</v>
      </c>
      <c r="DB145" s="10">
        <f t="shared" si="124"/>
        <v>0</v>
      </c>
      <c r="DC145" s="31" t="str">
        <f t="shared" si="125"/>
        <v>0</v>
      </c>
      <c r="DD145" s="10">
        <f>+Risultati!AV144</f>
        <v>0</v>
      </c>
      <c r="DE145" s="31" t="str">
        <f t="shared" si="126"/>
        <v>0</v>
      </c>
      <c r="DF145" s="10">
        <f>+Risultati!AJ144</f>
        <v>0</v>
      </c>
      <c r="DG145" s="31" t="str">
        <f t="shared" si="127"/>
        <v>0</v>
      </c>
      <c r="DH145" s="10">
        <f t="shared" si="128"/>
        <v>0</v>
      </c>
      <c r="DI145" s="31" t="str">
        <f t="shared" si="129"/>
        <v>0</v>
      </c>
      <c r="DJ145" s="10">
        <f>+Risultati!AW144</f>
        <v>0</v>
      </c>
      <c r="DK145" s="31" t="str">
        <f t="shared" si="130"/>
        <v>0</v>
      </c>
      <c r="DL145" s="10">
        <f t="shared" si="152"/>
        <v>0</v>
      </c>
      <c r="DM145" s="31" t="str">
        <f t="shared" si="131"/>
        <v>0</v>
      </c>
      <c r="DO145" s="30"/>
      <c r="DP145" s="30"/>
    </row>
    <row r="146" spans="1:120" x14ac:dyDescent="0.2">
      <c r="A146" s="5"/>
      <c r="B146" s="6">
        <f>+Risultati!B145</f>
        <v>0</v>
      </c>
      <c r="C146" s="6">
        <f>+Risultati!C145</f>
        <v>0</v>
      </c>
      <c r="D146" s="26" t="str">
        <f>IF(YEAR(Risultati!D145)=1900,(MID(Risultati!$AP$1,29,4)),YEAR(Risultati!D145))</f>
        <v/>
      </c>
      <c r="E146" s="6">
        <f>+Risultati!E145</f>
        <v>0</v>
      </c>
      <c r="F146" s="8" t="e">
        <f>(LEFT(Risultati!AN145,2)&amp;"-")&amp;VLOOKUP((LEFT(Risultati!AN145,2)),ateco!$B$4:$C$93,2,FALSE)</f>
        <v>#N/A</v>
      </c>
      <c r="G146" s="8" t="str">
        <f>SUBSTITUTE((Risultati!AN145&amp;"-"&amp;Risultati!AO145),",",";")</f>
        <v>-</v>
      </c>
      <c r="I146" s="10">
        <f>+Risultati!G145</f>
        <v>0</v>
      </c>
      <c r="J146" s="11" t="str">
        <f t="shared" si="134"/>
        <v>0</v>
      </c>
      <c r="K146" s="12"/>
      <c r="L146" s="10">
        <f>+Risultati!G145+Risultati!H145</f>
        <v>0</v>
      </c>
      <c r="M146" s="11" t="str">
        <f t="shared" si="135"/>
        <v>0</v>
      </c>
      <c r="N146" s="12"/>
      <c r="O146" s="10">
        <f>+Risultati!I145+Risultati!J145</f>
        <v>0</v>
      </c>
      <c r="P146" s="11" t="str">
        <f t="shared" si="136"/>
        <v>0</v>
      </c>
      <c r="Q146" s="12"/>
      <c r="R146" s="13">
        <f t="shared" si="102"/>
        <v>0</v>
      </c>
      <c r="S146" s="11" t="str">
        <f t="shared" si="137"/>
        <v>0</v>
      </c>
      <c r="T146" s="12"/>
      <c r="U146" s="10">
        <f>+Risultati!F145-(Risultati!G145+Risultati!H145)</f>
        <v>0</v>
      </c>
      <c r="V146" s="12" t="str">
        <f t="shared" si="138"/>
        <v>0</v>
      </c>
      <c r="W146" s="12"/>
      <c r="X146" s="10">
        <f t="shared" si="103"/>
        <v>0</v>
      </c>
      <c r="Y146" s="12" t="str">
        <f t="shared" si="139"/>
        <v>0</v>
      </c>
      <c r="Z146" s="12"/>
      <c r="AA146" s="10">
        <f>+Risultati!K145</f>
        <v>0</v>
      </c>
      <c r="AB146" s="12" t="str">
        <f t="shared" si="140"/>
        <v>0</v>
      </c>
      <c r="AC146" s="12"/>
      <c r="AD146" s="10">
        <f>+Risultati!L145</f>
        <v>0</v>
      </c>
      <c r="AE146" s="12" t="str">
        <f t="shared" si="141"/>
        <v>0</v>
      </c>
      <c r="AF146" s="12"/>
      <c r="AG146" s="10">
        <f>+Risultati!M145+Risultati!P145+Risultati!Q145</f>
        <v>0</v>
      </c>
      <c r="AH146" s="12" t="str">
        <f t="shared" si="142"/>
        <v>0</v>
      </c>
      <c r="AI146" s="12"/>
      <c r="AJ146" s="13">
        <f t="shared" si="104"/>
        <v>0</v>
      </c>
      <c r="AK146" s="11" t="str">
        <f t="shared" si="143"/>
        <v>0</v>
      </c>
      <c r="AL146" s="12"/>
      <c r="AM146" s="10">
        <f>+Risultati!N145</f>
        <v>0</v>
      </c>
      <c r="AN146" s="12" t="str">
        <f t="shared" si="144"/>
        <v>0</v>
      </c>
      <c r="AO146" s="12"/>
      <c r="AP146" s="10">
        <f t="shared" si="105"/>
        <v>0</v>
      </c>
      <c r="AQ146" s="41" t="str">
        <f t="shared" si="145"/>
        <v>0</v>
      </c>
      <c r="AR146" s="12"/>
      <c r="AS146" s="10">
        <f>+Risultati!O145</f>
        <v>0</v>
      </c>
      <c r="AT146" s="12" t="str">
        <f t="shared" si="146"/>
        <v>0</v>
      </c>
      <c r="AU146" s="12"/>
      <c r="AV146" s="10">
        <f t="shared" si="106"/>
        <v>0</v>
      </c>
      <c r="AW146" s="12" t="str">
        <f t="shared" si="147"/>
        <v>0</v>
      </c>
      <c r="AX146" s="12"/>
      <c r="AY146" s="10">
        <f>+Risultati!R145+Risultati!S145</f>
        <v>0</v>
      </c>
      <c r="AZ146" s="12" t="str">
        <f t="shared" si="148"/>
        <v>0</v>
      </c>
      <c r="BA146" s="12"/>
      <c r="BB146" s="10">
        <f>+Risultati!T145</f>
        <v>0</v>
      </c>
      <c r="BC146" s="12" t="str">
        <f t="shared" si="149"/>
        <v>0</v>
      </c>
      <c r="BD146" s="12"/>
      <c r="BE146" s="10">
        <f>+Risultati!U145</f>
        <v>0</v>
      </c>
      <c r="BF146" s="12" t="str">
        <f t="shared" si="150"/>
        <v>0</v>
      </c>
      <c r="BG146" s="12"/>
      <c r="BH146" s="10">
        <f t="shared" si="107"/>
        <v>0</v>
      </c>
      <c r="BI146" s="12" t="str">
        <f t="shared" si="151"/>
        <v>0</v>
      </c>
      <c r="BK146" s="16">
        <f>IF(ISNUMBER(Risultati!X145/100),(Risultati!X145/100))</f>
        <v>0</v>
      </c>
      <c r="BL146" s="16">
        <f>IF(ISNUMBER(Risultati!Y145/100),(Risultati!Y145/100))</f>
        <v>0</v>
      </c>
      <c r="BM146" s="16">
        <f>IF(ISNUMBER(Risultati!Z145/100),(Risultati!Z145/100))</f>
        <v>0</v>
      </c>
      <c r="BN146" s="16">
        <f>IF(AND(Risultati!AY145&lt;0,calcoli!AP146&lt;0),-IF(ISNUMBER(Risultati!AA145/100),(Risultati!AA145/100)),IF(ISNUMBER(Risultati!AA145/100),(Risultati!AA145/100)))</f>
        <v>0</v>
      </c>
      <c r="BO146" s="16" t="str">
        <f t="shared" si="132"/>
        <v>0</v>
      </c>
      <c r="BP146" s="16" t="str">
        <f>IF(Risultati!AB145&gt;0,(AV146/Risultati!AB145),"0")</f>
        <v>0</v>
      </c>
      <c r="BQ146" s="16" t="str">
        <f>IF(Risultati!AG145&lt;&gt;0,(BH146/Risultati!AG145),"0")</f>
        <v>0</v>
      </c>
      <c r="BR146" s="16" t="str">
        <f t="shared" si="133"/>
        <v>0</v>
      </c>
      <c r="BS146" s="14" t="str">
        <f>IF(Risultati!AB145&gt;0,(Risultati!G145/Risultati!AB145),"0")</f>
        <v>0</v>
      </c>
      <c r="BT146" s="15" t="str">
        <f>IF(Risultati!AG145&lt;&gt;0,(Risultati!AB145/Risultati!AG145),"0")</f>
        <v>0</v>
      </c>
      <c r="BU146" s="23" t="str">
        <f>IF(AND(Risultati!G145&gt;0,(Risultati!AE145-Risultati!AF145)&gt;=0),((Risultati!AE145-Risultati!AF145)/Risultati!G145*360),"0")</f>
        <v>0</v>
      </c>
      <c r="BV146" s="21" t="str">
        <f>IF(OR(E146="abbreviato",Risultati!G145=0),"0",((Risultati!AC145+Risultati!AD145)/Risultati!G145*360))</f>
        <v>0</v>
      </c>
      <c r="BW146" s="21" t="str">
        <f>IF(OR(E146="abbreviato",Risultati!G145=0,SUM(Risultati!I145+Risultati!K145+Risultati!M145)=0),"0",(((Risultati!AH145+Risultati!AI145)/(Risultati!I145+Risultati!K145+Risultati!N145)*360)))</f>
        <v>0</v>
      </c>
      <c r="BX146" s="16" t="str">
        <f>IF(Risultati!AB145&gt;0,(+Risultati!AG145/Risultati!AB145),"0")</f>
        <v>0</v>
      </c>
      <c r="BY146" s="22" t="str">
        <f>IF(OR(E146="abbreviato",Risultati!G145=0),"0",(((Risultati!AK145-(Risultati!AL145+Risultati!AM145))/Risultati!G145)))</f>
        <v>0</v>
      </c>
      <c r="BZ146" s="16" t="str">
        <f>IF(Risultati!G145&gt;0,(Risultati!AJ145/Risultati!G145),"0")</f>
        <v>0</v>
      </c>
      <c r="CA146" s="8"/>
      <c r="CB146" s="10">
        <f>+Risultati!AP145</f>
        <v>0</v>
      </c>
      <c r="CC146" s="31" t="str">
        <f t="shared" si="108"/>
        <v>0</v>
      </c>
      <c r="CD146" s="10">
        <f>+Risultati!AQ145</f>
        <v>0</v>
      </c>
      <c r="CE146" s="31" t="str">
        <f t="shared" si="109"/>
        <v>0</v>
      </c>
      <c r="CF146" s="10">
        <f>+Risultati!AR145</f>
        <v>0</v>
      </c>
      <c r="CG146" s="31" t="str">
        <f t="shared" si="110"/>
        <v>0</v>
      </c>
      <c r="CH146" s="10">
        <f>+Risultati!AS145</f>
        <v>0</v>
      </c>
      <c r="CI146" s="31" t="str">
        <f t="shared" si="111"/>
        <v>0</v>
      </c>
      <c r="CJ146" s="10">
        <f t="shared" si="112"/>
        <v>0</v>
      </c>
      <c r="CK146" s="31" t="str">
        <f t="shared" si="113"/>
        <v>0</v>
      </c>
      <c r="CL146" s="10">
        <f>+Risultati!AE145+Risultati!AF145</f>
        <v>0</v>
      </c>
      <c r="CM146" s="31" t="str">
        <f t="shared" si="114"/>
        <v>0</v>
      </c>
      <c r="CN146" s="10">
        <f>+Risultati!AT145</f>
        <v>0</v>
      </c>
      <c r="CO146" s="31" t="str">
        <f t="shared" si="115"/>
        <v>0</v>
      </c>
      <c r="CP146" s="10">
        <f>+Risultati!AU145</f>
        <v>0</v>
      </c>
      <c r="CQ146" s="31" t="str">
        <f t="shared" si="116"/>
        <v>0</v>
      </c>
      <c r="CR146" s="10">
        <f>+Risultati!AL145</f>
        <v>0</v>
      </c>
      <c r="CS146" s="31" t="str">
        <f t="shared" si="117"/>
        <v>0</v>
      </c>
      <c r="CT146" s="10">
        <f t="shared" si="118"/>
        <v>0</v>
      </c>
      <c r="CU146" s="31" t="str">
        <f t="shared" si="119"/>
        <v>0</v>
      </c>
      <c r="CV146" s="10">
        <f>+Risultati!AX145</f>
        <v>0</v>
      </c>
      <c r="CW146" s="31" t="str">
        <f t="shared" si="120"/>
        <v>0</v>
      </c>
      <c r="CX146" s="10">
        <f t="shared" si="121"/>
        <v>0</v>
      </c>
      <c r="CY146" s="31" t="str">
        <f t="shared" si="122"/>
        <v>0</v>
      </c>
      <c r="CZ146" s="10">
        <f>+Risultati!AG145</f>
        <v>0</v>
      </c>
      <c r="DA146" s="31" t="str">
        <f t="shared" si="123"/>
        <v>0</v>
      </c>
      <c r="DB146" s="10">
        <f t="shared" si="124"/>
        <v>0</v>
      </c>
      <c r="DC146" s="31" t="str">
        <f t="shared" si="125"/>
        <v>0</v>
      </c>
      <c r="DD146" s="10">
        <f>+Risultati!AV145</f>
        <v>0</v>
      </c>
      <c r="DE146" s="31" t="str">
        <f t="shared" si="126"/>
        <v>0</v>
      </c>
      <c r="DF146" s="10">
        <f>+Risultati!AJ145</f>
        <v>0</v>
      </c>
      <c r="DG146" s="31" t="str">
        <f t="shared" si="127"/>
        <v>0</v>
      </c>
      <c r="DH146" s="10">
        <f t="shared" si="128"/>
        <v>0</v>
      </c>
      <c r="DI146" s="31" t="str">
        <f t="shared" si="129"/>
        <v>0</v>
      </c>
      <c r="DJ146" s="10">
        <f>+Risultati!AW145</f>
        <v>0</v>
      </c>
      <c r="DK146" s="31" t="str">
        <f t="shared" si="130"/>
        <v>0</v>
      </c>
      <c r="DL146" s="10">
        <f t="shared" si="152"/>
        <v>0</v>
      </c>
      <c r="DM146" s="31" t="str">
        <f t="shared" si="131"/>
        <v>0</v>
      </c>
      <c r="DO146" s="30"/>
      <c r="DP146" s="30"/>
    </row>
    <row r="147" spans="1:120" x14ac:dyDescent="0.2">
      <c r="A147" s="5"/>
      <c r="B147" s="6">
        <f>+Risultati!B146</f>
        <v>0</v>
      </c>
      <c r="C147" s="6">
        <f>+Risultati!C146</f>
        <v>0</v>
      </c>
      <c r="D147" s="26" t="str">
        <f>IF(YEAR(Risultati!D146)=1900,(MID(Risultati!$AP$1,29,4)),YEAR(Risultati!D146))</f>
        <v/>
      </c>
      <c r="E147" s="6">
        <f>+Risultati!E146</f>
        <v>0</v>
      </c>
      <c r="F147" s="8" t="e">
        <f>(LEFT(Risultati!AN146,2)&amp;"-")&amp;VLOOKUP((LEFT(Risultati!AN146,2)),ateco!$B$4:$C$93,2,FALSE)</f>
        <v>#N/A</v>
      </c>
      <c r="G147" s="8" t="str">
        <f>SUBSTITUTE((Risultati!AN146&amp;"-"&amp;Risultati!AO146),",",";")</f>
        <v>-</v>
      </c>
      <c r="I147" s="10">
        <f>+Risultati!G146</f>
        <v>0</v>
      </c>
      <c r="J147" s="11" t="str">
        <f t="shared" si="134"/>
        <v>0</v>
      </c>
      <c r="K147" s="12"/>
      <c r="L147" s="10">
        <f>+Risultati!G146+Risultati!H146</f>
        <v>0</v>
      </c>
      <c r="M147" s="11" t="str">
        <f t="shared" si="135"/>
        <v>0</v>
      </c>
      <c r="N147" s="12"/>
      <c r="O147" s="10">
        <f>+Risultati!I146+Risultati!J146</f>
        <v>0</v>
      </c>
      <c r="P147" s="11" t="str">
        <f t="shared" si="136"/>
        <v>0</v>
      </c>
      <c r="Q147" s="12"/>
      <c r="R147" s="13">
        <f t="shared" si="102"/>
        <v>0</v>
      </c>
      <c r="S147" s="11" t="str">
        <f t="shared" si="137"/>
        <v>0</v>
      </c>
      <c r="T147" s="12"/>
      <c r="U147" s="10">
        <f>+Risultati!F146-(Risultati!G146+Risultati!H146)</f>
        <v>0</v>
      </c>
      <c r="V147" s="12" t="str">
        <f t="shared" si="138"/>
        <v>0</v>
      </c>
      <c r="W147" s="12"/>
      <c r="X147" s="10">
        <f t="shared" si="103"/>
        <v>0</v>
      </c>
      <c r="Y147" s="12" t="str">
        <f t="shared" si="139"/>
        <v>0</v>
      </c>
      <c r="Z147" s="12"/>
      <c r="AA147" s="10">
        <f>+Risultati!K146</f>
        <v>0</v>
      </c>
      <c r="AB147" s="12" t="str">
        <f t="shared" si="140"/>
        <v>0</v>
      </c>
      <c r="AC147" s="12"/>
      <c r="AD147" s="10">
        <f>+Risultati!L146</f>
        <v>0</v>
      </c>
      <c r="AE147" s="12" t="str">
        <f t="shared" si="141"/>
        <v>0</v>
      </c>
      <c r="AF147" s="12"/>
      <c r="AG147" s="10">
        <f>+Risultati!M146+Risultati!P146+Risultati!Q146</f>
        <v>0</v>
      </c>
      <c r="AH147" s="12" t="str">
        <f t="shared" si="142"/>
        <v>0</v>
      </c>
      <c r="AI147" s="12"/>
      <c r="AJ147" s="13">
        <f t="shared" si="104"/>
        <v>0</v>
      </c>
      <c r="AK147" s="11" t="str">
        <f t="shared" si="143"/>
        <v>0</v>
      </c>
      <c r="AL147" s="12"/>
      <c r="AM147" s="10">
        <f>+Risultati!N146</f>
        <v>0</v>
      </c>
      <c r="AN147" s="12" t="str">
        <f t="shared" si="144"/>
        <v>0</v>
      </c>
      <c r="AO147" s="12"/>
      <c r="AP147" s="10">
        <f t="shared" si="105"/>
        <v>0</v>
      </c>
      <c r="AQ147" s="41" t="str">
        <f t="shared" si="145"/>
        <v>0</v>
      </c>
      <c r="AR147" s="12"/>
      <c r="AS147" s="10">
        <f>+Risultati!O146</f>
        <v>0</v>
      </c>
      <c r="AT147" s="12" t="str">
        <f t="shared" si="146"/>
        <v>0</v>
      </c>
      <c r="AU147" s="12"/>
      <c r="AV147" s="10">
        <f t="shared" si="106"/>
        <v>0</v>
      </c>
      <c r="AW147" s="12" t="str">
        <f t="shared" si="147"/>
        <v>0</v>
      </c>
      <c r="AX147" s="12"/>
      <c r="AY147" s="10">
        <f>+Risultati!R146+Risultati!S146</f>
        <v>0</v>
      </c>
      <c r="AZ147" s="12" t="str">
        <f t="shared" si="148"/>
        <v>0</v>
      </c>
      <c r="BA147" s="12"/>
      <c r="BB147" s="10">
        <f>+Risultati!T146</f>
        <v>0</v>
      </c>
      <c r="BC147" s="12" t="str">
        <f t="shared" si="149"/>
        <v>0</v>
      </c>
      <c r="BD147" s="12"/>
      <c r="BE147" s="10">
        <f>+Risultati!U146</f>
        <v>0</v>
      </c>
      <c r="BF147" s="12" t="str">
        <f t="shared" si="150"/>
        <v>0</v>
      </c>
      <c r="BG147" s="12"/>
      <c r="BH147" s="10">
        <f t="shared" si="107"/>
        <v>0</v>
      </c>
      <c r="BI147" s="12" t="str">
        <f t="shared" si="151"/>
        <v>0</v>
      </c>
      <c r="BK147" s="16">
        <f>IF(ISNUMBER(Risultati!X146/100),(Risultati!X146/100))</f>
        <v>0</v>
      </c>
      <c r="BL147" s="16">
        <f>IF(ISNUMBER(Risultati!Y146/100),(Risultati!Y146/100))</f>
        <v>0</v>
      </c>
      <c r="BM147" s="16">
        <f>IF(ISNUMBER(Risultati!Z146/100),(Risultati!Z146/100))</f>
        <v>0</v>
      </c>
      <c r="BN147" s="16">
        <f>IF(AND(Risultati!AY146&lt;0,calcoli!AP147&lt;0),-IF(ISNUMBER(Risultati!AA146/100),(Risultati!AA146/100)),IF(ISNUMBER(Risultati!AA146/100),(Risultati!AA146/100)))</f>
        <v>0</v>
      </c>
      <c r="BO147" s="16" t="str">
        <f t="shared" si="132"/>
        <v>0</v>
      </c>
      <c r="BP147" s="16" t="str">
        <f>IF(Risultati!AB146&gt;0,(AV147/Risultati!AB146),"0")</f>
        <v>0</v>
      </c>
      <c r="BQ147" s="16" t="str">
        <f>IF(Risultati!AG146&lt;&gt;0,(BH147/Risultati!AG146),"0")</f>
        <v>0</v>
      </c>
      <c r="BR147" s="16" t="str">
        <f t="shared" si="133"/>
        <v>0</v>
      </c>
      <c r="BS147" s="14" t="str">
        <f>IF(Risultati!AB146&gt;0,(Risultati!G146/Risultati!AB146),"0")</f>
        <v>0</v>
      </c>
      <c r="BT147" s="15" t="str">
        <f>IF(Risultati!AG146&lt;&gt;0,(Risultati!AB146/Risultati!AG146),"0")</f>
        <v>0</v>
      </c>
      <c r="BU147" s="23" t="str">
        <f>IF(AND(Risultati!G146&gt;0,(Risultati!AE146-Risultati!AF146)&gt;=0),((Risultati!AE146-Risultati!AF146)/Risultati!G146*360),"0")</f>
        <v>0</v>
      </c>
      <c r="BV147" s="21" t="str">
        <f>IF(OR(E147="abbreviato",Risultati!G146=0),"0",((Risultati!AC146+Risultati!AD146)/Risultati!G146*360))</f>
        <v>0</v>
      </c>
      <c r="BW147" s="21" t="str">
        <f>IF(OR(E147="abbreviato",Risultati!G146=0,SUM(Risultati!I146+Risultati!K146+Risultati!M146)=0),"0",(((Risultati!AH146+Risultati!AI146)/(Risultati!I146+Risultati!K146+Risultati!N146)*360)))</f>
        <v>0</v>
      </c>
      <c r="BX147" s="16" t="str">
        <f>IF(Risultati!AB146&gt;0,(+Risultati!AG146/Risultati!AB146),"0")</f>
        <v>0</v>
      </c>
      <c r="BY147" s="22" t="str">
        <f>IF(OR(E147="abbreviato",Risultati!G146=0),"0",(((Risultati!AK146-(Risultati!AL146+Risultati!AM146))/Risultati!G146)))</f>
        <v>0</v>
      </c>
      <c r="BZ147" s="16" t="str">
        <f>IF(Risultati!G146&gt;0,(Risultati!AJ146/Risultati!G146),"0")</f>
        <v>0</v>
      </c>
      <c r="CA147" s="8"/>
      <c r="CB147" s="10">
        <f>+Risultati!AP146</f>
        <v>0</v>
      </c>
      <c r="CC147" s="31" t="str">
        <f t="shared" si="108"/>
        <v>0</v>
      </c>
      <c r="CD147" s="10">
        <f>+Risultati!AQ146</f>
        <v>0</v>
      </c>
      <c r="CE147" s="31" t="str">
        <f t="shared" si="109"/>
        <v>0</v>
      </c>
      <c r="CF147" s="10">
        <f>+Risultati!AR146</f>
        <v>0</v>
      </c>
      <c r="CG147" s="31" t="str">
        <f t="shared" si="110"/>
        <v>0</v>
      </c>
      <c r="CH147" s="10">
        <f>+Risultati!AS146</f>
        <v>0</v>
      </c>
      <c r="CI147" s="31" t="str">
        <f t="shared" si="111"/>
        <v>0</v>
      </c>
      <c r="CJ147" s="10">
        <f t="shared" si="112"/>
        <v>0</v>
      </c>
      <c r="CK147" s="31" t="str">
        <f t="shared" si="113"/>
        <v>0</v>
      </c>
      <c r="CL147" s="10">
        <f>+Risultati!AE146+Risultati!AF146</f>
        <v>0</v>
      </c>
      <c r="CM147" s="31" t="str">
        <f t="shared" si="114"/>
        <v>0</v>
      </c>
      <c r="CN147" s="10">
        <f>+Risultati!AT146</f>
        <v>0</v>
      </c>
      <c r="CO147" s="31" t="str">
        <f t="shared" si="115"/>
        <v>0</v>
      </c>
      <c r="CP147" s="10">
        <f>+Risultati!AU146</f>
        <v>0</v>
      </c>
      <c r="CQ147" s="31" t="str">
        <f t="shared" si="116"/>
        <v>0</v>
      </c>
      <c r="CR147" s="10">
        <f>+Risultati!AL146</f>
        <v>0</v>
      </c>
      <c r="CS147" s="31" t="str">
        <f t="shared" si="117"/>
        <v>0</v>
      </c>
      <c r="CT147" s="10">
        <f t="shared" si="118"/>
        <v>0</v>
      </c>
      <c r="CU147" s="31" t="str">
        <f t="shared" si="119"/>
        <v>0</v>
      </c>
      <c r="CV147" s="10">
        <f>+Risultati!AX146</f>
        <v>0</v>
      </c>
      <c r="CW147" s="31" t="str">
        <f t="shared" si="120"/>
        <v>0</v>
      </c>
      <c r="CX147" s="10">
        <f t="shared" si="121"/>
        <v>0</v>
      </c>
      <c r="CY147" s="31" t="str">
        <f t="shared" si="122"/>
        <v>0</v>
      </c>
      <c r="CZ147" s="10">
        <f>+Risultati!AG146</f>
        <v>0</v>
      </c>
      <c r="DA147" s="31" t="str">
        <f t="shared" si="123"/>
        <v>0</v>
      </c>
      <c r="DB147" s="10">
        <f t="shared" si="124"/>
        <v>0</v>
      </c>
      <c r="DC147" s="31" t="str">
        <f t="shared" si="125"/>
        <v>0</v>
      </c>
      <c r="DD147" s="10">
        <f>+Risultati!AV146</f>
        <v>0</v>
      </c>
      <c r="DE147" s="31" t="str">
        <f t="shared" si="126"/>
        <v>0</v>
      </c>
      <c r="DF147" s="10">
        <f>+Risultati!AJ146</f>
        <v>0</v>
      </c>
      <c r="DG147" s="31" t="str">
        <f t="shared" si="127"/>
        <v>0</v>
      </c>
      <c r="DH147" s="10">
        <f t="shared" si="128"/>
        <v>0</v>
      </c>
      <c r="DI147" s="31" t="str">
        <f t="shared" si="129"/>
        <v>0</v>
      </c>
      <c r="DJ147" s="10">
        <f>+Risultati!AW146</f>
        <v>0</v>
      </c>
      <c r="DK147" s="31" t="str">
        <f t="shared" si="130"/>
        <v>0</v>
      </c>
      <c r="DL147" s="10">
        <f t="shared" si="152"/>
        <v>0</v>
      </c>
      <c r="DM147" s="31" t="str">
        <f t="shared" si="131"/>
        <v>0</v>
      </c>
      <c r="DO147" s="30"/>
      <c r="DP147" s="30"/>
    </row>
    <row r="148" spans="1:120" x14ac:dyDescent="0.2">
      <c r="A148" s="5"/>
      <c r="B148" s="6">
        <f>+Risultati!B147</f>
        <v>0</v>
      </c>
      <c r="C148" s="6">
        <f>+Risultati!C147</f>
        <v>0</v>
      </c>
      <c r="D148" s="26" t="str">
        <f>IF(YEAR(Risultati!D147)=1900,(MID(Risultati!$AP$1,29,4)),YEAR(Risultati!D147))</f>
        <v/>
      </c>
      <c r="E148" s="6">
        <f>+Risultati!E147</f>
        <v>0</v>
      </c>
      <c r="F148" s="8" t="e">
        <f>(LEFT(Risultati!AN147,2)&amp;"-")&amp;VLOOKUP((LEFT(Risultati!AN147,2)),ateco!$B$4:$C$93,2,FALSE)</f>
        <v>#N/A</v>
      </c>
      <c r="G148" s="8" t="str">
        <f>SUBSTITUTE((Risultati!AN147&amp;"-"&amp;Risultati!AO147),",",";")</f>
        <v>-</v>
      </c>
      <c r="I148" s="10">
        <f>+Risultati!G147</f>
        <v>0</v>
      </c>
      <c r="J148" s="11" t="str">
        <f t="shared" si="134"/>
        <v>0</v>
      </c>
      <c r="K148" s="12"/>
      <c r="L148" s="10">
        <f>+Risultati!G147+Risultati!H147</f>
        <v>0</v>
      </c>
      <c r="M148" s="11" t="str">
        <f t="shared" si="135"/>
        <v>0</v>
      </c>
      <c r="N148" s="12"/>
      <c r="O148" s="10">
        <f>+Risultati!I147+Risultati!J147</f>
        <v>0</v>
      </c>
      <c r="P148" s="11" t="str">
        <f t="shared" si="136"/>
        <v>0</v>
      </c>
      <c r="Q148" s="12"/>
      <c r="R148" s="13">
        <f t="shared" si="102"/>
        <v>0</v>
      </c>
      <c r="S148" s="11" t="str">
        <f t="shared" si="137"/>
        <v>0</v>
      </c>
      <c r="T148" s="12"/>
      <c r="U148" s="10">
        <f>+Risultati!F147-(Risultati!G147+Risultati!H147)</f>
        <v>0</v>
      </c>
      <c r="V148" s="12" t="str">
        <f t="shared" si="138"/>
        <v>0</v>
      </c>
      <c r="W148" s="12"/>
      <c r="X148" s="10">
        <f t="shared" si="103"/>
        <v>0</v>
      </c>
      <c r="Y148" s="12" t="str">
        <f t="shared" si="139"/>
        <v>0</v>
      </c>
      <c r="Z148" s="12"/>
      <c r="AA148" s="10">
        <f>+Risultati!K147</f>
        <v>0</v>
      </c>
      <c r="AB148" s="12" t="str">
        <f t="shared" si="140"/>
        <v>0</v>
      </c>
      <c r="AC148" s="12"/>
      <c r="AD148" s="10">
        <f>+Risultati!L147</f>
        <v>0</v>
      </c>
      <c r="AE148" s="12" t="str">
        <f t="shared" si="141"/>
        <v>0</v>
      </c>
      <c r="AF148" s="12"/>
      <c r="AG148" s="10">
        <f>+Risultati!M147+Risultati!P147+Risultati!Q147</f>
        <v>0</v>
      </c>
      <c r="AH148" s="12" t="str">
        <f t="shared" si="142"/>
        <v>0</v>
      </c>
      <c r="AI148" s="12"/>
      <c r="AJ148" s="13">
        <f t="shared" si="104"/>
        <v>0</v>
      </c>
      <c r="AK148" s="11" t="str">
        <f t="shared" si="143"/>
        <v>0</v>
      </c>
      <c r="AL148" s="12"/>
      <c r="AM148" s="10">
        <f>+Risultati!N147</f>
        <v>0</v>
      </c>
      <c r="AN148" s="12" t="str">
        <f t="shared" si="144"/>
        <v>0</v>
      </c>
      <c r="AO148" s="12"/>
      <c r="AP148" s="10">
        <f t="shared" si="105"/>
        <v>0</v>
      </c>
      <c r="AQ148" s="41" t="str">
        <f t="shared" si="145"/>
        <v>0</v>
      </c>
      <c r="AR148" s="12"/>
      <c r="AS148" s="10">
        <f>+Risultati!O147</f>
        <v>0</v>
      </c>
      <c r="AT148" s="12" t="str">
        <f t="shared" si="146"/>
        <v>0</v>
      </c>
      <c r="AU148" s="12"/>
      <c r="AV148" s="10">
        <f t="shared" si="106"/>
        <v>0</v>
      </c>
      <c r="AW148" s="12" t="str">
        <f t="shared" si="147"/>
        <v>0</v>
      </c>
      <c r="AX148" s="12"/>
      <c r="AY148" s="10">
        <f>+Risultati!R147+Risultati!S147</f>
        <v>0</v>
      </c>
      <c r="AZ148" s="12" t="str">
        <f t="shared" si="148"/>
        <v>0</v>
      </c>
      <c r="BA148" s="12"/>
      <c r="BB148" s="10">
        <f>+Risultati!T147</f>
        <v>0</v>
      </c>
      <c r="BC148" s="12" t="str">
        <f t="shared" si="149"/>
        <v>0</v>
      </c>
      <c r="BD148" s="12"/>
      <c r="BE148" s="10">
        <f>+Risultati!U147</f>
        <v>0</v>
      </c>
      <c r="BF148" s="12" t="str">
        <f t="shared" si="150"/>
        <v>0</v>
      </c>
      <c r="BG148" s="12"/>
      <c r="BH148" s="10">
        <f t="shared" si="107"/>
        <v>0</v>
      </c>
      <c r="BI148" s="12" t="str">
        <f t="shared" si="151"/>
        <v>0</v>
      </c>
      <c r="BK148" s="16">
        <f>IF(ISNUMBER(Risultati!X147/100),(Risultati!X147/100))</f>
        <v>0</v>
      </c>
      <c r="BL148" s="16">
        <f>IF(ISNUMBER(Risultati!Y147/100),(Risultati!Y147/100))</f>
        <v>0</v>
      </c>
      <c r="BM148" s="16">
        <f>IF(ISNUMBER(Risultati!Z147/100),(Risultati!Z147/100))</f>
        <v>0</v>
      </c>
      <c r="BN148" s="16">
        <f>IF(AND(Risultati!AY147&lt;0,calcoli!AP148&lt;0),-IF(ISNUMBER(Risultati!AA147/100),(Risultati!AA147/100)),IF(ISNUMBER(Risultati!AA147/100),(Risultati!AA147/100)))</f>
        <v>0</v>
      </c>
      <c r="BO148" s="16" t="str">
        <f t="shared" si="132"/>
        <v>0</v>
      </c>
      <c r="BP148" s="16" t="str">
        <f>IF(Risultati!AB147&gt;0,(AV148/Risultati!AB147),"0")</f>
        <v>0</v>
      </c>
      <c r="BQ148" s="16" t="str">
        <f>IF(Risultati!AG147&lt;&gt;0,(BH148/Risultati!AG147),"0")</f>
        <v>0</v>
      </c>
      <c r="BR148" s="16" t="str">
        <f t="shared" si="133"/>
        <v>0</v>
      </c>
      <c r="BS148" s="14" t="str">
        <f>IF(Risultati!AB147&gt;0,(Risultati!G147/Risultati!AB147),"0")</f>
        <v>0</v>
      </c>
      <c r="BT148" s="15" t="str">
        <f>IF(Risultati!AG147&lt;&gt;0,(Risultati!AB147/Risultati!AG147),"0")</f>
        <v>0</v>
      </c>
      <c r="BU148" s="23" t="str">
        <f>IF(AND(Risultati!G147&gt;0,(Risultati!AE147-Risultati!AF147)&gt;=0),((Risultati!AE147-Risultati!AF147)/Risultati!G147*360),"0")</f>
        <v>0</v>
      </c>
      <c r="BV148" s="21" t="str">
        <f>IF(OR(E148="abbreviato",Risultati!G147=0),"0",((Risultati!AC147+Risultati!AD147)/Risultati!G147*360))</f>
        <v>0</v>
      </c>
      <c r="BW148" s="21" t="str">
        <f>IF(OR(E148="abbreviato",Risultati!G147=0,SUM(Risultati!I147+Risultati!K147+Risultati!M147)=0),"0",(((Risultati!AH147+Risultati!AI147)/(Risultati!I147+Risultati!K147+Risultati!N147)*360)))</f>
        <v>0</v>
      </c>
      <c r="BX148" s="16" t="str">
        <f>IF(Risultati!AB147&gt;0,(+Risultati!AG147/Risultati!AB147),"0")</f>
        <v>0</v>
      </c>
      <c r="BY148" s="22" t="str">
        <f>IF(OR(E148="abbreviato",Risultati!G147=0),"0",(((Risultati!AK147-(Risultati!AL147+Risultati!AM147))/Risultati!G147)))</f>
        <v>0</v>
      </c>
      <c r="BZ148" s="16" t="str">
        <f>IF(Risultati!G147&gt;0,(Risultati!AJ147/Risultati!G147),"0")</f>
        <v>0</v>
      </c>
      <c r="CA148" s="8"/>
      <c r="CB148" s="10">
        <f>+Risultati!AP147</f>
        <v>0</v>
      </c>
      <c r="CC148" s="31" t="str">
        <f t="shared" si="108"/>
        <v>0</v>
      </c>
      <c r="CD148" s="10">
        <f>+Risultati!AQ147</f>
        <v>0</v>
      </c>
      <c r="CE148" s="31" t="str">
        <f t="shared" si="109"/>
        <v>0</v>
      </c>
      <c r="CF148" s="10">
        <f>+Risultati!AR147</f>
        <v>0</v>
      </c>
      <c r="CG148" s="31" t="str">
        <f t="shared" si="110"/>
        <v>0</v>
      </c>
      <c r="CH148" s="10">
        <f>+Risultati!AS147</f>
        <v>0</v>
      </c>
      <c r="CI148" s="31" t="str">
        <f t="shared" si="111"/>
        <v>0</v>
      </c>
      <c r="CJ148" s="10">
        <f t="shared" si="112"/>
        <v>0</v>
      </c>
      <c r="CK148" s="31" t="str">
        <f t="shared" si="113"/>
        <v>0</v>
      </c>
      <c r="CL148" s="10">
        <f>+Risultati!AE147+Risultati!AF147</f>
        <v>0</v>
      </c>
      <c r="CM148" s="31" t="str">
        <f t="shared" si="114"/>
        <v>0</v>
      </c>
      <c r="CN148" s="10">
        <f>+Risultati!AT147</f>
        <v>0</v>
      </c>
      <c r="CO148" s="31" t="str">
        <f t="shared" si="115"/>
        <v>0</v>
      </c>
      <c r="CP148" s="10">
        <f>+Risultati!AU147</f>
        <v>0</v>
      </c>
      <c r="CQ148" s="31" t="str">
        <f t="shared" si="116"/>
        <v>0</v>
      </c>
      <c r="CR148" s="10">
        <f>+Risultati!AL147</f>
        <v>0</v>
      </c>
      <c r="CS148" s="31" t="str">
        <f t="shared" si="117"/>
        <v>0</v>
      </c>
      <c r="CT148" s="10">
        <f t="shared" si="118"/>
        <v>0</v>
      </c>
      <c r="CU148" s="31" t="str">
        <f t="shared" si="119"/>
        <v>0</v>
      </c>
      <c r="CV148" s="10">
        <f>+Risultati!AX147</f>
        <v>0</v>
      </c>
      <c r="CW148" s="31" t="str">
        <f t="shared" si="120"/>
        <v>0</v>
      </c>
      <c r="CX148" s="10">
        <f t="shared" si="121"/>
        <v>0</v>
      </c>
      <c r="CY148" s="31" t="str">
        <f t="shared" si="122"/>
        <v>0</v>
      </c>
      <c r="CZ148" s="10">
        <f>+Risultati!AG147</f>
        <v>0</v>
      </c>
      <c r="DA148" s="31" t="str">
        <f t="shared" si="123"/>
        <v>0</v>
      </c>
      <c r="DB148" s="10">
        <f t="shared" si="124"/>
        <v>0</v>
      </c>
      <c r="DC148" s="31" t="str">
        <f t="shared" si="125"/>
        <v>0</v>
      </c>
      <c r="DD148" s="10">
        <f>+Risultati!AV147</f>
        <v>0</v>
      </c>
      <c r="DE148" s="31" t="str">
        <f t="shared" si="126"/>
        <v>0</v>
      </c>
      <c r="DF148" s="10">
        <f>+Risultati!AJ147</f>
        <v>0</v>
      </c>
      <c r="DG148" s="31" t="str">
        <f t="shared" si="127"/>
        <v>0</v>
      </c>
      <c r="DH148" s="10">
        <f t="shared" si="128"/>
        <v>0</v>
      </c>
      <c r="DI148" s="31" t="str">
        <f t="shared" si="129"/>
        <v>0</v>
      </c>
      <c r="DJ148" s="10">
        <f>+Risultati!AW147</f>
        <v>0</v>
      </c>
      <c r="DK148" s="31" t="str">
        <f t="shared" si="130"/>
        <v>0</v>
      </c>
      <c r="DL148" s="10">
        <f t="shared" si="152"/>
        <v>0</v>
      </c>
      <c r="DM148" s="31" t="str">
        <f t="shared" si="131"/>
        <v>0</v>
      </c>
      <c r="DO148" s="30"/>
      <c r="DP148" s="30"/>
    </row>
    <row r="149" spans="1:120" x14ac:dyDescent="0.2">
      <c r="A149" s="5"/>
      <c r="B149" s="6">
        <f>+Risultati!B148</f>
        <v>0</v>
      </c>
      <c r="C149" s="6">
        <f>+Risultati!C148</f>
        <v>0</v>
      </c>
      <c r="D149" s="26" t="str">
        <f>IF(YEAR(Risultati!D148)=1900,(MID(Risultati!$AP$1,29,4)),YEAR(Risultati!D148))</f>
        <v/>
      </c>
      <c r="E149" s="6">
        <f>+Risultati!E148</f>
        <v>0</v>
      </c>
      <c r="F149" s="8" t="e">
        <f>(LEFT(Risultati!AN148,2)&amp;"-")&amp;VLOOKUP((LEFT(Risultati!AN148,2)),ateco!$B$4:$C$93,2,FALSE)</f>
        <v>#N/A</v>
      </c>
      <c r="G149" s="8" t="str">
        <f>SUBSTITUTE((Risultati!AN148&amp;"-"&amp;Risultati!AO148),",",";")</f>
        <v>-</v>
      </c>
      <c r="I149" s="10">
        <f>+Risultati!G148</f>
        <v>0</v>
      </c>
      <c r="J149" s="11" t="str">
        <f t="shared" si="134"/>
        <v>0</v>
      </c>
      <c r="K149" s="12"/>
      <c r="L149" s="10">
        <f>+Risultati!G148+Risultati!H148</f>
        <v>0</v>
      </c>
      <c r="M149" s="11" t="str">
        <f t="shared" si="135"/>
        <v>0</v>
      </c>
      <c r="N149" s="12"/>
      <c r="O149" s="10">
        <f>+Risultati!I148+Risultati!J148</f>
        <v>0</v>
      </c>
      <c r="P149" s="11" t="str">
        <f t="shared" si="136"/>
        <v>0</v>
      </c>
      <c r="Q149" s="12"/>
      <c r="R149" s="13">
        <f t="shared" si="102"/>
        <v>0</v>
      </c>
      <c r="S149" s="11" t="str">
        <f t="shared" si="137"/>
        <v>0</v>
      </c>
      <c r="T149" s="12"/>
      <c r="U149" s="10">
        <f>+Risultati!F148-(Risultati!G148+Risultati!H148)</f>
        <v>0</v>
      </c>
      <c r="V149" s="12" t="str">
        <f t="shared" si="138"/>
        <v>0</v>
      </c>
      <c r="W149" s="12"/>
      <c r="X149" s="10">
        <f t="shared" si="103"/>
        <v>0</v>
      </c>
      <c r="Y149" s="12" t="str">
        <f t="shared" si="139"/>
        <v>0</v>
      </c>
      <c r="Z149" s="12"/>
      <c r="AA149" s="10">
        <f>+Risultati!K148</f>
        <v>0</v>
      </c>
      <c r="AB149" s="12" t="str">
        <f t="shared" si="140"/>
        <v>0</v>
      </c>
      <c r="AC149" s="12"/>
      <c r="AD149" s="10">
        <f>+Risultati!L148</f>
        <v>0</v>
      </c>
      <c r="AE149" s="12" t="str">
        <f t="shared" si="141"/>
        <v>0</v>
      </c>
      <c r="AF149" s="12"/>
      <c r="AG149" s="10">
        <f>+Risultati!M148+Risultati!P148+Risultati!Q148</f>
        <v>0</v>
      </c>
      <c r="AH149" s="12" t="str">
        <f t="shared" si="142"/>
        <v>0</v>
      </c>
      <c r="AI149" s="12"/>
      <c r="AJ149" s="13">
        <f t="shared" si="104"/>
        <v>0</v>
      </c>
      <c r="AK149" s="11" t="str">
        <f t="shared" si="143"/>
        <v>0</v>
      </c>
      <c r="AL149" s="12"/>
      <c r="AM149" s="10">
        <f>+Risultati!N148</f>
        <v>0</v>
      </c>
      <c r="AN149" s="12" t="str">
        <f t="shared" si="144"/>
        <v>0</v>
      </c>
      <c r="AO149" s="12"/>
      <c r="AP149" s="10">
        <f t="shared" si="105"/>
        <v>0</v>
      </c>
      <c r="AQ149" s="41" t="str">
        <f t="shared" si="145"/>
        <v>0</v>
      </c>
      <c r="AR149" s="12"/>
      <c r="AS149" s="10">
        <f>+Risultati!O148</f>
        <v>0</v>
      </c>
      <c r="AT149" s="12" t="str">
        <f t="shared" si="146"/>
        <v>0</v>
      </c>
      <c r="AU149" s="12"/>
      <c r="AV149" s="10">
        <f t="shared" si="106"/>
        <v>0</v>
      </c>
      <c r="AW149" s="12" t="str">
        <f t="shared" si="147"/>
        <v>0</v>
      </c>
      <c r="AX149" s="12"/>
      <c r="AY149" s="10">
        <f>+Risultati!R148+Risultati!S148</f>
        <v>0</v>
      </c>
      <c r="AZ149" s="12" t="str">
        <f t="shared" si="148"/>
        <v>0</v>
      </c>
      <c r="BA149" s="12"/>
      <c r="BB149" s="10">
        <f>+Risultati!T148</f>
        <v>0</v>
      </c>
      <c r="BC149" s="12" t="str">
        <f t="shared" si="149"/>
        <v>0</v>
      </c>
      <c r="BD149" s="12"/>
      <c r="BE149" s="10">
        <f>+Risultati!U148</f>
        <v>0</v>
      </c>
      <c r="BF149" s="12" t="str">
        <f t="shared" si="150"/>
        <v>0</v>
      </c>
      <c r="BG149" s="12"/>
      <c r="BH149" s="10">
        <f t="shared" si="107"/>
        <v>0</v>
      </c>
      <c r="BI149" s="12" t="str">
        <f t="shared" si="151"/>
        <v>0</v>
      </c>
      <c r="BK149" s="16">
        <f>IF(ISNUMBER(Risultati!X148/100),(Risultati!X148/100))</f>
        <v>0</v>
      </c>
      <c r="BL149" s="16">
        <f>IF(ISNUMBER(Risultati!Y148/100),(Risultati!Y148/100))</f>
        <v>0</v>
      </c>
      <c r="BM149" s="16">
        <f>IF(ISNUMBER(Risultati!Z148/100),(Risultati!Z148/100))</f>
        <v>0</v>
      </c>
      <c r="BN149" s="16">
        <f>IF(AND(Risultati!AY148&lt;0,calcoli!AP149&lt;0),-IF(ISNUMBER(Risultati!AA148/100),(Risultati!AA148/100)),IF(ISNUMBER(Risultati!AA148/100),(Risultati!AA148/100)))</f>
        <v>0</v>
      </c>
      <c r="BO149" s="16" t="str">
        <f t="shared" si="132"/>
        <v>0</v>
      </c>
      <c r="BP149" s="16" t="str">
        <f>IF(Risultati!AB148&gt;0,(AV149/Risultati!AB148),"0")</f>
        <v>0</v>
      </c>
      <c r="BQ149" s="16" t="str">
        <f>IF(Risultati!AG148&lt;&gt;0,(BH149/Risultati!AG148),"0")</f>
        <v>0</v>
      </c>
      <c r="BR149" s="16" t="str">
        <f t="shared" si="133"/>
        <v>0</v>
      </c>
      <c r="BS149" s="14" t="str">
        <f>IF(Risultati!AB148&gt;0,(Risultati!G148/Risultati!AB148),"0")</f>
        <v>0</v>
      </c>
      <c r="BT149" s="15" t="str">
        <f>IF(Risultati!AG148&lt;&gt;0,(Risultati!AB148/Risultati!AG148),"0")</f>
        <v>0</v>
      </c>
      <c r="BU149" s="23" t="str">
        <f>IF(AND(Risultati!G148&gt;0,(Risultati!AE148-Risultati!AF148)&gt;=0),((Risultati!AE148-Risultati!AF148)/Risultati!G148*360),"0")</f>
        <v>0</v>
      </c>
      <c r="BV149" s="21" t="str">
        <f>IF(OR(E149="abbreviato",Risultati!G148=0),"0",((Risultati!AC148+Risultati!AD148)/Risultati!G148*360))</f>
        <v>0</v>
      </c>
      <c r="BW149" s="21" t="str">
        <f>IF(OR(E149="abbreviato",Risultati!G148=0,SUM(Risultati!I148+Risultati!K148+Risultati!M148)=0),"0",(((Risultati!AH148+Risultati!AI148)/(Risultati!I148+Risultati!K148+Risultati!N148)*360)))</f>
        <v>0</v>
      </c>
      <c r="BX149" s="16" t="str">
        <f>IF(Risultati!AB148&gt;0,(+Risultati!AG148/Risultati!AB148),"0")</f>
        <v>0</v>
      </c>
      <c r="BY149" s="22" t="str">
        <f>IF(OR(E149="abbreviato",Risultati!G148=0),"0",(((Risultati!AK148-(Risultati!AL148+Risultati!AM148))/Risultati!G148)))</f>
        <v>0</v>
      </c>
      <c r="BZ149" s="16" t="str">
        <f>IF(Risultati!G148&gt;0,(Risultati!AJ148/Risultati!G148),"0")</f>
        <v>0</v>
      </c>
      <c r="CA149" s="8"/>
      <c r="CB149" s="10">
        <f>+Risultati!AP148</f>
        <v>0</v>
      </c>
      <c r="CC149" s="31" t="str">
        <f t="shared" si="108"/>
        <v>0</v>
      </c>
      <c r="CD149" s="10">
        <f>+Risultati!AQ148</f>
        <v>0</v>
      </c>
      <c r="CE149" s="31" t="str">
        <f t="shared" si="109"/>
        <v>0</v>
      </c>
      <c r="CF149" s="10">
        <f>+Risultati!AR148</f>
        <v>0</v>
      </c>
      <c r="CG149" s="31" t="str">
        <f t="shared" si="110"/>
        <v>0</v>
      </c>
      <c r="CH149" s="10">
        <f>+Risultati!AS148</f>
        <v>0</v>
      </c>
      <c r="CI149" s="31" t="str">
        <f t="shared" si="111"/>
        <v>0</v>
      </c>
      <c r="CJ149" s="10">
        <f t="shared" si="112"/>
        <v>0</v>
      </c>
      <c r="CK149" s="31" t="str">
        <f t="shared" si="113"/>
        <v>0</v>
      </c>
      <c r="CL149" s="10">
        <f>+Risultati!AE148+Risultati!AF148</f>
        <v>0</v>
      </c>
      <c r="CM149" s="31" t="str">
        <f t="shared" si="114"/>
        <v>0</v>
      </c>
      <c r="CN149" s="10">
        <f>+Risultati!AT148</f>
        <v>0</v>
      </c>
      <c r="CO149" s="31" t="str">
        <f t="shared" si="115"/>
        <v>0</v>
      </c>
      <c r="CP149" s="10">
        <f>+Risultati!AU148</f>
        <v>0</v>
      </c>
      <c r="CQ149" s="31" t="str">
        <f t="shared" si="116"/>
        <v>0</v>
      </c>
      <c r="CR149" s="10">
        <f>+Risultati!AL148</f>
        <v>0</v>
      </c>
      <c r="CS149" s="31" t="str">
        <f t="shared" si="117"/>
        <v>0</v>
      </c>
      <c r="CT149" s="10">
        <f t="shared" si="118"/>
        <v>0</v>
      </c>
      <c r="CU149" s="31" t="str">
        <f t="shared" si="119"/>
        <v>0</v>
      </c>
      <c r="CV149" s="10">
        <f>+Risultati!AX148</f>
        <v>0</v>
      </c>
      <c r="CW149" s="31" t="str">
        <f t="shared" si="120"/>
        <v>0</v>
      </c>
      <c r="CX149" s="10">
        <f t="shared" si="121"/>
        <v>0</v>
      </c>
      <c r="CY149" s="31" t="str">
        <f t="shared" si="122"/>
        <v>0</v>
      </c>
      <c r="CZ149" s="10">
        <f>+Risultati!AG148</f>
        <v>0</v>
      </c>
      <c r="DA149" s="31" t="str">
        <f t="shared" si="123"/>
        <v>0</v>
      </c>
      <c r="DB149" s="10">
        <f t="shared" si="124"/>
        <v>0</v>
      </c>
      <c r="DC149" s="31" t="str">
        <f t="shared" si="125"/>
        <v>0</v>
      </c>
      <c r="DD149" s="10">
        <f>+Risultati!AV148</f>
        <v>0</v>
      </c>
      <c r="DE149" s="31" t="str">
        <f t="shared" si="126"/>
        <v>0</v>
      </c>
      <c r="DF149" s="10">
        <f>+Risultati!AJ148</f>
        <v>0</v>
      </c>
      <c r="DG149" s="31" t="str">
        <f t="shared" si="127"/>
        <v>0</v>
      </c>
      <c r="DH149" s="10">
        <f t="shared" si="128"/>
        <v>0</v>
      </c>
      <c r="DI149" s="31" t="str">
        <f t="shared" si="129"/>
        <v>0</v>
      </c>
      <c r="DJ149" s="10">
        <f>+Risultati!AW148</f>
        <v>0</v>
      </c>
      <c r="DK149" s="31" t="str">
        <f t="shared" si="130"/>
        <v>0</v>
      </c>
      <c r="DL149" s="10">
        <f t="shared" si="152"/>
        <v>0</v>
      </c>
      <c r="DM149" s="31" t="str">
        <f t="shared" si="131"/>
        <v>0</v>
      </c>
      <c r="DO149" s="30"/>
      <c r="DP149" s="30"/>
    </row>
    <row r="150" spans="1:120" x14ac:dyDescent="0.2">
      <c r="A150" s="5"/>
      <c r="B150" s="6">
        <f>+Risultati!B149</f>
        <v>0</v>
      </c>
      <c r="C150" s="6">
        <f>+Risultati!C149</f>
        <v>0</v>
      </c>
      <c r="D150" s="26" t="str">
        <f>IF(YEAR(Risultati!D149)=1900,(MID(Risultati!$AP$1,29,4)),YEAR(Risultati!D149))</f>
        <v/>
      </c>
      <c r="E150" s="6">
        <f>+Risultati!E149</f>
        <v>0</v>
      </c>
      <c r="F150" s="8" t="e">
        <f>(LEFT(Risultati!AN149,2)&amp;"-")&amp;VLOOKUP((LEFT(Risultati!AN149,2)),ateco!$B$4:$C$93,2,FALSE)</f>
        <v>#N/A</v>
      </c>
      <c r="G150" s="8" t="str">
        <f>SUBSTITUTE((Risultati!AN149&amp;"-"&amp;Risultati!AO149),",",";")</f>
        <v>-</v>
      </c>
      <c r="I150" s="10">
        <f>+Risultati!G149</f>
        <v>0</v>
      </c>
      <c r="J150" s="11" t="str">
        <f t="shared" si="134"/>
        <v>0</v>
      </c>
      <c r="K150" s="12"/>
      <c r="L150" s="10">
        <f>+Risultati!G149+Risultati!H149</f>
        <v>0</v>
      </c>
      <c r="M150" s="11" t="str">
        <f t="shared" si="135"/>
        <v>0</v>
      </c>
      <c r="N150" s="12"/>
      <c r="O150" s="10">
        <f>+Risultati!I149+Risultati!J149</f>
        <v>0</v>
      </c>
      <c r="P150" s="11" t="str">
        <f t="shared" si="136"/>
        <v>0</v>
      </c>
      <c r="Q150" s="12"/>
      <c r="R150" s="13">
        <f t="shared" si="102"/>
        <v>0</v>
      </c>
      <c r="S150" s="11" t="str">
        <f t="shared" si="137"/>
        <v>0</v>
      </c>
      <c r="T150" s="12"/>
      <c r="U150" s="10">
        <f>+Risultati!F149-(Risultati!G149+Risultati!H149)</f>
        <v>0</v>
      </c>
      <c r="V150" s="12" t="str">
        <f t="shared" si="138"/>
        <v>0</v>
      </c>
      <c r="W150" s="12"/>
      <c r="X150" s="10">
        <f t="shared" si="103"/>
        <v>0</v>
      </c>
      <c r="Y150" s="12" t="str">
        <f t="shared" si="139"/>
        <v>0</v>
      </c>
      <c r="Z150" s="12"/>
      <c r="AA150" s="10">
        <f>+Risultati!K149</f>
        <v>0</v>
      </c>
      <c r="AB150" s="12" t="str">
        <f t="shared" si="140"/>
        <v>0</v>
      </c>
      <c r="AC150" s="12"/>
      <c r="AD150" s="10">
        <f>+Risultati!L149</f>
        <v>0</v>
      </c>
      <c r="AE150" s="12" t="str">
        <f t="shared" si="141"/>
        <v>0</v>
      </c>
      <c r="AF150" s="12"/>
      <c r="AG150" s="10">
        <f>+Risultati!M149+Risultati!P149+Risultati!Q149</f>
        <v>0</v>
      </c>
      <c r="AH150" s="12" t="str">
        <f t="shared" si="142"/>
        <v>0</v>
      </c>
      <c r="AI150" s="12"/>
      <c r="AJ150" s="13">
        <f t="shared" si="104"/>
        <v>0</v>
      </c>
      <c r="AK150" s="11" t="str">
        <f t="shared" si="143"/>
        <v>0</v>
      </c>
      <c r="AL150" s="12"/>
      <c r="AM150" s="10">
        <f>+Risultati!N149</f>
        <v>0</v>
      </c>
      <c r="AN150" s="12" t="str">
        <f t="shared" si="144"/>
        <v>0</v>
      </c>
      <c r="AO150" s="12"/>
      <c r="AP150" s="10">
        <f t="shared" si="105"/>
        <v>0</v>
      </c>
      <c r="AQ150" s="41" t="str">
        <f t="shared" si="145"/>
        <v>0</v>
      </c>
      <c r="AR150" s="12"/>
      <c r="AS150" s="10">
        <f>+Risultati!O149</f>
        <v>0</v>
      </c>
      <c r="AT150" s="12" t="str">
        <f t="shared" si="146"/>
        <v>0</v>
      </c>
      <c r="AU150" s="12"/>
      <c r="AV150" s="10">
        <f t="shared" si="106"/>
        <v>0</v>
      </c>
      <c r="AW150" s="12" t="str">
        <f t="shared" si="147"/>
        <v>0</v>
      </c>
      <c r="AX150" s="12"/>
      <c r="AY150" s="10">
        <f>+Risultati!R149+Risultati!S149</f>
        <v>0</v>
      </c>
      <c r="AZ150" s="12" t="str">
        <f t="shared" si="148"/>
        <v>0</v>
      </c>
      <c r="BA150" s="12"/>
      <c r="BB150" s="10">
        <f>+Risultati!T149</f>
        <v>0</v>
      </c>
      <c r="BC150" s="12" t="str">
        <f t="shared" si="149"/>
        <v>0</v>
      </c>
      <c r="BD150" s="12"/>
      <c r="BE150" s="10">
        <f>+Risultati!U149</f>
        <v>0</v>
      </c>
      <c r="BF150" s="12" t="str">
        <f t="shared" si="150"/>
        <v>0</v>
      </c>
      <c r="BG150" s="12"/>
      <c r="BH150" s="10">
        <f t="shared" si="107"/>
        <v>0</v>
      </c>
      <c r="BI150" s="12" t="str">
        <f t="shared" si="151"/>
        <v>0</v>
      </c>
      <c r="BK150" s="16">
        <f>IF(ISNUMBER(Risultati!X149/100),(Risultati!X149/100))</f>
        <v>0</v>
      </c>
      <c r="BL150" s="16">
        <f>IF(ISNUMBER(Risultati!Y149/100),(Risultati!Y149/100))</f>
        <v>0</v>
      </c>
      <c r="BM150" s="16">
        <f>IF(ISNUMBER(Risultati!Z149/100),(Risultati!Z149/100))</f>
        <v>0</v>
      </c>
      <c r="BN150" s="16">
        <f>IF(AND(Risultati!AY149&lt;0,calcoli!AP150&lt;0),-IF(ISNUMBER(Risultati!AA149/100),(Risultati!AA149/100)),IF(ISNUMBER(Risultati!AA149/100),(Risultati!AA149/100)))</f>
        <v>0</v>
      </c>
      <c r="BO150" s="16" t="str">
        <f t="shared" si="132"/>
        <v>0</v>
      </c>
      <c r="BP150" s="16" t="str">
        <f>IF(Risultati!AB149&gt;0,(AV150/Risultati!AB149),"0")</f>
        <v>0</v>
      </c>
      <c r="BQ150" s="16" t="str">
        <f>IF(Risultati!AG149&lt;&gt;0,(BH150/Risultati!AG149),"0")</f>
        <v>0</v>
      </c>
      <c r="BR150" s="16" t="str">
        <f t="shared" si="133"/>
        <v>0</v>
      </c>
      <c r="BS150" s="14" t="str">
        <f>IF(Risultati!AB149&gt;0,(Risultati!G149/Risultati!AB149),"0")</f>
        <v>0</v>
      </c>
      <c r="BT150" s="15" t="str">
        <f>IF(Risultati!AG149&lt;&gt;0,(Risultati!AB149/Risultati!AG149),"0")</f>
        <v>0</v>
      </c>
      <c r="BU150" s="23" t="str">
        <f>IF(AND(Risultati!G149&gt;0,(Risultati!AE149-Risultati!AF149)&gt;=0),((Risultati!AE149-Risultati!AF149)/Risultati!G149*360),"0")</f>
        <v>0</v>
      </c>
      <c r="BV150" s="21" t="str">
        <f>IF(OR(E150="abbreviato",Risultati!G149=0),"0",((Risultati!AC149+Risultati!AD149)/Risultati!G149*360))</f>
        <v>0</v>
      </c>
      <c r="BW150" s="21" t="str">
        <f>IF(OR(E150="abbreviato",Risultati!G149=0,SUM(Risultati!I149+Risultati!K149+Risultati!M149)=0),"0",(((Risultati!AH149+Risultati!AI149)/(Risultati!I149+Risultati!K149+Risultati!N149)*360)))</f>
        <v>0</v>
      </c>
      <c r="BX150" s="16" t="str">
        <f>IF(Risultati!AB149&gt;0,(+Risultati!AG149/Risultati!AB149),"0")</f>
        <v>0</v>
      </c>
      <c r="BY150" s="22" t="str">
        <f>IF(OR(E150="abbreviato",Risultati!G149=0),"0",(((Risultati!AK149-(Risultati!AL149+Risultati!AM149))/Risultati!G149)))</f>
        <v>0</v>
      </c>
      <c r="BZ150" s="16" t="str">
        <f>IF(Risultati!G149&gt;0,(Risultati!AJ149/Risultati!G149),"0")</f>
        <v>0</v>
      </c>
      <c r="CA150" s="8"/>
      <c r="CB150" s="10">
        <f>+Risultati!AP149</f>
        <v>0</v>
      </c>
      <c r="CC150" s="31" t="str">
        <f t="shared" si="108"/>
        <v>0</v>
      </c>
      <c r="CD150" s="10">
        <f>+Risultati!AQ149</f>
        <v>0</v>
      </c>
      <c r="CE150" s="31" t="str">
        <f t="shared" si="109"/>
        <v>0</v>
      </c>
      <c r="CF150" s="10">
        <f>+Risultati!AR149</f>
        <v>0</v>
      </c>
      <c r="CG150" s="31" t="str">
        <f t="shared" si="110"/>
        <v>0</v>
      </c>
      <c r="CH150" s="10">
        <f>+Risultati!AS149</f>
        <v>0</v>
      </c>
      <c r="CI150" s="31" t="str">
        <f t="shared" si="111"/>
        <v>0</v>
      </c>
      <c r="CJ150" s="10">
        <f t="shared" si="112"/>
        <v>0</v>
      </c>
      <c r="CK150" s="31" t="str">
        <f t="shared" si="113"/>
        <v>0</v>
      </c>
      <c r="CL150" s="10">
        <f>+Risultati!AE149+Risultati!AF149</f>
        <v>0</v>
      </c>
      <c r="CM150" s="31" t="str">
        <f t="shared" si="114"/>
        <v>0</v>
      </c>
      <c r="CN150" s="10">
        <f>+Risultati!AT149</f>
        <v>0</v>
      </c>
      <c r="CO150" s="31" t="str">
        <f t="shared" si="115"/>
        <v>0</v>
      </c>
      <c r="CP150" s="10">
        <f>+Risultati!AU149</f>
        <v>0</v>
      </c>
      <c r="CQ150" s="31" t="str">
        <f t="shared" si="116"/>
        <v>0</v>
      </c>
      <c r="CR150" s="10">
        <f>+Risultati!AL149</f>
        <v>0</v>
      </c>
      <c r="CS150" s="31" t="str">
        <f t="shared" si="117"/>
        <v>0</v>
      </c>
      <c r="CT150" s="10">
        <f t="shared" si="118"/>
        <v>0</v>
      </c>
      <c r="CU150" s="31" t="str">
        <f t="shared" si="119"/>
        <v>0</v>
      </c>
      <c r="CV150" s="10">
        <f>+Risultati!AX149</f>
        <v>0</v>
      </c>
      <c r="CW150" s="31" t="str">
        <f t="shared" si="120"/>
        <v>0</v>
      </c>
      <c r="CX150" s="10">
        <f t="shared" si="121"/>
        <v>0</v>
      </c>
      <c r="CY150" s="31" t="str">
        <f t="shared" si="122"/>
        <v>0</v>
      </c>
      <c r="CZ150" s="10">
        <f>+Risultati!AG149</f>
        <v>0</v>
      </c>
      <c r="DA150" s="31" t="str">
        <f t="shared" si="123"/>
        <v>0</v>
      </c>
      <c r="DB150" s="10">
        <f t="shared" si="124"/>
        <v>0</v>
      </c>
      <c r="DC150" s="31" t="str">
        <f t="shared" si="125"/>
        <v>0</v>
      </c>
      <c r="DD150" s="10">
        <f>+Risultati!AV149</f>
        <v>0</v>
      </c>
      <c r="DE150" s="31" t="str">
        <f t="shared" si="126"/>
        <v>0</v>
      </c>
      <c r="DF150" s="10">
        <f>+Risultati!AJ149</f>
        <v>0</v>
      </c>
      <c r="DG150" s="31" t="str">
        <f t="shared" si="127"/>
        <v>0</v>
      </c>
      <c r="DH150" s="10">
        <f t="shared" si="128"/>
        <v>0</v>
      </c>
      <c r="DI150" s="31" t="str">
        <f t="shared" si="129"/>
        <v>0</v>
      </c>
      <c r="DJ150" s="10">
        <f>+Risultati!AW149</f>
        <v>0</v>
      </c>
      <c r="DK150" s="31" t="str">
        <f t="shared" si="130"/>
        <v>0</v>
      </c>
      <c r="DL150" s="10">
        <f t="shared" si="152"/>
        <v>0</v>
      </c>
      <c r="DM150" s="31" t="str">
        <f t="shared" si="131"/>
        <v>0</v>
      </c>
      <c r="DO150" s="30"/>
      <c r="DP150" s="30"/>
    </row>
    <row r="151" spans="1:120" x14ac:dyDescent="0.2">
      <c r="A151" s="5"/>
      <c r="B151" s="6">
        <f>+Risultati!B150</f>
        <v>0</v>
      </c>
      <c r="C151" s="6">
        <f>+Risultati!C150</f>
        <v>0</v>
      </c>
      <c r="D151" s="26" t="str">
        <f>IF(YEAR(Risultati!D150)=1900,(MID(Risultati!$AP$1,29,4)),YEAR(Risultati!D150))</f>
        <v/>
      </c>
      <c r="E151" s="6">
        <f>+Risultati!E150</f>
        <v>0</v>
      </c>
      <c r="F151" s="8" t="e">
        <f>(LEFT(Risultati!AN150,2)&amp;"-")&amp;VLOOKUP((LEFT(Risultati!AN150,2)),ateco!$B$4:$C$93,2,FALSE)</f>
        <v>#N/A</v>
      </c>
      <c r="G151" s="8" t="str">
        <f>SUBSTITUTE((Risultati!AN150&amp;"-"&amp;Risultati!AO150),",",";")</f>
        <v>-</v>
      </c>
      <c r="I151" s="10">
        <f>+Risultati!G150</f>
        <v>0</v>
      </c>
      <c r="J151" s="11" t="str">
        <f t="shared" si="134"/>
        <v>0</v>
      </c>
      <c r="K151" s="12"/>
      <c r="L151" s="10">
        <f>+Risultati!G150+Risultati!H150</f>
        <v>0</v>
      </c>
      <c r="M151" s="11" t="str">
        <f t="shared" si="135"/>
        <v>0</v>
      </c>
      <c r="N151" s="12"/>
      <c r="O151" s="10">
        <f>+Risultati!I150+Risultati!J150</f>
        <v>0</v>
      </c>
      <c r="P151" s="11" t="str">
        <f t="shared" si="136"/>
        <v>0</v>
      </c>
      <c r="Q151" s="12"/>
      <c r="R151" s="13">
        <f t="shared" si="102"/>
        <v>0</v>
      </c>
      <c r="S151" s="11" t="str">
        <f t="shared" si="137"/>
        <v>0</v>
      </c>
      <c r="T151" s="12"/>
      <c r="U151" s="10">
        <f>+Risultati!F150-(Risultati!G150+Risultati!H150)</f>
        <v>0</v>
      </c>
      <c r="V151" s="12" t="str">
        <f t="shared" si="138"/>
        <v>0</v>
      </c>
      <c r="W151" s="12"/>
      <c r="X151" s="10">
        <f t="shared" si="103"/>
        <v>0</v>
      </c>
      <c r="Y151" s="12" t="str">
        <f t="shared" si="139"/>
        <v>0</v>
      </c>
      <c r="Z151" s="12"/>
      <c r="AA151" s="10">
        <f>+Risultati!K150</f>
        <v>0</v>
      </c>
      <c r="AB151" s="12" t="str">
        <f t="shared" si="140"/>
        <v>0</v>
      </c>
      <c r="AC151" s="12"/>
      <c r="AD151" s="10">
        <f>+Risultati!L150</f>
        <v>0</v>
      </c>
      <c r="AE151" s="12" t="str">
        <f t="shared" si="141"/>
        <v>0</v>
      </c>
      <c r="AF151" s="12"/>
      <c r="AG151" s="10">
        <f>+Risultati!M150+Risultati!P150+Risultati!Q150</f>
        <v>0</v>
      </c>
      <c r="AH151" s="12" t="str">
        <f t="shared" si="142"/>
        <v>0</v>
      </c>
      <c r="AI151" s="12"/>
      <c r="AJ151" s="13">
        <f t="shared" si="104"/>
        <v>0</v>
      </c>
      <c r="AK151" s="11" t="str">
        <f t="shared" si="143"/>
        <v>0</v>
      </c>
      <c r="AL151" s="12"/>
      <c r="AM151" s="10">
        <f>+Risultati!N150</f>
        <v>0</v>
      </c>
      <c r="AN151" s="12" t="str">
        <f t="shared" si="144"/>
        <v>0</v>
      </c>
      <c r="AO151" s="12"/>
      <c r="AP151" s="10">
        <f t="shared" si="105"/>
        <v>0</v>
      </c>
      <c r="AQ151" s="41" t="str">
        <f t="shared" si="145"/>
        <v>0</v>
      </c>
      <c r="AR151" s="12"/>
      <c r="AS151" s="10">
        <f>+Risultati!O150</f>
        <v>0</v>
      </c>
      <c r="AT151" s="12" t="str">
        <f t="shared" si="146"/>
        <v>0</v>
      </c>
      <c r="AU151" s="12"/>
      <c r="AV151" s="10">
        <f t="shared" si="106"/>
        <v>0</v>
      </c>
      <c r="AW151" s="12" t="str">
        <f t="shared" si="147"/>
        <v>0</v>
      </c>
      <c r="AX151" s="12"/>
      <c r="AY151" s="10">
        <f>+Risultati!R150+Risultati!S150</f>
        <v>0</v>
      </c>
      <c r="AZ151" s="12" t="str">
        <f t="shared" si="148"/>
        <v>0</v>
      </c>
      <c r="BA151" s="12"/>
      <c r="BB151" s="10">
        <f>+Risultati!T150</f>
        <v>0</v>
      </c>
      <c r="BC151" s="12" t="str">
        <f t="shared" si="149"/>
        <v>0</v>
      </c>
      <c r="BD151" s="12"/>
      <c r="BE151" s="10">
        <f>+Risultati!U150</f>
        <v>0</v>
      </c>
      <c r="BF151" s="12" t="str">
        <f t="shared" si="150"/>
        <v>0</v>
      </c>
      <c r="BG151" s="12"/>
      <c r="BH151" s="10">
        <f t="shared" si="107"/>
        <v>0</v>
      </c>
      <c r="BI151" s="12" t="str">
        <f t="shared" si="151"/>
        <v>0</v>
      </c>
      <c r="BK151" s="16">
        <f>IF(ISNUMBER(Risultati!X150/100),(Risultati!X150/100))</f>
        <v>0</v>
      </c>
      <c r="BL151" s="16">
        <f>IF(ISNUMBER(Risultati!Y150/100),(Risultati!Y150/100))</f>
        <v>0</v>
      </c>
      <c r="BM151" s="16">
        <f>IF(ISNUMBER(Risultati!Z150/100),(Risultati!Z150/100))</f>
        <v>0</v>
      </c>
      <c r="BN151" s="16">
        <f>IF(AND(Risultati!AY150&lt;0,calcoli!AP151&lt;0),-IF(ISNUMBER(Risultati!AA150/100),(Risultati!AA150/100)),IF(ISNUMBER(Risultati!AA150/100),(Risultati!AA150/100)))</f>
        <v>0</v>
      </c>
      <c r="BO151" s="16" t="str">
        <f t="shared" si="132"/>
        <v>0</v>
      </c>
      <c r="BP151" s="16" t="str">
        <f>IF(Risultati!AB150&gt;0,(AV151/Risultati!AB150),"0")</f>
        <v>0</v>
      </c>
      <c r="BQ151" s="16" t="str">
        <f>IF(Risultati!AG150&lt;&gt;0,(BH151/Risultati!AG150),"0")</f>
        <v>0</v>
      </c>
      <c r="BR151" s="16" t="str">
        <f t="shared" si="133"/>
        <v>0</v>
      </c>
      <c r="BS151" s="14" t="str">
        <f>IF(Risultati!AB150&gt;0,(Risultati!G150/Risultati!AB150),"0")</f>
        <v>0</v>
      </c>
      <c r="BT151" s="15" t="str">
        <f>IF(Risultati!AG150&lt;&gt;0,(Risultati!AB150/Risultati!AG150),"0")</f>
        <v>0</v>
      </c>
      <c r="BU151" s="23" t="str">
        <f>IF(AND(Risultati!G150&gt;0,(Risultati!AE150-Risultati!AF150)&gt;=0),((Risultati!AE150-Risultati!AF150)/Risultati!G150*360),"0")</f>
        <v>0</v>
      </c>
      <c r="BV151" s="21" t="str">
        <f>IF(OR(E151="abbreviato",Risultati!G150=0),"0",((Risultati!AC150+Risultati!AD150)/Risultati!G150*360))</f>
        <v>0</v>
      </c>
      <c r="BW151" s="21" t="str">
        <f>IF(OR(E151="abbreviato",Risultati!G150=0,SUM(Risultati!I150+Risultati!K150+Risultati!M150)=0),"0",(((Risultati!AH150+Risultati!AI150)/(Risultati!I150+Risultati!K150+Risultati!N150)*360)))</f>
        <v>0</v>
      </c>
      <c r="BX151" s="16" t="str">
        <f>IF(Risultati!AB150&gt;0,(+Risultati!AG150/Risultati!AB150),"0")</f>
        <v>0</v>
      </c>
      <c r="BY151" s="22" t="str">
        <f>IF(OR(E151="abbreviato",Risultati!G150=0),"0",(((Risultati!AK150-(Risultati!AL150+Risultati!AM150))/Risultati!G150)))</f>
        <v>0</v>
      </c>
      <c r="BZ151" s="16" t="str">
        <f>IF(Risultati!G150&gt;0,(Risultati!AJ150/Risultati!G150),"0")</f>
        <v>0</v>
      </c>
      <c r="CA151" s="8"/>
      <c r="CB151" s="10">
        <f>+Risultati!AP150</f>
        <v>0</v>
      </c>
      <c r="CC151" s="31" t="str">
        <f t="shared" si="108"/>
        <v>0</v>
      </c>
      <c r="CD151" s="10">
        <f>+Risultati!AQ150</f>
        <v>0</v>
      </c>
      <c r="CE151" s="31" t="str">
        <f t="shared" si="109"/>
        <v>0</v>
      </c>
      <c r="CF151" s="10">
        <f>+Risultati!AR150</f>
        <v>0</v>
      </c>
      <c r="CG151" s="31" t="str">
        <f t="shared" si="110"/>
        <v>0</v>
      </c>
      <c r="CH151" s="10">
        <f>+Risultati!AS150</f>
        <v>0</v>
      </c>
      <c r="CI151" s="31" t="str">
        <f t="shared" si="111"/>
        <v>0</v>
      </c>
      <c r="CJ151" s="10">
        <f t="shared" si="112"/>
        <v>0</v>
      </c>
      <c r="CK151" s="31" t="str">
        <f t="shared" si="113"/>
        <v>0</v>
      </c>
      <c r="CL151" s="10">
        <f>+Risultati!AE150+Risultati!AF150</f>
        <v>0</v>
      </c>
      <c r="CM151" s="31" t="str">
        <f t="shared" si="114"/>
        <v>0</v>
      </c>
      <c r="CN151" s="10">
        <f>+Risultati!AT150</f>
        <v>0</v>
      </c>
      <c r="CO151" s="31" t="str">
        <f t="shared" si="115"/>
        <v>0</v>
      </c>
      <c r="CP151" s="10">
        <f>+Risultati!AU150</f>
        <v>0</v>
      </c>
      <c r="CQ151" s="31" t="str">
        <f t="shared" si="116"/>
        <v>0</v>
      </c>
      <c r="CR151" s="10">
        <f>+Risultati!AL150</f>
        <v>0</v>
      </c>
      <c r="CS151" s="31" t="str">
        <f t="shared" si="117"/>
        <v>0</v>
      </c>
      <c r="CT151" s="10">
        <f t="shared" si="118"/>
        <v>0</v>
      </c>
      <c r="CU151" s="31" t="str">
        <f t="shared" si="119"/>
        <v>0</v>
      </c>
      <c r="CV151" s="10">
        <f>+Risultati!AX150</f>
        <v>0</v>
      </c>
      <c r="CW151" s="31" t="str">
        <f t="shared" si="120"/>
        <v>0</v>
      </c>
      <c r="CX151" s="10">
        <f t="shared" si="121"/>
        <v>0</v>
      </c>
      <c r="CY151" s="31" t="str">
        <f t="shared" si="122"/>
        <v>0</v>
      </c>
      <c r="CZ151" s="10">
        <f>+Risultati!AG150</f>
        <v>0</v>
      </c>
      <c r="DA151" s="31" t="str">
        <f t="shared" si="123"/>
        <v>0</v>
      </c>
      <c r="DB151" s="10">
        <f t="shared" si="124"/>
        <v>0</v>
      </c>
      <c r="DC151" s="31" t="str">
        <f t="shared" si="125"/>
        <v>0</v>
      </c>
      <c r="DD151" s="10">
        <f>+Risultati!AV150</f>
        <v>0</v>
      </c>
      <c r="DE151" s="31" t="str">
        <f t="shared" si="126"/>
        <v>0</v>
      </c>
      <c r="DF151" s="10">
        <f>+Risultati!AJ150</f>
        <v>0</v>
      </c>
      <c r="DG151" s="31" t="str">
        <f t="shared" si="127"/>
        <v>0</v>
      </c>
      <c r="DH151" s="10">
        <f t="shared" si="128"/>
        <v>0</v>
      </c>
      <c r="DI151" s="31" t="str">
        <f t="shared" si="129"/>
        <v>0</v>
      </c>
      <c r="DJ151" s="10">
        <f>+Risultati!AW150</f>
        <v>0</v>
      </c>
      <c r="DK151" s="31" t="str">
        <f t="shared" si="130"/>
        <v>0</v>
      </c>
      <c r="DL151" s="10">
        <f t="shared" si="152"/>
        <v>0</v>
      </c>
      <c r="DM151" s="31" t="str">
        <f t="shared" si="131"/>
        <v>0</v>
      </c>
      <c r="DO151" s="30"/>
      <c r="DP151" s="30"/>
    </row>
    <row r="152" spans="1:120" x14ac:dyDescent="0.2">
      <c r="A152" s="5"/>
      <c r="B152" s="6">
        <f>+Risultati!B151</f>
        <v>0</v>
      </c>
      <c r="C152" s="6">
        <f>+Risultati!C151</f>
        <v>0</v>
      </c>
      <c r="D152" s="26" t="str">
        <f>IF(YEAR(Risultati!D151)=1900,(MID(Risultati!$AP$1,29,4)),YEAR(Risultati!D151))</f>
        <v/>
      </c>
      <c r="E152" s="6">
        <f>+Risultati!E151</f>
        <v>0</v>
      </c>
      <c r="F152" s="8" t="e">
        <f>(LEFT(Risultati!AN151,2)&amp;"-")&amp;VLOOKUP((LEFT(Risultati!AN151,2)),ateco!$B$4:$C$93,2,FALSE)</f>
        <v>#N/A</v>
      </c>
      <c r="G152" s="8" t="str">
        <f>SUBSTITUTE((Risultati!AN151&amp;"-"&amp;Risultati!AO151),",",";")</f>
        <v>-</v>
      </c>
      <c r="I152" s="10">
        <f>+Risultati!G151</f>
        <v>0</v>
      </c>
      <c r="J152" s="11" t="str">
        <f t="shared" si="134"/>
        <v>0</v>
      </c>
      <c r="K152" s="12"/>
      <c r="L152" s="10">
        <f>+Risultati!G151+Risultati!H151</f>
        <v>0</v>
      </c>
      <c r="M152" s="11" t="str">
        <f t="shared" si="135"/>
        <v>0</v>
      </c>
      <c r="N152" s="12"/>
      <c r="O152" s="10">
        <f>+Risultati!I151+Risultati!J151</f>
        <v>0</v>
      </c>
      <c r="P152" s="11" t="str">
        <f t="shared" si="136"/>
        <v>0</v>
      </c>
      <c r="Q152" s="12"/>
      <c r="R152" s="13">
        <f t="shared" si="102"/>
        <v>0</v>
      </c>
      <c r="S152" s="11" t="str">
        <f t="shared" si="137"/>
        <v>0</v>
      </c>
      <c r="T152" s="12"/>
      <c r="U152" s="10">
        <f>+Risultati!F151-(Risultati!G151+Risultati!H151)</f>
        <v>0</v>
      </c>
      <c r="V152" s="12" t="str">
        <f t="shared" si="138"/>
        <v>0</v>
      </c>
      <c r="W152" s="12"/>
      <c r="X152" s="10">
        <f t="shared" si="103"/>
        <v>0</v>
      </c>
      <c r="Y152" s="12" t="str">
        <f t="shared" si="139"/>
        <v>0</v>
      </c>
      <c r="Z152" s="12"/>
      <c r="AA152" s="10">
        <f>+Risultati!K151</f>
        <v>0</v>
      </c>
      <c r="AB152" s="12" t="str">
        <f t="shared" si="140"/>
        <v>0</v>
      </c>
      <c r="AC152" s="12"/>
      <c r="AD152" s="10">
        <f>+Risultati!L151</f>
        <v>0</v>
      </c>
      <c r="AE152" s="12" t="str">
        <f t="shared" si="141"/>
        <v>0</v>
      </c>
      <c r="AF152" s="12"/>
      <c r="AG152" s="10">
        <f>+Risultati!M151+Risultati!P151+Risultati!Q151</f>
        <v>0</v>
      </c>
      <c r="AH152" s="12" t="str">
        <f t="shared" si="142"/>
        <v>0</v>
      </c>
      <c r="AI152" s="12"/>
      <c r="AJ152" s="13">
        <f t="shared" si="104"/>
        <v>0</v>
      </c>
      <c r="AK152" s="11" t="str">
        <f t="shared" si="143"/>
        <v>0</v>
      </c>
      <c r="AL152" s="12"/>
      <c r="AM152" s="10">
        <f>+Risultati!N151</f>
        <v>0</v>
      </c>
      <c r="AN152" s="12" t="str">
        <f t="shared" si="144"/>
        <v>0</v>
      </c>
      <c r="AO152" s="12"/>
      <c r="AP152" s="10">
        <f t="shared" si="105"/>
        <v>0</v>
      </c>
      <c r="AQ152" s="41" t="str">
        <f t="shared" si="145"/>
        <v>0</v>
      </c>
      <c r="AR152" s="12"/>
      <c r="AS152" s="10">
        <f>+Risultati!O151</f>
        <v>0</v>
      </c>
      <c r="AT152" s="12" t="str">
        <f t="shared" si="146"/>
        <v>0</v>
      </c>
      <c r="AU152" s="12"/>
      <c r="AV152" s="10">
        <f t="shared" si="106"/>
        <v>0</v>
      </c>
      <c r="AW152" s="12" t="str">
        <f t="shared" si="147"/>
        <v>0</v>
      </c>
      <c r="AX152" s="12"/>
      <c r="AY152" s="10">
        <f>+Risultati!R151+Risultati!S151</f>
        <v>0</v>
      </c>
      <c r="AZ152" s="12" t="str">
        <f t="shared" si="148"/>
        <v>0</v>
      </c>
      <c r="BA152" s="12"/>
      <c r="BB152" s="10">
        <f>+Risultati!T151</f>
        <v>0</v>
      </c>
      <c r="BC152" s="12" t="str">
        <f t="shared" si="149"/>
        <v>0</v>
      </c>
      <c r="BD152" s="12"/>
      <c r="BE152" s="10">
        <f>+Risultati!U151</f>
        <v>0</v>
      </c>
      <c r="BF152" s="12" t="str">
        <f t="shared" si="150"/>
        <v>0</v>
      </c>
      <c r="BG152" s="12"/>
      <c r="BH152" s="10">
        <f t="shared" si="107"/>
        <v>0</v>
      </c>
      <c r="BI152" s="12" t="str">
        <f t="shared" si="151"/>
        <v>0</v>
      </c>
      <c r="BK152" s="16">
        <f>IF(ISNUMBER(Risultati!X151/100),(Risultati!X151/100))</f>
        <v>0</v>
      </c>
      <c r="BL152" s="16">
        <f>IF(ISNUMBER(Risultati!Y151/100),(Risultati!Y151/100))</f>
        <v>0</v>
      </c>
      <c r="BM152" s="16">
        <f>IF(ISNUMBER(Risultati!Z151/100),(Risultati!Z151/100))</f>
        <v>0</v>
      </c>
      <c r="BN152" s="16">
        <f>IF(AND(Risultati!AY151&lt;0,calcoli!AP152&lt;0),-IF(ISNUMBER(Risultati!AA151/100),(Risultati!AA151/100)),IF(ISNUMBER(Risultati!AA151/100),(Risultati!AA151/100)))</f>
        <v>0</v>
      </c>
      <c r="BO152" s="16" t="str">
        <f t="shared" si="132"/>
        <v>0</v>
      </c>
      <c r="BP152" s="16" t="str">
        <f>IF(Risultati!AB151&gt;0,(AV152/Risultati!AB151),"0")</f>
        <v>0</v>
      </c>
      <c r="BQ152" s="16" t="str">
        <f>IF(Risultati!AG151&lt;&gt;0,(BH152/Risultati!AG151),"0")</f>
        <v>0</v>
      </c>
      <c r="BR152" s="16" t="str">
        <f t="shared" si="133"/>
        <v>0</v>
      </c>
      <c r="BS152" s="14" t="str">
        <f>IF(Risultati!AB151&gt;0,(Risultati!G151/Risultati!AB151),"0")</f>
        <v>0</v>
      </c>
      <c r="BT152" s="15" t="str">
        <f>IF(Risultati!AG151&lt;&gt;0,(Risultati!AB151/Risultati!AG151),"0")</f>
        <v>0</v>
      </c>
      <c r="BU152" s="23" t="str">
        <f>IF(AND(Risultati!G151&gt;0,(Risultati!AE151-Risultati!AF151)&gt;=0),((Risultati!AE151-Risultati!AF151)/Risultati!G151*360),"0")</f>
        <v>0</v>
      </c>
      <c r="BV152" s="21" t="str">
        <f>IF(OR(E152="abbreviato",Risultati!G151=0),"0",((Risultati!AC151+Risultati!AD151)/Risultati!G151*360))</f>
        <v>0</v>
      </c>
      <c r="BW152" s="21" t="str">
        <f>IF(OR(E152="abbreviato",Risultati!G151=0,SUM(Risultati!I151+Risultati!K151+Risultati!M151)=0),"0",(((Risultati!AH151+Risultati!AI151)/(Risultati!I151+Risultati!K151+Risultati!N151)*360)))</f>
        <v>0</v>
      </c>
      <c r="BX152" s="16" t="str">
        <f>IF(Risultati!AB151&gt;0,(+Risultati!AG151/Risultati!AB151),"0")</f>
        <v>0</v>
      </c>
      <c r="BY152" s="22" t="str">
        <f>IF(OR(E152="abbreviato",Risultati!G151=0),"0",(((Risultati!AK151-(Risultati!AL151+Risultati!AM151))/Risultati!G151)))</f>
        <v>0</v>
      </c>
      <c r="BZ152" s="16" t="str">
        <f>IF(Risultati!G151&gt;0,(Risultati!AJ151/Risultati!G151),"0")</f>
        <v>0</v>
      </c>
      <c r="CA152" s="8"/>
      <c r="CB152" s="10">
        <f>+Risultati!AP151</f>
        <v>0</v>
      </c>
      <c r="CC152" s="31" t="str">
        <f t="shared" si="108"/>
        <v>0</v>
      </c>
      <c r="CD152" s="10">
        <f>+Risultati!AQ151</f>
        <v>0</v>
      </c>
      <c r="CE152" s="31" t="str">
        <f t="shared" si="109"/>
        <v>0</v>
      </c>
      <c r="CF152" s="10">
        <f>+Risultati!AR151</f>
        <v>0</v>
      </c>
      <c r="CG152" s="31" t="str">
        <f t="shared" si="110"/>
        <v>0</v>
      </c>
      <c r="CH152" s="10">
        <f>+Risultati!AS151</f>
        <v>0</v>
      </c>
      <c r="CI152" s="31" t="str">
        <f t="shared" si="111"/>
        <v>0</v>
      </c>
      <c r="CJ152" s="10">
        <f t="shared" si="112"/>
        <v>0</v>
      </c>
      <c r="CK152" s="31" t="str">
        <f t="shared" si="113"/>
        <v>0</v>
      </c>
      <c r="CL152" s="10">
        <f>+Risultati!AE151+Risultati!AF151</f>
        <v>0</v>
      </c>
      <c r="CM152" s="31" t="str">
        <f t="shared" si="114"/>
        <v>0</v>
      </c>
      <c r="CN152" s="10">
        <f>+Risultati!AT151</f>
        <v>0</v>
      </c>
      <c r="CO152" s="31" t="str">
        <f t="shared" si="115"/>
        <v>0</v>
      </c>
      <c r="CP152" s="10">
        <f>+Risultati!AU151</f>
        <v>0</v>
      </c>
      <c r="CQ152" s="31" t="str">
        <f t="shared" si="116"/>
        <v>0</v>
      </c>
      <c r="CR152" s="10">
        <f>+Risultati!AL151</f>
        <v>0</v>
      </c>
      <c r="CS152" s="31" t="str">
        <f t="shared" si="117"/>
        <v>0</v>
      </c>
      <c r="CT152" s="10">
        <f t="shared" si="118"/>
        <v>0</v>
      </c>
      <c r="CU152" s="31" t="str">
        <f t="shared" si="119"/>
        <v>0</v>
      </c>
      <c r="CV152" s="10">
        <f>+Risultati!AX151</f>
        <v>0</v>
      </c>
      <c r="CW152" s="31" t="str">
        <f t="shared" si="120"/>
        <v>0</v>
      </c>
      <c r="CX152" s="10">
        <f t="shared" si="121"/>
        <v>0</v>
      </c>
      <c r="CY152" s="31" t="str">
        <f t="shared" si="122"/>
        <v>0</v>
      </c>
      <c r="CZ152" s="10">
        <f>+Risultati!AG151</f>
        <v>0</v>
      </c>
      <c r="DA152" s="31" t="str">
        <f t="shared" si="123"/>
        <v>0</v>
      </c>
      <c r="DB152" s="10">
        <f t="shared" si="124"/>
        <v>0</v>
      </c>
      <c r="DC152" s="31" t="str">
        <f t="shared" si="125"/>
        <v>0</v>
      </c>
      <c r="DD152" s="10">
        <f>+Risultati!AV151</f>
        <v>0</v>
      </c>
      <c r="DE152" s="31" t="str">
        <f t="shared" si="126"/>
        <v>0</v>
      </c>
      <c r="DF152" s="10">
        <f>+Risultati!AJ151</f>
        <v>0</v>
      </c>
      <c r="DG152" s="31" t="str">
        <f t="shared" si="127"/>
        <v>0</v>
      </c>
      <c r="DH152" s="10">
        <f t="shared" si="128"/>
        <v>0</v>
      </c>
      <c r="DI152" s="31" t="str">
        <f t="shared" si="129"/>
        <v>0</v>
      </c>
      <c r="DJ152" s="10">
        <f>+Risultati!AW151</f>
        <v>0</v>
      </c>
      <c r="DK152" s="31" t="str">
        <f t="shared" si="130"/>
        <v>0</v>
      </c>
      <c r="DL152" s="10">
        <f t="shared" si="152"/>
        <v>0</v>
      </c>
      <c r="DM152" s="31" t="str">
        <f t="shared" si="131"/>
        <v>0</v>
      </c>
      <c r="DO152" s="30"/>
      <c r="DP152" s="30"/>
    </row>
    <row r="153" spans="1:120" x14ac:dyDescent="0.2">
      <c r="A153" s="5"/>
      <c r="B153" s="6">
        <f>+Risultati!B152</f>
        <v>0</v>
      </c>
      <c r="C153" s="6">
        <f>+Risultati!C152</f>
        <v>0</v>
      </c>
      <c r="D153" s="26" t="str">
        <f>IF(YEAR(Risultati!D152)=1900,(MID(Risultati!$AP$1,29,4)),YEAR(Risultati!D152))</f>
        <v/>
      </c>
      <c r="E153" s="6">
        <f>+Risultati!E152</f>
        <v>0</v>
      </c>
      <c r="F153" s="8" t="e">
        <f>(LEFT(Risultati!AN152,2)&amp;"-")&amp;VLOOKUP((LEFT(Risultati!AN152,2)),ateco!$B$4:$C$93,2,FALSE)</f>
        <v>#N/A</v>
      </c>
      <c r="G153" s="8" t="str">
        <f>SUBSTITUTE((Risultati!AN152&amp;"-"&amp;Risultati!AO152),",",";")</f>
        <v>-</v>
      </c>
      <c r="I153" s="10">
        <f>+Risultati!G152</f>
        <v>0</v>
      </c>
      <c r="J153" s="11" t="str">
        <f t="shared" si="134"/>
        <v>0</v>
      </c>
      <c r="K153" s="12"/>
      <c r="L153" s="10">
        <f>+Risultati!G152+Risultati!H152</f>
        <v>0</v>
      </c>
      <c r="M153" s="11" t="str">
        <f t="shared" si="135"/>
        <v>0</v>
      </c>
      <c r="N153" s="12"/>
      <c r="O153" s="10">
        <f>+Risultati!I152+Risultati!J152</f>
        <v>0</v>
      </c>
      <c r="P153" s="11" t="str">
        <f t="shared" si="136"/>
        <v>0</v>
      </c>
      <c r="Q153" s="12"/>
      <c r="R153" s="13">
        <f t="shared" si="102"/>
        <v>0</v>
      </c>
      <c r="S153" s="11" t="str">
        <f t="shared" si="137"/>
        <v>0</v>
      </c>
      <c r="T153" s="12"/>
      <c r="U153" s="10">
        <f>+Risultati!F152-(Risultati!G152+Risultati!H152)</f>
        <v>0</v>
      </c>
      <c r="V153" s="12" t="str">
        <f t="shared" si="138"/>
        <v>0</v>
      </c>
      <c r="W153" s="12"/>
      <c r="X153" s="10">
        <f t="shared" si="103"/>
        <v>0</v>
      </c>
      <c r="Y153" s="12" t="str">
        <f t="shared" si="139"/>
        <v>0</v>
      </c>
      <c r="Z153" s="12"/>
      <c r="AA153" s="10">
        <f>+Risultati!K152</f>
        <v>0</v>
      </c>
      <c r="AB153" s="12" t="str">
        <f t="shared" si="140"/>
        <v>0</v>
      </c>
      <c r="AC153" s="12"/>
      <c r="AD153" s="10">
        <f>+Risultati!L152</f>
        <v>0</v>
      </c>
      <c r="AE153" s="12" t="str">
        <f t="shared" si="141"/>
        <v>0</v>
      </c>
      <c r="AF153" s="12"/>
      <c r="AG153" s="10">
        <f>+Risultati!M152+Risultati!P152+Risultati!Q152</f>
        <v>0</v>
      </c>
      <c r="AH153" s="12" t="str">
        <f t="shared" si="142"/>
        <v>0</v>
      </c>
      <c r="AI153" s="12"/>
      <c r="AJ153" s="13">
        <f t="shared" si="104"/>
        <v>0</v>
      </c>
      <c r="AK153" s="11" t="str">
        <f t="shared" si="143"/>
        <v>0</v>
      </c>
      <c r="AL153" s="12"/>
      <c r="AM153" s="10">
        <f>+Risultati!N152</f>
        <v>0</v>
      </c>
      <c r="AN153" s="12" t="str">
        <f t="shared" si="144"/>
        <v>0</v>
      </c>
      <c r="AO153" s="12"/>
      <c r="AP153" s="10">
        <f t="shared" si="105"/>
        <v>0</v>
      </c>
      <c r="AQ153" s="41" t="str">
        <f t="shared" si="145"/>
        <v>0</v>
      </c>
      <c r="AR153" s="12"/>
      <c r="AS153" s="10">
        <f>+Risultati!O152</f>
        <v>0</v>
      </c>
      <c r="AT153" s="12" t="str">
        <f t="shared" si="146"/>
        <v>0</v>
      </c>
      <c r="AU153" s="12"/>
      <c r="AV153" s="10">
        <f t="shared" si="106"/>
        <v>0</v>
      </c>
      <c r="AW153" s="12" t="str">
        <f t="shared" si="147"/>
        <v>0</v>
      </c>
      <c r="AX153" s="12"/>
      <c r="AY153" s="10">
        <f>+Risultati!R152+Risultati!S152</f>
        <v>0</v>
      </c>
      <c r="AZ153" s="12" t="str">
        <f t="shared" si="148"/>
        <v>0</v>
      </c>
      <c r="BA153" s="12"/>
      <c r="BB153" s="10">
        <f>+Risultati!T152</f>
        <v>0</v>
      </c>
      <c r="BC153" s="12" t="str">
        <f t="shared" si="149"/>
        <v>0</v>
      </c>
      <c r="BD153" s="12"/>
      <c r="BE153" s="10">
        <f>+Risultati!U152</f>
        <v>0</v>
      </c>
      <c r="BF153" s="12" t="str">
        <f t="shared" si="150"/>
        <v>0</v>
      </c>
      <c r="BG153" s="12"/>
      <c r="BH153" s="10">
        <f t="shared" si="107"/>
        <v>0</v>
      </c>
      <c r="BI153" s="12" t="str">
        <f t="shared" si="151"/>
        <v>0</v>
      </c>
      <c r="BK153" s="16">
        <f>IF(ISNUMBER(Risultati!X152/100),(Risultati!X152/100))</f>
        <v>0</v>
      </c>
      <c r="BL153" s="16">
        <f>IF(ISNUMBER(Risultati!Y152/100),(Risultati!Y152/100))</f>
        <v>0</v>
      </c>
      <c r="BM153" s="16">
        <f>IF(ISNUMBER(Risultati!Z152/100),(Risultati!Z152/100))</f>
        <v>0</v>
      </c>
      <c r="BN153" s="16">
        <f>IF(AND(Risultati!AY152&lt;0,calcoli!AP153&lt;0),-IF(ISNUMBER(Risultati!AA152/100),(Risultati!AA152/100)),IF(ISNUMBER(Risultati!AA152/100),(Risultati!AA152/100)))</f>
        <v>0</v>
      </c>
      <c r="BO153" s="16" t="str">
        <f t="shared" si="132"/>
        <v>0</v>
      </c>
      <c r="BP153" s="16" t="str">
        <f>IF(Risultati!AB152&gt;0,(AV153/Risultati!AB152),"0")</f>
        <v>0</v>
      </c>
      <c r="BQ153" s="16" t="str">
        <f>IF(Risultati!AG152&lt;&gt;0,(BH153/Risultati!AG152),"0")</f>
        <v>0</v>
      </c>
      <c r="BR153" s="16" t="str">
        <f t="shared" si="133"/>
        <v>0</v>
      </c>
      <c r="BS153" s="14" t="str">
        <f>IF(Risultati!AB152&gt;0,(Risultati!G152/Risultati!AB152),"0")</f>
        <v>0</v>
      </c>
      <c r="BT153" s="15" t="str">
        <f>IF(Risultati!AG152&lt;&gt;0,(Risultati!AB152/Risultati!AG152),"0")</f>
        <v>0</v>
      </c>
      <c r="BU153" s="23" t="str">
        <f>IF(AND(Risultati!G152&gt;0,(Risultati!AE152-Risultati!AF152)&gt;=0),((Risultati!AE152-Risultati!AF152)/Risultati!G152*360),"0")</f>
        <v>0</v>
      </c>
      <c r="BV153" s="21" t="str">
        <f>IF(OR(E153="abbreviato",Risultati!G152=0),"0",((Risultati!AC152+Risultati!AD152)/Risultati!G152*360))</f>
        <v>0</v>
      </c>
      <c r="BW153" s="21" t="str">
        <f>IF(OR(E153="abbreviato",Risultati!G152=0,SUM(Risultati!I152+Risultati!K152+Risultati!M152)=0),"0",(((Risultati!AH152+Risultati!AI152)/(Risultati!I152+Risultati!K152+Risultati!N152)*360)))</f>
        <v>0</v>
      </c>
      <c r="BX153" s="16" t="str">
        <f>IF(Risultati!AB152&gt;0,(+Risultati!AG152/Risultati!AB152),"0")</f>
        <v>0</v>
      </c>
      <c r="BY153" s="22" t="str">
        <f>IF(OR(E153="abbreviato",Risultati!G152=0),"0",(((Risultati!AK152-(Risultati!AL152+Risultati!AM152))/Risultati!G152)))</f>
        <v>0</v>
      </c>
      <c r="BZ153" s="16" t="str">
        <f>IF(Risultati!G152&gt;0,(Risultati!AJ152/Risultati!G152),"0")</f>
        <v>0</v>
      </c>
      <c r="CA153" s="8"/>
      <c r="CB153" s="10">
        <f>+Risultati!AP152</f>
        <v>0</v>
      </c>
      <c r="CC153" s="31" t="str">
        <f t="shared" si="108"/>
        <v>0</v>
      </c>
      <c r="CD153" s="10">
        <f>+Risultati!AQ152</f>
        <v>0</v>
      </c>
      <c r="CE153" s="31" t="str">
        <f t="shared" si="109"/>
        <v>0</v>
      </c>
      <c r="CF153" s="10">
        <f>+Risultati!AR152</f>
        <v>0</v>
      </c>
      <c r="CG153" s="31" t="str">
        <f t="shared" si="110"/>
        <v>0</v>
      </c>
      <c r="CH153" s="10">
        <f>+Risultati!AS152</f>
        <v>0</v>
      </c>
      <c r="CI153" s="31" t="str">
        <f t="shared" si="111"/>
        <v>0</v>
      </c>
      <c r="CJ153" s="10">
        <f t="shared" si="112"/>
        <v>0</v>
      </c>
      <c r="CK153" s="31" t="str">
        <f t="shared" si="113"/>
        <v>0</v>
      </c>
      <c r="CL153" s="10">
        <f>+Risultati!AE152+Risultati!AF152</f>
        <v>0</v>
      </c>
      <c r="CM153" s="31" t="str">
        <f t="shared" si="114"/>
        <v>0</v>
      </c>
      <c r="CN153" s="10">
        <f>+Risultati!AT152</f>
        <v>0</v>
      </c>
      <c r="CO153" s="31" t="str">
        <f t="shared" si="115"/>
        <v>0</v>
      </c>
      <c r="CP153" s="10">
        <f>+Risultati!AU152</f>
        <v>0</v>
      </c>
      <c r="CQ153" s="31" t="str">
        <f t="shared" si="116"/>
        <v>0</v>
      </c>
      <c r="CR153" s="10">
        <f>+Risultati!AL152</f>
        <v>0</v>
      </c>
      <c r="CS153" s="31" t="str">
        <f t="shared" si="117"/>
        <v>0</v>
      </c>
      <c r="CT153" s="10">
        <f t="shared" si="118"/>
        <v>0</v>
      </c>
      <c r="CU153" s="31" t="str">
        <f t="shared" si="119"/>
        <v>0</v>
      </c>
      <c r="CV153" s="10">
        <f>+Risultati!AX152</f>
        <v>0</v>
      </c>
      <c r="CW153" s="31" t="str">
        <f t="shared" si="120"/>
        <v>0</v>
      </c>
      <c r="CX153" s="10">
        <f t="shared" si="121"/>
        <v>0</v>
      </c>
      <c r="CY153" s="31" t="str">
        <f t="shared" si="122"/>
        <v>0</v>
      </c>
      <c r="CZ153" s="10">
        <f>+Risultati!AG152</f>
        <v>0</v>
      </c>
      <c r="DA153" s="31" t="str">
        <f t="shared" si="123"/>
        <v>0</v>
      </c>
      <c r="DB153" s="10">
        <f t="shared" si="124"/>
        <v>0</v>
      </c>
      <c r="DC153" s="31" t="str">
        <f t="shared" si="125"/>
        <v>0</v>
      </c>
      <c r="DD153" s="10">
        <f>+Risultati!AV152</f>
        <v>0</v>
      </c>
      <c r="DE153" s="31" t="str">
        <f t="shared" si="126"/>
        <v>0</v>
      </c>
      <c r="DF153" s="10">
        <f>+Risultati!AJ152</f>
        <v>0</v>
      </c>
      <c r="DG153" s="31" t="str">
        <f t="shared" si="127"/>
        <v>0</v>
      </c>
      <c r="DH153" s="10">
        <f t="shared" si="128"/>
        <v>0</v>
      </c>
      <c r="DI153" s="31" t="str">
        <f t="shared" si="129"/>
        <v>0</v>
      </c>
      <c r="DJ153" s="10">
        <f>+Risultati!AW152</f>
        <v>0</v>
      </c>
      <c r="DK153" s="31" t="str">
        <f t="shared" si="130"/>
        <v>0</v>
      </c>
      <c r="DL153" s="10">
        <f t="shared" si="152"/>
        <v>0</v>
      </c>
      <c r="DM153" s="31" t="str">
        <f t="shared" si="131"/>
        <v>0</v>
      </c>
      <c r="DO153" s="30"/>
      <c r="DP153" s="30"/>
    </row>
    <row r="154" spans="1:120" x14ac:dyDescent="0.2">
      <c r="A154" s="5"/>
      <c r="B154" s="6">
        <f>+Risultati!B153</f>
        <v>0</v>
      </c>
      <c r="C154" s="6">
        <f>+Risultati!C153</f>
        <v>0</v>
      </c>
      <c r="D154" s="26" t="str">
        <f>IF(YEAR(Risultati!D153)=1900,(MID(Risultati!$AP$1,29,4)),YEAR(Risultati!D153))</f>
        <v/>
      </c>
      <c r="E154" s="6">
        <f>+Risultati!E153</f>
        <v>0</v>
      </c>
      <c r="F154" s="8" t="e">
        <f>(LEFT(Risultati!AN153,2)&amp;"-")&amp;VLOOKUP((LEFT(Risultati!AN153,2)),ateco!$B$4:$C$93,2,FALSE)</f>
        <v>#N/A</v>
      </c>
      <c r="G154" s="8" t="str">
        <f>SUBSTITUTE((Risultati!AN153&amp;"-"&amp;Risultati!AO153),",",";")</f>
        <v>-</v>
      </c>
      <c r="I154" s="10">
        <f>+Risultati!G153</f>
        <v>0</v>
      </c>
      <c r="J154" s="11" t="str">
        <f t="shared" si="134"/>
        <v>0</v>
      </c>
      <c r="K154" s="12"/>
      <c r="L154" s="10">
        <f>+Risultati!G153+Risultati!H153</f>
        <v>0</v>
      </c>
      <c r="M154" s="11" t="str">
        <f t="shared" si="135"/>
        <v>0</v>
      </c>
      <c r="N154" s="12"/>
      <c r="O154" s="10">
        <f>+Risultati!I153+Risultati!J153</f>
        <v>0</v>
      </c>
      <c r="P154" s="11" t="str">
        <f t="shared" si="136"/>
        <v>0</v>
      </c>
      <c r="Q154" s="12"/>
      <c r="R154" s="13">
        <f t="shared" ref="R154:R217" si="153">+L154-O154</f>
        <v>0</v>
      </c>
      <c r="S154" s="11" t="str">
        <f t="shared" si="137"/>
        <v>0</v>
      </c>
      <c r="T154" s="12"/>
      <c r="U154" s="10">
        <f>+Risultati!F153-(Risultati!G153+Risultati!H153)</f>
        <v>0</v>
      </c>
      <c r="V154" s="12" t="str">
        <f t="shared" si="138"/>
        <v>0</v>
      </c>
      <c r="W154" s="12"/>
      <c r="X154" s="10">
        <f t="shared" ref="X154:X217" si="154">+U154+R154</f>
        <v>0</v>
      </c>
      <c r="Y154" s="12" t="str">
        <f t="shared" si="139"/>
        <v>0</v>
      </c>
      <c r="Z154" s="12"/>
      <c r="AA154" s="10">
        <f>+Risultati!K153</f>
        <v>0</v>
      </c>
      <c r="AB154" s="12" t="str">
        <f t="shared" si="140"/>
        <v>0</v>
      </c>
      <c r="AC154" s="12"/>
      <c r="AD154" s="10">
        <f>+Risultati!L153</f>
        <v>0</v>
      </c>
      <c r="AE154" s="12" t="str">
        <f t="shared" si="141"/>
        <v>0</v>
      </c>
      <c r="AF154" s="12"/>
      <c r="AG154" s="10">
        <f>+Risultati!M153+Risultati!P153+Risultati!Q153</f>
        <v>0</v>
      </c>
      <c r="AH154" s="12" t="str">
        <f t="shared" si="142"/>
        <v>0</v>
      </c>
      <c r="AI154" s="12"/>
      <c r="AJ154" s="13">
        <f t="shared" ref="AJ154:AJ217" si="155">+X154-AA154-AD154-AG154</f>
        <v>0</v>
      </c>
      <c r="AK154" s="11" t="str">
        <f t="shared" si="143"/>
        <v>0</v>
      </c>
      <c r="AL154" s="12"/>
      <c r="AM154" s="10">
        <f>+Risultati!N153</f>
        <v>0</v>
      </c>
      <c r="AN154" s="12" t="str">
        <f t="shared" si="144"/>
        <v>0</v>
      </c>
      <c r="AO154" s="12"/>
      <c r="AP154" s="10">
        <f t="shared" ref="AP154:AP217" si="156">+AJ154-AM154</f>
        <v>0</v>
      </c>
      <c r="AQ154" s="41" t="str">
        <f t="shared" si="145"/>
        <v>0</v>
      </c>
      <c r="AR154" s="12"/>
      <c r="AS154" s="10">
        <f>+Risultati!O153</f>
        <v>0</v>
      </c>
      <c r="AT154" s="12" t="str">
        <f t="shared" si="146"/>
        <v>0</v>
      </c>
      <c r="AU154" s="12"/>
      <c r="AV154" s="10">
        <f t="shared" ref="AV154:AV217" si="157">+AP154-AS154</f>
        <v>0</v>
      </c>
      <c r="AW154" s="12" t="str">
        <f t="shared" si="147"/>
        <v>0</v>
      </c>
      <c r="AX154" s="12"/>
      <c r="AY154" s="10">
        <f>+Risultati!R153+Risultati!S153</f>
        <v>0</v>
      </c>
      <c r="AZ154" s="12" t="str">
        <f t="shared" si="148"/>
        <v>0</v>
      </c>
      <c r="BA154" s="12"/>
      <c r="BB154" s="10">
        <f>+Risultati!T153</f>
        <v>0</v>
      </c>
      <c r="BC154" s="12" t="str">
        <f t="shared" si="149"/>
        <v>0</v>
      </c>
      <c r="BD154" s="12"/>
      <c r="BE154" s="10">
        <f>+Risultati!U153</f>
        <v>0</v>
      </c>
      <c r="BF154" s="12" t="str">
        <f t="shared" si="150"/>
        <v>0</v>
      </c>
      <c r="BG154" s="12"/>
      <c r="BH154" s="10">
        <f t="shared" ref="BH154:BH217" si="158">+AV154+AY154+BB154-BE154</f>
        <v>0</v>
      </c>
      <c r="BI154" s="12" t="str">
        <f t="shared" si="151"/>
        <v>0</v>
      </c>
      <c r="BK154" s="16">
        <f>IF(ISNUMBER(Risultati!X153/100),(Risultati!X153/100))</f>
        <v>0</v>
      </c>
      <c r="BL154" s="16">
        <f>IF(ISNUMBER(Risultati!Y153/100),(Risultati!Y153/100))</f>
        <v>0</v>
      </c>
      <c r="BM154" s="16">
        <f>IF(ISNUMBER(Risultati!Z153/100),(Risultati!Z153/100))</f>
        <v>0</v>
      </c>
      <c r="BN154" s="16">
        <f>IF(AND(Risultati!AY153&lt;0,calcoli!AP154&lt;0),-IF(ISNUMBER(Risultati!AA153/100),(Risultati!AA153/100)),IF(ISNUMBER(Risultati!AA153/100),(Risultati!AA153/100)))</f>
        <v>0</v>
      </c>
      <c r="BO154" s="16" t="str">
        <f t="shared" si="132"/>
        <v>0</v>
      </c>
      <c r="BP154" s="16" t="str">
        <f>IF(Risultati!AB153&gt;0,(AV154/Risultati!AB153),"0")</f>
        <v>0</v>
      </c>
      <c r="BQ154" s="16" t="str">
        <f>IF(Risultati!AG153&lt;&gt;0,(BH154/Risultati!AG153),"0")</f>
        <v>0</v>
      </c>
      <c r="BR154" s="16" t="str">
        <f t="shared" si="133"/>
        <v>0</v>
      </c>
      <c r="BS154" s="14" t="str">
        <f>IF(Risultati!AB153&gt;0,(Risultati!G153/Risultati!AB153),"0")</f>
        <v>0</v>
      </c>
      <c r="BT154" s="15" t="str">
        <f>IF(Risultati!AG153&lt;&gt;0,(Risultati!AB153/Risultati!AG153),"0")</f>
        <v>0</v>
      </c>
      <c r="BU154" s="23" t="str">
        <f>IF(AND(Risultati!G153&gt;0,(Risultati!AE153-Risultati!AF153)&gt;=0),((Risultati!AE153-Risultati!AF153)/Risultati!G153*360),"0")</f>
        <v>0</v>
      </c>
      <c r="BV154" s="21" t="str">
        <f>IF(OR(E154="abbreviato",Risultati!G153=0),"0",((Risultati!AC153+Risultati!AD153)/Risultati!G153*360))</f>
        <v>0</v>
      </c>
      <c r="BW154" s="21" t="str">
        <f>IF(OR(E154="abbreviato",Risultati!G153=0,SUM(Risultati!I153+Risultati!K153+Risultati!M153)=0),"0",(((Risultati!AH153+Risultati!AI153)/(Risultati!I153+Risultati!K153+Risultati!N153)*360)))</f>
        <v>0</v>
      </c>
      <c r="BX154" s="16" t="str">
        <f>IF(Risultati!AB153&gt;0,(+Risultati!AG153/Risultati!AB153),"0")</f>
        <v>0</v>
      </c>
      <c r="BY154" s="22" t="str">
        <f>IF(OR(E154="abbreviato",Risultati!G153=0),"0",(((Risultati!AK153-(Risultati!AL153+Risultati!AM153))/Risultati!G153)))</f>
        <v>0</v>
      </c>
      <c r="BZ154" s="16" t="str">
        <f>IF(Risultati!G153&gt;0,(Risultati!AJ153/Risultati!G153),"0")</f>
        <v>0</v>
      </c>
      <c r="CA154" s="8"/>
      <c r="CB154" s="10">
        <f>+Risultati!AP153</f>
        <v>0</v>
      </c>
      <c r="CC154" s="31" t="str">
        <f t="shared" ref="CC154:CC217" si="159">IF($CX154&gt;0,(CB154/$CX154),"0")</f>
        <v>0</v>
      </c>
      <c r="CD154" s="10">
        <f>+Risultati!AQ153</f>
        <v>0</v>
      </c>
      <c r="CE154" s="31" t="str">
        <f t="shared" ref="CE154:CE217" si="160">IF($CX154&gt;0,(CD154/$CX154),"0")</f>
        <v>0</v>
      </c>
      <c r="CF154" s="10">
        <f>+Risultati!AR153</f>
        <v>0</v>
      </c>
      <c r="CG154" s="31" t="str">
        <f t="shared" ref="CG154:CG217" si="161">IF($CX154&gt;0,(CF154/$CX154),"0")</f>
        <v>0</v>
      </c>
      <c r="CH154" s="10">
        <f>+Risultati!AS153</f>
        <v>0</v>
      </c>
      <c r="CI154" s="31" t="str">
        <f t="shared" ref="CI154:CI217" si="162">IF($CX154&gt;0,(CH154/$CX154),"0")</f>
        <v>0</v>
      </c>
      <c r="CJ154" s="10">
        <f t="shared" ref="CJ154:CJ217" si="163">+CH154+CF154+CD154</f>
        <v>0</v>
      </c>
      <c r="CK154" s="31" t="str">
        <f t="shared" ref="CK154:CK217" si="164">IF($CX154&gt;0,(CJ154/$CX154),"0")</f>
        <v>0</v>
      </c>
      <c r="CL154" s="10">
        <f>+Risultati!AE153+Risultati!AF153</f>
        <v>0</v>
      </c>
      <c r="CM154" s="31" t="str">
        <f t="shared" ref="CM154:CM217" si="165">IF($CX154&gt;0,(CL154/$CX154),"0")</f>
        <v>0</v>
      </c>
      <c r="CN154" s="10">
        <f>+Risultati!AT153</f>
        <v>0</v>
      </c>
      <c r="CO154" s="31" t="str">
        <f t="shared" ref="CO154:CO217" si="166">IF($CX154&gt;0,(CN154/$CX154),"0")</f>
        <v>0</v>
      </c>
      <c r="CP154" s="10">
        <f>+Risultati!AU153</f>
        <v>0</v>
      </c>
      <c r="CQ154" s="31" t="str">
        <f t="shared" ref="CQ154:CQ217" si="167">IF($CX154&gt;0,(CP154/$CX154),"0")</f>
        <v>0</v>
      </c>
      <c r="CR154" s="10">
        <f>+Risultati!AL153</f>
        <v>0</v>
      </c>
      <c r="CS154" s="31" t="str">
        <f t="shared" ref="CS154:CS217" si="168">IF($CX154&gt;0,(CR154/$CX154),"0")</f>
        <v>0</v>
      </c>
      <c r="CT154" s="10">
        <f t="shared" ref="CT154:CT217" si="169">+CR154+CP154+CN154+CL154</f>
        <v>0</v>
      </c>
      <c r="CU154" s="31" t="str">
        <f t="shared" ref="CU154:CU217" si="170">IF($CX154&gt;0,(CT154/$CX154),"0")</f>
        <v>0</v>
      </c>
      <c r="CV154" s="10">
        <f>+Risultati!AX153</f>
        <v>0</v>
      </c>
      <c r="CW154" s="31" t="str">
        <f t="shared" ref="CW154:CW217" si="171">IF($CX154&gt;0,(CV154/$CX154),"0")</f>
        <v>0</v>
      </c>
      <c r="CX154" s="10">
        <f t="shared" ref="CX154:CX217" si="172">+CV154+CT154+CJ154</f>
        <v>0</v>
      </c>
      <c r="CY154" s="31" t="str">
        <f t="shared" ref="CY154:CY217" si="173">IF($CX154&gt;0,(CX154/$CX154),"0")</f>
        <v>0</v>
      </c>
      <c r="CZ154" s="10">
        <f>+Risultati!AG153</f>
        <v>0</v>
      </c>
      <c r="DA154" s="31" t="str">
        <f t="shared" ref="DA154:DA217" si="174">IF($CX154&gt;0,(CZ154/$CX154),"0")</f>
        <v>0</v>
      </c>
      <c r="DB154" s="10">
        <f t="shared" ref="DB154:DB217" si="175">+DL154-CZ154-DD154-DJ154</f>
        <v>0</v>
      </c>
      <c r="DC154" s="31" t="str">
        <f t="shared" ref="DC154:DC217" si="176">IF($CX154&gt;0,(DB154/$CX154),"0")</f>
        <v>0</v>
      </c>
      <c r="DD154" s="10">
        <f>+Risultati!AV153</f>
        <v>0</v>
      </c>
      <c r="DE154" s="31" t="str">
        <f t="shared" ref="DE154:DE217" si="177">IF($CX154&gt;0,(DD154/$CX154),"0")</f>
        <v>0</v>
      </c>
      <c r="DF154" s="10">
        <f>+Risultati!AJ153</f>
        <v>0</v>
      </c>
      <c r="DG154" s="31" t="str">
        <f t="shared" ref="DG154:DG217" si="178">IF($CX154&gt;0,(DF154/$CX154),"0")</f>
        <v>0</v>
      </c>
      <c r="DH154" s="10">
        <f t="shared" ref="DH154:DH217" si="179">+DD154-DF154</f>
        <v>0</v>
      </c>
      <c r="DI154" s="31" t="str">
        <f t="shared" ref="DI154:DI217" si="180">IF($CX154&gt;0,(DH154/$CX154),"0")</f>
        <v>0</v>
      </c>
      <c r="DJ154" s="10">
        <f>+Risultati!AW153</f>
        <v>0</v>
      </c>
      <c r="DK154" s="31" t="str">
        <f t="shared" ref="DK154:DK217" si="181">IF($CX154&gt;0,(DJ154/$CX154),"0")</f>
        <v>0</v>
      </c>
      <c r="DL154" s="10">
        <f t="shared" si="152"/>
        <v>0</v>
      </c>
      <c r="DM154" s="31" t="str">
        <f t="shared" ref="DM154:DM217" si="182">IF($CX154&gt;0,(DL154/$CX154),"0")</f>
        <v>0</v>
      </c>
      <c r="DO154" s="30"/>
      <c r="DP154" s="30"/>
    </row>
    <row r="155" spans="1:120" x14ac:dyDescent="0.2">
      <c r="A155" s="5"/>
      <c r="B155" s="6">
        <f>+Risultati!B154</f>
        <v>0</v>
      </c>
      <c r="C155" s="6">
        <f>+Risultati!C154</f>
        <v>0</v>
      </c>
      <c r="D155" s="26" t="str">
        <f>IF(YEAR(Risultati!D154)=1900,(MID(Risultati!$AP$1,29,4)),YEAR(Risultati!D154))</f>
        <v/>
      </c>
      <c r="E155" s="6">
        <f>+Risultati!E154</f>
        <v>0</v>
      </c>
      <c r="F155" s="8" t="e">
        <f>(LEFT(Risultati!AN154,2)&amp;"-")&amp;VLOOKUP((LEFT(Risultati!AN154,2)),ateco!$B$4:$C$93,2,FALSE)</f>
        <v>#N/A</v>
      </c>
      <c r="G155" s="8" t="str">
        <f>SUBSTITUTE((Risultati!AN154&amp;"-"&amp;Risultati!AO154),",",";")</f>
        <v>-</v>
      </c>
      <c r="I155" s="10">
        <f>+Risultati!G154</f>
        <v>0</v>
      </c>
      <c r="J155" s="11" t="str">
        <f t="shared" si="134"/>
        <v>0</v>
      </c>
      <c r="K155" s="12"/>
      <c r="L155" s="10">
        <f>+Risultati!G154+Risultati!H154</f>
        <v>0</v>
      </c>
      <c r="M155" s="11" t="str">
        <f t="shared" si="135"/>
        <v>0</v>
      </c>
      <c r="N155" s="12"/>
      <c r="O155" s="10">
        <f>+Risultati!I154+Risultati!J154</f>
        <v>0</v>
      </c>
      <c r="P155" s="11" t="str">
        <f t="shared" si="136"/>
        <v>0</v>
      </c>
      <c r="Q155" s="12"/>
      <c r="R155" s="13">
        <f t="shared" si="153"/>
        <v>0</v>
      </c>
      <c r="S155" s="11" t="str">
        <f t="shared" si="137"/>
        <v>0</v>
      </c>
      <c r="T155" s="12"/>
      <c r="U155" s="10">
        <f>+Risultati!F154-(Risultati!G154+Risultati!H154)</f>
        <v>0</v>
      </c>
      <c r="V155" s="12" t="str">
        <f t="shared" si="138"/>
        <v>0</v>
      </c>
      <c r="W155" s="12"/>
      <c r="X155" s="10">
        <f t="shared" si="154"/>
        <v>0</v>
      </c>
      <c r="Y155" s="12" t="str">
        <f t="shared" si="139"/>
        <v>0</v>
      </c>
      <c r="Z155" s="12"/>
      <c r="AA155" s="10">
        <f>+Risultati!K154</f>
        <v>0</v>
      </c>
      <c r="AB155" s="12" t="str">
        <f t="shared" si="140"/>
        <v>0</v>
      </c>
      <c r="AC155" s="12"/>
      <c r="AD155" s="10">
        <f>+Risultati!L154</f>
        <v>0</v>
      </c>
      <c r="AE155" s="12" t="str">
        <f t="shared" si="141"/>
        <v>0</v>
      </c>
      <c r="AF155" s="12"/>
      <c r="AG155" s="10">
        <f>+Risultati!M154+Risultati!P154+Risultati!Q154</f>
        <v>0</v>
      </c>
      <c r="AH155" s="12" t="str">
        <f t="shared" si="142"/>
        <v>0</v>
      </c>
      <c r="AI155" s="12"/>
      <c r="AJ155" s="13">
        <f t="shared" si="155"/>
        <v>0</v>
      </c>
      <c r="AK155" s="11" t="str">
        <f t="shared" si="143"/>
        <v>0</v>
      </c>
      <c r="AL155" s="12"/>
      <c r="AM155" s="10">
        <f>+Risultati!N154</f>
        <v>0</v>
      </c>
      <c r="AN155" s="12" t="str">
        <f t="shared" si="144"/>
        <v>0</v>
      </c>
      <c r="AO155" s="12"/>
      <c r="AP155" s="10">
        <f t="shared" si="156"/>
        <v>0</v>
      </c>
      <c r="AQ155" s="41" t="str">
        <f t="shared" si="145"/>
        <v>0</v>
      </c>
      <c r="AR155" s="12"/>
      <c r="AS155" s="10">
        <f>+Risultati!O154</f>
        <v>0</v>
      </c>
      <c r="AT155" s="12" t="str">
        <f t="shared" si="146"/>
        <v>0</v>
      </c>
      <c r="AU155" s="12"/>
      <c r="AV155" s="10">
        <f t="shared" si="157"/>
        <v>0</v>
      </c>
      <c r="AW155" s="12" t="str">
        <f t="shared" si="147"/>
        <v>0</v>
      </c>
      <c r="AX155" s="12"/>
      <c r="AY155" s="10">
        <f>+Risultati!R154+Risultati!S154</f>
        <v>0</v>
      </c>
      <c r="AZ155" s="12" t="str">
        <f t="shared" si="148"/>
        <v>0</v>
      </c>
      <c r="BA155" s="12"/>
      <c r="BB155" s="10">
        <f>+Risultati!T154</f>
        <v>0</v>
      </c>
      <c r="BC155" s="12" t="str">
        <f t="shared" si="149"/>
        <v>0</v>
      </c>
      <c r="BD155" s="12"/>
      <c r="BE155" s="10">
        <f>+Risultati!U154</f>
        <v>0</v>
      </c>
      <c r="BF155" s="12" t="str">
        <f t="shared" si="150"/>
        <v>0</v>
      </c>
      <c r="BG155" s="12"/>
      <c r="BH155" s="10">
        <f t="shared" si="158"/>
        <v>0</v>
      </c>
      <c r="BI155" s="12" t="str">
        <f t="shared" si="151"/>
        <v>0</v>
      </c>
      <c r="BK155" s="16">
        <f>IF(ISNUMBER(Risultati!X154/100),(Risultati!X154/100))</f>
        <v>0</v>
      </c>
      <c r="BL155" s="16">
        <f>IF(ISNUMBER(Risultati!Y154/100),(Risultati!Y154/100))</f>
        <v>0</v>
      </c>
      <c r="BM155" s="16">
        <f>IF(ISNUMBER(Risultati!Z154/100),(Risultati!Z154/100))</f>
        <v>0</v>
      </c>
      <c r="BN155" s="16">
        <f>IF(AND(Risultati!AY154&lt;0,calcoli!AP155&lt;0),-IF(ISNUMBER(Risultati!AA154/100),(Risultati!AA154/100)),IF(ISNUMBER(Risultati!AA154/100),(Risultati!AA154/100)))</f>
        <v>0</v>
      </c>
      <c r="BO155" s="16" t="str">
        <f t="shared" si="132"/>
        <v>0</v>
      </c>
      <c r="BP155" s="16" t="str">
        <f>IF(Risultati!AB154&gt;0,(AV155/Risultati!AB154),"0")</f>
        <v>0</v>
      </c>
      <c r="BQ155" s="16" t="str">
        <f>IF(Risultati!AG154&lt;&gt;0,(BH155/Risultati!AG154),"0")</f>
        <v>0</v>
      </c>
      <c r="BR155" s="16" t="str">
        <f t="shared" si="133"/>
        <v>0</v>
      </c>
      <c r="BS155" s="14" t="str">
        <f>IF(Risultati!AB154&gt;0,(Risultati!G154/Risultati!AB154),"0")</f>
        <v>0</v>
      </c>
      <c r="BT155" s="15" t="str">
        <f>IF(Risultati!AG154&lt;&gt;0,(Risultati!AB154/Risultati!AG154),"0")</f>
        <v>0</v>
      </c>
      <c r="BU155" s="23" t="str">
        <f>IF(AND(Risultati!G154&gt;0,(Risultati!AE154-Risultati!AF154)&gt;=0),((Risultati!AE154-Risultati!AF154)/Risultati!G154*360),"0")</f>
        <v>0</v>
      </c>
      <c r="BV155" s="21" t="str">
        <f>IF(OR(E155="abbreviato",Risultati!G154=0),"0",((Risultati!AC154+Risultati!AD154)/Risultati!G154*360))</f>
        <v>0</v>
      </c>
      <c r="BW155" s="21" t="str">
        <f>IF(OR(E155="abbreviato",Risultati!G154=0,SUM(Risultati!I154+Risultati!K154+Risultati!M154)=0),"0",(((Risultati!AH154+Risultati!AI154)/(Risultati!I154+Risultati!K154+Risultati!N154)*360)))</f>
        <v>0</v>
      </c>
      <c r="BX155" s="16" t="str">
        <f>IF(Risultati!AB154&gt;0,(+Risultati!AG154/Risultati!AB154),"0")</f>
        <v>0</v>
      </c>
      <c r="BY155" s="22" t="str">
        <f>IF(OR(E155="abbreviato",Risultati!G154=0),"0",(((Risultati!AK154-(Risultati!AL154+Risultati!AM154))/Risultati!G154)))</f>
        <v>0</v>
      </c>
      <c r="BZ155" s="16" t="str">
        <f>IF(Risultati!G154&gt;0,(Risultati!AJ154/Risultati!G154),"0")</f>
        <v>0</v>
      </c>
      <c r="CA155" s="8"/>
      <c r="CB155" s="10">
        <f>+Risultati!AP154</f>
        <v>0</v>
      </c>
      <c r="CC155" s="31" t="str">
        <f t="shared" si="159"/>
        <v>0</v>
      </c>
      <c r="CD155" s="10">
        <f>+Risultati!AQ154</f>
        <v>0</v>
      </c>
      <c r="CE155" s="31" t="str">
        <f t="shared" si="160"/>
        <v>0</v>
      </c>
      <c r="CF155" s="10">
        <f>+Risultati!AR154</f>
        <v>0</v>
      </c>
      <c r="CG155" s="31" t="str">
        <f t="shared" si="161"/>
        <v>0</v>
      </c>
      <c r="CH155" s="10">
        <f>+Risultati!AS154</f>
        <v>0</v>
      </c>
      <c r="CI155" s="31" t="str">
        <f t="shared" si="162"/>
        <v>0</v>
      </c>
      <c r="CJ155" s="10">
        <f t="shared" si="163"/>
        <v>0</v>
      </c>
      <c r="CK155" s="31" t="str">
        <f t="shared" si="164"/>
        <v>0</v>
      </c>
      <c r="CL155" s="10">
        <f>+Risultati!AE154+Risultati!AF154</f>
        <v>0</v>
      </c>
      <c r="CM155" s="31" t="str">
        <f t="shared" si="165"/>
        <v>0</v>
      </c>
      <c r="CN155" s="10">
        <f>+Risultati!AT154</f>
        <v>0</v>
      </c>
      <c r="CO155" s="31" t="str">
        <f t="shared" si="166"/>
        <v>0</v>
      </c>
      <c r="CP155" s="10">
        <f>+Risultati!AU154</f>
        <v>0</v>
      </c>
      <c r="CQ155" s="31" t="str">
        <f t="shared" si="167"/>
        <v>0</v>
      </c>
      <c r="CR155" s="10">
        <f>+Risultati!AL154</f>
        <v>0</v>
      </c>
      <c r="CS155" s="31" t="str">
        <f t="shared" si="168"/>
        <v>0</v>
      </c>
      <c r="CT155" s="10">
        <f t="shared" si="169"/>
        <v>0</v>
      </c>
      <c r="CU155" s="31" t="str">
        <f t="shared" si="170"/>
        <v>0</v>
      </c>
      <c r="CV155" s="10">
        <f>+Risultati!AX154</f>
        <v>0</v>
      </c>
      <c r="CW155" s="31" t="str">
        <f t="shared" si="171"/>
        <v>0</v>
      </c>
      <c r="CX155" s="10">
        <f t="shared" si="172"/>
        <v>0</v>
      </c>
      <c r="CY155" s="31" t="str">
        <f t="shared" si="173"/>
        <v>0</v>
      </c>
      <c r="CZ155" s="10">
        <f>+Risultati!AG154</f>
        <v>0</v>
      </c>
      <c r="DA155" s="31" t="str">
        <f t="shared" si="174"/>
        <v>0</v>
      </c>
      <c r="DB155" s="10">
        <f t="shared" si="175"/>
        <v>0</v>
      </c>
      <c r="DC155" s="31" t="str">
        <f t="shared" si="176"/>
        <v>0</v>
      </c>
      <c r="DD155" s="10">
        <f>+Risultati!AV154</f>
        <v>0</v>
      </c>
      <c r="DE155" s="31" t="str">
        <f t="shared" si="177"/>
        <v>0</v>
      </c>
      <c r="DF155" s="10">
        <f>+Risultati!AJ154</f>
        <v>0</v>
      </c>
      <c r="DG155" s="31" t="str">
        <f t="shared" si="178"/>
        <v>0</v>
      </c>
      <c r="DH155" s="10">
        <f t="shared" si="179"/>
        <v>0</v>
      </c>
      <c r="DI155" s="31" t="str">
        <f t="shared" si="180"/>
        <v>0</v>
      </c>
      <c r="DJ155" s="10">
        <f>+Risultati!AW154</f>
        <v>0</v>
      </c>
      <c r="DK155" s="31" t="str">
        <f t="shared" si="181"/>
        <v>0</v>
      </c>
      <c r="DL155" s="10">
        <f t="shared" si="152"/>
        <v>0</v>
      </c>
      <c r="DM155" s="31" t="str">
        <f t="shared" si="182"/>
        <v>0</v>
      </c>
      <c r="DO155" s="30"/>
      <c r="DP155" s="30"/>
    </row>
    <row r="156" spans="1:120" x14ac:dyDescent="0.2">
      <c r="A156" s="5"/>
      <c r="B156" s="6">
        <f>+Risultati!B155</f>
        <v>0</v>
      </c>
      <c r="C156" s="6">
        <f>+Risultati!C155</f>
        <v>0</v>
      </c>
      <c r="D156" s="26" t="str">
        <f>IF(YEAR(Risultati!D155)=1900,(MID(Risultati!$AP$1,29,4)),YEAR(Risultati!D155))</f>
        <v/>
      </c>
      <c r="E156" s="6">
        <f>+Risultati!E155</f>
        <v>0</v>
      </c>
      <c r="F156" s="8" t="e">
        <f>(LEFT(Risultati!AN155,2)&amp;"-")&amp;VLOOKUP((LEFT(Risultati!AN155,2)),ateco!$B$4:$C$93,2,FALSE)</f>
        <v>#N/A</v>
      </c>
      <c r="G156" s="8" t="str">
        <f>SUBSTITUTE((Risultati!AN155&amp;"-"&amp;Risultati!AO155),",",";")</f>
        <v>-</v>
      </c>
      <c r="I156" s="10">
        <f>+Risultati!G155</f>
        <v>0</v>
      </c>
      <c r="J156" s="11" t="str">
        <f t="shared" si="134"/>
        <v>0</v>
      </c>
      <c r="K156" s="12"/>
      <c r="L156" s="10">
        <f>+Risultati!G155+Risultati!H155</f>
        <v>0</v>
      </c>
      <c r="M156" s="11" t="str">
        <f t="shared" si="135"/>
        <v>0</v>
      </c>
      <c r="N156" s="12"/>
      <c r="O156" s="10">
        <f>+Risultati!I155+Risultati!J155</f>
        <v>0</v>
      </c>
      <c r="P156" s="11" t="str">
        <f t="shared" si="136"/>
        <v>0</v>
      </c>
      <c r="Q156" s="12"/>
      <c r="R156" s="13">
        <f t="shared" si="153"/>
        <v>0</v>
      </c>
      <c r="S156" s="11" t="str">
        <f t="shared" si="137"/>
        <v>0</v>
      </c>
      <c r="T156" s="12"/>
      <c r="U156" s="10">
        <f>+Risultati!F155-(Risultati!G155+Risultati!H155)</f>
        <v>0</v>
      </c>
      <c r="V156" s="12" t="str">
        <f t="shared" si="138"/>
        <v>0</v>
      </c>
      <c r="W156" s="12"/>
      <c r="X156" s="10">
        <f t="shared" si="154"/>
        <v>0</v>
      </c>
      <c r="Y156" s="12" t="str">
        <f t="shared" si="139"/>
        <v>0</v>
      </c>
      <c r="Z156" s="12"/>
      <c r="AA156" s="10">
        <f>+Risultati!K155</f>
        <v>0</v>
      </c>
      <c r="AB156" s="12" t="str">
        <f t="shared" si="140"/>
        <v>0</v>
      </c>
      <c r="AC156" s="12"/>
      <c r="AD156" s="10">
        <f>+Risultati!L155</f>
        <v>0</v>
      </c>
      <c r="AE156" s="12" t="str">
        <f t="shared" si="141"/>
        <v>0</v>
      </c>
      <c r="AF156" s="12"/>
      <c r="AG156" s="10">
        <f>+Risultati!M155+Risultati!P155+Risultati!Q155</f>
        <v>0</v>
      </c>
      <c r="AH156" s="12" t="str">
        <f t="shared" si="142"/>
        <v>0</v>
      </c>
      <c r="AI156" s="12"/>
      <c r="AJ156" s="13">
        <f t="shared" si="155"/>
        <v>0</v>
      </c>
      <c r="AK156" s="11" t="str">
        <f t="shared" si="143"/>
        <v>0</v>
      </c>
      <c r="AL156" s="12"/>
      <c r="AM156" s="10">
        <f>+Risultati!N155</f>
        <v>0</v>
      </c>
      <c r="AN156" s="12" t="str">
        <f t="shared" si="144"/>
        <v>0</v>
      </c>
      <c r="AO156" s="12"/>
      <c r="AP156" s="10">
        <f t="shared" si="156"/>
        <v>0</v>
      </c>
      <c r="AQ156" s="41" t="str">
        <f t="shared" si="145"/>
        <v>0</v>
      </c>
      <c r="AR156" s="12"/>
      <c r="AS156" s="10">
        <f>+Risultati!O155</f>
        <v>0</v>
      </c>
      <c r="AT156" s="12" t="str">
        <f t="shared" si="146"/>
        <v>0</v>
      </c>
      <c r="AU156" s="12"/>
      <c r="AV156" s="10">
        <f t="shared" si="157"/>
        <v>0</v>
      </c>
      <c r="AW156" s="12" t="str">
        <f t="shared" si="147"/>
        <v>0</v>
      </c>
      <c r="AX156" s="12"/>
      <c r="AY156" s="10">
        <f>+Risultati!R155+Risultati!S155</f>
        <v>0</v>
      </c>
      <c r="AZ156" s="12" t="str">
        <f t="shared" si="148"/>
        <v>0</v>
      </c>
      <c r="BA156" s="12"/>
      <c r="BB156" s="10">
        <f>+Risultati!T155</f>
        <v>0</v>
      </c>
      <c r="BC156" s="12" t="str">
        <f t="shared" si="149"/>
        <v>0</v>
      </c>
      <c r="BD156" s="12"/>
      <c r="BE156" s="10">
        <f>+Risultati!U155</f>
        <v>0</v>
      </c>
      <c r="BF156" s="12" t="str">
        <f t="shared" si="150"/>
        <v>0</v>
      </c>
      <c r="BG156" s="12"/>
      <c r="BH156" s="10">
        <f t="shared" si="158"/>
        <v>0</v>
      </c>
      <c r="BI156" s="12" t="str">
        <f t="shared" si="151"/>
        <v>0</v>
      </c>
      <c r="BK156" s="16">
        <f>IF(ISNUMBER(Risultati!X155/100),(Risultati!X155/100))</f>
        <v>0</v>
      </c>
      <c r="BL156" s="16">
        <f>IF(ISNUMBER(Risultati!Y155/100),(Risultati!Y155/100))</f>
        <v>0</v>
      </c>
      <c r="BM156" s="16">
        <f>IF(ISNUMBER(Risultati!Z155/100),(Risultati!Z155/100))</f>
        <v>0</v>
      </c>
      <c r="BN156" s="16">
        <f>IF(AND(Risultati!AY155&lt;0,calcoli!AP156&lt;0),-IF(ISNUMBER(Risultati!AA155/100),(Risultati!AA155/100)),IF(ISNUMBER(Risultati!AA155/100),(Risultati!AA155/100)))</f>
        <v>0</v>
      </c>
      <c r="BO156" s="16" t="str">
        <f t="shared" si="132"/>
        <v>0</v>
      </c>
      <c r="BP156" s="16" t="str">
        <f>IF(Risultati!AB155&gt;0,(AV156/Risultati!AB155),"0")</f>
        <v>0</v>
      </c>
      <c r="BQ156" s="16" t="str">
        <f>IF(Risultati!AG155&lt;&gt;0,(BH156/Risultati!AG155),"0")</f>
        <v>0</v>
      </c>
      <c r="BR156" s="16" t="str">
        <f t="shared" si="133"/>
        <v>0</v>
      </c>
      <c r="BS156" s="14" t="str">
        <f>IF(Risultati!AB155&gt;0,(Risultati!G155/Risultati!AB155),"0")</f>
        <v>0</v>
      </c>
      <c r="BT156" s="15" t="str">
        <f>IF(Risultati!AG155&lt;&gt;0,(Risultati!AB155/Risultati!AG155),"0")</f>
        <v>0</v>
      </c>
      <c r="BU156" s="23" t="str">
        <f>IF(AND(Risultati!G155&gt;0,(Risultati!AE155-Risultati!AF155)&gt;=0),((Risultati!AE155-Risultati!AF155)/Risultati!G155*360),"0")</f>
        <v>0</v>
      </c>
      <c r="BV156" s="21" t="str">
        <f>IF(OR(E156="abbreviato",Risultati!G155=0),"0",((Risultati!AC155+Risultati!AD155)/Risultati!G155*360))</f>
        <v>0</v>
      </c>
      <c r="BW156" s="21" t="str">
        <f>IF(OR(E156="abbreviato",Risultati!G155=0,SUM(Risultati!I155+Risultati!K155+Risultati!M155)=0),"0",(((Risultati!AH155+Risultati!AI155)/(Risultati!I155+Risultati!K155+Risultati!N155)*360)))</f>
        <v>0</v>
      </c>
      <c r="BX156" s="16" t="str">
        <f>IF(Risultati!AB155&gt;0,(+Risultati!AG155/Risultati!AB155),"0")</f>
        <v>0</v>
      </c>
      <c r="BY156" s="22" t="str">
        <f>IF(OR(E156="abbreviato",Risultati!G155=0),"0",(((Risultati!AK155-(Risultati!AL155+Risultati!AM155))/Risultati!G155)))</f>
        <v>0</v>
      </c>
      <c r="BZ156" s="16" t="str">
        <f>IF(Risultati!G155&gt;0,(Risultati!AJ155/Risultati!G155),"0")</f>
        <v>0</v>
      </c>
      <c r="CA156" s="8"/>
      <c r="CB156" s="10">
        <f>+Risultati!AP155</f>
        <v>0</v>
      </c>
      <c r="CC156" s="31" t="str">
        <f t="shared" si="159"/>
        <v>0</v>
      </c>
      <c r="CD156" s="10">
        <f>+Risultati!AQ155</f>
        <v>0</v>
      </c>
      <c r="CE156" s="31" t="str">
        <f t="shared" si="160"/>
        <v>0</v>
      </c>
      <c r="CF156" s="10">
        <f>+Risultati!AR155</f>
        <v>0</v>
      </c>
      <c r="CG156" s="31" t="str">
        <f t="shared" si="161"/>
        <v>0</v>
      </c>
      <c r="CH156" s="10">
        <f>+Risultati!AS155</f>
        <v>0</v>
      </c>
      <c r="CI156" s="31" t="str">
        <f t="shared" si="162"/>
        <v>0</v>
      </c>
      <c r="CJ156" s="10">
        <f t="shared" si="163"/>
        <v>0</v>
      </c>
      <c r="CK156" s="31" t="str">
        <f t="shared" si="164"/>
        <v>0</v>
      </c>
      <c r="CL156" s="10">
        <f>+Risultati!AE155+Risultati!AF155</f>
        <v>0</v>
      </c>
      <c r="CM156" s="31" t="str">
        <f t="shared" si="165"/>
        <v>0</v>
      </c>
      <c r="CN156" s="10">
        <f>+Risultati!AT155</f>
        <v>0</v>
      </c>
      <c r="CO156" s="31" t="str">
        <f t="shared" si="166"/>
        <v>0</v>
      </c>
      <c r="CP156" s="10">
        <f>+Risultati!AU155</f>
        <v>0</v>
      </c>
      <c r="CQ156" s="31" t="str">
        <f t="shared" si="167"/>
        <v>0</v>
      </c>
      <c r="CR156" s="10">
        <f>+Risultati!AL155</f>
        <v>0</v>
      </c>
      <c r="CS156" s="31" t="str">
        <f t="shared" si="168"/>
        <v>0</v>
      </c>
      <c r="CT156" s="10">
        <f t="shared" si="169"/>
        <v>0</v>
      </c>
      <c r="CU156" s="31" t="str">
        <f t="shared" si="170"/>
        <v>0</v>
      </c>
      <c r="CV156" s="10">
        <f>+Risultati!AX155</f>
        <v>0</v>
      </c>
      <c r="CW156" s="31" t="str">
        <f t="shared" si="171"/>
        <v>0</v>
      </c>
      <c r="CX156" s="10">
        <f t="shared" si="172"/>
        <v>0</v>
      </c>
      <c r="CY156" s="31" t="str">
        <f t="shared" si="173"/>
        <v>0</v>
      </c>
      <c r="CZ156" s="10">
        <f>+Risultati!AG155</f>
        <v>0</v>
      </c>
      <c r="DA156" s="31" t="str">
        <f t="shared" si="174"/>
        <v>0</v>
      </c>
      <c r="DB156" s="10">
        <f t="shared" si="175"/>
        <v>0</v>
      </c>
      <c r="DC156" s="31" t="str">
        <f t="shared" si="176"/>
        <v>0</v>
      </c>
      <c r="DD156" s="10">
        <f>+Risultati!AV155</f>
        <v>0</v>
      </c>
      <c r="DE156" s="31" t="str">
        <f t="shared" si="177"/>
        <v>0</v>
      </c>
      <c r="DF156" s="10">
        <f>+Risultati!AJ155</f>
        <v>0</v>
      </c>
      <c r="DG156" s="31" t="str">
        <f t="shared" si="178"/>
        <v>0</v>
      </c>
      <c r="DH156" s="10">
        <f t="shared" si="179"/>
        <v>0</v>
      </c>
      <c r="DI156" s="31" t="str">
        <f t="shared" si="180"/>
        <v>0</v>
      </c>
      <c r="DJ156" s="10">
        <f>+Risultati!AW155</f>
        <v>0</v>
      </c>
      <c r="DK156" s="31" t="str">
        <f t="shared" si="181"/>
        <v>0</v>
      </c>
      <c r="DL156" s="10">
        <f t="shared" si="152"/>
        <v>0</v>
      </c>
      <c r="DM156" s="31" t="str">
        <f t="shared" si="182"/>
        <v>0</v>
      </c>
      <c r="DO156" s="30"/>
      <c r="DP156" s="30"/>
    </row>
    <row r="157" spans="1:120" x14ac:dyDescent="0.2">
      <c r="A157" s="5"/>
      <c r="B157" s="6">
        <f>+Risultati!B156</f>
        <v>0</v>
      </c>
      <c r="C157" s="6">
        <f>+Risultati!C156</f>
        <v>0</v>
      </c>
      <c r="D157" s="26" t="str">
        <f>IF(YEAR(Risultati!D156)=1900,(MID(Risultati!$AP$1,29,4)),YEAR(Risultati!D156))</f>
        <v/>
      </c>
      <c r="E157" s="6">
        <f>+Risultati!E156</f>
        <v>0</v>
      </c>
      <c r="F157" s="8" t="e">
        <f>(LEFT(Risultati!AN156,2)&amp;"-")&amp;VLOOKUP((LEFT(Risultati!AN156,2)),ateco!$B$4:$C$93,2,FALSE)</f>
        <v>#N/A</v>
      </c>
      <c r="G157" s="8" t="str">
        <f>SUBSTITUTE((Risultati!AN156&amp;"-"&amp;Risultati!AO156),",",";")</f>
        <v>-</v>
      </c>
      <c r="I157" s="10">
        <f>+Risultati!G156</f>
        <v>0</v>
      </c>
      <c r="J157" s="11" t="str">
        <f t="shared" si="134"/>
        <v>0</v>
      </c>
      <c r="K157" s="12"/>
      <c r="L157" s="10">
        <f>+Risultati!G156+Risultati!H156</f>
        <v>0</v>
      </c>
      <c r="M157" s="11" t="str">
        <f t="shared" si="135"/>
        <v>0</v>
      </c>
      <c r="N157" s="12"/>
      <c r="O157" s="10">
        <f>+Risultati!I156+Risultati!J156</f>
        <v>0</v>
      </c>
      <c r="P157" s="11" t="str">
        <f t="shared" si="136"/>
        <v>0</v>
      </c>
      <c r="Q157" s="12"/>
      <c r="R157" s="13">
        <f t="shared" si="153"/>
        <v>0</v>
      </c>
      <c r="S157" s="11" t="str">
        <f t="shared" si="137"/>
        <v>0</v>
      </c>
      <c r="T157" s="12"/>
      <c r="U157" s="10">
        <f>+Risultati!F156-(Risultati!G156+Risultati!H156)</f>
        <v>0</v>
      </c>
      <c r="V157" s="12" t="str">
        <f t="shared" si="138"/>
        <v>0</v>
      </c>
      <c r="W157" s="12"/>
      <c r="X157" s="10">
        <f t="shared" si="154"/>
        <v>0</v>
      </c>
      <c r="Y157" s="12" t="str">
        <f t="shared" si="139"/>
        <v>0</v>
      </c>
      <c r="Z157" s="12"/>
      <c r="AA157" s="10">
        <f>+Risultati!K156</f>
        <v>0</v>
      </c>
      <c r="AB157" s="12" t="str">
        <f t="shared" si="140"/>
        <v>0</v>
      </c>
      <c r="AC157" s="12"/>
      <c r="AD157" s="10">
        <f>+Risultati!L156</f>
        <v>0</v>
      </c>
      <c r="AE157" s="12" t="str">
        <f t="shared" si="141"/>
        <v>0</v>
      </c>
      <c r="AF157" s="12"/>
      <c r="AG157" s="10">
        <f>+Risultati!M156+Risultati!P156+Risultati!Q156</f>
        <v>0</v>
      </c>
      <c r="AH157" s="12" t="str">
        <f t="shared" si="142"/>
        <v>0</v>
      </c>
      <c r="AI157" s="12"/>
      <c r="AJ157" s="13">
        <f t="shared" si="155"/>
        <v>0</v>
      </c>
      <c r="AK157" s="11" t="str">
        <f t="shared" si="143"/>
        <v>0</v>
      </c>
      <c r="AL157" s="12"/>
      <c r="AM157" s="10">
        <f>+Risultati!N156</f>
        <v>0</v>
      </c>
      <c r="AN157" s="12" t="str">
        <f t="shared" si="144"/>
        <v>0</v>
      </c>
      <c r="AO157" s="12"/>
      <c r="AP157" s="10">
        <f t="shared" si="156"/>
        <v>0</v>
      </c>
      <c r="AQ157" s="41" t="str">
        <f t="shared" si="145"/>
        <v>0</v>
      </c>
      <c r="AR157" s="12"/>
      <c r="AS157" s="10">
        <f>+Risultati!O156</f>
        <v>0</v>
      </c>
      <c r="AT157" s="12" t="str">
        <f t="shared" si="146"/>
        <v>0</v>
      </c>
      <c r="AU157" s="12"/>
      <c r="AV157" s="10">
        <f t="shared" si="157"/>
        <v>0</v>
      </c>
      <c r="AW157" s="12" t="str">
        <f t="shared" si="147"/>
        <v>0</v>
      </c>
      <c r="AX157" s="12"/>
      <c r="AY157" s="10">
        <f>+Risultati!R156+Risultati!S156</f>
        <v>0</v>
      </c>
      <c r="AZ157" s="12" t="str">
        <f t="shared" si="148"/>
        <v>0</v>
      </c>
      <c r="BA157" s="12"/>
      <c r="BB157" s="10">
        <f>+Risultati!T156</f>
        <v>0</v>
      </c>
      <c r="BC157" s="12" t="str">
        <f t="shared" si="149"/>
        <v>0</v>
      </c>
      <c r="BD157" s="12"/>
      <c r="BE157" s="10">
        <f>+Risultati!U156</f>
        <v>0</v>
      </c>
      <c r="BF157" s="12" t="str">
        <f t="shared" si="150"/>
        <v>0</v>
      </c>
      <c r="BG157" s="12"/>
      <c r="BH157" s="10">
        <f t="shared" si="158"/>
        <v>0</v>
      </c>
      <c r="BI157" s="12" t="str">
        <f t="shared" si="151"/>
        <v>0</v>
      </c>
      <c r="BK157" s="16">
        <f>IF(ISNUMBER(Risultati!X156/100),(Risultati!X156/100))</f>
        <v>0</v>
      </c>
      <c r="BL157" s="16">
        <f>IF(ISNUMBER(Risultati!Y156/100),(Risultati!Y156/100))</f>
        <v>0</v>
      </c>
      <c r="BM157" s="16">
        <f>IF(ISNUMBER(Risultati!Z156/100),(Risultati!Z156/100))</f>
        <v>0</v>
      </c>
      <c r="BN157" s="16">
        <f>IF(AND(Risultati!AY156&lt;0,calcoli!AP157&lt;0),-IF(ISNUMBER(Risultati!AA156/100),(Risultati!AA156/100)),IF(ISNUMBER(Risultati!AA156/100),(Risultati!AA156/100)))</f>
        <v>0</v>
      </c>
      <c r="BO157" s="16" t="str">
        <f t="shared" si="132"/>
        <v>0</v>
      </c>
      <c r="BP157" s="16" t="str">
        <f>IF(Risultati!AB156&gt;0,(AV157/Risultati!AB156),"0")</f>
        <v>0</v>
      </c>
      <c r="BQ157" s="16" t="str">
        <f>IF(Risultati!AG156&lt;&gt;0,(BH157/Risultati!AG156),"0")</f>
        <v>0</v>
      </c>
      <c r="BR157" s="16" t="str">
        <f t="shared" si="133"/>
        <v>0</v>
      </c>
      <c r="BS157" s="14" t="str">
        <f>IF(Risultati!AB156&gt;0,(Risultati!G156/Risultati!AB156),"0")</f>
        <v>0</v>
      </c>
      <c r="BT157" s="15" t="str">
        <f>IF(Risultati!AG156&lt;&gt;0,(Risultati!AB156/Risultati!AG156),"0")</f>
        <v>0</v>
      </c>
      <c r="BU157" s="23" t="str">
        <f>IF(AND(Risultati!G156&gt;0,(Risultati!AE156-Risultati!AF156)&gt;=0),((Risultati!AE156-Risultati!AF156)/Risultati!G156*360),"0")</f>
        <v>0</v>
      </c>
      <c r="BV157" s="21" t="str">
        <f>IF(OR(E157="abbreviato",Risultati!G156=0),"0",((Risultati!AC156+Risultati!AD156)/Risultati!G156*360))</f>
        <v>0</v>
      </c>
      <c r="BW157" s="21" t="str">
        <f>IF(OR(E157="abbreviato",Risultati!G156=0,SUM(Risultati!I156+Risultati!K156+Risultati!M156)=0),"0",(((Risultati!AH156+Risultati!AI156)/(Risultati!I156+Risultati!K156+Risultati!N156)*360)))</f>
        <v>0</v>
      </c>
      <c r="BX157" s="16" t="str">
        <f>IF(Risultati!AB156&gt;0,(+Risultati!AG156/Risultati!AB156),"0")</f>
        <v>0</v>
      </c>
      <c r="BY157" s="22" t="str">
        <f>IF(OR(E157="abbreviato",Risultati!G156=0),"0",(((Risultati!AK156-(Risultati!AL156+Risultati!AM156))/Risultati!G156)))</f>
        <v>0</v>
      </c>
      <c r="BZ157" s="16" t="str">
        <f>IF(Risultati!G156&gt;0,(Risultati!AJ156/Risultati!G156),"0")</f>
        <v>0</v>
      </c>
      <c r="CA157" s="8"/>
      <c r="CB157" s="10">
        <f>+Risultati!AP156</f>
        <v>0</v>
      </c>
      <c r="CC157" s="31" t="str">
        <f t="shared" si="159"/>
        <v>0</v>
      </c>
      <c r="CD157" s="10">
        <f>+Risultati!AQ156</f>
        <v>0</v>
      </c>
      <c r="CE157" s="31" t="str">
        <f t="shared" si="160"/>
        <v>0</v>
      </c>
      <c r="CF157" s="10">
        <f>+Risultati!AR156</f>
        <v>0</v>
      </c>
      <c r="CG157" s="31" t="str">
        <f t="shared" si="161"/>
        <v>0</v>
      </c>
      <c r="CH157" s="10">
        <f>+Risultati!AS156</f>
        <v>0</v>
      </c>
      <c r="CI157" s="31" t="str">
        <f t="shared" si="162"/>
        <v>0</v>
      </c>
      <c r="CJ157" s="10">
        <f t="shared" si="163"/>
        <v>0</v>
      </c>
      <c r="CK157" s="31" t="str">
        <f t="shared" si="164"/>
        <v>0</v>
      </c>
      <c r="CL157" s="10">
        <f>+Risultati!AE156+Risultati!AF156</f>
        <v>0</v>
      </c>
      <c r="CM157" s="31" t="str">
        <f t="shared" si="165"/>
        <v>0</v>
      </c>
      <c r="CN157" s="10">
        <f>+Risultati!AT156</f>
        <v>0</v>
      </c>
      <c r="CO157" s="31" t="str">
        <f t="shared" si="166"/>
        <v>0</v>
      </c>
      <c r="CP157" s="10">
        <f>+Risultati!AU156</f>
        <v>0</v>
      </c>
      <c r="CQ157" s="31" t="str">
        <f t="shared" si="167"/>
        <v>0</v>
      </c>
      <c r="CR157" s="10">
        <f>+Risultati!AL156</f>
        <v>0</v>
      </c>
      <c r="CS157" s="31" t="str">
        <f t="shared" si="168"/>
        <v>0</v>
      </c>
      <c r="CT157" s="10">
        <f t="shared" si="169"/>
        <v>0</v>
      </c>
      <c r="CU157" s="31" t="str">
        <f t="shared" si="170"/>
        <v>0</v>
      </c>
      <c r="CV157" s="10">
        <f>+Risultati!AX156</f>
        <v>0</v>
      </c>
      <c r="CW157" s="31" t="str">
        <f t="shared" si="171"/>
        <v>0</v>
      </c>
      <c r="CX157" s="10">
        <f t="shared" si="172"/>
        <v>0</v>
      </c>
      <c r="CY157" s="31" t="str">
        <f t="shared" si="173"/>
        <v>0</v>
      </c>
      <c r="CZ157" s="10">
        <f>+Risultati!AG156</f>
        <v>0</v>
      </c>
      <c r="DA157" s="31" t="str">
        <f t="shared" si="174"/>
        <v>0</v>
      </c>
      <c r="DB157" s="10">
        <f t="shared" si="175"/>
        <v>0</v>
      </c>
      <c r="DC157" s="31" t="str">
        <f t="shared" si="176"/>
        <v>0</v>
      </c>
      <c r="DD157" s="10">
        <f>+Risultati!AV156</f>
        <v>0</v>
      </c>
      <c r="DE157" s="31" t="str">
        <f t="shared" si="177"/>
        <v>0</v>
      </c>
      <c r="DF157" s="10">
        <f>+Risultati!AJ156</f>
        <v>0</v>
      </c>
      <c r="DG157" s="31" t="str">
        <f t="shared" si="178"/>
        <v>0</v>
      </c>
      <c r="DH157" s="10">
        <f t="shared" si="179"/>
        <v>0</v>
      </c>
      <c r="DI157" s="31" t="str">
        <f t="shared" si="180"/>
        <v>0</v>
      </c>
      <c r="DJ157" s="10">
        <f>+Risultati!AW156</f>
        <v>0</v>
      </c>
      <c r="DK157" s="31" t="str">
        <f t="shared" si="181"/>
        <v>0</v>
      </c>
      <c r="DL157" s="10">
        <f t="shared" si="152"/>
        <v>0</v>
      </c>
      <c r="DM157" s="31" t="str">
        <f t="shared" si="182"/>
        <v>0</v>
      </c>
      <c r="DO157" s="30"/>
      <c r="DP157" s="30"/>
    </row>
    <row r="158" spans="1:120" x14ac:dyDescent="0.2">
      <c r="A158" s="5"/>
      <c r="B158" s="6">
        <f>+Risultati!B157</f>
        <v>0</v>
      </c>
      <c r="C158" s="6">
        <f>+Risultati!C157</f>
        <v>0</v>
      </c>
      <c r="D158" s="26" t="str">
        <f>IF(YEAR(Risultati!D157)=1900,(MID(Risultati!$AP$1,29,4)),YEAR(Risultati!D157))</f>
        <v/>
      </c>
      <c r="E158" s="6">
        <f>+Risultati!E157</f>
        <v>0</v>
      </c>
      <c r="F158" s="8" t="e">
        <f>(LEFT(Risultati!AN157,2)&amp;"-")&amp;VLOOKUP((LEFT(Risultati!AN157,2)),ateco!$B$4:$C$93,2,FALSE)</f>
        <v>#N/A</v>
      </c>
      <c r="G158" s="8" t="str">
        <f>SUBSTITUTE((Risultati!AN157&amp;"-"&amp;Risultati!AO157),",",";")</f>
        <v>-</v>
      </c>
      <c r="I158" s="10">
        <f>+Risultati!G157</f>
        <v>0</v>
      </c>
      <c r="J158" s="11" t="str">
        <f t="shared" si="134"/>
        <v>0</v>
      </c>
      <c r="K158" s="12"/>
      <c r="L158" s="10">
        <f>+Risultati!G157+Risultati!H157</f>
        <v>0</v>
      </c>
      <c r="M158" s="11" t="str">
        <f t="shared" si="135"/>
        <v>0</v>
      </c>
      <c r="N158" s="12"/>
      <c r="O158" s="10">
        <f>+Risultati!I157+Risultati!J157</f>
        <v>0</v>
      </c>
      <c r="P158" s="11" t="str">
        <f t="shared" si="136"/>
        <v>0</v>
      </c>
      <c r="Q158" s="12"/>
      <c r="R158" s="13">
        <f t="shared" si="153"/>
        <v>0</v>
      </c>
      <c r="S158" s="11" t="str">
        <f t="shared" si="137"/>
        <v>0</v>
      </c>
      <c r="T158" s="12"/>
      <c r="U158" s="10">
        <f>+Risultati!F157-(Risultati!G157+Risultati!H157)</f>
        <v>0</v>
      </c>
      <c r="V158" s="12" t="str">
        <f t="shared" si="138"/>
        <v>0</v>
      </c>
      <c r="W158" s="12"/>
      <c r="X158" s="10">
        <f t="shared" si="154"/>
        <v>0</v>
      </c>
      <c r="Y158" s="12" t="str">
        <f t="shared" si="139"/>
        <v>0</v>
      </c>
      <c r="Z158" s="12"/>
      <c r="AA158" s="10">
        <f>+Risultati!K157</f>
        <v>0</v>
      </c>
      <c r="AB158" s="12" t="str">
        <f t="shared" si="140"/>
        <v>0</v>
      </c>
      <c r="AC158" s="12"/>
      <c r="AD158" s="10">
        <f>+Risultati!L157</f>
        <v>0</v>
      </c>
      <c r="AE158" s="12" t="str">
        <f t="shared" si="141"/>
        <v>0</v>
      </c>
      <c r="AF158" s="12"/>
      <c r="AG158" s="10">
        <f>+Risultati!M157+Risultati!P157+Risultati!Q157</f>
        <v>0</v>
      </c>
      <c r="AH158" s="12" t="str">
        <f t="shared" si="142"/>
        <v>0</v>
      </c>
      <c r="AI158" s="12"/>
      <c r="AJ158" s="13">
        <f t="shared" si="155"/>
        <v>0</v>
      </c>
      <c r="AK158" s="11" t="str">
        <f t="shared" si="143"/>
        <v>0</v>
      </c>
      <c r="AL158" s="12"/>
      <c r="AM158" s="10">
        <f>+Risultati!N157</f>
        <v>0</v>
      </c>
      <c r="AN158" s="12" t="str">
        <f t="shared" si="144"/>
        <v>0</v>
      </c>
      <c r="AO158" s="12"/>
      <c r="AP158" s="10">
        <f t="shared" si="156"/>
        <v>0</v>
      </c>
      <c r="AQ158" s="41" t="str">
        <f t="shared" si="145"/>
        <v>0</v>
      </c>
      <c r="AR158" s="12"/>
      <c r="AS158" s="10">
        <f>+Risultati!O157</f>
        <v>0</v>
      </c>
      <c r="AT158" s="12" t="str">
        <f t="shared" si="146"/>
        <v>0</v>
      </c>
      <c r="AU158" s="12"/>
      <c r="AV158" s="10">
        <f t="shared" si="157"/>
        <v>0</v>
      </c>
      <c r="AW158" s="12" t="str">
        <f t="shared" si="147"/>
        <v>0</v>
      </c>
      <c r="AX158" s="12"/>
      <c r="AY158" s="10">
        <f>+Risultati!R157+Risultati!S157</f>
        <v>0</v>
      </c>
      <c r="AZ158" s="12" t="str">
        <f t="shared" si="148"/>
        <v>0</v>
      </c>
      <c r="BA158" s="12"/>
      <c r="BB158" s="10">
        <f>+Risultati!T157</f>
        <v>0</v>
      </c>
      <c r="BC158" s="12" t="str">
        <f t="shared" si="149"/>
        <v>0</v>
      </c>
      <c r="BD158" s="12"/>
      <c r="BE158" s="10">
        <f>+Risultati!U157</f>
        <v>0</v>
      </c>
      <c r="BF158" s="12" t="str">
        <f t="shared" si="150"/>
        <v>0</v>
      </c>
      <c r="BG158" s="12"/>
      <c r="BH158" s="10">
        <f t="shared" si="158"/>
        <v>0</v>
      </c>
      <c r="BI158" s="12" t="str">
        <f t="shared" si="151"/>
        <v>0</v>
      </c>
      <c r="BK158" s="16">
        <f>IF(ISNUMBER(Risultati!X157/100),(Risultati!X157/100))</f>
        <v>0</v>
      </c>
      <c r="BL158" s="16">
        <f>IF(ISNUMBER(Risultati!Y157/100),(Risultati!Y157/100))</f>
        <v>0</v>
      </c>
      <c r="BM158" s="16">
        <f>IF(ISNUMBER(Risultati!Z157/100),(Risultati!Z157/100))</f>
        <v>0</v>
      </c>
      <c r="BN158" s="16">
        <f>IF(AND(Risultati!AY157&lt;0,calcoli!AP158&lt;0),-IF(ISNUMBER(Risultati!AA157/100),(Risultati!AA157/100)),IF(ISNUMBER(Risultati!AA157/100),(Risultati!AA157/100)))</f>
        <v>0</v>
      </c>
      <c r="BO158" s="16" t="str">
        <f t="shared" si="132"/>
        <v>0</v>
      </c>
      <c r="BP158" s="16" t="str">
        <f>IF(Risultati!AB157&gt;0,(AV158/Risultati!AB157),"0")</f>
        <v>0</v>
      </c>
      <c r="BQ158" s="16" t="str">
        <f>IF(Risultati!AG157&lt;&gt;0,(BH158/Risultati!AG157),"0")</f>
        <v>0</v>
      </c>
      <c r="BR158" s="16" t="str">
        <f t="shared" si="133"/>
        <v>0</v>
      </c>
      <c r="BS158" s="14" t="str">
        <f>IF(Risultati!AB157&gt;0,(Risultati!G157/Risultati!AB157),"0")</f>
        <v>0</v>
      </c>
      <c r="BT158" s="15" t="str">
        <f>IF(Risultati!AG157&lt;&gt;0,(Risultati!AB157/Risultati!AG157),"0")</f>
        <v>0</v>
      </c>
      <c r="BU158" s="23" t="str">
        <f>IF(AND(Risultati!G157&gt;0,(Risultati!AE157-Risultati!AF157)&gt;=0),((Risultati!AE157-Risultati!AF157)/Risultati!G157*360),"0")</f>
        <v>0</v>
      </c>
      <c r="BV158" s="21" t="str">
        <f>IF(OR(E158="abbreviato",Risultati!G157=0),"0",((Risultati!AC157+Risultati!AD157)/Risultati!G157*360))</f>
        <v>0</v>
      </c>
      <c r="BW158" s="21" t="str">
        <f>IF(OR(E158="abbreviato",Risultati!G157=0,SUM(Risultati!I157+Risultati!K157+Risultati!M157)=0),"0",(((Risultati!AH157+Risultati!AI157)/(Risultati!I157+Risultati!K157+Risultati!N157)*360)))</f>
        <v>0</v>
      </c>
      <c r="BX158" s="16" t="str">
        <f>IF(Risultati!AB157&gt;0,(+Risultati!AG157/Risultati!AB157),"0")</f>
        <v>0</v>
      </c>
      <c r="BY158" s="22" t="str">
        <f>IF(OR(E158="abbreviato",Risultati!G157=0),"0",(((Risultati!AK157-(Risultati!AL157+Risultati!AM157))/Risultati!G157)))</f>
        <v>0</v>
      </c>
      <c r="BZ158" s="16" t="str">
        <f>IF(Risultati!G157&gt;0,(Risultati!AJ157/Risultati!G157),"0")</f>
        <v>0</v>
      </c>
      <c r="CA158" s="8"/>
      <c r="CB158" s="10">
        <f>+Risultati!AP157</f>
        <v>0</v>
      </c>
      <c r="CC158" s="31" t="str">
        <f t="shared" si="159"/>
        <v>0</v>
      </c>
      <c r="CD158" s="10">
        <f>+Risultati!AQ157</f>
        <v>0</v>
      </c>
      <c r="CE158" s="31" t="str">
        <f t="shared" si="160"/>
        <v>0</v>
      </c>
      <c r="CF158" s="10">
        <f>+Risultati!AR157</f>
        <v>0</v>
      </c>
      <c r="CG158" s="31" t="str">
        <f t="shared" si="161"/>
        <v>0</v>
      </c>
      <c r="CH158" s="10">
        <f>+Risultati!AS157</f>
        <v>0</v>
      </c>
      <c r="CI158" s="31" t="str">
        <f t="shared" si="162"/>
        <v>0</v>
      </c>
      <c r="CJ158" s="10">
        <f t="shared" si="163"/>
        <v>0</v>
      </c>
      <c r="CK158" s="31" t="str">
        <f t="shared" si="164"/>
        <v>0</v>
      </c>
      <c r="CL158" s="10">
        <f>+Risultati!AE157+Risultati!AF157</f>
        <v>0</v>
      </c>
      <c r="CM158" s="31" t="str">
        <f t="shared" si="165"/>
        <v>0</v>
      </c>
      <c r="CN158" s="10">
        <f>+Risultati!AT157</f>
        <v>0</v>
      </c>
      <c r="CO158" s="31" t="str">
        <f t="shared" si="166"/>
        <v>0</v>
      </c>
      <c r="CP158" s="10">
        <f>+Risultati!AU157</f>
        <v>0</v>
      </c>
      <c r="CQ158" s="31" t="str">
        <f t="shared" si="167"/>
        <v>0</v>
      </c>
      <c r="CR158" s="10">
        <f>+Risultati!AL157</f>
        <v>0</v>
      </c>
      <c r="CS158" s="31" t="str">
        <f t="shared" si="168"/>
        <v>0</v>
      </c>
      <c r="CT158" s="10">
        <f t="shared" si="169"/>
        <v>0</v>
      </c>
      <c r="CU158" s="31" t="str">
        <f t="shared" si="170"/>
        <v>0</v>
      </c>
      <c r="CV158" s="10">
        <f>+Risultati!AX157</f>
        <v>0</v>
      </c>
      <c r="CW158" s="31" t="str">
        <f t="shared" si="171"/>
        <v>0</v>
      </c>
      <c r="CX158" s="10">
        <f t="shared" si="172"/>
        <v>0</v>
      </c>
      <c r="CY158" s="31" t="str">
        <f t="shared" si="173"/>
        <v>0</v>
      </c>
      <c r="CZ158" s="10">
        <f>+Risultati!AG157</f>
        <v>0</v>
      </c>
      <c r="DA158" s="31" t="str">
        <f t="shared" si="174"/>
        <v>0</v>
      </c>
      <c r="DB158" s="10">
        <f t="shared" si="175"/>
        <v>0</v>
      </c>
      <c r="DC158" s="31" t="str">
        <f t="shared" si="176"/>
        <v>0</v>
      </c>
      <c r="DD158" s="10">
        <f>+Risultati!AV157</f>
        <v>0</v>
      </c>
      <c r="DE158" s="31" t="str">
        <f t="shared" si="177"/>
        <v>0</v>
      </c>
      <c r="DF158" s="10">
        <f>+Risultati!AJ157</f>
        <v>0</v>
      </c>
      <c r="DG158" s="31" t="str">
        <f t="shared" si="178"/>
        <v>0</v>
      </c>
      <c r="DH158" s="10">
        <f t="shared" si="179"/>
        <v>0</v>
      </c>
      <c r="DI158" s="31" t="str">
        <f t="shared" si="180"/>
        <v>0</v>
      </c>
      <c r="DJ158" s="10">
        <f>+Risultati!AW157</f>
        <v>0</v>
      </c>
      <c r="DK158" s="31" t="str">
        <f t="shared" si="181"/>
        <v>0</v>
      </c>
      <c r="DL158" s="10">
        <f t="shared" si="152"/>
        <v>0</v>
      </c>
      <c r="DM158" s="31" t="str">
        <f t="shared" si="182"/>
        <v>0</v>
      </c>
      <c r="DO158" s="30"/>
      <c r="DP158" s="30"/>
    </row>
    <row r="159" spans="1:120" x14ac:dyDescent="0.2">
      <c r="A159" s="5"/>
      <c r="B159" s="6">
        <f>+Risultati!B158</f>
        <v>0</v>
      </c>
      <c r="C159" s="6">
        <f>+Risultati!C158</f>
        <v>0</v>
      </c>
      <c r="D159" s="26" t="str">
        <f>IF(YEAR(Risultati!D158)=1900,(MID(Risultati!$AP$1,29,4)),YEAR(Risultati!D158))</f>
        <v/>
      </c>
      <c r="E159" s="6">
        <f>+Risultati!E158</f>
        <v>0</v>
      </c>
      <c r="F159" s="8" t="e">
        <f>(LEFT(Risultati!AN158,2)&amp;"-")&amp;VLOOKUP((LEFT(Risultati!AN158,2)),ateco!$B$4:$C$93,2,FALSE)</f>
        <v>#N/A</v>
      </c>
      <c r="G159" s="8" t="str">
        <f>SUBSTITUTE((Risultati!AN158&amp;"-"&amp;Risultati!AO158),",",";")</f>
        <v>-</v>
      </c>
      <c r="I159" s="10">
        <f>+Risultati!G158</f>
        <v>0</v>
      </c>
      <c r="J159" s="11" t="str">
        <f t="shared" si="134"/>
        <v>0</v>
      </c>
      <c r="K159" s="12"/>
      <c r="L159" s="10">
        <f>+Risultati!G158+Risultati!H158</f>
        <v>0</v>
      </c>
      <c r="M159" s="11" t="str">
        <f t="shared" si="135"/>
        <v>0</v>
      </c>
      <c r="N159" s="12"/>
      <c r="O159" s="10">
        <f>+Risultati!I158+Risultati!J158</f>
        <v>0</v>
      </c>
      <c r="P159" s="11" t="str">
        <f t="shared" si="136"/>
        <v>0</v>
      </c>
      <c r="Q159" s="12"/>
      <c r="R159" s="13">
        <f t="shared" si="153"/>
        <v>0</v>
      </c>
      <c r="S159" s="11" t="str">
        <f t="shared" si="137"/>
        <v>0</v>
      </c>
      <c r="T159" s="12"/>
      <c r="U159" s="10">
        <f>+Risultati!F158-(Risultati!G158+Risultati!H158)</f>
        <v>0</v>
      </c>
      <c r="V159" s="12" t="str">
        <f t="shared" si="138"/>
        <v>0</v>
      </c>
      <c r="W159" s="12"/>
      <c r="X159" s="10">
        <f t="shared" si="154"/>
        <v>0</v>
      </c>
      <c r="Y159" s="12" t="str">
        <f t="shared" si="139"/>
        <v>0</v>
      </c>
      <c r="Z159" s="12"/>
      <c r="AA159" s="10">
        <f>+Risultati!K158</f>
        <v>0</v>
      </c>
      <c r="AB159" s="12" t="str">
        <f t="shared" si="140"/>
        <v>0</v>
      </c>
      <c r="AC159" s="12"/>
      <c r="AD159" s="10">
        <f>+Risultati!L158</f>
        <v>0</v>
      </c>
      <c r="AE159" s="12" t="str">
        <f t="shared" si="141"/>
        <v>0</v>
      </c>
      <c r="AF159" s="12"/>
      <c r="AG159" s="10">
        <f>+Risultati!M158+Risultati!P158+Risultati!Q158</f>
        <v>0</v>
      </c>
      <c r="AH159" s="12" t="str">
        <f t="shared" si="142"/>
        <v>0</v>
      </c>
      <c r="AI159" s="12"/>
      <c r="AJ159" s="13">
        <f t="shared" si="155"/>
        <v>0</v>
      </c>
      <c r="AK159" s="11" t="str">
        <f t="shared" si="143"/>
        <v>0</v>
      </c>
      <c r="AL159" s="12"/>
      <c r="AM159" s="10">
        <f>+Risultati!N158</f>
        <v>0</v>
      </c>
      <c r="AN159" s="12" t="str">
        <f t="shared" si="144"/>
        <v>0</v>
      </c>
      <c r="AO159" s="12"/>
      <c r="AP159" s="10">
        <f t="shared" si="156"/>
        <v>0</v>
      </c>
      <c r="AQ159" s="41" t="str">
        <f t="shared" si="145"/>
        <v>0</v>
      </c>
      <c r="AR159" s="12"/>
      <c r="AS159" s="10">
        <f>+Risultati!O158</f>
        <v>0</v>
      </c>
      <c r="AT159" s="12" t="str">
        <f t="shared" si="146"/>
        <v>0</v>
      </c>
      <c r="AU159" s="12"/>
      <c r="AV159" s="10">
        <f t="shared" si="157"/>
        <v>0</v>
      </c>
      <c r="AW159" s="12" t="str">
        <f t="shared" si="147"/>
        <v>0</v>
      </c>
      <c r="AX159" s="12"/>
      <c r="AY159" s="10">
        <f>+Risultati!R158+Risultati!S158</f>
        <v>0</v>
      </c>
      <c r="AZ159" s="12" t="str">
        <f t="shared" si="148"/>
        <v>0</v>
      </c>
      <c r="BA159" s="12"/>
      <c r="BB159" s="10">
        <f>+Risultati!T158</f>
        <v>0</v>
      </c>
      <c r="BC159" s="12" t="str">
        <f t="shared" si="149"/>
        <v>0</v>
      </c>
      <c r="BD159" s="12"/>
      <c r="BE159" s="10">
        <f>+Risultati!U158</f>
        <v>0</v>
      </c>
      <c r="BF159" s="12" t="str">
        <f t="shared" si="150"/>
        <v>0</v>
      </c>
      <c r="BG159" s="12"/>
      <c r="BH159" s="10">
        <f t="shared" si="158"/>
        <v>0</v>
      </c>
      <c r="BI159" s="12" t="str">
        <f t="shared" si="151"/>
        <v>0</v>
      </c>
      <c r="BK159" s="16">
        <f>IF(ISNUMBER(Risultati!X158/100),(Risultati!X158/100))</f>
        <v>0</v>
      </c>
      <c r="BL159" s="16">
        <f>IF(ISNUMBER(Risultati!Y158/100),(Risultati!Y158/100))</f>
        <v>0</v>
      </c>
      <c r="BM159" s="16">
        <f>IF(ISNUMBER(Risultati!Z158/100),(Risultati!Z158/100))</f>
        <v>0</v>
      </c>
      <c r="BN159" s="16">
        <f>IF(AND(Risultati!AY158&lt;0,calcoli!AP159&lt;0),-IF(ISNUMBER(Risultati!AA158/100),(Risultati!AA158/100)),IF(ISNUMBER(Risultati!AA158/100),(Risultati!AA158/100)))</f>
        <v>0</v>
      </c>
      <c r="BO159" s="16" t="str">
        <f t="shared" si="132"/>
        <v>0</v>
      </c>
      <c r="BP159" s="16" t="str">
        <f>IF(Risultati!AB158&gt;0,(AV159/Risultati!AB158),"0")</f>
        <v>0</v>
      </c>
      <c r="BQ159" s="16" t="str">
        <f>IF(Risultati!AG158&lt;&gt;0,(BH159/Risultati!AG158),"0")</f>
        <v>0</v>
      </c>
      <c r="BR159" s="16" t="str">
        <f t="shared" si="133"/>
        <v>0</v>
      </c>
      <c r="BS159" s="14" t="str">
        <f>IF(Risultati!AB158&gt;0,(Risultati!G158/Risultati!AB158),"0")</f>
        <v>0</v>
      </c>
      <c r="BT159" s="15" t="str">
        <f>IF(Risultati!AG158&lt;&gt;0,(Risultati!AB158/Risultati!AG158),"0")</f>
        <v>0</v>
      </c>
      <c r="BU159" s="23" t="str">
        <f>IF(AND(Risultati!G158&gt;0,(Risultati!AE158-Risultati!AF158)&gt;=0),((Risultati!AE158-Risultati!AF158)/Risultati!G158*360),"0")</f>
        <v>0</v>
      </c>
      <c r="BV159" s="21" t="str">
        <f>IF(OR(E159="abbreviato",Risultati!G158=0),"0",((Risultati!AC158+Risultati!AD158)/Risultati!G158*360))</f>
        <v>0</v>
      </c>
      <c r="BW159" s="21" t="str">
        <f>IF(OR(E159="abbreviato",Risultati!G158=0,SUM(Risultati!I158+Risultati!K158+Risultati!M158)=0),"0",(((Risultati!AH158+Risultati!AI158)/(Risultati!I158+Risultati!K158+Risultati!N158)*360)))</f>
        <v>0</v>
      </c>
      <c r="BX159" s="16" t="str">
        <f>IF(Risultati!AB158&gt;0,(+Risultati!AG158/Risultati!AB158),"0")</f>
        <v>0</v>
      </c>
      <c r="BY159" s="22" t="str">
        <f>IF(OR(E159="abbreviato",Risultati!G158=0),"0",(((Risultati!AK158-(Risultati!AL158+Risultati!AM158))/Risultati!G158)))</f>
        <v>0</v>
      </c>
      <c r="BZ159" s="16" t="str">
        <f>IF(Risultati!G158&gt;0,(Risultati!AJ158/Risultati!G158),"0")</f>
        <v>0</v>
      </c>
      <c r="CA159" s="8"/>
      <c r="CB159" s="10">
        <f>+Risultati!AP158</f>
        <v>0</v>
      </c>
      <c r="CC159" s="31" t="str">
        <f t="shared" si="159"/>
        <v>0</v>
      </c>
      <c r="CD159" s="10">
        <f>+Risultati!AQ158</f>
        <v>0</v>
      </c>
      <c r="CE159" s="31" t="str">
        <f t="shared" si="160"/>
        <v>0</v>
      </c>
      <c r="CF159" s="10">
        <f>+Risultati!AR158</f>
        <v>0</v>
      </c>
      <c r="CG159" s="31" t="str">
        <f t="shared" si="161"/>
        <v>0</v>
      </c>
      <c r="CH159" s="10">
        <f>+Risultati!AS158</f>
        <v>0</v>
      </c>
      <c r="CI159" s="31" t="str">
        <f t="shared" si="162"/>
        <v>0</v>
      </c>
      <c r="CJ159" s="10">
        <f t="shared" si="163"/>
        <v>0</v>
      </c>
      <c r="CK159" s="31" t="str">
        <f t="shared" si="164"/>
        <v>0</v>
      </c>
      <c r="CL159" s="10">
        <f>+Risultati!AE158+Risultati!AF158</f>
        <v>0</v>
      </c>
      <c r="CM159" s="31" t="str">
        <f t="shared" si="165"/>
        <v>0</v>
      </c>
      <c r="CN159" s="10">
        <f>+Risultati!AT158</f>
        <v>0</v>
      </c>
      <c r="CO159" s="31" t="str">
        <f t="shared" si="166"/>
        <v>0</v>
      </c>
      <c r="CP159" s="10">
        <f>+Risultati!AU158</f>
        <v>0</v>
      </c>
      <c r="CQ159" s="31" t="str">
        <f t="shared" si="167"/>
        <v>0</v>
      </c>
      <c r="CR159" s="10">
        <f>+Risultati!AL158</f>
        <v>0</v>
      </c>
      <c r="CS159" s="31" t="str">
        <f t="shared" si="168"/>
        <v>0</v>
      </c>
      <c r="CT159" s="10">
        <f t="shared" si="169"/>
        <v>0</v>
      </c>
      <c r="CU159" s="31" t="str">
        <f t="shared" si="170"/>
        <v>0</v>
      </c>
      <c r="CV159" s="10">
        <f>+Risultati!AX158</f>
        <v>0</v>
      </c>
      <c r="CW159" s="31" t="str">
        <f t="shared" si="171"/>
        <v>0</v>
      </c>
      <c r="CX159" s="10">
        <f t="shared" si="172"/>
        <v>0</v>
      </c>
      <c r="CY159" s="31" t="str">
        <f t="shared" si="173"/>
        <v>0</v>
      </c>
      <c r="CZ159" s="10">
        <f>+Risultati!AG158</f>
        <v>0</v>
      </c>
      <c r="DA159" s="31" t="str">
        <f t="shared" si="174"/>
        <v>0</v>
      </c>
      <c r="DB159" s="10">
        <f t="shared" si="175"/>
        <v>0</v>
      </c>
      <c r="DC159" s="31" t="str">
        <f t="shared" si="176"/>
        <v>0</v>
      </c>
      <c r="DD159" s="10">
        <f>+Risultati!AV158</f>
        <v>0</v>
      </c>
      <c r="DE159" s="31" t="str">
        <f t="shared" si="177"/>
        <v>0</v>
      </c>
      <c r="DF159" s="10">
        <f>+Risultati!AJ158</f>
        <v>0</v>
      </c>
      <c r="DG159" s="31" t="str">
        <f t="shared" si="178"/>
        <v>0</v>
      </c>
      <c r="DH159" s="10">
        <f t="shared" si="179"/>
        <v>0</v>
      </c>
      <c r="DI159" s="31" t="str">
        <f t="shared" si="180"/>
        <v>0</v>
      </c>
      <c r="DJ159" s="10">
        <f>+Risultati!AW158</f>
        <v>0</v>
      </c>
      <c r="DK159" s="31" t="str">
        <f t="shared" si="181"/>
        <v>0</v>
      </c>
      <c r="DL159" s="10">
        <f t="shared" si="152"/>
        <v>0</v>
      </c>
      <c r="DM159" s="31" t="str">
        <f t="shared" si="182"/>
        <v>0</v>
      </c>
      <c r="DO159" s="30"/>
      <c r="DP159" s="30"/>
    </row>
    <row r="160" spans="1:120" x14ac:dyDescent="0.2">
      <c r="A160" s="5"/>
      <c r="B160" s="6">
        <f>+Risultati!B159</f>
        <v>0</v>
      </c>
      <c r="C160" s="6">
        <f>+Risultati!C159</f>
        <v>0</v>
      </c>
      <c r="D160" s="26" t="str">
        <f>IF(YEAR(Risultati!D159)=1900,(MID(Risultati!$AP$1,29,4)),YEAR(Risultati!D159))</f>
        <v/>
      </c>
      <c r="E160" s="6">
        <f>+Risultati!E159</f>
        <v>0</v>
      </c>
      <c r="F160" s="8" t="e">
        <f>(LEFT(Risultati!AN159,2)&amp;"-")&amp;VLOOKUP((LEFT(Risultati!AN159,2)),ateco!$B$4:$C$93,2,FALSE)</f>
        <v>#N/A</v>
      </c>
      <c r="G160" s="8" t="str">
        <f>SUBSTITUTE((Risultati!AN159&amp;"-"&amp;Risultati!AO159),",",";")</f>
        <v>-</v>
      </c>
      <c r="I160" s="10">
        <f>+Risultati!G159</f>
        <v>0</v>
      </c>
      <c r="J160" s="11" t="str">
        <f t="shared" si="134"/>
        <v>0</v>
      </c>
      <c r="K160" s="12"/>
      <c r="L160" s="10">
        <f>+Risultati!G159+Risultati!H159</f>
        <v>0</v>
      </c>
      <c r="M160" s="11" t="str">
        <f t="shared" si="135"/>
        <v>0</v>
      </c>
      <c r="N160" s="12"/>
      <c r="O160" s="10">
        <f>+Risultati!I159+Risultati!J159</f>
        <v>0</v>
      </c>
      <c r="P160" s="11" t="str">
        <f t="shared" si="136"/>
        <v>0</v>
      </c>
      <c r="Q160" s="12"/>
      <c r="R160" s="13">
        <f t="shared" si="153"/>
        <v>0</v>
      </c>
      <c r="S160" s="11" t="str">
        <f t="shared" si="137"/>
        <v>0</v>
      </c>
      <c r="T160" s="12"/>
      <c r="U160" s="10">
        <f>+Risultati!F159-(Risultati!G159+Risultati!H159)</f>
        <v>0</v>
      </c>
      <c r="V160" s="12" t="str">
        <f t="shared" si="138"/>
        <v>0</v>
      </c>
      <c r="W160" s="12"/>
      <c r="X160" s="10">
        <f t="shared" si="154"/>
        <v>0</v>
      </c>
      <c r="Y160" s="12" t="str">
        <f t="shared" si="139"/>
        <v>0</v>
      </c>
      <c r="Z160" s="12"/>
      <c r="AA160" s="10">
        <f>+Risultati!K159</f>
        <v>0</v>
      </c>
      <c r="AB160" s="12" t="str">
        <f t="shared" si="140"/>
        <v>0</v>
      </c>
      <c r="AC160" s="12"/>
      <c r="AD160" s="10">
        <f>+Risultati!L159</f>
        <v>0</v>
      </c>
      <c r="AE160" s="12" t="str">
        <f t="shared" si="141"/>
        <v>0</v>
      </c>
      <c r="AF160" s="12"/>
      <c r="AG160" s="10">
        <f>+Risultati!M159+Risultati!P159+Risultati!Q159</f>
        <v>0</v>
      </c>
      <c r="AH160" s="12" t="str">
        <f t="shared" si="142"/>
        <v>0</v>
      </c>
      <c r="AI160" s="12"/>
      <c r="AJ160" s="13">
        <f t="shared" si="155"/>
        <v>0</v>
      </c>
      <c r="AK160" s="11" t="str">
        <f t="shared" si="143"/>
        <v>0</v>
      </c>
      <c r="AL160" s="12"/>
      <c r="AM160" s="10">
        <f>+Risultati!N159</f>
        <v>0</v>
      </c>
      <c r="AN160" s="12" t="str">
        <f t="shared" si="144"/>
        <v>0</v>
      </c>
      <c r="AO160" s="12"/>
      <c r="AP160" s="10">
        <f t="shared" si="156"/>
        <v>0</v>
      </c>
      <c r="AQ160" s="41" t="str">
        <f t="shared" si="145"/>
        <v>0</v>
      </c>
      <c r="AR160" s="12"/>
      <c r="AS160" s="10">
        <f>+Risultati!O159</f>
        <v>0</v>
      </c>
      <c r="AT160" s="12" t="str">
        <f t="shared" si="146"/>
        <v>0</v>
      </c>
      <c r="AU160" s="12"/>
      <c r="AV160" s="10">
        <f t="shared" si="157"/>
        <v>0</v>
      </c>
      <c r="AW160" s="12" t="str">
        <f t="shared" si="147"/>
        <v>0</v>
      </c>
      <c r="AX160" s="12"/>
      <c r="AY160" s="10">
        <f>+Risultati!R159+Risultati!S159</f>
        <v>0</v>
      </c>
      <c r="AZ160" s="12" t="str">
        <f t="shared" si="148"/>
        <v>0</v>
      </c>
      <c r="BA160" s="12"/>
      <c r="BB160" s="10">
        <f>+Risultati!T159</f>
        <v>0</v>
      </c>
      <c r="BC160" s="12" t="str">
        <f t="shared" si="149"/>
        <v>0</v>
      </c>
      <c r="BD160" s="12"/>
      <c r="BE160" s="10">
        <f>+Risultati!U159</f>
        <v>0</v>
      </c>
      <c r="BF160" s="12" t="str">
        <f t="shared" si="150"/>
        <v>0</v>
      </c>
      <c r="BG160" s="12"/>
      <c r="BH160" s="10">
        <f t="shared" si="158"/>
        <v>0</v>
      </c>
      <c r="BI160" s="12" t="str">
        <f t="shared" si="151"/>
        <v>0</v>
      </c>
      <c r="BK160" s="16">
        <f>IF(ISNUMBER(Risultati!X159/100),(Risultati!X159/100))</f>
        <v>0</v>
      </c>
      <c r="BL160" s="16">
        <f>IF(ISNUMBER(Risultati!Y159/100),(Risultati!Y159/100))</f>
        <v>0</v>
      </c>
      <c r="BM160" s="16">
        <f>IF(ISNUMBER(Risultati!Z159/100),(Risultati!Z159/100))</f>
        <v>0</v>
      </c>
      <c r="BN160" s="16">
        <f>IF(AND(Risultati!AY159&lt;0,calcoli!AP160&lt;0),-IF(ISNUMBER(Risultati!AA159/100),(Risultati!AA159/100)),IF(ISNUMBER(Risultati!AA159/100),(Risultati!AA159/100)))</f>
        <v>0</v>
      </c>
      <c r="BO160" s="16" t="str">
        <f t="shared" si="132"/>
        <v>0</v>
      </c>
      <c r="BP160" s="16" t="str">
        <f>IF(Risultati!AB159&gt;0,(AV160/Risultati!AB159),"0")</f>
        <v>0</v>
      </c>
      <c r="BQ160" s="16" t="str">
        <f>IF(Risultati!AG159&lt;&gt;0,(BH160/Risultati!AG159),"0")</f>
        <v>0</v>
      </c>
      <c r="BR160" s="16" t="str">
        <f t="shared" si="133"/>
        <v>0</v>
      </c>
      <c r="BS160" s="14" t="str">
        <f>IF(Risultati!AB159&gt;0,(Risultati!G159/Risultati!AB159),"0")</f>
        <v>0</v>
      </c>
      <c r="BT160" s="15" t="str">
        <f>IF(Risultati!AG159&lt;&gt;0,(Risultati!AB159/Risultati!AG159),"0")</f>
        <v>0</v>
      </c>
      <c r="BU160" s="23" t="str">
        <f>IF(AND(Risultati!G159&gt;0,(Risultati!AE159-Risultati!AF159)&gt;=0),((Risultati!AE159-Risultati!AF159)/Risultati!G159*360),"0")</f>
        <v>0</v>
      </c>
      <c r="BV160" s="21" t="str">
        <f>IF(OR(E160="abbreviato",Risultati!G159=0),"0",((Risultati!AC159+Risultati!AD159)/Risultati!G159*360))</f>
        <v>0</v>
      </c>
      <c r="BW160" s="21" t="str">
        <f>IF(OR(E160="abbreviato",Risultati!G159=0,SUM(Risultati!I159+Risultati!K159+Risultati!M159)=0),"0",(((Risultati!AH159+Risultati!AI159)/(Risultati!I159+Risultati!K159+Risultati!N159)*360)))</f>
        <v>0</v>
      </c>
      <c r="BX160" s="16" t="str">
        <f>IF(Risultati!AB159&gt;0,(+Risultati!AG159/Risultati!AB159),"0")</f>
        <v>0</v>
      </c>
      <c r="BY160" s="22" t="str">
        <f>IF(OR(E160="abbreviato",Risultati!G159=0),"0",(((Risultati!AK159-(Risultati!AL159+Risultati!AM159))/Risultati!G159)))</f>
        <v>0</v>
      </c>
      <c r="BZ160" s="16" t="str">
        <f>IF(Risultati!G159&gt;0,(Risultati!AJ159/Risultati!G159),"0")</f>
        <v>0</v>
      </c>
      <c r="CA160" s="8"/>
      <c r="CB160" s="10">
        <f>+Risultati!AP159</f>
        <v>0</v>
      </c>
      <c r="CC160" s="31" t="str">
        <f t="shared" si="159"/>
        <v>0</v>
      </c>
      <c r="CD160" s="10">
        <f>+Risultati!AQ159</f>
        <v>0</v>
      </c>
      <c r="CE160" s="31" t="str">
        <f t="shared" si="160"/>
        <v>0</v>
      </c>
      <c r="CF160" s="10">
        <f>+Risultati!AR159</f>
        <v>0</v>
      </c>
      <c r="CG160" s="31" t="str">
        <f t="shared" si="161"/>
        <v>0</v>
      </c>
      <c r="CH160" s="10">
        <f>+Risultati!AS159</f>
        <v>0</v>
      </c>
      <c r="CI160" s="31" t="str">
        <f t="shared" si="162"/>
        <v>0</v>
      </c>
      <c r="CJ160" s="10">
        <f t="shared" si="163"/>
        <v>0</v>
      </c>
      <c r="CK160" s="31" t="str">
        <f t="shared" si="164"/>
        <v>0</v>
      </c>
      <c r="CL160" s="10">
        <f>+Risultati!AE159+Risultati!AF159</f>
        <v>0</v>
      </c>
      <c r="CM160" s="31" t="str">
        <f t="shared" si="165"/>
        <v>0</v>
      </c>
      <c r="CN160" s="10">
        <f>+Risultati!AT159</f>
        <v>0</v>
      </c>
      <c r="CO160" s="31" t="str">
        <f t="shared" si="166"/>
        <v>0</v>
      </c>
      <c r="CP160" s="10">
        <f>+Risultati!AU159</f>
        <v>0</v>
      </c>
      <c r="CQ160" s="31" t="str">
        <f t="shared" si="167"/>
        <v>0</v>
      </c>
      <c r="CR160" s="10">
        <f>+Risultati!AL159</f>
        <v>0</v>
      </c>
      <c r="CS160" s="31" t="str">
        <f t="shared" si="168"/>
        <v>0</v>
      </c>
      <c r="CT160" s="10">
        <f t="shared" si="169"/>
        <v>0</v>
      </c>
      <c r="CU160" s="31" t="str">
        <f t="shared" si="170"/>
        <v>0</v>
      </c>
      <c r="CV160" s="10">
        <f>+Risultati!AX159</f>
        <v>0</v>
      </c>
      <c r="CW160" s="31" t="str">
        <f t="shared" si="171"/>
        <v>0</v>
      </c>
      <c r="CX160" s="10">
        <f t="shared" si="172"/>
        <v>0</v>
      </c>
      <c r="CY160" s="31" t="str">
        <f t="shared" si="173"/>
        <v>0</v>
      </c>
      <c r="CZ160" s="10">
        <f>+Risultati!AG159</f>
        <v>0</v>
      </c>
      <c r="DA160" s="31" t="str">
        <f t="shared" si="174"/>
        <v>0</v>
      </c>
      <c r="DB160" s="10">
        <f t="shared" si="175"/>
        <v>0</v>
      </c>
      <c r="DC160" s="31" t="str">
        <f t="shared" si="176"/>
        <v>0</v>
      </c>
      <c r="DD160" s="10">
        <f>+Risultati!AV159</f>
        <v>0</v>
      </c>
      <c r="DE160" s="31" t="str">
        <f t="shared" si="177"/>
        <v>0</v>
      </c>
      <c r="DF160" s="10">
        <f>+Risultati!AJ159</f>
        <v>0</v>
      </c>
      <c r="DG160" s="31" t="str">
        <f t="shared" si="178"/>
        <v>0</v>
      </c>
      <c r="DH160" s="10">
        <f t="shared" si="179"/>
        <v>0</v>
      </c>
      <c r="DI160" s="31" t="str">
        <f t="shared" si="180"/>
        <v>0</v>
      </c>
      <c r="DJ160" s="10">
        <f>+Risultati!AW159</f>
        <v>0</v>
      </c>
      <c r="DK160" s="31" t="str">
        <f t="shared" si="181"/>
        <v>0</v>
      </c>
      <c r="DL160" s="10">
        <f t="shared" si="152"/>
        <v>0</v>
      </c>
      <c r="DM160" s="31" t="str">
        <f t="shared" si="182"/>
        <v>0</v>
      </c>
      <c r="DO160" s="30"/>
      <c r="DP160" s="30"/>
    </row>
    <row r="161" spans="1:120" x14ac:dyDescent="0.2">
      <c r="A161" s="5"/>
      <c r="B161" s="6">
        <f>+Risultati!B160</f>
        <v>0</v>
      </c>
      <c r="C161" s="6">
        <f>+Risultati!C160</f>
        <v>0</v>
      </c>
      <c r="D161" s="26" t="str">
        <f>IF(YEAR(Risultati!D160)=1900,(MID(Risultati!$AP$1,29,4)),YEAR(Risultati!D160))</f>
        <v/>
      </c>
      <c r="E161" s="6">
        <f>+Risultati!E160</f>
        <v>0</v>
      </c>
      <c r="F161" s="8" t="e">
        <f>(LEFT(Risultati!AN160,2)&amp;"-")&amp;VLOOKUP((LEFT(Risultati!AN160,2)),ateco!$B$4:$C$93,2,FALSE)</f>
        <v>#N/A</v>
      </c>
      <c r="G161" s="8" t="str">
        <f>SUBSTITUTE((Risultati!AN160&amp;"-"&amp;Risultati!AO160),",",";")</f>
        <v>-</v>
      </c>
      <c r="I161" s="10">
        <f>+Risultati!G160</f>
        <v>0</v>
      </c>
      <c r="J161" s="11" t="str">
        <f t="shared" si="134"/>
        <v>0</v>
      </c>
      <c r="K161" s="12"/>
      <c r="L161" s="10">
        <f>+Risultati!G160+Risultati!H160</f>
        <v>0</v>
      </c>
      <c r="M161" s="11" t="str">
        <f t="shared" si="135"/>
        <v>0</v>
      </c>
      <c r="N161" s="12"/>
      <c r="O161" s="10">
        <f>+Risultati!I160+Risultati!J160</f>
        <v>0</v>
      </c>
      <c r="P161" s="11" t="str">
        <f t="shared" si="136"/>
        <v>0</v>
      </c>
      <c r="Q161" s="12"/>
      <c r="R161" s="13">
        <f t="shared" si="153"/>
        <v>0</v>
      </c>
      <c r="S161" s="11" t="str">
        <f t="shared" si="137"/>
        <v>0</v>
      </c>
      <c r="T161" s="12"/>
      <c r="U161" s="10">
        <f>+Risultati!F160-(Risultati!G160+Risultati!H160)</f>
        <v>0</v>
      </c>
      <c r="V161" s="12" t="str">
        <f t="shared" si="138"/>
        <v>0</v>
      </c>
      <c r="W161" s="12"/>
      <c r="X161" s="10">
        <f t="shared" si="154"/>
        <v>0</v>
      </c>
      <c r="Y161" s="12" t="str">
        <f t="shared" si="139"/>
        <v>0</v>
      </c>
      <c r="Z161" s="12"/>
      <c r="AA161" s="10">
        <f>+Risultati!K160</f>
        <v>0</v>
      </c>
      <c r="AB161" s="12" t="str">
        <f t="shared" si="140"/>
        <v>0</v>
      </c>
      <c r="AC161" s="12"/>
      <c r="AD161" s="10">
        <f>+Risultati!L160</f>
        <v>0</v>
      </c>
      <c r="AE161" s="12" t="str">
        <f t="shared" si="141"/>
        <v>0</v>
      </c>
      <c r="AF161" s="12"/>
      <c r="AG161" s="10">
        <f>+Risultati!M160+Risultati!P160+Risultati!Q160</f>
        <v>0</v>
      </c>
      <c r="AH161" s="12" t="str">
        <f t="shared" si="142"/>
        <v>0</v>
      </c>
      <c r="AI161" s="12"/>
      <c r="AJ161" s="13">
        <f t="shared" si="155"/>
        <v>0</v>
      </c>
      <c r="AK161" s="11" t="str">
        <f t="shared" si="143"/>
        <v>0</v>
      </c>
      <c r="AL161" s="12"/>
      <c r="AM161" s="10">
        <f>+Risultati!N160</f>
        <v>0</v>
      </c>
      <c r="AN161" s="12" t="str">
        <f t="shared" si="144"/>
        <v>0</v>
      </c>
      <c r="AO161" s="12"/>
      <c r="AP161" s="10">
        <f t="shared" si="156"/>
        <v>0</v>
      </c>
      <c r="AQ161" s="41" t="str">
        <f t="shared" si="145"/>
        <v>0</v>
      </c>
      <c r="AR161" s="12"/>
      <c r="AS161" s="10">
        <f>+Risultati!O160</f>
        <v>0</v>
      </c>
      <c r="AT161" s="12" t="str">
        <f t="shared" si="146"/>
        <v>0</v>
      </c>
      <c r="AU161" s="12"/>
      <c r="AV161" s="10">
        <f t="shared" si="157"/>
        <v>0</v>
      </c>
      <c r="AW161" s="12" t="str">
        <f t="shared" si="147"/>
        <v>0</v>
      </c>
      <c r="AX161" s="12"/>
      <c r="AY161" s="10">
        <f>+Risultati!R160+Risultati!S160</f>
        <v>0</v>
      </c>
      <c r="AZ161" s="12" t="str">
        <f t="shared" si="148"/>
        <v>0</v>
      </c>
      <c r="BA161" s="12"/>
      <c r="BB161" s="10">
        <f>+Risultati!T160</f>
        <v>0</v>
      </c>
      <c r="BC161" s="12" t="str">
        <f t="shared" si="149"/>
        <v>0</v>
      </c>
      <c r="BD161" s="12"/>
      <c r="BE161" s="10">
        <f>+Risultati!U160</f>
        <v>0</v>
      </c>
      <c r="BF161" s="12" t="str">
        <f t="shared" si="150"/>
        <v>0</v>
      </c>
      <c r="BG161" s="12"/>
      <c r="BH161" s="10">
        <f t="shared" si="158"/>
        <v>0</v>
      </c>
      <c r="BI161" s="12" t="str">
        <f t="shared" si="151"/>
        <v>0</v>
      </c>
      <c r="BK161" s="16">
        <f>IF(ISNUMBER(Risultati!X160/100),(Risultati!X160/100))</f>
        <v>0</v>
      </c>
      <c r="BL161" s="16">
        <f>IF(ISNUMBER(Risultati!Y160/100),(Risultati!Y160/100))</f>
        <v>0</v>
      </c>
      <c r="BM161" s="16">
        <f>IF(ISNUMBER(Risultati!Z160/100),(Risultati!Z160/100))</f>
        <v>0</v>
      </c>
      <c r="BN161" s="16">
        <f>IF(AND(Risultati!AY160&lt;0,calcoli!AP161&lt;0),-IF(ISNUMBER(Risultati!AA160/100),(Risultati!AA160/100)),IF(ISNUMBER(Risultati!AA160/100),(Risultati!AA160/100)))</f>
        <v>0</v>
      </c>
      <c r="BO161" s="16" t="str">
        <f t="shared" si="132"/>
        <v>0</v>
      </c>
      <c r="BP161" s="16" t="str">
        <f>IF(Risultati!AB160&gt;0,(AV161/Risultati!AB160),"0")</f>
        <v>0</v>
      </c>
      <c r="BQ161" s="16" t="str">
        <f>IF(Risultati!AG160&lt;&gt;0,(BH161/Risultati!AG160),"0")</f>
        <v>0</v>
      </c>
      <c r="BR161" s="16" t="str">
        <f t="shared" si="133"/>
        <v>0</v>
      </c>
      <c r="BS161" s="14" t="str">
        <f>IF(Risultati!AB160&gt;0,(Risultati!G160/Risultati!AB160),"0")</f>
        <v>0</v>
      </c>
      <c r="BT161" s="15" t="str">
        <f>IF(Risultati!AG160&lt;&gt;0,(Risultati!AB160/Risultati!AG160),"0")</f>
        <v>0</v>
      </c>
      <c r="BU161" s="23" t="str">
        <f>IF(AND(Risultati!G160&gt;0,(Risultati!AE160-Risultati!AF160)&gt;=0),((Risultati!AE160-Risultati!AF160)/Risultati!G160*360),"0")</f>
        <v>0</v>
      </c>
      <c r="BV161" s="21" t="str">
        <f>IF(OR(E161="abbreviato",Risultati!G160=0),"0",((Risultati!AC160+Risultati!AD160)/Risultati!G160*360))</f>
        <v>0</v>
      </c>
      <c r="BW161" s="21" t="str">
        <f>IF(OR(E161="abbreviato",Risultati!G160=0,SUM(Risultati!I160+Risultati!K160+Risultati!M160)=0),"0",(((Risultati!AH160+Risultati!AI160)/(Risultati!I160+Risultati!K160+Risultati!N160)*360)))</f>
        <v>0</v>
      </c>
      <c r="BX161" s="16" t="str">
        <f>IF(Risultati!AB160&gt;0,(+Risultati!AG160/Risultati!AB160),"0")</f>
        <v>0</v>
      </c>
      <c r="BY161" s="22" t="str">
        <f>IF(OR(E161="abbreviato",Risultati!G160=0),"0",(((Risultati!AK160-(Risultati!AL160+Risultati!AM160))/Risultati!G160)))</f>
        <v>0</v>
      </c>
      <c r="BZ161" s="16" t="str">
        <f>IF(Risultati!G160&gt;0,(Risultati!AJ160/Risultati!G160),"0")</f>
        <v>0</v>
      </c>
      <c r="CA161" s="8"/>
      <c r="CB161" s="10">
        <f>+Risultati!AP160</f>
        <v>0</v>
      </c>
      <c r="CC161" s="31" t="str">
        <f t="shared" si="159"/>
        <v>0</v>
      </c>
      <c r="CD161" s="10">
        <f>+Risultati!AQ160</f>
        <v>0</v>
      </c>
      <c r="CE161" s="31" t="str">
        <f t="shared" si="160"/>
        <v>0</v>
      </c>
      <c r="CF161" s="10">
        <f>+Risultati!AR160</f>
        <v>0</v>
      </c>
      <c r="CG161" s="31" t="str">
        <f t="shared" si="161"/>
        <v>0</v>
      </c>
      <c r="CH161" s="10">
        <f>+Risultati!AS160</f>
        <v>0</v>
      </c>
      <c r="CI161" s="31" t="str">
        <f t="shared" si="162"/>
        <v>0</v>
      </c>
      <c r="CJ161" s="10">
        <f t="shared" si="163"/>
        <v>0</v>
      </c>
      <c r="CK161" s="31" t="str">
        <f t="shared" si="164"/>
        <v>0</v>
      </c>
      <c r="CL161" s="10">
        <f>+Risultati!AE160+Risultati!AF160</f>
        <v>0</v>
      </c>
      <c r="CM161" s="31" t="str">
        <f t="shared" si="165"/>
        <v>0</v>
      </c>
      <c r="CN161" s="10">
        <f>+Risultati!AT160</f>
        <v>0</v>
      </c>
      <c r="CO161" s="31" t="str">
        <f t="shared" si="166"/>
        <v>0</v>
      </c>
      <c r="CP161" s="10">
        <f>+Risultati!AU160</f>
        <v>0</v>
      </c>
      <c r="CQ161" s="31" t="str">
        <f t="shared" si="167"/>
        <v>0</v>
      </c>
      <c r="CR161" s="10">
        <f>+Risultati!AL160</f>
        <v>0</v>
      </c>
      <c r="CS161" s="31" t="str">
        <f t="shared" si="168"/>
        <v>0</v>
      </c>
      <c r="CT161" s="10">
        <f t="shared" si="169"/>
        <v>0</v>
      </c>
      <c r="CU161" s="31" t="str">
        <f t="shared" si="170"/>
        <v>0</v>
      </c>
      <c r="CV161" s="10">
        <f>+Risultati!AX160</f>
        <v>0</v>
      </c>
      <c r="CW161" s="31" t="str">
        <f t="shared" si="171"/>
        <v>0</v>
      </c>
      <c r="CX161" s="10">
        <f t="shared" si="172"/>
        <v>0</v>
      </c>
      <c r="CY161" s="31" t="str">
        <f t="shared" si="173"/>
        <v>0</v>
      </c>
      <c r="CZ161" s="10">
        <f>+Risultati!AG160</f>
        <v>0</v>
      </c>
      <c r="DA161" s="31" t="str">
        <f t="shared" si="174"/>
        <v>0</v>
      </c>
      <c r="DB161" s="10">
        <f t="shared" si="175"/>
        <v>0</v>
      </c>
      <c r="DC161" s="31" t="str">
        <f t="shared" si="176"/>
        <v>0</v>
      </c>
      <c r="DD161" s="10">
        <f>+Risultati!AV160</f>
        <v>0</v>
      </c>
      <c r="DE161" s="31" t="str">
        <f t="shared" si="177"/>
        <v>0</v>
      </c>
      <c r="DF161" s="10">
        <f>+Risultati!AJ160</f>
        <v>0</v>
      </c>
      <c r="DG161" s="31" t="str">
        <f t="shared" si="178"/>
        <v>0</v>
      </c>
      <c r="DH161" s="10">
        <f t="shared" si="179"/>
        <v>0</v>
      </c>
      <c r="DI161" s="31" t="str">
        <f t="shared" si="180"/>
        <v>0</v>
      </c>
      <c r="DJ161" s="10">
        <f>+Risultati!AW160</f>
        <v>0</v>
      </c>
      <c r="DK161" s="31" t="str">
        <f t="shared" si="181"/>
        <v>0</v>
      </c>
      <c r="DL161" s="10">
        <f t="shared" si="152"/>
        <v>0</v>
      </c>
      <c r="DM161" s="31" t="str">
        <f t="shared" si="182"/>
        <v>0</v>
      </c>
      <c r="DO161" s="30"/>
      <c r="DP161" s="30"/>
    </row>
    <row r="162" spans="1:120" x14ac:dyDescent="0.2">
      <c r="A162" s="5"/>
      <c r="B162" s="6">
        <f>+Risultati!B161</f>
        <v>0</v>
      </c>
      <c r="C162" s="6">
        <f>+Risultati!C161</f>
        <v>0</v>
      </c>
      <c r="D162" s="26" t="str">
        <f>IF(YEAR(Risultati!D161)=1900,(MID(Risultati!$AP$1,29,4)),YEAR(Risultati!D161))</f>
        <v/>
      </c>
      <c r="E162" s="6">
        <f>+Risultati!E161</f>
        <v>0</v>
      </c>
      <c r="F162" s="8" t="e">
        <f>(LEFT(Risultati!AN161,2)&amp;"-")&amp;VLOOKUP((LEFT(Risultati!AN161,2)),ateco!$B$4:$C$93,2,FALSE)</f>
        <v>#N/A</v>
      </c>
      <c r="G162" s="8" t="str">
        <f>SUBSTITUTE((Risultati!AN161&amp;"-"&amp;Risultati!AO161),",",";")</f>
        <v>-</v>
      </c>
      <c r="I162" s="10">
        <f>+Risultati!G161</f>
        <v>0</v>
      </c>
      <c r="J162" s="11" t="str">
        <f t="shared" si="134"/>
        <v>0</v>
      </c>
      <c r="K162" s="12"/>
      <c r="L162" s="10">
        <f>+Risultati!G161+Risultati!H161</f>
        <v>0</v>
      </c>
      <c r="M162" s="11" t="str">
        <f t="shared" si="135"/>
        <v>0</v>
      </c>
      <c r="N162" s="12"/>
      <c r="O162" s="10">
        <f>+Risultati!I161+Risultati!J161</f>
        <v>0</v>
      </c>
      <c r="P162" s="11" t="str">
        <f t="shared" si="136"/>
        <v>0</v>
      </c>
      <c r="Q162" s="12"/>
      <c r="R162" s="13">
        <f t="shared" si="153"/>
        <v>0</v>
      </c>
      <c r="S162" s="11" t="str">
        <f t="shared" si="137"/>
        <v>0</v>
      </c>
      <c r="T162" s="12"/>
      <c r="U162" s="10">
        <f>+Risultati!F161-(Risultati!G161+Risultati!H161)</f>
        <v>0</v>
      </c>
      <c r="V162" s="12" t="str">
        <f t="shared" si="138"/>
        <v>0</v>
      </c>
      <c r="W162" s="12"/>
      <c r="X162" s="10">
        <f t="shared" si="154"/>
        <v>0</v>
      </c>
      <c r="Y162" s="12" t="str">
        <f t="shared" si="139"/>
        <v>0</v>
      </c>
      <c r="Z162" s="12"/>
      <c r="AA162" s="10">
        <f>+Risultati!K161</f>
        <v>0</v>
      </c>
      <c r="AB162" s="12" t="str">
        <f t="shared" si="140"/>
        <v>0</v>
      </c>
      <c r="AC162" s="12"/>
      <c r="AD162" s="10">
        <f>+Risultati!L161</f>
        <v>0</v>
      </c>
      <c r="AE162" s="12" t="str">
        <f t="shared" si="141"/>
        <v>0</v>
      </c>
      <c r="AF162" s="12"/>
      <c r="AG162" s="10">
        <f>+Risultati!M161+Risultati!P161+Risultati!Q161</f>
        <v>0</v>
      </c>
      <c r="AH162" s="12" t="str">
        <f t="shared" si="142"/>
        <v>0</v>
      </c>
      <c r="AI162" s="12"/>
      <c r="AJ162" s="13">
        <f t="shared" si="155"/>
        <v>0</v>
      </c>
      <c r="AK162" s="11" t="str">
        <f t="shared" si="143"/>
        <v>0</v>
      </c>
      <c r="AL162" s="12"/>
      <c r="AM162" s="10">
        <f>+Risultati!N161</f>
        <v>0</v>
      </c>
      <c r="AN162" s="12" t="str">
        <f t="shared" si="144"/>
        <v>0</v>
      </c>
      <c r="AO162" s="12"/>
      <c r="AP162" s="10">
        <f t="shared" si="156"/>
        <v>0</v>
      </c>
      <c r="AQ162" s="41" t="str">
        <f t="shared" si="145"/>
        <v>0</v>
      </c>
      <c r="AR162" s="12"/>
      <c r="AS162" s="10">
        <f>+Risultati!O161</f>
        <v>0</v>
      </c>
      <c r="AT162" s="12" t="str">
        <f t="shared" si="146"/>
        <v>0</v>
      </c>
      <c r="AU162" s="12"/>
      <c r="AV162" s="10">
        <f t="shared" si="157"/>
        <v>0</v>
      </c>
      <c r="AW162" s="12" t="str">
        <f t="shared" si="147"/>
        <v>0</v>
      </c>
      <c r="AX162" s="12"/>
      <c r="AY162" s="10">
        <f>+Risultati!R161+Risultati!S161</f>
        <v>0</v>
      </c>
      <c r="AZ162" s="12" t="str">
        <f t="shared" si="148"/>
        <v>0</v>
      </c>
      <c r="BA162" s="12"/>
      <c r="BB162" s="10">
        <f>+Risultati!T161</f>
        <v>0</v>
      </c>
      <c r="BC162" s="12" t="str">
        <f t="shared" si="149"/>
        <v>0</v>
      </c>
      <c r="BD162" s="12"/>
      <c r="BE162" s="10">
        <f>+Risultati!U161</f>
        <v>0</v>
      </c>
      <c r="BF162" s="12" t="str">
        <f t="shared" si="150"/>
        <v>0</v>
      </c>
      <c r="BG162" s="12"/>
      <c r="BH162" s="10">
        <f t="shared" si="158"/>
        <v>0</v>
      </c>
      <c r="BI162" s="12" t="str">
        <f t="shared" si="151"/>
        <v>0</v>
      </c>
      <c r="BK162" s="16">
        <f>IF(ISNUMBER(Risultati!X161/100),(Risultati!X161/100))</f>
        <v>0</v>
      </c>
      <c r="BL162" s="16">
        <f>IF(ISNUMBER(Risultati!Y161/100),(Risultati!Y161/100))</f>
        <v>0</v>
      </c>
      <c r="BM162" s="16">
        <f>IF(ISNUMBER(Risultati!Z161/100),(Risultati!Z161/100))</f>
        <v>0</v>
      </c>
      <c r="BN162" s="16">
        <f>IF(AND(Risultati!AY161&lt;0,calcoli!AP162&lt;0),-IF(ISNUMBER(Risultati!AA161/100),(Risultati!AA161/100)),IF(ISNUMBER(Risultati!AA161/100),(Risultati!AA161/100)))</f>
        <v>0</v>
      </c>
      <c r="BO162" s="16" t="str">
        <f t="shared" si="132"/>
        <v>0</v>
      </c>
      <c r="BP162" s="16" t="str">
        <f>IF(Risultati!AB161&gt;0,(AV162/Risultati!AB161),"0")</f>
        <v>0</v>
      </c>
      <c r="BQ162" s="16" t="str">
        <f>IF(Risultati!AG161&lt;&gt;0,(BH162/Risultati!AG161),"0")</f>
        <v>0</v>
      </c>
      <c r="BR162" s="16" t="str">
        <f t="shared" si="133"/>
        <v>0</v>
      </c>
      <c r="BS162" s="14" t="str">
        <f>IF(Risultati!AB161&gt;0,(Risultati!G161/Risultati!AB161),"0")</f>
        <v>0</v>
      </c>
      <c r="BT162" s="15" t="str">
        <f>IF(Risultati!AG161&lt;&gt;0,(Risultati!AB161/Risultati!AG161),"0")</f>
        <v>0</v>
      </c>
      <c r="BU162" s="23" t="str">
        <f>IF(AND(Risultati!G161&gt;0,(Risultati!AE161-Risultati!AF161)&gt;=0),((Risultati!AE161-Risultati!AF161)/Risultati!G161*360),"0")</f>
        <v>0</v>
      </c>
      <c r="BV162" s="21" t="str">
        <f>IF(OR(E162="abbreviato",Risultati!G161=0),"0",((Risultati!AC161+Risultati!AD161)/Risultati!G161*360))</f>
        <v>0</v>
      </c>
      <c r="BW162" s="21" t="str">
        <f>IF(OR(E162="abbreviato",Risultati!G161=0,SUM(Risultati!I161+Risultati!K161+Risultati!M161)=0),"0",(((Risultati!AH161+Risultati!AI161)/(Risultati!I161+Risultati!K161+Risultati!N161)*360)))</f>
        <v>0</v>
      </c>
      <c r="BX162" s="16" t="str">
        <f>IF(Risultati!AB161&gt;0,(+Risultati!AG161/Risultati!AB161),"0")</f>
        <v>0</v>
      </c>
      <c r="BY162" s="22" t="str">
        <f>IF(OR(E162="abbreviato",Risultati!G161=0),"0",(((Risultati!AK161-(Risultati!AL161+Risultati!AM161))/Risultati!G161)))</f>
        <v>0</v>
      </c>
      <c r="BZ162" s="16" t="str">
        <f>IF(Risultati!G161&gt;0,(Risultati!AJ161/Risultati!G161),"0")</f>
        <v>0</v>
      </c>
      <c r="CA162" s="8"/>
      <c r="CB162" s="10">
        <f>+Risultati!AP161</f>
        <v>0</v>
      </c>
      <c r="CC162" s="31" t="str">
        <f t="shared" si="159"/>
        <v>0</v>
      </c>
      <c r="CD162" s="10">
        <f>+Risultati!AQ161</f>
        <v>0</v>
      </c>
      <c r="CE162" s="31" t="str">
        <f t="shared" si="160"/>
        <v>0</v>
      </c>
      <c r="CF162" s="10">
        <f>+Risultati!AR161</f>
        <v>0</v>
      </c>
      <c r="CG162" s="31" t="str">
        <f t="shared" si="161"/>
        <v>0</v>
      </c>
      <c r="CH162" s="10">
        <f>+Risultati!AS161</f>
        <v>0</v>
      </c>
      <c r="CI162" s="31" t="str">
        <f t="shared" si="162"/>
        <v>0</v>
      </c>
      <c r="CJ162" s="10">
        <f t="shared" si="163"/>
        <v>0</v>
      </c>
      <c r="CK162" s="31" t="str">
        <f t="shared" si="164"/>
        <v>0</v>
      </c>
      <c r="CL162" s="10">
        <f>+Risultati!AE161+Risultati!AF161</f>
        <v>0</v>
      </c>
      <c r="CM162" s="31" t="str">
        <f t="shared" si="165"/>
        <v>0</v>
      </c>
      <c r="CN162" s="10">
        <f>+Risultati!AT161</f>
        <v>0</v>
      </c>
      <c r="CO162" s="31" t="str">
        <f t="shared" si="166"/>
        <v>0</v>
      </c>
      <c r="CP162" s="10">
        <f>+Risultati!AU161</f>
        <v>0</v>
      </c>
      <c r="CQ162" s="31" t="str">
        <f t="shared" si="167"/>
        <v>0</v>
      </c>
      <c r="CR162" s="10">
        <f>+Risultati!AL161</f>
        <v>0</v>
      </c>
      <c r="CS162" s="31" t="str">
        <f t="shared" si="168"/>
        <v>0</v>
      </c>
      <c r="CT162" s="10">
        <f t="shared" si="169"/>
        <v>0</v>
      </c>
      <c r="CU162" s="31" t="str">
        <f t="shared" si="170"/>
        <v>0</v>
      </c>
      <c r="CV162" s="10">
        <f>+Risultati!AX161</f>
        <v>0</v>
      </c>
      <c r="CW162" s="31" t="str">
        <f t="shared" si="171"/>
        <v>0</v>
      </c>
      <c r="CX162" s="10">
        <f t="shared" si="172"/>
        <v>0</v>
      </c>
      <c r="CY162" s="31" t="str">
        <f t="shared" si="173"/>
        <v>0</v>
      </c>
      <c r="CZ162" s="10">
        <f>+Risultati!AG161</f>
        <v>0</v>
      </c>
      <c r="DA162" s="31" t="str">
        <f t="shared" si="174"/>
        <v>0</v>
      </c>
      <c r="DB162" s="10">
        <f t="shared" si="175"/>
        <v>0</v>
      </c>
      <c r="DC162" s="31" t="str">
        <f t="shared" si="176"/>
        <v>0</v>
      </c>
      <c r="DD162" s="10">
        <f>+Risultati!AV161</f>
        <v>0</v>
      </c>
      <c r="DE162" s="31" t="str">
        <f t="shared" si="177"/>
        <v>0</v>
      </c>
      <c r="DF162" s="10">
        <f>+Risultati!AJ161</f>
        <v>0</v>
      </c>
      <c r="DG162" s="31" t="str">
        <f t="shared" si="178"/>
        <v>0</v>
      </c>
      <c r="DH162" s="10">
        <f t="shared" si="179"/>
        <v>0</v>
      </c>
      <c r="DI162" s="31" t="str">
        <f t="shared" si="180"/>
        <v>0</v>
      </c>
      <c r="DJ162" s="10">
        <f>+Risultati!AW161</f>
        <v>0</v>
      </c>
      <c r="DK162" s="31" t="str">
        <f t="shared" si="181"/>
        <v>0</v>
      </c>
      <c r="DL162" s="10">
        <f t="shared" si="152"/>
        <v>0</v>
      </c>
      <c r="DM162" s="31" t="str">
        <f t="shared" si="182"/>
        <v>0</v>
      </c>
      <c r="DO162" s="30"/>
      <c r="DP162" s="30"/>
    </row>
    <row r="163" spans="1:120" x14ac:dyDescent="0.2">
      <c r="A163" s="5"/>
      <c r="B163" s="6">
        <f>+Risultati!B162</f>
        <v>0</v>
      </c>
      <c r="C163" s="6">
        <f>+Risultati!C162</f>
        <v>0</v>
      </c>
      <c r="D163" s="26" t="str">
        <f>IF(YEAR(Risultati!D162)=1900,(MID(Risultati!$AP$1,29,4)),YEAR(Risultati!D162))</f>
        <v/>
      </c>
      <c r="E163" s="6">
        <f>+Risultati!E162</f>
        <v>0</v>
      </c>
      <c r="F163" s="8" t="e">
        <f>(LEFT(Risultati!AN162,2)&amp;"-")&amp;VLOOKUP((LEFT(Risultati!AN162,2)),ateco!$B$4:$C$93,2,FALSE)</f>
        <v>#N/A</v>
      </c>
      <c r="G163" s="8" t="str">
        <f>SUBSTITUTE((Risultati!AN162&amp;"-"&amp;Risultati!AO162),",",";")</f>
        <v>-</v>
      </c>
      <c r="I163" s="10">
        <f>+Risultati!G162</f>
        <v>0</v>
      </c>
      <c r="J163" s="11" t="str">
        <f t="shared" si="134"/>
        <v>0</v>
      </c>
      <c r="K163" s="12"/>
      <c r="L163" s="10">
        <f>+Risultati!G162+Risultati!H162</f>
        <v>0</v>
      </c>
      <c r="M163" s="11" t="str">
        <f t="shared" si="135"/>
        <v>0</v>
      </c>
      <c r="N163" s="12"/>
      <c r="O163" s="10">
        <f>+Risultati!I162+Risultati!J162</f>
        <v>0</v>
      </c>
      <c r="P163" s="11" t="str">
        <f t="shared" si="136"/>
        <v>0</v>
      </c>
      <c r="Q163" s="12"/>
      <c r="R163" s="13">
        <f t="shared" si="153"/>
        <v>0</v>
      </c>
      <c r="S163" s="11" t="str">
        <f t="shared" si="137"/>
        <v>0</v>
      </c>
      <c r="T163" s="12"/>
      <c r="U163" s="10">
        <f>+Risultati!F162-(Risultati!G162+Risultati!H162)</f>
        <v>0</v>
      </c>
      <c r="V163" s="12" t="str">
        <f t="shared" si="138"/>
        <v>0</v>
      </c>
      <c r="W163" s="12"/>
      <c r="X163" s="10">
        <f t="shared" si="154"/>
        <v>0</v>
      </c>
      <c r="Y163" s="12" t="str">
        <f t="shared" si="139"/>
        <v>0</v>
      </c>
      <c r="Z163" s="12"/>
      <c r="AA163" s="10">
        <f>+Risultati!K162</f>
        <v>0</v>
      </c>
      <c r="AB163" s="12" t="str">
        <f t="shared" si="140"/>
        <v>0</v>
      </c>
      <c r="AC163" s="12"/>
      <c r="AD163" s="10">
        <f>+Risultati!L162</f>
        <v>0</v>
      </c>
      <c r="AE163" s="12" t="str">
        <f t="shared" si="141"/>
        <v>0</v>
      </c>
      <c r="AF163" s="12"/>
      <c r="AG163" s="10">
        <f>+Risultati!M162+Risultati!P162+Risultati!Q162</f>
        <v>0</v>
      </c>
      <c r="AH163" s="12" t="str">
        <f t="shared" si="142"/>
        <v>0</v>
      </c>
      <c r="AI163" s="12"/>
      <c r="AJ163" s="13">
        <f t="shared" si="155"/>
        <v>0</v>
      </c>
      <c r="AK163" s="11" t="str">
        <f t="shared" si="143"/>
        <v>0</v>
      </c>
      <c r="AL163" s="12"/>
      <c r="AM163" s="10">
        <f>+Risultati!N162</f>
        <v>0</v>
      </c>
      <c r="AN163" s="12" t="str">
        <f t="shared" si="144"/>
        <v>0</v>
      </c>
      <c r="AO163" s="12"/>
      <c r="AP163" s="10">
        <f t="shared" si="156"/>
        <v>0</v>
      </c>
      <c r="AQ163" s="41" t="str">
        <f t="shared" si="145"/>
        <v>0</v>
      </c>
      <c r="AR163" s="12"/>
      <c r="AS163" s="10">
        <f>+Risultati!O162</f>
        <v>0</v>
      </c>
      <c r="AT163" s="12" t="str">
        <f t="shared" si="146"/>
        <v>0</v>
      </c>
      <c r="AU163" s="12"/>
      <c r="AV163" s="10">
        <f t="shared" si="157"/>
        <v>0</v>
      </c>
      <c r="AW163" s="12" t="str">
        <f t="shared" si="147"/>
        <v>0</v>
      </c>
      <c r="AX163" s="12"/>
      <c r="AY163" s="10">
        <f>+Risultati!R162+Risultati!S162</f>
        <v>0</v>
      </c>
      <c r="AZ163" s="12" t="str">
        <f t="shared" si="148"/>
        <v>0</v>
      </c>
      <c r="BA163" s="12"/>
      <c r="BB163" s="10">
        <f>+Risultati!T162</f>
        <v>0</v>
      </c>
      <c r="BC163" s="12" t="str">
        <f t="shared" si="149"/>
        <v>0</v>
      </c>
      <c r="BD163" s="12"/>
      <c r="BE163" s="10">
        <f>+Risultati!U162</f>
        <v>0</v>
      </c>
      <c r="BF163" s="12" t="str">
        <f t="shared" si="150"/>
        <v>0</v>
      </c>
      <c r="BG163" s="12"/>
      <c r="BH163" s="10">
        <f t="shared" si="158"/>
        <v>0</v>
      </c>
      <c r="BI163" s="12" t="str">
        <f t="shared" si="151"/>
        <v>0</v>
      </c>
      <c r="BK163" s="16">
        <f>IF(ISNUMBER(Risultati!X162/100),(Risultati!X162/100))</f>
        <v>0</v>
      </c>
      <c r="BL163" s="16">
        <f>IF(ISNUMBER(Risultati!Y162/100),(Risultati!Y162/100))</f>
        <v>0</v>
      </c>
      <c r="BM163" s="16">
        <f>IF(ISNUMBER(Risultati!Z162/100),(Risultati!Z162/100))</f>
        <v>0</v>
      </c>
      <c r="BN163" s="16">
        <f>IF(AND(Risultati!AY162&lt;0,calcoli!AP163&lt;0),-IF(ISNUMBER(Risultati!AA162/100),(Risultati!AA162/100)),IF(ISNUMBER(Risultati!AA162/100),(Risultati!AA162/100)))</f>
        <v>0</v>
      </c>
      <c r="BO163" s="16" t="str">
        <f t="shared" si="132"/>
        <v>0</v>
      </c>
      <c r="BP163" s="16" t="str">
        <f>IF(Risultati!AB162&gt;0,(AV163/Risultati!AB162),"0")</f>
        <v>0</v>
      </c>
      <c r="BQ163" s="16" t="str">
        <f>IF(Risultati!AG162&lt;&gt;0,(BH163/Risultati!AG162),"0")</f>
        <v>0</v>
      </c>
      <c r="BR163" s="16" t="str">
        <f t="shared" si="133"/>
        <v>0</v>
      </c>
      <c r="BS163" s="14" t="str">
        <f>IF(Risultati!AB162&gt;0,(Risultati!G162/Risultati!AB162),"0")</f>
        <v>0</v>
      </c>
      <c r="BT163" s="15" t="str">
        <f>IF(Risultati!AG162&lt;&gt;0,(Risultati!AB162/Risultati!AG162),"0")</f>
        <v>0</v>
      </c>
      <c r="BU163" s="23" t="str">
        <f>IF(AND(Risultati!G162&gt;0,(Risultati!AE162-Risultati!AF162)&gt;=0),((Risultati!AE162-Risultati!AF162)/Risultati!G162*360),"0")</f>
        <v>0</v>
      </c>
      <c r="BV163" s="21" t="str">
        <f>IF(OR(E163="abbreviato",Risultati!G162=0),"0",((Risultati!AC162+Risultati!AD162)/Risultati!G162*360))</f>
        <v>0</v>
      </c>
      <c r="BW163" s="21" t="str">
        <f>IF(OR(E163="abbreviato",Risultati!G162=0,SUM(Risultati!I162+Risultati!K162+Risultati!M162)=0),"0",(((Risultati!AH162+Risultati!AI162)/(Risultati!I162+Risultati!K162+Risultati!N162)*360)))</f>
        <v>0</v>
      </c>
      <c r="BX163" s="16" t="str">
        <f>IF(Risultati!AB162&gt;0,(+Risultati!AG162/Risultati!AB162),"0")</f>
        <v>0</v>
      </c>
      <c r="BY163" s="22" t="str">
        <f>IF(OR(E163="abbreviato",Risultati!G162=0),"0",(((Risultati!AK162-(Risultati!AL162+Risultati!AM162))/Risultati!G162)))</f>
        <v>0</v>
      </c>
      <c r="BZ163" s="16" t="str">
        <f>IF(Risultati!G162&gt;0,(Risultati!AJ162/Risultati!G162),"0")</f>
        <v>0</v>
      </c>
      <c r="CA163" s="8"/>
      <c r="CB163" s="10">
        <f>+Risultati!AP162</f>
        <v>0</v>
      </c>
      <c r="CC163" s="31" t="str">
        <f t="shared" si="159"/>
        <v>0</v>
      </c>
      <c r="CD163" s="10">
        <f>+Risultati!AQ162</f>
        <v>0</v>
      </c>
      <c r="CE163" s="31" t="str">
        <f t="shared" si="160"/>
        <v>0</v>
      </c>
      <c r="CF163" s="10">
        <f>+Risultati!AR162</f>
        <v>0</v>
      </c>
      <c r="CG163" s="31" t="str">
        <f t="shared" si="161"/>
        <v>0</v>
      </c>
      <c r="CH163" s="10">
        <f>+Risultati!AS162</f>
        <v>0</v>
      </c>
      <c r="CI163" s="31" t="str">
        <f t="shared" si="162"/>
        <v>0</v>
      </c>
      <c r="CJ163" s="10">
        <f t="shared" si="163"/>
        <v>0</v>
      </c>
      <c r="CK163" s="31" t="str">
        <f t="shared" si="164"/>
        <v>0</v>
      </c>
      <c r="CL163" s="10">
        <f>+Risultati!AE162+Risultati!AF162</f>
        <v>0</v>
      </c>
      <c r="CM163" s="31" t="str">
        <f t="shared" si="165"/>
        <v>0</v>
      </c>
      <c r="CN163" s="10">
        <f>+Risultati!AT162</f>
        <v>0</v>
      </c>
      <c r="CO163" s="31" t="str">
        <f t="shared" si="166"/>
        <v>0</v>
      </c>
      <c r="CP163" s="10">
        <f>+Risultati!AU162</f>
        <v>0</v>
      </c>
      <c r="CQ163" s="31" t="str">
        <f t="shared" si="167"/>
        <v>0</v>
      </c>
      <c r="CR163" s="10">
        <f>+Risultati!AL162</f>
        <v>0</v>
      </c>
      <c r="CS163" s="31" t="str">
        <f t="shared" si="168"/>
        <v>0</v>
      </c>
      <c r="CT163" s="10">
        <f t="shared" si="169"/>
        <v>0</v>
      </c>
      <c r="CU163" s="31" t="str">
        <f t="shared" si="170"/>
        <v>0</v>
      </c>
      <c r="CV163" s="10">
        <f>+Risultati!AX162</f>
        <v>0</v>
      </c>
      <c r="CW163" s="31" t="str">
        <f t="shared" si="171"/>
        <v>0</v>
      </c>
      <c r="CX163" s="10">
        <f t="shared" si="172"/>
        <v>0</v>
      </c>
      <c r="CY163" s="31" t="str">
        <f t="shared" si="173"/>
        <v>0</v>
      </c>
      <c r="CZ163" s="10">
        <f>+Risultati!AG162</f>
        <v>0</v>
      </c>
      <c r="DA163" s="31" t="str">
        <f t="shared" si="174"/>
        <v>0</v>
      </c>
      <c r="DB163" s="10">
        <f t="shared" si="175"/>
        <v>0</v>
      </c>
      <c r="DC163" s="31" t="str">
        <f t="shared" si="176"/>
        <v>0</v>
      </c>
      <c r="DD163" s="10">
        <f>+Risultati!AV162</f>
        <v>0</v>
      </c>
      <c r="DE163" s="31" t="str">
        <f t="shared" si="177"/>
        <v>0</v>
      </c>
      <c r="DF163" s="10">
        <f>+Risultati!AJ162</f>
        <v>0</v>
      </c>
      <c r="DG163" s="31" t="str">
        <f t="shared" si="178"/>
        <v>0</v>
      </c>
      <c r="DH163" s="10">
        <f t="shared" si="179"/>
        <v>0</v>
      </c>
      <c r="DI163" s="31" t="str">
        <f t="shared" si="180"/>
        <v>0</v>
      </c>
      <c r="DJ163" s="10">
        <f>+Risultati!AW162</f>
        <v>0</v>
      </c>
      <c r="DK163" s="31" t="str">
        <f t="shared" si="181"/>
        <v>0</v>
      </c>
      <c r="DL163" s="10">
        <f t="shared" si="152"/>
        <v>0</v>
      </c>
      <c r="DM163" s="31" t="str">
        <f t="shared" si="182"/>
        <v>0</v>
      </c>
      <c r="DO163" s="30"/>
      <c r="DP163" s="30"/>
    </row>
    <row r="164" spans="1:120" x14ac:dyDescent="0.2">
      <c r="A164" s="5"/>
      <c r="B164" s="6">
        <f>+Risultati!B163</f>
        <v>0</v>
      </c>
      <c r="C164" s="6">
        <f>+Risultati!C163</f>
        <v>0</v>
      </c>
      <c r="D164" s="26" t="str">
        <f>IF(YEAR(Risultati!D163)=1900,(MID(Risultati!$AP$1,29,4)),YEAR(Risultati!D163))</f>
        <v/>
      </c>
      <c r="E164" s="6">
        <f>+Risultati!E163</f>
        <v>0</v>
      </c>
      <c r="F164" s="8" t="e">
        <f>(LEFT(Risultati!AN163,2)&amp;"-")&amp;VLOOKUP((LEFT(Risultati!AN163,2)),ateco!$B$4:$C$93,2,FALSE)</f>
        <v>#N/A</v>
      </c>
      <c r="G164" s="8" t="str">
        <f>SUBSTITUTE((Risultati!AN163&amp;"-"&amp;Risultati!AO163),",",";")</f>
        <v>-</v>
      </c>
      <c r="I164" s="10">
        <f>+Risultati!G163</f>
        <v>0</v>
      </c>
      <c r="J164" s="11" t="str">
        <f t="shared" si="134"/>
        <v>0</v>
      </c>
      <c r="K164" s="12"/>
      <c r="L164" s="10">
        <f>+Risultati!G163+Risultati!H163</f>
        <v>0</v>
      </c>
      <c r="M164" s="11" t="str">
        <f t="shared" si="135"/>
        <v>0</v>
      </c>
      <c r="N164" s="12"/>
      <c r="O164" s="10">
        <f>+Risultati!I163+Risultati!J163</f>
        <v>0</v>
      </c>
      <c r="P164" s="11" t="str">
        <f t="shared" si="136"/>
        <v>0</v>
      </c>
      <c r="Q164" s="12"/>
      <c r="R164" s="13">
        <f t="shared" si="153"/>
        <v>0</v>
      </c>
      <c r="S164" s="11" t="str">
        <f t="shared" si="137"/>
        <v>0</v>
      </c>
      <c r="T164" s="12"/>
      <c r="U164" s="10">
        <f>+Risultati!F163-(Risultati!G163+Risultati!H163)</f>
        <v>0</v>
      </c>
      <c r="V164" s="12" t="str">
        <f t="shared" si="138"/>
        <v>0</v>
      </c>
      <c r="W164" s="12"/>
      <c r="X164" s="10">
        <f t="shared" si="154"/>
        <v>0</v>
      </c>
      <c r="Y164" s="12" t="str">
        <f t="shared" si="139"/>
        <v>0</v>
      </c>
      <c r="Z164" s="12"/>
      <c r="AA164" s="10">
        <f>+Risultati!K163</f>
        <v>0</v>
      </c>
      <c r="AB164" s="12" t="str">
        <f t="shared" si="140"/>
        <v>0</v>
      </c>
      <c r="AC164" s="12"/>
      <c r="AD164" s="10">
        <f>+Risultati!L163</f>
        <v>0</v>
      </c>
      <c r="AE164" s="12" t="str">
        <f t="shared" si="141"/>
        <v>0</v>
      </c>
      <c r="AF164" s="12"/>
      <c r="AG164" s="10">
        <f>+Risultati!M163+Risultati!P163+Risultati!Q163</f>
        <v>0</v>
      </c>
      <c r="AH164" s="12" t="str">
        <f t="shared" si="142"/>
        <v>0</v>
      </c>
      <c r="AI164" s="12"/>
      <c r="AJ164" s="13">
        <f t="shared" si="155"/>
        <v>0</v>
      </c>
      <c r="AK164" s="11" t="str">
        <f t="shared" si="143"/>
        <v>0</v>
      </c>
      <c r="AL164" s="12"/>
      <c r="AM164" s="10">
        <f>+Risultati!N163</f>
        <v>0</v>
      </c>
      <c r="AN164" s="12" t="str">
        <f t="shared" si="144"/>
        <v>0</v>
      </c>
      <c r="AO164" s="12"/>
      <c r="AP164" s="10">
        <f t="shared" si="156"/>
        <v>0</v>
      </c>
      <c r="AQ164" s="41" t="str">
        <f t="shared" si="145"/>
        <v>0</v>
      </c>
      <c r="AR164" s="12"/>
      <c r="AS164" s="10">
        <f>+Risultati!O163</f>
        <v>0</v>
      </c>
      <c r="AT164" s="12" t="str">
        <f t="shared" si="146"/>
        <v>0</v>
      </c>
      <c r="AU164" s="12"/>
      <c r="AV164" s="10">
        <f t="shared" si="157"/>
        <v>0</v>
      </c>
      <c r="AW164" s="12" t="str">
        <f t="shared" si="147"/>
        <v>0</v>
      </c>
      <c r="AX164" s="12"/>
      <c r="AY164" s="10">
        <f>+Risultati!R163+Risultati!S163</f>
        <v>0</v>
      </c>
      <c r="AZ164" s="12" t="str">
        <f t="shared" si="148"/>
        <v>0</v>
      </c>
      <c r="BA164" s="12"/>
      <c r="BB164" s="10">
        <f>+Risultati!T163</f>
        <v>0</v>
      </c>
      <c r="BC164" s="12" t="str">
        <f t="shared" si="149"/>
        <v>0</v>
      </c>
      <c r="BD164" s="12"/>
      <c r="BE164" s="10">
        <f>+Risultati!U163</f>
        <v>0</v>
      </c>
      <c r="BF164" s="12" t="str">
        <f t="shared" si="150"/>
        <v>0</v>
      </c>
      <c r="BG164" s="12"/>
      <c r="BH164" s="10">
        <f t="shared" si="158"/>
        <v>0</v>
      </c>
      <c r="BI164" s="12" t="str">
        <f t="shared" si="151"/>
        <v>0</v>
      </c>
      <c r="BK164" s="16">
        <f>IF(ISNUMBER(Risultati!X163/100),(Risultati!X163/100))</f>
        <v>0</v>
      </c>
      <c r="BL164" s="16">
        <f>IF(ISNUMBER(Risultati!Y163/100),(Risultati!Y163/100))</f>
        <v>0</v>
      </c>
      <c r="BM164" s="16">
        <f>IF(ISNUMBER(Risultati!Z163/100),(Risultati!Z163/100))</f>
        <v>0</v>
      </c>
      <c r="BN164" s="16">
        <f>IF(AND(Risultati!AY163&lt;0,calcoli!AP164&lt;0),-IF(ISNUMBER(Risultati!AA163/100),(Risultati!AA163/100)),IF(ISNUMBER(Risultati!AA163/100),(Risultati!AA163/100)))</f>
        <v>0</v>
      </c>
      <c r="BO164" s="16" t="str">
        <f t="shared" si="132"/>
        <v>0</v>
      </c>
      <c r="BP164" s="16" t="str">
        <f>IF(Risultati!AB163&gt;0,(AV164/Risultati!AB163),"0")</f>
        <v>0</v>
      </c>
      <c r="BQ164" s="16" t="str">
        <f>IF(Risultati!AG163&lt;&gt;0,(BH164/Risultati!AG163),"0")</f>
        <v>0</v>
      </c>
      <c r="BR164" s="16" t="str">
        <f t="shared" si="133"/>
        <v>0</v>
      </c>
      <c r="BS164" s="14" t="str">
        <f>IF(Risultati!AB163&gt;0,(Risultati!G163/Risultati!AB163),"0")</f>
        <v>0</v>
      </c>
      <c r="BT164" s="15" t="str">
        <f>IF(Risultati!AG163&lt;&gt;0,(Risultati!AB163/Risultati!AG163),"0")</f>
        <v>0</v>
      </c>
      <c r="BU164" s="23" t="str">
        <f>IF(AND(Risultati!G163&gt;0,(Risultati!AE163-Risultati!AF163)&gt;=0),((Risultati!AE163-Risultati!AF163)/Risultati!G163*360),"0")</f>
        <v>0</v>
      </c>
      <c r="BV164" s="21" t="str">
        <f>IF(OR(E164="abbreviato",Risultati!G163=0),"0",((Risultati!AC163+Risultati!AD163)/Risultati!G163*360))</f>
        <v>0</v>
      </c>
      <c r="BW164" s="21" t="str">
        <f>IF(OR(E164="abbreviato",Risultati!G163=0,SUM(Risultati!I163+Risultati!K163+Risultati!M163)=0),"0",(((Risultati!AH163+Risultati!AI163)/(Risultati!I163+Risultati!K163+Risultati!N163)*360)))</f>
        <v>0</v>
      </c>
      <c r="BX164" s="16" t="str">
        <f>IF(Risultati!AB163&gt;0,(+Risultati!AG163/Risultati!AB163),"0")</f>
        <v>0</v>
      </c>
      <c r="BY164" s="22" t="str">
        <f>IF(OR(E164="abbreviato",Risultati!G163=0),"0",(((Risultati!AK163-(Risultati!AL163+Risultati!AM163))/Risultati!G163)))</f>
        <v>0</v>
      </c>
      <c r="BZ164" s="16" t="str">
        <f>IF(Risultati!G163&gt;0,(Risultati!AJ163/Risultati!G163),"0")</f>
        <v>0</v>
      </c>
      <c r="CA164" s="8"/>
      <c r="CB164" s="10">
        <f>+Risultati!AP163</f>
        <v>0</v>
      </c>
      <c r="CC164" s="31" t="str">
        <f t="shared" si="159"/>
        <v>0</v>
      </c>
      <c r="CD164" s="10">
        <f>+Risultati!AQ163</f>
        <v>0</v>
      </c>
      <c r="CE164" s="31" t="str">
        <f t="shared" si="160"/>
        <v>0</v>
      </c>
      <c r="CF164" s="10">
        <f>+Risultati!AR163</f>
        <v>0</v>
      </c>
      <c r="CG164" s="31" t="str">
        <f t="shared" si="161"/>
        <v>0</v>
      </c>
      <c r="CH164" s="10">
        <f>+Risultati!AS163</f>
        <v>0</v>
      </c>
      <c r="CI164" s="31" t="str">
        <f t="shared" si="162"/>
        <v>0</v>
      </c>
      <c r="CJ164" s="10">
        <f t="shared" si="163"/>
        <v>0</v>
      </c>
      <c r="CK164" s="31" t="str">
        <f t="shared" si="164"/>
        <v>0</v>
      </c>
      <c r="CL164" s="10">
        <f>+Risultati!AE163+Risultati!AF163</f>
        <v>0</v>
      </c>
      <c r="CM164" s="31" t="str">
        <f t="shared" si="165"/>
        <v>0</v>
      </c>
      <c r="CN164" s="10">
        <f>+Risultati!AT163</f>
        <v>0</v>
      </c>
      <c r="CO164" s="31" t="str">
        <f t="shared" si="166"/>
        <v>0</v>
      </c>
      <c r="CP164" s="10">
        <f>+Risultati!AU163</f>
        <v>0</v>
      </c>
      <c r="CQ164" s="31" t="str">
        <f t="shared" si="167"/>
        <v>0</v>
      </c>
      <c r="CR164" s="10">
        <f>+Risultati!AL163</f>
        <v>0</v>
      </c>
      <c r="CS164" s="31" t="str">
        <f t="shared" si="168"/>
        <v>0</v>
      </c>
      <c r="CT164" s="10">
        <f t="shared" si="169"/>
        <v>0</v>
      </c>
      <c r="CU164" s="31" t="str">
        <f t="shared" si="170"/>
        <v>0</v>
      </c>
      <c r="CV164" s="10">
        <f>+Risultati!AX163</f>
        <v>0</v>
      </c>
      <c r="CW164" s="31" t="str">
        <f t="shared" si="171"/>
        <v>0</v>
      </c>
      <c r="CX164" s="10">
        <f t="shared" si="172"/>
        <v>0</v>
      </c>
      <c r="CY164" s="31" t="str">
        <f t="shared" si="173"/>
        <v>0</v>
      </c>
      <c r="CZ164" s="10">
        <f>+Risultati!AG163</f>
        <v>0</v>
      </c>
      <c r="DA164" s="31" t="str">
        <f t="shared" si="174"/>
        <v>0</v>
      </c>
      <c r="DB164" s="10">
        <f t="shared" si="175"/>
        <v>0</v>
      </c>
      <c r="DC164" s="31" t="str">
        <f t="shared" si="176"/>
        <v>0</v>
      </c>
      <c r="DD164" s="10">
        <f>+Risultati!AV163</f>
        <v>0</v>
      </c>
      <c r="DE164" s="31" t="str">
        <f t="shared" si="177"/>
        <v>0</v>
      </c>
      <c r="DF164" s="10">
        <f>+Risultati!AJ163</f>
        <v>0</v>
      </c>
      <c r="DG164" s="31" t="str">
        <f t="shared" si="178"/>
        <v>0</v>
      </c>
      <c r="DH164" s="10">
        <f t="shared" si="179"/>
        <v>0</v>
      </c>
      <c r="DI164" s="31" t="str">
        <f t="shared" si="180"/>
        <v>0</v>
      </c>
      <c r="DJ164" s="10">
        <f>+Risultati!AW163</f>
        <v>0</v>
      </c>
      <c r="DK164" s="31" t="str">
        <f t="shared" si="181"/>
        <v>0</v>
      </c>
      <c r="DL164" s="10">
        <f t="shared" si="152"/>
        <v>0</v>
      </c>
      <c r="DM164" s="31" t="str">
        <f t="shared" si="182"/>
        <v>0</v>
      </c>
      <c r="DO164" s="30"/>
      <c r="DP164" s="30"/>
    </row>
    <row r="165" spans="1:120" x14ac:dyDescent="0.2">
      <c r="A165" s="5"/>
      <c r="B165" s="6">
        <f>+Risultati!B164</f>
        <v>0</v>
      </c>
      <c r="C165" s="6">
        <f>+Risultati!C164</f>
        <v>0</v>
      </c>
      <c r="D165" s="26" t="str">
        <f>IF(YEAR(Risultati!D164)=1900,(MID(Risultati!$AP$1,29,4)),YEAR(Risultati!D164))</f>
        <v/>
      </c>
      <c r="E165" s="6">
        <f>+Risultati!E164</f>
        <v>0</v>
      </c>
      <c r="F165" s="8" t="e">
        <f>(LEFT(Risultati!AN164,2)&amp;"-")&amp;VLOOKUP((LEFT(Risultati!AN164,2)),ateco!$B$4:$C$93,2,FALSE)</f>
        <v>#N/A</v>
      </c>
      <c r="G165" s="8" t="str">
        <f>SUBSTITUTE((Risultati!AN164&amp;"-"&amp;Risultati!AO164),",",";")</f>
        <v>-</v>
      </c>
      <c r="I165" s="10">
        <f>+Risultati!G164</f>
        <v>0</v>
      </c>
      <c r="J165" s="11" t="str">
        <f t="shared" si="134"/>
        <v>0</v>
      </c>
      <c r="K165" s="12"/>
      <c r="L165" s="10">
        <f>+Risultati!G164+Risultati!H164</f>
        <v>0</v>
      </c>
      <c r="M165" s="11" t="str">
        <f t="shared" si="135"/>
        <v>0</v>
      </c>
      <c r="N165" s="12"/>
      <c r="O165" s="10">
        <f>+Risultati!I164+Risultati!J164</f>
        <v>0</v>
      </c>
      <c r="P165" s="11" t="str">
        <f t="shared" si="136"/>
        <v>0</v>
      </c>
      <c r="Q165" s="12"/>
      <c r="R165" s="13">
        <f t="shared" si="153"/>
        <v>0</v>
      </c>
      <c r="S165" s="11" t="str">
        <f t="shared" si="137"/>
        <v>0</v>
      </c>
      <c r="T165" s="12"/>
      <c r="U165" s="10">
        <f>+Risultati!F164-(Risultati!G164+Risultati!H164)</f>
        <v>0</v>
      </c>
      <c r="V165" s="12" t="str">
        <f t="shared" si="138"/>
        <v>0</v>
      </c>
      <c r="W165" s="12"/>
      <c r="X165" s="10">
        <f t="shared" si="154"/>
        <v>0</v>
      </c>
      <c r="Y165" s="12" t="str">
        <f t="shared" si="139"/>
        <v>0</v>
      </c>
      <c r="Z165" s="12"/>
      <c r="AA165" s="10">
        <f>+Risultati!K164</f>
        <v>0</v>
      </c>
      <c r="AB165" s="12" t="str">
        <f t="shared" si="140"/>
        <v>0</v>
      </c>
      <c r="AC165" s="12"/>
      <c r="AD165" s="10">
        <f>+Risultati!L164</f>
        <v>0</v>
      </c>
      <c r="AE165" s="12" t="str">
        <f t="shared" si="141"/>
        <v>0</v>
      </c>
      <c r="AF165" s="12"/>
      <c r="AG165" s="10">
        <f>+Risultati!M164+Risultati!P164+Risultati!Q164</f>
        <v>0</v>
      </c>
      <c r="AH165" s="12" t="str">
        <f t="shared" si="142"/>
        <v>0</v>
      </c>
      <c r="AI165" s="12"/>
      <c r="AJ165" s="13">
        <f t="shared" si="155"/>
        <v>0</v>
      </c>
      <c r="AK165" s="11" t="str">
        <f t="shared" si="143"/>
        <v>0</v>
      </c>
      <c r="AL165" s="12"/>
      <c r="AM165" s="10">
        <f>+Risultati!N164</f>
        <v>0</v>
      </c>
      <c r="AN165" s="12" t="str">
        <f t="shared" si="144"/>
        <v>0</v>
      </c>
      <c r="AO165" s="12"/>
      <c r="AP165" s="10">
        <f t="shared" si="156"/>
        <v>0</v>
      </c>
      <c r="AQ165" s="41" t="str">
        <f t="shared" si="145"/>
        <v>0</v>
      </c>
      <c r="AR165" s="12"/>
      <c r="AS165" s="10">
        <f>+Risultati!O164</f>
        <v>0</v>
      </c>
      <c r="AT165" s="12" t="str">
        <f t="shared" si="146"/>
        <v>0</v>
      </c>
      <c r="AU165" s="12"/>
      <c r="AV165" s="10">
        <f t="shared" si="157"/>
        <v>0</v>
      </c>
      <c r="AW165" s="12" t="str">
        <f t="shared" si="147"/>
        <v>0</v>
      </c>
      <c r="AX165" s="12"/>
      <c r="AY165" s="10">
        <f>+Risultati!R164+Risultati!S164</f>
        <v>0</v>
      </c>
      <c r="AZ165" s="12" t="str">
        <f t="shared" si="148"/>
        <v>0</v>
      </c>
      <c r="BA165" s="12"/>
      <c r="BB165" s="10">
        <f>+Risultati!T164</f>
        <v>0</v>
      </c>
      <c r="BC165" s="12" t="str">
        <f t="shared" si="149"/>
        <v>0</v>
      </c>
      <c r="BD165" s="12"/>
      <c r="BE165" s="10">
        <f>+Risultati!U164</f>
        <v>0</v>
      </c>
      <c r="BF165" s="12" t="str">
        <f t="shared" si="150"/>
        <v>0</v>
      </c>
      <c r="BG165" s="12"/>
      <c r="BH165" s="10">
        <f t="shared" si="158"/>
        <v>0</v>
      </c>
      <c r="BI165" s="12" t="str">
        <f t="shared" si="151"/>
        <v>0</v>
      </c>
      <c r="BK165" s="16">
        <f>IF(ISNUMBER(Risultati!X164/100),(Risultati!X164/100))</f>
        <v>0</v>
      </c>
      <c r="BL165" s="16">
        <f>IF(ISNUMBER(Risultati!Y164/100),(Risultati!Y164/100))</f>
        <v>0</v>
      </c>
      <c r="BM165" s="16">
        <f>IF(ISNUMBER(Risultati!Z164/100),(Risultati!Z164/100))</f>
        <v>0</v>
      </c>
      <c r="BN165" s="16">
        <f>IF(AND(Risultati!AY164&lt;0,calcoli!AP165&lt;0),-IF(ISNUMBER(Risultati!AA164/100),(Risultati!AA164/100)),IF(ISNUMBER(Risultati!AA164/100),(Risultati!AA164/100)))</f>
        <v>0</v>
      </c>
      <c r="BO165" s="16" t="str">
        <f t="shared" si="132"/>
        <v>0</v>
      </c>
      <c r="BP165" s="16" t="str">
        <f>IF(Risultati!AB164&gt;0,(AV165/Risultati!AB164),"0")</f>
        <v>0</v>
      </c>
      <c r="BQ165" s="16" t="str">
        <f>IF(Risultati!AG164&lt;&gt;0,(BH165/Risultati!AG164),"0")</f>
        <v>0</v>
      </c>
      <c r="BR165" s="16" t="str">
        <f t="shared" si="133"/>
        <v>0</v>
      </c>
      <c r="BS165" s="14" t="str">
        <f>IF(Risultati!AB164&gt;0,(Risultati!G164/Risultati!AB164),"0")</f>
        <v>0</v>
      </c>
      <c r="BT165" s="15" t="str">
        <f>IF(Risultati!AG164&lt;&gt;0,(Risultati!AB164/Risultati!AG164),"0")</f>
        <v>0</v>
      </c>
      <c r="BU165" s="23" t="str">
        <f>IF(AND(Risultati!G164&gt;0,(Risultati!AE164-Risultati!AF164)&gt;=0),((Risultati!AE164-Risultati!AF164)/Risultati!G164*360),"0")</f>
        <v>0</v>
      </c>
      <c r="BV165" s="21" t="str">
        <f>IF(OR(E165="abbreviato",Risultati!G164=0),"0",((Risultati!AC164+Risultati!AD164)/Risultati!G164*360))</f>
        <v>0</v>
      </c>
      <c r="BW165" s="21" t="str">
        <f>IF(OR(E165="abbreviato",Risultati!G164=0,SUM(Risultati!I164+Risultati!K164+Risultati!M164)=0),"0",(((Risultati!AH164+Risultati!AI164)/(Risultati!I164+Risultati!K164+Risultati!N164)*360)))</f>
        <v>0</v>
      </c>
      <c r="BX165" s="16" t="str">
        <f>IF(Risultati!AB164&gt;0,(+Risultati!AG164/Risultati!AB164),"0")</f>
        <v>0</v>
      </c>
      <c r="BY165" s="22" t="str">
        <f>IF(OR(E165="abbreviato",Risultati!G164=0),"0",(((Risultati!AK164-(Risultati!AL164+Risultati!AM164))/Risultati!G164)))</f>
        <v>0</v>
      </c>
      <c r="BZ165" s="16" t="str">
        <f>IF(Risultati!G164&gt;0,(Risultati!AJ164/Risultati!G164),"0")</f>
        <v>0</v>
      </c>
      <c r="CA165" s="8"/>
      <c r="CB165" s="10">
        <f>+Risultati!AP164</f>
        <v>0</v>
      </c>
      <c r="CC165" s="31" t="str">
        <f t="shared" si="159"/>
        <v>0</v>
      </c>
      <c r="CD165" s="10">
        <f>+Risultati!AQ164</f>
        <v>0</v>
      </c>
      <c r="CE165" s="31" t="str">
        <f t="shared" si="160"/>
        <v>0</v>
      </c>
      <c r="CF165" s="10">
        <f>+Risultati!AR164</f>
        <v>0</v>
      </c>
      <c r="CG165" s="31" t="str">
        <f t="shared" si="161"/>
        <v>0</v>
      </c>
      <c r="CH165" s="10">
        <f>+Risultati!AS164</f>
        <v>0</v>
      </c>
      <c r="CI165" s="31" t="str">
        <f t="shared" si="162"/>
        <v>0</v>
      </c>
      <c r="CJ165" s="10">
        <f t="shared" si="163"/>
        <v>0</v>
      </c>
      <c r="CK165" s="31" t="str">
        <f t="shared" si="164"/>
        <v>0</v>
      </c>
      <c r="CL165" s="10">
        <f>+Risultati!AE164+Risultati!AF164</f>
        <v>0</v>
      </c>
      <c r="CM165" s="31" t="str">
        <f t="shared" si="165"/>
        <v>0</v>
      </c>
      <c r="CN165" s="10">
        <f>+Risultati!AT164</f>
        <v>0</v>
      </c>
      <c r="CO165" s="31" t="str">
        <f t="shared" si="166"/>
        <v>0</v>
      </c>
      <c r="CP165" s="10">
        <f>+Risultati!AU164</f>
        <v>0</v>
      </c>
      <c r="CQ165" s="31" t="str">
        <f t="shared" si="167"/>
        <v>0</v>
      </c>
      <c r="CR165" s="10">
        <f>+Risultati!AL164</f>
        <v>0</v>
      </c>
      <c r="CS165" s="31" t="str">
        <f t="shared" si="168"/>
        <v>0</v>
      </c>
      <c r="CT165" s="10">
        <f t="shared" si="169"/>
        <v>0</v>
      </c>
      <c r="CU165" s="31" t="str">
        <f t="shared" si="170"/>
        <v>0</v>
      </c>
      <c r="CV165" s="10">
        <f>+Risultati!AX164</f>
        <v>0</v>
      </c>
      <c r="CW165" s="31" t="str">
        <f t="shared" si="171"/>
        <v>0</v>
      </c>
      <c r="CX165" s="10">
        <f t="shared" si="172"/>
        <v>0</v>
      </c>
      <c r="CY165" s="31" t="str">
        <f t="shared" si="173"/>
        <v>0</v>
      </c>
      <c r="CZ165" s="10">
        <f>+Risultati!AG164</f>
        <v>0</v>
      </c>
      <c r="DA165" s="31" t="str">
        <f t="shared" si="174"/>
        <v>0</v>
      </c>
      <c r="DB165" s="10">
        <f t="shared" si="175"/>
        <v>0</v>
      </c>
      <c r="DC165" s="31" t="str">
        <f t="shared" si="176"/>
        <v>0</v>
      </c>
      <c r="DD165" s="10">
        <f>+Risultati!AV164</f>
        <v>0</v>
      </c>
      <c r="DE165" s="31" t="str">
        <f t="shared" si="177"/>
        <v>0</v>
      </c>
      <c r="DF165" s="10">
        <f>+Risultati!AJ164</f>
        <v>0</v>
      </c>
      <c r="DG165" s="31" t="str">
        <f t="shared" si="178"/>
        <v>0</v>
      </c>
      <c r="DH165" s="10">
        <f t="shared" si="179"/>
        <v>0</v>
      </c>
      <c r="DI165" s="31" t="str">
        <f t="shared" si="180"/>
        <v>0</v>
      </c>
      <c r="DJ165" s="10">
        <f>+Risultati!AW164</f>
        <v>0</v>
      </c>
      <c r="DK165" s="31" t="str">
        <f t="shared" si="181"/>
        <v>0</v>
      </c>
      <c r="DL165" s="10">
        <f t="shared" si="152"/>
        <v>0</v>
      </c>
      <c r="DM165" s="31" t="str">
        <f t="shared" si="182"/>
        <v>0</v>
      </c>
      <c r="DO165" s="30"/>
      <c r="DP165" s="30"/>
    </row>
    <row r="166" spans="1:120" x14ac:dyDescent="0.2">
      <c r="A166" s="5"/>
      <c r="B166" s="6">
        <f>+Risultati!B165</f>
        <v>0</v>
      </c>
      <c r="C166" s="6">
        <f>+Risultati!C165</f>
        <v>0</v>
      </c>
      <c r="D166" s="26" t="str">
        <f>IF(YEAR(Risultati!D165)=1900,(MID(Risultati!$AP$1,29,4)),YEAR(Risultati!D165))</f>
        <v/>
      </c>
      <c r="E166" s="6">
        <f>+Risultati!E165</f>
        <v>0</v>
      </c>
      <c r="F166" s="8" t="e">
        <f>(LEFT(Risultati!AN165,2)&amp;"-")&amp;VLOOKUP((LEFT(Risultati!AN165,2)),ateco!$B$4:$C$93,2,FALSE)</f>
        <v>#N/A</v>
      </c>
      <c r="G166" s="8" t="str">
        <f>SUBSTITUTE((Risultati!AN165&amp;"-"&amp;Risultati!AO165),",",";")</f>
        <v>-</v>
      </c>
      <c r="I166" s="10">
        <f>+Risultati!G165</f>
        <v>0</v>
      </c>
      <c r="J166" s="11" t="str">
        <f t="shared" si="134"/>
        <v>0</v>
      </c>
      <c r="K166" s="12"/>
      <c r="L166" s="10">
        <f>+Risultati!G165+Risultati!H165</f>
        <v>0</v>
      </c>
      <c r="M166" s="11" t="str">
        <f t="shared" si="135"/>
        <v>0</v>
      </c>
      <c r="N166" s="12"/>
      <c r="O166" s="10">
        <f>+Risultati!I165+Risultati!J165</f>
        <v>0</v>
      </c>
      <c r="P166" s="11" t="str">
        <f t="shared" si="136"/>
        <v>0</v>
      </c>
      <c r="Q166" s="12"/>
      <c r="R166" s="13">
        <f t="shared" si="153"/>
        <v>0</v>
      </c>
      <c r="S166" s="11" t="str">
        <f t="shared" si="137"/>
        <v>0</v>
      </c>
      <c r="T166" s="12"/>
      <c r="U166" s="10">
        <f>+Risultati!F165-(Risultati!G165+Risultati!H165)</f>
        <v>0</v>
      </c>
      <c r="V166" s="12" t="str">
        <f t="shared" si="138"/>
        <v>0</v>
      </c>
      <c r="W166" s="12"/>
      <c r="X166" s="10">
        <f t="shared" si="154"/>
        <v>0</v>
      </c>
      <c r="Y166" s="12" t="str">
        <f t="shared" si="139"/>
        <v>0</v>
      </c>
      <c r="Z166" s="12"/>
      <c r="AA166" s="10">
        <f>+Risultati!K165</f>
        <v>0</v>
      </c>
      <c r="AB166" s="12" t="str">
        <f t="shared" si="140"/>
        <v>0</v>
      </c>
      <c r="AC166" s="12"/>
      <c r="AD166" s="10">
        <f>+Risultati!L165</f>
        <v>0</v>
      </c>
      <c r="AE166" s="12" t="str">
        <f t="shared" si="141"/>
        <v>0</v>
      </c>
      <c r="AF166" s="12"/>
      <c r="AG166" s="10">
        <f>+Risultati!M165+Risultati!P165+Risultati!Q165</f>
        <v>0</v>
      </c>
      <c r="AH166" s="12" t="str">
        <f t="shared" si="142"/>
        <v>0</v>
      </c>
      <c r="AI166" s="12"/>
      <c r="AJ166" s="13">
        <f t="shared" si="155"/>
        <v>0</v>
      </c>
      <c r="AK166" s="11" t="str">
        <f t="shared" si="143"/>
        <v>0</v>
      </c>
      <c r="AL166" s="12"/>
      <c r="AM166" s="10">
        <f>+Risultati!N165</f>
        <v>0</v>
      </c>
      <c r="AN166" s="12" t="str">
        <f t="shared" si="144"/>
        <v>0</v>
      </c>
      <c r="AO166" s="12"/>
      <c r="AP166" s="10">
        <f t="shared" si="156"/>
        <v>0</v>
      </c>
      <c r="AQ166" s="41" t="str">
        <f t="shared" si="145"/>
        <v>0</v>
      </c>
      <c r="AR166" s="12"/>
      <c r="AS166" s="10">
        <f>+Risultati!O165</f>
        <v>0</v>
      </c>
      <c r="AT166" s="12" t="str">
        <f t="shared" si="146"/>
        <v>0</v>
      </c>
      <c r="AU166" s="12"/>
      <c r="AV166" s="10">
        <f t="shared" si="157"/>
        <v>0</v>
      </c>
      <c r="AW166" s="12" t="str">
        <f t="shared" si="147"/>
        <v>0</v>
      </c>
      <c r="AX166" s="12"/>
      <c r="AY166" s="10">
        <f>+Risultati!R165+Risultati!S165</f>
        <v>0</v>
      </c>
      <c r="AZ166" s="12" t="str">
        <f t="shared" si="148"/>
        <v>0</v>
      </c>
      <c r="BA166" s="12"/>
      <c r="BB166" s="10">
        <f>+Risultati!T165</f>
        <v>0</v>
      </c>
      <c r="BC166" s="12" t="str">
        <f t="shared" si="149"/>
        <v>0</v>
      </c>
      <c r="BD166" s="12"/>
      <c r="BE166" s="10">
        <f>+Risultati!U165</f>
        <v>0</v>
      </c>
      <c r="BF166" s="12" t="str">
        <f t="shared" si="150"/>
        <v>0</v>
      </c>
      <c r="BG166" s="12"/>
      <c r="BH166" s="10">
        <f t="shared" si="158"/>
        <v>0</v>
      </c>
      <c r="BI166" s="12" t="str">
        <f t="shared" si="151"/>
        <v>0</v>
      </c>
      <c r="BK166" s="16">
        <f>IF(ISNUMBER(Risultati!X165/100),(Risultati!X165/100))</f>
        <v>0</v>
      </c>
      <c r="BL166" s="16">
        <f>IF(ISNUMBER(Risultati!Y165/100),(Risultati!Y165/100))</f>
        <v>0</v>
      </c>
      <c r="BM166" s="16">
        <f>IF(ISNUMBER(Risultati!Z165/100),(Risultati!Z165/100))</f>
        <v>0</v>
      </c>
      <c r="BN166" s="16">
        <f>IF(AND(Risultati!AY165&lt;0,calcoli!AP166&lt;0),-IF(ISNUMBER(Risultati!AA165/100),(Risultati!AA165/100)),IF(ISNUMBER(Risultati!AA165/100),(Risultati!AA165/100)))</f>
        <v>0</v>
      </c>
      <c r="BO166" s="16" t="str">
        <f t="shared" si="132"/>
        <v>0</v>
      </c>
      <c r="BP166" s="16" t="str">
        <f>IF(Risultati!AB165&gt;0,(AV166/Risultati!AB165),"0")</f>
        <v>0</v>
      </c>
      <c r="BQ166" s="16" t="str">
        <f>IF(Risultati!AG165&lt;&gt;0,(BH166/Risultati!AG165),"0")</f>
        <v>0</v>
      </c>
      <c r="BR166" s="16" t="str">
        <f t="shared" si="133"/>
        <v>0</v>
      </c>
      <c r="BS166" s="14" t="str">
        <f>IF(Risultati!AB165&gt;0,(Risultati!G165/Risultati!AB165),"0")</f>
        <v>0</v>
      </c>
      <c r="BT166" s="15" t="str">
        <f>IF(Risultati!AG165&lt;&gt;0,(Risultati!AB165/Risultati!AG165),"0")</f>
        <v>0</v>
      </c>
      <c r="BU166" s="23" t="str">
        <f>IF(AND(Risultati!G165&gt;0,(Risultati!AE165-Risultati!AF165)&gt;=0),((Risultati!AE165-Risultati!AF165)/Risultati!G165*360),"0")</f>
        <v>0</v>
      </c>
      <c r="BV166" s="21" t="str">
        <f>IF(OR(E166="abbreviato",Risultati!G165=0),"0",((Risultati!AC165+Risultati!AD165)/Risultati!G165*360))</f>
        <v>0</v>
      </c>
      <c r="BW166" s="21" t="str">
        <f>IF(OR(E166="abbreviato",Risultati!G165=0,SUM(Risultati!I165+Risultati!K165+Risultati!M165)=0),"0",(((Risultati!AH165+Risultati!AI165)/(Risultati!I165+Risultati!K165+Risultati!N165)*360)))</f>
        <v>0</v>
      </c>
      <c r="BX166" s="16" t="str">
        <f>IF(Risultati!AB165&gt;0,(+Risultati!AG165/Risultati!AB165),"0")</f>
        <v>0</v>
      </c>
      <c r="BY166" s="22" t="str">
        <f>IF(OR(E166="abbreviato",Risultati!G165=0),"0",(((Risultati!AK165-(Risultati!AL165+Risultati!AM165))/Risultati!G165)))</f>
        <v>0</v>
      </c>
      <c r="BZ166" s="16" t="str">
        <f>IF(Risultati!G165&gt;0,(Risultati!AJ165/Risultati!G165),"0")</f>
        <v>0</v>
      </c>
      <c r="CA166" s="8"/>
      <c r="CB166" s="10">
        <f>+Risultati!AP165</f>
        <v>0</v>
      </c>
      <c r="CC166" s="31" t="str">
        <f t="shared" si="159"/>
        <v>0</v>
      </c>
      <c r="CD166" s="10">
        <f>+Risultati!AQ165</f>
        <v>0</v>
      </c>
      <c r="CE166" s="31" t="str">
        <f t="shared" si="160"/>
        <v>0</v>
      </c>
      <c r="CF166" s="10">
        <f>+Risultati!AR165</f>
        <v>0</v>
      </c>
      <c r="CG166" s="31" t="str">
        <f t="shared" si="161"/>
        <v>0</v>
      </c>
      <c r="CH166" s="10">
        <f>+Risultati!AS165</f>
        <v>0</v>
      </c>
      <c r="CI166" s="31" t="str">
        <f t="shared" si="162"/>
        <v>0</v>
      </c>
      <c r="CJ166" s="10">
        <f t="shared" si="163"/>
        <v>0</v>
      </c>
      <c r="CK166" s="31" t="str">
        <f t="shared" si="164"/>
        <v>0</v>
      </c>
      <c r="CL166" s="10">
        <f>+Risultati!AE165+Risultati!AF165</f>
        <v>0</v>
      </c>
      <c r="CM166" s="31" t="str">
        <f t="shared" si="165"/>
        <v>0</v>
      </c>
      <c r="CN166" s="10">
        <f>+Risultati!AT165</f>
        <v>0</v>
      </c>
      <c r="CO166" s="31" t="str">
        <f t="shared" si="166"/>
        <v>0</v>
      </c>
      <c r="CP166" s="10">
        <f>+Risultati!AU165</f>
        <v>0</v>
      </c>
      <c r="CQ166" s="31" t="str">
        <f t="shared" si="167"/>
        <v>0</v>
      </c>
      <c r="CR166" s="10">
        <f>+Risultati!AL165</f>
        <v>0</v>
      </c>
      <c r="CS166" s="31" t="str">
        <f t="shared" si="168"/>
        <v>0</v>
      </c>
      <c r="CT166" s="10">
        <f t="shared" si="169"/>
        <v>0</v>
      </c>
      <c r="CU166" s="31" t="str">
        <f t="shared" si="170"/>
        <v>0</v>
      </c>
      <c r="CV166" s="10">
        <f>+Risultati!AX165</f>
        <v>0</v>
      </c>
      <c r="CW166" s="31" t="str">
        <f t="shared" si="171"/>
        <v>0</v>
      </c>
      <c r="CX166" s="10">
        <f t="shared" si="172"/>
        <v>0</v>
      </c>
      <c r="CY166" s="31" t="str">
        <f t="shared" si="173"/>
        <v>0</v>
      </c>
      <c r="CZ166" s="10">
        <f>+Risultati!AG165</f>
        <v>0</v>
      </c>
      <c r="DA166" s="31" t="str">
        <f t="shared" si="174"/>
        <v>0</v>
      </c>
      <c r="DB166" s="10">
        <f t="shared" si="175"/>
        <v>0</v>
      </c>
      <c r="DC166" s="31" t="str">
        <f t="shared" si="176"/>
        <v>0</v>
      </c>
      <c r="DD166" s="10">
        <f>+Risultati!AV165</f>
        <v>0</v>
      </c>
      <c r="DE166" s="31" t="str">
        <f t="shared" si="177"/>
        <v>0</v>
      </c>
      <c r="DF166" s="10">
        <f>+Risultati!AJ165</f>
        <v>0</v>
      </c>
      <c r="DG166" s="31" t="str">
        <f t="shared" si="178"/>
        <v>0</v>
      </c>
      <c r="DH166" s="10">
        <f t="shared" si="179"/>
        <v>0</v>
      </c>
      <c r="DI166" s="31" t="str">
        <f t="shared" si="180"/>
        <v>0</v>
      </c>
      <c r="DJ166" s="10">
        <f>+Risultati!AW165</f>
        <v>0</v>
      </c>
      <c r="DK166" s="31" t="str">
        <f t="shared" si="181"/>
        <v>0</v>
      </c>
      <c r="DL166" s="10">
        <f t="shared" si="152"/>
        <v>0</v>
      </c>
      <c r="DM166" s="31" t="str">
        <f t="shared" si="182"/>
        <v>0</v>
      </c>
      <c r="DO166" s="30"/>
      <c r="DP166" s="30"/>
    </row>
    <row r="167" spans="1:120" x14ac:dyDescent="0.2">
      <c r="A167" s="5"/>
      <c r="B167" s="6">
        <f>+Risultati!B166</f>
        <v>0</v>
      </c>
      <c r="C167" s="6">
        <f>+Risultati!C166</f>
        <v>0</v>
      </c>
      <c r="D167" s="26" t="str">
        <f>IF(YEAR(Risultati!D166)=1900,(MID(Risultati!$AP$1,29,4)),YEAR(Risultati!D166))</f>
        <v/>
      </c>
      <c r="E167" s="6">
        <f>+Risultati!E166</f>
        <v>0</v>
      </c>
      <c r="F167" s="8" t="e">
        <f>(LEFT(Risultati!AN166,2)&amp;"-")&amp;VLOOKUP((LEFT(Risultati!AN166,2)),ateco!$B$4:$C$93,2,FALSE)</f>
        <v>#N/A</v>
      </c>
      <c r="G167" s="8" t="str">
        <f>SUBSTITUTE((Risultati!AN166&amp;"-"&amp;Risultati!AO166),",",";")</f>
        <v>-</v>
      </c>
      <c r="I167" s="10">
        <f>+Risultati!G166</f>
        <v>0</v>
      </c>
      <c r="J167" s="11" t="str">
        <f t="shared" si="134"/>
        <v>0</v>
      </c>
      <c r="K167" s="12"/>
      <c r="L167" s="10">
        <f>+Risultati!G166+Risultati!H166</f>
        <v>0</v>
      </c>
      <c r="M167" s="11" t="str">
        <f t="shared" si="135"/>
        <v>0</v>
      </c>
      <c r="N167" s="12"/>
      <c r="O167" s="10">
        <f>+Risultati!I166+Risultati!J166</f>
        <v>0</v>
      </c>
      <c r="P167" s="11" t="str">
        <f t="shared" si="136"/>
        <v>0</v>
      </c>
      <c r="Q167" s="12"/>
      <c r="R167" s="13">
        <f t="shared" si="153"/>
        <v>0</v>
      </c>
      <c r="S167" s="11" t="str">
        <f t="shared" si="137"/>
        <v>0</v>
      </c>
      <c r="T167" s="12"/>
      <c r="U167" s="10">
        <f>+Risultati!F166-(Risultati!G166+Risultati!H166)</f>
        <v>0</v>
      </c>
      <c r="V167" s="12" t="str">
        <f t="shared" si="138"/>
        <v>0</v>
      </c>
      <c r="W167" s="12"/>
      <c r="X167" s="10">
        <f t="shared" si="154"/>
        <v>0</v>
      </c>
      <c r="Y167" s="12" t="str">
        <f t="shared" si="139"/>
        <v>0</v>
      </c>
      <c r="Z167" s="12"/>
      <c r="AA167" s="10">
        <f>+Risultati!K166</f>
        <v>0</v>
      </c>
      <c r="AB167" s="12" t="str">
        <f t="shared" si="140"/>
        <v>0</v>
      </c>
      <c r="AC167" s="12"/>
      <c r="AD167" s="10">
        <f>+Risultati!L166</f>
        <v>0</v>
      </c>
      <c r="AE167" s="12" t="str">
        <f t="shared" si="141"/>
        <v>0</v>
      </c>
      <c r="AF167" s="12"/>
      <c r="AG167" s="10">
        <f>+Risultati!M166+Risultati!P166+Risultati!Q166</f>
        <v>0</v>
      </c>
      <c r="AH167" s="12" t="str">
        <f t="shared" si="142"/>
        <v>0</v>
      </c>
      <c r="AI167" s="12"/>
      <c r="AJ167" s="13">
        <f t="shared" si="155"/>
        <v>0</v>
      </c>
      <c r="AK167" s="11" t="str">
        <f t="shared" si="143"/>
        <v>0</v>
      </c>
      <c r="AL167" s="12"/>
      <c r="AM167" s="10">
        <f>+Risultati!N166</f>
        <v>0</v>
      </c>
      <c r="AN167" s="12" t="str">
        <f t="shared" si="144"/>
        <v>0</v>
      </c>
      <c r="AO167" s="12"/>
      <c r="AP167" s="10">
        <f t="shared" si="156"/>
        <v>0</v>
      </c>
      <c r="AQ167" s="41" t="str">
        <f t="shared" si="145"/>
        <v>0</v>
      </c>
      <c r="AR167" s="12"/>
      <c r="AS167" s="10">
        <f>+Risultati!O166</f>
        <v>0</v>
      </c>
      <c r="AT167" s="12" t="str">
        <f t="shared" si="146"/>
        <v>0</v>
      </c>
      <c r="AU167" s="12"/>
      <c r="AV167" s="10">
        <f t="shared" si="157"/>
        <v>0</v>
      </c>
      <c r="AW167" s="12" t="str">
        <f t="shared" si="147"/>
        <v>0</v>
      </c>
      <c r="AX167" s="12"/>
      <c r="AY167" s="10">
        <f>+Risultati!R166+Risultati!S166</f>
        <v>0</v>
      </c>
      <c r="AZ167" s="12" t="str">
        <f t="shared" si="148"/>
        <v>0</v>
      </c>
      <c r="BA167" s="12"/>
      <c r="BB167" s="10">
        <f>+Risultati!T166</f>
        <v>0</v>
      </c>
      <c r="BC167" s="12" t="str">
        <f t="shared" si="149"/>
        <v>0</v>
      </c>
      <c r="BD167" s="12"/>
      <c r="BE167" s="10">
        <f>+Risultati!U166</f>
        <v>0</v>
      </c>
      <c r="BF167" s="12" t="str">
        <f t="shared" si="150"/>
        <v>0</v>
      </c>
      <c r="BG167" s="12"/>
      <c r="BH167" s="10">
        <f t="shared" si="158"/>
        <v>0</v>
      </c>
      <c r="BI167" s="12" t="str">
        <f t="shared" si="151"/>
        <v>0</v>
      </c>
      <c r="BK167" s="16">
        <f>IF(ISNUMBER(Risultati!X166/100),(Risultati!X166/100))</f>
        <v>0</v>
      </c>
      <c r="BL167" s="16">
        <f>IF(ISNUMBER(Risultati!Y166/100),(Risultati!Y166/100))</f>
        <v>0</v>
      </c>
      <c r="BM167" s="16">
        <f>IF(ISNUMBER(Risultati!Z166/100),(Risultati!Z166/100))</f>
        <v>0</v>
      </c>
      <c r="BN167" s="16">
        <f>IF(AND(Risultati!AY166&lt;0,calcoli!AP167&lt;0),-IF(ISNUMBER(Risultati!AA166/100),(Risultati!AA166/100)),IF(ISNUMBER(Risultati!AA166/100),(Risultati!AA166/100)))</f>
        <v>0</v>
      </c>
      <c r="BO167" s="16" t="str">
        <f t="shared" si="132"/>
        <v>0</v>
      </c>
      <c r="BP167" s="16" t="str">
        <f>IF(Risultati!AB166&gt;0,(AV167/Risultati!AB166),"0")</f>
        <v>0</v>
      </c>
      <c r="BQ167" s="16" t="str">
        <f>IF(Risultati!AG166&lt;&gt;0,(BH167/Risultati!AG166),"0")</f>
        <v>0</v>
      </c>
      <c r="BR167" s="16" t="str">
        <f t="shared" si="133"/>
        <v>0</v>
      </c>
      <c r="BS167" s="14" t="str">
        <f>IF(Risultati!AB166&gt;0,(Risultati!G166/Risultati!AB166),"0")</f>
        <v>0</v>
      </c>
      <c r="BT167" s="15" t="str">
        <f>IF(Risultati!AG166&lt;&gt;0,(Risultati!AB166/Risultati!AG166),"0")</f>
        <v>0</v>
      </c>
      <c r="BU167" s="23" t="str">
        <f>IF(AND(Risultati!G166&gt;0,(Risultati!AE166-Risultati!AF166)&gt;=0),((Risultati!AE166-Risultati!AF166)/Risultati!G166*360),"0")</f>
        <v>0</v>
      </c>
      <c r="BV167" s="21" t="str">
        <f>IF(OR(E167="abbreviato",Risultati!G166=0),"0",((Risultati!AC166+Risultati!AD166)/Risultati!G166*360))</f>
        <v>0</v>
      </c>
      <c r="BW167" s="21" t="str">
        <f>IF(OR(E167="abbreviato",Risultati!G166=0,SUM(Risultati!I166+Risultati!K166+Risultati!M166)=0),"0",(((Risultati!AH166+Risultati!AI166)/(Risultati!I166+Risultati!K166+Risultati!N166)*360)))</f>
        <v>0</v>
      </c>
      <c r="BX167" s="16" t="str">
        <f>IF(Risultati!AB166&gt;0,(+Risultati!AG166/Risultati!AB166),"0")</f>
        <v>0</v>
      </c>
      <c r="BY167" s="22" t="str">
        <f>IF(OR(E167="abbreviato",Risultati!G166=0),"0",(((Risultati!AK166-(Risultati!AL166+Risultati!AM166))/Risultati!G166)))</f>
        <v>0</v>
      </c>
      <c r="BZ167" s="16" t="str">
        <f>IF(Risultati!G166&gt;0,(Risultati!AJ166/Risultati!G166),"0")</f>
        <v>0</v>
      </c>
      <c r="CA167" s="8"/>
      <c r="CB167" s="10">
        <f>+Risultati!AP166</f>
        <v>0</v>
      </c>
      <c r="CC167" s="31" t="str">
        <f t="shared" si="159"/>
        <v>0</v>
      </c>
      <c r="CD167" s="10">
        <f>+Risultati!AQ166</f>
        <v>0</v>
      </c>
      <c r="CE167" s="31" t="str">
        <f t="shared" si="160"/>
        <v>0</v>
      </c>
      <c r="CF167" s="10">
        <f>+Risultati!AR166</f>
        <v>0</v>
      </c>
      <c r="CG167" s="31" t="str">
        <f t="shared" si="161"/>
        <v>0</v>
      </c>
      <c r="CH167" s="10">
        <f>+Risultati!AS166</f>
        <v>0</v>
      </c>
      <c r="CI167" s="31" t="str">
        <f t="shared" si="162"/>
        <v>0</v>
      </c>
      <c r="CJ167" s="10">
        <f t="shared" si="163"/>
        <v>0</v>
      </c>
      <c r="CK167" s="31" t="str">
        <f t="shared" si="164"/>
        <v>0</v>
      </c>
      <c r="CL167" s="10">
        <f>+Risultati!AE166+Risultati!AF166</f>
        <v>0</v>
      </c>
      <c r="CM167" s="31" t="str">
        <f t="shared" si="165"/>
        <v>0</v>
      </c>
      <c r="CN167" s="10">
        <f>+Risultati!AT166</f>
        <v>0</v>
      </c>
      <c r="CO167" s="31" t="str">
        <f t="shared" si="166"/>
        <v>0</v>
      </c>
      <c r="CP167" s="10">
        <f>+Risultati!AU166</f>
        <v>0</v>
      </c>
      <c r="CQ167" s="31" t="str">
        <f t="shared" si="167"/>
        <v>0</v>
      </c>
      <c r="CR167" s="10">
        <f>+Risultati!AL166</f>
        <v>0</v>
      </c>
      <c r="CS167" s="31" t="str">
        <f t="shared" si="168"/>
        <v>0</v>
      </c>
      <c r="CT167" s="10">
        <f t="shared" si="169"/>
        <v>0</v>
      </c>
      <c r="CU167" s="31" t="str">
        <f t="shared" si="170"/>
        <v>0</v>
      </c>
      <c r="CV167" s="10">
        <f>+Risultati!AX166</f>
        <v>0</v>
      </c>
      <c r="CW167" s="31" t="str">
        <f t="shared" si="171"/>
        <v>0</v>
      </c>
      <c r="CX167" s="10">
        <f t="shared" si="172"/>
        <v>0</v>
      </c>
      <c r="CY167" s="31" t="str">
        <f t="shared" si="173"/>
        <v>0</v>
      </c>
      <c r="CZ167" s="10">
        <f>+Risultati!AG166</f>
        <v>0</v>
      </c>
      <c r="DA167" s="31" t="str">
        <f t="shared" si="174"/>
        <v>0</v>
      </c>
      <c r="DB167" s="10">
        <f t="shared" si="175"/>
        <v>0</v>
      </c>
      <c r="DC167" s="31" t="str">
        <f t="shared" si="176"/>
        <v>0</v>
      </c>
      <c r="DD167" s="10">
        <f>+Risultati!AV166</f>
        <v>0</v>
      </c>
      <c r="DE167" s="31" t="str">
        <f t="shared" si="177"/>
        <v>0</v>
      </c>
      <c r="DF167" s="10">
        <f>+Risultati!AJ166</f>
        <v>0</v>
      </c>
      <c r="DG167" s="31" t="str">
        <f t="shared" si="178"/>
        <v>0</v>
      </c>
      <c r="DH167" s="10">
        <f t="shared" si="179"/>
        <v>0</v>
      </c>
      <c r="DI167" s="31" t="str">
        <f t="shared" si="180"/>
        <v>0</v>
      </c>
      <c r="DJ167" s="10">
        <f>+Risultati!AW166</f>
        <v>0</v>
      </c>
      <c r="DK167" s="31" t="str">
        <f t="shared" si="181"/>
        <v>0</v>
      </c>
      <c r="DL167" s="10">
        <f t="shared" si="152"/>
        <v>0</v>
      </c>
      <c r="DM167" s="31" t="str">
        <f t="shared" si="182"/>
        <v>0</v>
      </c>
      <c r="DO167" s="30"/>
      <c r="DP167" s="30"/>
    </row>
    <row r="168" spans="1:120" x14ac:dyDescent="0.2">
      <c r="A168" s="5"/>
      <c r="B168" s="6">
        <f>+Risultati!B167</f>
        <v>0</v>
      </c>
      <c r="C168" s="6">
        <f>+Risultati!C167</f>
        <v>0</v>
      </c>
      <c r="D168" s="26" t="str">
        <f>IF(YEAR(Risultati!D167)=1900,(MID(Risultati!$AP$1,29,4)),YEAR(Risultati!D167))</f>
        <v/>
      </c>
      <c r="E168" s="6">
        <f>+Risultati!E167</f>
        <v>0</v>
      </c>
      <c r="F168" s="8" t="e">
        <f>(LEFT(Risultati!AN167,2)&amp;"-")&amp;VLOOKUP((LEFT(Risultati!AN167,2)),ateco!$B$4:$C$93,2,FALSE)</f>
        <v>#N/A</v>
      </c>
      <c r="G168" s="8" t="str">
        <f>SUBSTITUTE((Risultati!AN167&amp;"-"&amp;Risultati!AO167),",",";")</f>
        <v>-</v>
      </c>
      <c r="I168" s="10">
        <f>+Risultati!G167</f>
        <v>0</v>
      </c>
      <c r="J168" s="11" t="str">
        <f t="shared" si="134"/>
        <v>0</v>
      </c>
      <c r="K168" s="12"/>
      <c r="L168" s="10">
        <f>+Risultati!G167+Risultati!H167</f>
        <v>0</v>
      </c>
      <c r="M168" s="11" t="str">
        <f t="shared" si="135"/>
        <v>0</v>
      </c>
      <c r="N168" s="12"/>
      <c r="O168" s="10">
        <f>+Risultati!I167+Risultati!J167</f>
        <v>0</v>
      </c>
      <c r="P168" s="11" t="str">
        <f t="shared" si="136"/>
        <v>0</v>
      </c>
      <c r="Q168" s="12"/>
      <c r="R168" s="13">
        <f t="shared" si="153"/>
        <v>0</v>
      </c>
      <c r="S168" s="11" t="str">
        <f t="shared" si="137"/>
        <v>0</v>
      </c>
      <c r="T168" s="12"/>
      <c r="U168" s="10">
        <f>+Risultati!F167-(Risultati!G167+Risultati!H167)</f>
        <v>0</v>
      </c>
      <c r="V168" s="12" t="str">
        <f t="shared" si="138"/>
        <v>0</v>
      </c>
      <c r="W168" s="12"/>
      <c r="X168" s="10">
        <f t="shared" si="154"/>
        <v>0</v>
      </c>
      <c r="Y168" s="12" t="str">
        <f t="shared" si="139"/>
        <v>0</v>
      </c>
      <c r="Z168" s="12"/>
      <c r="AA168" s="10">
        <f>+Risultati!K167</f>
        <v>0</v>
      </c>
      <c r="AB168" s="12" t="str">
        <f t="shared" si="140"/>
        <v>0</v>
      </c>
      <c r="AC168" s="12"/>
      <c r="AD168" s="10">
        <f>+Risultati!L167</f>
        <v>0</v>
      </c>
      <c r="AE168" s="12" t="str">
        <f t="shared" si="141"/>
        <v>0</v>
      </c>
      <c r="AF168" s="12"/>
      <c r="AG168" s="10">
        <f>+Risultati!M167+Risultati!P167+Risultati!Q167</f>
        <v>0</v>
      </c>
      <c r="AH168" s="12" t="str">
        <f t="shared" si="142"/>
        <v>0</v>
      </c>
      <c r="AI168" s="12"/>
      <c r="AJ168" s="13">
        <f t="shared" si="155"/>
        <v>0</v>
      </c>
      <c r="AK168" s="11" t="str">
        <f t="shared" si="143"/>
        <v>0</v>
      </c>
      <c r="AL168" s="12"/>
      <c r="AM168" s="10">
        <f>+Risultati!N167</f>
        <v>0</v>
      </c>
      <c r="AN168" s="12" t="str">
        <f t="shared" si="144"/>
        <v>0</v>
      </c>
      <c r="AO168" s="12"/>
      <c r="AP168" s="10">
        <f t="shared" si="156"/>
        <v>0</v>
      </c>
      <c r="AQ168" s="41" t="str">
        <f t="shared" si="145"/>
        <v>0</v>
      </c>
      <c r="AR168" s="12"/>
      <c r="AS168" s="10">
        <f>+Risultati!O167</f>
        <v>0</v>
      </c>
      <c r="AT168" s="12" t="str">
        <f t="shared" si="146"/>
        <v>0</v>
      </c>
      <c r="AU168" s="12"/>
      <c r="AV168" s="10">
        <f t="shared" si="157"/>
        <v>0</v>
      </c>
      <c r="AW168" s="12" t="str">
        <f t="shared" si="147"/>
        <v>0</v>
      </c>
      <c r="AX168" s="12"/>
      <c r="AY168" s="10">
        <f>+Risultati!R167+Risultati!S167</f>
        <v>0</v>
      </c>
      <c r="AZ168" s="12" t="str">
        <f t="shared" si="148"/>
        <v>0</v>
      </c>
      <c r="BA168" s="12"/>
      <c r="BB168" s="10">
        <f>+Risultati!T167</f>
        <v>0</v>
      </c>
      <c r="BC168" s="12" t="str">
        <f t="shared" si="149"/>
        <v>0</v>
      </c>
      <c r="BD168" s="12"/>
      <c r="BE168" s="10">
        <f>+Risultati!U167</f>
        <v>0</v>
      </c>
      <c r="BF168" s="12" t="str">
        <f t="shared" si="150"/>
        <v>0</v>
      </c>
      <c r="BG168" s="12"/>
      <c r="BH168" s="10">
        <f t="shared" si="158"/>
        <v>0</v>
      </c>
      <c r="BI168" s="12" t="str">
        <f t="shared" si="151"/>
        <v>0</v>
      </c>
      <c r="BK168" s="16">
        <f>IF(ISNUMBER(Risultati!X167/100),(Risultati!X167/100))</f>
        <v>0</v>
      </c>
      <c r="BL168" s="16">
        <f>IF(ISNUMBER(Risultati!Y167/100),(Risultati!Y167/100))</f>
        <v>0</v>
      </c>
      <c r="BM168" s="16">
        <f>IF(ISNUMBER(Risultati!Z167/100),(Risultati!Z167/100))</f>
        <v>0</v>
      </c>
      <c r="BN168" s="16">
        <f>IF(AND(Risultati!AY167&lt;0,calcoli!AP168&lt;0),-IF(ISNUMBER(Risultati!AA167/100),(Risultati!AA167/100)),IF(ISNUMBER(Risultati!AA167/100),(Risultati!AA167/100)))</f>
        <v>0</v>
      </c>
      <c r="BO168" s="16" t="str">
        <f t="shared" si="132"/>
        <v>0</v>
      </c>
      <c r="BP168" s="16" t="str">
        <f>IF(Risultati!AB167&gt;0,(AV168/Risultati!AB167),"0")</f>
        <v>0</v>
      </c>
      <c r="BQ168" s="16" t="str">
        <f>IF(Risultati!AG167&lt;&gt;0,(BH168/Risultati!AG167),"0")</f>
        <v>0</v>
      </c>
      <c r="BR168" s="16" t="str">
        <f t="shared" si="133"/>
        <v>0</v>
      </c>
      <c r="BS168" s="14" t="str">
        <f>IF(Risultati!AB167&gt;0,(Risultati!G167/Risultati!AB167),"0")</f>
        <v>0</v>
      </c>
      <c r="BT168" s="15" t="str">
        <f>IF(Risultati!AG167&lt;&gt;0,(Risultati!AB167/Risultati!AG167),"0")</f>
        <v>0</v>
      </c>
      <c r="BU168" s="23" t="str">
        <f>IF(AND(Risultati!G167&gt;0,(Risultati!AE167-Risultati!AF167)&gt;=0),((Risultati!AE167-Risultati!AF167)/Risultati!G167*360),"0")</f>
        <v>0</v>
      </c>
      <c r="BV168" s="21" t="str">
        <f>IF(OR(E168="abbreviato",Risultati!G167=0),"0",((Risultati!AC167+Risultati!AD167)/Risultati!G167*360))</f>
        <v>0</v>
      </c>
      <c r="BW168" s="21" t="str">
        <f>IF(OR(E168="abbreviato",Risultati!G167=0,SUM(Risultati!I167+Risultati!K167+Risultati!M167)=0),"0",(((Risultati!AH167+Risultati!AI167)/(Risultati!I167+Risultati!K167+Risultati!N167)*360)))</f>
        <v>0</v>
      </c>
      <c r="BX168" s="16" t="str">
        <f>IF(Risultati!AB167&gt;0,(+Risultati!AG167/Risultati!AB167),"0")</f>
        <v>0</v>
      </c>
      <c r="BY168" s="22" t="str">
        <f>IF(OR(E168="abbreviato",Risultati!G167=0),"0",(((Risultati!AK167-(Risultati!AL167+Risultati!AM167))/Risultati!G167)))</f>
        <v>0</v>
      </c>
      <c r="BZ168" s="16" t="str">
        <f>IF(Risultati!G167&gt;0,(Risultati!AJ167/Risultati!G167),"0")</f>
        <v>0</v>
      </c>
      <c r="CA168" s="8"/>
      <c r="CB168" s="10">
        <f>+Risultati!AP167</f>
        <v>0</v>
      </c>
      <c r="CC168" s="31" t="str">
        <f t="shared" si="159"/>
        <v>0</v>
      </c>
      <c r="CD168" s="10">
        <f>+Risultati!AQ167</f>
        <v>0</v>
      </c>
      <c r="CE168" s="31" t="str">
        <f t="shared" si="160"/>
        <v>0</v>
      </c>
      <c r="CF168" s="10">
        <f>+Risultati!AR167</f>
        <v>0</v>
      </c>
      <c r="CG168" s="31" t="str">
        <f t="shared" si="161"/>
        <v>0</v>
      </c>
      <c r="CH168" s="10">
        <f>+Risultati!AS167</f>
        <v>0</v>
      </c>
      <c r="CI168" s="31" t="str">
        <f t="shared" si="162"/>
        <v>0</v>
      </c>
      <c r="CJ168" s="10">
        <f t="shared" si="163"/>
        <v>0</v>
      </c>
      <c r="CK168" s="31" t="str">
        <f t="shared" si="164"/>
        <v>0</v>
      </c>
      <c r="CL168" s="10">
        <f>+Risultati!AE167+Risultati!AF167</f>
        <v>0</v>
      </c>
      <c r="CM168" s="31" t="str">
        <f t="shared" si="165"/>
        <v>0</v>
      </c>
      <c r="CN168" s="10">
        <f>+Risultati!AT167</f>
        <v>0</v>
      </c>
      <c r="CO168" s="31" t="str">
        <f t="shared" si="166"/>
        <v>0</v>
      </c>
      <c r="CP168" s="10">
        <f>+Risultati!AU167</f>
        <v>0</v>
      </c>
      <c r="CQ168" s="31" t="str">
        <f t="shared" si="167"/>
        <v>0</v>
      </c>
      <c r="CR168" s="10">
        <f>+Risultati!AL167</f>
        <v>0</v>
      </c>
      <c r="CS168" s="31" t="str">
        <f t="shared" si="168"/>
        <v>0</v>
      </c>
      <c r="CT168" s="10">
        <f t="shared" si="169"/>
        <v>0</v>
      </c>
      <c r="CU168" s="31" t="str">
        <f t="shared" si="170"/>
        <v>0</v>
      </c>
      <c r="CV168" s="10">
        <f>+Risultati!AX167</f>
        <v>0</v>
      </c>
      <c r="CW168" s="31" t="str">
        <f t="shared" si="171"/>
        <v>0</v>
      </c>
      <c r="CX168" s="10">
        <f t="shared" si="172"/>
        <v>0</v>
      </c>
      <c r="CY168" s="31" t="str">
        <f t="shared" si="173"/>
        <v>0</v>
      </c>
      <c r="CZ168" s="10">
        <f>+Risultati!AG167</f>
        <v>0</v>
      </c>
      <c r="DA168" s="31" t="str">
        <f t="shared" si="174"/>
        <v>0</v>
      </c>
      <c r="DB168" s="10">
        <f t="shared" si="175"/>
        <v>0</v>
      </c>
      <c r="DC168" s="31" t="str">
        <f t="shared" si="176"/>
        <v>0</v>
      </c>
      <c r="DD168" s="10">
        <f>+Risultati!AV167</f>
        <v>0</v>
      </c>
      <c r="DE168" s="31" t="str">
        <f t="shared" si="177"/>
        <v>0</v>
      </c>
      <c r="DF168" s="10">
        <f>+Risultati!AJ167</f>
        <v>0</v>
      </c>
      <c r="DG168" s="31" t="str">
        <f t="shared" si="178"/>
        <v>0</v>
      </c>
      <c r="DH168" s="10">
        <f t="shared" si="179"/>
        <v>0</v>
      </c>
      <c r="DI168" s="31" t="str">
        <f t="shared" si="180"/>
        <v>0</v>
      </c>
      <c r="DJ168" s="10">
        <f>+Risultati!AW167</f>
        <v>0</v>
      </c>
      <c r="DK168" s="31" t="str">
        <f t="shared" si="181"/>
        <v>0</v>
      </c>
      <c r="DL168" s="10">
        <f t="shared" si="152"/>
        <v>0</v>
      </c>
      <c r="DM168" s="31" t="str">
        <f t="shared" si="182"/>
        <v>0</v>
      </c>
      <c r="DO168" s="30"/>
      <c r="DP168" s="30"/>
    </row>
    <row r="169" spans="1:120" x14ac:dyDescent="0.2">
      <c r="A169" s="5"/>
      <c r="B169" s="6">
        <f>+Risultati!B168</f>
        <v>0</v>
      </c>
      <c r="C169" s="6">
        <f>+Risultati!C168</f>
        <v>0</v>
      </c>
      <c r="D169" s="26" t="str">
        <f>IF(YEAR(Risultati!D168)=1900,(MID(Risultati!$AP$1,29,4)),YEAR(Risultati!D168))</f>
        <v/>
      </c>
      <c r="E169" s="6">
        <f>+Risultati!E168</f>
        <v>0</v>
      </c>
      <c r="F169" s="8" t="e">
        <f>(LEFT(Risultati!AN168,2)&amp;"-")&amp;VLOOKUP((LEFT(Risultati!AN168,2)),ateco!$B$4:$C$93,2,FALSE)</f>
        <v>#N/A</v>
      </c>
      <c r="G169" s="8" t="str">
        <f>SUBSTITUTE((Risultati!AN168&amp;"-"&amp;Risultati!AO168),",",";")</f>
        <v>-</v>
      </c>
      <c r="I169" s="10">
        <f>+Risultati!G168</f>
        <v>0</v>
      </c>
      <c r="J169" s="11" t="str">
        <f t="shared" si="134"/>
        <v>0</v>
      </c>
      <c r="K169" s="12"/>
      <c r="L169" s="10">
        <f>+Risultati!G168+Risultati!H168</f>
        <v>0</v>
      </c>
      <c r="M169" s="11" t="str">
        <f t="shared" si="135"/>
        <v>0</v>
      </c>
      <c r="N169" s="12"/>
      <c r="O169" s="10">
        <f>+Risultati!I168+Risultati!J168</f>
        <v>0</v>
      </c>
      <c r="P169" s="11" t="str">
        <f t="shared" si="136"/>
        <v>0</v>
      </c>
      <c r="Q169" s="12"/>
      <c r="R169" s="13">
        <f t="shared" si="153"/>
        <v>0</v>
      </c>
      <c r="S169" s="11" t="str">
        <f t="shared" si="137"/>
        <v>0</v>
      </c>
      <c r="T169" s="12"/>
      <c r="U169" s="10">
        <f>+Risultati!F168-(Risultati!G168+Risultati!H168)</f>
        <v>0</v>
      </c>
      <c r="V169" s="12" t="str">
        <f t="shared" si="138"/>
        <v>0</v>
      </c>
      <c r="W169" s="12"/>
      <c r="X169" s="10">
        <f t="shared" si="154"/>
        <v>0</v>
      </c>
      <c r="Y169" s="12" t="str">
        <f t="shared" si="139"/>
        <v>0</v>
      </c>
      <c r="Z169" s="12"/>
      <c r="AA169" s="10">
        <f>+Risultati!K168</f>
        <v>0</v>
      </c>
      <c r="AB169" s="12" t="str">
        <f t="shared" si="140"/>
        <v>0</v>
      </c>
      <c r="AC169" s="12"/>
      <c r="AD169" s="10">
        <f>+Risultati!L168</f>
        <v>0</v>
      </c>
      <c r="AE169" s="12" t="str">
        <f t="shared" si="141"/>
        <v>0</v>
      </c>
      <c r="AF169" s="12"/>
      <c r="AG169" s="10">
        <f>+Risultati!M168+Risultati!P168+Risultati!Q168</f>
        <v>0</v>
      </c>
      <c r="AH169" s="12" t="str">
        <f t="shared" si="142"/>
        <v>0</v>
      </c>
      <c r="AI169" s="12"/>
      <c r="AJ169" s="13">
        <f t="shared" si="155"/>
        <v>0</v>
      </c>
      <c r="AK169" s="11" t="str">
        <f t="shared" si="143"/>
        <v>0</v>
      </c>
      <c r="AL169" s="12"/>
      <c r="AM169" s="10">
        <f>+Risultati!N168</f>
        <v>0</v>
      </c>
      <c r="AN169" s="12" t="str">
        <f t="shared" si="144"/>
        <v>0</v>
      </c>
      <c r="AO169" s="12"/>
      <c r="AP169" s="10">
        <f t="shared" si="156"/>
        <v>0</v>
      </c>
      <c r="AQ169" s="41" t="str">
        <f t="shared" si="145"/>
        <v>0</v>
      </c>
      <c r="AR169" s="12"/>
      <c r="AS169" s="10">
        <f>+Risultati!O168</f>
        <v>0</v>
      </c>
      <c r="AT169" s="12" t="str">
        <f t="shared" si="146"/>
        <v>0</v>
      </c>
      <c r="AU169" s="12"/>
      <c r="AV169" s="10">
        <f t="shared" si="157"/>
        <v>0</v>
      </c>
      <c r="AW169" s="12" t="str">
        <f t="shared" si="147"/>
        <v>0</v>
      </c>
      <c r="AX169" s="12"/>
      <c r="AY169" s="10">
        <f>+Risultati!R168+Risultati!S168</f>
        <v>0</v>
      </c>
      <c r="AZ169" s="12" t="str">
        <f t="shared" si="148"/>
        <v>0</v>
      </c>
      <c r="BA169" s="12"/>
      <c r="BB169" s="10">
        <f>+Risultati!T168</f>
        <v>0</v>
      </c>
      <c r="BC169" s="12" t="str">
        <f t="shared" si="149"/>
        <v>0</v>
      </c>
      <c r="BD169" s="12"/>
      <c r="BE169" s="10">
        <f>+Risultati!U168</f>
        <v>0</v>
      </c>
      <c r="BF169" s="12" t="str">
        <f t="shared" si="150"/>
        <v>0</v>
      </c>
      <c r="BG169" s="12"/>
      <c r="BH169" s="10">
        <f t="shared" si="158"/>
        <v>0</v>
      </c>
      <c r="BI169" s="12" t="str">
        <f t="shared" si="151"/>
        <v>0</v>
      </c>
      <c r="BK169" s="16">
        <f>IF(ISNUMBER(Risultati!X168/100),(Risultati!X168/100))</f>
        <v>0</v>
      </c>
      <c r="BL169" s="16">
        <f>IF(ISNUMBER(Risultati!Y168/100),(Risultati!Y168/100))</f>
        <v>0</v>
      </c>
      <c r="BM169" s="16">
        <f>IF(ISNUMBER(Risultati!Z168/100),(Risultati!Z168/100))</f>
        <v>0</v>
      </c>
      <c r="BN169" s="16">
        <f>IF(AND(Risultati!AY168&lt;0,calcoli!AP169&lt;0),-IF(ISNUMBER(Risultati!AA168/100),(Risultati!AA168/100)),IF(ISNUMBER(Risultati!AA168/100),(Risultati!AA168/100)))</f>
        <v>0</v>
      </c>
      <c r="BO169" s="16" t="str">
        <f t="shared" si="132"/>
        <v>0</v>
      </c>
      <c r="BP169" s="16" t="str">
        <f>IF(Risultati!AB168&gt;0,(AV169/Risultati!AB168),"0")</f>
        <v>0</v>
      </c>
      <c r="BQ169" s="16" t="str">
        <f>IF(Risultati!AG168&lt;&gt;0,(BH169/Risultati!AG168),"0")</f>
        <v>0</v>
      </c>
      <c r="BR169" s="16" t="str">
        <f t="shared" si="133"/>
        <v>0</v>
      </c>
      <c r="BS169" s="14" t="str">
        <f>IF(Risultati!AB168&gt;0,(Risultati!G168/Risultati!AB168),"0")</f>
        <v>0</v>
      </c>
      <c r="BT169" s="15" t="str">
        <f>IF(Risultati!AG168&lt;&gt;0,(Risultati!AB168/Risultati!AG168),"0")</f>
        <v>0</v>
      </c>
      <c r="BU169" s="23" t="str">
        <f>IF(AND(Risultati!G168&gt;0,(Risultati!AE168-Risultati!AF168)&gt;=0),((Risultati!AE168-Risultati!AF168)/Risultati!G168*360),"0")</f>
        <v>0</v>
      </c>
      <c r="BV169" s="21" t="str">
        <f>IF(OR(E169="abbreviato",Risultati!G168=0),"0",((Risultati!AC168+Risultati!AD168)/Risultati!G168*360))</f>
        <v>0</v>
      </c>
      <c r="BW169" s="21" t="str">
        <f>IF(OR(E169="abbreviato",Risultati!G168=0,SUM(Risultati!I168+Risultati!K168+Risultati!M168)=0),"0",(((Risultati!AH168+Risultati!AI168)/(Risultati!I168+Risultati!K168+Risultati!N168)*360)))</f>
        <v>0</v>
      </c>
      <c r="BX169" s="16" t="str">
        <f>IF(Risultati!AB168&gt;0,(+Risultati!AG168/Risultati!AB168),"0")</f>
        <v>0</v>
      </c>
      <c r="BY169" s="22" t="str">
        <f>IF(OR(E169="abbreviato",Risultati!G168=0),"0",(((Risultati!AK168-(Risultati!AL168+Risultati!AM168))/Risultati!G168)))</f>
        <v>0</v>
      </c>
      <c r="BZ169" s="16" t="str">
        <f>IF(Risultati!G168&gt;0,(Risultati!AJ168/Risultati!G168),"0")</f>
        <v>0</v>
      </c>
      <c r="CA169" s="8"/>
      <c r="CB169" s="10">
        <f>+Risultati!AP168</f>
        <v>0</v>
      </c>
      <c r="CC169" s="31" t="str">
        <f t="shared" si="159"/>
        <v>0</v>
      </c>
      <c r="CD169" s="10">
        <f>+Risultati!AQ168</f>
        <v>0</v>
      </c>
      <c r="CE169" s="31" t="str">
        <f t="shared" si="160"/>
        <v>0</v>
      </c>
      <c r="CF169" s="10">
        <f>+Risultati!AR168</f>
        <v>0</v>
      </c>
      <c r="CG169" s="31" t="str">
        <f t="shared" si="161"/>
        <v>0</v>
      </c>
      <c r="CH169" s="10">
        <f>+Risultati!AS168</f>
        <v>0</v>
      </c>
      <c r="CI169" s="31" t="str">
        <f t="shared" si="162"/>
        <v>0</v>
      </c>
      <c r="CJ169" s="10">
        <f t="shared" si="163"/>
        <v>0</v>
      </c>
      <c r="CK169" s="31" t="str">
        <f t="shared" si="164"/>
        <v>0</v>
      </c>
      <c r="CL169" s="10">
        <f>+Risultati!AE168+Risultati!AF168</f>
        <v>0</v>
      </c>
      <c r="CM169" s="31" t="str">
        <f t="shared" si="165"/>
        <v>0</v>
      </c>
      <c r="CN169" s="10">
        <f>+Risultati!AT168</f>
        <v>0</v>
      </c>
      <c r="CO169" s="31" t="str">
        <f t="shared" si="166"/>
        <v>0</v>
      </c>
      <c r="CP169" s="10">
        <f>+Risultati!AU168</f>
        <v>0</v>
      </c>
      <c r="CQ169" s="31" t="str">
        <f t="shared" si="167"/>
        <v>0</v>
      </c>
      <c r="CR169" s="10">
        <f>+Risultati!AL168</f>
        <v>0</v>
      </c>
      <c r="CS169" s="31" t="str">
        <f t="shared" si="168"/>
        <v>0</v>
      </c>
      <c r="CT169" s="10">
        <f t="shared" si="169"/>
        <v>0</v>
      </c>
      <c r="CU169" s="31" t="str">
        <f t="shared" si="170"/>
        <v>0</v>
      </c>
      <c r="CV169" s="10">
        <f>+Risultati!AX168</f>
        <v>0</v>
      </c>
      <c r="CW169" s="31" t="str">
        <f t="shared" si="171"/>
        <v>0</v>
      </c>
      <c r="CX169" s="10">
        <f t="shared" si="172"/>
        <v>0</v>
      </c>
      <c r="CY169" s="31" t="str">
        <f t="shared" si="173"/>
        <v>0</v>
      </c>
      <c r="CZ169" s="10">
        <f>+Risultati!AG168</f>
        <v>0</v>
      </c>
      <c r="DA169" s="31" t="str">
        <f t="shared" si="174"/>
        <v>0</v>
      </c>
      <c r="DB169" s="10">
        <f t="shared" si="175"/>
        <v>0</v>
      </c>
      <c r="DC169" s="31" t="str">
        <f t="shared" si="176"/>
        <v>0</v>
      </c>
      <c r="DD169" s="10">
        <f>+Risultati!AV168</f>
        <v>0</v>
      </c>
      <c r="DE169" s="31" t="str">
        <f t="shared" si="177"/>
        <v>0</v>
      </c>
      <c r="DF169" s="10">
        <f>+Risultati!AJ168</f>
        <v>0</v>
      </c>
      <c r="DG169" s="31" t="str">
        <f t="shared" si="178"/>
        <v>0</v>
      </c>
      <c r="DH169" s="10">
        <f t="shared" si="179"/>
        <v>0</v>
      </c>
      <c r="DI169" s="31" t="str">
        <f t="shared" si="180"/>
        <v>0</v>
      </c>
      <c r="DJ169" s="10">
        <f>+Risultati!AW168</f>
        <v>0</v>
      </c>
      <c r="DK169" s="31" t="str">
        <f t="shared" si="181"/>
        <v>0</v>
      </c>
      <c r="DL169" s="10">
        <f t="shared" si="152"/>
        <v>0</v>
      </c>
      <c r="DM169" s="31" t="str">
        <f t="shared" si="182"/>
        <v>0</v>
      </c>
      <c r="DO169" s="30"/>
      <c r="DP169" s="30"/>
    </row>
    <row r="170" spans="1:120" x14ac:dyDescent="0.2">
      <c r="A170" s="5"/>
      <c r="B170" s="6">
        <f>+Risultati!B169</f>
        <v>0</v>
      </c>
      <c r="C170" s="6">
        <f>+Risultati!C169</f>
        <v>0</v>
      </c>
      <c r="D170" s="26" t="str">
        <f>IF(YEAR(Risultati!D169)=1900,(MID(Risultati!$AP$1,29,4)),YEAR(Risultati!D169))</f>
        <v/>
      </c>
      <c r="E170" s="6">
        <f>+Risultati!E169</f>
        <v>0</v>
      </c>
      <c r="F170" s="8" t="e">
        <f>(LEFT(Risultati!AN169,2)&amp;"-")&amp;VLOOKUP((LEFT(Risultati!AN169,2)),ateco!$B$4:$C$93,2,FALSE)</f>
        <v>#N/A</v>
      </c>
      <c r="G170" s="8" t="str">
        <f>SUBSTITUTE((Risultati!AN169&amp;"-"&amp;Risultati!AO169),",",";")</f>
        <v>-</v>
      </c>
      <c r="I170" s="10">
        <f>+Risultati!G169</f>
        <v>0</v>
      </c>
      <c r="J170" s="11" t="str">
        <f t="shared" si="134"/>
        <v>0</v>
      </c>
      <c r="K170" s="12"/>
      <c r="L170" s="10">
        <f>+Risultati!G169+Risultati!H169</f>
        <v>0</v>
      </c>
      <c r="M170" s="11" t="str">
        <f t="shared" si="135"/>
        <v>0</v>
      </c>
      <c r="N170" s="12"/>
      <c r="O170" s="10">
        <f>+Risultati!I169+Risultati!J169</f>
        <v>0</v>
      </c>
      <c r="P170" s="11" t="str">
        <f t="shared" si="136"/>
        <v>0</v>
      </c>
      <c r="Q170" s="12"/>
      <c r="R170" s="13">
        <f t="shared" si="153"/>
        <v>0</v>
      </c>
      <c r="S170" s="11" t="str">
        <f t="shared" si="137"/>
        <v>0</v>
      </c>
      <c r="T170" s="12"/>
      <c r="U170" s="10">
        <f>+Risultati!F169-(Risultati!G169+Risultati!H169)</f>
        <v>0</v>
      </c>
      <c r="V170" s="12" t="str">
        <f t="shared" si="138"/>
        <v>0</v>
      </c>
      <c r="W170" s="12"/>
      <c r="X170" s="10">
        <f t="shared" si="154"/>
        <v>0</v>
      </c>
      <c r="Y170" s="12" t="str">
        <f t="shared" si="139"/>
        <v>0</v>
      </c>
      <c r="Z170" s="12"/>
      <c r="AA170" s="10">
        <f>+Risultati!K169</f>
        <v>0</v>
      </c>
      <c r="AB170" s="12" t="str">
        <f t="shared" si="140"/>
        <v>0</v>
      </c>
      <c r="AC170" s="12"/>
      <c r="AD170" s="10">
        <f>+Risultati!L169</f>
        <v>0</v>
      </c>
      <c r="AE170" s="12" t="str">
        <f t="shared" si="141"/>
        <v>0</v>
      </c>
      <c r="AF170" s="12"/>
      <c r="AG170" s="10">
        <f>+Risultati!M169+Risultati!P169+Risultati!Q169</f>
        <v>0</v>
      </c>
      <c r="AH170" s="12" t="str">
        <f t="shared" si="142"/>
        <v>0</v>
      </c>
      <c r="AI170" s="12"/>
      <c r="AJ170" s="13">
        <f t="shared" si="155"/>
        <v>0</v>
      </c>
      <c r="AK170" s="11" t="str">
        <f t="shared" si="143"/>
        <v>0</v>
      </c>
      <c r="AL170" s="12"/>
      <c r="AM170" s="10">
        <f>+Risultati!N169</f>
        <v>0</v>
      </c>
      <c r="AN170" s="12" t="str">
        <f t="shared" si="144"/>
        <v>0</v>
      </c>
      <c r="AO170" s="12"/>
      <c r="AP170" s="10">
        <f t="shared" si="156"/>
        <v>0</v>
      </c>
      <c r="AQ170" s="41" t="str">
        <f t="shared" si="145"/>
        <v>0</v>
      </c>
      <c r="AR170" s="12"/>
      <c r="AS170" s="10">
        <f>+Risultati!O169</f>
        <v>0</v>
      </c>
      <c r="AT170" s="12" t="str">
        <f t="shared" si="146"/>
        <v>0</v>
      </c>
      <c r="AU170" s="12"/>
      <c r="AV170" s="10">
        <f t="shared" si="157"/>
        <v>0</v>
      </c>
      <c r="AW170" s="12" t="str">
        <f t="shared" si="147"/>
        <v>0</v>
      </c>
      <c r="AX170" s="12"/>
      <c r="AY170" s="10">
        <f>+Risultati!R169+Risultati!S169</f>
        <v>0</v>
      </c>
      <c r="AZ170" s="12" t="str">
        <f t="shared" si="148"/>
        <v>0</v>
      </c>
      <c r="BA170" s="12"/>
      <c r="BB170" s="10">
        <f>+Risultati!T169</f>
        <v>0</v>
      </c>
      <c r="BC170" s="12" t="str">
        <f t="shared" si="149"/>
        <v>0</v>
      </c>
      <c r="BD170" s="12"/>
      <c r="BE170" s="10">
        <f>+Risultati!U169</f>
        <v>0</v>
      </c>
      <c r="BF170" s="12" t="str">
        <f t="shared" si="150"/>
        <v>0</v>
      </c>
      <c r="BG170" s="12"/>
      <c r="BH170" s="10">
        <f t="shared" si="158"/>
        <v>0</v>
      </c>
      <c r="BI170" s="12" t="str">
        <f t="shared" si="151"/>
        <v>0</v>
      </c>
      <c r="BK170" s="16">
        <f>IF(ISNUMBER(Risultati!X169/100),(Risultati!X169/100))</f>
        <v>0</v>
      </c>
      <c r="BL170" s="16">
        <f>IF(ISNUMBER(Risultati!Y169/100),(Risultati!Y169/100))</f>
        <v>0</v>
      </c>
      <c r="BM170" s="16">
        <f>IF(ISNUMBER(Risultati!Z169/100),(Risultati!Z169/100))</f>
        <v>0</v>
      </c>
      <c r="BN170" s="16">
        <f>IF(AND(Risultati!AY169&lt;0,calcoli!AP170&lt;0),-IF(ISNUMBER(Risultati!AA169/100),(Risultati!AA169/100)),IF(ISNUMBER(Risultati!AA169/100),(Risultati!AA169/100)))</f>
        <v>0</v>
      </c>
      <c r="BO170" s="16" t="str">
        <f t="shared" si="132"/>
        <v>0</v>
      </c>
      <c r="BP170" s="16" t="str">
        <f>IF(Risultati!AB169&gt;0,(AV170/Risultati!AB169),"0")</f>
        <v>0</v>
      </c>
      <c r="BQ170" s="16" t="str">
        <f>IF(Risultati!AG169&lt;&gt;0,(BH170/Risultati!AG169),"0")</f>
        <v>0</v>
      </c>
      <c r="BR170" s="16" t="str">
        <f t="shared" si="133"/>
        <v>0</v>
      </c>
      <c r="BS170" s="14" t="str">
        <f>IF(Risultati!AB169&gt;0,(Risultati!G169/Risultati!AB169),"0")</f>
        <v>0</v>
      </c>
      <c r="BT170" s="15" t="str">
        <f>IF(Risultati!AG169&lt;&gt;0,(Risultati!AB169/Risultati!AG169),"0")</f>
        <v>0</v>
      </c>
      <c r="BU170" s="23" t="str">
        <f>IF(AND(Risultati!G169&gt;0,(Risultati!AE169-Risultati!AF169)&gt;=0),((Risultati!AE169-Risultati!AF169)/Risultati!G169*360),"0")</f>
        <v>0</v>
      </c>
      <c r="BV170" s="21" t="str">
        <f>IF(OR(E170="abbreviato",Risultati!G169=0),"0",((Risultati!AC169+Risultati!AD169)/Risultati!G169*360))</f>
        <v>0</v>
      </c>
      <c r="BW170" s="21" t="str">
        <f>IF(OR(E170="abbreviato",Risultati!G169=0,SUM(Risultati!I169+Risultati!K169+Risultati!M169)=0),"0",(((Risultati!AH169+Risultati!AI169)/(Risultati!I169+Risultati!K169+Risultati!N169)*360)))</f>
        <v>0</v>
      </c>
      <c r="BX170" s="16" t="str">
        <f>IF(Risultati!AB169&gt;0,(+Risultati!AG169/Risultati!AB169),"0")</f>
        <v>0</v>
      </c>
      <c r="BY170" s="22" t="str">
        <f>IF(OR(E170="abbreviato",Risultati!G169=0),"0",(((Risultati!AK169-(Risultati!AL169+Risultati!AM169))/Risultati!G169)))</f>
        <v>0</v>
      </c>
      <c r="BZ170" s="16" t="str">
        <f>IF(Risultati!G169&gt;0,(Risultati!AJ169/Risultati!G169),"0")</f>
        <v>0</v>
      </c>
      <c r="CA170" s="8"/>
      <c r="CB170" s="10">
        <f>+Risultati!AP169</f>
        <v>0</v>
      </c>
      <c r="CC170" s="31" t="str">
        <f t="shared" si="159"/>
        <v>0</v>
      </c>
      <c r="CD170" s="10">
        <f>+Risultati!AQ169</f>
        <v>0</v>
      </c>
      <c r="CE170" s="31" t="str">
        <f t="shared" si="160"/>
        <v>0</v>
      </c>
      <c r="CF170" s="10">
        <f>+Risultati!AR169</f>
        <v>0</v>
      </c>
      <c r="CG170" s="31" t="str">
        <f t="shared" si="161"/>
        <v>0</v>
      </c>
      <c r="CH170" s="10">
        <f>+Risultati!AS169</f>
        <v>0</v>
      </c>
      <c r="CI170" s="31" t="str">
        <f t="shared" si="162"/>
        <v>0</v>
      </c>
      <c r="CJ170" s="10">
        <f t="shared" si="163"/>
        <v>0</v>
      </c>
      <c r="CK170" s="31" t="str">
        <f t="shared" si="164"/>
        <v>0</v>
      </c>
      <c r="CL170" s="10">
        <f>+Risultati!AE169+Risultati!AF169</f>
        <v>0</v>
      </c>
      <c r="CM170" s="31" t="str">
        <f t="shared" si="165"/>
        <v>0</v>
      </c>
      <c r="CN170" s="10">
        <f>+Risultati!AT169</f>
        <v>0</v>
      </c>
      <c r="CO170" s="31" t="str">
        <f t="shared" si="166"/>
        <v>0</v>
      </c>
      <c r="CP170" s="10">
        <f>+Risultati!AU169</f>
        <v>0</v>
      </c>
      <c r="CQ170" s="31" t="str">
        <f t="shared" si="167"/>
        <v>0</v>
      </c>
      <c r="CR170" s="10">
        <f>+Risultati!AL169</f>
        <v>0</v>
      </c>
      <c r="CS170" s="31" t="str">
        <f t="shared" si="168"/>
        <v>0</v>
      </c>
      <c r="CT170" s="10">
        <f t="shared" si="169"/>
        <v>0</v>
      </c>
      <c r="CU170" s="31" t="str">
        <f t="shared" si="170"/>
        <v>0</v>
      </c>
      <c r="CV170" s="10">
        <f>+Risultati!AX169</f>
        <v>0</v>
      </c>
      <c r="CW170" s="31" t="str">
        <f t="shared" si="171"/>
        <v>0</v>
      </c>
      <c r="CX170" s="10">
        <f t="shared" si="172"/>
        <v>0</v>
      </c>
      <c r="CY170" s="31" t="str">
        <f t="shared" si="173"/>
        <v>0</v>
      </c>
      <c r="CZ170" s="10">
        <f>+Risultati!AG169</f>
        <v>0</v>
      </c>
      <c r="DA170" s="31" t="str">
        <f t="shared" si="174"/>
        <v>0</v>
      </c>
      <c r="DB170" s="10">
        <f t="shared" si="175"/>
        <v>0</v>
      </c>
      <c r="DC170" s="31" t="str">
        <f t="shared" si="176"/>
        <v>0</v>
      </c>
      <c r="DD170" s="10">
        <f>+Risultati!AV169</f>
        <v>0</v>
      </c>
      <c r="DE170" s="31" t="str">
        <f t="shared" si="177"/>
        <v>0</v>
      </c>
      <c r="DF170" s="10">
        <f>+Risultati!AJ169</f>
        <v>0</v>
      </c>
      <c r="DG170" s="31" t="str">
        <f t="shared" si="178"/>
        <v>0</v>
      </c>
      <c r="DH170" s="10">
        <f t="shared" si="179"/>
        <v>0</v>
      </c>
      <c r="DI170" s="31" t="str">
        <f t="shared" si="180"/>
        <v>0</v>
      </c>
      <c r="DJ170" s="10">
        <f>+Risultati!AW169</f>
        <v>0</v>
      </c>
      <c r="DK170" s="31" t="str">
        <f t="shared" si="181"/>
        <v>0</v>
      </c>
      <c r="DL170" s="10">
        <f t="shared" si="152"/>
        <v>0</v>
      </c>
      <c r="DM170" s="31" t="str">
        <f t="shared" si="182"/>
        <v>0</v>
      </c>
      <c r="DO170" s="30"/>
      <c r="DP170" s="30"/>
    </row>
    <row r="171" spans="1:120" x14ac:dyDescent="0.2">
      <c r="A171" s="5"/>
      <c r="B171" s="6">
        <f>+Risultati!B170</f>
        <v>0</v>
      </c>
      <c r="C171" s="6">
        <f>+Risultati!C170</f>
        <v>0</v>
      </c>
      <c r="D171" s="26" t="str">
        <f>IF(YEAR(Risultati!D170)=1900,(MID(Risultati!$AP$1,29,4)),YEAR(Risultati!D170))</f>
        <v/>
      </c>
      <c r="E171" s="6">
        <f>+Risultati!E170</f>
        <v>0</v>
      </c>
      <c r="F171" s="8" t="e">
        <f>(LEFT(Risultati!AN170,2)&amp;"-")&amp;VLOOKUP((LEFT(Risultati!AN170,2)),ateco!$B$4:$C$93,2,FALSE)</f>
        <v>#N/A</v>
      </c>
      <c r="G171" s="8" t="str">
        <f>SUBSTITUTE((Risultati!AN170&amp;"-"&amp;Risultati!AO170),",",";")</f>
        <v>-</v>
      </c>
      <c r="I171" s="10">
        <f>+Risultati!G170</f>
        <v>0</v>
      </c>
      <c r="J171" s="11" t="str">
        <f t="shared" si="134"/>
        <v>0</v>
      </c>
      <c r="K171" s="12"/>
      <c r="L171" s="10">
        <f>+Risultati!G170+Risultati!H170</f>
        <v>0</v>
      </c>
      <c r="M171" s="11" t="str">
        <f t="shared" si="135"/>
        <v>0</v>
      </c>
      <c r="N171" s="12"/>
      <c r="O171" s="10">
        <f>+Risultati!I170+Risultati!J170</f>
        <v>0</v>
      </c>
      <c r="P171" s="11" t="str">
        <f t="shared" si="136"/>
        <v>0</v>
      </c>
      <c r="Q171" s="12"/>
      <c r="R171" s="13">
        <f t="shared" si="153"/>
        <v>0</v>
      </c>
      <c r="S171" s="11" t="str">
        <f t="shared" si="137"/>
        <v>0</v>
      </c>
      <c r="T171" s="12"/>
      <c r="U171" s="10">
        <f>+Risultati!F170-(Risultati!G170+Risultati!H170)</f>
        <v>0</v>
      </c>
      <c r="V171" s="12" t="str">
        <f t="shared" si="138"/>
        <v>0</v>
      </c>
      <c r="W171" s="12"/>
      <c r="X171" s="10">
        <f t="shared" si="154"/>
        <v>0</v>
      </c>
      <c r="Y171" s="12" t="str">
        <f t="shared" si="139"/>
        <v>0</v>
      </c>
      <c r="Z171" s="12"/>
      <c r="AA171" s="10">
        <f>+Risultati!K170</f>
        <v>0</v>
      </c>
      <c r="AB171" s="12" t="str">
        <f t="shared" si="140"/>
        <v>0</v>
      </c>
      <c r="AC171" s="12"/>
      <c r="AD171" s="10">
        <f>+Risultati!L170</f>
        <v>0</v>
      </c>
      <c r="AE171" s="12" t="str">
        <f t="shared" si="141"/>
        <v>0</v>
      </c>
      <c r="AF171" s="12"/>
      <c r="AG171" s="10">
        <f>+Risultati!M170+Risultati!P170+Risultati!Q170</f>
        <v>0</v>
      </c>
      <c r="AH171" s="12" t="str">
        <f t="shared" si="142"/>
        <v>0</v>
      </c>
      <c r="AI171" s="12"/>
      <c r="AJ171" s="13">
        <f t="shared" si="155"/>
        <v>0</v>
      </c>
      <c r="AK171" s="11" t="str">
        <f t="shared" si="143"/>
        <v>0</v>
      </c>
      <c r="AL171" s="12"/>
      <c r="AM171" s="10">
        <f>+Risultati!N170</f>
        <v>0</v>
      </c>
      <c r="AN171" s="12" t="str">
        <f t="shared" si="144"/>
        <v>0</v>
      </c>
      <c r="AO171" s="12"/>
      <c r="AP171" s="10">
        <f t="shared" si="156"/>
        <v>0</v>
      </c>
      <c r="AQ171" s="41" t="str">
        <f t="shared" si="145"/>
        <v>0</v>
      </c>
      <c r="AR171" s="12"/>
      <c r="AS171" s="10">
        <f>+Risultati!O170</f>
        <v>0</v>
      </c>
      <c r="AT171" s="12" t="str">
        <f t="shared" si="146"/>
        <v>0</v>
      </c>
      <c r="AU171" s="12"/>
      <c r="AV171" s="10">
        <f t="shared" si="157"/>
        <v>0</v>
      </c>
      <c r="AW171" s="12" t="str">
        <f t="shared" si="147"/>
        <v>0</v>
      </c>
      <c r="AX171" s="12"/>
      <c r="AY171" s="10">
        <f>+Risultati!R170+Risultati!S170</f>
        <v>0</v>
      </c>
      <c r="AZ171" s="12" t="str">
        <f t="shared" si="148"/>
        <v>0</v>
      </c>
      <c r="BA171" s="12"/>
      <c r="BB171" s="10">
        <f>+Risultati!T170</f>
        <v>0</v>
      </c>
      <c r="BC171" s="12" t="str">
        <f t="shared" si="149"/>
        <v>0</v>
      </c>
      <c r="BD171" s="12"/>
      <c r="BE171" s="10">
        <f>+Risultati!U170</f>
        <v>0</v>
      </c>
      <c r="BF171" s="12" t="str">
        <f t="shared" si="150"/>
        <v>0</v>
      </c>
      <c r="BG171" s="12"/>
      <c r="BH171" s="10">
        <f t="shared" si="158"/>
        <v>0</v>
      </c>
      <c r="BI171" s="12" t="str">
        <f t="shared" si="151"/>
        <v>0</v>
      </c>
      <c r="BK171" s="16">
        <f>IF(ISNUMBER(Risultati!X170/100),(Risultati!X170/100))</f>
        <v>0</v>
      </c>
      <c r="BL171" s="16">
        <f>IF(ISNUMBER(Risultati!Y170/100),(Risultati!Y170/100))</f>
        <v>0</v>
      </c>
      <c r="BM171" s="16">
        <f>IF(ISNUMBER(Risultati!Z170/100),(Risultati!Z170/100))</f>
        <v>0</v>
      </c>
      <c r="BN171" s="16">
        <f>IF(AND(Risultati!AY170&lt;0,calcoli!AP171&lt;0),-IF(ISNUMBER(Risultati!AA170/100),(Risultati!AA170/100)),IF(ISNUMBER(Risultati!AA170/100),(Risultati!AA170/100)))</f>
        <v>0</v>
      </c>
      <c r="BO171" s="16" t="str">
        <f t="shared" si="132"/>
        <v>0</v>
      </c>
      <c r="BP171" s="16" t="str">
        <f>IF(Risultati!AB170&gt;0,(AV171/Risultati!AB170),"0")</f>
        <v>0</v>
      </c>
      <c r="BQ171" s="16" t="str">
        <f>IF(Risultati!AG170&lt;&gt;0,(BH171/Risultati!AG170),"0")</f>
        <v>0</v>
      </c>
      <c r="BR171" s="16" t="str">
        <f t="shared" si="133"/>
        <v>0</v>
      </c>
      <c r="BS171" s="14" t="str">
        <f>IF(Risultati!AB170&gt;0,(Risultati!G170/Risultati!AB170),"0")</f>
        <v>0</v>
      </c>
      <c r="BT171" s="15" t="str">
        <f>IF(Risultati!AG170&lt;&gt;0,(Risultati!AB170/Risultati!AG170),"0")</f>
        <v>0</v>
      </c>
      <c r="BU171" s="23" t="str">
        <f>IF(AND(Risultati!G170&gt;0,(Risultati!AE170-Risultati!AF170)&gt;=0),((Risultati!AE170-Risultati!AF170)/Risultati!G170*360),"0")</f>
        <v>0</v>
      </c>
      <c r="BV171" s="21" t="str">
        <f>IF(OR(E171="abbreviato",Risultati!G170=0),"0",((Risultati!AC170+Risultati!AD170)/Risultati!G170*360))</f>
        <v>0</v>
      </c>
      <c r="BW171" s="21" t="str">
        <f>IF(OR(E171="abbreviato",Risultati!G170=0,SUM(Risultati!I170+Risultati!K170+Risultati!M170)=0),"0",(((Risultati!AH170+Risultati!AI170)/(Risultati!I170+Risultati!K170+Risultati!N170)*360)))</f>
        <v>0</v>
      </c>
      <c r="BX171" s="16" t="str">
        <f>IF(Risultati!AB170&gt;0,(+Risultati!AG170/Risultati!AB170),"0")</f>
        <v>0</v>
      </c>
      <c r="BY171" s="22" t="str">
        <f>IF(OR(E171="abbreviato",Risultati!G170=0),"0",(((Risultati!AK170-(Risultati!AL170+Risultati!AM170))/Risultati!G170)))</f>
        <v>0</v>
      </c>
      <c r="BZ171" s="16" t="str">
        <f>IF(Risultati!G170&gt;0,(Risultati!AJ170/Risultati!G170),"0")</f>
        <v>0</v>
      </c>
      <c r="CA171" s="8"/>
      <c r="CB171" s="10">
        <f>+Risultati!AP170</f>
        <v>0</v>
      </c>
      <c r="CC171" s="31" t="str">
        <f t="shared" si="159"/>
        <v>0</v>
      </c>
      <c r="CD171" s="10">
        <f>+Risultati!AQ170</f>
        <v>0</v>
      </c>
      <c r="CE171" s="31" t="str">
        <f t="shared" si="160"/>
        <v>0</v>
      </c>
      <c r="CF171" s="10">
        <f>+Risultati!AR170</f>
        <v>0</v>
      </c>
      <c r="CG171" s="31" t="str">
        <f t="shared" si="161"/>
        <v>0</v>
      </c>
      <c r="CH171" s="10">
        <f>+Risultati!AS170</f>
        <v>0</v>
      </c>
      <c r="CI171" s="31" t="str">
        <f t="shared" si="162"/>
        <v>0</v>
      </c>
      <c r="CJ171" s="10">
        <f t="shared" si="163"/>
        <v>0</v>
      </c>
      <c r="CK171" s="31" t="str">
        <f t="shared" si="164"/>
        <v>0</v>
      </c>
      <c r="CL171" s="10">
        <f>+Risultati!AE170+Risultati!AF170</f>
        <v>0</v>
      </c>
      <c r="CM171" s="31" t="str">
        <f t="shared" si="165"/>
        <v>0</v>
      </c>
      <c r="CN171" s="10">
        <f>+Risultati!AT170</f>
        <v>0</v>
      </c>
      <c r="CO171" s="31" t="str">
        <f t="shared" si="166"/>
        <v>0</v>
      </c>
      <c r="CP171" s="10">
        <f>+Risultati!AU170</f>
        <v>0</v>
      </c>
      <c r="CQ171" s="31" t="str">
        <f t="shared" si="167"/>
        <v>0</v>
      </c>
      <c r="CR171" s="10">
        <f>+Risultati!AL170</f>
        <v>0</v>
      </c>
      <c r="CS171" s="31" t="str">
        <f t="shared" si="168"/>
        <v>0</v>
      </c>
      <c r="CT171" s="10">
        <f t="shared" si="169"/>
        <v>0</v>
      </c>
      <c r="CU171" s="31" t="str">
        <f t="shared" si="170"/>
        <v>0</v>
      </c>
      <c r="CV171" s="10">
        <f>+Risultati!AX170</f>
        <v>0</v>
      </c>
      <c r="CW171" s="31" t="str">
        <f t="shared" si="171"/>
        <v>0</v>
      </c>
      <c r="CX171" s="10">
        <f t="shared" si="172"/>
        <v>0</v>
      </c>
      <c r="CY171" s="31" t="str">
        <f t="shared" si="173"/>
        <v>0</v>
      </c>
      <c r="CZ171" s="10">
        <f>+Risultati!AG170</f>
        <v>0</v>
      </c>
      <c r="DA171" s="31" t="str">
        <f t="shared" si="174"/>
        <v>0</v>
      </c>
      <c r="DB171" s="10">
        <f t="shared" si="175"/>
        <v>0</v>
      </c>
      <c r="DC171" s="31" t="str">
        <f t="shared" si="176"/>
        <v>0</v>
      </c>
      <c r="DD171" s="10">
        <f>+Risultati!AV170</f>
        <v>0</v>
      </c>
      <c r="DE171" s="31" t="str">
        <f t="shared" si="177"/>
        <v>0</v>
      </c>
      <c r="DF171" s="10">
        <f>+Risultati!AJ170</f>
        <v>0</v>
      </c>
      <c r="DG171" s="31" t="str">
        <f t="shared" si="178"/>
        <v>0</v>
      </c>
      <c r="DH171" s="10">
        <f t="shared" si="179"/>
        <v>0</v>
      </c>
      <c r="DI171" s="31" t="str">
        <f t="shared" si="180"/>
        <v>0</v>
      </c>
      <c r="DJ171" s="10">
        <f>+Risultati!AW170</f>
        <v>0</v>
      </c>
      <c r="DK171" s="31" t="str">
        <f t="shared" si="181"/>
        <v>0</v>
      </c>
      <c r="DL171" s="10">
        <f t="shared" si="152"/>
        <v>0</v>
      </c>
      <c r="DM171" s="31" t="str">
        <f t="shared" si="182"/>
        <v>0</v>
      </c>
      <c r="DO171" s="30"/>
      <c r="DP171" s="30"/>
    </row>
    <row r="172" spans="1:120" x14ac:dyDescent="0.2">
      <c r="A172" s="5"/>
      <c r="B172" s="6">
        <f>+Risultati!B171</f>
        <v>0</v>
      </c>
      <c r="C172" s="6">
        <f>+Risultati!C171</f>
        <v>0</v>
      </c>
      <c r="D172" s="26" t="str">
        <f>IF(YEAR(Risultati!D171)=1900,(MID(Risultati!$AP$1,29,4)),YEAR(Risultati!D171))</f>
        <v/>
      </c>
      <c r="E172" s="6">
        <f>+Risultati!E171</f>
        <v>0</v>
      </c>
      <c r="F172" s="8" t="e">
        <f>(LEFT(Risultati!AN171,2)&amp;"-")&amp;VLOOKUP((LEFT(Risultati!AN171,2)),ateco!$B$4:$C$93,2,FALSE)</f>
        <v>#N/A</v>
      </c>
      <c r="G172" s="8" t="str">
        <f>SUBSTITUTE((Risultati!AN171&amp;"-"&amp;Risultati!AO171),",",";")</f>
        <v>-</v>
      </c>
      <c r="I172" s="10">
        <f>+Risultati!G171</f>
        <v>0</v>
      </c>
      <c r="J172" s="11" t="str">
        <f t="shared" si="134"/>
        <v>0</v>
      </c>
      <c r="K172" s="12"/>
      <c r="L172" s="10">
        <f>+Risultati!G171+Risultati!H171</f>
        <v>0</v>
      </c>
      <c r="M172" s="11" t="str">
        <f t="shared" si="135"/>
        <v>0</v>
      </c>
      <c r="N172" s="12"/>
      <c r="O172" s="10">
        <f>+Risultati!I171+Risultati!J171</f>
        <v>0</v>
      </c>
      <c r="P172" s="11" t="str">
        <f t="shared" si="136"/>
        <v>0</v>
      </c>
      <c r="Q172" s="12"/>
      <c r="R172" s="13">
        <f t="shared" si="153"/>
        <v>0</v>
      </c>
      <c r="S172" s="11" t="str">
        <f t="shared" si="137"/>
        <v>0</v>
      </c>
      <c r="T172" s="12"/>
      <c r="U172" s="10">
        <f>+Risultati!F171-(Risultati!G171+Risultati!H171)</f>
        <v>0</v>
      </c>
      <c r="V172" s="12" t="str">
        <f t="shared" si="138"/>
        <v>0</v>
      </c>
      <c r="W172" s="12"/>
      <c r="X172" s="10">
        <f t="shared" si="154"/>
        <v>0</v>
      </c>
      <c r="Y172" s="12" t="str">
        <f t="shared" si="139"/>
        <v>0</v>
      </c>
      <c r="Z172" s="12"/>
      <c r="AA172" s="10">
        <f>+Risultati!K171</f>
        <v>0</v>
      </c>
      <c r="AB172" s="12" t="str">
        <f t="shared" si="140"/>
        <v>0</v>
      </c>
      <c r="AC172" s="12"/>
      <c r="AD172" s="10">
        <f>+Risultati!L171</f>
        <v>0</v>
      </c>
      <c r="AE172" s="12" t="str">
        <f t="shared" si="141"/>
        <v>0</v>
      </c>
      <c r="AF172" s="12"/>
      <c r="AG172" s="10">
        <f>+Risultati!M171+Risultati!P171+Risultati!Q171</f>
        <v>0</v>
      </c>
      <c r="AH172" s="12" t="str">
        <f t="shared" si="142"/>
        <v>0</v>
      </c>
      <c r="AI172" s="12"/>
      <c r="AJ172" s="13">
        <f t="shared" si="155"/>
        <v>0</v>
      </c>
      <c r="AK172" s="11" t="str">
        <f t="shared" si="143"/>
        <v>0</v>
      </c>
      <c r="AL172" s="12"/>
      <c r="AM172" s="10">
        <f>+Risultati!N171</f>
        <v>0</v>
      </c>
      <c r="AN172" s="12" t="str">
        <f t="shared" si="144"/>
        <v>0</v>
      </c>
      <c r="AO172" s="12"/>
      <c r="AP172" s="10">
        <f t="shared" si="156"/>
        <v>0</v>
      </c>
      <c r="AQ172" s="41" t="str">
        <f t="shared" si="145"/>
        <v>0</v>
      </c>
      <c r="AR172" s="12"/>
      <c r="AS172" s="10">
        <f>+Risultati!O171</f>
        <v>0</v>
      </c>
      <c r="AT172" s="12" t="str">
        <f t="shared" si="146"/>
        <v>0</v>
      </c>
      <c r="AU172" s="12"/>
      <c r="AV172" s="10">
        <f t="shared" si="157"/>
        <v>0</v>
      </c>
      <c r="AW172" s="12" t="str">
        <f t="shared" si="147"/>
        <v>0</v>
      </c>
      <c r="AX172" s="12"/>
      <c r="AY172" s="10">
        <f>+Risultati!R171+Risultati!S171</f>
        <v>0</v>
      </c>
      <c r="AZ172" s="12" t="str">
        <f t="shared" si="148"/>
        <v>0</v>
      </c>
      <c r="BA172" s="12"/>
      <c r="BB172" s="10">
        <f>+Risultati!T171</f>
        <v>0</v>
      </c>
      <c r="BC172" s="12" t="str">
        <f t="shared" si="149"/>
        <v>0</v>
      </c>
      <c r="BD172" s="12"/>
      <c r="BE172" s="10">
        <f>+Risultati!U171</f>
        <v>0</v>
      </c>
      <c r="BF172" s="12" t="str">
        <f t="shared" si="150"/>
        <v>0</v>
      </c>
      <c r="BG172" s="12"/>
      <c r="BH172" s="10">
        <f t="shared" si="158"/>
        <v>0</v>
      </c>
      <c r="BI172" s="12" t="str">
        <f t="shared" si="151"/>
        <v>0</v>
      </c>
      <c r="BK172" s="16">
        <f>IF(ISNUMBER(Risultati!X171/100),(Risultati!X171/100))</f>
        <v>0</v>
      </c>
      <c r="BL172" s="16">
        <f>IF(ISNUMBER(Risultati!Y171/100),(Risultati!Y171/100))</f>
        <v>0</v>
      </c>
      <c r="BM172" s="16">
        <f>IF(ISNUMBER(Risultati!Z171/100),(Risultati!Z171/100))</f>
        <v>0</v>
      </c>
      <c r="BN172" s="16">
        <f>IF(AND(Risultati!AY171&lt;0,calcoli!AP172&lt;0),-IF(ISNUMBER(Risultati!AA171/100),(Risultati!AA171/100)),IF(ISNUMBER(Risultati!AA171/100),(Risultati!AA171/100)))</f>
        <v>0</v>
      </c>
      <c r="BO172" s="16" t="str">
        <f t="shared" si="132"/>
        <v>0</v>
      </c>
      <c r="BP172" s="16" t="str">
        <f>IF(Risultati!AB171&gt;0,(AV172/Risultati!AB171),"0")</f>
        <v>0</v>
      </c>
      <c r="BQ172" s="16" t="str">
        <f>IF(Risultati!AG171&lt;&gt;0,(BH172/Risultati!AG171),"0")</f>
        <v>0</v>
      </c>
      <c r="BR172" s="16" t="str">
        <f t="shared" si="133"/>
        <v>0</v>
      </c>
      <c r="BS172" s="14" t="str">
        <f>IF(Risultati!AB171&gt;0,(Risultati!G171/Risultati!AB171),"0")</f>
        <v>0</v>
      </c>
      <c r="BT172" s="15" t="str">
        <f>IF(Risultati!AG171&lt;&gt;0,(Risultati!AB171/Risultati!AG171),"0")</f>
        <v>0</v>
      </c>
      <c r="BU172" s="23" t="str">
        <f>IF(AND(Risultati!G171&gt;0,(Risultati!AE171-Risultati!AF171)&gt;=0),((Risultati!AE171-Risultati!AF171)/Risultati!G171*360),"0")</f>
        <v>0</v>
      </c>
      <c r="BV172" s="21" t="str">
        <f>IF(OR(E172="abbreviato",Risultati!G171=0),"0",((Risultati!AC171+Risultati!AD171)/Risultati!G171*360))</f>
        <v>0</v>
      </c>
      <c r="BW172" s="21" t="str">
        <f>IF(OR(E172="abbreviato",Risultati!G171=0,SUM(Risultati!I171+Risultati!K171+Risultati!M171)=0),"0",(((Risultati!AH171+Risultati!AI171)/(Risultati!I171+Risultati!K171+Risultati!N171)*360)))</f>
        <v>0</v>
      </c>
      <c r="BX172" s="16" t="str">
        <f>IF(Risultati!AB171&gt;0,(+Risultati!AG171/Risultati!AB171),"0")</f>
        <v>0</v>
      </c>
      <c r="BY172" s="22" t="str">
        <f>IF(OR(E172="abbreviato",Risultati!G171=0),"0",(((Risultati!AK171-(Risultati!AL171+Risultati!AM171))/Risultati!G171)))</f>
        <v>0</v>
      </c>
      <c r="BZ172" s="16" t="str">
        <f>IF(Risultati!G171&gt;0,(Risultati!AJ171/Risultati!G171),"0")</f>
        <v>0</v>
      </c>
      <c r="CA172" s="8"/>
      <c r="CB172" s="10">
        <f>+Risultati!AP171</f>
        <v>0</v>
      </c>
      <c r="CC172" s="31" t="str">
        <f t="shared" si="159"/>
        <v>0</v>
      </c>
      <c r="CD172" s="10">
        <f>+Risultati!AQ171</f>
        <v>0</v>
      </c>
      <c r="CE172" s="31" t="str">
        <f t="shared" si="160"/>
        <v>0</v>
      </c>
      <c r="CF172" s="10">
        <f>+Risultati!AR171</f>
        <v>0</v>
      </c>
      <c r="CG172" s="31" t="str">
        <f t="shared" si="161"/>
        <v>0</v>
      </c>
      <c r="CH172" s="10">
        <f>+Risultati!AS171</f>
        <v>0</v>
      </c>
      <c r="CI172" s="31" t="str">
        <f t="shared" si="162"/>
        <v>0</v>
      </c>
      <c r="CJ172" s="10">
        <f t="shared" si="163"/>
        <v>0</v>
      </c>
      <c r="CK172" s="31" t="str">
        <f t="shared" si="164"/>
        <v>0</v>
      </c>
      <c r="CL172" s="10">
        <f>+Risultati!AE171+Risultati!AF171</f>
        <v>0</v>
      </c>
      <c r="CM172" s="31" t="str">
        <f t="shared" si="165"/>
        <v>0</v>
      </c>
      <c r="CN172" s="10">
        <f>+Risultati!AT171</f>
        <v>0</v>
      </c>
      <c r="CO172" s="31" t="str">
        <f t="shared" si="166"/>
        <v>0</v>
      </c>
      <c r="CP172" s="10">
        <f>+Risultati!AU171</f>
        <v>0</v>
      </c>
      <c r="CQ172" s="31" t="str">
        <f t="shared" si="167"/>
        <v>0</v>
      </c>
      <c r="CR172" s="10">
        <f>+Risultati!AL171</f>
        <v>0</v>
      </c>
      <c r="CS172" s="31" t="str">
        <f t="shared" si="168"/>
        <v>0</v>
      </c>
      <c r="CT172" s="10">
        <f t="shared" si="169"/>
        <v>0</v>
      </c>
      <c r="CU172" s="31" t="str">
        <f t="shared" si="170"/>
        <v>0</v>
      </c>
      <c r="CV172" s="10">
        <f>+Risultati!AX171</f>
        <v>0</v>
      </c>
      <c r="CW172" s="31" t="str">
        <f t="shared" si="171"/>
        <v>0</v>
      </c>
      <c r="CX172" s="10">
        <f t="shared" si="172"/>
        <v>0</v>
      </c>
      <c r="CY172" s="31" t="str">
        <f t="shared" si="173"/>
        <v>0</v>
      </c>
      <c r="CZ172" s="10">
        <f>+Risultati!AG171</f>
        <v>0</v>
      </c>
      <c r="DA172" s="31" t="str">
        <f t="shared" si="174"/>
        <v>0</v>
      </c>
      <c r="DB172" s="10">
        <f t="shared" si="175"/>
        <v>0</v>
      </c>
      <c r="DC172" s="31" t="str">
        <f t="shared" si="176"/>
        <v>0</v>
      </c>
      <c r="DD172" s="10">
        <f>+Risultati!AV171</f>
        <v>0</v>
      </c>
      <c r="DE172" s="31" t="str">
        <f t="shared" si="177"/>
        <v>0</v>
      </c>
      <c r="DF172" s="10">
        <f>+Risultati!AJ171</f>
        <v>0</v>
      </c>
      <c r="DG172" s="31" t="str">
        <f t="shared" si="178"/>
        <v>0</v>
      </c>
      <c r="DH172" s="10">
        <f t="shared" si="179"/>
        <v>0</v>
      </c>
      <c r="DI172" s="31" t="str">
        <f t="shared" si="180"/>
        <v>0</v>
      </c>
      <c r="DJ172" s="10">
        <f>+Risultati!AW171</f>
        <v>0</v>
      </c>
      <c r="DK172" s="31" t="str">
        <f t="shared" si="181"/>
        <v>0</v>
      </c>
      <c r="DL172" s="10">
        <f t="shared" si="152"/>
        <v>0</v>
      </c>
      <c r="DM172" s="31" t="str">
        <f t="shared" si="182"/>
        <v>0</v>
      </c>
      <c r="DO172" s="30"/>
      <c r="DP172" s="30"/>
    </row>
    <row r="173" spans="1:120" x14ac:dyDescent="0.2">
      <c r="A173" s="5"/>
      <c r="B173" s="6">
        <f>+Risultati!B172</f>
        <v>0</v>
      </c>
      <c r="C173" s="6">
        <f>+Risultati!C172</f>
        <v>0</v>
      </c>
      <c r="D173" s="26" t="str">
        <f>IF(YEAR(Risultati!D172)=1900,(MID(Risultati!$AP$1,29,4)),YEAR(Risultati!D172))</f>
        <v/>
      </c>
      <c r="E173" s="6">
        <f>+Risultati!E172</f>
        <v>0</v>
      </c>
      <c r="F173" s="8" t="e">
        <f>(LEFT(Risultati!AN172,2)&amp;"-")&amp;VLOOKUP((LEFT(Risultati!AN172,2)),ateco!$B$4:$C$93,2,FALSE)</f>
        <v>#N/A</v>
      </c>
      <c r="G173" s="8" t="str">
        <f>SUBSTITUTE((Risultati!AN172&amp;"-"&amp;Risultati!AO172),",",";")</f>
        <v>-</v>
      </c>
      <c r="I173" s="10">
        <f>+Risultati!G172</f>
        <v>0</v>
      </c>
      <c r="J173" s="11" t="str">
        <f t="shared" si="134"/>
        <v>0</v>
      </c>
      <c r="K173" s="12"/>
      <c r="L173" s="10">
        <f>+Risultati!G172+Risultati!H172</f>
        <v>0</v>
      </c>
      <c r="M173" s="11" t="str">
        <f t="shared" si="135"/>
        <v>0</v>
      </c>
      <c r="N173" s="12"/>
      <c r="O173" s="10">
        <f>+Risultati!I172+Risultati!J172</f>
        <v>0</v>
      </c>
      <c r="P173" s="11" t="str">
        <f t="shared" si="136"/>
        <v>0</v>
      </c>
      <c r="Q173" s="12"/>
      <c r="R173" s="13">
        <f t="shared" si="153"/>
        <v>0</v>
      </c>
      <c r="S173" s="11" t="str">
        <f t="shared" si="137"/>
        <v>0</v>
      </c>
      <c r="T173" s="12"/>
      <c r="U173" s="10">
        <f>+Risultati!F172-(Risultati!G172+Risultati!H172)</f>
        <v>0</v>
      </c>
      <c r="V173" s="12" t="str">
        <f t="shared" si="138"/>
        <v>0</v>
      </c>
      <c r="W173" s="12"/>
      <c r="X173" s="10">
        <f t="shared" si="154"/>
        <v>0</v>
      </c>
      <c r="Y173" s="12" t="str">
        <f t="shared" si="139"/>
        <v>0</v>
      </c>
      <c r="Z173" s="12"/>
      <c r="AA173" s="10">
        <f>+Risultati!K172</f>
        <v>0</v>
      </c>
      <c r="AB173" s="12" t="str">
        <f t="shared" si="140"/>
        <v>0</v>
      </c>
      <c r="AC173" s="12"/>
      <c r="AD173" s="10">
        <f>+Risultati!L172</f>
        <v>0</v>
      </c>
      <c r="AE173" s="12" t="str">
        <f t="shared" si="141"/>
        <v>0</v>
      </c>
      <c r="AF173" s="12"/>
      <c r="AG173" s="10">
        <f>+Risultati!M172+Risultati!P172+Risultati!Q172</f>
        <v>0</v>
      </c>
      <c r="AH173" s="12" t="str">
        <f t="shared" si="142"/>
        <v>0</v>
      </c>
      <c r="AI173" s="12"/>
      <c r="AJ173" s="13">
        <f t="shared" si="155"/>
        <v>0</v>
      </c>
      <c r="AK173" s="11" t="str">
        <f t="shared" si="143"/>
        <v>0</v>
      </c>
      <c r="AL173" s="12"/>
      <c r="AM173" s="10">
        <f>+Risultati!N172</f>
        <v>0</v>
      </c>
      <c r="AN173" s="12" t="str">
        <f t="shared" si="144"/>
        <v>0</v>
      </c>
      <c r="AO173" s="12"/>
      <c r="AP173" s="10">
        <f t="shared" si="156"/>
        <v>0</v>
      </c>
      <c r="AQ173" s="41" t="str">
        <f t="shared" si="145"/>
        <v>0</v>
      </c>
      <c r="AR173" s="12"/>
      <c r="AS173" s="10">
        <f>+Risultati!O172</f>
        <v>0</v>
      </c>
      <c r="AT173" s="12" t="str">
        <f t="shared" si="146"/>
        <v>0</v>
      </c>
      <c r="AU173" s="12"/>
      <c r="AV173" s="10">
        <f t="shared" si="157"/>
        <v>0</v>
      </c>
      <c r="AW173" s="12" t="str">
        <f t="shared" si="147"/>
        <v>0</v>
      </c>
      <c r="AX173" s="12"/>
      <c r="AY173" s="10">
        <f>+Risultati!R172+Risultati!S172</f>
        <v>0</v>
      </c>
      <c r="AZ173" s="12" t="str">
        <f t="shared" si="148"/>
        <v>0</v>
      </c>
      <c r="BA173" s="12"/>
      <c r="BB173" s="10">
        <f>+Risultati!T172</f>
        <v>0</v>
      </c>
      <c r="BC173" s="12" t="str">
        <f t="shared" si="149"/>
        <v>0</v>
      </c>
      <c r="BD173" s="12"/>
      <c r="BE173" s="10">
        <f>+Risultati!U172</f>
        <v>0</v>
      </c>
      <c r="BF173" s="12" t="str">
        <f t="shared" si="150"/>
        <v>0</v>
      </c>
      <c r="BG173" s="12"/>
      <c r="BH173" s="10">
        <f t="shared" si="158"/>
        <v>0</v>
      </c>
      <c r="BI173" s="12" t="str">
        <f t="shared" si="151"/>
        <v>0</v>
      </c>
      <c r="BK173" s="16">
        <f>IF(ISNUMBER(Risultati!X172/100),(Risultati!X172/100))</f>
        <v>0</v>
      </c>
      <c r="BL173" s="16">
        <f>IF(ISNUMBER(Risultati!Y172/100),(Risultati!Y172/100))</f>
        <v>0</v>
      </c>
      <c r="BM173" s="16">
        <f>IF(ISNUMBER(Risultati!Z172/100),(Risultati!Z172/100))</f>
        <v>0</v>
      </c>
      <c r="BN173" s="16">
        <f>IF(AND(Risultati!AY172&lt;0,calcoli!AP173&lt;0),-IF(ISNUMBER(Risultati!AA172/100),(Risultati!AA172/100)),IF(ISNUMBER(Risultati!AA172/100),(Risultati!AA172/100)))</f>
        <v>0</v>
      </c>
      <c r="BO173" s="16" t="str">
        <f t="shared" si="132"/>
        <v>0</v>
      </c>
      <c r="BP173" s="16" t="str">
        <f>IF(Risultati!AB172&gt;0,(AV173/Risultati!AB172),"0")</f>
        <v>0</v>
      </c>
      <c r="BQ173" s="16" t="str">
        <f>IF(Risultati!AG172&lt;&gt;0,(BH173/Risultati!AG172),"0")</f>
        <v>0</v>
      </c>
      <c r="BR173" s="16" t="str">
        <f t="shared" si="133"/>
        <v>0</v>
      </c>
      <c r="BS173" s="14" t="str">
        <f>IF(Risultati!AB172&gt;0,(Risultati!G172/Risultati!AB172),"0")</f>
        <v>0</v>
      </c>
      <c r="BT173" s="15" t="str">
        <f>IF(Risultati!AG172&lt;&gt;0,(Risultati!AB172/Risultati!AG172),"0")</f>
        <v>0</v>
      </c>
      <c r="BU173" s="23" t="str">
        <f>IF(AND(Risultati!G172&gt;0,(Risultati!AE172-Risultati!AF172)&gt;=0),((Risultati!AE172-Risultati!AF172)/Risultati!G172*360),"0")</f>
        <v>0</v>
      </c>
      <c r="BV173" s="21" t="str">
        <f>IF(OR(E173="abbreviato",Risultati!G172=0),"0",((Risultati!AC172+Risultati!AD172)/Risultati!G172*360))</f>
        <v>0</v>
      </c>
      <c r="BW173" s="21" t="str">
        <f>IF(OR(E173="abbreviato",Risultati!G172=0,SUM(Risultati!I172+Risultati!K172+Risultati!M172)=0),"0",(((Risultati!AH172+Risultati!AI172)/(Risultati!I172+Risultati!K172+Risultati!N172)*360)))</f>
        <v>0</v>
      </c>
      <c r="BX173" s="16" t="str">
        <f>IF(Risultati!AB172&gt;0,(+Risultati!AG172/Risultati!AB172),"0")</f>
        <v>0</v>
      </c>
      <c r="BY173" s="22" t="str">
        <f>IF(OR(E173="abbreviato",Risultati!G172=0),"0",(((Risultati!AK172-(Risultati!AL172+Risultati!AM172))/Risultati!G172)))</f>
        <v>0</v>
      </c>
      <c r="BZ173" s="16" t="str">
        <f>IF(Risultati!G172&gt;0,(Risultati!AJ172/Risultati!G172),"0")</f>
        <v>0</v>
      </c>
      <c r="CA173" s="8"/>
      <c r="CB173" s="10">
        <f>+Risultati!AP172</f>
        <v>0</v>
      </c>
      <c r="CC173" s="31" t="str">
        <f t="shared" si="159"/>
        <v>0</v>
      </c>
      <c r="CD173" s="10">
        <f>+Risultati!AQ172</f>
        <v>0</v>
      </c>
      <c r="CE173" s="31" t="str">
        <f t="shared" si="160"/>
        <v>0</v>
      </c>
      <c r="CF173" s="10">
        <f>+Risultati!AR172</f>
        <v>0</v>
      </c>
      <c r="CG173" s="31" t="str">
        <f t="shared" si="161"/>
        <v>0</v>
      </c>
      <c r="CH173" s="10">
        <f>+Risultati!AS172</f>
        <v>0</v>
      </c>
      <c r="CI173" s="31" t="str">
        <f t="shared" si="162"/>
        <v>0</v>
      </c>
      <c r="CJ173" s="10">
        <f t="shared" si="163"/>
        <v>0</v>
      </c>
      <c r="CK173" s="31" t="str">
        <f t="shared" si="164"/>
        <v>0</v>
      </c>
      <c r="CL173" s="10">
        <f>+Risultati!AE172+Risultati!AF172</f>
        <v>0</v>
      </c>
      <c r="CM173" s="31" t="str">
        <f t="shared" si="165"/>
        <v>0</v>
      </c>
      <c r="CN173" s="10">
        <f>+Risultati!AT172</f>
        <v>0</v>
      </c>
      <c r="CO173" s="31" t="str">
        <f t="shared" si="166"/>
        <v>0</v>
      </c>
      <c r="CP173" s="10">
        <f>+Risultati!AU172</f>
        <v>0</v>
      </c>
      <c r="CQ173" s="31" t="str">
        <f t="shared" si="167"/>
        <v>0</v>
      </c>
      <c r="CR173" s="10">
        <f>+Risultati!AL172</f>
        <v>0</v>
      </c>
      <c r="CS173" s="31" t="str">
        <f t="shared" si="168"/>
        <v>0</v>
      </c>
      <c r="CT173" s="10">
        <f t="shared" si="169"/>
        <v>0</v>
      </c>
      <c r="CU173" s="31" t="str">
        <f t="shared" si="170"/>
        <v>0</v>
      </c>
      <c r="CV173" s="10">
        <f>+Risultati!AX172</f>
        <v>0</v>
      </c>
      <c r="CW173" s="31" t="str">
        <f t="shared" si="171"/>
        <v>0</v>
      </c>
      <c r="CX173" s="10">
        <f t="shared" si="172"/>
        <v>0</v>
      </c>
      <c r="CY173" s="31" t="str">
        <f t="shared" si="173"/>
        <v>0</v>
      </c>
      <c r="CZ173" s="10">
        <f>+Risultati!AG172</f>
        <v>0</v>
      </c>
      <c r="DA173" s="31" t="str">
        <f t="shared" si="174"/>
        <v>0</v>
      </c>
      <c r="DB173" s="10">
        <f t="shared" si="175"/>
        <v>0</v>
      </c>
      <c r="DC173" s="31" t="str">
        <f t="shared" si="176"/>
        <v>0</v>
      </c>
      <c r="DD173" s="10">
        <f>+Risultati!AV172</f>
        <v>0</v>
      </c>
      <c r="DE173" s="31" t="str">
        <f t="shared" si="177"/>
        <v>0</v>
      </c>
      <c r="DF173" s="10">
        <f>+Risultati!AJ172</f>
        <v>0</v>
      </c>
      <c r="DG173" s="31" t="str">
        <f t="shared" si="178"/>
        <v>0</v>
      </c>
      <c r="DH173" s="10">
        <f t="shared" si="179"/>
        <v>0</v>
      </c>
      <c r="DI173" s="31" t="str">
        <f t="shared" si="180"/>
        <v>0</v>
      </c>
      <c r="DJ173" s="10">
        <f>+Risultati!AW172</f>
        <v>0</v>
      </c>
      <c r="DK173" s="31" t="str">
        <f t="shared" si="181"/>
        <v>0</v>
      </c>
      <c r="DL173" s="10">
        <f t="shared" si="152"/>
        <v>0</v>
      </c>
      <c r="DM173" s="31" t="str">
        <f t="shared" si="182"/>
        <v>0</v>
      </c>
      <c r="DO173" s="30"/>
      <c r="DP173" s="30"/>
    </row>
    <row r="174" spans="1:120" x14ac:dyDescent="0.2">
      <c r="A174" s="5"/>
      <c r="B174" s="6">
        <f>+Risultati!B173</f>
        <v>0</v>
      </c>
      <c r="C174" s="6">
        <f>+Risultati!C173</f>
        <v>0</v>
      </c>
      <c r="D174" s="26" t="str">
        <f>IF(YEAR(Risultati!D173)=1900,(MID(Risultati!$AP$1,29,4)),YEAR(Risultati!D173))</f>
        <v/>
      </c>
      <c r="E174" s="6">
        <f>+Risultati!E173</f>
        <v>0</v>
      </c>
      <c r="F174" s="8" t="e">
        <f>(LEFT(Risultati!AN173,2)&amp;"-")&amp;VLOOKUP((LEFT(Risultati!AN173,2)),ateco!$B$4:$C$93,2,FALSE)</f>
        <v>#N/A</v>
      </c>
      <c r="G174" s="8" t="str">
        <f>SUBSTITUTE((Risultati!AN173&amp;"-"&amp;Risultati!AO173),",",";")</f>
        <v>-</v>
      </c>
      <c r="I174" s="10">
        <f>+Risultati!G173</f>
        <v>0</v>
      </c>
      <c r="J174" s="11" t="str">
        <f t="shared" si="134"/>
        <v>0</v>
      </c>
      <c r="K174" s="12"/>
      <c r="L174" s="10">
        <f>+Risultati!G173+Risultati!H173</f>
        <v>0</v>
      </c>
      <c r="M174" s="11" t="str">
        <f t="shared" si="135"/>
        <v>0</v>
      </c>
      <c r="N174" s="12"/>
      <c r="O174" s="10">
        <f>+Risultati!I173+Risultati!J173</f>
        <v>0</v>
      </c>
      <c r="P174" s="11" t="str">
        <f t="shared" si="136"/>
        <v>0</v>
      </c>
      <c r="Q174" s="12"/>
      <c r="R174" s="13">
        <f t="shared" si="153"/>
        <v>0</v>
      </c>
      <c r="S174" s="11" t="str">
        <f t="shared" si="137"/>
        <v>0</v>
      </c>
      <c r="T174" s="12"/>
      <c r="U174" s="10">
        <f>+Risultati!F173-(Risultati!G173+Risultati!H173)</f>
        <v>0</v>
      </c>
      <c r="V174" s="12" t="str">
        <f t="shared" si="138"/>
        <v>0</v>
      </c>
      <c r="W174" s="12"/>
      <c r="X174" s="10">
        <f t="shared" si="154"/>
        <v>0</v>
      </c>
      <c r="Y174" s="12" t="str">
        <f t="shared" si="139"/>
        <v>0</v>
      </c>
      <c r="Z174" s="12"/>
      <c r="AA174" s="10">
        <f>+Risultati!K173</f>
        <v>0</v>
      </c>
      <c r="AB174" s="12" t="str">
        <f t="shared" si="140"/>
        <v>0</v>
      </c>
      <c r="AC174" s="12"/>
      <c r="AD174" s="10">
        <f>+Risultati!L173</f>
        <v>0</v>
      </c>
      <c r="AE174" s="12" t="str">
        <f t="shared" si="141"/>
        <v>0</v>
      </c>
      <c r="AF174" s="12"/>
      <c r="AG174" s="10">
        <f>+Risultati!M173+Risultati!P173+Risultati!Q173</f>
        <v>0</v>
      </c>
      <c r="AH174" s="12" t="str">
        <f t="shared" si="142"/>
        <v>0</v>
      </c>
      <c r="AI174" s="12"/>
      <c r="AJ174" s="13">
        <f t="shared" si="155"/>
        <v>0</v>
      </c>
      <c r="AK174" s="11" t="str">
        <f t="shared" si="143"/>
        <v>0</v>
      </c>
      <c r="AL174" s="12"/>
      <c r="AM174" s="10">
        <f>+Risultati!N173</f>
        <v>0</v>
      </c>
      <c r="AN174" s="12" t="str">
        <f t="shared" si="144"/>
        <v>0</v>
      </c>
      <c r="AO174" s="12"/>
      <c r="AP174" s="10">
        <f t="shared" si="156"/>
        <v>0</v>
      </c>
      <c r="AQ174" s="41" t="str">
        <f t="shared" si="145"/>
        <v>0</v>
      </c>
      <c r="AR174" s="12"/>
      <c r="AS174" s="10">
        <f>+Risultati!O173</f>
        <v>0</v>
      </c>
      <c r="AT174" s="12" t="str">
        <f t="shared" si="146"/>
        <v>0</v>
      </c>
      <c r="AU174" s="12"/>
      <c r="AV174" s="10">
        <f t="shared" si="157"/>
        <v>0</v>
      </c>
      <c r="AW174" s="12" t="str">
        <f t="shared" si="147"/>
        <v>0</v>
      </c>
      <c r="AX174" s="12"/>
      <c r="AY174" s="10">
        <f>+Risultati!R173+Risultati!S173</f>
        <v>0</v>
      </c>
      <c r="AZ174" s="12" t="str">
        <f t="shared" si="148"/>
        <v>0</v>
      </c>
      <c r="BA174" s="12"/>
      <c r="BB174" s="10">
        <f>+Risultati!T173</f>
        <v>0</v>
      </c>
      <c r="BC174" s="12" t="str">
        <f t="shared" si="149"/>
        <v>0</v>
      </c>
      <c r="BD174" s="12"/>
      <c r="BE174" s="10">
        <f>+Risultati!U173</f>
        <v>0</v>
      </c>
      <c r="BF174" s="12" t="str">
        <f t="shared" si="150"/>
        <v>0</v>
      </c>
      <c r="BG174" s="12"/>
      <c r="BH174" s="10">
        <f t="shared" si="158"/>
        <v>0</v>
      </c>
      <c r="BI174" s="12" t="str">
        <f t="shared" si="151"/>
        <v>0</v>
      </c>
      <c r="BK174" s="16">
        <f>IF(ISNUMBER(Risultati!X173/100),(Risultati!X173/100))</f>
        <v>0</v>
      </c>
      <c r="BL174" s="16">
        <f>IF(ISNUMBER(Risultati!Y173/100),(Risultati!Y173/100))</f>
        <v>0</v>
      </c>
      <c r="BM174" s="16">
        <f>IF(ISNUMBER(Risultati!Z173/100),(Risultati!Z173/100))</f>
        <v>0</v>
      </c>
      <c r="BN174" s="16">
        <f>IF(AND(Risultati!AY173&lt;0,calcoli!AP174&lt;0),-IF(ISNUMBER(Risultati!AA173/100),(Risultati!AA173/100)),IF(ISNUMBER(Risultati!AA173/100),(Risultati!AA173/100)))</f>
        <v>0</v>
      </c>
      <c r="BO174" s="16" t="str">
        <f t="shared" si="132"/>
        <v>0</v>
      </c>
      <c r="BP174" s="16" t="str">
        <f>IF(Risultati!AB173&gt;0,(AV174/Risultati!AB173),"0")</f>
        <v>0</v>
      </c>
      <c r="BQ174" s="16" t="str">
        <f>IF(Risultati!AG173&lt;&gt;0,(BH174/Risultati!AG173),"0")</f>
        <v>0</v>
      </c>
      <c r="BR174" s="16" t="str">
        <f t="shared" si="133"/>
        <v>0</v>
      </c>
      <c r="BS174" s="14" t="str">
        <f>IF(Risultati!AB173&gt;0,(Risultati!G173/Risultati!AB173),"0")</f>
        <v>0</v>
      </c>
      <c r="BT174" s="15" t="str">
        <f>IF(Risultati!AG173&lt;&gt;0,(Risultati!AB173/Risultati!AG173),"0")</f>
        <v>0</v>
      </c>
      <c r="BU174" s="23" t="str">
        <f>IF(AND(Risultati!G173&gt;0,(Risultati!AE173-Risultati!AF173)&gt;=0),((Risultati!AE173-Risultati!AF173)/Risultati!G173*360),"0")</f>
        <v>0</v>
      </c>
      <c r="BV174" s="21" t="str">
        <f>IF(OR(E174="abbreviato",Risultati!G173=0),"0",((Risultati!AC173+Risultati!AD173)/Risultati!G173*360))</f>
        <v>0</v>
      </c>
      <c r="BW174" s="21" t="str">
        <f>IF(OR(E174="abbreviato",Risultati!G173=0,SUM(Risultati!I173+Risultati!K173+Risultati!M173)=0),"0",(((Risultati!AH173+Risultati!AI173)/(Risultati!I173+Risultati!K173+Risultati!N173)*360)))</f>
        <v>0</v>
      </c>
      <c r="BX174" s="16" t="str">
        <f>IF(Risultati!AB173&gt;0,(+Risultati!AG173/Risultati!AB173),"0")</f>
        <v>0</v>
      </c>
      <c r="BY174" s="22" t="str">
        <f>IF(OR(E174="abbreviato",Risultati!G173=0),"0",(((Risultati!AK173-(Risultati!AL173+Risultati!AM173))/Risultati!G173)))</f>
        <v>0</v>
      </c>
      <c r="BZ174" s="16" t="str">
        <f>IF(Risultati!G173&gt;0,(Risultati!AJ173/Risultati!G173),"0")</f>
        <v>0</v>
      </c>
      <c r="CA174" s="8"/>
      <c r="CB174" s="10">
        <f>+Risultati!AP173</f>
        <v>0</v>
      </c>
      <c r="CC174" s="31" t="str">
        <f t="shared" si="159"/>
        <v>0</v>
      </c>
      <c r="CD174" s="10">
        <f>+Risultati!AQ173</f>
        <v>0</v>
      </c>
      <c r="CE174" s="31" t="str">
        <f t="shared" si="160"/>
        <v>0</v>
      </c>
      <c r="CF174" s="10">
        <f>+Risultati!AR173</f>
        <v>0</v>
      </c>
      <c r="CG174" s="31" t="str">
        <f t="shared" si="161"/>
        <v>0</v>
      </c>
      <c r="CH174" s="10">
        <f>+Risultati!AS173</f>
        <v>0</v>
      </c>
      <c r="CI174" s="31" t="str">
        <f t="shared" si="162"/>
        <v>0</v>
      </c>
      <c r="CJ174" s="10">
        <f t="shared" si="163"/>
        <v>0</v>
      </c>
      <c r="CK174" s="31" t="str">
        <f t="shared" si="164"/>
        <v>0</v>
      </c>
      <c r="CL174" s="10">
        <f>+Risultati!AE173+Risultati!AF173</f>
        <v>0</v>
      </c>
      <c r="CM174" s="31" t="str">
        <f t="shared" si="165"/>
        <v>0</v>
      </c>
      <c r="CN174" s="10">
        <f>+Risultati!AT173</f>
        <v>0</v>
      </c>
      <c r="CO174" s="31" t="str">
        <f t="shared" si="166"/>
        <v>0</v>
      </c>
      <c r="CP174" s="10">
        <f>+Risultati!AU173</f>
        <v>0</v>
      </c>
      <c r="CQ174" s="31" t="str">
        <f t="shared" si="167"/>
        <v>0</v>
      </c>
      <c r="CR174" s="10">
        <f>+Risultati!AL173</f>
        <v>0</v>
      </c>
      <c r="CS174" s="31" t="str">
        <f t="shared" si="168"/>
        <v>0</v>
      </c>
      <c r="CT174" s="10">
        <f t="shared" si="169"/>
        <v>0</v>
      </c>
      <c r="CU174" s="31" t="str">
        <f t="shared" si="170"/>
        <v>0</v>
      </c>
      <c r="CV174" s="10">
        <f>+Risultati!AX173</f>
        <v>0</v>
      </c>
      <c r="CW174" s="31" t="str">
        <f t="shared" si="171"/>
        <v>0</v>
      </c>
      <c r="CX174" s="10">
        <f t="shared" si="172"/>
        <v>0</v>
      </c>
      <c r="CY174" s="31" t="str">
        <f t="shared" si="173"/>
        <v>0</v>
      </c>
      <c r="CZ174" s="10">
        <f>+Risultati!AG173</f>
        <v>0</v>
      </c>
      <c r="DA174" s="31" t="str">
        <f t="shared" si="174"/>
        <v>0</v>
      </c>
      <c r="DB174" s="10">
        <f t="shared" si="175"/>
        <v>0</v>
      </c>
      <c r="DC174" s="31" t="str">
        <f t="shared" si="176"/>
        <v>0</v>
      </c>
      <c r="DD174" s="10">
        <f>+Risultati!AV173</f>
        <v>0</v>
      </c>
      <c r="DE174" s="31" t="str">
        <f t="shared" si="177"/>
        <v>0</v>
      </c>
      <c r="DF174" s="10">
        <f>+Risultati!AJ173</f>
        <v>0</v>
      </c>
      <c r="DG174" s="31" t="str">
        <f t="shared" si="178"/>
        <v>0</v>
      </c>
      <c r="DH174" s="10">
        <f t="shared" si="179"/>
        <v>0</v>
      </c>
      <c r="DI174" s="31" t="str">
        <f t="shared" si="180"/>
        <v>0</v>
      </c>
      <c r="DJ174" s="10">
        <f>+Risultati!AW173</f>
        <v>0</v>
      </c>
      <c r="DK174" s="31" t="str">
        <f t="shared" si="181"/>
        <v>0</v>
      </c>
      <c r="DL174" s="10">
        <f t="shared" si="152"/>
        <v>0</v>
      </c>
      <c r="DM174" s="31" t="str">
        <f t="shared" si="182"/>
        <v>0</v>
      </c>
      <c r="DO174" s="30"/>
      <c r="DP174" s="30"/>
    </row>
    <row r="175" spans="1:120" x14ac:dyDescent="0.2">
      <c r="A175" s="5"/>
      <c r="B175" s="6">
        <f>+Risultati!B174</f>
        <v>0</v>
      </c>
      <c r="C175" s="6">
        <f>+Risultati!C174</f>
        <v>0</v>
      </c>
      <c r="D175" s="26" t="str">
        <f>IF(YEAR(Risultati!D174)=1900,(MID(Risultati!$AP$1,29,4)),YEAR(Risultati!D174))</f>
        <v/>
      </c>
      <c r="E175" s="6">
        <f>+Risultati!E174</f>
        <v>0</v>
      </c>
      <c r="F175" s="8" t="e">
        <f>(LEFT(Risultati!AN174,2)&amp;"-")&amp;VLOOKUP((LEFT(Risultati!AN174,2)),ateco!$B$4:$C$93,2,FALSE)</f>
        <v>#N/A</v>
      </c>
      <c r="G175" s="8" t="str">
        <f>SUBSTITUTE((Risultati!AN174&amp;"-"&amp;Risultati!AO174),",",";")</f>
        <v>-</v>
      </c>
      <c r="I175" s="10">
        <f>+Risultati!G174</f>
        <v>0</v>
      </c>
      <c r="J175" s="11" t="str">
        <f t="shared" si="134"/>
        <v>0</v>
      </c>
      <c r="K175" s="12"/>
      <c r="L175" s="10">
        <f>+Risultati!G174+Risultati!H174</f>
        <v>0</v>
      </c>
      <c r="M175" s="11" t="str">
        <f t="shared" si="135"/>
        <v>0</v>
      </c>
      <c r="N175" s="12"/>
      <c r="O175" s="10">
        <f>+Risultati!I174+Risultati!J174</f>
        <v>0</v>
      </c>
      <c r="P175" s="11" t="str">
        <f t="shared" si="136"/>
        <v>0</v>
      </c>
      <c r="Q175" s="12"/>
      <c r="R175" s="13">
        <f t="shared" si="153"/>
        <v>0</v>
      </c>
      <c r="S175" s="11" t="str">
        <f t="shared" si="137"/>
        <v>0</v>
      </c>
      <c r="T175" s="12"/>
      <c r="U175" s="10">
        <f>+Risultati!F174-(Risultati!G174+Risultati!H174)</f>
        <v>0</v>
      </c>
      <c r="V175" s="12" t="str">
        <f t="shared" si="138"/>
        <v>0</v>
      </c>
      <c r="W175" s="12"/>
      <c r="X175" s="10">
        <f t="shared" si="154"/>
        <v>0</v>
      </c>
      <c r="Y175" s="12" t="str">
        <f t="shared" si="139"/>
        <v>0</v>
      </c>
      <c r="Z175" s="12"/>
      <c r="AA175" s="10">
        <f>+Risultati!K174</f>
        <v>0</v>
      </c>
      <c r="AB175" s="12" t="str">
        <f t="shared" si="140"/>
        <v>0</v>
      </c>
      <c r="AC175" s="12"/>
      <c r="AD175" s="10">
        <f>+Risultati!L174</f>
        <v>0</v>
      </c>
      <c r="AE175" s="12" t="str">
        <f t="shared" si="141"/>
        <v>0</v>
      </c>
      <c r="AF175" s="12"/>
      <c r="AG175" s="10">
        <f>+Risultati!M174+Risultati!P174+Risultati!Q174</f>
        <v>0</v>
      </c>
      <c r="AH175" s="12" t="str">
        <f t="shared" si="142"/>
        <v>0</v>
      </c>
      <c r="AI175" s="12"/>
      <c r="AJ175" s="13">
        <f t="shared" si="155"/>
        <v>0</v>
      </c>
      <c r="AK175" s="11" t="str">
        <f t="shared" si="143"/>
        <v>0</v>
      </c>
      <c r="AL175" s="12"/>
      <c r="AM175" s="10">
        <f>+Risultati!N174</f>
        <v>0</v>
      </c>
      <c r="AN175" s="12" t="str">
        <f t="shared" si="144"/>
        <v>0</v>
      </c>
      <c r="AO175" s="12"/>
      <c r="AP175" s="10">
        <f t="shared" si="156"/>
        <v>0</v>
      </c>
      <c r="AQ175" s="41" t="str">
        <f t="shared" si="145"/>
        <v>0</v>
      </c>
      <c r="AR175" s="12"/>
      <c r="AS175" s="10">
        <f>+Risultati!O174</f>
        <v>0</v>
      </c>
      <c r="AT175" s="12" t="str">
        <f t="shared" si="146"/>
        <v>0</v>
      </c>
      <c r="AU175" s="12"/>
      <c r="AV175" s="10">
        <f t="shared" si="157"/>
        <v>0</v>
      </c>
      <c r="AW175" s="12" t="str">
        <f t="shared" si="147"/>
        <v>0</v>
      </c>
      <c r="AX175" s="12"/>
      <c r="AY175" s="10">
        <f>+Risultati!R174+Risultati!S174</f>
        <v>0</v>
      </c>
      <c r="AZ175" s="12" t="str">
        <f t="shared" si="148"/>
        <v>0</v>
      </c>
      <c r="BA175" s="12"/>
      <c r="BB175" s="10">
        <f>+Risultati!T174</f>
        <v>0</v>
      </c>
      <c r="BC175" s="12" t="str">
        <f t="shared" si="149"/>
        <v>0</v>
      </c>
      <c r="BD175" s="12"/>
      <c r="BE175" s="10">
        <f>+Risultati!U174</f>
        <v>0</v>
      </c>
      <c r="BF175" s="12" t="str">
        <f t="shared" si="150"/>
        <v>0</v>
      </c>
      <c r="BG175" s="12"/>
      <c r="BH175" s="10">
        <f t="shared" si="158"/>
        <v>0</v>
      </c>
      <c r="BI175" s="12" t="str">
        <f t="shared" si="151"/>
        <v>0</v>
      </c>
      <c r="BK175" s="16">
        <f>IF(ISNUMBER(Risultati!X174/100),(Risultati!X174/100))</f>
        <v>0</v>
      </c>
      <c r="BL175" s="16">
        <f>IF(ISNUMBER(Risultati!Y174/100),(Risultati!Y174/100))</f>
        <v>0</v>
      </c>
      <c r="BM175" s="16">
        <f>IF(ISNUMBER(Risultati!Z174/100),(Risultati!Z174/100))</f>
        <v>0</v>
      </c>
      <c r="BN175" s="16">
        <f>IF(AND(Risultati!AY174&lt;0,calcoli!AP175&lt;0),-IF(ISNUMBER(Risultati!AA174/100),(Risultati!AA174/100)),IF(ISNUMBER(Risultati!AA174/100),(Risultati!AA174/100)))</f>
        <v>0</v>
      </c>
      <c r="BO175" s="16" t="str">
        <f t="shared" si="132"/>
        <v>0</v>
      </c>
      <c r="BP175" s="16" t="str">
        <f>IF(Risultati!AB174&gt;0,(AV175/Risultati!AB174),"0")</f>
        <v>0</v>
      </c>
      <c r="BQ175" s="16" t="str">
        <f>IF(Risultati!AG174&lt;&gt;0,(BH175/Risultati!AG174),"0")</f>
        <v>0</v>
      </c>
      <c r="BR175" s="16" t="str">
        <f t="shared" si="133"/>
        <v>0</v>
      </c>
      <c r="BS175" s="14" t="str">
        <f>IF(Risultati!AB174&gt;0,(Risultati!G174/Risultati!AB174),"0")</f>
        <v>0</v>
      </c>
      <c r="BT175" s="15" t="str">
        <f>IF(Risultati!AG174&lt;&gt;0,(Risultati!AB174/Risultati!AG174),"0")</f>
        <v>0</v>
      </c>
      <c r="BU175" s="23" t="str">
        <f>IF(AND(Risultati!G174&gt;0,(Risultati!AE174-Risultati!AF174)&gt;=0),((Risultati!AE174-Risultati!AF174)/Risultati!G174*360),"0")</f>
        <v>0</v>
      </c>
      <c r="BV175" s="21" t="str">
        <f>IF(OR(E175="abbreviato",Risultati!G174=0),"0",((Risultati!AC174+Risultati!AD174)/Risultati!G174*360))</f>
        <v>0</v>
      </c>
      <c r="BW175" s="21" t="str">
        <f>IF(OR(E175="abbreviato",Risultati!G174=0,SUM(Risultati!I174+Risultati!K174+Risultati!M174)=0),"0",(((Risultati!AH174+Risultati!AI174)/(Risultati!I174+Risultati!K174+Risultati!N174)*360)))</f>
        <v>0</v>
      </c>
      <c r="BX175" s="16" t="str">
        <f>IF(Risultati!AB174&gt;0,(+Risultati!AG174/Risultati!AB174),"0")</f>
        <v>0</v>
      </c>
      <c r="BY175" s="22" t="str">
        <f>IF(OR(E175="abbreviato",Risultati!G174=0),"0",(((Risultati!AK174-(Risultati!AL174+Risultati!AM174))/Risultati!G174)))</f>
        <v>0</v>
      </c>
      <c r="BZ175" s="16" t="str">
        <f>IF(Risultati!G174&gt;0,(Risultati!AJ174/Risultati!G174),"0")</f>
        <v>0</v>
      </c>
      <c r="CA175" s="8"/>
      <c r="CB175" s="10">
        <f>+Risultati!AP174</f>
        <v>0</v>
      </c>
      <c r="CC175" s="31" t="str">
        <f t="shared" si="159"/>
        <v>0</v>
      </c>
      <c r="CD175" s="10">
        <f>+Risultati!AQ174</f>
        <v>0</v>
      </c>
      <c r="CE175" s="31" t="str">
        <f t="shared" si="160"/>
        <v>0</v>
      </c>
      <c r="CF175" s="10">
        <f>+Risultati!AR174</f>
        <v>0</v>
      </c>
      <c r="CG175" s="31" t="str">
        <f t="shared" si="161"/>
        <v>0</v>
      </c>
      <c r="CH175" s="10">
        <f>+Risultati!AS174</f>
        <v>0</v>
      </c>
      <c r="CI175" s="31" t="str">
        <f t="shared" si="162"/>
        <v>0</v>
      </c>
      <c r="CJ175" s="10">
        <f t="shared" si="163"/>
        <v>0</v>
      </c>
      <c r="CK175" s="31" t="str">
        <f t="shared" si="164"/>
        <v>0</v>
      </c>
      <c r="CL175" s="10">
        <f>+Risultati!AE174+Risultati!AF174</f>
        <v>0</v>
      </c>
      <c r="CM175" s="31" t="str">
        <f t="shared" si="165"/>
        <v>0</v>
      </c>
      <c r="CN175" s="10">
        <f>+Risultati!AT174</f>
        <v>0</v>
      </c>
      <c r="CO175" s="31" t="str">
        <f t="shared" si="166"/>
        <v>0</v>
      </c>
      <c r="CP175" s="10">
        <f>+Risultati!AU174</f>
        <v>0</v>
      </c>
      <c r="CQ175" s="31" t="str">
        <f t="shared" si="167"/>
        <v>0</v>
      </c>
      <c r="CR175" s="10">
        <f>+Risultati!AL174</f>
        <v>0</v>
      </c>
      <c r="CS175" s="31" t="str">
        <f t="shared" si="168"/>
        <v>0</v>
      </c>
      <c r="CT175" s="10">
        <f t="shared" si="169"/>
        <v>0</v>
      </c>
      <c r="CU175" s="31" t="str">
        <f t="shared" si="170"/>
        <v>0</v>
      </c>
      <c r="CV175" s="10">
        <f>+Risultati!AX174</f>
        <v>0</v>
      </c>
      <c r="CW175" s="31" t="str">
        <f t="shared" si="171"/>
        <v>0</v>
      </c>
      <c r="CX175" s="10">
        <f t="shared" si="172"/>
        <v>0</v>
      </c>
      <c r="CY175" s="31" t="str">
        <f t="shared" si="173"/>
        <v>0</v>
      </c>
      <c r="CZ175" s="10">
        <f>+Risultati!AG174</f>
        <v>0</v>
      </c>
      <c r="DA175" s="31" t="str">
        <f t="shared" si="174"/>
        <v>0</v>
      </c>
      <c r="DB175" s="10">
        <f t="shared" si="175"/>
        <v>0</v>
      </c>
      <c r="DC175" s="31" t="str">
        <f t="shared" si="176"/>
        <v>0</v>
      </c>
      <c r="DD175" s="10">
        <f>+Risultati!AV174</f>
        <v>0</v>
      </c>
      <c r="DE175" s="31" t="str">
        <f t="shared" si="177"/>
        <v>0</v>
      </c>
      <c r="DF175" s="10">
        <f>+Risultati!AJ174</f>
        <v>0</v>
      </c>
      <c r="DG175" s="31" t="str">
        <f t="shared" si="178"/>
        <v>0</v>
      </c>
      <c r="DH175" s="10">
        <f t="shared" si="179"/>
        <v>0</v>
      </c>
      <c r="DI175" s="31" t="str">
        <f t="shared" si="180"/>
        <v>0</v>
      </c>
      <c r="DJ175" s="10">
        <f>+Risultati!AW174</f>
        <v>0</v>
      </c>
      <c r="DK175" s="31" t="str">
        <f t="shared" si="181"/>
        <v>0</v>
      </c>
      <c r="DL175" s="10">
        <f t="shared" si="152"/>
        <v>0</v>
      </c>
      <c r="DM175" s="31" t="str">
        <f t="shared" si="182"/>
        <v>0</v>
      </c>
      <c r="DO175" s="30"/>
      <c r="DP175" s="30"/>
    </row>
    <row r="176" spans="1:120" x14ac:dyDescent="0.2">
      <c r="A176" s="5"/>
      <c r="B176" s="6">
        <f>+Risultati!B175</f>
        <v>0</v>
      </c>
      <c r="C176" s="6">
        <f>+Risultati!C175</f>
        <v>0</v>
      </c>
      <c r="D176" s="26" t="str">
        <f>IF(YEAR(Risultati!D175)=1900,(MID(Risultati!$AP$1,29,4)),YEAR(Risultati!D175))</f>
        <v/>
      </c>
      <c r="E176" s="6">
        <f>+Risultati!E175</f>
        <v>0</v>
      </c>
      <c r="F176" s="8" t="e">
        <f>(LEFT(Risultati!AN175,2)&amp;"-")&amp;VLOOKUP((LEFT(Risultati!AN175,2)),ateco!$B$4:$C$93,2,FALSE)</f>
        <v>#N/A</v>
      </c>
      <c r="G176" s="8" t="str">
        <f>SUBSTITUTE((Risultati!AN175&amp;"-"&amp;Risultati!AO175),",",";")</f>
        <v>-</v>
      </c>
      <c r="I176" s="10">
        <f>+Risultati!G175</f>
        <v>0</v>
      </c>
      <c r="J176" s="11" t="str">
        <f t="shared" si="134"/>
        <v>0</v>
      </c>
      <c r="K176" s="12"/>
      <c r="L176" s="10">
        <f>+Risultati!G175+Risultati!H175</f>
        <v>0</v>
      </c>
      <c r="M176" s="11" t="str">
        <f t="shared" si="135"/>
        <v>0</v>
      </c>
      <c r="N176" s="12"/>
      <c r="O176" s="10">
        <f>+Risultati!I175+Risultati!J175</f>
        <v>0</v>
      </c>
      <c r="P176" s="11" t="str">
        <f t="shared" si="136"/>
        <v>0</v>
      </c>
      <c r="Q176" s="12"/>
      <c r="R176" s="13">
        <f t="shared" si="153"/>
        <v>0</v>
      </c>
      <c r="S176" s="11" t="str">
        <f t="shared" si="137"/>
        <v>0</v>
      </c>
      <c r="T176" s="12"/>
      <c r="U176" s="10">
        <f>+Risultati!F175-(Risultati!G175+Risultati!H175)</f>
        <v>0</v>
      </c>
      <c r="V176" s="12" t="str">
        <f t="shared" si="138"/>
        <v>0</v>
      </c>
      <c r="W176" s="12"/>
      <c r="X176" s="10">
        <f t="shared" si="154"/>
        <v>0</v>
      </c>
      <c r="Y176" s="12" t="str">
        <f t="shared" si="139"/>
        <v>0</v>
      </c>
      <c r="Z176" s="12"/>
      <c r="AA176" s="10">
        <f>+Risultati!K175</f>
        <v>0</v>
      </c>
      <c r="AB176" s="12" t="str">
        <f t="shared" si="140"/>
        <v>0</v>
      </c>
      <c r="AC176" s="12"/>
      <c r="AD176" s="10">
        <f>+Risultati!L175</f>
        <v>0</v>
      </c>
      <c r="AE176" s="12" t="str">
        <f t="shared" si="141"/>
        <v>0</v>
      </c>
      <c r="AF176" s="12"/>
      <c r="AG176" s="10">
        <f>+Risultati!M175+Risultati!P175+Risultati!Q175</f>
        <v>0</v>
      </c>
      <c r="AH176" s="12" t="str">
        <f t="shared" si="142"/>
        <v>0</v>
      </c>
      <c r="AI176" s="12"/>
      <c r="AJ176" s="13">
        <f t="shared" si="155"/>
        <v>0</v>
      </c>
      <c r="AK176" s="11" t="str">
        <f t="shared" si="143"/>
        <v>0</v>
      </c>
      <c r="AL176" s="12"/>
      <c r="AM176" s="10">
        <f>+Risultati!N175</f>
        <v>0</v>
      </c>
      <c r="AN176" s="12" t="str">
        <f t="shared" si="144"/>
        <v>0</v>
      </c>
      <c r="AO176" s="12"/>
      <c r="AP176" s="10">
        <f t="shared" si="156"/>
        <v>0</v>
      </c>
      <c r="AQ176" s="41" t="str">
        <f t="shared" si="145"/>
        <v>0</v>
      </c>
      <c r="AR176" s="12"/>
      <c r="AS176" s="10">
        <f>+Risultati!O175</f>
        <v>0</v>
      </c>
      <c r="AT176" s="12" t="str">
        <f t="shared" si="146"/>
        <v>0</v>
      </c>
      <c r="AU176" s="12"/>
      <c r="AV176" s="10">
        <f t="shared" si="157"/>
        <v>0</v>
      </c>
      <c r="AW176" s="12" t="str">
        <f t="shared" si="147"/>
        <v>0</v>
      </c>
      <c r="AX176" s="12"/>
      <c r="AY176" s="10">
        <f>+Risultati!R175+Risultati!S175</f>
        <v>0</v>
      </c>
      <c r="AZ176" s="12" t="str">
        <f t="shared" si="148"/>
        <v>0</v>
      </c>
      <c r="BA176" s="12"/>
      <c r="BB176" s="10">
        <f>+Risultati!T175</f>
        <v>0</v>
      </c>
      <c r="BC176" s="12" t="str">
        <f t="shared" si="149"/>
        <v>0</v>
      </c>
      <c r="BD176" s="12"/>
      <c r="BE176" s="10">
        <f>+Risultati!U175</f>
        <v>0</v>
      </c>
      <c r="BF176" s="12" t="str">
        <f t="shared" si="150"/>
        <v>0</v>
      </c>
      <c r="BG176" s="12"/>
      <c r="BH176" s="10">
        <f t="shared" si="158"/>
        <v>0</v>
      </c>
      <c r="BI176" s="12" t="str">
        <f t="shared" si="151"/>
        <v>0</v>
      </c>
      <c r="BK176" s="16">
        <f>IF(ISNUMBER(Risultati!X175/100),(Risultati!X175/100))</f>
        <v>0</v>
      </c>
      <c r="BL176" s="16">
        <f>IF(ISNUMBER(Risultati!Y175/100),(Risultati!Y175/100))</f>
        <v>0</v>
      </c>
      <c r="BM176" s="16">
        <f>IF(ISNUMBER(Risultati!Z175/100),(Risultati!Z175/100))</f>
        <v>0</v>
      </c>
      <c r="BN176" s="16">
        <f>IF(AND(Risultati!AY175&lt;0,calcoli!AP176&lt;0),-IF(ISNUMBER(Risultati!AA175/100),(Risultati!AA175/100)),IF(ISNUMBER(Risultati!AA175/100),(Risultati!AA175/100)))</f>
        <v>0</v>
      </c>
      <c r="BO176" s="16" t="str">
        <f t="shared" si="132"/>
        <v>0</v>
      </c>
      <c r="BP176" s="16" t="str">
        <f>IF(Risultati!AB175&gt;0,(AV176/Risultati!AB175),"0")</f>
        <v>0</v>
      </c>
      <c r="BQ176" s="16" t="str">
        <f>IF(Risultati!AG175&lt;&gt;0,(BH176/Risultati!AG175),"0")</f>
        <v>0</v>
      </c>
      <c r="BR176" s="16" t="str">
        <f t="shared" si="133"/>
        <v>0</v>
      </c>
      <c r="BS176" s="14" t="str">
        <f>IF(Risultati!AB175&gt;0,(Risultati!G175/Risultati!AB175),"0")</f>
        <v>0</v>
      </c>
      <c r="BT176" s="15" t="str">
        <f>IF(Risultati!AG175&lt;&gt;0,(Risultati!AB175/Risultati!AG175),"0")</f>
        <v>0</v>
      </c>
      <c r="BU176" s="23" t="str">
        <f>IF(AND(Risultati!G175&gt;0,(Risultati!AE175-Risultati!AF175)&gt;=0),((Risultati!AE175-Risultati!AF175)/Risultati!G175*360),"0")</f>
        <v>0</v>
      </c>
      <c r="BV176" s="21" t="str">
        <f>IF(OR(E176="abbreviato",Risultati!G175=0),"0",((Risultati!AC175+Risultati!AD175)/Risultati!G175*360))</f>
        <v>0</v>
      </c>
      <c r="BW176" s="21" t="str">
        <f>IF(OR(E176="abbreviato",Risultati!G175=0,SUM(Risultati!I175+Risultati!K175+Risultati!M175)=0),"0",(((Risultati!AH175+Risultati!AI175)/(Risultati!I175+Risultati!K175+Risultati!N175)*360)))</f>
        <v>0</v>
      </c>
      <c r="BX176" s="16" t="str">
        <f>IF(Risultati!AB175&gt;0,(+Risultati!AG175/Risultati!AB175),"0")</f>
        <v>0</v>
      </c>
      <c r="BY176" s="22" t="str">
        <f>IF(OR(E176="abbreviato",Risultati!G175=0),"0",(((Risultati!AK175-(Risultati!AL175+Risultati!AM175))/Risultati!G175)))</f>
        <v>0</v>
      </c>
      <c r="BZ176" s="16" t="str">
        <f>IF(Risultati!G175&gt;0,(Risultati!AJ175/Risultati!G175),"0")</f>
        <v>0</v>
      </c>
      <c r="CA176" s="8"/>
      <c r="CB176" s="10">
        <f>+Risultati!AP175</f>
        <v>0</v>
      </c>
      <c r="CC176" s="31" t="str">
        <f t="shared" si="159"/>
        <v>0</v>
      </c>
      <c r="CD176" s="10">
        <f>+Risultati!AQ175</f>
        <v>0</v>
      </c>
      <c r="CE176" s="31" t="str">
        <f t="shared" si="160"/>
        <v>0</v>
      </c>
      <c r="CF176" s="10">
        <f>+Risultati!AR175</f>
        <v>0</v>
      </c>
      <c r="CG176" s="31" t="str">
        <f t="shared" si="161"/>
        <v>0</v>
      </c>
      <c r="CH176" s="10">
        <f>+Risultati!AS175</f>
        <v>0</v>
      </c>
      <c r="CI176" s="31" t="str">
        <f t="shared" si="162"/>
        <v>0</v>
      </c>
      <c r="CJ176" s="10">
        <f t="shared" si="163"/>
        <v>0</v>
      </c>
      <c r="CK176" s="31" t="str">
        <f t="shared" si="164"/>
        <v>0</v>
      </c>
      <c r="CL176" s="10">
        <f>+Risultati!AE175+Risultati!AF175</f>
        <v>0</v>
      </c>
      <c r="CM176" s="31" t="str">
        <f t="shared" si="165"/>
        <v>0</v>
      </c>
      <c r="CN176" s="10">
        <f>+Risultati!AT175</f>
        <v>0</v>
      </c>
      <c r="CO176" s="31" t="str">
        <f t="shared" si="166"/>
        <v>0</v>
      </c>
      <c r="CP176" s="10">
        <f>+Risultati!AU175</f>
        <v>0</v>
      </c>
      <c r="CQ176" s="31" t="str">
        <f t="shared" si="167"/>
        <v>0</v>
      </c>
      <c r="CR176" s="10">
        <f>+Risultati!AL175</f>
        <v>0</v>
      </c>
      <c r="CS176" s="31" t="str">
        <f t="shared" si="168"/>
        <v>0</v>
      </c>
      <c r="CT176" s="10">
        <f t="shared" si="169"/>
        <v>0</v>
      </c>
      <c r="CU176" s="31" t="str">
        <f t="shared" si="170"/>
        <v>0</v>
      </c>
      <c r="CV176" s="10">
        <f>+Risultati!AX175</f>
        <v>0</v>
      </c>
      <c r="CW176" s="31" t="str">
        <f t="shared" si="171"/>
        <v>0</v>
      </c>
      <c r="CX176" s="10">
        <f t="shared" si="172"/>
        <v>0</v>
      </c>
      <c r="CY176" s="31" t="str">
        <f t="shared" si="173"/>
        <v>0</v>
      </c>
      <c r="CZ176" s="10">
        <f>+Risultati!AG175</f>
        <v>0</v>
      </c>
      <c r="DA176" s="31" t="str">
        <f t="shared" si="174"/>
        <v>0</v>
      </c>
      <c r="DB176" s="10">
        <f t="shared" si="175"/>
        <v>0</v>
      </c>
      <c r="DC176" s="31" t="str">
        <f t="shared" si="176"/>
        <v>0</v>
      </c>
      <c r="DD176" s="10">
        <f>+Risultati!AV175</f>
        <v>0</v>
      </c>
      <c r="DE176" s="31" t="str">
        <f t="shared" si="177"/>
        <v>0</v>
      </c>
      <c r="DF176" s="10">
        <f>+Risultati!AJ175</f>
        <v>0</v>
      </c>
      <c r="DG176" s="31" t="str">
        <f t="shared" si="178"/>
        <v>0</v>
      </c>
      <c r="DH176" s="10">
        <f t="shared" si="179"/>
        <v>0</v>
      </c>
      <c r="DI176" s="31" t="str">
        <f t="shared" si="180"/>
        <v>0</v>
      </c>
      <c r="DJ176" s="10">
        <f>+Risultati!AW175</f>
        <v>0</v>
      </c>
      <c r="DK176" s="31" t="str">
        <f t="shared" si="181"/>
        <v>0</v>
      </c>
      <c r="DL176" s="10">
        <f t="shared" si="152"/>
        <v>0</v>
      </c>
      <c r="DM176" s="31" t="str">
        <f t="shared" si="182"/>
        <v>0</v>
      </c>
      <c r="DO176" s="30"/>
      <c r="DP176" s="30"/>
    </row>
    <row r="177" spans="1:120" x14ac:dyDescent="0.2">
      <c r="A177" s="5"/>
      <c r="B177" s="6">
        <f>+Risultati!B176</f>
        <v>0</v>
      </c>
      <c r="C177" s="6">
        <f>+Risultati!C176</f>
        <v>0</v>
      </c>
      <c r="D177" s="26" t="str">
        <f>IF(YEAR(Risultati!D176)=1900,(MID(Risultati!$AP$1,29,4)),YEAR(Risultati!D176))</f>
        <v/>
      </c>
      <c r="E177" s="6">
        <f>+Risultati!E176</f>
        <v>0</v>
      </c>
      <c r="F177" s="8" t="e">
        <f>(LEFT(Risultati!AN176,2)&amp;"-")&amp;VLOOKUP((LEFT(Risultati!AN176,2)),ateco!$B$4:$C$93,2,FALSE)</f>
        <v>#N/A</v>
      </c>
      <c r="G177" s="8" t="str">
        <f>SUBSTITUTE((Risultati!AN176&amp;"-"&amp;Risultati!AO176),",",";")</f>
        <v>-</v>
      </c>
      <c r="I177" s="10">
        <f>+Risultati!G176</f>
        <v>0</v>
      </c>
      <c r="J177" s="11" t="str">
        <f t="shared" si="134"/>
        <v>0</v>
      </c>
      <c r="K177" s="12"/>
      <c r="L177" s="10">
        <f>+Risultati!G176+Risultati!H176</f>
        <v>0</v>
      </c>
      <c r="M177" s="11" t="str">
        <f t="shared" si="135"/>
        <v>0</v>
      </c>
      <c r="N177" s="12"/>
      <c r="O177" s="10">
        <f>+Risultati!I176+Risultati!J176</f>
        <v>0</v>
      </c>
      <c r="P177" s="11" t="str">
        <f t="shared" si="136"/>
        <v>0</v>
      </c>
      <c r="Q177" s="12"/>
      <c r="R177" s="13">
        <f t="shared" si="153"/>
        <v>0</v>
      </c>
      <c r="S177" s="11" t="str">
        <f t="shared" si="137"/>
        <v>0</v>
      </c>
      <c r="T177" s="12"/>
      <c r="U177" s="10">
        <f>+Risultati!F176-(Risultati!G176+Risultati!H176)</f>
        <v>0</v>
      </c>
      <c r="V177" s="12" t="str">
        <f t="shared" si="138"/>
        <v>0</v>
      </c>
      <c r="W177" s="12"/>
      <c r="X177" s="10">
        <f t="shared" si="154"/>
        <v>0</v>
      </c>
      <c r="Y177" s="12" t="str">
        <f t="shared" si="139"/>
        <v>0</v>
      </c>
      <c r="Z177" s="12"/>
      <c r="AA177" s="10">
        <f>+Risultati!K176</f>
        <v>0</v>
      </c>
      <c r="AB177" s="12" t="str">
        <f t="shared" si="140"/>
        <v>0</v>
      </c>
      <c r="AC177" s="12"/>
      <c r="AD177" s="10">
        <f>+Risultati!L176</f>
        <v>0</v>
      </c>
      <c r="AE177" s="12" t="str">
        <f t="shared" si="141"/>
        <v>0</v>
      </c>
      <c r="AF177" s="12"/>
      <c r="AG177" s="10">
        <f>+Risultati!M176+Risultati!P176+Risultati!Q176</f>
        <v>0</v>
      </c>
      <c r="AH177" s="12" t="str">
        <f t="shared" si="142"/>
        <v>0</v>
      </c>
      <c r="AI177" s="12"/>
      <c r="AJ177" s="13">
        <f t="shared" si="155"/>
        <v>0</v>
      </c>
      <c r="AK177" s="11" t="str">
        <f t="shared" si="143"/>
        <v>0</v>
      </c>
      <c r="AL177" s="12"/>
      <c r="AM177" s="10">
        <f>+Risultati!N176</f>
        <v>0</v>
      </c>
      <c r="AN177" s="12" t="str">
        <f t="shared" si="144"/>
        <v>0</v>
      </c>
      <c r="AO177" s="12"/>
      <c r="AP177" s="10">
        <f t="shared" si="156"/>
        <v>0</v>
      </c>
      <c r="AQ177" s="41" t="str">
        <f t="shared" si="145"/>
        <v>0</v>
      </c>
      <c r="AR177" s="12"/>
      <c r="AS177" s="10">
        <f>+Risultati!O176</f>
        <v>0</v>
      </c>
      <c r="AT177" s="12" t="str">
        <f t="shared" si="146"/>
        <v>0</v>
      </c>
      <c r="AU177" s="12"/>
      <c r="AV177" s="10">
        <f t="shared" si="157"/>
        <v>0</v>
      </c>
      <c r="AW177" s="12" t="str">
        <f t="shared" si="147"/>
        <v>0</v>
      </c>
      <c r="AX177" s="12"/>
      <c r="AY177" s="10">
        <f>+Risultati!R176+Risultati!S176</f>
        <v>0</v>
      </c>
      <c r="AZ177" s="12" t="str">
        <f t="shared" si="148"/>
        <v>0</v>
      </c>
      <c r="BA177" s="12"/>
      <c r="BB177" s="10">
        <f>+Risultati!T176</f>
        <v>0</v>
      </c>
      <c r="BC177" s="12" t="str">
        <f t="shared" si="149"/>
        <v>0</v>
      </c>
      <c r="BD177" s="12"/>
      <c r="BE177" s="10">
        <f>+Risultati!U176</f>
        <v>0</v>
      </c>
      <c r="BF177" s="12" t="str">
        <f t="shared" si="150"/>
        <v>0</v>
      </c>
      <c r="BG177" s="12"/>
      <c r="BH177" s="10">
        <f t="shared" si="158"/>
        <v>0</v>
      </c>
      <c r="BI177" s="12" t="str">
        <f t="shared" si="151"/>
        <v>0</v>
      </c>
      <c r="BK177" s="16">
        <f>IF(ISNUMBER(Risultati!X176/100),(Risultati!X176/100))</f>
        <v>0</v>
      </c>
      <c r="BL177" s="16">
        <f>IF(ISNUMBER(Risultati!Y176/100),(Risultati!Y176/100))</f>
        <v>0</v>
      </c>
      <c r="BM177" s="16">
        <f>IF(ISNUMBER(Risultati!Z176/100),(Risultati!Z176/100))</f>
        <v>0</v>
      </c>
      <c r="BN177" s="16">
        <f>IF(AND(Risultati!AY176&lt;0,calcoli!AP177&lt;0),-IF(ISNUMBER(Risultati!AA176/100),(Risultati!AA176/100)),IF(ISNUMBER(Risultati!AA176/100),(Risultati!AA176/100)))</f>
        <v>0</v>
      </c>
      <c r="BO177" s="16" t="str">
        <f t="shared" si="132"/>
        <v>0</v>
      </c>
      <c r="BP177" s="16" t="str">
        <f>IF(Risultati!AB176&gt;0,(AV177/Risultati!AB176),"0")</f>
        <v>0</v>
      </c>
      <c r="BQ177" s="16" t="str">
        <f>IF(Risultati!AG176&lt;&gt;0,(BH177/Risultati!AG176),"0")</f>
        <v>0</v>
      </c>
      <c r="BR177" s="16" t="str">
        <f t="shared" si="133"/>
        <v>0</v>
      </c>
      <c r="BS177" s="14" t="str">
        <f>IF(Risultati!AB176&gt;0,(Risultati!G176/Risultati!AB176),"0")</f>
        <v>0</v>
      </c>
      <c r="BT177" s="15" t="str">
        <f>IF(Risultati!AG176&lt;&gt;0,(Risultati!AB176/Risultati!AG176),"0")</f>
        <v>0</v>
      </c>
      <c r="BU177" s="23" t="str">
        <f>IF(AND(Risultati!G176&gt;0,(Risultati!AE176-Risultati!AF176)&gt;=0),((Risultati!AE176-Risultati!AF176)/Risultati!G176*360),"0")</f>
        <v>0</v>
      </c>
      <c r="BV177" s="21" t="str">
        <f>IF(OR(E177="abbreviato",Risultati!G176=0),"0",((Risultati!AC176+Risultati!AD176)/Risultati!G176*360))</f>
        <v>0</v>
      </c>
      <c r="BW177" s="21" t="str">
        <f>IF(OR(E177="abbreviato",Risultati!G176=0,SUM(Risultati!I176+Risultati!K176+Risultati!M176)=0),"0",(((Risultati!AH176+Risultati!AI176)/(Risultati!I176+Risultati!K176+Risultati!N176)*360)))</f>
        <v>0</v>
      </c>
      <c r="BX177" s="16" t="str">
        <f>IF(Risultati!AB176&gt;0,(+Risultati!AG176/Risultati!AB176),"0")</f>
        <v>0</v>
      </c>
      <c r="BY177" s="22" t="str">
        <f>IF(OR(E177="abbreviato",Risultati!G176=0),"0",(((Risultati!AK176-(Risultati!AL176+Risultati!AM176))/Risultati!G176)))</f>
        <v>0</v>
      </c>
      <c r="BZ177" s="16" t="str">
        <f>IF(Risultati!G176&gt;0,(Risultati!AJ176/Risultati!G176),"0")</f>
        <v>0</v>
      </c>
      <c r="CA177" s="8"/>
      <c r="CB177" s="10">
        <f>+Risultati!AP176</f>
        <v>0</v>
      </c>
      <c r="CC177" s="31" t="str">
        <f t="shared" si="159"/>
        <v>0</v>
      </c>
      <c r="CD177" s="10">
        <f>+Risultati!AQ176</f>
        <v>0</v>
      </c>
      <c r="CE177" s="31" t="str">
        <f t="shared" si="160"/>
        <v>0</v>
      </c>
      <c r="CF177" s="10">
        <f>+Risultati!AR176</f>
        <v>0</v>
      </c>
      <c r="CG177" s="31" t="str">
        <f t="shared" si="161"/>
        <v>0</v>
      </c>
      <c r="CH177" s="10">
        <f>+Risultati!AS176</f>
        <v>0</v>
      </c>
      <c r="CI177" s="31" t="str">
        <f t="shared" si="162"/>
        <v>0</v>
      </c>
      <c r="CJ177" s="10">
        <f t="shared" si="163"/>
        <v>0</v>
      </c>
      <c r="CK177" s="31" t="str">
        <f t="shared" si="164"/>
        <v>0</v>
      </c>
      <c r="CL177" s="10">
        <f>+Risultati!AE176+Risultati!AF176</f>
        <v>0</v>
      </c>
      <c r="CM177" s="31" t="str">
        <f t="shared" si="165"/>
        <v>0</v>
      </c>
      <c r="CN177" s="10">
        <f>+Risultati!AT176</f>
        <v>0</v>
      </c>
      <c r="CO177" s="31" t="str">
        <f t="shared" si="166"/>
        <v>0</v>
      </c>
      <c r="CP177" s="10">
        <f>+Risultati!AU176</f>
        <v>0</v>
      </c>
      <c r="CQ177" s="31" t="str">
        <f t="shared" si="167"/>
        <v>0</v>
      </c>
      <c r="CR177" s="10">
        <f>+Risultati!AL176</f>
        <v>0</v>
      </c>
      <c r="CS177" s="31" t="str">
        <f t="shared" si="168"/>
        <v>0</v>
      </c>
      <c r="CT177" s="10">
        <f t="shared" si="169"/>
        <v>0</v>
      </c>
      <c r="CU177" s="31" t="str">
        <f t="shared" si="170"/>
        <v>0</v>
      </c>
      <c r="CV177" s="10">
        <f>+Risultati!AX176</f>
        <v>0</v>
      </c>
      <c r="CW177" s="31" t="str">
        <f t="shared" si="171"/>
        <v>0</v>
      </c>
      <c r="CX177" s="10">
        <f t="shared" si="172"/>
        <v>0</v>
      </c>
      <c r="CY177" s="31" t="str">
        <f t="shared" si="173"/>
        <v>0</v>
      </c>
      <c r="CZ177" s="10">
        <f>+Risultati!AG176</f>
        <v>0</v>
      </c>
      <c r="DA177" s="31" t="str">
        <f t="shared" si="174"/>
        <v>0</v>
      </c>
      <c r="DB177" s="10">
        <f t="shared" si="175"/>
        <v>0</v>
      </c>
      <c r="DC177" s="31" t="str">
        <f t="shared" si="176"/>
        <v>0</v>
      </c>
      <c r="DD177" s="10">
        <f>+Risultati!AV176</f>
        <v>0</v>
      </c>
      <c r="DE177" s="31" t="str">
        <f t="shared" si="177"/>
        <v>0</v>
      </c>
      <c r="DF177" s="10">
        <f>+Risultati!AJ176</f>
        <v>0</v>
      </c>
      <c r="DG177" s="31" t="str">
        <f t="shared" si="178"/>
        <v>0</v>
      </c>
      <c r="DH177" s="10">
        <f t="shared" si="179"/>
        <v>0</v>
      </c>
      <c r="DI177" s="31" t="str">
        <f t="shared" si="180"/>
        <v>0</v>
      </c>
      <c r="DJ177" s="10">
        <f>+Risultati!AW176</f>
        <v>0</v>
      </c>
      <c r="DK177" s="31" t="str">
        <f t="shared" si="181"/>
        <v>0</v>
      </c>
      <c r="DL177" s="10">
        <f t="shared" si="152"/>
        <v>0</v>
      </c>
      <c r="DM177" s="31" t="str">
        <f t="shared" si="182"/>
        <v>0</v>
      </c>
      <c r="DO177" s="30"/>
      <c r="DP177" s="30"/>
    </row>
    <row r="178" spans="1:120" x14ac:dyDescent="0.2">
      <c r="A178" s="5"/>
      <c r="B178" s="6">
        <f>+Risultati!B177</f>
        <v>0</v>
      </c>
      <c r="C178" s="6">
        <f>+Risultati!C177</f>
        <v>0</v>
      </c>
      <c r="D178" s="26" t="str">
        <f>IF(YEAR(Risultati!D177)=1900,(MID(Risultati!$AP$1,29,4)),YEAR(Risultati!D177))</f>
        <v/>
      </c>
      <c r="E178" s="6">
        <f>+Risultati!E177</f>
        <v>0</v>
      </c>
      <c r="F178" s="8" t="e">
        <f>(LEFT(Risultati!AN177,2)&amp;"-")&amp;VLOOKUP((LEFT(Risultati!AN177,2)),ateco!$B$4:$C$93,2,FALSE)</f>
        <v>#N/A</v>
      </c>
      <c r="G178" s="8" t="str">
        <f>SUBSTITUTE((Risultati!AN177&amp;"-"&amp;Risultati!AO177),",",";")</f>
        <v>-</v>
      </c>
      <c r="I178" s="10">
        <f>+Risultati!G177</f>
        <v>0</v>
      </c>
      <c r="J178" s="11" t="str">
        <f t="shared" si="134"/>
        <v>0</v>
      </c>
      <c r="K178" s="12"/>
      <c r="L178" s="10">
        <f>+Risultati!G177+Risultati!H177</f>
        <v>0</v>
      </c>
      <c r="M178" s="11" t="str">
        <f t="shared" si="135"/>
        <v>0</v>
      </c>
      <c r="N178" s="12"/>
      <c r="O178" s="10">
        <f>+Risultati!I177+Risultati!J177</f>
        <v>0</v>
      </c>
      <c r="P178" s="11" t="str">
        <f t="shared" si="136"/>
        <v>0</v>
      </c>
      <c r="Q178" s="12"/>
      <c r="R178" s="13">
        <f t="shared" si="153"/>
        <v>0</v>
      </c>
      <c r="S178" s="11" t="str">
        <f t="shared" si="137"/>
        <v>0</v>
      </c>
      <c r="T178" s="12"/>
      <c r="U178" s="10">
        <f>+Risultati!F177-(Risultati!G177+Risultati!H177)</f>
        <v>0</v>
      </c>
      <c r="V178" s="12" t="str">
        <f t="shared" si="138"/>
        <v>0</v>
      </c>
      <c r="W178" s="12"/>
      <c r="X178" s="10">
        <f t="shared" si="154"/>
        <v>0</v>
      </c>
      <c r="Y178" s="12" t="str">
        <f t="shared" si="139"/>
        <v>0</v>
      </c>
      <c r="Z178" s="12"/>
      <c r="AA178" s="10">
        <f>+Risultati!K177</f>
        <v>0</v>
      </c>
      <c r="AB178" s="12" t="str">
        <f t="shared" si="140"/>
        <v>0</v>
      </c>
      <c r="AC178" s="12"/>
      <c r="AD178" s="10">
        <f>+Risultati!L177</f>
        <v>0</v>
      </c>
      <c r="AE178" s="12" t="str">
        <f t="shared" si="141"/>
        <v>0</v>
      </c>
      <c r="AF178" s="12"/>
      <c r="AG178" s="10">
        <f>+Risultati!M177+Risultati!P177+Risultati!Q177</f>
        <v>0</v>
      </c>
      <c r="AH178" s="12" t="str">
        <f t="shared" si="142"/>
        <v>0</v>
      </c>
      <c r="AI178" s="12"/>
      <c r="AJ178" s="13">
        <f t="shared" si="155"/>
        <v>0</v>
      </c>
      <c r="AK178" s="11" t="str">
        <f t="shared" si="143"/>
        <v>0</v>
      </c>
      <c r="AL178" s="12"/>
      <c r="AM178" s="10">
        <f>+Risultati!N177</f>
        <v>0</v>
      </c>
      <c r="AN178" s="12" t="str">
        <f t="shared" si="144"/>
        <v>0</v>
      </c>
      <c r="AO178" s="12"/>
      <c r="AP178" s="10">
        <f t="shared" si="156"/>
        <v>0</v>
      </c>
      <c r="AQ178" s="41" t="str">
        <f t="shared" si="145"/>
        <v>0</v>
      </c>
      <c r="AR178" s="12"/>
      <c r="AS178" s="10">
        <f>+Risultati!O177</f>
        <v>0</v>
      </c>
      <c r="AT178" s="12" t="str">
        <f t="shared" si="146"/>
        <v>0</v>
      </c>
      <c r="AU178" s="12"/>
      <c r="AV178" s="10">
        <f t="shared" si="157"/>
        <v>0</v>
      </c>
      <c r="AW178" s="12" t="str">
        <f t="shared" si="147"/>
        <v>0</v>
      </c>
      <c r="AX178" s="12"/>
      <c r="AY178" s="10">
        <f>+Risultati!R177+Risultati!S177</f>
        <v>0</v>
      </c>
      <c r="AZ178" s="12" t="str">
        <f t="shared" si="148"/>
        <v>0</v>
      </c>
      <c r="BA178" s="12"/>
      <c r="BB178" s="10">
        <f>+Risultati!T177</f>
        <v>0</v>
      </c>
      <c r="BC178" s="12" t="str">
        <f t="shared" si="149"/>
        <v>0</v>
      </c>
      <c r="BD178" s="12"/>
      <c r="BE178" s="10">
        <f>+Risultati!U177</f>
        <v>0</v>
      </c>
      <c r="BF178" s="12" t="str">
        <f t="shared" si="150"/>
        <v>0</v>
      </c>
      <c r="BG178" s="12"/>
      <c r="BH178" s="10">
        <f t="shared" si="158"/>
        <v>0</v>
      </c>
      <c r="BI178" s="12" t="str">
        <f t="shared" si="151"/>
        <v>0</v>
      </c>
      <c r="BK178" s="16">
        <f>IF(ISNUMBER(Risultati!X177/100),(Risultati!X177/100))</f>
        <v>0</v>
      </c>
      <c r="BL178" s="16">
        <f>IF(ISNUMBER(Risultati!Y177/100),(Risultati!Y177/100))</f>
        <v>0</v>
      </c>
      <c r="BM178" s="16">
        <f>IF(ISNUMBER(Risultati!Z177/100),(Risultati!Z177/100))</f>
        <v>0</v>
      </c>
      <c r="BN178" s="16">
        <f>IF(AND(Risultati!AY177&lt;0,calcoli!AP178&lt;0),-IF(ISNUMBER(Risultati!AA177/100),(Risultati!AA177/100)),IF(ISNUMBER(Risultati!AA177/100),(Risultati!AA177/100)))</f>
        <v>0</v>
      </c>
      <c r="BO178" s="16" t="str">
        <f t="shared" si="132"/>
        <v>0</v>
      </c>
      <c r="BP178" s="16" t="str">
        <f>IF(Risultati!AB177&gt;0,(AV178/Risultati!AB177),"0")</f>
        <v>0</v>
      </c>
      <c r="BQ178" s="16" t="str">
        <f>IF(Risultati!AG177&lt;&gt;0,(BH178/Risultati!AG177),"0")</f>
        <v>0</v>
      </c>
      <c r="BR178" s="16" t="str">
        <f t="shared" si="133"/>
        <v>0</v>
      </c>
      <c r="BS178" s="14" t="str">
        <f>IF(Risultati!AB177&gt;0,(Risultati!G177/Risultati!AB177),"0")</f>
        <v>0</v>
      </c>
      <c r="BT178" s="15" t="str">
        <f>IF(Risultati!AG177&lt;&gt;0,(Risultati!AB177/Risultati!AG177),"0")</f>
        <v>0</v>
      </c>
      <c r="BU178" s="23" t="str">
        <f>IF(AND(Risultati!G177&gt;0,(Risultati!AE177-Risultati!AF177)&gt;=0),((Risultati!AE177-Risultati!AF177)/Risultati!G177*360),"0")</f>
        <v>0</v>
      </c>
      <c r="BV178" s="21" t="str">
        <f>IF(OR(E178="abbreviato",Risultati!G177=0),"0",((Risultati!AC177+Risultati!AD177)/Risultati!G177*360))</f>
        <v>0</v>
      </c>
      <c r="BW178" s="21" t="str">
        <f>IF(OR(E178="abbreviato",Risultati!G177=0,SUM(Risultati!I177+Risultati!K177+Risultati!M177)=0),"0",(((Risultati!AH177+Risultati!AI177)/(Risultati!I177+Risultati!K177+Risultati!N177)*360)))</f>
        <v>0</v>
      </c>
      <c r="BX178" s="16" t="str">
        <f>IF(Risultati!AB177&gt;0,(+Risultati!AG177/Risultati!AB177),"0")</f>
        <v>0</v>
      </c>
      <c r="BY178" s="22" t="str">
        <f>IF(OR(E178="abbreviato",Risultati!G177=0),"0",(((Risultati!AK177-(Risultati!AL177+Risultati!AM177))/Risultati!G177)))</f>
        <v>0</v>
      </c>
      <c r="BZ178" s="16" t="str">
        <f>IF(Risultati!G177&gt;0,(Risultati!AJ177/Risultati!G177),"0")</f>
        <v>0</v>
      </c>
      <c r="CA178" s="8"/>
      <c r="CB178" s="10">
        <f>+Risultati!AP177</f>
        <v>0</v>
      </c>
      <c r="CC178" s="31" t="str">
        <f t="shared" si="159"/>
        <v>0</v>
      </c>
      <c r="CD178" s="10">
        <f>+Risultati!AQ177</f>
        <v>0</v>
      </c>
      <c r="CE178" s="31" t="str">
        <f t="shared" si="160"/>
        <v>0</v>
      </c>
      <c r="CF178" s="10">
        <f>+Risultati!AR177</f>
        <v>0</v>
      </c>
      <c r="CG178" s="31" t="str">
        <f t="shared" si="161"/>
        <v>0</v>
      </c>
      <c r="CH178" s="10">
        <f>+Risultati!AS177</f>
        <v>0</v>
      </c>
      <c r="CI178" s="31" t="str">
        <f t="shared" si="162"/>
        <v>0</v>
      </c>
      <c r="CJ178" s="10">
        <f t="shared" si="163"/>
        <v>0</v>
      </c>
      <c r="CK178" s="31" t="str">
        <f t="shared" si="164"/>
        <v>0</v>
      </c>
      <c r="CL178" s="10">
        <f>+Risultati!AE177+Risultati!AF177</f>
        <v>0</v>
      </c>
      <c r="CM178" s="31" t="str">
        <f t="shared" si="165"/>
        <v>0</v>
      </c>
      <c r="CN178" s="10">
        <f>+Risultati!AT177</f>
        <v>0</v>
      </c>
      <c r="CO178" s="31" t="str">
        <f t="shared" si="166"/>
        <v>0</v>
      </c>
      <c r="CP178" s="10">
        <f>+Risultati!AU177</f>
        <v>0</v>
      </c>
      <c r="CQ178" s="31" t="str">
        <f t="shared" si="167"/>
        <v>0</v>
      </c>
      <c r="CR178" s="10">
        <f>+Risultati!AL177</f>
        <v>0</v>
      </c>
      <c r="CS178" s="31" t="str">
        <f t="shared" si="168"/>
        <v>0</v>
      </c>
      <c r="CT178" s="10">
        <f t="shared" si="169"/>
        <v>0</v>
      </c>
      <c r="CU178" s="31" t="str">
        <f t="shared" si="170"/>
        <v>0</v>
      </c>
      <c r="CV178" s="10">
        <f>+Risultati!AX177</f>
        <v>0</v>
      </c>
      <c r="CW178" s="31" t="str">
        <f t="shared" si="171"/>
        <v>0</v>
      </c>
      <c r="CX178" s="10">
        <f t="shared" si="172"/>
        <v>0</v>
      </c>
      <c r="CY178" s="31" t="str">
        <f t="shared" si="173"/>
        <v>0</v>
      </c>
      <c r="CZ178" s="10">
        <f>+Risultati!AG177</f>
        <v>0</v>
      </c>
      <c r="DA178" s="31" t="str">
        <f t="shared" si="174"/>
        <v>0</v>
      </c>
      <c r="DB178" s="10">
        <f t="shared" si="175"/>
        <v>0</v>
      </c>
      <c r="DC178" s="31" t="str">
        <f t="shared" si="176"/>
        <v>0</v>
      </c>
      <c r="DD178" s="10">
        <f>+Risultati!AV177</f>
        <v>0</v>
      </c>
      <c r="DE178" s="31" t="str">
        <f t="shared" si="177"/>
        <v>0</v>
      </c>
      <c r="DF178" s="10">
        <f>+Risultati!AJ177</f>
        <v>0</v>
      </c>
      <c r="DG178" s="31" t="str">
        <f t="shared" si="178"/>
        <v>0</v>
      </c>
      <c r="DH178" s="10">
        <f t="shared" si="179"/>
        <v>0</v>
      </c>
      <c r="DI178" s="31" t="str">
        <f t="shared" si="180"/>
        <v>0</v>
      </c>
      <c r="DJ178" s="10">
        <f>+Risultati!AW177</f>
        <v>0</v>
      </c>
      <c r="DK178" s="31" t="str">
        <f t="shared" si="181"/>
        <v>0</v>
      </c>
      <c r="DL178" s="10">
        <f t="shared" si="152"/>
        <v>0</v>
      </c>
      <c r="DM178" s="31" t="str">
        <f t="shared" si="182"/>
        <v>0</v>
      </c>
      <c r="DO178" s="30"/>
      <c r="DP178" s="30"/>
    </row>
    <row r="179" spans="1:120" x14ac:dyDescent="0.2">
      <c r="A179" s="5"/>
      <c r="B179" s="6">
        <f>+Risultati!B178</f>
        <v>0</v>
      </c>
      <c r="C179" s="6">
        <f>+Risultati!C178</f>
        <v>0</v>
      </c>
      <c r="D179" s="26" t="str">
        <f>IF(YEAR(Risultati!D178)=1900,(MID(Risultati!$AP$1,29,4)),YEAR(Risultati!D178))</f>
        <v/>
      </c>
      <c r="E179" s="6">
        <f>+Risultati!E178</f>
        <v>0</v>
      </c>
      <c r="F179" s="8" t="e">
        <f>(LEFT(Risultati!AN178,2)&amp;"-")&amp;VLOOKUP((LEFT(Risultati!AN178,2)),ateco!$B$4:$C$93,2,FALSE)</f>
        <v>#N/A</v>
      </c>
      <c r="G179" s="8" t="str">
        <f>SUBSTITUTE((Risultati!AN178&amp;"-"&amp;Risultati!AO178),",",";")</f>
        <v>-</v>
      </c>
      <c r="I179" s="10">
        <f>+Risultati!G178</f>
        <v>0</v>
      </c>
      <c r="J179" s="11" t="str">
        <f t="shared" si="134"/>
        <v>0</v>
      </c>
      <c r="K179" s="12"/>
      <c r="L179" s="10">
        <f>+Risultati!G178+Risultati!H178</f>
        <v>0</v>
      </c>
      <c r="M179" s="11" t="str">
        <f t="shared" si="135"/>
        <v>0</v>
      </c>
      <c r="N179" s="12"/>
      <c r="O179" s="10">
        <f>+Risultati!I178+Risultati!J178</f>
        <v>0</v>
      </c>
      <c r="P179" s="11" t="str">
        <f t="shared" si="136"/>
        <v>0</v>
      </c>
      <c r="Q179" s="12"/>
      <c r="R179" s="13">
        <f t="shared" si="153"/>
        <v>0</v>
      </c>
      <c r="S179" s="11" t="str">
        <f t="shared" si="137"/>
        <v>0</v>
      </c>
      <c r="T179" s="12"/>
      <c r="U179" s="10">
        <f>+Risultati!F178-(Risultati!G178+Risultati!H178)</f>
        <v>0</v>
      </c>
      <c r="V179" s="12" t="str">
        <f t="shared" si="138"/>
        <v>0</v>
      </c>
      <c r="W179" s="12"/>
      <c r="X179" s="10">
        <f t="shared" si="154"/>
        <v>0</v>
      </c>
      <c r="Y179" s="12" t="str">
        <f t="shared" si="139"/>
        <v>0</v>
      </c>
      <c r="Z179" s="12"/>
      <c r="AA179" s="10">
        <f>+Risultati!K178</f>
        <v>0</v>
      </c>
      <c r="AB179" s="12" t="str">
        <f t="shared" si="140"/>
        <v>0</v>
      </c>
      <c r="AC179" s="12"/>
      <c r="AD179" s="10">
        <f>+Risultati!L178</f>
        <v>0</v>
      </c>
      <c r="AE179" s="12" t="str">
        <f t="shared" si="141"/>
        <v>0</v>
      </c>
      <c r="AF179" s="12"/>
      <c r="AG179" s="10">
        <f>+Risultati!M178+Risultati!P178+Risultati!Q178</f>
        <v>0</v>
      </c>
      <c r="AH179" s="12" t="str">
        <f t="shared" si="142"/>
        <v>0</v>
      </c>
      <c r="AI179" s="12"/>
      <c r="AJ179" s="13">
        <f t="shared" si="155"/>
        <v>0</v>
      </c>
      <c r="AK179" s="11" t="str">
        <f t="shared" si="143"/>
        <v>0</v>
      </c>
      <c r="AL179" s="12"/>
      <c r="AM179" s="10">
        <f>+Risultati!N178</f>
        <v>0</v>
      </c>
      <c r="AN179" s="12" t="str">
        <f t="shared" si="144"/>
        <v>0</v>
      </c>
      <c r="AO179" s="12"/>
      <c r="AP179" s="10">
        <f t="shared" si="156"/>
        <v>0</v>
      </c>
      <c r="AQ179" s="41" t="str">
        <f t="shared" si="145"/>
        <v>0</v>
      </c>
      <c r="AR179" s="12"/>
      <c r="AS179" s="10">
        <f>+Risultati!O178</f>
        <v>0</v>
      </c>
      <c r="AT179" s="12" t="str">
        <f t="shared" si="146"/>
        <v>0</v>
      </c>
      <c r="AU179" s="12"/>
      <c r="AV179" s="10">
        <f t="shared" si="157"/>
        <v>0</v>
      </c>
      <c r="AW179" s="12" t="str">
        <f t="shared" si="147"/>
        <v>0</v>
      </c>
      <c r="AX179" s="12"/>
      <c r="AY179" s="10">
        <f>+Risultati!R178+Risultati!S178</f>
        <v>0</v>
      </c>
      <c r="AZ179" s="12" t="str">
        <f t="shared" si="148"/>
        <v>0</v>
      </c>
      <c r="BA179" s="12"/>
      <c r="BB179" s="10">
        <f>+Risultati!T178</f>
        <v>0</v>
      </c>
      <c r="BC179" s="12" t="str">
        <f t="shared" si="149"/>
        <v>0</v>
      </c>
      <c r="BD179" s="12"/>
      <c r="BE179" s="10">
        <f>+Risultati!U178</f>
        <v>0</v>
      </c>
      <c r="BF179" s="12" t="str">
        <f t="shared" si="150"/>
        <v>0</v>
      </c>
      <c r="BG179" s="12"/>
      <c r="BH179" s="10">
        <f t="shared" si="158"/>
        <v>0</v>
      </c>
      <c r="BI179" s="12" t="str">
        <f t="shared" si="151"/>
        <v>0</v>
      </c>
      <c r="BK179" s="16">
        <f>IF(ISNUMBER(Risultati!X178/100),(Risultati!X178/100))</f>
        <v>0</v>
      </c>
      <c r="BL179" s="16">
        <f>IF(ISNUMBER(Risultati!Y178/100),(Risultati!Y178/100))</f>
        <v>0</v>
      </c>
      <c r="BM179" s="16">
        <f>IF(ISNUMBER(Risultati!Z178/100),(Risultati!Z178/100))</f>
        <v>0</v>
      </c>
      <c r="BN179" s="16">
        <f>IF(AND(Risultati!AY178&lt;0,calcoli!AP179&lt;0),-IF(ISNUMBER(Risultati!AA178/100),(Risultati!AA178/100)),IF(ISNUMBER(Risultati!AA178/100),(Risultati!AA178/100)))</f>
        <v>0</v>
      </c>
      <c r="BO179" s="16" t="str">
        <f t="shared" si="132"/>
        <v>0</v>
      </c>
      <c r="BP179" s="16" t="str">
        <f>IF(Risultati!AB178&gt;0,(AV179/Risultati!AB178),"0")</f>
        <v>0</v>
      </c>
      <c r="BQ179" s="16" t="str">
        <f>IF(Risultati!AG178&lt;&gt;0,(BH179/Risultati!AG178),"0")</f>
        <v>0</v>
      </c>
      <c r="BR179" s="16" t="str">
        <f t="shared" si="133"/>
        <v>0</v>
      </c>
      <c r="BS179" s="14" t="str">
        <f>IF(Risultati!AB178&gt;0,(Risultati!G178/Risultati!AB178),"0")</f>
        <v>0</v>
      </c>
      <c r="BT179" s="15" t="str">
        <f>IF(Risultati!AG178&lt;&gt;0,(Risultati!AB178/Risultati!AG178),"0")</f>
        <v>0</v>
      </c>
      <c r="BU179" s="23" t="str">
        <f>IF(AND(Risultati!G178&gt;0,(Risultati!AE178-Risultati!AF178)&gt;=0),((Risultati!AE178-Risultati!AF178)/Risultati!G178*360),"0")</f>
        <v>0</v>
      </c>
      <c r="BV179" s="21" t="str">
        <f>IF(OR(E179="abbreviato",Risultati!G178=0),"0",((Risultati!AC178+Risultati!AD178)/Risultati!G178*360))</f>
        <v>0</v>
      </c>
      <c r="BW179" s="21" t="str">
        <f>IF(OR(E179="abbreviato",Risultati!G178=0,SUM(Risultati!I178+Risultati!K178+Risultati!M178)=0),"0",(((Risultati!AH178+Risultati!AI178)/(Risultati!I178+Risultati!K178+Risultati!N178)*360)))</f>
        <v>0</v>
      </c>
      <c r="BX179" s="16" t="str">
        <f>IF(Risultati!AB178&gt;0,(+Risultati!AG178/Risultati!AB178),"0")</f>
        <v>0</v>
      </c>
      <c r="BY179" s="22" t="str">
        <f>IF(OR(E179="abbreviato",Risultati!G178=0),"0",(((Risultati!AK178-(Risultati!AL178+Risultati!AM178))/Risultati!G178)))</f>
        <v>0</v>
      </c>
      <c r="BZ179" s="16" t="str">
        <f>IF(Risultati!G178&gt;0,(Risultati!AJ178/Risultati!G178),"0")</f>
        <v>0</v>
      </c>
      <c r="CA179" s="8"/>
      <c r="CB179" s="10">
        <f>+Risultati!AP178</f>
        <v>0</v>
      </c>
      <c r="CC179" s="31" t="str">
        <f t="shared" si="159"/>
        <v>0</v>
      </c>
      <c r="CD179" s="10">
        <f>+Risultati!AQ178</f>
        <v>0</v>
      </c>
      <c r="CE179" s="31" t="str">
        <f t="shared" si="160"/>
        <v>0</v>
      </c>
      <c r="CF179" s="10">
        <f>+Risultati!AR178</f>
        <v>0</v>
      </c>
      <c r="CG179" s="31" t="str">
        <f t="shared" si="161"/>
        <v>0</v>
      </c>
      <c r="CH179" s="10">
        <f>+Risultati!AS178</f>
        <v>0</v>
      </c>
      <c r="CI179" s="31" t="str">
        <f t="shared" si="162"/>
        <v>0</v>
      </c>
      <c r="CJ179" s="10">
        <f t="shared" si="163"/>
        <v>0</v>
      </c>
      <c r="CK179" s="31" t="str">
        <f t="shared" si="164"/>
        <v>0</v>
      </c>
      <c r="CL179" s="10">
        <f>+Risultati!AE178+Risultati!AF178</f>
        <v>0</v>
      </c>
      <c r="CM179" s="31" t="str">
        <f t="shared" si="165"/>
        <v>0</v>
      </c>
      <c r="CN179" s="10">
        <f>+Risultati!AT178</f>
        <v>0</v>
      </c>
      <c r="CO179" s="31" t="str">
        <f t="shared" si="166"/>
        <v>0</v>
      </c>
      <c r="CP179" s="10">
        <f>+Risultati!AU178</f>
        <v>0</v>
      </c>
      <c r="CQ179" s="31" t="str">
        <f t="shared" si="167"/>
        <v>0</v>
      </c>
      <c r="CR179" s="10">
        <f>+Risultati!AL178</f>
        <v>0</v>
      </c>
      <c r="CS179" s="31" t="str">
        <f t="shared" si="168"/>
        <v>0</v>
      </c>
      <c r="CT179" s="10">
        <f t="shared" si="169"/>
        <v>0</v>
      </c>
      <c r="CU179" s="31" t="str">
        <f t="shared" si="170"/>
        <v>0</v>
      </c>
      <c r="CV179" s="10">
        <f>+Risultati!AX178</f>
        <v>0</v>
      </c>
      <c r="CW179" s="31" t="str">
        <f t="shared" si="171"/>
        <v>0</v>
      </c>
      <c r="CX179" s="10">
        <f t="shared" si="172"/>
        <v>0</v>
      </c>
      <c r="CY179" s="31" t="str">
        <f t="shared" si="173"/>
        <v>0</v>
      </c>
      <c r="CZ179" s="10">
        <f>+Risultati!AG178</f>
        <v>0</v>
      </c>
      <c r="DA179" s="31" t="str">
        <f t="shared" si="174"/>
        <v>0</v>
      </c>
      <c r="DB179" s="10">
        <f t="shared" si="175"/>
        <v>0</v>
      </c>
      <c r="DC179" s="31" t="str">
        <f t="shared" si="176"/>
        <v>0</v>
      </c>
      <c r="DD179" s="10">
        <f>+Risultati!AV178</f>
        <v>0</v>
      </c>
      <c r="DE179" s="31" t="str">
        <f t="shared" si="177"/>
        <v>0</v>
      </c>
      <c r="DF179" s="10">
        <f>+Risultati!AJ178</f>
        <v>0</v>
      </c>
      <c r="DG179" s="31" t="str">
        <f t="shared" si="178"/>
        <v>0</v>
      </c>
      <c r="DH179" s="10">
        <f t="shared" si="179"/>
        <v>0</v>
      </c>
      <c r="DI179" s="31" t="str">
        <f t="shared" si="180"/>
        <v>0</v>
      </c>
      <c r="DJ179" s="10">
        <f>+Risultati!AW178</f>
        <v>0</v>
      </c>
      <c r="DK179" s="31" t="str">
        <f t="shared" si="181"/>
        <v>0</v>
      </c>
      <c r="DL179" s="10">
        <f t="shared" si="152"/>
        <v>0</v>
      </c>
      <c r="DM179" s="31" t="str">
        <f t="shared" si="182"/>
        <v>0</v>
      </c>
      <c r="DO179" s="30"/>
      <c r="DP179" s="30"/>
    </row>
    <row r="180" spans="1:120" x14ac:dyDescent="0.2">
      <c r="A180" s="5"/>
      <c r="B180" s="6">
        <f>+Risultati!B179</f>
        <v>0</v>
      </c>
      <c r="C180" s="6">
        <f>+Risultati!C179</f>
        <v>0</v>
      </c>
      <c r="D180" s="26" t="str">
        <f>IF(YEAR(Risultati!D179)=1900,(MID(Risultati!$AP$1,29,4)),YEAR(Risultati!D179))</f>
        <v/>
      </c>
      <c r="E180" s="6">
        <f>+Risultati!E179</f>
        <v>0</v>
      </c>
      <c r="F180" s="8" t="e">
        <f>(LEFT(Risultati!AN179,2)&amp;"-")&amp;VLOOKUP((LEFT(Risultati!AN179,2)),ateco!$B$4:$C$93,2,FALSE)</f>
        <v>#N/A</v>
      </c>
      <c r="G180" s="8" t="str">
        <f>SUBSTITUTE((Risultati!AN179&amp;"-"&amp;Risultati!AO179),",",";")</f>
        <v>-</v>
      </c>
      <c r="I180" s="10">
        <f>+Risultati!G179</f>
        <v>0</v>
      </c>
      <c r="J180" s="11" t="str">
        <f t="shared" si="134"/>
        <v>0</v>
      </c>
      <c r="K180" s="12"/>
      <c r="L180" s="10">
        <f>+Risultati!G179+Risultati!H179</f>
        <v>0</v>
      </c>
      <c r="M180" s="11" t="str">
        <f t="shared" si="135"/>
        <v>0</v>
      </c>
      <c r="N180" s="12"/>
      <c r="O180" s="10">
        <f>+Risultati!I179+Risultati!J179</f>
        <v>0</v>
      </c>
      <c r="P180" s="11" t="str">
        <f t="shared" si="136"/>
        <v>0</v>
      </c>
      <c r="Q180" s="12"/>
      <c r="R180" s="13">
        <f t="shared" si="153"/>
        <v>0</v>
      </c>
      <c r="S180" s="11" t="str">
        <f t="shared" si="137"/>
        <v>0</v>
      </c>
      <c r="T180" s="12"/>
      <c r="U180" s="10">
        <f>+Risultati!F179-(Risultati!G179+Risultati!H179)</f>
        <v>0</v>
      </c>
      <c r="V180" s="12" t="str">
        <f t="shared" si="138"/>
        <v>0</v>
      </c>
      <c r="W180" s="12"/>
      <c r="X180" s="10">
        <f t="shared" si="154"/>
        <v>0</v>
      </c>
      <c r="Y180" s="12" t="str">
        <f t="shared" si="139"/>
        <v>0</v>
      </c>
      <c r="Z180" s="12"/>
      <c r="AA180" s="10">
        <f>+Risultati!K179</f>
        <v>0</v>
      </c>
      <c r="AB180" s="12" t="str">
        <f t="shared" si="140"/>
        <v>0</v>
      </c>
      <c r="AC180" s="12"/>
      <c r="AD180" s="10">
        <f>+Risultati!L179</f>
        <v>0</v>
      </c>
      <c r="AE180" s="12" t="str">
        <f t="shared" si="141"/>
        <v>0</v>
      </c>
      <c r="AF180" s="12"/>
      <c r="AG180" s="10">
        <f>+Risultati!M179+Risultati!P179+Risultati!Q179</f>
        <v>0</v>
      </c>
      <c r="AH180" s="12" t="str">
        <f t="shared" si="142"/>
        <v>0</v>
      </c>
      <c r="AI180" s="12"/>
      <c r="AJ180" s="13">
        <f t="shared" si="155"/>
        <v>0</v>
      </c>
      <c r="AK180" s="11" t="str">
        <f t="shared" si="143"/>
        <v>0</v>
      </c>
      <c r="AL180" s="12"/>
      <c r="AM180" s="10">
        <f>+Risultati!N179</f>
        <v>0</v>
      </c>
      <c r="AN180" s="12" t="str">
        <f t="shared" si="144"/>
        <v>0</v>
      </c>
      <c r="AO180" s="12"/>
      <c r="AP180" s="10">
        <f t="shared" si="156"/>
        <v>0</v>
      </c>
      <c r="AQ180" s="41" t="str">
        <f t="shared" si="145"/>
        <v>0</v>
      </c>
      <c r="AR180" s="12"/>
      <c r="AS180" s="10">
        <f>+Risultati!O179</f>
        <v>0</v>
      </c>
      <c r="AT180" s="12" t="str">
        <f t="shared" si="146"/>
        <v>0</v>
      </c>
      <c r="AU180" s="12"/>
      <c r="AV180" s="10">
        <f t="shared" si="157"/>
        <v>0</v>
      </c>
      <c r="AW180" s="12" t="str">
        <f t="shared" si="147"/>
        <v>0</v>
      </c>
      <c r="AX180" s="12"/>
      <c r="AY180" s="10">
        <f>+Risultati!R179+Risultati!S179</f>
        <v>0</v>
      </c>
      <c r="AZ180" s="12" t="str">
        <f t="shared" si="148"/>
        <v>0</v>
      </c>
      <c r="BA180" s="12"/>
      <c r="BB180" s="10">
        <f>+Risultati!T179</f>
        <v>0</v>
      </c>
      <c r="BC180" s="12" t="str">
        <f t="shared" si="149"/>
        <v>0</v>
      </c>
      <c r="BD180" s="12"/>
      <c r="BE180" s="10">
        <f>+Risultati!U179</f>
        <v>0</v>
      </c>
      <c r="BF180" s="12" t="str">
        <f t="shared" si="150"/>
        <v>0</v>
      </c>
      <c r="BG180" s="12"/>
      <c r="BH180" s="10">
        <f t="shared" si="158"/>
        <v>0</v>
      </c>
      <c r="BI180" s="12" t="str">
        <f t="shared" si="151"/>
        <v>0</v>
      </c>
      <c r="BK180" s="16">
        <f>IF(ISNUMBER(Risultati!X179/100),(Risultati!X179/100))</f>
        <v>0</v>
      </c>
      <c r="BL180" s="16">
        <f>IF(ISNUMBER(Risultati!Y179/100),(Risultati!Y179/100))</f>
        <v>0</v>
      </c>
      <c r="BM180" s="16">
        <f>IF(ISNUMBER(Risultati!Z179/100),(Risultati!Z179/100))</f>
        <v>0</v>
      </c>
      <c r="BN180" s="16">
        <f>IF(AND(Risultati!AY179&lt;0,calcoli!AP180&lt;0),-IF(ISNUMBER(Risultati!AA179/100),(Risultati!AA179/100)),IF(ISNUMBER(Risultati!AA179/100),(Risultati!AA179/100)))</f>
        <v>0</v>
      </c>
      <c r="BO180" s="16" t="str">
        <f t="shared" si="132"/>
        <v>0</v>
      </c>
      <c r="BP180" s="16" t="str">
        <f>IF(Risultati!AB179&gt;0,(AV180/Risultati!AB179),"0")</f>
        <v>0</v>
      </c>
      <c r="BQ180" s="16" t="str">
        <f>IF(Risultati!AG179&lt;&gt;0,(BH180/Risultati!AG179),"0")</f>
        <v>0</v>
      </c>
      <c r="BR180" s="16" t="str">
        <f t="shared" si="133"/>
        <v>0</v>
      </c>
      <c r="BS180" s="14" t="str">
        <f>IF(Risultati!AB179&gt;0,(Risultati!G179/Risultati!AB179),"0")</f>
        <v>0</v>
      </c>
      <c r="BT180" s="15" t="str">
        <f>IF(Risultati!AG179&lt;&gt;0,(Risultati!AB179/Risultati!AG179),"0")</f>
        <v>0</v>
      </c>
      <c r="BU180" s="23" t="str">
        <f>IF(AND(Risultati!G179&gt;0,(Risultati!AE179-Risultati!AF179)&gt;=0),((Risultati!AE179-Risultati!AF179)/Risultati!G179*360),"0")</f>
        <v>0</v>
      </c>
      <c r="BV180" s="21" t="str">
        <f>IF(OR(E180="abbreviato",Risultati!G179=0),"0",((Risultati!AC179+Risultati!AD179)/Risultati!G179*360))</f>
        <v>0</v>
      </c>
      <c r="BW180" s="21" t="str">
        <f>IF(OR(E180="abbreviato",Risultati!G179=0,SUM(Risultati!I179+Risultati!K179+Risultati!M179)=0),"0",(((Risultati!AH179+Risultati!AI179)/(Risultati!I179+Risultati!K179+Risultati!N179)*360)))</f>
        <v>0</v>
      </c>
      <c r="BX180" s="16" t="str">
        <f>IF(Risultati!AB179&gt;0,(+Risultati!AG179/Risultati!AB179),"0")</f>
        <v>0</v>
      </c>
      <c r="BY180" s="22" t="str">
        <f>IF(OR(E180="abbreviato",Risultati!G179=0),"0",(((Risultati!AK179-(Risultati!AL179+Risultati!AM179))/Risultati!G179)))</f>
        <v>0</v>
      </c>
      <c r="BZ180" s="16" t="str">
        <f>IF(Risultati!G179&gt;0,(Risultati!AJ179/Risultati!G179),"0")</f>
        <v>0</v>
      </c>
      <c r="CA180" s="8"/>
      <c r="CB180" s="10">
        <f>+Risultati!AP179</f>
        <v>0</v>
      </c>
      <c r="CC180" s="31" t="str">
        <f t="shared" si="159"/>
        <v>0</v>
      </c>
      <c r="CD180" s="10">
        <f>+Risultati!AQ179</f>
        <v>0</v>
      </c>
      <c r="CE180" s="31" t="str">
        <f t="shared" si="160"/>
        <v>0</v>
      </c>
      <c r="CF180" s="10">
        <f>+Risultati!AR179</f>
        <v>0</v>
      </c>
      <c r="CG180" s="31" t="str">
        <f t="shared" si="161"/>
        <v>0</v>
      </c>
      <c r="CH180" s="10">
        <f>+Risultati!AS179</f>
        <v>0</v>
      </c>
      <c r="CI180" s="31" t="str">
        <f t="shared" si="162"/>
        <v>0</v>
      </c>
      <c r="CJ180" s="10">
        <f t="shared" si="163"/>
        <v>0</v>
      </c>
      <c r="CK180" s="31" t="str">
        <f t="shared" si="164"/>
        <v>0</v>
      </c>
      <c r="CL180" s="10">
        <f>+Risultati!AE179+Risultati!AF179</f>
        <v>0</v>
      </c>
      <c r="CM180" s="31" t="str">
        <f t="shared" si="165"/>
        <v>0</v>
      </c>
      <c r="CN180" s="10">
        <f>+Risultati!AT179</f>
        <v>0</v>
      </c>
      <c r="CO180" s="31" t="str">
        <f t="shared" si="166"/>
        <v>0</v>
      </c>
      <c r="CP180" s="10">
        <f>+Risultati!AU179</f>
        <v>0</v>
      </c>
      <c r="CQ180" s="31" t="str">
        <f t="shared" si="167"/>
        <v>0</v>
      </c>
      <c r="CR180" s="10">
        <f>+Risultati!AL179</f>
        <v>0</v>
      </c>
      <c r="CS180" s="31" t="str">
        <f t="shared" si="168"/>
        <v>0</v>
      </c>
      <c r="CT180" s="10">
        <f t="shared" si="169"/>
        <v>0</v>
      </c>
      <c r="CU180" s="31" t="str">
        <f t="shared" si="170"/>
        <v>0</v>
      </c>
      <c r="CV180" s="10">
        <f>+Risultati!AX179</f>
        <v>0</v>
      </c>
      <c r="CW180" s="31" t="str">
        <f t="shared" si="171"/>
        <v>0</v>
      </c>
      <c r="CX180" s="10">
        <f t="shared" si="172"/>
        <v>0</v>
      </c>
      <c r="CY180" s="31" t="str">
        <f t="shared" si="173"/>
        <v>0</v>
      </c>
      <c r="CZ180" s="10">
        <f>+Risultati!AG179</f>
        <v>0</v>
      </c>
      <c r="DA180" s="31" t="str">
        <f t="shared" si="174"/>
        <v>0</v>
      </c>
      <c r="DB180" s="10">
        <f t="shared" si="175"/>
        <v>0</v>
      </c>
      <c r="DC180" s="31" t="str">
        <f t="shared" si="176"/>
        <v>0</v>
      </c>
      <c r="DD180" s="10">
        <f>+Risultati!AV179</f>
        <v>0</v>
      </c>
      <c r="DE180" s="31" t="str">
        <f t="shared" si="177"/>
        <v>0</v>
      </c>
      <c r="DF180" s="10">
        <f>+Risultati!AJ179</f>
        <v>0</v>
      </c>
      <c r="DG180" s="31" t="str">
        <f t="shared" si="178"/>
        <v>0</v>
      </c>
      <c r="DH180" s="10">
        <f t="shared" si="179"/>
        <v>0</v>
      </c>
      <c r="DI180" s="31" t="str">
        <f t="shared" si="180"/>
        <v>0</v>
      </c>
      <c r="DJ180" s="10">
        <f>+Risultati!AW179</f>
        <v>0</v>
      </c>
      <c r="DK180" s="31" t="str">
        <f t="shared" si="181"/>
        <v>0</v>
      </c>
      <c r="DL180" s="10">
        <f t="shared" si="152"/>
        <v>0</v>
      </c>
      <c r="DM180" s="31" t="str">
        <f t="shared" si="182"/>
        <v>0</v>
      </c>
      <c r="DO180" s="30"/>
      <c r="DP180" s="30"/>
    </row>
    <row r="181" spans="1:120" x14ac:dyDescent="0.2">
      <c r="A181" s="5"/>
      <c r="B181" s="6">
        <f>+Risultati!B180</f>
        <v>0</v>
      </c>
      <c r="C181" s="6">
        <f>+Risultati!C180</f>
        <v>0</v>
      </c>
      <c r="D181" s="26" t="str">
        <f>IF(YEAR(Risultati!D180)=1900,(MID(Risultati!$AP$1,29,4)),YEAR(Risultati!D180))</f>
        <v/>
      </c>
      <c r="E181" s="6">
        <f>+Risultati!E180</f>
        <v>0</v>
      </c>
      <c r="F181" s="8" t="e">
        <f>(LEFT(Risultati!AN180,2)&amp;"-")&amp;VLOOKUP((LEFT(Risultati!AN180,2)),ateco!$B$4:$C$93,2,FALSE)</f>
        <v>#N/A</v>
      </c>
      <c r="G181" s="8" t="str">
        <f>SUBSTITUTE((Risultati!AN180&amp;"-"&amp;Risultati!AO180),",",";")</f>
        <v>-</v>
      </c>
      <c r="I181" s="10">
        <f>+Risultati!G180</f>
        <v>0</v>
      </c>
      <c r="J181" s="11" t="str">
        <f t="shared" si="134"/>
        <v>0</v>
      </c>
      <c r="K181" s="12"/>
      <c r="L181" s="10">
        <f>+Risultati!G180+Risultati!H180</f>
        <v>0</v>
      </c>
      <c r="M181" s="11" t="str">
        <f t="shared" si="135"/>
        <v>0</v>
      </c>
      <c r="N181" s="12"/>
      <c r="O181" s="10">
        <f>+Risultati!I180+Risultati!J180</f>
        <v>0</v>
      </c>
      <c r="P181" s="11" t="str">
        <f t="shared" si="136"/>
        <v>0</v>
      </c>
      <c r="Q181" s="12"/>
      <c r="R181" s="13">
        <f t="shared" si="153"/>
        <v>0</v>
      </c>
      <c r="S181" s="11" t="str">
        <f t="shared" si="137"/>
        <v>0</v>
      </c>
      <c r="T181" s="12"/>
      <c r="U181" s="10">
        <f>+Risultati!F180-(Risultati!G180+Risultati!H180)</f>
        <v>0</v>
      </c>
      <c r="V181" s="12" t="str">
        <f t="shared" si="138"/>
        <v>0</v>
      </c>
      <c r="W181" s="12"/>
      <c r="X181" s="10">
        <f t="shared" si="154"/>
        <v>0</v>
      </c>
      <c r="Y181" s="12" t="str">
        <f t="shared" si="139"/>
        <v>0</v>
      </c>
      <c r="Z181" s="12"/>
      <c r="AA181" s="10">
        <f>+Risultati!K180</f>
        <v>0</v>
      </c>
      <c r="AB181" s="12" t="str">
        <f t="shared" si="140"/>
        <v>0</v>
      </c>
      <c r="AC181" s="12"/>
      <c r="AD181" s="10">
        <f>+Risultati!L180</f>
        <v>0</v>
      </c>
      <c r="AE181" s="12" t="str">
        <f t="shared" si="141"/>
        <v>0</v>
      </c>
      <c r="AF181" s="12"/>
      <c r="AG181" s="10">
        <f>+Risultati!M180+Risultati!P180+Risultati!Q180</f>
        <v>0</v>
      </c>
      <c r="AH181" s="12" t="str">
        <f t="shared" si="142"/>
        <v>0</v>
      </c>
      <c r="AI181" s="12"/>
      <c r="AJ181" s="13">
        <f t="shared" si="155"/>
        <v>0</v>
      </c>
      <c r="AK181" s="11" t="str">
        <f t="shared" si="143"/>
        <v>0</v>
      </c>
      <c r="AL181" s="12"/>
      <c r="AM181" s="10">
        <f>+Risultati!N180</f>
        <v>0</v>
      </c>
      <c r="AN181" s="12" t="str">
        <f t="shared" si="144"/>
        <v>0</v>
      </c>
      <c r="AO181" s="12"/>
      <c r="AP181" s="10">
        <f t="shared" si="156"/>
        <v>0</v>
      </c>
      <c r="AQ181" s="41" t="str">
        <f t="shared" si="145"/>
        <v>0</v>
      </c>
      <c r="AR181" s="12"/>
      <c r="AS181" s="10">
        <f>+Risultati!O180</f>
        <v>0</v>
      </c>
      <c r="AT181" s="12" t="str">
        <f t="shared" si="146"/>
        <v>0</v>
      </c>
      <c r="AU181" s="12"/>
      <c r="AV181" s="10">
        <f t="shared" si="157"/>
        <v>0</v>
      </c>
      <c r="AW181" s="12" t="str">
        <f t="shared" si="147"/>
        <v>0</v>
      </c>
      <c r="AX181" s="12"/>
      <c r="AY181" s="10">
        <f>+Risultati!R180+Risultati!S180</f>
        <v>0</v>
      </c>
      <c r="AZ181" s="12" t="str">
        <f t="shared" si="148"/>
        <v>0</v>
      </c>
      <c r="BA181" s="12"/>
      <c r="BB181" s="10">
        <f>+Risultati!T180</f>
        <v>0</v>
      </c>
      <c r="BC181" s="12" t="str">
        <f t="shared" si="149"/>
        <v>0</v>
      </c>
      <c r="BD181" s="12"/>
      <c r="BE181" s="10">
        <f>+Risultati!U180</f>
        <v>0</v>
      </c>
      <c r="BF181" s="12" t="str">
        <f t="shared" si="150"/>
        <v>0</v>
      </c>
      <c r="BG181" s="12"/>
      <c r="BH181" s="10">
        <f t="shared" si="158"/>
        <v>0</v>
      </c>
      <c r="BI181" s="12" t="str">
        <f t="shared" si="151"/>
        <v>0</v>
      </c>
      <c r="BK181" s="16">
        <f>IF(ISNUMBER(Risultati!X180/100),(Risultati!X180/100))</f>
        <v>0</v>
      </c>
      <c r="BL181" s="16">
        <f>IF(ISNUMBER(Risultati!Y180/100),(Risultati!Y180/100))</f>
        <v>0</v>
      </c>
      <c r="BM181" s="16">
        <f>IF(ISNUMBER(Risultati!Z180/100),(Risultati!Z180/100))</f>
        <v>0</v>
      </c>
      <c r="BN181" s="16">
        <f>IF(AND(Risultati!AY180&lt;0,calcoli!AP181&lt;0),-IF(ISNUMBER(Risultati!AA180/100),(Risultati!AA180/100)),IF(ISNUMBER(Risultati!AA180/100),(Risultati!AA180/100)))</f>
        <v>0</v>
      </c>
      <c r="BO181" s="16" t="str">
        <f t="shared" si="132"/>
        <v>0</v>
      </c>
      <c r="BP181" s="16" t="str">
        <f>IF(Risultati!AB180&gt;0,(AV181/Risultati!AB180),"0")</f>
        <v>0</v>
      </c>
      <c r="BQ181" s="16" t="str">
        <f>IF(Risultati!AG180&lt;&gt;0,(BH181/Risultati!AG180),"0")</f>
        <v>0</v>
      </c>
      <c r="BR181" s="16" t="str">
        <f t="shared" si="133"/>
        <v>0</v>
      </c>
      <c r="BS181" s="14" t="str">
        <f>IF(Risultati!AB180&gt;0,(Risultati!G180/Risultati!AB180),"0")</f>
        <v>0</v>
      </c>
      <c r="BT181" s="15" t="str">
        <f>IF(Risultati!AG180&lt;&gt;0,(Risultati!AB180/Risultati!AG180),"0")</f>
        <v>0</v>
      </c>
      <c r="BU181" s="23" t="str">
        <f>IF(AND(Risultati!G180&gt;0,(Risultati!AE180-Risultati!AF180)&gt;=0),((Risultati!AE180-Risultati!AF180)/Risultati!G180*360),"0")</f>
        <v>0</v>
      </c>
      <c r="BV181" s="21" t="str">
        <f>IF(OR(E181="abbreviato",Risultati!G180=0),"0",((Risultati!AC180+Risultati!AD180)/Risultati!G180*360))</f>
        <v>0</v>
      </c>
      <c r="BW181" s="21" t="str">
        <f>IF(OR(E181="abbreviato",Risultati!G180=0,SUM(Risultati!I180+Risultati!K180+Risultati!M180)=0),"0",(((Risultati!AH180+Risultati!AI180)/(Risultati!I180+Risultati!K180+Risultati!N180)*360)))</f>
        <v>0</v>
      </c>
      <c r="BX181" s="16" t="str">
        <f>IF(Risultati!AB180&gt;0,(+Risultati!AG180/Risultati!AB180),"0")</f>
        <v>0</v>
      </c>
      <c r="BY181" s="22" t="str">
        <f>IF(OR(E181="abbreviato",Risultati!G180=0),"0",(((Risultati!AK180-(Risultati!AL180+Risultati!AM180))/Risultati!G180)))</f>
        <v>0</v>
      </c>
      <c r="BZ181" s="16" t="str">
        <f>IF(Risultati!G180&gt;0,(Risultati!AJ180/Risultati!G180),"0")</f>
        <v>0</v>
      </c>
      <c r="CA181" s="8"/>
      <c r="CB181" s="10">
        <f>+Risultati!AP180</f>
        <v>0</v>
      </c>
      <c r="CC181" s="31" t="str">
        <f t="shared" si="159"/>
        <v>0</v>
      </c>
      <c r="CD181" s="10">
        <f>+Risultati!AQ180</f>
        <v>0</v>
      </c>
      <c r="CE181" s="31" t="str">
        <f t="shared" si="160"/>
        <v>0</v>
      </c>
      <c r="CF181" s="10">
        <f>+Risultati!AR180</f>
        <v>0</v>
      </c>
      <c r="CG181" s="31" t="str">
        <f t="shared" si="161"/>
        <v>0</v>
      </c>
      <c r="CH181" s="10">
        <f>+Risultati!AS180</f>
        <v>0</v>
      </c>
      <c r="CI181" s="31" t="str">
        <f t="shared" si="162"/>
        <v>0</v>
      </c>
      <c r="CJ181" s="10">
        <f t="shared" si="163"/>
        <v>0</v>
      </c>
      <c r="CK181" s="31" t="str">
        <f t="shared" si="164"/>
        <v>0</v>
      </c>
      <c r="CL181" s="10">
        <f>+Risultati!AE180+Risultati!AF180</f>
        <v>0</v>
      </c>
      <c r="CM181" s="31" t="str">
        <f t="shared" si="165"/>
        <v>0</v>
      </c>
      <c r="CN181" s="10">
        <f>+Risultati!AT180</f>
        <v>0</v>
      </c>
      <c r="CO181" s="31" t="str">
        <f t="shared" si="166"/>
        <v>0</v>
      </c>
      <c r="CP181" s="10">
        <f>+Risultati!AU180</f>
        <v>0</v>
      </c>
      <c r="CQ181" s="31" t="str">
        <f t="shared" si="167"/>
        <v>0</v>
      </c>
      <c r="CR181" s="10">
        <f>+Risultati!AL180</f>
        <v>0</v>
      </c>
      <c r="CS181" s="31" t="str">
        <f t="shared" si="168"/>
        <v>0</v>
      </c>
      <c r="CT181" s="10">
        <f t="shared" si="169"/>
        <v>0</v>
      </c>
      <c r="CU181" s="31" t="str">
        <f t="shared" si="170"/>
        <v>0</v>
      </c>
      <c r="CV181" s="10">
        <f>+Risultati!AX180</f>
        <v>0</v>
      </c>
      <c r="CW181" s="31" t="str">
        <f t="shared" si="171"/>
        <v>0</v>
      </c>
      <c r="CX181" s="10">
        <f t="shared" si="172"/>
        <v>0</v>
      </c>
      <c r="CY181" s="31" t="str">
        <f t="shared" si="173"/>
        <v>0</v>
      </c>
      <c r="CZ181" s="10">
        <f>+Risultati!AG180</f>
        <v>0</v>
      </c>
      <c r="DA181" s="31" t="str">
        <f t="shared" si="174"/>
        <v>0</v>
      </c>
      <c r="DB181" s="10">
        <f t="shared" si="175"/>
        <v>0</v>
      </c>
      <c r="DC181" s="31" t="str">
        <f t="shared" si="176"/>
        <v>0</v>
      </c>
      <c r="DD181" s="10">
        <f>+Risultati!AV180</f>
        <v>0</v>
      </c>
      <c r="DE181" s="31" t="str">
        <f t="shared" si="177"/>
        <v>0</v>
      </c>
      <c r="DF181" s="10">
        <f>+Risultati!AJ180</f>
        <v>0</v>
      </c>
      <c r="DG181" s="31" t="str">
        <f t="shared" si="178"/>
        <v>0</v>
      </c>
      <c r="DH181" s="10">
        <f t="shared" si="179"/>
        <v>0</v>
      </c>
      <c r="DI181" s="31" t="str">
        <f t="shared" si="180"/>
        <v>0</v>
      </c>
      <c r="DJ181" s="10">
        <f>+Risultati!AW180</f>
        <v>0</v>
      </c>
      <c r="DK181" s="31" t="str">
        <f t="shared" si="181"/>
        <v>0</v>
      </c>
      <c r="DL181" s="10">
        <f t="shared" si="152"/>
        <v>0</v>
      </c>
      <c r="DM181" s="31" t="str">
        <f t="shared" si="182"/>
        <v>0</v>
      </c>
      <c r="DO181" s="30"/>
      <c r="DP181" s="30"/>
    </row>
    <row r="182" spans="1:120" x14ac:dyDescent="0.2">
      <c r="A182" s="5"/>
      <c r="B182" s="6">
        <f>+Risultati!B181</f>
        <v>0</v>
      </c>
      <c r="C182" s="6">
        <f>+Risultati!C181</f>
        <v>0</v>
      </c>
      <c r="D182" s="26" t="str">
        <f>IF(YEAR(Risultati!D181)=1900,(MID(Risultati!$AP$1,29,4)),YEAR(Risultati!D181))</f>
        <v/>
      </c>
      <c r="E182" s="6">
        <f>+Risultati!E181</f>
        <v>0</v>
      </c>
      <c r="F182" s="8" t="e">
        <f>(LEFT(Risultati!AN181,2)&amp;"-")&amp;VLOOKUP((LEFT(Risultati!AN181,2)),ateco!$B$4:$C$93,2,FALSE)</f>
        <v>#N/A</v>
      </c>
      <c r="G182" s="8" t="str">
        <f>SUBSTITUTE((Risultati!AN181&amp;"-"&amp;Risultati!AO181),",",";")</f>
        <v>-</v>
      </c>
      <c r="I182" s="10">
        <f>+Risultati!G181</f>
        <v>0</v>
      </c>
      <c r="J182" s="11" t="str">
        <f t="shared" si="134"/>
        <v>0</v>
      </c>
      <c r="K182" s="12"/>
      <c r="L182" s="10">
        <f>+Risultati!G181+Risultati!H181</f>
        <v>0</v>
      </c>
      <c r="M182" s="11" t="str">
        <f t="shared" si="135"/>
        <v>0</v>
      </c>
      <c r="N182" s="12"/>
      <c r="O182" s="10">
        <f>+Risultati!I181+Risultati!J181</f>
        <v>0</v>
      </c>
      <c r="P182" s="11" t="str">
        <f t="shared" si="136"/>
        <v>0</v>
      </c>
      <c r="Q182" s="12"/>
      <c r="R182" s="13">
        <f t="shared" si="153"/>
        <v>0</v>
      </c>
      <c r="S182" s="11" t="str">
        <f t="shared" si="137"/>
        <v>0</v>
      </c>
      <c r="T182" s="12"/>
      <c r="U182" s="10">
        <f>+Risultati!F181-(Risultati!G181+Risultati!H181)</f>
        <v>0</v>
      </c>
      <c r="V182" s="12" t="str">
        <f t="shared" si="138"/>
        <v>0</v>
      </c>
      <c r="W182" s="12"/>
      <c r="X182" s="10">
        <f t="shared" si="154"/>
        <v>0</v>
      </c>
      <c r="Y182" s="12" t="str">
        <f t="shared" si="139"/>
        <v>0</v>
      </c>
      <c r="Z182" s="12"/>
      <c r="AA182" s="10">
        <f>+Risultati!K181</f>
        <v>0</v>
      </c>
      <c r="AB182" s="12" t="str">
        <f t="shared" si="140"/>
        <v>0</v>
      </c>
      <c r="AC182" s="12"/>
      <c r="AD182" s="10">
        <f>+Risultati!L181</f>
        <v>0</v>
      </c>
      <c r="AE182" s="12" t="str">
        <f t="shared" si="141"/>
        <v>0</v>
      </c>
      <c r="AF182" s="12"/>
      <c r="AG182" s="10">
        <f>+Risultati!M181+Risultati!P181+Risultati!Q181</f>
        <v>0</v>
      </c>
      <c r="AH182" s="12" t="str">
        <f t="shared" si="142"/>
        <v>0</v>
      </c>
      <c r="AI182" s="12"/>
      <c r="AJ182" s="13">
        <f t="shared" si="155"/>
        <v>0</v>
      </c>
      <c r="AK182" s="11" t="str">
        <f t="shared" si="143"/>
        <v>0</v>
      </c>
      <c r="AL182" s="12"/>
      <c r="AM182" s="10">
        <f>+Risultati!N181</f>
        <v>0</v>
      </c>
      <c r="AN182" s="12" t="str">
        <f t="shared" si="144"/>
        <v>0</v>
      </c>
      <c r="AO182" s="12"/>
      <c r="AP182" s="10">
        <f t="shared" si="156"/>
        <v>0</v>
      </c>
      <c r="AQ182" s="41" t="str">
        <f t="shared" si="145"/>
        <v>0</v>
      </c>
      <c r="AR182" s="12"/>
      <c r="AS182" s="10">
        <f>+Risultati!O181</f>
        <v>0</v>
      </c>
      <c r="AT182" s="12" t="str">
        <f t="shared" si="146"/>
        <v>0</v>
      </c>
      <c r="AU182" s="12"/>
      <c r="AV182" s="10">
        <f t="shared" si="157"/>
        <v>0</v>
      </c>
      <c r="AW182" s="12" t="str">
        <f t="shared" si="147"/>
        <v>0</v>
      </c>
      <c r="AX182" s="12"/>
      <c r="AY182" s="10">
        <f>+Risultati!R181+Risultati!S181</f>
        <v>0</v>
      </c>
      <c r="AZ182" s="12" t="str">
        <f t="shared" si="148"/>
        <v>0</v>
      </c>
      <c r="BA182" s="12"/>
      <c r="BB182" s="10">
        <f>+Risultati!T181</f>
        <v>0</v>
      </c>
      <c r="BC182" s="12" t="str">
        <f t="shared" si="149"/>
        <v>0</v>
      </c>
      <c r="BD182" s="12"/>
      <c r="BE182" s="10">
        <f>+Risultati!U181</f>
        <v>0</v>
      </c>
      <c r="BF182" s="12" t="str">
        <f t="shared" si="150"/>
        <v>0</v>
      </c>
      <c r="BG182" s="12"/>
      <c r="BH182" s="10">
        <f t="shared" si="158"/>
        <v>0</v>
      </c>
      <c r="BI182" s="12" t="str">
        <f t="shared" si="151"/>
        <v>0</v>
      </c>
      <c r="BK182" s="16">
        <f>IF(ISNUMBER(Risultati!X181/100),(Risultati!X181/100))</f>
        <v>0</v>
      </c>
      <c r="BL182" s="16">
        <f>IF(ISNUMBER(Risultati!Y181/100),(Risultati!Y181/100))</f>
        <v>0</v>
      </c>
      <c r="BM182" s="16">
        <f>IF(ISNUMBER(Risultati!Z181/100),(Risultati!Z181/100))</f>
        <v>0</v>
      </c>
      <c r="BN182" s="16">
        <f>IF(AND(Risultati!AY181&lt;0,calcoli!AP182&lt;0),-IF(ISNUMBER(Risultati!AA181/100),(Risultati!AA181/100)),IF(ISNUMBER(Risultati!AA181/100),(Risultati!AA181/100)))</f>
        <v>0</v>
      </c>
      <c r="BO182" s="16" t="str">
        <f t="shared" si="132"/>
        <v>0</v>
      </c>
      <c r="BP182" s="16" t="str">
        <f>IF(Risultati!AB181&gt;0,(AV182/Risultati!AB181),"0")</f>
        <v>0</v>
      </c>
      <c r="BQ182" s="16" t="str">
        <f>IF(Risultati!AG181&lt;&gt;0,(BH182/Risultati!AG181),"0")</f>
        <v>0</v>
      </c>
      <c r="BR182" s="16" t="str">
        <f t="shared" si="133"/>
        <v>0</v>
      </c>
      <c r="BS182" s="14" t="str">
        <f>IF(Risultati!AB181&gt;0,(Risultati!G181/Risultati!AB181),"0")</f>
        <v>0</v>
      </c>
      <c r="BT182" s="15" t="str">
        <f>IF(Risultati!AG181&lt;&gt;0,(Risultati!AB181/Risultati!AG181),"0")</f>
        <v>0</v>
      </c>
      <c r="BU182" s="23" t="str">
        <f>IF(AND(Risultati!G181&gt;0,(Risultati!AE181-Risultati!AF181)&gt;=0),((Risultati!AE181-Risultati!AF181)/Risultati!G181*360),"0")</f>
        <v>0</v>
      </c>
      <c r="BV182" s="21" t="str">
        <f>IF(OR(E182="abbreviato",Risultati!G181=0),"0",((Risultati!AC181+Risultati!AD181)/Risultati!G181*360))</f>
        <v>0</v>
      </c>
      <c r="BW182" s="21" t="str">
        <f>IF(OR(E182="abbreviato",Risultati!G181=0,SUM(Risultati!I181+Risultati!K181+Risultati!M181)=0),"0",(((Risultati!AH181+Risultati!AI181)/(Risultati!I181+Risultati!K181+Risultati!N181)*360)))</f>
        <v>0</v>
      </c>
      <c r="BX182" s="16" t="str">
        <f>IF(Risultati!AB181&gt;0,(+Risultati!AG181/Risultati!AB181),"0")</f>
        <v>0</v>
      </c>
      <c r="BY182" s="22" t="str">
        <f>IF(OR(E182="abbreviato",Risultati!G181=0),"0",(((Risultati!AK181-(Risultati!AL181+Risultati!AM181))/Risultati!G181)))</f>
        <v>0</v>
      </c>
      <c r="BZ182" s="16" t="str">
        <f>IF(Risultati!G181&gt;0,(Risultati!AJ181/Risultati!G181),"0")</f>
        <v>0</v>
      </c>
      <c r="CA182" s="8"/>
      <c r="CB182" s="10">
        <f>+Risultati!AP181</f>
        <v>0</v>
      </c>
      <c r="CC182" s="31" t="str">
        <f t="shared" si="159"/>
        <v>0</v>
      </c>
      <c r="CD182" s="10">
        <f>+Risultati!AQ181</f>
        <v>0</v>
      </c>
      <c r="CE182" s="31" t="str">
        <f t="shared" si="160"/>
        <v>0</v>
      </c>
      <c r="CF182" s="10">
        <f>+Risultati!AR181</f>
        <v>0</v>
      </c>
      <c r="CG182" s="31" t="str">
        <f t="shared" si="161"/>
        <v>0</v>
      </c>
      <c r="CH182" s="10">
        <f>+Risultati!AS181</f>
        <v>0</v>
      </c>
      <c r="CI182" s="31" t="str">
        <f t="shared" si="162"/>
        <v>0</v>
      </c>
      <c r="CJ182" s="10">
        <f t="shared" si="163"/>
        <v>0</v>
      </c>
      <c r="CK182" s="31" t="str">
        <f t="shared" si="164"/>
        <v>0</v>
      </c>
      <c r="CL182" s="10">
        <f>+Risultati!AE181+Risultati!AF181</f>
        <v>0</v>
      </c>
      <c r="CM182" s="31" t="str">
        <f t="shared" si="165"/>
        <v>0</v>
      </c>
      <c r="CN182" s="10">
        <f>+Risultati!AT181</f>
        <v>0</v>
      </c>
      <c r="CO182" s="31" t="str">
        <f t="shared" si="166"/>
        <v>0</v>
      </c>
      <c r="CP182" s="10">
        <f>+Risultati!AU181</f>
        <v>0</v>
      </c>
      <c r="CQ182" s="31" t="str">
        <f t="shared" si="167"/>
        <v>0</v>
      </c>
      <c r="CR182" s="10">
        <f>+Risultati!AL181</f>
        <v>0</v>
      </c>
      <c r="CS182" s="31" t="str">
        <f t="shared" si="168"/>
        <v>0</v>
      </c>
      <c r="CT182" s="10">
        <f t="shared" si="169"/>
        <v>0</v>
      </c>
      <c r="CU182" s="31" t="str">
        <f t="shared" si="170"/>
        <v>0</v>
      </c>
      <c r="CV182" s="10">
        <f>+Risultati!AX181</f>
        <v>0</v>
      </c>
      <c r="CW182" s="31" t="str">
        <f t="shared" si="171"/>
        <v>0</v>
      </c>
      <c r="CX182" s="10">
        <f t="shared" si="172"/>
        <v>0</v>
      </c>
      <c r="CY182" s="31" t="str">
        <f t="shared" si="173"/>
        <v>0</v>
      </c>
      <c r="CZ182" s="10">
        <f>+Risultati!AG181</f>
        <v>0</v>
      </c>
      <c r="DA182" s="31" t="str">
        <f t="shared" si="174"/>
        <v>0</v>
      </c>
      <c r="DB182" s="10">
        <f t="shared" si="175"/>
        <v>0</v>
      </c>
      <c r="DC182" s="31" t="str">
        <f t="shared" si="176"/>
        <v>0</v>
      </c>
      <c r="DD182" s="10">
        <f>+Risultati!AV181</f>
        <v>0</v>
      </c>
      <c r="DE182" s="31" t="str">
        <f t="shared" si="177"/>
        <v>0</v>
      </c>
      <c r="DF182" s="10">
        <f>+Risultati!AJ181</f>
        <v>0</v>
      </c>
      <c r="DG182" s="31" t="str">
        <f t="shared" si="178"/>
        <v>0</v>
      </c>
      <c r="DH182" s="10">
        <f t="shared" si="179"/>
        <v>0</v>
      </c>
      <c r="DI182" s="31" t="str">
        <f t="shared" si="180"/>
        <v>0</v>
      </c>
      <c r="DJ182" s="10">
        <f>+Risultati!AW181</f>
        <v>0</v>
      </c>
      <c r="DK182" s="31" t="str">
        <f t="shared" si="181"/>
        <v>0</v>
      </c>
      <c r="DL182" s="10">
        <f t="shared" si="152"/>
        <v>0</v>
      </c>
      <c r="DM182" s="31" t="str">
        <f t="shared" si="182"/>
        <v>0</v>
      </c>
      <c r="DO182" s="30"/>
      <c r="DP182" s="30"/>
    </row>
    <row r="183" spans="1:120" x14ac:dyDescent="0.2">
      <c r="A183" s="5"/>
      <c r="B183" s="6">
        <f>+Risultati!B182</f>
        <v>0</v>
      </c>
      <c r="C183" s="6">
        <f>+Risultati!C182</f>
        <v>0</v>
      </c>
      <c r="D183" s="26" t="str">
        <f>IF(YEAR(Risultati!D182)=1900,(MID(Risultati!$AP$1,29,4)),YEAR(Risultati!D182))</f>
        <v/>
      </c>
      <c r="E183" s="6">
        <f>+Risultati!E182</f>
        <v>0</v>
      </c>
      <c r="F183" s="8" t="e">
        <f>(LEFT(Risultati!AN182,2)&amp;"-")&amp;VLOOKUP((LEFT(Risultati!AN182,2)),ateco!$B$4:$C$93,2,FALSE)</f>
        <v>#N/A</v>
      </c>
      <c r="G183" s="8" t="str">
        <f>SUBSTITUTE((Risultati!AN182&amp;"-"&amp;Risultati!AO182),",",";")</f>
        <v>-</v>
      </c>
      <c r="I183" s="10">
        <f>+Risultati!G182</f>
        <v>0</v>
      </c>
      <c r="J183" s="11" t="str">
        <f t="shared" si="134"/>
        <v>0</v>
      </c>
      <c r="K183" s="12"/>
      <c r="L183" s="10">
        <f>+Risultati!G182+Risultati!H182</f>
        <v>0</v>
      </c>
      <c r="M183" s="11" t="str">
        <f t="shared" si="135"/>
        <v>0</v>
      </c>
      <c r="N183" s="12"/>
      <c r="O183" s="10">
        <f>+Risultati!I182+Risultati!J182</f>
        <v>0</v>
      </c>
      <c r="P183" s="11" t="str">
        <f t="shared" si="136"/>
        <v>0</v>
      </c>
      <c r="Q183" s="12"/>
      <c r="R183" s="13">
        <f t="shared" si="153"/>
        <v>0</v>
      </c>
      <c r="S183" s="11" t="str">
        <f t="shared" si="137"/>
        <v>0</v>
      </c>
      <c r="T183" s="12"/>
      <c r="U183" s="10">
        <f>+Risultati!F182-(Risultati!G182+Risultati!H182)</f>
        <v>0</v>
      </c>
      <c r="V183" s="12" t="str">
        <f t="shared" si="138"/>
        <v>0</v>
      </c>
      <c r="W183" s="12"/>
      <c r="X183" s="10">
        <f t="shared" si="154"/>
        <v>0</v>
      </c>
      <c r="Y183" s="12" t="str">
        <f t="shared" si="139"/>
        <v>0</v>
      </c>
      <c r="Z183" s="12"/>
      <c r="AA183" s="10">
        <f>+Risultati!K182</f>
        <v>0</v>
      </c>
      <c r="AB183" s="12" t="str">
        <f t="shared" si="140"/>
        <v>0</v>
      </c>
      <c r="AC183" s="12"/>
      <c r="AD183" s="10">
        <f>+Risultati!L182</f>
        <v>0</v>
      </c>
      <c r="AE183" s="12" t="str">
        <f t="shared" si="141"/>
        <v>0</v>
      </c>
      <c r="AF183" s="12"/>
      <c r="AG183" s="10">
        <f>+Risultati!M182+Risultati!P182+Risultati!Q182</f>
        <v>0</v>
      </c>
      <c r="AH183" s="12" t="str">
        <f t="shared" si="142"/>
        <v>0</v>
      </c>
      <c r="AI183" s="12"/>
      <c r="AJ183" s="13">
        <f t="shared" si="155"/>
        <v>0</v>
      </c>
      <c r="AK183" s="11" t="str">
        <f t="shared" si="143"/>
        <v>0</v>
      </c>
      <c r="AL183" s="12"/>
      <c r="AM183" s="10">
        <f>+Risultati!N182</f>
        <v>0</v>
      </c>
      <c r="AN183" s="12" t="str">
        <f t="shared" si="144"/>
        <v>0</v>
      </c>
      <c r="AO183" s="12"/>
      <c r="AP183" s="10">
        <f t="shared" si="156"/>
        <v>0</v>
      </c>
      <c r="AQ183" s="41" t="str">
        <f t="shared" si="145"/>
        <v>0</v>
      </c>
      <c r="AR183" s="12"/>
      <c r="AS183" s="10">
        <f>+Risultati!O182</f>
        <v>0</v>
      </c>
      <c r="AT183" s="12" t="str">
        <f t="shared" si="146"/>
        <v>0</v>
      </c>
      <c r="AU183" s="12"/>
      <c r="AV183" s="10">
        <f t="shared" si="157"/>
        <v>0</v>
      </c>
      <c r="AW183" s="12" t="str">
        <f t="shared" si="147"/>
        <v>0</v>
      </c>
      <c r="AX183" s="12"/>
      <c r="AY183" s="10">
        <f>+Risultati!R182+Risultati!S182</f>
        <v>0</v>
      </c>
      <c r="AZ183" s="12" t="str">
        <f t="shared" si="148"/>
        <v>0</v>
      </c>
      <c r="BA183" s="12"/>
      <c r="BB183" s="10">
        <f>+Risultati!T182</f>
        <v>0</v>
      </c>
      <c r="BC183" s="12" t="str">
        <f t="shared" si="149"/>
        <v>0</v>
      </c>
      <c r="BD183" s="12"/>
      <c r="BE183" s="10">
        <f>+Risultati!U182</f>
        <v>0</v>
      </c>
      <c r="BF183" s="12" t="str">
        <f t="shared" si="150"/>
        <v>0</v>
      </c>
      <c r="BG183" s="12"/>
      <c r="BH183" s="10">
        <f t="shared" si="158"/>
        <v>0</v>
      </c>
      <c r="BI183" s="12" t="str">
        <f t="shared" si="151"/>
        <v>0</v>
      </c>
      <c r="BK183" s="16">
        <f>IF(ISNUMBER(Risultati!X182/100),(Risultati!X182/100))</f>
        <v>0</v>
      </c>
      <c r="BL183" s="16">
        <f>IF(ISNUMBER(Risultati!Y182/100),(Risultati!Y182/100))</f>
        <v>0</v>
      </c>
      <c r="BM183" s="16">
        <f>IF(ISNUMBER(Risultati!Z182/100),(Risultati!Z182/100))</f>
        <v>0</v>
      </c>
      <c r="BN183" s="16">
        <f>IF(AND(Risultati!AY182&lt;0,calcoli!AP183&lt;0),-IF(ISNUMBER(Risultati!AA182/100),(Risultati!AA182/100)),IF(ISNUMBER(Risultati!AA182/100),(Risultati!AA182/100)))</f>
        <v>0</v>
      </c>
      <c r="BO183" s="16" t="str">
        <f t="shared" si="132"/>
        <v>0</v>
      </c>
      <c r="BP183" s="16" t="str">
        <f>IF(Risultati!AB182&gt;0,(AV183/Risultati!AB182),"0")</f>
        <v>0</v>
      </c>
      <c r="BQ183" s="16" t="str">
        <f>IF(Risultati!AG182&lt;&gt;0,(BH183/Risultati!AG182),"0")</f>
        <v>0</v>
      </c>
      <c r="BR183" s="16" t="str">
        <f t="shared" si="133"/>
        <v>0</v>
      </c>
      <c r="BS183" s="14" t="str">
        <f>IF(Risultati!AB182&gt;0,(Risultati!G182/Risultati!AB182),"0")</f>
        <v>0</v>
      </c>
      <c r="BT183" s="15" t="str">
        <f>IF(Risultati!AG182&lt;&gt;0,(Risultati!AB182/Risultati!AG182),"0")</f>
        <v>0</v>
      </c>
      <c r="BU183" s="23" t="str">
        <f>IF(AND(Risultati!G182&gt;0,(Risultati!AE182-Risultati!AF182)&gt;=0),((Risultati!AE182-Risultati!AF182)/Risultati!G182*360),"0")</f>
        <v>0</v>
      </c>
      <c r="BV183" s="21" t="str">
        <f>IF(OR(E183="abbreviato",Risultati!G182=0),"0",((Risultati!AC182+Risultati!AD182)/Risultati!G182*360))</f>
        <v>0</v>
      </c>
      <c r="BW183" s="21" t="str">
        <f>IF(OR(E183="abbreviato",Risultati!G182=0,SUM(Risultati!I182+Risultati!K182+Risultati!M182)=0),"0",(((Risultati!AH182+Risultati!AI182)/(Risultati!I182+Risultati!K182+Risultati!N182)*360)))</f>
        <v>0</v>
      </c>
      <c r="BX183" s="16" t="str">
        <f>IF(Risultati!AB182&gt;0,(+Risultati!AG182/Risultati!AB182),"0")</f>
        <v>0</v>
      </c>
      <c r="BY183" s="22" t="str">
        <f>IF(OR(E183="abbreviato",Risultati!G182=0),"0",(((Risultati!AK182-(Risultati!AL182+Risultati!AM182))/Risultati!G182)))</f>
        <v>0</v>
      </c>
      <c r="BZ183" s="16" t="str">
        <f>IF(Risultati!G182&gt;0,(Risultati!AJ182/Risultati!G182),"0")</f>
        <v>0</v>
      </c>
      <c r="CA183" s="8"/>
      <c r="CB183" s="10">
        <f>+Risultati!AP182</f>
        <v>0</v>
      </c>
      <c r="CC183" s="31" t="str">
        <f t="shared" si="159"/>
        <v>0</v>
      </c>
      <c r="CD183" s="10">
        <f>+Risultati!AQ182</f>
        <v>0</v>
      </c>
      <c r="CE183" s="31" t="str">
        <f t="shared" si="160"/>
        <v>0</v>
      </c>
      <c r="CF183" s="10">
        <f>+Risultati!AR182</f>
        <v>0</v>
      </c>
      <c r="CG183" s="31" t="str">
        <f t="shared" si="161"/>
        <v>0</v>
      </c>
      <c r="CH183" s="10">
        <f>+Risultati!AS182</f>
        <v>0</v>
      </c>
      <c r="CI183" s="31" t="str">
        <f t="shared" si="162"/>
        <v>0</v>
      </c>
      <c r="CJ183" s="10">
        <f t="shared" si="163"/>
        <v>0</v>
      </c>
      <c r="CK183" s="31" t="str">
        <f t="shared" si="164"/>
        <v>0</v>
      </c>
      <c r="CL183" s="10">
        <f>+Risultati!AE182+Risultati!AF182</f>
        <v>0</v>
      </c>
      <c r="CM183" s="31" t="str">
        <f t="shared" si="165"/>
        <v>0</v>
      </c>
      <c r="CN183" s="10">
        <f>+Risultati!AT182</f>
        <v>0</v>
      </c>
      <c r="CO183" s="31" t="str">
        <f t="shared" si="166"/>
        <v>0</v>
      </c>
      <c r="CP183" s="10">
        <f>+Risultati!AU182</f>
        <v>0</v>
      </c>
      <c r="CQ183" s="31" t="str">
        <f t="shared" si="167"/>
        <v>0</v>
      </c>
      <c r="CR183" s="10">
        <f>+Risultati!AL182</f>
        <v>0</v>
      </c>
      <c r="CS183" s="31" t="str">
        <f t="shared" si="168"/>
        <v>0</v>
      </c>
      <c r="CT183" s="10">
        <f t="shared" si="169"/>
        <v>0</v>
      </c>
      <c r="CU183" s="31" t="str">
        <f t="shared" si="170"/>
        <v>0</v>
      </c>
      <c r="CV183" s="10">
        <f>+Risultati!AX182</f>
        <v>0</v>
      </c>
      <c r="CW183" s="31" t="str">
        <f t="shared" si="171"/>
        <v>0</v>
      </c>
      <c r="CX183" s="10">
        <f t="shared" si="172"/>
        <v>0</v>
      </c>
      <c r="CY183" s="31" t="str">
        <f t="shared" si="173"/>
        <v>0</v>
      </c>
      <c r="CZ183" s="10">
        <f>+Risultati!AG182</f>
        <v>0</v>
      </c>
      <c r="DA183" s="31" t="str">
        <f t="shared" si="174"/>
        <v>0</v>
      </c>
      <c r="DB183" s="10">
        <f t="shared" si="175"/>
        <v>0</v>
      </c>
      <c r="DC183" s="31" t="str">
        <f t="shared" si="176"/>
        <v>0</v>
      </c>
      <c r="DD183" s="10">
        <f>+Risultati!AV182</f>
        <v>0</v>
      </c>
      <c r="DE183" s="31" t="str">
        <f t="shared" si="177"/>
        <v>0</v>
      </c>
      <c r="DF183" s="10">
        <f>+Risultati!AJ182</f>
        <v>0</v>
      </c>
      <c r="DG183" s="31" t="str">
        <f t="shared" si="178"/>
        <v>0</v>
      </c>
      <c r="DH183" s="10">
        <f t="shared" si="179"/>
        <v>0</v>
      </c>
      <c r="DI183" s="31" t="str">
        <f t="shared" si="180"/>
        <v>0</v>
      </c>
      <c r="DJ183" s="10">
        <f>+Risultati!AW182</f>
        <v>0</v>
      </c>
      <c r="DK183" s="31" t="str">
        <f t="shared" si="181"/>
        <v>0</v>
      </c>
      <c r="DL183" s="10">
        <f t="shared" si="152"/>
        <v>0</v>
      </c>
      <c r="DM183" s="31" t="str">
        <f t="shared" si="182"/>
        <v>0</v>
      </c>
      <c r="DO183" s="30"/>
      <c r="DP183" s="30"/>
    </row>
    <row r="184" spans="1:120" x14ac:dyDescent="0.2">
      <c r="A184" s="5"/>
      <c r="B184" s="6">
        <f>+Risultati!B183</f>
        <v>0</v>
      </c>
      <c r="C184" s="6">
        <f>+Risultati!C183</f>
        <v>0</v>
      </c>
      <c r="D184" s="26" t="str">
        <f>IF(YEAR(Risultati!D183)=1900,(MID(Risultati!$AP$1,29,4)),YEAR(Risultati!D183))</f>
        <v/>
      </c>
      <c r="E184" s="6">
        <f>+Risultati!E183</f>
        <v>0</v>
      </c>
      <c r="F184" s="8" t="e">
        <f>(LEFT(Risultati!AN183,2)&amp;"-")&amp;VLOOKUP((LEFT(Risultati!AN183,2)),ateco!$B$4:$C$93,2,FALSE)</f>
        <v>#N/A</v>
      </c>
      <c r="G184" s="8" t="str">
        <f>SUBSTITUTE((Risultati!AN183&amp;"-"&amp;Risultati!AO183),",",";")</f>
        <v>-</v>
      </c>
      <c r="I184" s="10">
        <f>+Risultati!G183</f>
        <v>0</v>
      </c>
      <c r="J184" s="11" t="str">
        <f t="shared" si="134"/>
        <v>0</v>
      </c>
      <c r="K184" s="12"/>
      <c r="L184" s="10">
        <f>+Risultati!G183+Risultati!H183</f>
        <v>0</v>
      </c>
      <c r="M184" s="11" t="str">
        <f t="shared" si="135"/>
        <v>0</v>
      </c>
      <c r="N184" s="12"/>
      <c r="O184" s="10">
        <f>+Risultati!I183+Risultati!J183</f>
        <v>0</v>
      </c>
      <c r="P184" s="11" t="str">
        <f t="shared" si="136"/>
        <v>0</v>
      </c>
      <c r="Q184" s="12"/>
      <c r="R184" s="13">
        <f t="shared" si="153"/>
        <v>0</v>
      </c>
      <c r="S184" s="11" t="str">
        <f t="shared" si="137"/>
        <v>0</v>
      </c>
      <c r="T184" s="12"/>
      <c r="U184" s="10">
        <f>+Risultati!F183-(Risultati!G183+Risultati!H183)</f>
        <v>0</v>
      </c>
      <c r="V184" s="12" t="str">
        <f t="shared" si="138"/>
        <v>0</v>
      </c>
      <c r="W184" s="12"/>
      <c r="X184" s="10">
        <f t="shared" si="154"/>
        <v>0</v>
      </c>
      <c r="Y184" s="12" t="str">
        <f t="shared" si="139"/>
        <v>0</v>
      </c>
      <c r="Z184" s="12"/>
      <c r="AA184" s="10">
        <f>+Risultati!K183</f>
        <v>0</v>
      </c>
      <c r="AB184" s="12" t="str">
        <f t="shared" si="140"/>
        <v>0</v>
      </c>
      <c r="AC184" s="12"/>
      <c r="AD184" s="10">
        <f>+Risultati!L183</f>
        <v>0</v>
      </c>
      <c r="AE184" s="12" t="str">
        <f t="shared" si="141"/>
        <v>0</v>
      </c>
      <c r="AF184" s="12"/>
      <c r="AG184" s="10">
        <f>+Risultati!M183+Risultati!P183+Risultati!Q183</f>
        <v>0</v>
      </c>
      <c r="AH184" s="12" t="str">
        <f t="shared" si="142"/>
        <v>0</v>
      </c>
      <c r="AI184" s="12"/>
      <c r="AJ184" s="13">
        <f t="shared" si="155"/>
        <v>0</v>
      </c>
      <c r="AK184" s="11" t="str">
        <f t="shared" si="143"/>
        <v>0</v>
      </c>
      <c r="AL184" s="12"/>
      <c r="AM184" s="10">
        <f>+Risultati!N183</f>
        <v>0</v>
      </c>
      <c r="AN184" s="12" t="str">
        <f t="shared" si="144"/>
        <v>0</v>
      </c>
      <c r="AO184" s="12"/>
      <c r="AP184" s="10">
        <f t="shared" si="156"/>
        <v>0</v>
      </c>
      <c r="AQ184" s="41" t="str">
        <f t="shared" si="145"/>
        <v>0</v>
      </c>
      <c r="AR184" s="12"/>
      <c r="AS184" s="10">
        <f>+Risultati!O183</f>
        <v>0</v>
      </c>
      <c r="AT184" s="12" t="str">
        <f t="shared" si="146"/>
        <v>0</v>
      </c>
      <c r="AU184" s="12"/>
      <c r="AV184" s="10">
        <f t="shared" si="157"/>
        <v>0</v>
      </c>
      <c r="AW184" s="12" t="str">
        <f t="shared" si="147"/>
        <v>0</v>
      </c>
      <c r="AX184" s="12"/>
      <c r="AY184" s="10">
        <f>+Risultati!R183+Risultati!S183</f>
        <v>0</v>
      </c>
      <c r="AZ184" s="12" t="str">
        <f t="shared" si="148"/>
        <v>0</v>
      </c>
      <c r="BA184" s="12"/>
      <c r="BB184" s="10">
        <f>+Risultati!T183</f>
        <v>0</v>
      </c>
      <c r="BC184" s="12" t="str">
        <f t="shared" si="149"/>
        <v>0</v>
      </c>
      <c r="BD184" s="12"/>
      <c r="BE184" s="10">
        <f>+Risultati!U183</f>
        <v>0</v>
      </c>
      <c r="BF184" s="12" t="str">
        <f t="shared" si="150"/>
        <v>0</v>
      </c>
      <c r="BG184" s="12"/>
      <c r="BH184" s="10">
        <f t="shared" si="158"/>
        <v>0</v>
      </c>
      <c r="BI184" s="12" t="str">
        <f t="shared" si="151"/>
        <v>0</v>
      </c>
      <c r="BK184" s="16">
        <f>IF(ISNUMBER(Risultati!X183/100),(Risultati!X183/100))</f>
        <v>0</v>
      </c>
      <c r="BL184" s="16">
        <f>IF(ISNUMBER(Risultati!Y183/100),(Risultati!Y183/100))</f>
        <v>0</v>
      </c>
      <c r="BM184" s="16">
        <f>IF(ISNUMBER(Risultati!Z183/100),(Risultati!Z183/100))</f>
        <v>0</v>
      </c>
      <c r="BN184" s="16">
        <f>IF(AND(Risultati!AY183&lt;0,calcoli!AP184&lt;0),-IF(ISNUMBER(Risultati!AA183/100),(Risultati!AA183/100)),IF(ISNUMBER(Risultati!AA183/100),(Risultati!AA183/100)))</f>
        <v>0</v>
      </c>
      <c r="BO184" s="16" t="str">
        <f t="shared" si="132"/>
        <v>0</v>
      </c>
      <c r="BP184" s="16" t="str">
        <f>IF(Risultati!AB183&gt;0,(AV184/Risultati!AB183),"0")</f>
        <v>0</v>
      </c>
      <c r="BQ184" s="16" t="str">
        <f>IF(Risultati!AG183&lt;&gt;0,(BH184/Risultati!AG183),"0")</f>
        <v>0</v>
      </c>
      <c r="BR184" s="16" t="str">
        <f t="shared" si="133"/>
        <v>0</v>
      </c>
      <c r="BS184" s="14" t="str">
        <f>IF(Risultati!AB183&gt;0,(Risultati!G183/Risultati!AB183),"0")</f>
        <v>0</v>
      </c>
      <c r="BT184" s="15" t="str">
        <f>IF(Risultati!AG183&lt;&gt;0,(Risultati!AB183/Risultati!AG183),"0")</f>
        <v>0</v>
      </c>
      <c r="BU184" s="23" t="str">
        <f>IF(AND(Risultati!G183&gt;0,(Risultati!AE183-Risultati!AF183)&gt;=0),((Risultati!AE183-Risultati!AF183)/Risultati!G183*360),"0")</f>
        <v>0</v>
      </c>
      <c r="BV184" s="21" t="str">
        <f>IF(OR(E184="abbreviato",Risultati!G183=0),"0",((Risultati!AC183+Risultati!AD183)/Risultati!G183*360))</f>
        <v>0</v>
      </c>
      <c r="BW184" s="21" t="str">
        <f>IF(OR(E184="abbreviato",Risultati!G183=0,SUM(Risultati!I183+Risultati!K183+Risultati!M183)=0),"0",(((Risultati!AH183+Risultati!AI183)/(Risultati!I183+Risultati!K183+Risultati!N183)*360)))</f>
        <v>0</v>
      </c>
      <c r="BX184" s="16" t="str">
        <f>IF(Risultati!AB183&gt;0,(+Risultati!AG183/Risultati!AB183),"0")</f>
        <v>0</v>
      </c>
      <c r="BY184" s="22" t="str">
        <f>IF(OR(E184="abbreviato",Risultati!G183=0),"0",(((Risultati!AK183-(Risultati!AL183+Risultati!AM183))/Risultati!G183)))</f>
        <v>0</v>
      </c>
      <c r="BZ184" s="16" t="str">
        <f>IF(Risultati!G183&gt;0,(Risultati!AJ183/Risultati!G183),"0")</f>
        <v>0</v>
      </c>
      <c r="CA184" s="8"/>
      <c r="CB184" s="10">
        <f>+Risultati!AP183</f>
        <v>0</v>
      </c>
      <c r="CC184" s="31" t="str">
        <f t="shared" si="159"/>
        <v>0</v>
      </c>
      <c r="CD184" s="10">
        <f>+Risultati!AQ183</f>
        <v>0</v>
      </c>
      <c r="CE184" s="31" t="str">
        <f t="shared" si="160"/>
        <v>0</v>
      </c>
      <c r="CF184" s="10">
        <f>+Risultati!AR183</f>
        <v>0</v>
      </c>
      <c r="CG184" s="31" t="str">
        <f t="shared" si="161"/>
        <v>0</v>
      </c>
      <c r="CH184" s="10">
        <f>+Risultati!AS183</f>
        <v>0</v>
      </c>
      <c r="CI184" s="31" t="str">
        <f t="shared" si="162"/>
        <v>0</v>
      </c>
      <c r="CJ184" s="10">
        <f t="shared" si="163"/>
        <v>0</v>
      </c>
      <c r="CK184" s="31" t="str">
        <f t="shared" si="164"/>
        <v>0</v>
      </c>
      <c r="CL184" s="10">
        <f>+Risultati!AE183+Risultati!AF183</f>
        <v>0</v>
      </c>
      <c r="CM184" s="31" t="str">
        <f t="shared" si="165"/>
        <v>0</v>
      </c>
      <c r="CN184" s="10">
        <f>+Risultati!AT183</f>
        <v>0</v>
      </c>
      <c r="CO184" s="31" t="str">
        <f t="shared" si="166"/>
        <v>0</v>
      </c>
      <c r="CP184" s="10">
        <f>+Risultati!AU183</f>
        <v>0</v>
      </c>
      <c r="CQ184" s="31" t="str">
        <f t="shared" si="167"/>
        <v>0</v>
      </c>
      <c r="CR184" s="10">
        <f>+Risultati!AL183</f>
        <v>0</v>
      </c>
      <c r="CS184" s="31" t="str">
        <f t="shared" si="168"/>
        <v>0</v>
      </c>
      <c r="CT184" s="10">
        <f t="shared" si="169"/>
        <v>0</v>
      </c>
      <c r="CU184" s="31" t="str">
        <f t="shared" si="170"/>
        <v>0</v>
      </c>
      <c r="CV184" s="10">
        <f>+Risultati!AX183</f>
        <v>0</v>
      </c>
      <c r="CW184" s="31" t="str">
        <f t="shared" si="171"/>
        <v>0</v>
      </c>
      <c r="CX184" s="10">
        <f t="shared" si="172"/>
        <v>0</v>
      </c>
      <c r="CY184" s="31" t="str">
        <f t="shared" si="173"/>
        <v>0</v>
      </c>
      <c r="CZ184" s="10">
        <f>+Risultati!AG183</f>
        <v>0</v>
      </c>
      <c r="DA184" s="31" t="str">
        <f t="shared" si="174"/>
        <v>0</v>
      </c>
      <c r="DB184" s="10">
        <f t="shared" si="175"/>
        <v>0</v>
      </c>
      <c r="DC184" s="31" t="str">
        <f t="shared" si="176"/>
        <v>0</v>
      </c>
      <c r="DD184" s="10">
        <f>+Risultati!AV183</f>
        <v>0</v>
      </c>
      <c r="DE184" s="31" t="str">
        <f t="shared" si="177"/>
        <v>0</v>
      </c>
      <c r="DF184" s="10">
        <f>+Risultati!AJ183</f>
        <v>0</v>
      </c>
      <c r="DG184" s="31" t="str">
        <f t="shared" si="178"/>
        <v>0</v>
      </c>
      <c r="DH184" s="10">
        <f t="shared" si="179"/>
        <v>0</v>
      </c>
      <c r="DI184" s="31" t="str">
        <f t="shared" si="180"/>
        <v>0</v>
      </c>
      <c r="DJ184" s="10">
        <f>+Risultati!AW183</f>
        <v>0</v>
      </c>
      <c r="DK184" s="31" t="str">
        <f t="shared" si="181"/>
        <v>0</v>
      </c>
      <c r="DL184" s="10">
        <f t="shared" si="152"/>
        <v>0</v>
      </c>
      <c r="DM184" s="31" t="str">
        <f t="shared" si="182"/>
        <v>0</v>
      </c>
      <c r="DO184" s="30"/>
      <c r="DP184" s="30"/>
    </row>
    <row r="185" spans="1:120" x14ac:dyDescent="0.2">
      <c r="A185" s="5"/>
      <c r="B185" s="6">
        <f>+Risultati!B184</f>
        <v>0</v>
      </c>
      <c r="C185" s="6">
        <f>+Risultati!C184</f>
        <v>0</v>
      </c>
      <c r="D185" s="26" t="str">
        <f>IF(YEAR(Risultati!D184)=1900,(MID(Risultati!$AP$1,29,4)),YEAR(Risultati!D184))</f>
        <v/>
      </c>
      <c r="E185" s="6">
        <f>+Risultati!E184</f>
        <v>0</v>
      </c>
      <c r="F185" s="8" t="e">
        <f>(LEFT(Risultati!AN184,2)&amp;"-")&amp;VLOOKUP((LEFT(Risultati!AN184,2)),ateco!$B$4:$C$93,2,FALSE)</f>
        <v>#N/A</v>
      </c>
      <c r="G185" s="8" t="str">
        <f>SUBSTITUTE((Risultati!AN184&amp;"-"&amp;Risultati!AO184),",",";")</f>
        <v>-</v>
      </c>
      <c r="I185" s="10">
        <f>+Risultati!G184</f>
        <v>0</v>
      </c>
      <c r="J185" s="11" t="str">
        <f t="shared" si="134"/>
        <v>0</v>
      </c>
      <c r="K185" s="12"/>
      <c r="L185" s="10">
        <f>+Risultati!G184+Risultati!H184</f>
        <v>0</v>
      </c>
      <c r="M185" s="11" t="str">
        <f t="shared" si="135"/>
        <v>0</v>
      </c>
      <c r="N185" s="12"/>
      <c r="O185" s="10">
        <f>+Risultati!I184+Risultati!J184</f>
        <v>0</v>
      </c>
      <c r="P185" s="11" t="str">
        <f t="shared" si="136"/>
        <v>0</v>
      </c>
      <c r="Q185" s="12"/>
      <c r="R185" s="13">
        <f t="shared" si="153"/>
        <v>0</v>
      </c>
      <c r="S185" s="11" t="str">
        <f t="shared" si="137"/>
        <v>0</v>
      </c>
      <c r="T185" s="12"/>
      <c r="U185" s="10">
        <f>+Risultati!F184-(Risultati!G184+Risultati!H184)</f>
        <v>0</v>
      </c>
      <c r="V185" s="12" t="str">
        <f t="shared" si="138"/>
        <v>0</v>
      </c>
      <c r="W185" s="12"/>
      <c r="X185" s="10">
        <f t="shared" si="154"/>
        <v>0</v>
      </c>
      <c r="Y185" s="12" t="str">
        <f t="shared" si="139"/>
        <v>0</v>
      </c>
      <c r="Z185" s="12"/>
      <c r="AA185" s="10">
        <f>+Risultati!K184</f>
        <v>0</v>
      </c>
      <c r="AB185" s="12" t="str">
        <f t="shared" si="140"/>
        <v>0</v>
      </c>
      <c r="AC185" s="12"/>
      <c r="AD185" s="10">
        <f>+Risultati!L184</f>
        <v>0</v>
      </c>
      <c r="AE185" s="12" t="str">
        <f t="shared" si="141"/>
        <v>0</v>
      </c>
      <c r="AF185" s="12"/>
      <c r="AG185" s="10">
        <f>+Risultati!M184+Risultati!P184+Risultati!Q184</f>
        <v>0</v>
      </c>
      <c r="AH185" s="12" t="str">
        <f t="shared" si="142"/>
        <v>0</v>
      </c>
      <c r="AI185" s="12"/>
      <c r="AJ185" s="13">
        <f t="shared" si="155"/>
        <v>0</v>
      </c>
      <c r="AK185" s="11" t="str">
        <f t="shared" si="143"/>
        <v>0</v>
      </c>
      <c r="AL185" s="12"/>
      <c r="AM185" s="10">
        <f>+Risultati!N184</f>
        <v>0</v>
      </c>
      <c r="AN185" s="12" t="str">
        <f t="shared" si="144"/>
        <v>0</v>
      </c>
      <c r="AO185" s="12"/>
      <c r="AP185" s="10">
        <f t="shared" si="156"/>
        <v>0</v>
      </c>
      <c r="AQ185" s="41" t="str">
        <f t="shared" si="145"/>
        <v>0</v>
      </c>
      <c r="AR185" s="12"/>
      <c r="AS185" s="10">
        <f>+Risultati!O184</f>
        <v>0</v>
      </c>
      <c r="AT185" s="12" t="str">
        <f t="shared" si="146"/>
        <v>0</v>
      </c>
      <c r="AU185" s="12"/>
      <c r="AV185" s="10">
        <f t="shared" si="157"/>
        <v>0</v>
      </c>
      <c r="AW185" s="12" t="str">
        <f t="shared" si="147"/>
        <v>0</v>
      </c>
      <c r="AX185" s="12"/>
      <c r="AY185" s="10">
        <f>+Risultati!R184+Risultati!S184</f>
        <v>0</v>
      </c>
      <c r="AZ185" s="12" t="str">
        <f t="shared" si="148"/>
        <v>0</v>
      </c>
      <c r="BA185" s="12"/>
      <c r="BB185" s="10">
        <f>+Risultati!T184</f>
        <v>0</v>
      </c>
      <c r="BC185" s="12" t="str">
        <f t="shared" si="149"/>
        <v>0</v>
      </c>
      <c r="BD185" s="12"/>
      <c r="BE185" s="10">
        <f>+Risultati!U184</f>
        <v>0</v>
      </c>
      <c r="BF185" s="12" t="str">
        <f t="shared" si="150"/>
        <v>0</v>
      </c>
      <c r="BG185" s="12"/>
      <c r="BH185" s="10">
        <f t="shared" si="158"/>
        <v>0</v>
      </c>
      <c r="BI185" s="12" t="str">
        <f t="shared" si="151"/>
        <v>0</v>
      </c>
      <c r="BK185" s="16">
        <f>IF(ISNUMBER(Risultati!X184/100),(Risultati!X184/100))</f>
        <v>0</v>
      </c>
      <c r="BL185" s="16">
        <f>IF(ISNUMBER(Risultati!Y184/100),(Risultati!Y184/100))</f>
        <v>0</v>
      </c>
      <c r="BM185" s="16">
        <f>IF(ISNUMBER(Risultati!Z184/100),(Risultati!Z184/100))</f>
        <v>0</v>
      </c>
      <c r="BN185" s="16">
        <f>IF(AND(Risultati!AY184&lt;0,calcoli!AP185&lt;0),-IF(ISNUMBER(Risultati!AA184/100),(Risultati!AA184/100)),IF(ISNUMBER(Risultati!AA184/100),(Risultati!AA184/100)))</f>
        <v>0</v>
      </c>
      <c r="BO185" s="16" t="str">
        <f t="shared" si="132"/>
        <v>0</v>
      </c>
      <c r="BP185" s="16" t="str">
        <f>IF(Risultati!AB184&gt;0,(AV185/Risultati!AB184),"0")</f>
        <v>0</v>
      </c>
      <c r="BQ185" s="16" t="str">
        <f>IF(Risultati!AG184&lt;&gt;0,(BH185/Risultati!AG184),"0")</f>
        <v>0</v>
      </c>
      <c r="BR185" s="16" t="str">
        <f t="shared" si="133"/>
        <v>0</v>
      </c>
      <c r="BS185" s="14" t="str">
        <f>IF(Risultati!AB184&gt;0,(Risultati!G184/Risultati!AB184),"0")</f>
        <v>0</v>
      </c>
      <c r="BT185" s="15" t="str">
        <f>IF(Risultati!AG184&lt;&gt;0,(Risultati!AB184/Risultati!AG184),"0")</f>
        <v>0</v>
      </c>
      <c r="BU185" s="23" t="str">
        <f>IF(AND(Risultati!G184&gt;0,(Risultati!AE184-Risultati!AF184)&gt;=0),((Risultati!AE184-Risultati!AF184)/Risultati!G184*360),"0")</f>
        <v>0</v>
      </c>
      <c r="BV185" s="21" t="str">
        <f>IF(OR(E185="abbreviato",Risultati!G184=0),"0",((Risultati!AC184+Risultati!AD184)/Risultati!G184*360))</f>
        <v>0</v>
      </c>
      <c r="BW185" s="21" t="str">
        <f>IF(OR(E185="abbreviato",Risultati!G184=0,SUM(Risultati!I184+Risultati!K184+Risultati!M184)=0),"0",(((Risultati!AH184+Risultati!AI184)/(Risultati!I184+Risultati!K184+Risultati!N184)*360)))</f>
        <v>0</v>
      </c>
      <c r="BX185" s="16" t="str">
        <f>IF(Risultati!AB184&gt;0,(+Risultati!AG184/Risultati!AB184),"0")</f>
        <v>0</v>
      </c>
      <c r="BY185" s="22" t="str">
        <f>IF(OR(E185="abbreviato",Risultati!G184=0),"0",(((Risultati!AK184-(Risultati!AL184+Risultati!AM184))/Risultati!G184)))</f>
        <v>0</v>
      </c>
      <c r="BZ185" s="16" t="str">
        <f>IF(Risultati!G184&gt;0,(Risultati!AJ184/Risultati!G184),"0")</f>
        <v>0</v>
      </c>
      <c r="CA185" s="8"/>
      <c r="CB185" s="10">
        <f>+Risultati!AP184</f>
        <v>0</v>
      </c>
      <c r="CC185" s="31" t="str">
        <f t="shared" si="159"/>
        <v>0</v>
      </c>
      <c r="CD185" s="10">
        <f>+Risultati!AQ184</f>
        <v>0</v>
      </c>
      <c r="CE185" s="31" t="str">
        <f t="shared" si="160"/>
        <v>0</v>
      </c>
      <c r="CF185" s="10">
        <f>+Risultati!AR184</f>
        <v>0</v>
      </c>
      <c r="CG185" s="31" t="str">
        <f t="shared" si="161"/>
        <v>0</v>
      </c>
      <c r="CH185" s="10">
        <f>+Risultati!AS184</f>
        <v>0</v>
      </c>
      <c r="CI185" s="31" t="str">
        <f t="shared" si="162"/>
        <v>0</v>
      </c>
      <c r="CJ185" s="10">
        <f t="shared" si="163"/>
        <v>0</v>
      </c>
      <c r="CK185" s="31" t="str">
        <f t="shared" si="164"/>
        <v>0</v>
      </c>
      <c r="CL185" s="10">
        <f>+Risultati!AE184+Risultati!AF184</f>
        <v>0</v>
      </c>
      <c r="CM185" s="31" t="str">
        <f t="shared" si="165"/>
        <v>0</v>
      </c>
      <c r="CN185" s="10">
        <f>+Risultati!AT184</f>
        <v>0</v>
      </c>
      <c r="CO185" s="31" t="str">
        <f t="shared" si="166"/>
        <v>0</v>
      </c>
      <c r="CP185" s="10">
        <f>+Risultati!AU184</f>
        <v>0</v>
      </c>
      <c r="CQ185" s="31" t="str">
        <f t="shared" si="167"/>
        <v>0</v>
      </c>
      <c r="CR185" s="10">
        <f>+Risultati!AL184</f>
        <v>0</v>
      </c>
      <c r="CS185" s="31" t="str">
        <f t="shared" si="168"/>
        <v>0</v>
      </c>
      <c r="CT185" s="10">
        <f t="shared" si="169"/>
        <v>0</v>
      </c>
      <c r="CU185" s="31" t="str">
        <f t="shared" si="170"/>
        <v>0</v>
      </c>
      <c r="CV185" s="10">
        <f>+Risultati!AX184</f>
        <v>0</v>
      </c>
      <c r="CW185" s="31" t="str">
        <f t="shared" si="171"/>
        <v>0</v>
      </c>
      <c r="CX185" s="10">
        <f t="shared" si="172"/>
        <v>0</v>
      </c>
      <c r="CY185" s="31" t="str">
        <f t="shared" si="173"/>
        <v>0</v>
      </c>
      <c r="CZ185" s="10">
        <f>+Risultati!AG184</f>
        <v>0</v>
      </c>
      <c r="DA185" s="31" t="str">
        <f t="shared" si="174"/>
        <v>0</v>
      </c>
      <c r="DB185" s="10">
        <f t="shared" si="175"/>
        <v>0</v>
      </c>
      <c r="DC185" s="31" t="str">
        <f t="shared" si="176"/>
        <v>0</v>
      </c>
      <c r="DD185" s="10">
        <f>+Risultati!AV184</f>
        <v>0</v>
      </c>
      <c r="DE185" s="31" t="str">
        <f t="shared" si="177"/>
        <v>0</v>
      </c>
      <c r="DF185" s="10">
        <f>+Risultati!AJ184</f>
        <v>0</v>
      </c>
      <c r="DG185" s="31" t="str">
        <f t="shared" si="178"/>
        <v>0</v>
      </c>
      <c r="DH185" s="10">
        <f t="shared" si="179"/>
        <v>0</v>
      </c>
      <c r="DI185" s="31" t="str">
        <f t="shared" si="180"/>
        <v>0</v>
      </c>
      <c r="DJ185" s="10">
        <f>+Risultati!AW184</f>
        <v>0</v>
      </c>
      <c r="DK185" s="31" t="str">
        <f t="shared" si="181"/>
        <v>0</v>
      </c>
      <c r="DL185" s="10">
        <f t="shared" si="152"/>
        <v>0</v>
      </c>
      <c r="DM185" s="31" t="str">
        <f t="shared" si="182"/>
        <v>0</v>
      </c>
      <c r="DO185" s="30"/>
      <c r="DP185" s="30"/>
    </row>
    <row r="186" spans="1:120" x14ac:dyDescent="0.2">
      <c r="A186" s="5"/>
      <c r="B186" s="6">
        <f>+Risultati!B185</f>
        <v>0</v>
      </c>
      <c r="C186" s="6">
        <f>+Risultati!C185</f>
        <v>0</v>
      </c>
      <c r="D186" s="26" t="str">
        <f>IF(YEAR(Risultati!D185)=1900,(MID(Risultati!$AP$1,29,4)),YEAR(Risultati!D185))</f>
        <v/>
      </c>
      <c r="E186" s="6">
        <f>+Risultati!E185</f>
        <v>0</v>
      </c>
      <c r="F186" s="8" t="e">
        <f>(LEFT(Risultati!AN185,2)&amp;"-")&amp;VLOOKUP((LEFT(Risultati!AN185,2)),ateco!$B$4:$C$93,2,FALSE)</f>
        <v>#N/A</v>
      </c>
      <c r="G186" s="8" t="str">
        <f>SUBSTITUTE((Risultati!AN185&amp;"-"&amp;Risultati!AO185),",",";")</f>
        <v>-</v>
      </c>
      <c r="I186" s="10">
        <f>+Risultati!G185</f>
        <v>0</v>
      </c>
      <c r="J186" s="11" t="str">
        <f t="shared" si="134"/>
        <v>0</v>
      </c>
      <c r="K186" s="12"/>
      <c r="L186" s="10">
        <f>+Risultati!G185+Risultati!H185</f>
        <v>0</v>
      </c>
      <c r="M186" s="11" t="str">
        <f t="shared" si="135"/>
        <v>0</v>
      </c>
      <c r="N186" s="12"/>
      <c r="O186" s="10">
        <f>+Risultati!I185+Risultati!J185</f>
        <v>0</v>
      </c>
      <c r="P186" s="11" t="str">
        <f t="shared" si="136"/>
        <v>0</v>
      </c>
      <c r="Q186" s="12"/>
      <c r="R186" s="13">
        <f t="shared" si="153"/>
        <v>0</v>
      </c>
      <c r="S186" s="11" t="str">
        <f t="shared" si="137"/>
        <v>0</v>
      </c>
      <c r="T186" s="12"/>
      <c r="U186" s="10">
        <f>+Risultati!F185-(Risultati!G185+Risultati!H185)</f>
        <v>0</v>
      </c>
      <c r="V186" s="12" t="str">
        <f t="shared" si="138"/>
        <v>0</v>
      </c>
      <c r="W186" s="12"/>
      <c r="X186" s="10">
        <f t="shared" si="154"/>
        <v>0</v>
      </c>
      <c r="Y186" s="12" t="str">
        <f t="shared" si="139"/>
        <v>0</v>
      </c>
      <c r="Z186" s="12"/>
      <c r="AA186" s="10">
        <f>+Risultati!K185</f>
        <v>0</v>
      </c>
      <c r="AB186" s="12" t="str">
        <f t="shared" si="140"/>
        <v>0</v>
      </c>
      <c r="AC186" s="12"/>
      <c r="AD186" s="10">
        <f>+Risultati!L185</f>
        <v>0</v>
      </c>
      <c r="AE186" s="12" t="str">
        <f t="shared" si="141"/>
        <v>0</v>
      </c>
      <c r="AF186" s="12"/>
      <c r="AG186" s="10">
        <f>+Risultati!M185+Risultati!P185+Risultati!Q185</f>
        <v>0</v>
      </c>
      <c r="AH186" s="12" t="str">
        <f t="shared" si="142"/>
        <v>0</v>
      </c>
      <c r="AI186" s="12"/>
      <c r="AJ186" s="13">
        <f t="shared" si="155"/>
        <v>0</v>
      </c>
      <c r="AK186" s="11" t="str">
        <f t="shared" si="143"/>
        <v>0</v>
      </c>
      <c r="AL186" s="12"/>
      <c r="AM186" s="10">
        <f>+Risultati!N185</f>
        <v>0</v>
      </c>
      <c r="AN186" s="12" t="str">
        <f t="shared" si="144"/>
        <v>0</v>
      </c>
      <c r="AO186" s="12"/>
      <c r="AP186" s="10">
        <f t="shared" si="156"/>
        <v>0</v>
      </c>
      <c r="AQ186" s="41" t="str">
        <f t="shared" si="145"/>
        <v>0</v>
      </c>
      <c r="AR186" s="12"/>
      <c r="AS186" s="10">
        <f>+Risultati!O185</f>
        <v>0</v>
      </c>
      <c r="AT186" s="12" t="str">
        <f t="shared" si="146"/>
        <v>0</v>
      </c>
      <c r="AU186" s="12"/>
      <c r="AV186" s="10">
        <f t="shared" si="157"/>
        <v>0</v>
      </c>
      <c r="AW186" s="12" t="str">
        <f t="shared" si="147"/>
        <v>0</v>
      </c>
      <c r="AX186" s="12"/>
      <c r="AY186" s="10">
        <f>+Risultati!R185+Risultati!S185</f>
        <v>0</v>
      </c>
      <c r="AZ186" s="12" t="str">
        <f t="shared" si="148"/>
        <v>0</v>
      </c>
      <c r="BA186" s="12"/>
      <c r="BB186" s="10">
        <f>+Risultati!T185</f>
        <v>0</v>
      </c>
      <c r="BC186" s="12" t="str">
        <f t="shared" si="149"/>
        <v>0</v>
      </c>
      <c r="BD186" s="12"/>
      <c r="BE186" s="10">
        <f>+Risultati!U185</f>
        <v>0</v>
      </c>
      <c r="BF186" s="12" t="str">
        <f t="shared" si="150"/>
        <v>0</v>
      </c>
      <c r="BG186" s="12"/>
      <c r="BH186" s="10">
        <f t="shared" si="158"/>
        <v>0</v>
      </c>
      <c r="BI186" s="12" t="str">
        <f t="shared" si="151"/>
        <v>0</v>
      </c>
      <c r="BK186" s="16">
        <f>IF(ISNUMBER(Risultati!X185/100),(Risultati!X185/100))</f>
        <v>0</v>
      </c>
      <c r="BL186" s="16">
        <f>IF(ISNUMBER(Risultati!Y185/100),(Risultati!Y185/100))</f>
        <v>0</v>
      </c>
      <c r="BM186" s="16">
        <f>IF(ISNUMBER(Risultati!Z185/100),(Risultati!Z185/100))</f>
        <v>0</v>
      </c>
      <c r="BN186" s="16">
        <f>IF(AND(Risultati!AY185&lt;0,calcoli!AP186&lt;0),-IF(ISNUMBER(Risultati!AA185/100),(Risultati!AA185/100)),IF(ISNUMBER(Risultati!AA185/100),(Risultati!AA185/100)))</f>
        <v>0</v>
      </c>
      <c r="BO186" s="16" t="str">
        <f t="shared" si="132"/>
        <v>0</v>
      </c>
      <c r="BP186" s="16" t="str">
        <f>IF(Risultati!AB185&gt;0,(AV186/Risultati!AB185),"0")</f>
        <v>0</v>
      </c>
      <c r="BQ186" s="16" t="str">
        <f>IF(Risultati!AG185&lt;&gt;0,(BH186/Risultati!AG185),"0")</f>
        <v>0</v>
      </c>
      <c r="BR186" s="16" t="str">
        <f t="shared" si="133"/>
        <v>0</v>
      </c>
      <c r="BS186" s="14" t="str">
        <f>IF(Risultati!AB185&gt;0,(Risultati!G185/Risultati!AB185),"0")</f>
        <v>0</v>
      </c>
      <c r="BT186" s="15" t="str">
        <f>IF(Risultati!AG185&lt;&gt;0,(Risultati!AB185/Risultati!AG185),"0")</f>
        <v>0</v>
      </c>
      <c r="BU186" s="23" t="str">
        <f>IF(AND(Risultati!G185&gt;0,(Risultati!AE185-Risultati!AF185)&gt;=0),((Risultati!AE185-Risultati!AF185)/Risultati!G185*360),"0")</f>
        <v>0</v>
      </c>
      <c r="BV186" s="21" t="str">
        <f>IF(OR(E186="abbreviato",Risultati!G185=0),"0",((Risultati!AC185+Risultati!AD185)/Risultati!G185*360))</f>
        <v>0</v>
      </c>
      <c r="BW186" s="21" t="str">
        <f>IF(OR(E186="abbreviato",Risultati!G185=0,SUM(Risultati!I185+Risultati!K185+Risultati!M185)=0),"0",(((Risultati!AH185+Risultati!AI185)/(Risultati!I185+Risultati!K185+Risultati!N185)*360)))</f>
        <v>0</v>
      </c>
      <c r="BX186" s="16" t="str">
        <f>IF(Risultati!AB185&gt;0,(+Risultati!AG185/Risultati!AB185),"0")</f>
        <v>0</v>
      </c>
      <c r="BY186" s="22" t="str">
        <f>IF(OR(E186="abbreviato",Risultati!G185=0),"0",(((Risultati!AK185-(Risultati!AL185+Risultati!AM185))/Risultati!G185)))</f>
        <v>0</v>
      </c>
      <c r="BZ186" s="16" t="str">
        <f>IF(Risultati!G185&gt;0,(Risultati!AJ185/Risultati!G185),"0")</f>
        <v>0</v>
      </c>
      <c r="CA186" s="8"/>
      <c r="CB186" s="10">
        <f>+Risultati!AP185</f>
        <v>0</v>
      </c>
      <c r="CC186" s="31" t="str">
        <f t="shared" si="159"/>
        <v>0</v>
      </c>
      <c r="CD186" s="10">
        <f>+Risultati!AQ185</f>
        <v>0</v>
      </c>
      <c r="CE186" s="31" t="str">
        <f t="shared" si="160"/>
        <v>0</v>
      </c>
      <c r="CF186" s="10">
        <f>+Risultati!AR185</f>
        <v>0</v>
      </c>
      <c r="CG186" s="31" t="str">
        <f t="shared" si="161"/>
        <v>0</v>
      </c>
      <c r="CH186" s="10">
        <f>+Risultati!AS185</f>
        <v>0</v>
      </c>
      <c r="CI186" s="31" t="str">
        <f t="shared" si="162"/>
        <v>0</v>
      </c>
      <c r="CJ186" s="10">
        <f t="shared" si="163"/>
        <v>0</v>
      </c>
      <c r="CK186" s="31" t="str">
        <f t="shared" si="164"/>
        <v>0</v>
      </c>
      <c r="CL186" s="10">
        <f>+Risultati!AE185+Risultati!AF185</f>
        <v>0</v>
      </c>
      <c r="CM186" s="31" t="str">
        <f t="shared" si="165"/>
        <v>0</v>
      </c>
      <c r="CN186" s="10">
        <f>+Risultati!AT185</f>
        <v>0</v>
      </c>
      <c r="CO186" s="31" t="str">
        <f t="shared" si="166"/>
        <v>0</v>
      </c>
      <c r="CP186" s="10">
        <f>+Risultati!AU185</f>
        <v>0</v>
      </c>
      <c r="CQ186" s="31" t="str">
        <f t="shared" si="167"/>
        <v>0</v>
      </c>
      <c r="CR186" s="10">
        <f>+Risultati!AL185</f>
        <v>0</v>
      </c>
      <c r="CS186" s="31" t="str">
        <f t="shared" si="168"/>
        <v>0</v>
      </c>
      <c r="CT186" s="10">
        <f t="shared" si="169"/>
        <v>0</v>
      </c>
      <c r="CU186" s="31" t="str">
        <f t="shared" si="170"/>
        <v>0</v>
      </c>
      <c r="CV186" s="10">
        <f>+Risultati!AX185</f>
        <v>0</v>
      </c>
      <c r="CW186" s="31" t="str">
        <f t="shared" si="171"/>
        <v>0</v>
      </c>
      <c r="CX186" s="10">
        <f t="shared" si="172"/>
        <v>0</v>
      </c>
      <c r="CY186" s="31" t="str">
        <f t="shared" si="173"/>
        <v>0</v>
      </c>
      <c r="CZ186" s="10">
        <f>+Risultati!AG185</f>
        <v>0</v>
      </c>
      <c r="DA186" s="31" t="str">
        <f t="shared" si="174"/>
        <v>0</v>
      </c>
      <c r="DB186" s="10">
        <f t="shared" si="175"/>
        <v>0</v>
      </c>
      <c r="DC186" s="31" t="str">
        <f t="shared" si="176"/>
        <v>0</v>
      </c>
      <c r="DD186" s="10">
        <f>+Risultati!AV185</f>
        <v>0</v>
      </c>
      <c r="DE186" s="31" t="str">
        <f t="shared" si="177"/>
        <v>0</v>
      </c>
      <c r="DF186" s="10">
        <f>+Risultati!AJ185</f>
        <v>0</v>
      </c>
      <c r="DG186" s="31" t="str">
        <f t="shared" si="178"/>
        <v>0</v>
      </c>
      <c r="DH186" s="10">
        <f t="shared" si="179"/>
        <v>0</v>
      </c>
      <c r="DI186" s="31" t="str">
        <f t="shared" si="180"/>
        <v>0</v>
      </c>
      <c r="DJ186" s="10">
        <f>+Risultati!AW185</f>
        <v>0</v>
      </c>
      <c r="DK186" s="31" t="str">
        <f t="shared" si="181"/>
        <v>0</v>
      </c>
      <c r="DL186" s="10">
        <f t="shared" si="152"/>
        <v>0</v>
      </c>
      <c r="DM186" s="31" t="str">
        <f t="shared" si="182"/>
        <v>0</v>
      </c>
      <c r="DO186" s="30"/>
      <c r="DP186" s="30"/>
    </row>
    <row r="187" spans="1:120" x14ac:dyDescent="0.2">
      <c r="A187" s="5"/>
      <c r="B187" s="6">
        <f>+Risultati!B186</f>
        <v>0</v>
      </c>
      <c r="C187" s="6">
        <f>+Risultati!C186</f>
        <v>0</v>
      </c>
      <c r="D187" s="26" t="str">
        <f>IF(YEAR(Risultati!D186)=1900,(MID(Risultati!$AP$1,29,4)),YEAR(Risultati!D186))</f>
        <v/>
      </c>
      <c r="E187" s="6">
        <f>+Risultati!E186</f>
        <v>0</v>
      </c>
      <c r="F187" s="8" t="e">
        <f>(LEFT(Risultati!AN186,2)&amp;"-")&amp;VLOOKUP((LEFT(Risultati!AN186,2)),ateco!$B$4:$C$93,2,FALSE)</f>
        <v>#N/A</v>
      </c>
      <c r="G187" s="8" t="str">
        <f>SUBSTITUTE((Risultati!AN186&amp;"-"&amp;Risultati!AO186),",",";")</f>
        <v>-</v>
      </c>
      <c r="I187" s="10">
        <f>+Risultati!G186</f>
        <v>0</v>
      </c>
      <c r="J187" s="11" t="str">
        <f t="shared" si="134"/>
        <v>0</v>
      </c>
      <c r="K187" s="12"/>
      <c r="L187" s="10">
        <f>+Risultati!G186+Risultati!H186</f>
        <v>0</v>
      </c>
      <c r="M187" s="11" t="str">
        <f t="shared" si="135"/>
        <v>0</v>
      </c>
      <c r="N187" s="12"/>
      <c r="O187" s="10">
        <f>+Risultati!I186+Risultati!J186</f>
        <v>0</v>
      </c>
      <c r="P187" s="11" t="str">
        <f t="shared" si="136"/>
        <v>0</v>
      </c>
      <c r="Q187" s="12"/>
      <c r="R187" s="13">
        <f t="shared" si="153"/>
        <v>0</v>
      </c>
      <c r="S187" s="11" t="str">
        <f t="shared" si="137"/>
        <v>0</v>
      </c>
      <c r="T187" s="12"/>
      <c r="U187" s="10">
        <f>+Risultati!F186-(Risultati!G186+Risultati!H186)</f>
        <v>0</v>
      </c>
      <c r="V187" s="12" t="str">
        <f t="shared" si="138"/>
        <v>0</v>
      </c>
      <c r="W187" s="12"/>
      <c r="X187" s="10">
        <f t="shared" si="154"/>
        <v>0</v>
      </c>
      <c r="Y187" s="12" t="str">
        <f t="shared" si="139"/>
        <v>0</v>
      </c>
      <c r="Z187" s="12"/>
      <c r="AA187" s="10">
        <f>+Risultati!K186</f>
        <v>0</v>
      </c>
      <c r="AB187" s="12" t="str">
        <f t="shared" si="140"/>
        <v>0</v>
      </c>
      <c r="AC187" s="12"/>
      <c r="AD187" s="10">
        <f>+Risultati!L186</f>
        <v>0</v>
      </c>
      <c r="AE187" s="12" t="str">
        <f t="shared" si="141"/>
        <v>0</v>
      </c>
      <c r="AF187" s="12"/>
      <c r="AG187" s="10">
        <f>+Risultati!M186+Risultati!P186+Risultati!Q186</f>
        <v>0</v>
      </c>
      <c r="AH187" s="12" t="str">
        <f t="shared" si="142"/>
        <v>0</v>
      </c>
      <c r="AI187" s="12"/>
      <c r="AJ187" s="13">
        <f t="shared" si="155"/>
        <v>0</v>
      </c>
      <c r="AK187" s="11" t="str">
        <f t="shared" si="143"/>
        <v>0</v>
      </c>
      <c r="AL187" s="12"/>
      <c r="AM187" s="10">
        <f>+Risultati!N186</f>
        <v>0</v>
      </c>
      <c r="AN187" s="12" t="str">
        <f t="shared" si="144"/>
        <v>0</v>
      </c>
      <c r="AO187" s="12"/>
      <c r="AP187" s="10">
        <f t="shared" si="156"/>
        <v>0</v>
      </c>
      <c r="AQ187" s="41" t="str">
        <f t="shared" si="145"/>
        <v>0</v>
      </c>
      <c r="AR187" s="12"/>
      <c r="AS187" s="10">
        <f>+Risultati!O186</f>
        <v>0</v>
      </c>
      <c r="AT187" s="12" t="str">
        <f t="shared" si="146"/>
        <v>0</v>
      </c>
      <c r="AU187" s="12"/>
      <c r="AV187" s="10">
        <f t="shared" si="157"/>
        <v>0</v>
      </c>
      <c r="AW187" s="12" t="str">
        <f t="shared" si="147"/>
        <v>0</v>
      </c>
      <c r="AX187" s="12"/>
      <c r="AY187" s="10">
        <f>+Risultati!R186+Risultati!S186</f>
        <v>0</v>
      </c>
      <c r="AZ187" s="12" t="str">
        <f t="shared" si="148"/>
        <v>0</v>
      </c>
      <c r="BA187" s="12"/>
      <c r="BB187" s="10">
        <f>+Risultati!T186</f>
        <v>0</v>
      </c>
      <c r="BC187" s="12" t="str">
        <f t="shared" si="149"/>
        <v>0</v>
      </c>
      <c r="BD187" s="12"/>
      <c r="BE187" s="10">
        <f>+Risultati!U186</f>
        <v>0</v>
      </c>
      <c r="BF187" s="12" t="str">
        <f t="shared" si="150"/>
        <v>0</v>
      </c>
      <c r="BG187" s="12"/>
      <c r="BH187" s="10">
        <f t="shared" si="158"/>
        <v>0</v>
      </c>
      <c r="BI187" s="12" t="str">
        <f t="shared" si="151"/>
        <v>0</v>
      </c>
      <c r="BK187" s="16">
        <f>IF(ISNUMBER(Risultati!X186/100),(Risultati!X186/100))</f>
        <v>0</v>
      </c>
      <c r="BL187" s="16">
        <f>IF(ISNUMBER(Risultati!Y186/100),(Risultati!Y186/100))</f>
        <v>0</v>
      </c>
      <c r="BM187" s="16">
        <f>IF(ISNUMBER(Risultati!Z186/100),(Risultati!Z186/100))</f>
        <v>0</v>
      </c>
      <c r="BN187" s="16">
        <f>IF(AND(Risultati!AY186&lt;0,calcoli!AP187&lt;0),-IF(ISNUMBER(Risultati!AA186/100),(Risultati!AA186/100)),IF(ISNUMBER(Risultati!AA186/100),(Risultati!AA186/100)))</f>
        <v>0</v>
      </c>
      <c r="BO187" s="16" t="str">
        <f t="shared" si="132"/>
        <v>0</v>
      </c>
      <c r="BP187" s="16" t="str">
        <f>IF(Risultati!AB186&gt;0,(AV187/Risultati!AB186),"0")</f>
        <v>0</v>
      </c>
      <c r="BQ187" s="16" t="str">
        <f>IF(Risultati!AG186&lt;&gt;0,(BH187/Risultati!AG186),"0")</f>
        <v>0</v>
      </c>
      <c r="BR187" s="16" t="str">
        <f t="shared" si="133"/>
        <v>0</v>
      </c>
      <c r="BS187" s="14" t="str">
        <f>IF(Risultati!AB186&gt;0,(Risultati!G186/Risultati!AB186),"0")</f>
        <v>0</v>
      </c>
      <c r="BT187" s="15" t="str">
        <f>IF(Risultati!AG186&lt;&gt;0,(Risultati!AB186/Risultati!AG186),"0")</f>
        <v>0</v>
      </c>
      <c r="BU187" s="23" t="str">
        <f>IF(AND(Risultati!G186&gt;0,(Risultati!AE186-Risultati!AF186)&gt;=0),((Risultati!AE186-Risultati!AF186)/Risultati!G186*360),"0")</f>
        <v>0</v>
      </c>
      <c r="BV187" s="21" t="str">
        <f>IF(OR(E187="abbreviato",Risultati!G186=0),"0",((Risultati!AC186+Risultati!AD186)/Risultati!G186*360))</f>
        <v>0</v>
      </c>
      <c r="BW187" s="21" t="str">
        <f>IF(OR(E187="abbreviato",Risultati!G186=0,SUM(Risultati!I186+Risultati!K186+Risultati!M186)=0),"0",(((Risultati!AH186+Risultati!AI186)/(Risultati!I186+Risultati!K186+Risultati!N186)*360)))</f>
        <v>0</v>
      </c>
      <c r="BX187" s="16" t="str">
        <f>IF(Risultati!AB186&gt;0,(+Risultati!AG186/Risultati!AB186),"0")</f>
        <v>0</v>
      </c>
      <c r="BY187" s="22" t="str">
        <f>IF(OR(E187="abbreviato",Risultati!G186=0),"0",(((Risultati!AK186-(Risultati!AL186+Risultati!AM186))/Risultati!G186)))</f>
        <v>0</v>
      </c>
      <c r="BZ187" s="16" t="str">
        <f>IF(Risultati!G186&gt;0,(Risultati!AJ186/Risultati!G186),"0")</f>
        <v>0</v>
      </c>
      <c r="CA187" s="8"/>
      <c r="CB187" s="10">
        <f>+Risultati!AP186</f>
        <v>0</v>
      </c>
      <c r="CC187" s="31" t="str">
        <f t="shared" si="159"/>
        <v>0</v>
      </c>
      <c r="CD187" s="10">
        <f>+Risultati!AQ186</f>
        <v>0</v>
      </c>
      <c r="CE187" s="31" t="str">
        <f t="shared" si="160"/>
        <v>0</v>
      </c>
      <c r="CF187" s="10">
        <f>+Risultati!AR186</f>
        <v>0</v>
      </c>
      <c r="CG187" s="31" t="str">
        <f t="shared" si="161"/>
        <v>0</v>
      </c>
      <c r="CH187" s="10">
        <f>+Risultati!AS186</f>
        <v>0</v>
      </c>
      <c r="CI187" s="31" t="str">
        <f t="shared" si="162"/>
        <v>0</v>
      </c>
      <c r="CJ187" s="10">
        <f t="shared" si="163"/>
        <v>0</v>
      </c>
      <c r="CK187" s="31" t="str">
        <f t="shared" si="164"/>
        <v>0</v>
      </c>
      <c r="CL187" s="10">
        <f>+Risultati!AE186+Risultati!AF186</f>
        <v>0</v>
      </c>
      <c r="CM187" s="31" t="str">
        <f t="shared" si="165"/>
        <v>0</v>
      </c>
      <c r="CN187" s="10">
        <f>+Risultati!AT186</f>
        <v>0</v>
      </c>
      <c r="CO187" s="31" t="str">
        <f t="shared" si="166"/>
        <v>0</v>
      </c>
      <c r="CP187" s="10">
        <f>+Risultati!AU186</f>
        <v>0</v>
      </c>
      <c r="CQ187" s="31" t="str">
        <f t="shared" si="167"/>
        <v>0</v>
      </c>
      <c r="CR187" s="10">
        <f>+Risultati!AL186</f>
        <v>0</v>
      </c>
      <c r="CS187" s="31" t="str">
        <f t="shared" si="168"/>
        <v>0</v>
      </c>
      <c r="CT187" s="10">
        <f t="shared" si="169"/>
        <v>0</v>
      </c>
      <c r="CU187" s="31" t="str">
        <f t="shared" si="170"/>
        <v>0</v>
      </c>
      <c r="CV187" s="10">
        <f>+Risultati!AX186</f>
        <v>0</v>
      </c>
      <c r="CW187" s="31" t="str">
        <f t="shared" si="171"/>
        <v>0</v>
      </c>
      <c r="CX187" s="10">
        <f t="shared" si="172"/>
        <v>0</v>
      </c>
      <c r="CY187" s="31" t="str">
        <f t="shared" si="173"/>
        <v>0</v>
      </c>
      <c r="CZ187" s="10">
        <f>+Risultati!AG186</f>
        <v>0</v>
      </c>
      <c r="DA187" s="31" t="str">
        <f t="shared" si="174"/>
        <v>0</v>
      </c>
      <c r="DB187" s="10">
        <f t="shared" si="175"/>
        <v>0</v>
      </c>
      <c r="DC187" s="31" t="str">
        <f t="shared" si="176"/>
        <v>0</v>
      </c>
      <c r="DD187" s="10">
        <f>+Risultati!AV186</f>
        <v>0</v>
      </c>
      <c r="DE187" s="31" t="str">
        <f t="shared" si="177"/>
        <v>0</v>
      </c>
      <c r="DF187" s="10">
        <f>+Risultati!AJ186</f>
        <v>0</v>
      </c>
      <c r="DG187" s="31" t="str">
        <f t="shared" si="178"/>
        <v>0</v>
      </c>
      <c r="DH187" s="10">
        <f t="shared" si="179"/>
        <v>0</v>
      </c>
      <c r="DI187" s="31" t="str">
        <f t="shared" si="180"/>
        <v>0</v>
      </c>
      <c r="DJ187" s="10">
        <f>+Risultati!AW186</f>
        <v>0</v>
      </c>
      <c r="DK187" s="31" t="str">
        <f t="shared" si="181"/>
        <v>0</v>
      </c>
      <c r="DL187" s="10">
        <f t="shared" si="152"/>
        <v>0</v>
      </c>
      <c r="DM187" s="31" t="str">
        <f t="shared" si="182"/>
        <v>0</v>
      </c>
      <c r="DO187" s="30"/>
      <c r="DP187" s="30"/>
    </row>
    <row r="188" spans="1:120" x14ac:dyDescent="0.2">
      <c r="A188" s="5"/>
      <c r="B188" s="6">
        <f>+Risultati!B187</f>
        <v>0</v>
      </c>
      <c r="C188" s="6">
        <f>+Risultati!C187</f>
        <v>0</v>
      </c>
      <c r="D188" s="26" t="str">
        <f>IF(YEAR(Risultati!D187)=1900,(MID(Risultati!$AP$1,29,4)),YEAR(Risultati!D187))</f>
        <v/>
      </c>
      <c r="E188" s="6">
        <f>+Risultati!E187</f>
        <v>0</v>
      </c>
      <c r="F188" s="8" t="e">
        <f>(LEFT(Risultati!AN187,2)&amp;"-")&amp;VLOOKUP((LEFT(Risultati!AN187,2)),ateco!$B$4:$C$93,2,FALSE)</f>
        <v>#N/A</v>
      </c>
      <c r="G188" s="8" t="str">
        <f>SUBSTITUTE((Risultati!AN187&amp;"-"&amp;Risultati!AO187),",",";")</f>
        <v>-</v>
      </c>
      <c r="I188" s="10">
        <f>+Risultati!G187</f>
        <v>0</v>
      </c>
      <c r="J188" s="11" t="str">
        <f t="shared" si="134"/>
        <v>0</v>
      </c>
      <c r="K188" s="12"/>
      <c r="L188" s="10">
        <f>+Risultati!G187+Risultati!H187</f>
        <v>0</v>
      </c>
      <c r="M188" s="11" t="str">
        <f t="shared" si="135"/>
        <v>0</v>
      </c>
      <c r="N188" s="12"/>
      <c r="O188" s="10">
        <f>+Risultati!I187+Risultati!J187</f>
        <v>0</v>
      </c>
      <c r="P188" s="11" t="str">
        <f t="shared" si="136"/>
        <v>0</v>
      </c>
      <c r="Q188" s="12"/>
      <c r="R188" s="13">
        <f t="shared" si="153"/>
        <v>0</v>
      </c>
      <c r="S188" s="11" t="str">
        <f t="shared" si="137"/>
        <v>0</v>
      </c>
      <c r="T188" s="12"/>
      <c r="U188" s="10">
        <f>+Risultati!F187-(Risultati!G187+Risultati!H187)</f>
        <v>0</v>
      </c>
      <c r="V188" s="12" t="str">
        <f t="shared" si="138"/>
        <v>0</v>
      </c>
      <c r="W188" s="12"/>
      <c r="X188" s="10">
        <f t="shared" si="154"/>
        <v>0</v>
      </c>
      <c r="Y188" s="12" t="str">
        <f t="shared" si="139"/>
        <v>0</v>
      </c>
      <c r="Z188" s="12"/>
      <c r="AA188" s="10">
        <f>+Risultati!K187</f>
        <v>0</v>
      </c>
      <c r="AB188" s="12" t="str">
        <f t="shared" si="140"/>
        <v>0</v>
      </c>
      <c r="AC188" s="12"/>
      <c r="AD188" s="10">
        <f>+Risultati!L187</f>
        <v>0</v>
      </c>
      <c r="AE188" s="12" t="str">
        <f t="shared" si="141"/>
        <v>0</v>
      </c>
      <c r="AF188" s="12"/>
      <c r="AG188" s="10">
        <f>+Risultati!M187+Risultati!P187+Risultati!Q187</f>
        <v>0</v>
      </c>
      <c r="AH188" s="12" t="str">
        <f t="shared" si="142"/>
        <v>0</v>
      </c>
      <c r="AI188" s="12"/>
      <c r="AJ188" s="13">
        <f t="shared" si="155"/>
        <v>0</v>
      </c>
      <c r="AK188" s="11" t="str">
        <f t="shared" si="143"/>
        <v>0</v>
      </c>
      <c r="AL188" s="12"/>
      <c r="AM188" s="10">
        <f>+Risultati!N187</f>
        <v>0</v>
      </c>
      <c r="AN188" s="12" t="str">
        <f t="shared" si="144"/>
        <v>0</v>
      </c>
      <c r="AO188" s="12"/>
      <c r="AP188" s="10">
        <f t="shared" si="156"/>
        <v>0</v>
      </c>
      <c r="AQ188" s="41" t="str">
        <f t="shared" si="145"/>
        <v>0</v>
      </c>
      <c r="AR188" s="12"/>
      <c r="AS188" s="10">
        <f>+Risultati!O187</f>
        <v>0</v>
      </c>
      <c r="AT188" s="12" t="str">
        <f t="shared" si="146"/>
        <v>0</v>
      </c>
      <c r="AU188" s="12"/>
      <c r="AV188" s="10">
        <f t="shared" si="157"/>
        <v>0</v>
      </c>
      <c r="AW188" s="12" t="str">
        <f t="shared" si="147"/>
        <v>0</v>
      </c>
      <c r="AX188" s="12"/>
      <c r="AY188" s="10">
        <f>+Risultati!R187+Risultati!S187</f>
        <v>0</v>
      </c>
      <c r="AZ188" s="12" t="str">
        <f t="shared" si="148"/>
        <v>0</v>
      </c>
      <c r="BA188" s="12"/>
      <c r="BB188" s="10">
        <f>+Risultati!T187</f>
        <v>0</v>
      </c>
      <c r="BC188" s="12" t="str">
        <f t="shared" si="149"/>
        <v>0</v>
      </c>
      <c r="BD188" s="12"/>
      <c r="BE188" s="10">
        <f>+Risultati!U187</f>
        <v>0</v>
      </c>
      <c r="BF188" s="12" t="str">
        <f t="shared" si="150"/>
        <v>0</v>
      </c>
      <c r="BG188" s="12"/>
      <c r="BH188" s="10">
        <f t="shared" si="158"/>
        <v>0</v>
      </c>
      <c r="BI188" s="12" t="str">
        <f t="shared" si="151"/>
        <v>0</v>
      </c>
      <c r="BK188" s="16">
        <f>IF(ISNUMBER(Risultati!X187/100),(Risultati!X187/100))</f>
        <v>0</v>
      </c>
      <c r="BL188" s="16">
        <f>IF(ISNUMBER(Risultati!Y187/100),(Risultati!Y187/100))</f>
        <v>0</v>
      </c>
      <c r="BM188" s="16">
        <f>IF(ISNUMBER(Risultati!Z187/100),(Risultati!Z187/100))</f>
        <v>0</v>
      </c>
      <c r="BN188" s="16">
        <f>IF(AND(Risultati!AY187&lt;0,calcoli!AP188&lt;0),-IF(ISNUMBER(Risultati!AA187/100),(Risultati!AA187/100)),IF(ISNUMBER(Risultati!AA187/100),(Risultati!AA187/100)))</f>
        <v>0</v>
      </c>
      <c r="BO188" s="16" t="str">
        <f t="shared" si="132"/>
        <v>0</v>
      </c>
      <c r="BP188" s="16" t="str">
        <f>IF(Risultati!AB187&gt;0,(AV188/Risultati!AB187),"0")</f>
        <v>0</v>
      </c>
      <c r="BQ188" s="16" t="str">
        <f>IF(Risultati!AG187&lt;&gt;0,(BH188/Risultati!AG187),"0")</f>
        <v>0</v>
      </c>
      <c r="BR188" s="16" t="str">
        <f t="shared" si="133"/>
        <v>0</v>
      </c>
      <c r="BS188" s="14" t="str">
        <f>IF(Risultati!AB187&gt;0,(Risultati!G187/Risultati!AB187),"0")</f>
        <v>0</v>
      </c>
      <c r="BT188" s="15" t="str">
        <f>IF(Risultati!AG187&lt;&gt;0,(Risultati!AB187/Risultati!AG187),"0")</f>
        <v>0</v>
      </c>
      <c r="BU188" s="23" t="str">
        <f>IF(AND(Risultati!G187&gt;0,(Risultati!AE187-Risultati!AF187)&gt;=0),((Risultati!AE187-Risultati!AF187)/Risultati!G187*360),"0")</f>
        <v>0</v>
      </c>
      <c r="BV188" s="21" t="str">
        <f>IF(OR(E188="abbreviato",Risultati!G187=0),"0",((Risultati!AC187+Risultati!AD187)/Risultati!G187*360))</f>
        <v>0</v>
      </c>
      <c r="BW188" s="21" t="str">
        <f>IF(OR(E188="abbreviato",Risultati!G187=0,SUM(Risultati!I187+Risultati!K187+Risultati!M187)=0),"0",(((Risultati!AH187+Risultati!AI187)/(Risultati!I187+Risultati!K187+Risultati!N187)*360)))</f>
        <v>0</v>
      </c>
      <c r="BX188" s="16" t="str">
        <f>IF(Risultati!AB187&gt;0,(+Risultati!AG187/Risultati!AB187),"0")</f>
        <v>0</v>
      </c>
      <c r="BY188" s="22" t="str">
        <f>IF(OR(E188="abbreviato",Risultati!G187=0),"0",(((Risultati!AK187-(Risultati!AL187+Risultati!AM187))/Risultati!G187)))</f>
        <v>0</v>
      </c>
      <c r="BZ188" s="16" t="str">
        <f>IF(Risultati!G187&gt;0,(Risultati!AJ187/Risultati!G187),"0")</f>
        <v>0</v>
      </c>
      <c r="CA188" s="8"/>
      <c r="CB188" s="10">
        <f>+Risultati!AP187</f>
        <v>0</v>
      </c>
      <c r="CC188" s="31" t="str">
        <f t="shared" si="159"/>
        <v>0</v>
      </c>
      <c r="CD188" s="10">
        <f>+Risultati!AQ187</f>
        <v>0</v>
      </c>
      <c r="CE188" s="31" t="str">
        <f t="shared" si="160"/>
        <v>0</v>
      </c>
      <c r="CF188" s="10">
        <f>+Risultati!AR187</f>
        <v>0</v>
      </c>
      <c r="CG188" s="31" t="str">
        <f t="shared" si="161"/>
        <v>0</v>
      </c>
      <c r="CH188" s="10">
        <f>+Risultati!AS187</f>
        <v>0</v>
      </c>
      <c r="CI188" s="31" t="str">
        <f t="shared" si="162"/>
        <v>0</v>
      </c>
      <c r="CJ188" s="10">
        <f t="shared" si="163"/>
        <v>0</v>
      </c>
      <c r="CK188" s="31" t="str">
        <f t="shared" si="164"/>
        <v>0</v>
      </c>
      <c r="CL188" s="10">
        <f>+Risultati!AE187+Risultati!AF187</f>
        <v>0</v>
      </c>
      <c r="CM188" s="31" t="str">
        <f t="shared" si="165"/>
        <v>0</v>
      </c>
      <c r="CN188" s="10">
        <f>+Risultati!AT187</f>
        <v>0</v>
      </c>
      <c r="CO188" s="31" t="str">
        <f t="shared" si="166"/>
        <v>0</v>
      </c>
      <c r="CP188" s="10">
        <f>+Risultati!AU187</f>
        <v>0</v>
      </c>
      <c r="CQ188" s="31" t="str">
        <f t="shared" si="167"/>
        <v>0</v>
      </c>
      <c r="CR188" s="10">
        <f>+Risultati!AL187</f>
        <v>0</v>
      </c>
      <c r="CS188" s="31" t="str">
        <f t="shared" si="168"/>
        <v>0</v>
      </c>
      <c r="CT188" s="10">
        <f t="shared" si="169"/>
        <v>0</v>
      </c>
      <c r="CU188" s="31" t="str">
        <f t="shared" si="170"/>
        <v>0</v>
      </c>
      <c r="CV188" s="10">
        <f>+Risultati!AX187</f>
        <v>0</v>
      </c>
      <c r="CW188" s="31" t="str">
        <f t="shared" si="171"/>
        <v>0</v>
      </c>
      <c r="CX188" s="10">
        <f t="shared" si="172"/>
        <v>0</v>
      </c>
      <c r="CY188" s="31" t="str">
        <f t="shared" si="173"/>
        <v>0</v>
      </c>
      <c r="CZ188" s="10">
        <f>+Risultati!AG187</f>
        <v>0</v>
      </c>
      <c r="DA188" s="31" t="str">
        <f t="shared" si="174"/>
        <v>0</v>
      </c>
      <c r="DB188" s="10">
        <f t="shared" si="175"/>
        <v>0</v>
      </c>
      <c r="DC188" s="31" t="str">
        <f t="shared" si="176"/>
        <v>0</v>
      </c>
      <c r="DD188" s="10">
        <f>+Risultati!AV187</f>
        <v>0</v>
      </c>
      <c r="DE188" s="31" t="str">
        <f t="shared" si="177"/>
        <v>0</v>
      </c>
      <c r="DF188" s="10">
        <f>+Risultati!AJ187</f>
        <v>0</v>
      </c>
      <c r="DG188" s="31" t="str">
        <f t="shared" si="178"/>
        <v>0</v>
      </c>
      <c r="DH188" s="10">
        <f t="shared" si="179"/>
        <v>0</v>
      </c>
      <c r="DI188" s="31" t="str">
        <f t="shared" si="180"/>
        <v>0</v>
      </c>
      <c r="DJ188" s="10">
        <f>+Risultati!AW187</f>
        <v>0</v>
      </c>
      <c r="DK188" s="31" t="str">
        <f t="shared" si="181"/>
        <v>0</v>
      </c>
      <c r="DL188" s="10">
        <f t="shared" si="152"/>
        <v>0</v>
      </c>
      <c r="DM188" s="31" t="str">
        <f t="shared" si="182"/>
        <v>0</v>
      </c>
      <c r="DO188" s="30"/>
      <c r="DP188" s="30"/>
    </row>
    <row r="189" spans="1:120" x14ac:dyDescent="0.2">
      <c r="A189" s="5"/>
      <c r="B189" s="6">
        <f>+Risultati!B188</f>
        <v>0</v>
      </c>
      <c r="C189" s="6">
        <f>+Risultati!C188</f>
        <v>0</v>
      </c>
      <c r="D189" s="26" t="str">
        <f>IF(YEAR(Risultati!D188)=1900,(MID(Risultati!$AP$1,29,4)),YEAR(Risultati!D188))</f>
        <v/>
      </c>
      <c r="E189" s="6">
        <f>+Risultati!E188</f>
        <v>0</v>
      </c>
      <c r="F189" s="8" t="e">
        <f>(LEFT(Risultati!AN188,2)&amp;"-")&amp;VLOOKUP((LEFT(Risultati!AN188,2)),ateco!$B$4:$C$93,2,FALSE)</f>
        <v>#N/A</v>
      </c>
      <c r="G189" s="8" t="str">
        <f>SUBSTITUTE((Risultati!AN188&amp;"-"&amp;Risultati!AO188),",",";")</f>
        <v>-</v>
      </c>
      <c r="I189" s="10">
        <f>+Risultati!G188</f>
        <v>0</v>
      </c>
      <c r="J189" s="11" t="str">
        <f t="shared" si="134"/>
        <v>0</v>
      </c>
      <c r="K189" s="12"/>
      <c r="L189" s="10">
        <f>+Risultati!G188+Risultati!H188</f>
        <v>0</v>
      </c>
      <c r="M189" s="11" t="str">
        <f t="shared" si="135"/>
        <v>0</v>
      </c>
      <c r="N189" s="12"/>
      <c r="O189" s="10">
        <f>+Risultati!I188+Risultati!J188</f>
        <v>0</v>
      </c>
      <c r="P189" s="11" t="str">
        <f t="shared" si="136"/>
        <v>0</v>
      </c>
      <c r="Q189" s="12"/>
      <c r="R189" s="13">
        <f t="shared" si="153"/>
        <v>0</v>
      </c>
      <c r="S189" s="11" t="str">
        <f t="shared" si="137"/>
        <v>0</v>
      </c>
      <c r="T189" s="12"/>
      <c r="U189" s="10">
        <f>+Risultati!F188-(Risultati!G188+Risultati!H188)</f>
        <v>0</v>
      </c>
      <c r="V189" s="12" t="str">
        <f t="shared" si="138"/>
        <v>0</v>
      </c>
      <c r="W189" s="12"/>
      <c r="X189" s="10">
        <f t="shared" si="154"/>
        <v>0</v>
      </c>
      <c r="Y189" s="12" t="str">
        <f t="shared" si="139"/>
        <v>0</v>
      </c>
      <c r="Z189" s="12"/>
      <c r="AA189" s="10">
        <f>+Risultati!K188</f>
        <v>0</v>
      </c>
      <c r="AB189" s="12" t="str">
        <f t="shared" si="140"/>
        <v>0</v>
      </c>
      <c r="AC189" s="12"/>
      <c r="AD189" s="10">
        <f>+Risultati!L188</f>
        <v>0</v>
      </c>
      <c r="AE189" s="12" t="str">
        <f t="shared" si="141"/>
        <v>0</v>
      </c>
      <c r="AF189" s="12"/>
      <c r="AG189" s="10">
        <f>+Risultati!M188+Risultati!P188+Risultati!Q188</f>
        <v>0</v>
      </c>
      <c r="AH189" s="12" t="str">
        <f t="shared" si="142"/>
        <v>0</v>
      </c>
      <c r="AI189" s="12"/>
      <c r="AJ189" s="13">
        <f t="shared" si="155"/>
        <v>0</v>
      </c>
      <c r="AK189" s="11" t="str">
        <f t="shared" si="143"/>
        <v>0</v>
      </c>
      <c r="AL189" s="12"/>
      <c r="AM189" s="10">
        <f>+Risultati!N188</f>
        <v>0</v>
      </c>
      <c r="AN189" s="12" t="str">
        <f t="shared" si="144"/>
        <v>0</v>
      </c>
      <c r="AO189" s="12"/>
      <c r="AP189" s="10">
        <f t="shared" si="156"/>
        <v>0</v>
      </c>
      <c r="AQ189" s="41" t="str">
        <f t="shared" si="145"/>
        <v>0</v>
      </c>
      <c r="AR189" s="12"/>
      <c r="AS189" s="10">
        <f>+Risultati!O188</f>
        <v>0</v>
      </c>
      <c r="AT189" s="12" t="str">
        <f t="shared" si="146"/>
        <v>0</v>
      </c>
      <c r="AU189" s="12"/>
      <c r="AV189" s="10">
        <f t="shared" si="157"/>
        <v>0</v>
      </c>
      <c r="AW189" s="12" t="str">
        <f t="shared" si="147"/>
        <v>0</v>
      </c>
      <c r="AX189" s="12"/>
      <c r="AY189" s="10">
        <f>+Risultati!R188+Risultati!S188</f>
        <v>0</v>
      </c>
      <c r="AZ189" s="12" t="str">
        <f t="shared" si="148"/>
        <v>0</v>
      </c>
      <c r="BA189" s="12"/>
      <c r="BB189" s="10">
        <f>+Risultati!T188</f>
        <v>0</v>
      </c>
      <c r="BC189" s="12" t="str">
        <f t="shared" si="149"/>
        <v>0</v>
      </c>
      <c r="BD189" s="12"/>
      <c r="BE189" s="10">
        <f>+Risultati!U188</f>
        <v>0</v>
      </c>
      <c r="BF189" s="12" t="str">
        <f t="shared" si="150"/>
        <v>0</v>
      </c>
      <c r="BG189" s="12"/>
      <c r="BH189" s="10">
        <f t="shared" si="158"/>
        <v>0</v>
      </c>
      <c r="BI189" s="12" t="str">
        <f t="shared" si="151"/>
        <v>0</v>
      </c>
      <c r="BK189" s="16">
        <f>IF(ISNUMBER(Risultati!X188/100),(Risultati!X188/100))</f>
        <v>0</v>
      </c>
      <c r="BL189" s="16">
        <f>IF(ISNUMBER(Risultati!Y188/100),(Risultati!Y188/100))</f>
        <v>0</v>
      </c>
      <c r="BM189" s="16">
        <f>IF(ISNUMBER(Risultati!Z188/100),(Risultati!Z188/100))</f>
        <v>0</v>
      </c>
      <c r="BN189" s="16">
        <f>IF(AND(Risultati!AY188&lt;0,calcoli!AP189&lt;0),-IF(ISNUMBER(Risultati!AA188/100),(Risultati!AA188/100)),IF(ISNUMBER(Risultati!AA188/100),(Risultati!AA188/100)))</f>
        <v>0</v>
      </c>
      <c r="BO189" s="16" t="str">
        <f t="shared" si="132"/>
        <v>0</v>
      </c>
      <c r="BP189" s="16" t="str">
        <f>IF(Risultati!AB188&gt;0,(AV189/Risultati!AB188),"0")</f>
        <v>0</v>
      </c>
      <c r="BQ189" s="16" t="str">
        <f>IF(Risultati!AG188&lt;&gt;0,(BH189/Risultati!AG188),"0")</f>
        <v>0</v>
      </c>
      <c r="BR189" s="16" t="str">
        <f t="shared" si="133"/>
        <v>0</v>
      </c>
      <c r="BS189" s="14" t="str">
        <f>IF(Risultati!AB188&gt;0,(Risultati!G188/Risultati!AB188),"0")</f>
        <v>0</v>
      </c>
      <c r="BT189" s="15" t="str">
        <f>IF(Risultati!AG188&lt;&gt;0,(Risultati!AB188/Risultati!AG188),"0")</f>
        <v>0</v>
      </c>
      <c r="BU189" s="23" t="str">
        <f>IF(AND(Risultati!G188&gt;0,(Risultati!AE188-Risultati!AF188)&gt;=0),((Risultati!AE188-Risultati!AF188)/Risultati!G188*360),"0")</f>
        <v>0</v>
      </c>
      <c r="BV189" s="21" t="str">
        <f>IF(OR(E189="abbreviato",Risultati!G188=0),"0",((Risultati!AC188+Risultati!AD188)/Risultati!G188*360))</f>
        <v>0</v>
      </c>
      <c r="BW189" s="21" t="str">
        <f>IF(OR(E189="abbreviato",Risultati!G188=0,SUM(Risultati!I188+Risultati!K188+Risultati!M188)=0),"0",(((Risultati!AH188+Risultati!AI188)/(Risultati!I188+Risultati!K188+Risultati!N188)*360)))</f>
        <v>0</v>
      </c>
      <c r="BX189" s="16" t="str">
        <f>IF(Risultati!AB188&gt;0,(+Risultati!AG188/Risultati!AB188),"0")</f>
        <v>0</v>
      </c>
      <c r="BY189" s="22" t="str">
        <f>IF(OR(E189="abbreviato",Risultati!G188=0),"0",(((Risultati!AK188-(Risultati!AL188+Risultati!AM188))/Risultati!G188)))</f>
        <v>0</v>
      </c>
      <c r="BZ189" s="16" t="str">
        <f>IF(Risultati!G188&gt;0,(Risultati!AJ188/Risultati!G188),"0")</f>
        <v>0</v>
      </c>
      <c r="CA189" s="8"/>
      <c r="CB189" s="10">
        <f>+Risultati!AP188</f>
        <v>0</v>
      </c>
      <c r="CC189" s="31" t="str">
        <f t="shared" si="159"/>
        <v>0</v>
      </c>
      <c r="CD189" s="10">
        <f>+Risultati!AQ188</f>
        <v>0</v>
      </c>
      <c r="CE189" s="31" t="str">
        <f t="shared" si="160"/>
        <v>0</v>
      </c>
      <c r="CF189" s="10">
        <f>+Risultati!AR188</f>
        <v>0</v>
      </c>
      <c r="CG189" s="31" t="str">
        <f t="shared" si="161"/>
        <v>0</v>
      </c>
      <c r="CH189" s="10">
        <f>+Risultati!AS188</f>
        <v>0</v>
      </c>
      <c r="CI189" s="31" t="str">
        <f t="shared" si="162"/>
        <v>0</v>
      </c>
      <c r="CJ189" s="10">
        <f t="shared" si="163"/>
        <v>0</v>
      </c>
      <c r="CK189" s="31" t="str">
        <f t="shared" si="164"/>
        <v>0</v>
      </c>
      <c r="CL189" s="10">
        <f>+Risultati!AE188+Risultati!AF188</f>
        <v>0</v>
      </c>
      <c r="CM189" s="31" t="str">
        <f t="shared" si="165"/>
        <v>0</v>
      </c>
      <c r="CN189" s="10">
        <f>+Risultati!AT188</f>
        <v>0</v>
      </c>
      <c r="CO189" s="31" t="str">
        <f t="shared" si="166"/>
        <v>0</v>
      </c>
      <c r="CP189" s="10">
        <f>+Risultati!AU188</f>
        <v>0</v>
      </c>
      <c r="CQ189" s="31" t="str">
        <f t="shared" si="167"/>
        <v>0</v>
      </c>
      <c r="CR189" s="10">
        <f>+Risultati!AL188</f>
        <v>0</v>
      </c>
      <c r="CS189" s="31" t="str">
        <f t="shared" si="168"/>
        <v>0</v>
      </c>
      <c r="CT189" s="10">
        <f t="shared" si="169"/>
        <v>0</v>
      </c>
      <c r="CU189" s="31" t="str">
        <f t="shared" si="170"/>
        <v>0</v>
      </c>
      <c r="CV189" s="10">
        <f>+Risultati!AX188</f>
        <v>0</v>
      </c>
      <c r="CW189" s="31" t="str">
        <f t="shared" si="171"/>
        <v>0</v>
      </c>
      <c r="CX189" s="10">
        <f t="shared" si="172"/>
        <v>0</v>
      </c>
      <c r="CY189" s="31" t="str">
        <f t="shared" si="173"/>
        <v>0</v>
      </c>
      <c r="CZ189" s="10">
        <f>+Risultati!AG188</f>
        <v>0</v>
      </c>
      <c r="DA189" s="31" t="str">
        <f t="shared" si="174"/>
        <v>0</v>
      </c>
      <c r="DB189" s="10">
        <f t="shared" si="175"/>
        <v>0</v>
      </c>
      <c r="DC189" s="31" t="str">
        <f t="shared" si="176"/>
        <v>0</v>
      </c>
      <c r="DD189" s="10">
        <f>+Risultati!AV188</f>
        <v>0</v>
      </c>
      <c r="DE189" s="31" t="str">
        <f t="shared" si="177"/>
        <v>0</v>
      </c>
      <c r="DF189" s="10">
        <f>+Risultati!AJ188</f>
        <v>0</v>
      </c>
      <c r="DG189" s="31" t="str">
        <f t="shared" si="178"/>
        <v>0</v>
      </c>
      <c r="DH189" s="10">
        <f t="shared" si="179"/>
        <v>0</v>
      </c>
      <c r="DI189" s="31" t="str">
        <f t="shared" si="180"/>
        <v>0</v>
      </c>
      <c r="DJ189" s="10">
        <f>+Risultati!AW188</f>
        <v>0</v>
      </c>
      <c r="DK189" s="31" t="str">
        <f t="shared" si="181"/>
        <v>0</v>
      </c>
      <c r="DL189" s="10">
        <f t="shared" si="152"/>
        <v>0</v>
      </c>
      <c r="DM189" s="31" t="str">
        <f t="shared" si="182"/>
        <v>0</v>
      </c>
      <c r="DO189" s="30"/>
      <c r="DP189" s="30"/>
    </row>
    <row r="190" spans="1:120" x14ac:dyDescent="0.2">
      <c r="A190" s="5"/>
      <c r="B190" s="6">
        <f>+Risultati!B189</f>
        <v>0</v>
      </c>
      <c r="C190" s="6">
        <f>+Risultati!C189</f>
        <v>0</v>
      </c>
      <c r="D190" s="26" t="str">
        <f>IF(YEAR(Risultati!D189)=1900,(MID(Risultati!$AP$1,29,4)),YEAR(Risultati!D189))</f>
        <v/>
      </c>
      <c r="E190" s="6">
        <f>+Risultati!E189</f>
        <v>0</v>
      </c>
      <c r="F190" s="8" t="e">
        <f>(LEFT(Risultati!AN189,2)&amp;"-")&amp;VLOOKUP((LEFT(Risultati!AN189,2)),ateco!$B$4:$C$93,2,FALSE)</f>
        <v>#N/A</v>
      </c>
      <c r="G190" s="8" t="str">
        <f>SUBSTITUTE((Risultati!AN189&amp;"-"&amp;Risultati!AO189),",",";")</f>
        <v>-</v>
      </c>
      <c r="I190" s="10">
        <f>+Risultati!G189</f>
        <v>0</v>
      </c>
      <c r="J190" s="11" t="str">
        <f t="shared" si="134"/>
        <v>0</v>
      </c>
      <c r="K190" s="12"/>
      <c r="L190" s="10">
        <f>+Risultati!G189+Risultati!H189</f>
        <v>0</v>
      </c>
      <c r="M190" s="11" t="str">
        <f t="shared" si="135"/>
        <v>0</v>
      </c>
      <c r="N190" s="12"/>
      <c r="O190" s="10">
        <f>+Risultati!I189+Risultati!J189</f>
        <v>0</v>
      </c>
      <c r="P190" s="11" t="str">
        <f t="shared" si="136"/>
        <v>0</v>
      </c>
      <c r="Q190" s="12"/>
      <c r="R190" s="13">
        <f t="shared" si="153"/>
        <v>0</v>
      </c>
      <c r="S190" s="11" t="str">
        <f t="shared" si="137"/>
        <v>0</v>
      </c>
      <c r="T190" s="12"/>
      <c r="U190" s="10">
        <f>+Risultati!F189-(Risultati!G189+Risultati!H189)</f>
        <v>0</v>
      </c>
      <c r="V190" s="12" t="str">
        <f t="shared" si="138"/>
        <v>0</v>
      </c>
      <c r="W190" s="12"/>
      <c r="X190" s="10">
        <f t="shared" si="154"/>
        <v>0</v>
      </c>
      <c r="Y190" s="12" t="str">
        <f t="shared" si="139"/>
        <v>0</v>
      </c>
      <c r="Z190" s="12"/>
      <c r="AA190" s="10">
        <f>+Risultati!K189</f>
        <v>0</v>
      </c>
      <c r="AB190" s="12" t="str">
        <f t="shared" si="140"/>
        <v>0</v>
      </c>
      <c r="AC190" s="12"/>
      <c r="AD190" s="10">
        <f>+Risultati!L189</f>
        <v>0</v>
      </c>
      <c r="AE190" s="12" t="str">
        <f t="shared" si="141"/>
        <v>0</v>
      </c>
      <c r="AF190" s="12"/>
      <c r="AG190" s="10">
        <f>+Risultati!M189+Risultati!P189+Risultati!Q189</f>
        <v>0</v>
      </c>
      <c r="AH190" s="12" t="str">
        <f t="shared" si="142"/>
        <v>0</v>
      </c>
      <c r="AI190" s="12"/>
      <c r="AJ190" s="13">
        <f t="shared" si="155"/>
        <v>0</v>
      </c>
      <c r="AK190" s="11" t="str">
        <f t="shared" si="143"/>
        <v>0</v>
      </c>
      <c r="AL190" s="12"/>
      <c r="AM190" s="10">
        <f>+Risultati!N189</f>
        <v>0</v>
      </c>
      <c r="AN190" s="12" t="str">
        <f t="shared" si="144"/>
        <v>0</v>
      </c>
      <c r="AO190" s="12"/>
      <c r="AP190" s="10">
        <f t="shared" si="156"/>
        <v>0</v>
      </c>
      <c r="AQ190" s="41" t="str">
        <f t="shared" si="145"/>
        <v>0</v>
      </c>
      <c r="AR190" s="12"/>
      <c r="AS190" s="10">
        <f>+Risultati!O189</f>
        <v>0</v>
      </c>
      <c r="AT190" s="12" t="str">
        <f t="shared" si="146"/>
        <v>0</v>
      </c>
      <c r="AU190" s="12"/>
      <c r="AV190" s="10">
        <f t="shared" si="157"/>
        <v>0</v>
      </c>
      <c r="AW190" s="12" t="str">
        <f t="shared" si="147"/>
        <v>0</v>
      </c>
      <c r="AX190" s="12"/>
      <c r="AY190" s="10">
        <f>+Risultati!R189+Risultati!S189</f>
        <v>0</v>
      </c>
      <c r="AZ190" s="12" t="str">
        <f t="shared" si="148"/>
        <v>0</v>
      </c>
      <c r="BA190" s="12"/>
      <c r="BB190" s="10">
        <f>+Risultati!T189</f>
        <v>0</v>
      </c>
      <c r="BC190" s="12" t="str">
        <f t="shared" si="149"/>
        <v>0</v>
      </c>
      <c r="BD190" s="12"/>
      <c r="BE190" s="10">
        <f>+Risultati!U189</f>
        <v>0</v>
      </c>
      <c r="BF190" s="12" t="str">
        <f t="shared" si="150"/>
        <v>0</v>
      </c>
      <c r="BG190" s="12"/>
      <c r="BH190" s="10">
        <f t="shared" si="158"/>
        <v>0</v>
      </c>
      <c r="BI190" s="12" t="str">
        <f t="shared" si="151"/>
        <v>0</v>
      </c>
      <c r="BK190" s="16">
        <f>IF(ISNUMBER(Risultati!X189/100),(Risultati!X189/100))</f>
        <v>0</v>
      </c>
      <c r="BL190" s="16">
        <f>IF(ISNUMBER(Risultati!Y189/100),(Risultati!Y189/100))</f>
        <v>0</v>
      </c>
      <c r="BM190" s="16">
        <f>IF(ISNUMBER(Risultati!Z189/100),(Risultati!Z189/100))</f>
        <v>0</v>
      </c>
      <c r="BN190" s="16">
        <f>IF(AND(Risultati!AY189&lt;0,calcoli!AP190&lt;0),-IF(ISNUMBER(Risultati!AA189/100),(Risultati!AA189/100)),IF(ISNUMBER(Risultati!AA189/100),(Risultati!AA189/100)))</f>
        <v>0</v>
      </c>
      <c r="BO190" s="16" t="str">
        <f t="shared" si="132"/>
        <v>0</v>
      </c>
      <c r="BP190" s="16" t="str">
        <f>IF(Risultati!AB189&gt;0,(AV190/Risultati!AB189),"0")</f>
        <v>0</v>
      </c>
      <c r="BQ190" s="16" t="str">
        <f>IF(Risultati!AG189&lt;&gt;0,(BH190/Risultati!AG189),"0")</f>
        <v>0</v>
      </c>
      <c r="BR190" s="16" t="str">
        <f t="shared" si="133"/>
        <v>0</v>
      </c>
      <c r="BS190" s="14" t="str">
        <f>IF(Risultati!AB189&gt;0,(Risultati!G189/Risultati!AB189),"0")</f>
        <v>0</v>
      </c>
      <c r="BT190" s="15" t="str">
        <f>IF(Risultati!AG189&lt;&gt;0,(Risultati!AB189/Risultati!AG189),"0")</f>
        <v>0</v>
      </c>
      <c r="BU190" s="23" t="str">
        <f>IF(AND(Risultati!G189&gt;0,(Risultati!AE189-Risultati!AF189)&gt;=0),((Risultati!AE189-Risultati!AF189)/Risultati!G189*360),"0")</f>
        <v>0</v>
      </c>
      <c r="BV190" s="21" t="str">
        <f>IF(OR(E190="abbreviato",Risultati!G189=0),"0",((Risultati!AC189+Risultati!AD189)/Risultati!G189*360))</f>
        <v>0</v>
      </c>
      <c r="BW190" s="21" t="str">
        <f>IF(OR(E190="abbreviato",Risultati!G189=0,SUM(Risultati!I189+Risultati!K189+Risultati!M189)=0),"0",(((Risultati!AH189+Risultati!AI189)/(Risultati!I189+Risultati!K189+Risultati!N189)*360)))</f>
        <v>0</v>
      </c>
      <c r="BX190" s="16" t="str">
        <f>IF(Risultati!AB189&gt;0,(+Risultati!AG189/Risultati!AB189),"0")</f>
        <v>0</v>
      </c>
      <c r="BY190" s="22" t="str">
        <f>IF(OR(E190="abbreviato",Risultati!G189=0),"0",(((Risultati!AK189-(Risultati!AL189+Risultati!AM189))/Risultati!G189)))</f>
        <v>0</v>
      </c>
      <c r="BZ190" s="16" t="str">
        <f>IF(Risultati!G189&gt;0,(Risultati!AJ189/Risultati!G189),"0")</f>
        <v>0</v>
      </c>
      <c r="CA190" s="8"/>
      <c r="CB190" s="10">
        <f>+Risultati!AP189</f>
        <v>0</v>
      </c>
      <c r="CC190" s="31" t="str">
        <f t="shared" si="159"/>
        <v>0</v>
      </c>
      <c r="CD190" s="10">
        <f>+Risultati!AQ189</f>
        <v>0</v>
      </c>
      <c r="CE190" s="31" t="str">
        <f t="shared" si="160"/>
        <v>0</v>
      </c>
      <c r="CF190" s="10">
        <f>+Risultati!AR189</f>
        <v>0</v>
      </c>
      <c r="CG190" s="31" t="str">
        <f t="shared" si="161"/>
        <v>0</v>
      </c>
      <c r="CH190" s="10">
        <f>+Risultati!AS189</f>
        <v>0</v>
      </c>
      <c r="CI190" s="31" t="str">
        <f t="shared" si="162"/>
        <v>0</v>
      </c>
      <c r="CJ190" s="10">
        <f t="shared" si="163"/>
        <v>0</v>
      </c>
      <c r="CK190" s="31" t="str">
        <f t="shared" si="164"/>
        <v>0</v>
      </c>
      <c r="CL190" s="10">
        <f>+Risultati!AE189+Risultati!AF189</f>
        <v>0</v>
      </c>
      <c r="CM190" s="31" t="str">
        <f t="shared" si="165"/>
        <v>0</v>
      </c>
      <c r="CN190" s="10">
        <f>+Risultati!AT189</f>
        <v>0</v>
      </c>
      <c r="CO190" s="31" t="str">
        <f t="shared" si="166"/>
        <v>0</v>
      </c>
      <c r="CP190" s="10">
        <f>+Risultati!AU189</f>
        <v>0</v>
      </c>
      <c r="CQ190" s="31" t="str">
        <f t="shared" si="167"/>
        <v>0</v>
      </c>
      <c r="CR190" s="10">
        <f>+Risultati!AL189</f>
        <v>0</v>
      </c>
      <c r="CS190" s="31" t="str">
        <f t="shared" si="168"/>
        <v>0</v>
      </c>
      <c r="CT190" s="10">
        <f t="shared" si="169"/>
        <v>0</v>
      </c>
      <c r="CU190" s="31" t="str">
        <f t="shared" si="170"/>
        <v>0</v>
      </c>
      <c r="CV190" s="10">
        <f>+Risultati!AX189</f>
        <v>0</v>
      </c>
      <c r="CW190" s="31" t="str">
        <f t="shared" si="171"/>
        <v>0</v>
      </c>
      <c r="CX190" s="10">
        <f t="shared" si="172"/>
        <v>0</v>
      </c>
      <c r="CY190" s="31" t="str">
        <f t="shared" si="173"/>
        <v>0</v>
      </c>
      <c r="CZ190" s="10">
        <f>+Risultati!AG189</f>
        <v>0</v>
      </c>
      <c r="DA190" s="31" t="str">
        <f t="shared" si="174"/>
        <v>0</v>
      </c>
      <c r="DB190" s="10">
        <f t="shared" si="175"/>
        <v>0</v>
      </c>
      <c r="DC190" s="31" t="str">
        <f t="shared" si="176"/>
        <v>0</v>
      </c>
      <c r="DD190" s="10">
        <f>+Risultati!AV189</f>
        <v>0</v>
      </c>
      <c r="DE190" s="31" t="str">
        <f t="shared" si="177"/>
        <v>0</v>
      </c>
      <c r="DF190" s="10">
        <f>+Risultati!AJ189</f>
        <v>0</v>
      </c>
      <c r="DG190" s="31" t="str">
        <f t="shared" si="178"/>
        <v>0</v>
      </c>
      <c r="DH190" s="10">
        <f t="shared" si="179"/>
        <v>0</v>
      </c>
      <c r="DI190" s="31" t="str">
        <f t="shared" si="180"/>
        <v>0</v>
      </c>
      <c r="DJ190" s="10">
        <f>+Risultati!AW189</f>
        <v>0</v>
      </c>
      <c r="DK190" s="31" t="str">
        <f t="shared" si="181"/>
        <v>0</v>
      </c>
      <c r="DL190" s="10">
        <f t="shared" si="152"/>
        <v>0</v>
      </c>
      <c r="DM190" s="31" t="str">
        <f t="shared" si="182"/>
        <v>0</v>
      </c>
      <c r="DO190" s="30"/>
      <c r="DP190" s="30"/>
    </row>
    <row r="191" spans="1:120" x14ac:dyDescent="0.2">
      <c r="A191" s="5"/>
      <c r="B191" s="6">
        <f>+Risultati!B190</f>
        <v>0</v>
      </c>
      <c r="C191" s="6">
        <f>+Risultati!C190</f>
        <v>0</v>
      </c>
      <c r="D191" s="26" t="str">
        <f>IF(YEAR(Risultati!D190)=1900,(MID(Risultati!$AP$1,29,4)),YEAR(Risultati!D190))</f>
        <v/>
      </c>
      <c r="E191" s="6">
        <f>+Risultati!E190</f>
        <v>0</v>
      </c>
      <c r="F191" s="8" t="e">
        <f>(LEFT(Risultati!AN190,2)&amp;"-")&amp;VLOOKUP((LEFT(Risultati!AN190,2)),ateco!$B$4:$C$93,2,FALSE)</f>
        <v>#N/A</v>
      </c>
      <c r="G191" s="8" t="str">
        <f>SUBSTITUTE((Risultati!AN190&amp;"-"&amp;Risultati!AO190),",",";")</f>
        <v>-</v>
      </c>
      <c r="I191" s="10">
        <f>+Risultati!G190</f>
        <v>0</v>
      </c>
      <c r="J191" s="11" t="str">
        <f t="shared" si="134"/>
        <v>0</v>
      </c>
      <c r="K191" s="12"/>
      <c r="L191" s="10">
        <f>+Risultati!G190+Risultati!H190</f>
        <v>0</v>
      </c>
      <c r="M191" s="11" t="str">
        <f t="shared" si="135"/>
        <v>0</v>
      </c>
      <c r="N191" s="12"/>
      <c r="O191" s="10">
        <f>+Risultati!I190+Risultati!J190</f>
        <v>0</v>
      </c>
      <c r="P191" s="11" t="str">
        <f t="shared" si="136"/>
        <v>0</v>
      </c>
      <c r="Q191" s="12"/>
      <c r="R191" s="13">
        <f t="shared" si="153"/>
        <v>0</v>
      </c>
      <c r="S191" s="11" t="str">
        <f t="shared" si="137"/>
        <v>0</v>
      </c>
      <c r="T191" s="12"/>
      <c r="U191" s="10">
        <f>+Risultati!F190-(Risultati!G190+Risultati!H190)</f>
        <v>0</v>
      </c>
      <c r="V191" s="12" t="str">
        <f t="shared" si="138"/>
        <v>0</v>
      </c>
      <c r="W191" s="12"/>
      <c r="X191" s="10">
        <f t="shared" si="154"/>
        <v>0</v>
      </c>
      <c r="Y191" s="12" t="str">
        <f t="shared" si="139"/>
        <v>0</v>
      </c>
      <c r="Z191" s="12"/>
      <c r="AA191" s="10">
        <f>+Risultati!K190</f>
        <v>0</v>
      </c>
      <c r="AB191" s="12" t="str">
        <f t="shared" si="140"/>
        <v>0</v>
      </c>
      <c r="AC191" s="12"/>
      <c r="AD191" s="10">
        <f>+Risultati!L190</f>
        <v>0</v>
      </c>
      <c r="AE191" s="12" t="str">
        <f t="shared" si="141"/>
        <v>0</v>
      </c>
      <c r="AF191" s="12"/>
      <c r="AG191" s="10">
        <f>+Risultati!M190+Risultati!P190+Risultati!Q190</f>
        <v>0</v>
      </c>
      <c r="AH191" s="12" t="str">
        <f t="shared" si="142"/>
        <v>0</v>
      </c>
      <c r="AI191" s="12"/>
      <c r="AJ191" s="13">
        <f t="shared" si="155"/>
        <v>0</v>
      </c>
      <c r="AK191" s="11" t="str">
        <f t="shared" si="143"/>
        <v>0</v>
      </c>
      <c r="AL191" s="12"/>
      <c r="AM191" s="10">
        <f>+Risultati!N190</f>
        <v>0</v>
      </c>
      <c r="AN191" s="12" t="str">
        <f t="shared" si="144"/>
        <v>0</v>
      </c>
      <c r="AO191" s="12"/>
      <c r="AP191" s="10">
        <f t="shared" si="156"/>
        <v>0</v>
      </c>
      <c r="AQ191" s="41" t="str">
        <f t="shared" si="145"/>
        <v>0</v>
      </c>
      <c r="AR191" s="12"/>
      <c r="AS191" s="10">
        <f>+Risultati!O190</f>
        <v>0</v>
      </c>
      <c r="AT191" s="12" t="str">
        <f t="shared" si="146"/>
        <v>0</v>
      </c>
      <c r="AU191" s="12"/>
      <c r="AV191" s="10">
        <f t="shared" si="157"/>
        <v>0</v>
      </c>
      <c r="AW191" s="12" t="str">
        <f t="shared" si="147"/>
        <v>0</v>
      </c>
      <c r="AX191" s="12"/>
      <c r="AY191" s="10">
        <f>+Risultati!R190+Risultati!S190</f>
        <v>0</v>
      </c>
      <c r="AZ191" s="12" t="str">
        <f t="shared" si="148"/>
        <v>0</v>
      </c>
      <c r="BA191" s="12"/>
      <c r="BB191" s="10">
        <f>+Risultati!T190</f>
        <v>0</v>
      </c>
      <c r="BC191" s="12" t="str">
        <f t="shared" si="149"/>
        <v>0</v>
      </c>
      <c r="BD191" s="12"/>
      <c r="BE191" s="10">
        <f>+Risultati!U190</f>
        <v>0</v>
      </c>
      <c r="BF191" s="12" t="str">
        <f t="shared" si="150"/>
        <v>0</v>
      </c>
      <c r="BG191" s="12"/>
      <c r="BH191" s="10">
        <f t="shared" si="158"/>
        <v>0</v>
      </c>
      <c r="BI191" s="12" t="str">
        <f t="shared" si="151"/>
        <v>0</v>
      </c>
      <c r="BK191" s="16">
        <f>IF(ISNUMBER(Risultati!X190/100),(Risultati!X190/100))</f>
        <v>0</v>
      </c>
      <c r="BL191" s="16">
        <f>IF(ISNUMBER(Risultati!Y190/100),(Risultati!Y190/100))</f>
        <v>0</v>
      </c>
      <c r="BM191" s="16">
        <f>IF(ISNUMBER(Risultati!Z190/100),(Risultati!Z190/100))</f>
        <v>0</v>
      </c>
      <c r="BN191" s="16">
        <f>IF(AND(Risultati!AY190&lt;0,calcoli!AP191&lt;0),-IF(ISNUMBER(Risultati!AA190/100),(Risultati!AA190/100)),IF(ISNUMBER(Risultati!AA190/100),(Risultati!AA190/100)))</f>
        <v>0</v>
      </c>
      <c r="BO191" s="16" t="str">
        <f t="shared" si="132"/>
        <v>0</v>
      </c>
      <c r="BP191" s="16" t="str">
        <f>IF(Risultati!AB190&gt;0,(AV191/Risultati!AB190),"0")</f>
        <v>0</v>
      </c>
      <c r="BQ191" s="16" t="str">
        <f>IF(Risultati!AG190&lt;&gt;0,(BH191/Risultati!AG190),"0")</f>
        <v>0</v>
      </c>
      <c r="BR191" s="16" t="str">
        <f t="shared" si="133"/>
        <v>0</v>
      </c>
      <c r="BS191" s="14" t="str">
        <f>IF(Risultati!AB190&gt;0,(Risultati!G190/Risultati!AB190),"0")</f>
        <v>0</v>
      </c>
      <c r="BT191" s="15" t="str">
        <f>IF(Risultati!AG190&lt;&gt;0,(Risultati!AB190/Risultati!AG190),"0")</f>
        <v>0</v>
      </c>
      <c r="BU191" s="23" t="str">
        <f>IF(AND(Risultati!G190&gt;0,(Risultati!AE190-Risultati!AF190)&gt;=0),((Risultati!AE190-Risultati!AF190)/Risultati!G190*360),"0")</f>
        <v>0</v>
      </c>
      <c r="BV191" s="21" t="str">
        <f>IF(OR(E191="abbreviato",Risultati!G190=0),"0",((Risultati!AC190+Risultati!AD190)/Risultati!G190*360))</f>
        <v>0</v>
      </c>
      <c r="BW191" s="21" t="str">
        <f>IF(OR(E191="abbreviato",Risultati!G190=0,SUM(Risultati!I190+Risultati!K190+Risultati!M190)=0),"0",(((Risultati!AH190+Risultati!AI190)/(Risultati!I190+Risultati!K190+Risultati!N190)*360)))</f>
        <v>0</v>
      </c>
      <c r="BX191" s="16" t="str">
        <f>IF(Risultati!AB190&gt;0,(+Risultati!AG190/Risultati!AB190),"0")</f>
        <v>0</v>
      </c>
      <c r="BY191" s="22" t="str">
        <f>IF(OR(E191="abbreviato",Risultati!G190=0),"0",(((Risultati!AK190-(Risultati!AL190+Risultati!AM190))/Risultati!G190)))</f>
        <v>0</v>
      </c>
      <c r="BZ191" s="16" t="str">
        <f>IF(Risultati!G190&gt;0,(Risultati!AJ190/Risultati!G190),"0")</f>
        <v>0</v>
      </c>
      <c r="CA191" s="8"/>
      <c r="CB191" s="10">
        <f>+Risultati!AP190</f>
        <v>0</v>
      </c>
      <c r="CC191" s="31" t="str">
        <f t="shared" si="159"/>
        <v>0</v>
      </c>
      <c r="CD191" s="10">
        <f>+Risultati!AQ190</f>
        <v>0</v>
      </c>
      <c r="CE191" s="31" t="str">
        <f t="shared" si="160"/>
        <v>0</v>
      </c>
      <c r="CF191" s="10">
        <f>+Risultati!AR190</f>
        <v>0</v>
      </c>
      <c r="CG191" s="31" t="str">
        <f t="shared" si="161"/>
        <v>0</v>
      </c>
      <c r="CH191" s="10">
        <f>+Risultati!AS190</f>
        <v>0</v>
      </c>
      <c r="CI191" s="31" t="str">
        <f t="shared" si="162"/>
        <v>0</v>
      </c>
      <c r="CJ191" s="10">
        <f t="shared" si="163"/>
        <v>0</v>
      </c>
      <c r="CK191" s="31" t="str">
        <f t="shared" si="164"/>
        <v>0</v>
      </c>
      <c r="CL191" s="10">
        <f>+Risultati!AE190+Risultati!AF190</f>
        <v>0</v>
      </c>
      <c r="CM191" s="31" t="str">
        <f t="shared" si="165"/>
        <v>0</v>
      </c>
      <c r="CN191" s="10">
        <f>+Risultati!AT190</f>
        <v>0</v>
      </c>
      <c r="CO191" s="31" t="str">
        <f t="shared" si="166"/>
        <v>0</v>
      </c>
      <c r="CP191" s="10">
        <f>+Risultati!AU190</f>
        <v>0</v>
      </c>
      <c r="CQ191" s="31" t="str">
        <f t="shared" si="167"/>
        <v>0</v>
      </c>
      <c r="CR191" s="10">
        <f>+Risultati!AL190</f>
        <v>0</v>
      </c>
      <c r="CS191" s="31" t="str">
        <f t="shared" si="168"/>
        <v>0</v>
      </c>
      <c r="CT191" s="10">
        <f t="shared" si="169"/>
        <v>0</v>
      </c>
      <c r="CU191" s="31" t="str">
        <f t="shared" si="170"/>
        <v>0</v>
      </c>
      <c r="CV191" s="10">
        <f>+Risultati!AX190</f>
        <v>0</v>
      </c>
      <c r="CW191" s="31" t="str">
        <f t="shared" si="171"/>
        <v>0</v>
      </c>
      <c r="CX191" s="10">
        <f t="shared" si="172"/>
        <v>0</v>
      </c>
      <c r="CY191" s="31" t="str">
        <f t="shared" si="173"/>
        <v>0</v>
      </c>
      <c r="CZ191" s="10">
        <f>+Risultati!AG190</f>
        <v>0</v>
      </c>
      <c r="DA191" s="31" t="str">
        <f t="shared" si="174"/>
        <v>0</v>
      </c>
      <c r="DB191" s="10">
        <f t="shared" si="175"/>
        <v>0</v>
      </c>
      <c r="DC191" s="31" t="str">
        <f t="shared" si="176"/>
        <v>0</v>
      </c>
      <c r="DD191" s="10">
        <f>+Risultati!AV190</f>
        <v>0</v>
      </c>
      <c r="DE191" s="31" t="str">
        <f t="shared" si="177"/>
        <v>0</v>
      </c>
      <c r="DF191" s="10">
        <f>+Risultati!AJ190</f>
        <v>0</v>
      </c>
      <c r="DG191" s="31" t="str">
        <f t="shared" si="178"/>
        <v>0</v>
      </c>
      <c r="DH191" s="10">
        <f t="shared" si="179"/>
        <v>0</v>
      </c>
      <c r="DI191" s="31" t="str">
        <f t="shared" si="180"/>
        <v>0</v>
      </c>
      <c r="DJ191" s="10">
        <f>+Risultati!AW190</f>
        <v>0</v>
      </c>
      <c r="DK191" s="31" t="str">
        <f t="shared" si="181"/>
        <v>0</v>
      </c>
      <c r="DL191" s="10">
        <f t="shared" si="152"/>
        <v>0</v>
      </c>
      <c r="DM191" s="31" t="str">
        <f t="shared" si="182"/>
        <v>0</v>
      </c>
      <c r="DO191" s="30"/>
      <c r="DP191" s="30"/>
    </row>
    <row r="192" spans="1:120" x14ac:dyDescent="0.2">
      <c r="A192" s="5"/>
      <c r="B192" s="6">
        <f>+Risultati!B191</f>
        <v>0</v>
      </c>
      <c r="C192" s="6">
        <f>+Risultati!C191</f>
        <v>0</v>
      </c>
      <c r="D192" s="26" t="str">
        <f>IF(YEAR(Risultati!D191)=1900,(MID(Risultati!$AP$1,29,4)),YEAR(Risultati!D191))</f>
        <v/>
      </c>
      <c r="E192" s="6">
        <f>+Risultati!E191</f>
        <v>0</v>
      </c>
      <c r="F192" s="8" t="e">
        <f>(LEFT(Risultati!AN191,2)&amp;"-")&amp;VLOOKUP((LEFT(Risultati!AN191,2)),ateco!$B$4:$C$93,2,FALSE)</f>
        <v>#N/A</v>
      </c>
      <c r="G192" s="8" t="str">
        <f>SUBSTITUTE((Risultati!AN191&amp;"-"&amp;Risultati!AO191),",",";")</f>
        <v>-</v>
      </c>
      <c r="I192" s="10">
        <f>+Risultati!G191</f>
        <v>0</v>
      </c>
      <c r="J192" s="11" t="str">
        <f t="shared" si="134"/>
        <v>0</v>
      </c>
      <c r="K192" s="12"/>
      <c r="L192" s="10">
        <f>+Risultati!G191+Risultati!H191</f>
        <v>0</v>
      </c>
      <c r="M192" s="11" t="str">
        <f t="shared" si="135"/>
        <v>0</v>
      </c>
      <c r="N192" s="12"/>
      <c r="O192" s="10">
        <f>+Risultati!I191+Risultati!J191</f>
        <v>0</v>
      </c>
      <c r="P192" s="11" t="str">
        <f t="shared" si="136"/>
        <v>0</v>
      </c>
      <c r="Q192" s="12"/>
      <c r="R192" s="13">
        <f t="shared" si="153"/>
        <v>0</v>
      </c>
      <c r="S192" s="11" t="str">
        <f t="shared" si="137"/>
        <v>0</v>
      </c>
      <c r="T192" s="12"/>
      <c r="U192" s="10">
        <f>+Risultati!F191-(Risultati!G191+Risultati!H191)</f>
        <v>0</v>
      </c>
      <c r="V192" s="12" t="str">
        <f t="shared" si="138"/>
        <v>0</v>
      </c>
      <c r="W192" s="12"/>
      <c r="X192" s="10">
        <f t="shared" si="154"/>
        <v>0</v>
      </c>
      <c r="Y192" s="12" t="str">
        <f t="shared" si="139"/>
        <v>0</v>
      </c>
      <c r="Z192" s="12"/>
      <c r="AA192" s="10">
        <f>+Risultati!K191</f>
        <v>0</v>
      </c>
      <c r="AB192" s="12" t="str">
        <f t="shared" si="140"/>
        <v>0</v>
      </c>
      <c r="AC192" s="12"/>
      <c r="AD192" s="10">
        <f>+Risultati!L191</f>
        <v>0</v>
      </c>
      <c r="AE192" s="12" t="str">
        <f t="shared" si="141"/>
        <v>0</v>
      </c>
      <c r="AF192" s="12"/>
      <c r="AG192" s="10">
        <f>+Risultati!M191+Risultati!P191+Risultati!Q191</f>
        <v>0</v>
      </c>
      <c r="AH192" s="12" t="str">
        <f t="shared" si="142"/>
        <v>0</v>
      </c>
      <c r="AI192" s="12"/>
      <c r="AJ192" s="13">
        <f t="shared" si="155"/>
        <v>0</v>
      </c>
      <c r="AK192" s="11" t="str">
        <f t="shared" si="143"/>
        <v>0</v>
      </c>
      <c r="AL192" s="12"/>
      <c r="AM192" s="10">
        <f>+Risultati!N191</f>
        <v>0</v>
      </c>
      <c r="AN192" s="12" t="str">
        <f t="shared" si="144"/>
        <v>0</v>
      </c>
      <c r="AO192" s="12"/>
      <c r="AP192" s="10">
        <f t="shared" si="156"/>
        <v>0</v>
      </c>
      <c r="AQ192" s="41" t="str">
        <f t="shared" si="145"/>
        <v>0</v>
      </c>
      <c r="AR192" s="12"/>
      <c r="AS192" s="10">
        <f>+Risultati!O191</f>
        <v>0</v>
      </c>
      <c r="AT192" s="12" t="str">
        <f t="shared" si="146"/>
        <v>0</v>
      </c>
      <c r="AU192" s="12"/>
      <c r="AV192" s="10">
        <f t="shared" si="157"/>
        <v>0</v>
      </c>
      <c r="AW192" s="12" t="str">
        <f t="shared" si="147"/>
        <v>0</v>
      </c>
      <c r="AX192" s="12"/>
      <c r="AY192" s="10">
        <f>+Risultati!R191+Risultati!S191</f>
        <v>0</v>
      </c>
      <c r="AZ192" s="12" t="str">
        <f t="shared" si="148"/>
        <v>0</v>
      </c>
      <c r="BA192" s="12"/>
      <c r="BB192" s="10">
        <f>+Risultati!T191</f>
        <v>0</v>
      </c>
      <c r="BC192" s="12" t="str">
        <f t="shared" si="149"/>
        <v>0</v>
      </c>
      <c r="BD192" s="12"/>
      <c r="BE192" s="10">
        <f>+Risultati!U191</f>
        <v>0</v>
      </c>
      <c r="BF192" s="12" t="str">
        <f t="shared" si="150"/>
        <v>0</v>
      </c>
      <c r="BG192" s="12"/>
      <c r="BH192" s="10">
        <f t="shared" si="158"/>
        <v>0</v>
      </c>
      <c r="BI192" s="12" t="str">
        <f t="shared" si="151"/>
        <v>0</v>
      </c>
      <c r="BK192" s="16">
        <f>IF(ISNUMBER(Risultati!X191/100),(Risultati!X191/100))</f>
        <v>0</v>
      </c>
      <c r="BL192" s="16">
        <f>IF(ISNUMBER(Risultati!Y191/100),(Risultati!Y191/100))</f>
        <v>0</v>
      </c>
      <c r="BM192" s="16">
        <f>IF(ISNUMBER(Risultati!Z191/100),(Risultati!Z191/100))</f>
        <v>0</v>
      </c>
      <c r="BN192" s="16">
        <f>IF(AND(Risultati!AY191&lt;0,calcoli!AP192&lt;0),-IF(ISNUMBER(Risultati!AA191/100),(Risultati!AA191/100)),IF(ISNUMBER(Risultati!AA191/100),(Risultati!AA191/100)))</f>
        <v>0</v>
      </c>
      <c r="BO192" s="16" t="str">
        <f t="shared" si="132"/>
        <v>0</v>
      </c>
      <c r="BP192" s="16" t="str">
        <f>IF(Risultati!AB191&gt;0,(AV192/Risultati!AB191),"0")</f>
        <v>0</v>
      </c>
      <c r="BQ192" s="16" t="str">
        <f>IF(Risultati!AG191&lt;&gt;0,(BH192/Risultati!AG191),"0")</f>
        <v>0</v>
      </c>
      <c r="BR192" s="16" t="str">
        <f t="shared" si="133"/>
        <v>0</v>
      </c>
      <c r="BS192" s="14" t="str">
        <f>IF(Risultati!AB191&gt;0,(Risultati!G191/Risultati!AB191),"0")</f>
        <v>0</v>
      </c>
      <c r="BT192" s="15" t="str">
        <f>IF(Risultati!AG191&lt;&gt;0,(Risultati!AB191/Risultati!AG191),"0")</f>
        <v>0</v>
      </c>
      <c r="BU192" s="23" t="str">
        <f>IF(AND(Risultati!G191&gt;0,(Risultati!AE191-Risultati!AF191)&gt;=0),((Risultati!AE191-Risultati!AF191)/Risultati!G191*360),"0")</f>
        <v>0</v>
      </c>
      <c r="BV192" s="21" t="str">
        <f>IF(OR(E192="abbreviato",Risultati!G191=0),"0",((Risultati!AC191+Risultati!AD191)/Risultati!G191*360))</f>
        <v>0</v>
      </c>
      <c r="BW192" s="21" t="str">
        <f>IF(OR(E192="abbreviato",Risultati!G191=0,SUM(Risultati!I191+Risultati!K191+Risultati!M191)=0),"0",(((Risultati!AH191+Risultati!AI191)/(Risultati!I191+Risultati!K191+Risultati!N191)*360)))</f>
        <v>0</v>
      </c>
      <c r="BX192" s="16" t="str">
        <f>IF(Risultati!AB191&gt;0,(+Risultati!AG191/Risultati!AB191),"0")</f>
        <v>0</v>
      </c>
      <c r="BY192" s="22" t="str">
        <f>IF(OR(E192="abbreviato",Risultati!G191=0),"0",(((Risultati!AK191-(Risultati!AL191+Risultati!AM191))/Risultati!G191)))</f>
        <v>0</v>
      </c>
      <c r="BZ192" s="16" t="str">
        <f>IF(Risultati!G191&gt;0,(Risultati!AJ191/Risultati!G191),"0")</f>
        <v>0</v>
      </c>
      <c r="CA192" s="8"/>
      <c r="CB192" s="10">
        <f>+Risultati!AP191</f>
        <v>0</v>
      </c>
      <c r="CC192" s="31" t="str">
        <f t="shared" si="159"/>
        <v>0</v>
      </c>
      <c r="CD192" s="10">
        <f>+Risultati!AQ191</f>
        <v>0</v>
      </c>
      <c r="CE192" s="31" t="str">
        <f t="shared" si="160"/>
        <v>0</v>
      </c>
      <c r="CF192" s="10">
        <f>+Risultati!AR191</f>
        <v>0</v>
      </c>
      <c r="CG192" s="31" t="str">
        <f t="shared" si="161"/>
        <v>0</v>
      </c>
      <c r="CH192" s="10">
        <f>+Risultati!AS191</f>
        <v>0</v>
      </c>
      <c r="CI192" s="31" t="str">
        <f t="shared" si="162"/>
        <v>0</v>
      </c>
      <c r="CJ192" s="10">
        <f t="shared" si="163"/>
        <v>0</v>
      </c>
      <c r="CK192" s="31" t="str">
        <f t="shared" si="164"/>
        <v>0</v>
      </c>
      <c r="CL192" s="10">
        <f>+Risultati!AE191+Risultati!AF191</f>
        <v>0</v>
      </c>
      <c r="CM192" s="31" t="str">
        <f t="shared" si="165"/>
        <v>0</v>
      </c>
      <c r="CN192" s="10">
        <f>+Risultati!AT191</f>
        <v>0</v>
      </c>
      <c r="CO192" s="31" t="str">
        <f t="shared" si="166"/>
        <v>0</v>
      </c>
      <c r="CP192" s="10">
        <f>+Risultati!AU191</f>
        <v>0</v>
      </c>
      <c r="CQ192" s="31" t="str">
        <f t="shared" si="167"/>
        <v>0</v>
      </c>
      <c r="CR192" s="10">
        <f>+Risultati!AL191</f>
        <v>0</v>
      </c>
      <c r="CS192" s="31" t="str">
        <f t="shared" si="168"/>
        <v>0</v>
      </c>
      <c r="CT192" s="10">
        <f t="shared" si="169"/>
        <v>0</v>
      </c>
      <c r="CU192" s="31" t="str">
        <f t="shared" si="170"/>
        <v>0</v>
      </c>
      <c r="CV192" s="10">
        <f>+Risultati!AX191</f>
        <v>0</v>
      </c>
      <c r="CW192" s="31" t="str">
        <f t="shared" si="171"/>
        <v>0</v>
      </c>
      <c r="CX192" s="10">
        <f t="shared" si="172"/>
        <v>0</v>
      </c>
      <c r="CY192" s="31" t="str">
        <f t="shared" si="173"/>
        <v>0</v>
      </c>
      <c r="CZ192" s="10">
        <f>+Risultati!AG191</f>
        <v>0</v>
      </c>
      <c r="DA192" s="31" t="str">
        <f t="shared" si="174"/>
        <v>0</v>
      </c>
      <c r="DB192" s="10">
        <f t="shared" si="175"/>
        <v>0</v>
      </c>
      <c r="DC192" s="31" t="str">
        <f t="shared" si="176"/>
        <v>0</v>
      </c>
      <c r="DD192" s="10">
        <f>+Risultati!AV191</f>
        <v>0</v>
      </c>
      <c r="DE192" s="31" t="str">
        <f t="shared" si="177"/>
        <v>0</v>
      </c>
      <c r="DF192" s="10">
        <f>+Risultati!AJ191</f>
        <v>0</v>
      </c>
      <c r="DG192" s="31" t="str">
        <f t="shared" si="178"/>
        <v>0</v>
      </c>
      <c r="DH192" s="10">
        <f t="shared" si="179"/>
        <v>0</v>
      </c>
      <c r="DI192" s="31" t="str">
        <f t="shared" si="180"/>
        <v>0</v>
      </c>
      <c r="DJ192" s="10">
        <f>+Risultati!AW191</f>
        <v>0</v>
      </c>
      <c r="DK192" s="31" t="str">
        <f t="shared" si="181"/>
        <v>0</v>
      </c>
      <c r="DL192" s="10">
        <f t="shared" si="152"/>
        <v>0</v>
      </c>
      <c r="DM192" s="31" t="str">
        <f t="shared" si="182"/>
        <v>0</v>
      </c>
      <c r="DO192" s="30"/>
      <c r="DP192" s="30"/>
    </row>
    <row r="193" spans="1:120" x14ac:dyDescent="0.2">
      <c r="A193" s="5"/>
      <c r="B193" s="6">
        <f>+Risultati!B192</f>
        <v>0</v>
      </c>
      <c r="C193" s="6">
        <f>+Risultati!C192</f>
        <v>0</v>
      </c>
      <c r="D193" s="26" t="str">
        <f>IF(YEAR(Risultati!D192)=1900,(MID(Risultati!$AP$1,29,4)),YEAR(Risultati!D192))</f>
        <v/>
      </c>
      <c r="E193" s="6">
        <f>+Risultati!E192</f>
        <v>0</v>
      </c>
      <c r="F193" s="8" t="e">
        <f>(LEFT(Risultati!AN192,2)&amp;"-")&amp;VLOOKUP((LEFT(Risultati!AN192,2)),ateco!$B$4:$C$93,2,FALSE)</f>
        <v>#N/A</v>
      </c>
      <c r="G193" s="8" t="str">
        <f>SUBSTITUTE((Risultati!AN192&amp;"-"&amp;Risultati!AO192),",",";")</f>
        <v>-</v>
      </c>
      <c r="I193" s="10">
        <f>+Risultati!G192</f>
        <v>0</v>
      </c>
      <c r="J193" s="11" t="str">
        <f t="shared" si="134"/>
        <v>0</v>
      </c>
      <c r="K193" s="12"/>
      <c r="L193" s="10">
        <f>+Risultati!G192+Risultati!H192</f>
        <v>0</v>
      </c>
      <c r="M193" s="11" t="str">
        <f t="shared" si="135"/>
        <v>0</v>
      </c>
      <c r="N193" s="12"/>
      <c r="O193" s="10">
        <f>+Risultati!I192+Risultati!J192</f>
        <v>0</v>
      </c>
      <c r="P193" s="11" t="str">
        <f t="shared" si="136"/>
        <v>0</v>
      </c>
      <c r="Q193" s="12"/>
      <c r="R193" s="13">
        <f t="shared" si="153"/>
        <v>0</v>
      </c>
      <c r="S193" s="11" t="str">
        <f t="shared" si="137"/>
        <v>0</v>
      </c>
      <c r="T193" s="12"/>
      <c r="U193" s="10">
        <f>+Risultati!F192-(Risultati!G192+Risultati!H192)</f>
        <v>0</v>
      </c>
      <c r="V193" s="12" t="str">
        <f t="shared" si="138"/>
        <v>0</v>
      </c>
      <c r="W193" s="12"/>
      <c r="X193" s="10">
        <f t="shared" si="154"/>
        <v>0</v>
      </c>
      <c r="Y193" s="12" t="str">
        <f t="shared" si="139"/>
        <v>0</v>
      </c>
      <c r="Z193" s="12"/>
      <c r="AA193" s="10">
        <f>+Risultati!K192</f>
        <v>0</v>
      </c>
      <c r="AB193" s="12" t="str">
        <f t="shared" si="140"/>
        <v>0</v>
      </c>
      <c r="AC193" s="12"/>
      <c r="AD193" s="10">
        <f>+Risultati!L192</f>
        <v>0</v>
      </c>
      <c r="AE193" s="12" t="str">
        <f t="shared" si="141"/>
        <v>0</v>
      </c>
      <c r="AF193" s="12"/>
      <c r="AG193" s="10">
        <f>+Risultati!M192+Risultati!P192+Risultati!Q192</f>
        <v>0</v>
      </c>
      <c r="AH193" s="12" t="str">
        <f t="shared" si="142"/>
        <v>0</v>
      </c>
      <c r="AI193" s="12"/>
      <c r="AJ193" s="13">
        <f t="shared" si="155"/>
        <v>0</v>
      </c>
      <c r="AK193" s="11" t="str">
        <f t="shared" si="143"/>
        <v>0</v>
      </c>
      <c r="AL193" s="12"/>
      <c r="AM193" s="10">
        <f>+Risultati!N192</f>
        <v>0</v>
      </c>
      <c r="AN193" s="12" t="str">
        <f t="shared" si="144"/>
        <v>0</v>
      </c>
      <c r="AO193" s="12"/>
      <c r="AP193" s="10">
        <f t="shared" si="156"/>
        <v>0</v>
      </c>
      <c r="AQ193" s="41" t="str">
        <f t="shared" si="145"/>
        <v>0</v>
      </c>
      <c r="AR193" s="12"/>
      <c r="AS193" s="10">
        <f>+Risultati!O192</f>
        <v>0</v>
      </c>
      <c r="AT193" s="12" t="str">
        <f t="shared" si="146"/>
        <v>0</v>
      </c>
      <c r="AU193" s="12"/>
      <c r="AV193" s="10">
        <f t="shared" si="157"/>
        <v>0</v>
      </c>
      <c r="AW193" s="12" t="str">
        <f t="shared" si="147"/>
        <v>0</v>
      </c>
      <c r="AX193" s="12"/>
      <c r="AY193" s="10">
        <f>+Risultati!R192+Risultati!S192</f>
        <v>0</v>
      </c>
      <c r="AZ193" s="12" t="str">
        <f t="shared" si="148"/>
        <v>0</v>
      </c>
      <c r="BA193" s="12"/>
      <c r="BB193" s="10">
        <f>+Risultati!T192</f>
        <v>0</v>
      </c>
      <c r="BC193" s="12" t="str">
        <f t="shared" si="149"/>
        <v>0</v>
      </c>
      <c r="BD193" s="12"/>
      <c r="BE193" s="10">
        <f>+Risultati!U192</f>
        <v>0</v>
      </c>
      <c r="BF193" s="12" t="str">
        <f t="shared" si="150"/>
        <v>0</v>
      </c>
      <c r="BG193" s="12"/>
      <c r="BH193" s="10">
        <f t="shared" si="158"/>
        <v>0</v>
      </c>
      <c r="BI193" s="12" t="str">
        <f t="shared" si="151"/>
        <v>0</v>
      </c>
      <c r="BK193" s="16">
        <f>IF(ISNUMBER(Risultati!X192/100),(Risultati!X192/100))</f>
        <v>0</v>
      </c>
      <c r="BL193" s="16">
        <f>IF(ISNUMBER(Risultati!Y192/100),(Risultati!Y192/100))</f>
        <v>0</v>
      </c>
      <c r="BM193" s="16">
        <f>IF(ISNUMBER(Risultati!Z192/100),(Risultati!Z192/100))</f>
        <v>0</v>
      </c>
      <c r="BN193" s="16">
        <f>IF(AND(Risultati!AY192&lt;0,calcoli!AP193&lt;0),-IF(ISNUMBER(Risultati!AA192/100),(Risultati!AA192/100)),IF(ISNUMBER(Risultati!AA192/100),(Risultati!AA192/100)))</f>
        <v>0</v>
      </c>
      <c r="BO193" s="16" t="str">
        <f t="shared" si="132"/>
        <v>0</v>
      </c>
      <c r="BP193" s="16" t="str">
        <f>IF(Risultati!AB192&gt;0,(AV193/Risultati!AB192),"0")</f>
        <v>0</v>
      </c>
      <c r="BQ193" s="16" t="str">
        <f>IF(Risultati!AG192&lt;&gt;0,(BH193/Risultati!AG192),"0")</f>
        <v>0</v>
      </c>
      <c r="BR193" s="16" t="str">
        <f t="shared" si="133"/>
        <v>0</v>
      </c>
      <c r="BS193" s="14" t="str">
        <f>IF(Risultati!AB192&gt;0,(Risultati!G192/Risultati!AB192),"0")</f>
        <v>0</v>
      </c>
      <c r="BT193" s="15" t="str">
        <f>IF(Risultati!AG192&lt;&gt;0,(Risultati!AB192/Risultati!AG192),"0")</f>
        <v>0</v>
      </c>
      <c r="BU193" s="23" t="str">
        <f>IF(AND(Risultati!G192&gt;0,(Risultati!AE192-Risultati!AF192)&gt;=0),((Risultati!AE192-Risultati!AF192)/Risultati!G192*360),"0")</f>
        <v>0</v>
      </c>
      <c r="BV193" s="21" t="str">
        <f>IF(OR(E193="abbreviato",Risultati!G192=0),"0",((Risultati!AC192+Risultati!AD192)/Risultati!G192*360))</f>
        <v>0</v>
      </c>
      <c r="BW193" s="21" t="str">
        <f>IF(OR(E193="abbreviato",Risultati!G192=0,SUM(Risultati!I192+Risultati!K192+Risultati!M192)=0),"0",(((Risultati!AH192+Risultati!AI192)/(Risultati!I192+Risultati!K192+Risultati!N192)*360)))</f>
        <v>0</v>
      </c>
      <c r="BX193" s="16" t="str">
        <f>IF(Risultati!AB192&gt;0,(+Risultati!AG192/Risultati!AB192),"0")</f>
        <v>0</v>
      </c>
      <c r="BY193" s="22" t="str">
        <f>IF(OR(E193="abbreviato",Risultati!G192=0),"0",(((Risultati!AK192-(Risultati!AL192+Risultati!AM192))/Risultati!G192)))</f>
        <v>0</v>
      </c>
      <c r="BZ193" s="16" t="str">
        <f>IF(Risultati!G192&gt;0,(Risultati!AJ192/Risultati!G192),"0")</f>
        <v>0</v>
      </c>
      <c r="CA193" s="8"/>
      <c r="CB193" s="10">
        <f>+Risultati!AP192</f>
        <v>0</v>
      </c>
      <c r="CC193" s="31" t="str">
        <f t="shared" si="159"/>
        <v>0</v>
      </c>
      <c r="CD193" s="10">
        <f>+Risultati!AQ192</f>
        <v>0</v>
      </c>
      <c r="CE193" s="31" t="str">
        <f t="shared" si="160"/>
        <v>0</v>
      </c>
      <c r="CF193" s="10">
        <f>+Risultati!AR192</f>
        <v>0</v>
      </c>
      <c r="CG193" s="31" t="str">
        <f t="shared" si="161"/>
        <v>0</v>
      </c>
      <c r="CH193" s="10">
        <f>+Risultati!AS192</f>
        <v>0</v>
      </c>
      <c r="CI193" s="31" t="str">
        <f t="shared" si="162"/>
        <v>0</v>
      </c>
      <c r="CJ193" s="10">
        <f t="shared" si="163"/>
        <v>0</v>
      </c>
      <c r="CK193" s="31" t="str">
        <f t="shared" si="164"/>
        <v>0</v>
      </c>
      <c r="CL193" s="10">
        <f>+Risultati!AE192+Risultati!AF192</f>
        <v>0</v>
      </c>
      <c r="CM193" s="31" t="str">
        <f t="shared" si="165"/>
        <v>0</v>
      </c>
      <c r="CN193" s="10">
        <f>+Risultati!AT192</f>
        <v>0</v>
      </c>
      <c r="CO193" s="31" t="str">
        <f t="shared" si="166"/>
        <v>0</v>
      </c>
      <c r="CP193" s="10">
        <f>+Risultati!AU192</f>
        <v>0</v>
      </c>
      <c r="CQ193" s="31" t="str">
        <f t="shared" si="167"/>
        <v>0</v>
      </c>
      <c r="CR193" s="10">
        <f>+Risultati!AL192</f>
        <v>0</v>
      </c>
      <c r="CS193" s="31" t="str">
        <f t="shared" si="168"/>
        <v>0</v>
      </c>
      <c r="CT193" s="10">
        <f t="shared" si="169"/>
        <v>0</v>
      </c>
      <c r="CU193" s="31" t="str">
        <f t="shared" si="170"/>
        <v>0</v>
      </c>
      <c r="CV193" s="10">
        <f>+Risultati!AX192</f>
        <v>0</v>
      </c>
      <c r="CW193" s="31" t="str">
        <f t="shared" si="171"/>
        <v>0</v>
      </c>
      <c r="CX193" s="10">
        <f t="shared" si="172"/>
        <v>0</v>
      </c>
      <c r="CY193" s="31" t="str">
        <f t="shared" si="173"/>
        <v>0</v>
      </c>
      <c r="CZ193" s="10">
        <f>+Risultati!AG192</f>
        <v>0</v>
      </c>
      <c r="DA193" s="31" t="str">
        <f t="shared" si="174"/>
        <v>0</v>
      </c>
      <c r="DB193" s="10">
        <f t="shared" si="175"/>
        <v>0</v>
      </c>
      <c r="DC193" s="31" t="str">
        <f t="shared" si="176"/>
        <v>0</v>
      </c>
      <c r="DD193" s="10">
        <f>+Risultati!AV192</f>
        <v>0</v>
      </c>
      <c r="DE193" s="31" t="str">
        <f t="shared" si="177"/>
        <v>0</v>
      </c>
      <c r="DF193" s="10">
        <f>+Risultati!AJ192</f>
        <v>0</v>
      </c>
      <c r="DG193" s="31" t="str">
        <f t="shared" si="178"/>
        <v>0</v>
      </c>
      <c r="DH193" s="10">
        <f t="shared" si="179"/>
        <v>0</v>
      </c>
      <c r="DI193" s="31" t="str">
        <f t="shared" si="180"/>
        <v>0</v>
      </c>
      <c r="DJ193" s="10">
        <f>+Risultati!AW192</f>
        <v>0</v>
      </c>
      <c r="DK193" s="31" t="str">
        <f t="shared" si="181"/>
        <v>0</v>
      </c>
      <c r="DL193" s="10">
        <f t="shared" si="152"/>
        <v>0</v>
      </c>
      <c r="DM193" s="31" t="str">
        <f t="shared" si="182"/>
        <v>0</v>
      </c>
      <c r="DO193" s="30"/>
      <c r="DP193" s="30"/>
    </row>
    <row r="194" spans="1:120" x14ac:dyDescent="0.2">
      <c r="A194" s="5"/>
      <c r="B194" s="6">
        <f>+Risultati!B193</f>
        <v>0</v>
      </c>
      <c r="C194" s="6">
        <f>+Risultati!C193</f>
        <v>0</v>
      </c>
      <c r="D194" s="26" t="str">
        <f>IF(YEAR(Risultati!D193)=1900,(MID(Risultati!$AP$1,29,4)),YEAR(Risultati!D193))</f>
        <v/>
      </c>
      <c r="E194" s="6">
        <f>+Risultati!E193</f>
        <v>0</v>
      </c>
      <c r="F194" s="8" t="e">
        <f>(LEFT(Risultati!AN193,2)&amp;"-")&amp;VLOOKUP((LEFT(Risultati!AN193,2)),ateco!$B$4:$C$93,2,FALSE)</f>
        <v>#N/A</v>
      </c>
      <c r="G194" s="8" t="str">
        <f>SUBSTITUTE((Risultati!AN193&amp;"-"&amp;Risultati!AO193),",",";")</f>
        <v>-</v>
      </c>
      <c r="I194" s="10">
        <f>+Risultati!G193</f>
        <v>0</v>
      </c>
      <c r="J194" s="11" t="str">
        <f t="shared" si="134"/>
        <v>0</v>
      </c>
      <c r="K194" s="12"/>
      <c r="L194" s="10">
        <f>+Risultati!G193+Risultati!H193</f>
        <v>0</v>
      </c>
      <c r="M194" s="11" t="str">
        <f t="shared" si="135"/>
        <v>0</v>
      </c>
      <c r="N194" s="12"/>
      <c r="O194" s="10">
        <f>+Risultati!I193+Risultati!J193</f>
        <v>0</v>
      </c>
      <c r="P194" s="11" t="str">
        <f t="shared" si="136"/>
        <v>0</v>
      </c>
      <c r="Q194" s="12"/>
      <c r="R194" s="13">
        <f t="shared" si="153"/>
        <v>0</v>
      </c>
      <c r="S194" s="11" t="str">
        <f t="shared" si="137"/>
        <v>0</v>
      </c>
      <c r="T194" s="12"/>
      <c r="U194" s="10">
        <f>+Risultati!F193-(Risultati!G193+Risultati!H193)</f>
        <v>0</v>
      </c>
      <c r="V194" s="12" t="str">
        <f t="shared" si="138"/>
        <v>0</v>
      </c>
      <c r="W194" s="12"/>
      <c r="X194" s="10">
        <f t="shared" si="154"/>
        <v>0</v>
      </c>
      <c r="Y194" s="12" t="str">
        <f t="shared" si="139"/>
        <v>0</v>
      </c>
      <c r="Z194" s="12"/>
      <c r="AA194" s="10">
        <f>+Risultati!K193</f>
        <v>0</v>
      </c>
      <c r="AB194" s="12" t="str">
        <f t="shared" si="140"/>
        <v>0</v>
      </c>
      <c r="AC194" s="12"/>
      <c r="AD194" s="10">
        <f>+Risultati!L193</f>
        <v>0</v>
      </c>
      <c r="AE194" s="12" t="str">
        <f t="shared" si="141"/>
        <v>0</v>
      </c>
      <c r="AF194" s="12"/>
      <c r="AG194" s="10">
        <f>+Risultati!M193+Risultati!P193+Risultati!Q193</f>
        <v>0</v>
      </c>
      <c r="AH194" s="12" t="str">
        <f t="shared" si="142"/>
        <v>0</v>
      </c>
      <c r="AI194" s="12"/>
      <c r="AJ194" s="13">
        <f t="shared" si="155"/>
        <v>0</v>
      </c>
      <c r="AK194" s="11" t="str">
        <f t="shared" si="143"/>
        <v>0</v>
      </c>
      <c r="AL194" s="12"/>
      <c r="AM194" s="10">
        <f>+Risultati!N193</f>
        <v>0</v>
      </c>
      <c r="AN194" s="12" t="str">
        <f t="shared" si="144"/>
        <v>0</v>
      </c>
      <c r="AO194" s="12"/>
      <c r="AP194" s="10">
        <f t="shared" si="156"/>
        <v>0</v>
      </c>
      <c r="AQ194" s="41" t="str">
        <f t="shared" si="145"/>
        <v>0</v>
      </c>
      <c r="AR194" s="12"/>
      <c r="AS194" s="10">
        <f>+Risultati!O193</f>
        <v>0</v>
      </c>
      <c r="AT194" s="12" t="str">
        <f t="shared" si="146"/>
        <v>0</v>
      </c>
      <c r="AU194" s="12"/>
      <c r="AV194" s="10">
        <f t="shared" si="157"/>
        <v>0</v>
      </c>
      <c r="AW194" s="12" t="str">
        <f t="shared" si="147"/>
        <v>0</v>
      </c>
      <c r="AX194" s="12"/>
      <c r="AY194" s="10">
        <f>+Risultati!R193+Risultati!S193</f>
        <v>0</v>
      </c>
      <c r="AZ194" s="12" t="str">
        <f t="shared" si="148"/>
        <v>0</v>
      </c>
      <c r="BA194" s="12"/>
      <c r="BB194" s="10">
        <f>+Risultati!T193</f>
        <v>0</v>
      </c>
      <c r="BC194" s="12" t="str">
        <f t="shared" si="149"/>
        <v>0</v>
      </c>
      <c r="BD194" s="12"/>
      <c r="BE194" s="10">
        <f>+Risultati!U193</f>
        <v>0</v>
      </c>
      <c r="BF194" s="12" t="str">
        <f t="shared" si="150"/>
        <v>0</v>
      </c>
      <c r="BG194" s="12"/>
      <c r="BH194" s="10">
        <f t="shared" si="158"/>
        <v>0</v>
      </c>
      <c r="BI194" s="12" t="str">
        <f t="shared" si="151"/>
        <v>0</v>
      </c>
      <c r="BK194" s="16">
        <f>IF(ISNUMBER(Risultati!X193/100),(Risultati!X193/100))</f>
        <v>0</v>
      </c>
      <c r="BL194" s="16">
        <f>IF(ISNUMBER(Risultati!Y193/100),(Risultati!Y193/100))</f>
        <v>0</v>
      </c>
      <c r="BM194" s="16">
        <f>IF(ISNUMBER(Risultati!Z193/100),(Risultati!Z193/100))</f>
        <v>0</v>
      </c>
      <c r="BN194" s="16">
        <f>IF(AND(Risultati!AY193&lt;0,calcoli!AP194&lt;0),-IF(ISNUMBER(Risultati!AA193/100),(Risultati!AA193/100)),IF(ISNUMBER(Risultati!AA193/100),(Risultati!AA193/100)))</f>
        <v>0</v>
      </c>
      <c r="BO194" s="16" t="str">
        <f t="shared" si="132"/>
        <v>0</v>
      </c>
      <c r="BP194" s="16" t="str">
        <f>IF(Risultati!AB193&gt;0,(AV194/Risultati!AB193),"0")</f>
        <v>0</v>
      </c>
      <c r="BQ194" s="16" t="str">
        <f>IF(Risultati!AG193&lt;&gt;0,(BH194/Risultati!AG193),"0")</f>
        <v>0</v>
      </c>
      <c r="BR194" s="16" t="str">
        <f t="shared" si="133"/>
        <v>0</v>
      </c>
      <c r="BS194" s="14" t="str">
        <f>IF(Risultati!AB193&gt;0,(Risultati!G193/Risultati!AB193),"0")</f>
        <v>0</v>
      </c>
      <c r="BT194" s="15" t="str">
        <f>IF(Risultati!AG193&lt;&gt;0,(Risultati!AB193/Risultati!AG193),"0")</f>
        <v>0</v>
      </c>
      <c r="BU194" s="23" t="str">
        <f>IF(AND(Risultati!G193&gt;0,(Risultati!AE193-Risultati!AF193)&gt;=0),((Risultati!AE193-Risultati!AF193)/Risultati!G193*360),"0")</f>
        <v>0</v>
      </c>
      <c r="BV194" s="21" t="str">
        <f>IF(OR(E194="abbreviato",Risultati!G193=0),"0",((Risultati!AC193+Risultati!AD193)/Risultati!G193*360))</f>
        <v>0</v>
      </c>
      <c r="BW194" s="21" t="str">
        <f>IF(OR(E194="abbreviato",Risultati!G193=0,SUM(Risultati!I193+Risultati!K193+Risultati!M193)=0),"0",(((Risultati!AH193+Risultati!AI193)/(Risultati!I193+Risultati!K193+Risultati!N193)*360)))</f>
        <v>0</v>
      </c>
      <c r="BX194" s="16" t="str">
        <f>IF(Risultati!AB193&gt;0,(+Risultati!AG193/Risultati!AB193),"0")</f>
        <v>0</v>
      </c>
      <c r="BY194" s="22" t="str">
        <f>IF(OR(E194="abbreviato",Risultati!G193=0),"0",(((Risultati!AK193-(Risultati!AL193+Risultati!AM193))/Risultati!G193)))</f>
        <v>0</v>
      </c>
      <c r="BZ194" s="16" t="str">
        <f>IF(Risultati!G193&gt;0,(Risultati!AJ193/Risultati!G193),"0")</f>
        <v>0</v>
      </c>
      <c r="CA194" s="8"/>
      <c r="CB194" s="10">
        <f>+Risultati!AP193</f>
        <v>0</v>
      </c>
      <c r="CC194" s="31" t="str">
        <f t="shared" si="159"/>
        <v>0</v>
      </c>
      <c r="CD194" s="10">
        <f>+Risultati!AQ193</f>
        <v>0</v>
      </c>
      <c r="CE194" s="31" t="str">
        <f t="shared" si="160"/>
        <v>0</v>
      </c>
      <c r="CF194" s="10">
        <f>+Risultati!AR193</f>
        <v>0</v>
      </c>
      <c r="CG194" s="31" t="str">
        <f t="shared" si="161"/>
        <v>0</v>
      </c>
      <c r="CH194" s="10">
        <f>+Risultati!AS193</f>
        <v>0</v>
      </c>
      <c r="CI194" s="31" t="str">
        <f t="shared" si="162"/>
        <v>0</v>
      </c>
      <c r="CJ194" s="10">
        <f t="shared" si="163"/>
        <v>0</v>
      </c>
      <c r="CK194" s="31" t="str">
        <f t="shared" si="164"/>
        <v>0</v>
      </c>
      <c r="CL194" s="10">
        <f>+Risultati!AE193+Risultati!AF193</f>
        <v>0</v>
      </c>
      <c r="CM194" s="31" t="str">
        <f t="shared" si="165"/>
        <v>0</v>
      </c>
      <c r="CN194" s="10">
        <f>+Risultati!AT193</f>
        <v>0</v>
      </c>
      <c r="CO194" s="31" t="str">
        <f t="shared" si="166"/>
        <v>0</v>
      </c>
      <c r="CP194" s="10">
        <f>+Risultati!AU193</f>
        <v>0</v>
      </c>
      <c r="CQ194" s="31" t="str">
        <f t="shared" si="167"/>
        <v>0</v>
      </c>
      <c r="CR194" s="10">
        <f>+Risultati!AL193</f>
        <v>0</v>
      </c>
      <c r="CS194" s="31" t="str">
        <f t="shared" si="168"/>
        <v>0</v>
      </c>
      <c r="CT194" s="10">
        <f t="shared" si="169"/>
        <v>0</v>
      </c>
      <c r="CU194" s="31" t="str">
        <f t="shared" si="170"/>
        <v>0</v>
      </c>
      <c r="CV194" s="10">
        <f>+Risultati!AX193</f>
        <v>0</v>
      </c>
      <c r="CW194" s="31" t="str">
        <f t="shared" si="171"/>
        <v>0</v>
      </c>
      <c r="CX194" s="10">
        <f t="shared" si="172"/>
        <v>0</v>
      </c>
      <c r="CY194" s="31" t="str">
        <f t="shared" si="173"/>
        <v>0</v>
      </c>
      <c r="CZ194" s="10">
        <f>+Risultati!AG193</f>
        <v>0</v>
      </c>
      <c r="DA194" s="31" t="str">
        <f t="shared" si="174"/>
        <v>0</v>
      </c>
      <c r="DB194" s="10">
        <f t="shared" si="175"/>
        <v>0</v>
      </c>
      <c r="DC194" s="31" t="str">
        <f t="shared" si="176"/>
        <v>0</v>
      </c>
      <c r="DD194" s="10">
        <f>+Risultati!AV193</f>
        <v>0</v>
      </c>
      <c r="DE194" s="31" t="str">
        <f t="shared" si="177"/>
        <v>0</v>
      </c>
      <c r="DF194" s="10">
        <f>+Risultati!AJ193</f>
        <v>0</v>
      </c>
      <c r="DG194" s="31" t="str">
        <f t="shared" si="178"/>
        <v>0</v>
      </c>
      <c r="DH194" s="10">
        <f t="shared" si="179"/>
        <v>0</v>
      </c>
      <c r="DI194" s="31" t="str">
        <f t="shared" si="180"/>
        <v>0</v>
      </c>
      <c r="DJ194" s="10">
        <f>+Risultati!AW193</f>
        <v>0</v>
      </c>
      <c r="DK194" s="31" t="str">
        <f t="shared" si="181"/>
        <v>0</v>
      </c>
      <c r="DL194" s="10">
        <f t="shared" si="152"/>
        <v>0</v>
      </c>
      <c r="DM194" s="31" t="str">
        <f t="shared" si="182"/>
        <v>0</v>
      </c>
      <c r="DO194" s="30"/>
      <c r="DP194" s="30"/>
    </row>
    <row r="195" spans="1:120" x14ac:dyDescent="0.2">
      <c r="A195" s="5"/>
      <c r="B195" s="6">
        <f>+Risultati!B194</f>
        <v>0</v>
      </c>
      <c r="C195" s="6">
        <f>+Risultati!C194</f>
        <v>0</v>
      </c>
      <c r="D195" s="26" t="str">
        <f>IF(YEAR(Risultati!D194)=1900,(MID(Risultati!$AP$1,29,4)),YEAR(Risultati!D194))</f>
        <v/>
      </c>
      <c r="E195" s="6">
        <f>+Risultati!E194</f>
        <v>0</v>
      </c>
      <c r="F195" s="8" t="e">
        <f>(LEFT(Risultati!AN194,2)&amp;"-")&amp;VLOOKUP((LEFT(Risultati!AN194,2)),ateco!$B$4:$C$93,2,FALSE)</f>
        <v>#N/A</v>
      </c>
      <c r="G195" s="8" t="str">
        <f>SUBSTITUTE((Risultati!AN194&amp;"-"&amp;Risultati!AO194),",",";")</f>
        <v>-</v>
      </c>
      <c r="I195" s="10">
        <f>+Risultati!G194</f>
        <v>0</v>
      </c>
      <c r="J195" s="11" t="str">
        <f t="shared" si="134"/>
        <v>0</v>
      </c>
      <c r="K195" s="12"/>
      <c r="L195" s="10">
        <f>+Risultati!G194+Risultati!H194</f>
        <v>0</v>
      </c>
      <c r="M195" s="11" t="str">
        <f t="shared" si="135"/>
        <v>0</v>
      </c>
      <c r="N195" s="12"/>
      <c r="O195" s="10">
        <f>+Risultati!I194+Risultati!J194</f>
        <v>0</v>
      </c>
      <c r="P195" s="11" t="str">
        <f t="shared" si="136"/>
        <v>0</v>
      </c>
      <c r="Q195" s="12"/>
      <c r="R195" s="13">
        <f t="shared" si="153"/>
        <v>0</v>
      </c>
      <c r="S195" s="11" t="str">
        <f t="shared" si="137"/>
        <v>0</v>
      </c>
      <c r="T195" s="12"/>
      <c r="U195" s="10">
        <f>+Risultati!F194-(Risultati!G194+Risultati!H194)</f>
        <v>0</v>
      </c>
      <c r="V195" s="12" t="str">
        <f t="shared" si="138"/>
        <v>0</v>
      </c>
      <c r="W195" s="12"/>
      <c r="X195" s="10">
        <f t="shared" si="154"/>
        <v>0</v>
      </c>
      <c r="Y195" s="12" t="str">
        <f t="shared" si="139"/>
        <v>0</v>
      </c>
      <c r="Z195" s="12"/>
      <c r="AA195" s="10">
        <f>+Risultati!K194</f>
        <v>0</v>
      </c>
      <c r="AB195" s="12" t="str">
        <f t="shared" si="140"/>
        <v>0</v>
      </c>
      <c r="AC195" s="12"/>
      <c r="AD195" s="10">
        <f>+Risultati!L194</f>
        <v>0</v>
      </c>
      <c r="AE195" s="12" t="str">
        <f t="shared" si="141"/>
        <v>0</v>
      </c>
      <c r="AF195" s="12"/>
      <c r="AG195" s="10">
        <f>+Risultati!M194+Risultati!P194+Risultati!Q194</f>
        <v>0</v>
      </c>
      <c r="AH195" s="12" t="str">
        <f t="shared" si="142"/>
        <v>0</v>
      </c>
      <c r="AI195" s="12"/>
      <c r="AJ195" s="13">
        <f t="shared" si="155"/>
        <v>0</v>
      </c>
      <c r="AK195" s="11" t="str">
        <f t="shared" si="143"/>
        <v>0</v>
      </c>
      <c r="AL195" s="12"/>
      <c r="AM195" s="10">
        <f>+Risultati!N194</f>
        <v>0</v>
      </c>
      <c r="AN195" s="12" t="str">
        <f t="shared" si="144"/>
        <v>0</v>
      </c>
      <c r="AO195" s="12"/>
      <c r="AP195" s="10">
        <f t="shared" si="156"/>
        <v>0</v>
      </c>
      <c r="AQ195" s="41" t="str">
        <f t="shared" si="145"/>
        <v>0</v>
      </c>
      <c r="AR195" s="12"/>
      <c r="AS195" s="10">
        <f>+Risultati!O194</f>
        <v>0</v>
      </c>
      <c r="AT195" s="12" t="str">
        <f t="shared" si="146"/>
        <v>0</v>
      </c>
      <c r="AU195" s="12"/>
      <c r="AV195" s="10">
        <f t="shared" si="157"/>
        <v>0</v>
      </c>
      <c r="AW195" s="12" t="str">
        <f t="shared" si="147"/>
        <v>0</v>
      </c>
      <c r="AX195" s="12"/>
      <c r="AY195" s="10">
        <f>+Risultati!R194+Risultati!S194</f>
        <v>0</v>
      </c>
      <c r="AZ195" s="12" t="str">
        <f t="shared" si="148"/>
        <v>0</v>
      </c>
      <c r="BA195" s="12"/>
      <c r="BB195" s="10">
        <f>+Risultati!T194</f>
        <v>0</v>
      </c>
      <c r="BC195" s="12" t="str">
        <f t="shared" si="149"/>
        <v>0</v>
      </c>
      <c r="BD195" s="12"/>
      <c r="BE195" s="10">
        <f>+Risultati!U194</f>
        <v>0</v>
      </c>
      <c r="BF195" s="12" t="str">
        <f t="shared" si="150"/>
        <v>0</v>
      </c>
      <c r="BG195" s="12"/>
      <c r="BH195" s="10">
        <f t="shared" si="158"/>
        <v>0</v>
      </c>
      <c r="BI195" s="12" t="str">
        <f t="shared" si="151"/>
        <v>0</v>
      </c>
      <c r="BK195" s="16">
        <f>IF(ISNUMBER(Risultati!X194/100),(Risultati!X194/100))</f>
        <v>0</v>
      </c>
      <c r="BL195" s="16">
        <f>IF(ISNUMBER(Risultati!Y194/100),(Risultati!Y194/100))</f>
        <v>0</v>
      </c>
      <c r="BM195" s="16">
        <f>IF(ISNUMBER(Risultati!Z194/100),(Risultati!Z194/100))</f>
        <v>0</v>
      </c>
      <c r="BN195" s="16">
        <f>IF(AND(Risultati!AY194&lt;0,calcoli!AP195&lt;0),-IF(ISNUMBER(Risultati!AA194/100),(Risultati!AA194/100)),IF(ISNUMBER(Risultati!AA194/100),(Risultati!AA194/100)))</f>
        <v>0</v>
      </c>
      <c r="BO195" s="16" t="str">
        <f t="shared" ref="BO195:BO258" si="183">+BI195</f>
        <v>0</v>
      </c>
      <c r="BP195" s="16" t="str">
        <f>IF(Risultati!AB194&gt;0,(AV195/Risultati!AB194),"0")</f>
        <v>0</v>
      </c>
      <c r="BQ195" s="16" t="str">
        <f>IF(Risultati!AG194&lt;&gt;0,(BH195/Risultati!AG194),"0")</f>
        <v>0</v>
      </c>
      <c r="BR195" s="16" t="str">
        <f t="shared" ref="BR195:BR258" si="184">+BI195</f>
        <v>0</v>
      </c>
      <c r="BS195" s="14" t="str">
        <f>IF(Risultati!AB194&gt;0,(Risultati!G194/Risultati!AB194),"0")</f>
        <v>0</v>
      </c>
      <c r="BT195" s="15" t="str">
        <f>IF(Risultati!AG194&lt;&gt;0,(Risultati!AB194/Risultati!AG194),"0")</f>
        <v>0</v>
      </c>
      <c r="BU195" s="23" t="str">
        <f>IF(AND(Risultati!G194&gt;0,(Risultati!AE194-Risultati!AF194)&gt;=0),((Risultati!AE194-Risultati!AF194)/Risultati!G194*360),"0")</f>
        <v>0</v>
      </c>
      <c r="BV195" s="21" t="str">
        <f>IF(OR(E195="abbreviato",Risultati!G194=0),"0",((Risultati!AC194+Risultati!AD194)/Risultati!G194*360))</f>
        <v>0</v>
      </c>
      <c r="BW195" s="21" t="str">
        <f>IF(OR(E195="abbreviato",Risultati!G194=0,SUM(Risultati!I194+Risultati!K194+Risultati!M194)=0),"0",(((Risultati!AH194+Risultati!AI194)/(Risultati!I194+Risultati!K194+Risultati!N194)*360)))</f>
        <v>0</v>
      </c>
      <c r="BX195" s="16" t="str">
        <f>IF(Risultati!AB194&gt;0,(+Risultati!AG194/Risultati!AB194),"0")</f>
        <v>0</v>
      </c>
      <c r="BY195" s="22" t="str">
        <f>IF(OR(E195="abbreviato",Risultati!G194=0),"0",(((Risultati!AK194-(Risultati!AL194+Risultati!AM194))/Risultati!G194)))</f>
        <v>0</v>
      </c>
      <c r="BZ195" s="16" t="str">
        <f>IF(Risultati!G194&gt;0,(Risultati!AJ194/Risultati!G194),"0")</f>
        <v>0</v>
      </c>
      <c r="CA195" s="8"/>
      <c r="CB195" s="10">
        <f>+Risultati!AP194</f>
        <v>0</v>
      </c>
      <c r="CC195" s="31" t="str">
        <f t="shared" si="159"/>
        <v>0</v>
      </c>
      <c r="CD195" s="10">
        <f>+Risultati!AQ194</f>
        <v>0</v>
      </c>
      <c r="CE195" s="31" t="str">
        <f t="shared" si="160"/>
        <v>0</v>
      </c>
      <c r="CF195" s="10">
        <f>+Risultati!AR194</f>
        <v>0</v>
      </c>
      <c r="CG195" s="31" t="str">
        <f t="shared" si="161"/>
        <v>0</v>
      </c>
      <c r="CH195" s="10">
        <f>+Risultati!AS194</f>
        <v>0</v>
      </c>
      <c r="CI195" s="31" t="str">
        <f t="shared" si="162"/>
        <v>0</v>
      </c>
      <c r="CJ195" s="10">
        <f t="shared" si="163"/>
        <v>0</v>
      </c>
      <c r="CK195" s="31" t="str">
        <f t="shared" si="164"/>
        <v>0</v>
      </c>
      <c r="CL195" s="10">
        <f>+Risultati!AE194+Risultati!AF194</f>
        <v>0</v>
      </c>
      <c r="CM195" s="31" t="str">
        <f t="shared" si="165"/>
        <v>0</v>
      </c>
      <c r="CN195" s="10">
        <f>+Risultati!AT194</f>
        <v>0</v>
      </c>
      <c r="CO195" s="31" t="str">
        <f t="shared" si="166"/>
        <v>0</v>
      </c>
      <c r="CP195" s="10">
        <f>+Risultati!AU194</f>
        <v>0</v>
      </c>
      <c r="CQ195" s="31" t="str">
        <f t="shared" si="167"/>
        <v>0</v>
      </c>
      <c r="CR195" s="10">
        <f>+Risultati!AL194</f>
        <v>0</v>
      </c>
      <c r="CS195" s="31" t="str">
        <f t="shared" si="168"/>
        <v>0</v>
      </c>
      <c r="CT195" s="10">
        <f t="shared" si="169"/>
        <v>0</v>
      </c>
      <c r="CU195" s="31" t="str">
        <f t="shared" si="170"/>
        <v>0</v>
      </c>
      <c r="CV195" s="10">
        <f>+Risultati!AX194</f>
        <v>0</v>
      </c>
      <c r="CW195" s="31" t="str">
        <f t="shared" si="171"/>
        <v>0</v>
      </c>
      <c r="CX195" s="10">
        <f t="shared" si="172"/>
        <v>0</v>
      </c>
      <c r="CY195" s="31" t="str">
        <f t="shared" si="173"/>
        <v>0</v>
      </c>
      <c r="CZ195" s="10">
        <f>+Risultati!AG194</f>
        <v>0</v>
      </c>
      <c r="DA195" s="31" t="str">
        <f t="shared" si="174"/>
        <v>0</v>
      </c>
      <c r="DB195" s="10">
        <f t="shared" si="175"/>
        <v>0</v>
      </c>
      <c r="DC195" s="31" t="str">
        <f t="shared" si="176"/>
        <v>0</v>
      </c>
      <c r="DD195" s="10">
        <f>+Risultati!AV194</f>
        <v>0</v>
      </c>
      <c r="DE195" s="31" t="str">
        <f t="shared" si="177"/>
        <v>0</v>
      </c>
      <c r="DF195" s="10">
        <f>+Risultati!AJ194</f>
        <v>0</v>
      </c>
      <c r="DG195" s="31" t="str">
        <f t="shared" si="178"/>
        <v>0</v>
      </c>
      <c r="DH195" s="10">
        <f t="shared" si="179"/>
        <v>0</v>
      </c>
      <c r="DI195" s="31" t="str">
        <f t="shared" si="180"/>
        <v>0</v>
      </c>
      <c r="DJ195" s="10">
        <f>+Risultati!AW194</f>
        <v>0</v>
      </c>
      <c r="DK195" s="31" t="str">
        <f t="shared" si="181"/>
        <v>0</v>
      </c>
      <c r="DL195" s="10">
        <f t="shared" si="152"/>
        <v>0</v>
      </c>
      <c r="DM195" s="31" t="str">
        <f t="shared" si="182"/>
        <v>0</v>
      </c>
      <c r="DO195" s="30"/>
      <c r="DP195" s="30"/>
    </row>
    <row r="196" spans="1:120" x14ac:dyDescent="0.2">
      <c r="A196" s="5"/>
      <c r="B196" s="6">
        <f>+Risultati!B195</f>
        <v>0</v>
      </c>
      <c r="C196" s="6">
        <f>+Risultati!C195</f>
        <v>0</v>
      </c>
      <c r="D196" s="26" t="str">
        <f>IF(YEAR(Risultati!D195)=1900,(MID(Risultati!$AP$1,29,4)),YEAR(Risultati!D195))</f>
        <v/>
      </c>
      <c r="E196" s="6">
        <f>+Risultati!E195</f>
        <v>0</v>
      </c>
      <c r="F196" s="8" t="e">
        <f>(LEFT(Risultati!AN195,2)&amp;"-")&amp;VLOOKUP((LEFT(Risultati!AN195,2)),ateco!$B$4:$C$93,2,FALSE)</f>
        <v>#N/A</v>
      </c>
      <c r="G196" s="8" t="str">
        <f>SUBSTITUTE((Risultati!AN195&amp;"-"&amp;Risultati!AO195),",",";")</f>
        <v>-</v>
      </c>
      <c r="I196" s="10">
        <f>+Risultati!G195</f>
        <v>0</v>
      </c>
      <c r="J196" s="11" t="str">
        <f t="shared" ref="J196:J259" si="185">IF(L196&lt;&gt;0,(I196/L196),"0")</f>
        <v>0</v>
      </c>
      <c r="K196" s="12"/>
      <c r="L196" s="10">
        <f>+Risultati!G195+Risultati!H195</f>
        <v>0</v>
      </c>
      <c r="M196" s="11" t="str">
        <f t="shared" ref="M196:M259" si="186">IF(L196&lt;&gt;0,(L196/(L196+U196)),"0")</f>
        <v>0</v>
      </c>
      <c r="N196" s="12"/>
      <c r="O196" s="10">
        <f>+Risultati!I195+Risultati!J195</f>
        <v>0</v>
      </c>
      <c r="P196" s="11" t="str">
        <f t="shared" ref="P196:P259" si="187">IF(L196&lt;&gt;0,(O196/(L196+U196)),"0")</f>
        <v>0</v>
      </c>
      <c r="Q196" s="12"/>
      <c r="R196" s="13">
        <f t="shared" si="153"/>
        <v>0</v>
      </c>
      <c r="S196" s="11" t="str">
        <f t="shared" ref="S196:S259" si="188">IF(L196&lt;&gt;0,(R196/(L196+U196)),"0")</f>
        <v>0</v>
      </c>
      <c r="T196" s="12"/>
      <c r="U196" s="10">
        <f>+Risultati!F195-(Risultati!G195+Risultati!H195)</f>
        <v>0</v>
      </c>
      <c r="V196" s="12" t="str">
        <f t="shared" ref="V196:V259" si="189">IF(L196&lt;&gt;0,(U196/(L196+U196)),"0")</f>
        <v>0</v>
      </c>
      <c r="W196" s="12"/>
      <c r="X196" s="10">
        <f t="shared" si="154"/>
        <v>0</v>
      </c>
      <c r="Y196" s="12" t="str">
        <f t="shared" ref="Y196:Y259" si="190">IF(L196&lt;&gt;0,(X196/(L196+U196)),"0")</f>
        <v>0</v>
      </c>
      <c r="Z196" s="12"/>
      <c r="AA196" s="10">
        <f>+Risultati!K195</f>
        <v>0</v>
      </c>
      <c r="AB196" s="12" t="str">
        <f t="shared" ref="AB196:AB259" si="191">IF(L196&lt;&gt;0,(AA196/(L196+U196)),"0")</f>
        <v>0</v>
      </c>
      <c r="AC196" s="12"/>
      <c r="AD196" s="10">
        <f>+Risultati!L195</f>
        <v>0</v>
      </c>
      <c r="AE196" s="12" t="str">
        <f t="shared" ref="AE196:AE259" si="192">IF(L196&lt;&gt;0,(AD196/(L196+U196)),"0")</f>
        <v>0</v>
      </c>
      <c r="AF196" s="12"/>
      <c r="AG196" s="10">
        <f>+Risultati!M195+Risultati!P195+Risultati!Q195</f>
        <v>0</v>
      </c>
      <c r="AH196" s="12" t="str">
        <f t="shared" ref="AH196:AH259" si="193">IF(L196&lt;&gt;0,(AG196/(L196+U196)),"0")</f>
        <v>0</v>
      </c>
      <c r="AI196" s="12"/>
      <c r="AJ196" s="13">
        <f t="shared" si="155"/>
        <v>0</v>
      </c>
      <c r="AK196" s="11" t="str">
        <f t="shared" ref="AK196:AK259" si="194">IF(L196&lt;&gt;0,(AJ196/(L196+U196)),"0")</f>
        <v>0</v>
      </c>
      <c r="AL196" s="12"/>
      <c r="AM196" s="10">
        <f>+Risultati!N195</f>
        <v>0</v>
      </c>
      <c r="AN196" s="12" t="str">
        <f t="shared" ref="AN196:AN259" si="195">IF(L196&lt;&gt;0,(AM196/(L196+U196)),"0")</f>
        <v>0</v>
      </c>
      <c r="AO196" s="12"/>
      <c r="AP196" s="10">
        <f t="shared" si="156"/>
        <v>0</v>
      </c>
      <c r="AQ196" s="41" t="str">
        <f t="shared" ref="AQ196:AQ259" si="196">IF(L196&lt;&gt;0,(AP196/(L196+U196)),"0")</f>
        <v>0</v>
      </c>
      <c r="AR196" s="12"/>
      <c r="AS196" s="10">
        <f>+Risultati!O195</f>
        <v>0</v>
      </c>
      <c r="AT196" s="12" t="str">
        <f t="shared" ref="AT196:AT259" si="197">IF(L196&lt;&gt;0,(AS196/(L196+U196)),"0")</f>
        <v>0</v>
      </c>
      <c r="AU196" s="12"/>
      <c r="AV196" s="10">
        <f t="shared" si="157"/>
        <v>0</v>
      </c>
      <c r="AW196" s="12" t="str">
        <f t="shared" ref="AW196:AW259" si="198">IF(L196&lt;&gt;0,(AV196/(L196+U196)),"0")</f>
        <v>0</v>
      </c>
      <c r="AX196" s="12"/>
      <c r="AY196" s="10">
        <f>+Risultati!R195+Risultati!S195</f>
        <v>0</v>
      </c>
      <c r="AZ196" s="12" t="str">
        <f t="shared" ref="AZ196:AZ259" si="199">IF(L196&lt;&gt;0,(AY196/(L196+U196)),"0")</f>
        <v>0</v>
      </c>
      <c r="BA196" s="12"/>
      <c r="BB196" s="10">
        <f>+Risultati!T195</f>
        <v>0</v>
      </c>
      <c r="BC196" s="12" t="str">
        <f t="shared" ref="BC196:BC259" si="200">IF(L196&lt;&gt;0,(BB196/(L196+U196)),"0")</f>
        <v>0</v>
      </c>
      <c r="BD196" s="12"/>
      <c r="BE196" s="10">
        <f>+Risultati!U195</f>
        <v>0</v>
      </c>
      <c r="BF196" s="12" t="str">
        <f t="shared" ref="BF196:BF259" si="201">IF(L196&lt;&gt;0,(BE196/(L196+U196)),"0")</f>
        <v>0</v>
      </c>
      <c r="BG196" s="12"/>
      <c r="BH196" s="10">
        <f t="shared" si="158"/>
        <v>0</v>
      </c>
      <c r="BI196" s="12" t="str">
        <f t="shared" ref="BI196:BI259" si="202">IF(L196&lt;&gt;0,(+BH196/(L196+U196)),"0")</f>
        <v>0</v>
      </c>
      <c r="BK196" s="16">
        <f>IF(ISNUMBER(Risultati!X195/100),(Risultati!X195/100))</f>
        <v>0</v>
      </c>
      <c r="BL196" s="16">
        <f>IF(ISNUMBER(Risultati!Y195/100),(Risultati!Y195/100))</f>
        <v>0</v>
      </c>
      <c r="BM196" s="16">
        <f>IF(ISNUMBER(Risultati!Z195/100),(Risultati!Z195/100))</f>
        <v>0</v>
      </c>
      <c r="BN196" s="16">
        <f>IF(AND(Risultati!AY195&lt;0,calcoli!AP196&lt;0),-IF(ISNUMBER(Risultati!AA195/100),(Risultati!AA195/100)),IF(ISNUMBER(Risultati!AA195/100),(Risultati!AA195/100)))</f>
        <v>0</v>
      </c>
      <c r="BO196" s="16" t="str">
        <f t="shared" si="183"/>
        <v>0</v>
      </c>
      <c r="BP196" s="16" t="str">
        <f>IF(Risultati!AB195&gt;0,(AV196/Risultati!AB195),"0")</f>
        <v>0</v>
      </c>
      <c r="BQ196" s="16" t="str">
        <f>IF(Risultati!AG195&lt;&gt;0,(BH196/Risultati!AG195),"0")</f>
        <v>0</v>
      </c>
      <c r="BR196" s="16" t="str">
        <f t="shared" si="184"/>
        <v>0</v>
      </c>
      <c r="BS196" s="14" t="str">
        <f>IF(Risultati!AB195&gt;0,(Risultati!G195/Risultati!AB195),"0")</f>
        <v>0</v>
      </c>
      <c r="BT196" s="15" t="str">
        <f>IF(Risultati!AG195&lt;&gt;0,(Risultati!AB195/Risultati!AG195),"0")</f>
        <v>0</v>
      </c>
      <c r="BU196" s="23" t="str">
        <f>IF(AND(Risultati!G195&gt;0,(Risultati!AE195-Risultati!AF195)&gt;=0),((Risultati!AE195-Risultati!AF195)/Risultati!G195*360),"0")</f>
        <v>0</v>
      </c>
      <c r="BV196" s="21" t="str">
        <f>IF(OR(E196="abbreviato",Risultati!G195=0),"0",((Risultati!AC195+Risultati!AD195)/Risultati!G195*360))</f>
        <v>0</v>
      </c>
      <c r="BW196" s="21" t="str">
        <f>IF(OR(E196="abbreviato",Risultati!G195=0,SUM(Risultati!I195+Risultati!K195+Risultati!M195)=0),"0",(((Risultati!AH195+Risultati!AI195)/(Risultati!I195+Risultati!K195+Risultati!N195)*360)))</f>
        <v>0</v>
      </c>
      <c r="BX196" s="16" t="str">
        <f>IF(Risultati!AB195&gt;0,(+Risultati!AG195/Risultati!AB195),"0")</f>
        <v>0</v>
      </c>
      <c r="BY196" s="22" t="str">
        <f>IF(OR(E196="abbreviato",Risultati!G195=0),"0",(((Risultati!AK195-(Risultati!AL195+Risultati!AM195))/Risultati!G195)))</f>
        <v>0</v>
      </c>
      <c r="BZ196" s="16" t="str">
        <f>IF(Risultati!G195&gt;0,(Risultati!AJ195/Risultati!G195),"0")</f>
        <v>0</v>
      </c>
      <c r="CA196" s="8"/>
      <c r="CB196" s="10">
        <f>+Risultati!AP195</f>
        <v>0</v>
      </c>
      <c r="CC196" s="31" t="str">
        <f t="shared" si="159"/>
        <v>0</v>
      </c>
      <c r="CD196" s="10">
        <f>+Risultati!AQ195</f>
        <v>0</v>
      </c>
      <c r="CE196" s="31" t="str">
        <f t="shared" si="160"/>
        <v>0</v>
      </c>
      <c r="CF196" s="10">
        <f>+Risultati!AR195</f>
        <v>0</v>
      </c>
      <c r="CG196" s="31" t="str">
        <f t="shared" si="161"/>
        <v>0</v>
      </c>
      <c r="CH196" s="10">
        <f>+Risultati!AS195</f>
        <v>0</v>
      </c>
      <c r="CI196" s="31" t="str">
        <f t="shared" si="162"/>
        <v>0</v>
      </c>
      <c r="CJ196" s="10">
        <f t="shared" si="163"/>
        <v>0</v>
      </c>
      <c r="CK196" s="31" t="str">
        <f t="shared" si="164"/>
        <v>0</v>
      </c>
      <c r="CL196" s="10">
        <f>+Risultati!AE195+Risultati!AF195</f>
        <v>0</v>
      </c>
      <c r="CM196" s="31" t="str">
        <f t="shared" si="165"/>
        <v>0</v>
      </c>
      <c r="CN196" s="10">
        <f>+Risultati!AT195</f>
        <v>0</v>
      </c>
      <c r="CO196" s="31" t="str">
        <f t="shared" si="166"/>
        <v>0</v>
      </c>
      <c r="CP196" s="10">
        <f>+Risultati!AU195</f>
        <v>0</v>
      </c>
      <c r="CQ196" s="31" t="str">
        <f t="shared" si="167"/>
        <v>0</v>
      </c>
      <c r="CR196" s="10">
        <f>+Risultati!AL195</f>
        <v>0</v>
      </c>
      <c r="CS196" s="31" t="str">
        <f t="shared" si="168"/>
        <v>0</v>
      </c>
      <c r="CT196" s="10">
        <f t="shared" si="169"/>
        <v>0</v>
      </c>
      <c r="CU196" s="31" t="str">
        <f t="shared" si="170"/>
        <v>0</v>
      </c>
      <c r="CV196" s="10">
        <f>+Risultati!AX195</f>
        <v>0</v>
      </c>
      <c r="CW196" s="31" t="str">
        <f t="shared" si="171"/>
        <v>0</v>
      </c>
      <c r="CX196" s="10">
        <f t="shared" si="172"/>
        <v>0</v>
      </c>
      <c r="CY196" s="31" t="str">
        <f t="shared" si="173"/>
        <v>0</v>
      </c>
      <c r="CZ196" s="10">
        <f>+Risultati!AG195</f>
        <v>0</v>
      </c>
      <c r="DA196" s="31" t="str">
        <f t="shared" si="174"/>
        <v>0</v>
      </c>
      <c r="DB196" s="10">
        <f t="shared" si="175"/>
        <v>0</v>
      </c>
      <c r="DC196" s="31" t="str">
        <f t="shared" si="176"/>
        <v>0</v>
      </c>
      <c r="DD196" s="10">
        <f>+Risultati!AV195</f>
        <v>0</v>
      </c>
      <c r="DE196" s="31" t="str">
        <f t="shared" si="177"/>
        <v>0</v>
      </c>
      <c r="DF196" s="10">
        <f>+Risultati!AJ195</f>
        <v>0</v>
      </c>
      <c r="DG196" s="31" t="str">
        <f t="shared" si="178"/>
        <v>0</v>
      </c>
      <c r="DH196" s="10">
        <f t="shared" si="179"/>
        <v>0</v>
      </c>
      <c r="DI196" s="31" t="str">
        <f t="shared" si="180"/>
        <v>0</v>
      </c>
      <c r="DJ196" s="10">
        <f>+Risultati!AW195</f>
        <v>0</v>
      </c>
      <c r="DK196" s="31" t="str">
        <f t="shared" si="181"/>
        <v>0</v>
      </c>
      <c r="DL196" s="10">
        <f t="shared" ref="DL196:DL259" si="203">+CX196</f>
        <v>0</v>
      </c>
      <c r="DM196" s="31" t="str">
        <f t="shared" si="182"/>
        <v>0</v>
      </c>
      <c r="DO196" s="30"/>
      <c r="DP196" s="30"/>
    </row>
    <row r="197" spans="1:120" x14ac:dyDescent="0.2">
      <c r="A197" s="5"/>
      <c r="B197" s="6">
        <f>+Risultati!B196</f>
        <v>0</v>
      </c>
      <c r="C197" s="6">
        <f>+Risultati!C196</f>
        <v>0</v>
      </c>
      <c r="D197" s="26" t="str">
        <f>IF(YEAR(Risultati!D196)=1900,(MID(Risultati!$AP$1,29,4)),YEAR(Risultati!D196))</f>
        <v/>
      </c>
      <c r="E197" s="6">
        <f>+Risultati!E196</f>
        <v>0</v>
      </c>
      <c r="F197" s="8" t="e">
        <f>(LEFT(Risultati!AN196,2)&amp;"-")&amp;VLOOKUP((LEFT(Risultati!AN196,2)),ateco!$B$4:$C$93,2,FALSE)</f>
        <v>#N/A</v>
      </c>
      <c r="G197" s="8" t="str">
        <f>SUBSTITUTE((Risultati!AN196&amp;"-"&amp;Risultati!AO196),",",";")</f>
        <v>-</v>
      </c>
      <c r="I197" s="10">
        <f>+Risultati!G196</f>
        <v>0</v>
      </c>
      <c r="J197" s="11" t="str">
        <f t="shared" si="185"/>
        <v>0</v>
      </c>
      <c r="K197" s="12"/>
      <c r="L197" s="10">
        <f>+Risultati!G196+Risultati!H196</f>
        <v>0</v>
      </c>
      <c r="M197" s="11" t="str">
        <f t="shared" si="186"/>
        <v>0</v>
      </c>
      <c r="N197" s="12"/>
      <c r="O197" s="10">
        <f>+Risultati!I196+Risultati!J196</f>
        <v>0</v>
      </c>
      <c r="P197" s="11" t="str">
        <f t="shared" si="187"/>
        <v>0</v>
      </c>
      <c r="Q197" s="12"/>
      <c r="R197" s="13">
        <f t="shared" si="153"/>
        <v>0</v>
      </c>
      <c r="S197" s="11" t="str">
        <f t="shared" si="188"/>
        <v>0</v>
      </c>
      <c r="T197" s="12"/>
      <c r="U197" s="10">
        <f>+Risultati!F196-(Risultati!G196+Risultati!H196)</f>
        <v>0</v>
      </c>
      <c r="V197" s="12" t="str">
        <f t="shared" si="189"/>
        <v>0</v>
      </c>
      <c r="W197" s="12"/>
      <c r="X197" s="10">
        <f t="shared" si="154"/>
        <v>0</v>
      </c>
      <c r="Y197" s="12" t="str">
        <f t="shared" si="190"/>
        <v>0</v>
      </c>
      <c r="Z197" s="12"/>
      <c r="AA197" s="10">
        <f>+Risultati!K196</f>
        <v>0</v>
      </c>
      <c r="AB197" s="12" t="str">
        <f t="shared" si="191"/>
        <v>0</v>
      </c>
      <c r="AC197" s="12"/>
      <c r="AD197" s="10">
        <f>+Risultati!L196</f>
        <v>0</v>
      </c>
      <c r="AE197" s="12" t="str">
        <f t="shared" si="192"/>
        <v>0</v>
      </c>
      <c r="AF197" s="12"/>
      <c r="AG197" s="10">
        <f>+Risultati!M196+Risultati!P196+Risultati!Q196</f>
        <v>0</v>
      </c>
      <c r="AH197" s="12" t="str">
        <f t="shared" si="193"/>
        <v>0</v>
      </c>
      <c r="AI197" s="12"/>
      <c r="AJ197" s="13">
        <f t="shared" si="155"/>
        <v>0</v>
      </c>
      <c r="AK197" s="11" t="str">
        <f t="shared" si="194"/>
        <v>0</v>
      </c>
      <c r="AL197" s="12"/>
      <c r="AM197" s="10">
        <f>+Risultati!N196</f>
        <v>0</v>
      </c>
      <c r="AN197" s="12" t="str">
        <f t="shared" si="195"/>
        <v>0</v>
      </c>
      <c r="AO197" s="12"/>
      <c r="AP197" s="10">
        <f t="shared" si="156"/>
        <v>0</v>
      </c>
      <c r="AQ197" s="41" t="str">
        <f t="shared" si="196"/>
        <v>0</v>
      </c>
      <c r="AR197" s="12"/>
      <c r="AS197" s="10">
        <f>+Risultati!O196</f>
        <v>0</v>
      </c>
      <c r="AT197" s="12" t="str">
        <f t="shared" si="197"/>
        <v>0</v>
      </c>
      <c r="AU197" s="12"/>
      <c r="AV197" s="10">
        <f t="shared" si="157"/>
        <v>0</v>
      </c>
      <c r="AW197" s="12" t="str">
        <f t="shared" si="198"/>
        <v>0</v>
      </c>
      <c r="AX197" s="12"/>
      <c r="AY197" s="10">
        <f>+Risultati!R196+Risultati!S196</f>
        <v>0</v>
      </c>
      <c r="AZ197" s="12" t="str">
        <f t="shared" si="199"/>
        <v>0</v>
      </c>
      <c r="BA197" s="12"/>
      <c r="BB197" s="10">
        <f>+Risultati!T196</f>
        <v>0</v>
      </c>
      <c r="BC197" s="12" t="str">
        <f t="shared" si="200"/>
        <v>0</v>
      </c>
      <c r="BD197" s="12"/>
      <c r="BE197" s="10">
        <f>+Risultati!U196</f>
        <v>0</v>
      </c>
      <c r="BF197" s="12" t="str">
        <f t="shared" si="201"/>
        <v>0</v>
      </c>
      <c r="BG197" s="12"/>
      <c r="BH197" s="10">
        <f t="shared" si="158"/>
        <v>0</v>
      </c>
      <c r="BI197" s="12" t="str">
        <f t="shared" si="202"/>
        <v>0</v>
      </c>
      <c r="BK197" s="16">
        <f>IF(ISNUMBER(Risultati!X196/100),(Risultati!X196/100))</f>
        <v>0</v>
      </c>
      <c r="BL197" s="16">
        <f>IF(ISNUMBER(Risultati!Y196/100),(Risultati!Y196/100))</f>
        <v>0</v>
      </c>
      <c r="BM197" s="16">
        <f>IF(ISNUMBER(Risultati!Z196/100),(Risultati!Z196/100))</f>
        <v>0</v>
      </c>
      <c r="BN197" s="16">
        <f>IF(AND(Risultati!AY196&lt;0,calcoli!AP197&lt;0),-IF(ISNUMBER(Risultati!AA196/100),(Risultati!AA196/100)),IF(ISNUMBER(Risultati!AA196/100),(Risultati!AA196/100)))</f>
        <v>0</v>
      </c>
      <c r="BO197" s="16" t="str">
        <f t="shared" si="183"/>
        <v>0</v>
      </c>
      <c r="BP197" s="16" t="str">
        <f>IF(Risultati!AB196&gt;0,(AV197/Risultati!AB196),"0")</f>
        <v>0</v>
      </c>
      <c r="BQ197" s="16" t="str">
        <f>IF(Risultati!AG196&lt;&gt;0,(BH197/Risultati!AG196),"0")</f>
        <v>0</v>
      </c>
      <c r="BR197" s="16" t="str">
        <f t="shared" si="184"/>
        <v>0</v>
      </c>
      <c r="BS197" s="14" t="str">
        <f>IF(Risultati!AB196&gt;0,(Risultati!G196/Risultati!AB196),"0")</f>
        <v>0</v>
      </c>
      <c r="BT197" s="15" t="str">
        <f>IF(Risultati!AG196&lt;&gt;0,(Risultati!AB196/Risultati!AG196),"0")</f>
        <v>0</v>
      </c>
      <c r="BU197" s="23" t="str">
        <f>IF(AND(Risultati!G196&gt;0,(Risultati!AE196-Risultati!AF196)&gt;=0),((Risultati!AE196-Risultati!AF196)/Risultati!G196*360),"0")</f>
        <v>0</v>
      </c>
      <c r="BV197" s="21" t="str">
        <f>IF(OR(E197="abbreviato",Risultati!G196=0),"0",((Risultati!AC196+Risultati!AD196)/Risultati!G196*360))</f>
        <v>0</v>
      </c>
      <c r="BW197" s="21" t="str">
        <f>IF(OR(E197="abbreviato",Risultati!G196=0,SUM(Risultati!I196+Risultati!K196+Risultati!M196)=0),"0",(((Risultati!AH196+Risultati!AI196)/(Risultati!I196+Risultati!K196+Risultati!N196)*360)))</f>
        <v>0</v>
      </c>
      <c r="BX197" s="16" t="str">
        <f>IF(Risultati!AB196&gt;0,(+Risultati!AG196/Risultati!AB196),"0")</f>
        <v>0</v>
      </c>
      <c r="BY197" s="22" t="str">
        <f>IF(OR(E197="abbreviato",Risultati!G196=0),"0",(((Risultati!AK196-(Risultati!AL196+Risultati!AM196))/Risultati!G196)))</f>
        <v>0</v>
      </c>
      <c r="BZ197" s="16" t="str">
        <f>IF(Risultati!G196&gt;0,(Risultati!AJ196/Risultati!G196),"0")</f>
        <v>0</v>
      </c>
      <c r="CA197" s="8"/>
      <c r="CB197" s="10">
        <f>+Risultati!AP196</f>
        <v>0</v>
      </c>
      <c r="CC197" s="31" t="str">
        <f t="shared" si="159"/>
        <v>0</v>
      </c>
      <c r="CD197" s="10">
        <f>+Risultati!AQ196</f>
        <v>0</v>
      </c>
      <c r="CE197" s="31" t="str">
        <f t="shared" si="160"/>
        <v>0</v>
      </c>
      <c r="CF197" s="10">
        <f>+Risultati!AR196</f>
        <v>0</v>
      </c>
      <c r="CG197" s="31" t="str">
        <f t="shared" si="161"/>
        <v>0</v>
      </c>
      <c r="CH197" s="10">
        <f>+Risultati!AS196</f>
        <v>0</v>
      </c>
      <c r="CI197" s="31" t="str">
        <f t="shared" si="162"/>
        <v>0</v>
      </c>
      <c r="CJ197" s="10">
        <f t="shared" si="163"/>
        <v>0</v>
      </c>
      <c r="CK197" s="31" t="str">
        <f t="shared" si="164"/>
        <v>0</v>
      </c>
      <c r="CL197" s="10">
        <f>+Risultati!AE196+Risultati!AF196</f>
        <v>0</v>
      </c>
      <c r="CM197" s="31" t="str">
        <f t="shared" si="165"/>
        <v>0</v>
      </c>
      <c r="CN197" s="10">
        <f>+Risultati!AT196</f>
        <v>0</v>
      </c>
      <c r="CO197" s="31" t="str">
        <f t="shared" si="166"/>
        <v>0</v>
      </c>
      <c r="CP197" s="10">
        <f>+Risultati!AU196</f>
        <v>0</v>
      </c>
      <c r="CQ197" s="31" t="str">
        <f t="shared" si="167"/>
        <v>0</v>
      </c>
      <c r="CR197" s="10">
        <f>+Risultati!AL196</f>
        <v>0</v>
      </c>
      <c r="CS197" s="31" t="str">
        <f t="shared" si="168"/>
        <v>0</v>
      </c>
      <c r="CT197" s="10">
        <f t="shared" si="169"/>
        <v>0</v>
      </c>
      <c r="CU197" s="31" t="str">
        <f t="shared" si="170"/>
        <v>0</v>
      </c>
      <c r="CV197" s="10">
        <f>+Risultati!AX196</f>
        <v>0</v>
      </c>
      <c r="CW197" s="31" t="str">
        <f t="shared" si="171"/>
        <v>0</v>
      </c>
      <c r="CX197" s="10">
        <f t="shared" si="172"/>
        <v>0</v>
      </c>
      <c r="CY197" s="31" t="str">
        <f t="shared" si="173"/>
        <v>0</v>
      </c>
      <c r="CZ197" s="10">
        <f>+Risultati!AG196</f>
        <v>0</v>
      </c>
      <c r="DA197" s="31" t="str">
        <f t="shared" si="174"/>
        <v>0</v>
      </c>
      <c r="DB197" s="10">
        <f t="shared" si="175"/>
        <v>0</v>
      </c>
      <c r="DC197" s="31" t="str">
        <f t="shared" si="176"/>
        <v>0</v>
      </c>
      <c r="DD197" s="10">
        <f>+Risultati!AV196</f>
        <v>0</v>
      </c>
      <c r="DE197" s="31" t="str">
        <f t="shared" si="177"/>
        <v>0</v>
      </c>
      <c r="DF197" s="10">
        <f>+Risultati!AJ196</f>
        <v>0</v>
      </c>
      <c r="DG197" s="31" t="str">
        <f t="shared" si="178"/>
        <v>0</v>
      </c>
      <c r="DH197" s="10">
        <f t="shared" si="179"/>
        <v>0</v>
      </c>
      <c r="DI197" s="31" t="str">
        <f t="shared" si="180"/>
        <v>0</v>
      </c>
      <c r="DJ197" s="10">
        <f>+Risultati!AW196</f>
        <v>0</v>
      </c>
      <c r="DK197" s="31" t="str">
        <f t="shared" si="181"/>
        <v>0</v>
      </c>
      <c r="DL197" s="10">
        <f t="shared" si="203"/>
        <v>0</v>
      </c>
      <c r="DM197" s="31" t="str">
        <f t="shared" si="182"/>
        <v>0</v>
      </c>
      <c r="DO197" s="30"/>
      <c r="DP197" s="30"/>
    </row>
    <row r="198" spans="1:120" x14ac:dyDescent="0.2">
      <c r="A198" s="5"/>
      <c r="B198" s="6">
        <f>+Risultati!B197</f>
        <v>0</v>
      </c>
      <c r="C198" s="6">
        <f>+Risultati!C197</f>
        <v>0</v>
      </c>
      <c r="D198" s="26" t="str">
        <f>IF(YEAR(Risultati!D197)=1900,(MID(Risultati!$AP$1,29,4)),YEAR(Risultati!D197))</f>
        <v/>
      </c>
      <c r="E198" s="6">
        <f>+Risultati!E197</f>
        <v>0</v>
      </c>
      <c r="F198" s="8" t="e">
        <f>(LEFT(Risultati!AN197,2)&amp;"-")&amp;VLOOKUP((LEFT(Risultati!AN197,2)),ateco!$B$4:$C$93,2,FALSE)</f>
        <v>#N/A</v>
      </c>
      <c r="G198" s="8" t="str">
        <f>SUBSTITUTE((Risultati!AN197&amp;"-"&amp;Risultati!AO197),",",";")</f>
        <v>-</v>
      </c>
      <c r="I198" s="10">
        <f>+Risultati!G197</f>
        <v>0</v>
      </c>
      <c r="J198" s="11" t="str">
        <f t="shared" si="185"/>
        <v>0</v>
      </c>
      <c r="K198" s="12"/>
      <c r="L198" s="10">
        <f>+Risultati!G197+Risultati!H197</f>
        <v>0</v>
      </c>
      <c r="M198" s="11" t="str">
        <f t="shared" si="186"/>
        <v>0</v>
      </c>
      <c r="N198" s="12"/>
      <c r="O198" s="10">
        <f>+Risultati!I197+Risultati!J197</f>
        <v>0</v>
      </c>
      <c r="P198" s="11" t="str">
        <f t="shared" si="187"/>
        <v>0</v>
      </c>
      <c r="Q198" s="12"/>
      <c r="R198" s="13">
        <f t="shared" si="153"/>
        <v>0</v>
      </c>
      <c r="S198" s="11" t="str">
        <f t="shared" si="188"/>
        <v>0</v>
      </c>
      <c r="T198" s="12"/>
      <c r="U198" s="10">
        <f>+Risultati!F197-(Risultati!G197+Risultati!H197)</f>
        <v>0</v>
      </c>
      <c r="V198" s="12" t="str">
        <f t="shared" si="189"/>
        <v>0</v>
      </c>
      <c r="W198" s="12"/>
      <c r="X198" s="10">
        <f t="shared" si="154"/>
        <v>0</v>
      </c>
      <c r="Y198" s="12" t="str">
        <f t="shared" si="190"/>
        <v>0</v>
      </c>
      <c r="Z198" s="12"/>
      <c r="AA198" s="10">
        <f>+Risultati!K197</f>
        <v>0</v>
      </c>
      <c r="AB198" s="12" t="str">
        <f t="shared" si="191"/>
        <v>0</v>
      </c>
      <c r="AC198" s="12"/>
      <c r="AD198" s="10">
        <f>+Risultati!L197</f>
        <v>0</v>
      </c>
      <c r="AE198" s="12" t="str">
        <f t="shared" si="192"/>
        <v>0</v>
      </c>
      <c r="AF198" s="12"/>
      <c r="AG198" s="10">
        <f>+Risultati!M197+Risultati!P197+Risultati!Q197</f>
        <v>0</v>
      </c>
      <c r="AH198" s="12" t="str">
        <f t="shared" si="193"/>
        <v>0</v>
      </c>
      <c r="AI198" s="12"/>
      <c r="AJ198" s="13">
        <f t="shared" si="155"/>
        <v>0</v>
      </c>
      <c r="AK198" s="11" t="str">
        <f t="shared" si="194"/>
        <v>0</v>
      </c>
      <c r="AL198" s="12"/>
      <c r="AM198" s="10">
        <f>+Risultati!N197</f>
        <v>0</v>
      </c>
      <c r="AN198" s="12" t="str">
        <f t="shared" si="195"/>
        <v>0</v>
      </c>
      <c r="AO198" s="12"/>
      <c r="AP198" s="10">
        <f t="shared" si="156"/>
        <v>0</v>
      </c>
      <c r="AQ198" s="41" t="str">
        <f t="shared" si="196"/>
        <v>0</v>
      </c>
      <c r="AR198" s="12"/>
      <c r="AS198" s="10">
        <f>+Risultati!O197</f>
        <v>0</v>
      </c>
      <c r="AT198" s="12" t="str">
        <f t="shared" si="197"/>
        <v>0</v>
      </c>
      <c r="AU198" s="12"/>
      <c r="AV198" s="10">
        <f t="shared" si="157"/>
        <v>0</v>
      </c>
      <c r="AW198" s="12" t="str">
        <f t="shared" si="198"/>
        <v>0</v>
      </c>
      <c r="AX198" s="12"/>
      <c r="AY198" s="10">
        <f>+Risultati!R197+Risultati!S197</f>
        <v>0</v>
      </c>
      <c r="AZ198" s="12" t="str">
        <f t="shared" si="199"/>
        <v>0</v>
      </c>
      <c r="BA198" s="12"/>
      <c r="BB198" s="10">
        <f>+Risultati!T197</f>
        <v>0</v>
      </c>
      <c r="BC198" s="12" t="str">
        <f t="shared" si="200"/>
        <v>0</v>
      </c>
      <c r="BD198" s="12"/>
      <c r="BE198" s="10">
        <f>+Risultati!U197</f>
        <v>0</v>
      </c>
      <c r="BF198" s="12" t="str">
        <f t="shared" si="201"/>
        <v>0</v>
      </c>
      <c r="BG198" s="12"/>
      <c r="BH198" s="10">
        <f t="shared" si="158"/>
        <v>0</v>
      </c>
      <c r="BI198" s="12" t="str">
        <f t="shared" si="202"/>
        <v>0</v>
      </c>
      <c r="BK198" s="16">
        <f>IF(ISNUMBER(Risultati!X197/100),(Risultati!X197/100))</f>
        <v>0</v>
      </c>
      <c r="BL198" s="16">
        <f>IF(ISNUMBER(Risultati!Y197/100),(Risultati!Y197/100))</f>
        <v>0</v>
      </c>
      <c r="BM198" s="16">
        <f>IF(ISNUMBER(Risultati!Z197/100),(Risultati!Z197/100))</f>
        <v>0</v>
      </c>
      <c r="BN198" s="16">
        <f>IF(AND(Risultati!AY197&lt;0,calcoli!AP198&lt;0),-IF(ISNUMBER(Risultati!AA197/100),(Risultati!AA197/100)),IF(ISNUMBER(Risultati!AA197/100),(Risultati!AA197/100)))</f>
        <v>0</v>
      </c>
      <c r="BO198" s="16" t="str">
        <f t="shared" si="183"/>
        <v>0</v>
      </c>
      <c r="BP198" s="16" t="str">
        <f>IF(Risultati!AB197&gt;0,(AV198/Risultati!AB197),"0")</f>
        <v>0</v>
      </c>
      <c r="BQ198" s="16" t="str">
        <f>IF(Risultati!AG197&lt;&gt;0,(BH198/Risultati!AG197),"0")</f>
        <v>0</v>
      </c>
      <c r="BR198" s="16" t="str">
        <f t="shared" si="184"/>
        <v>0</v>
      </c>
      <c r="BS198" s="14" t="str">
        <f>IF(Risultati!AB197&gt;0,(Risultati!G197/Risultati!AB197),"0")</f>
        <v>0</v>
      </c>
      <c r="BT198" s="15" t="str">
        <f>IF(Risultati!AG197&lt;&gt;0,(Risultati!AB197/Risultati!AG197),"0")</f>
        <v>0</v>
      </c>
      <c r="BU198" s="23" t="str">
        <f>IF(AND(Risultati!G197&gt;0,(Risultati!AE197-Risultati!AF197)&gt;=0),((Risultati!AE197-Risultati!AF197)/Risultati!G197*360),"0")</f>
        <v>0</v>
      </c>
      <c r="BV198" s="21" t="str">
        <f>IF(OR(E198="abbreviato",Risultati!G197=0),"0",((Risultati!AC197+Risultati!AD197)/Risultati!G197*360))</f>
        <v>0</v>
      </c>
      <c r="BW198" s="21" t="str">
        <f>IF(OR(E198="abbreviato",Risultati!G197=0,SUM(Risultati!I197+Risultati!K197+Risultati!M197)=0),"0",(((Risultati!AH197+Risultati!AI197)/(Risultati!I197+Risultati!K197+Risultati!N197)*360)))</f>
        <v>0</v>
      </c>
      <c r="BX198" s="16" t="str">
        <f>IF(Risultati!AB197&gt;0,(+Risultati!AG197/Risultati!AB197),"0")</f>
        <v>0</v>
      </c>
      <c r="BY198" s="22" t="str">
        <f>IF(OR(E198="abbreviato",Risultati!G197=0),"0",(((Risultati!AK197-(Risultati!AL197+Risultati!AM197))/Risultati!G197)))</f>
        <v>0</v>
      </c>
      <c r="BZ198" s="16" t="str">
        <f>IF(Risultati!G197&gt;0,(Risultati!AJ197/Risultati!G197),"0")</f>
        <v>0</v>
      </c>
      <c r="CA198" s="8"/>
      <c r="CB198" s="10">
        <f>+Risultati!AP197</f>
        <v>0</v>
      </c>
      <c r="CC198" s="31" t="str">
        <f t="shared" si="159"/>
        <v>0</v>
      </c>
      <c r="CD198" s="10">
        <f>+Risultati!AQ197</f>
        <v>0</v>
      </c>
      <c r="CE198" s="31" t="str">
        <f t="shared" si="160"/>
        <v>0</v>
      </c>
      <c r="CF198" s="10">
        <f>+Risultati!AR197</f>
        <v>0</v>
      </c>
      <c r="CG198" s="31" t="str">
        <f t="shared" si="161"/>
        <v>0</v>
      </c>
      <c r="CH198" s="10">
        <f>+Risultati!AS197</f>
        <v>0</v>
      </c>
      <c r="CI198" s="31" t="str">
        <f t="shared" si="162"/>
        <v>0</v>
      </c>
      <c r="CJ198" s="10">
        <f t="shared" si="163"/>
        <v>0</v>
      </c>
      <c r="CK198" s="31" t="str">
        <f t="shared" si="164"/>
        <v>0</v>
      </c>
      <c r="CL198" s="10">
        <f>+Risultati!AE197+Risultati!AF197</f>
        <v>0</v>
      </c>
      <c r="CM198" s="31" t="str">
        <f t="shared" si="165"/>
        <v>0</v>
      </c>
      <c r="CN198" s="10">
        <f>+Risultati!AT197</f>
        <v>0</v>
      </c>
      <c r="CO198" s="31" t="str">
        <f t="shared" si="166"/>
        <v>0</v>
      </c>
      <c r="CP198" s="10">
        <f>+Risultati!AU197</f>
        <v>0</v>
      </c>
      <c r="CQ198" s="31" t="str">
        <f t="shared" si="167"/>
        <v>0</v>
      </c>
      <c r="CR198" s="10">
        <f>+Risultati!AL197</f>
        <v>0</v>
      </c>
      <c r="CS198" s="31" t="str">
        <f t="shared" si="168"/>
        <v>0</v>
      </c>
      <c r="CT198" s="10">
        <f t="shared" si="169"/>
        <v>0</v>
      </c>
      <c r="CU198" s="31" t="str">
        <f t="shared" si="170"/>
        <v>0</v>
      </c>
      <c r="CV198" s="10">
        <f>+Risultati!AX197</f>
        <v>0</v>
      </c>
      <c r="CW198" s="31" t="str">
        <f t="shared" si="171"/>
        <v>0</v>
      </c>
      <c r="CX198" s="10">
        <f t="shared" si="172"/>
        <v>0</v>
      </c>
      <c r="CY198" s="31" t="str">
        <f t="shared" si="173"/>
        <v>0</v>
      </c>
      <c r="CZ198" s="10">
        <f>+Risultati!AG197</f>
        <v>0</v>
      </c>
      <c r="DA198" s="31" t="str">
        <f t="shared" si="174"/>
        <v>0</v>
      </c>
      <c r="DB198" s="10">
        <f t="shared" si="175"/>
        <v>0</v>
      </c>
      <c r="DC198" s="31" t="str">
        <f t="shared" si="176"/>
        <v>0</v>
      </c>
      <c r="DD198" s="10">
        <f>+Risultati!AV197</f>
        <v>0</v>
      </c>
      <c r="DE198" s="31" t="str">
        <f t="shared" si="177"/>
        <v>0</v>
      </c>
      <c r="DF198" s="10">
        <f>+Risultati!AJ197</f>
        <v>0</v>
      </c>
      <c r="DG198" s="31" t="str">
        <f t="shared" si="178"/>
        <v>0</v>
      </c>
      <c r="DH198" s="10">
        <f t="shared" si="179"/>
        <v>0</v>
      </c>
      <c r="DI198" s="31" t="str">
        <f t="shared" si="180"/>
        <v>0</v>
      </c>
      <c r="DJ198" s="10">
        <f>+Risultati!AW197</f>
        <v>0</v>
      </c>
      <c r="DK198" s="31" t="str">
        <f t="shared" si="181"/>
        <v>0</v>
      </c>
      <c r="DL198" s="10">
        <f t="shared" si="203"/>
        <v>0</v>
      </c>
      <c r="DM198" s="31" t="str">
        <f t="shared" si="182"/>
        <v>0</v>
      </c>
      <c r="DO198" s="30"/>
      <c r="DP198" s="30"/>
    </row>
    <row r="199" spans="1:120" x14ac:dyDescent="0.2">
      <c r="A199" s="5"/>
      <c r="B199" s="6">
        <f>+Risultati!B198</f>
        <v>0</v>
      </c>
      <c r="C199" s="6">
        <f>+Risultati!C198</f>
        <v>0</v>
      </c>
      <c r="D199" s="26" t="str">
        <f>IF(YEAR(Risultati!D198)=1900,(MID(Risultati!$AP$1,29,4)),YEAR(Risultati!D198))</f>
        <v/>
      </c>
      <c r="E199" s="6">
        <f>+Risultati!E198</f>
        <v>0</v>
      </c>
      <c r="F199" s="8" t="e">
        <f>(LEFT(Risultati!AN198,2)&amp;"-")&amp;VLOOKUP((LEFT(Risultati!AN198,2)),ateco!$B$4:$C$93,2,FALSE)</f>
        <v>#N/A</v>
      </c>
      <c r="G199" s="8" t="str">
        <f>SUBSTITUTE((Risultati!AN198&amp;"-"&amp;Risultati!AO198),",",";")</f>
        <v>-</v>
      </c>
      <c r="I199" s="10">
        <f>+Risultati!G198</f>
        <v>0</v>
      </c>
      <c r="J199" s="11" t="str">
        <f t="shared" si="185"/>
        <v>0</v>
      </c>
      <c r="K199" s="12"/>
      <c r="L199" s="10">
        <f>+Risultati!G198+Risultati!H198</f>
        <v>0</v>
      </c>
      <c r="M199" s="11" t="str">
        <f t="shared" si="186"/>
        <v>0</v>
      </c>
      <c r="N199" s="12"/>
      <c r="O199" s="10">
        <f>+Risultati!I198+Risultati!J198</f>
        <v>0</v>
      </c>
      <c r="P199" s="11" t="str">
        <f t="shared" si="187"/>
        <v>0</v>
      </c>
      <c r="Q199" s="12"/>
      <c r="R199" s="13">
        <f t="shared" si="153"/>
        <v>0</v>
      </c>
      <c r="S199" s="11" t="str">
        <f t="shared" si="188"/>
        <v>0</v>
      </c>
      <c r="T199" s="12"/>
      <c r="U199" s="10">
        <f>+Risultati!F198-(Risultati!G198+Risultati!H198)</f>
        <v>0</v>
      </c>
      <c r="V199" s="12" t="str">
        <f t="shared" si="189"/>
        <v>0</v>
      </c>
      <c r="W199" s="12"/>
      <c r="X199" s="10">
        <f t="shared" si="154"/>
        <v>0</v>
      </c>
      <c r="Y199" s="12" t="str">
        <f t="shared" si="190"/>
        <v>0</v>
      </c>
      <c r="Z199" s="12"/>
      <c r="AA199" s="10">
        <f>+Risultati!K198</f>
        <v>0</v>
      </c>
      <c r="AB199" s="12" t="str">
        <f t="shared" si="191"/>
        <v>0</v>
      </c>
      <c r="AC199" s="12"/>
      <c r="AD199" s="10">
        <f>+Risultati!L198</f>
        <v>0</v>
      </c>
      <c r="AE199" s="12" t="str">
        <f t="shared" si="192"/>
        <v>0</v>
      </c>
      <c r="AF199" s="12"/>
      <c r="AG199" s="10">
        <f>+Risultati!M198+Risultati!P198+Risultati!Q198</f>
        <v>0</v>
      </c>
      <c r="AH199" s="12" t="str">
        <f t="shared" si="193"/>
        <v>0</v>
      </c>
      <c r="AI199" s="12"/>
      <c r="AJ199" s="13">
        <f t="shared" si="155"/>
        <v>0</v>
      </c>
      <c r="AK199" s="11" t="str">
        <f t="shared" si="194"/>
        <v>0</v>
      </c>
      <c r="AL199" s="12"/>
      <c r="AM199" s="10">
        <f>+Risultati!N198</f>
        <v>0</v>
      </c>
      <c r="AN199" s="12" t="str">
        <f t="shared" si="195"/>
        <v>0</v>
      </c>
      <c r="AO199" s="12"/>
      <c r="AP199" s="10">
        <f t="shared" si="156"/>
        <v>0</v>
      </c>
      <c r="AQ199" s="41" t="str">
        <f t="shared" si="196"/>
        <v>0</v>
      </c>
      <c r="AR199" s="12"/>
      <c r="AS199" s="10">
        <f>+Risultati!O198</f>
        <v>0</v>
      </c>
      <c r="AT199" s="12" t="str">
        <f t="shared" si="197"/>
        <v>0</v>
      </c>
      <c r="AU199" s="12"/>
      <c r="AV199" s="10">
        <f t="shared" si="157"/>
        <v>0</v>
      </c>
      <c r="AW199" s="12" t="str">
        <f t="shared" si="198"/>
        <v>0</v>
      </c>
      <c r="AX199" s="12"/>
      <c r="AY199" s="10">
        <f>+Risultati!R198+Risultati!S198</f>
        <v>0</v>
      </c>
      <c r="AZ199" s="12" t="str">
        <f t="shared" si="199"/>
        <v>0</v>
      </c>
      <c r="BA199" s="12"/>
      <c r="BB199" s="10">
        <f>+Risultati!T198</f>
        <v>0</v>
      </c>
      <c r="BC199" s="12" t="str">
        <f t="shared" si="200"/>
        <v>0</v>
      </c>
      <c r="BD199" s="12"/>
      <c r="BE199" s="10">
        <f>+Risultati!U198</f>
        <v>0</v>
      </c>
      <c r="BF199" s="12" t="str">
        <f t="shared" si="201"/>
        <v>0</v>
      </c>
      <c r="BG199" s="12"/>
      <c r="BH199" s="10">
        <f t="shared" si="158"/>
        <v>0</v>
      </c>
      <c r="BI199" s="12" t="str">
        <f t="shared" si="202"/>
        <v>0</v>
      </c>
      <c r="BK199" s="16">
        <f>IF(ISNUMBER(Risultati!X198/100),(Risultati!X198/100))</f>
        <v>0</v>
      </c>
      <c r="BL199" s="16">
        <f>IF(ISNUMBER(Risultati!Y198/100),(Risultati!Y198/100))</f>
        <v>0</v>
      </c>
      <c r="BM199" s="16">
        <f>IF(ISNUMBER(Risultati!Z198/100),(Risultati!Z198/100))</f>
        <v>0</v>
      </c>
      <c r="BN199" s="16">
        <f>IF(AND(Risultati!AY198&lt;0,calcoli!AP199&lt;0),-IF(ISNUMBER(Risultati!AA198/100),(Risultati!AA198/100)),IF(ISNUMBER(Risultati!AA198/100),(Risultati!AA198/100)))</f>
        <v>0</v>
      </c>
      <c r="BO199" s="16" t="str">
        <f t="shared" si="183"/>
        <v>0</v>
      </c>
      <c r="BP199" s="16" t="str">
        <f>IF(Risultati!AB198&gt;0,(AV199/Risultati!AB198),"0")</f>
        <v>0</v>
      </c>
      <c r="BQ199" s="16" t="str">
        <f>IF(Risultati!AG198&lt;&gt;0,(BH199/Risultati!AG198),"0")</f>
        <v>0</v>
      </c>
      <c r="BR199" s="16" t="str">
        <f t="shared" si="184"/>
        <v>0</v>
      </c>
      <c r="BS199" s="14" t="str">
        <f>IF(Risultati!AB198&gt;0,(Risultati!G198/Risultati!AB198),"0")</f>
        <v>0</v>
      </c>
      <c r="BT199" s="15" t="str">
        <f>IF(Risultati!AG198&lt;&gt;0,(Risultati!AB198/Risultati!AG198),"0")</f>
        <v>0</v>
      </c>
      <c r="BU199" s="23" t="str">
        <f>IF(AND(Risultati!G198&gt;0,(Risultati!AE198-Risultati!AF198)&gt;=0),((Risultati!AE198-Risultati!AF198)/Risultati!G198*360),"0")</f>
        <v>0</v>
      </c>
      <c r="BV199" s="21" t="str">
        <f>IF(OR(E199="abbreviato",Risultati!G198=0),"0",((Risultati!AC198+Risultati!AD198)/Risultati!G198*360))</f>
        <v>0</v>
      </c>
      <c r="BW199" s="21" t="str">
        <f>IF(OR(E199="abbreviato",Risultati!G198=0,SUM(Risultati!I198+Risultati!K198+Risultati!M198)=0),"0",(((Risultati!AH198+Risultati!AI198)/(Risultati!I198+Risultati!K198+Risultati!N198)*360)))</f>
        <v>0</v>
      </c>
      <c r="BX199" s="16" t="str">
        <f>IF(Risultati!AB198&gt;0,(+Risultati!AG198/Risultati!AB198),"0")</f>
        <v>0</v>
      </c>
      <c r="BY199" s="22" t="str">
        <f>IF(OR(E199="abbreviato",Risultati!G198=0),"0",(((Risultati!AK198-(Risultati!AL198+Risultati!AM198))/Risultati!G198)))</f>
        <v>0</v>
      </c>
      <c r="BZ199" s="16" t="str">
        <f>IF(Risultati!G198&gt;0,(Risultati!AJ198/Risultati!G198),"0")</f>
        <v>0</v>
      </c>
      <c r="CA199" s="8"/>
      <c r="CB199" s="10">
        <f>+Risultati!AP198</f>
        <v>0</v>
      </c>
      <c r="CC199" s="31" t="str">
        <f t="shared" si="159"/>
        <v>0</v>
      </c>
      <c r="CD199" s="10">
        <f>+Risultati!AQ198</f>
        <v>0</v>
      </c>
      <c r="CE199" s="31" t="str">
        <f t="shared" si="160"/>
        <v>0</v>
      </c>
      <c r="CF199" s="10">
        <f>+Risultati!AR198</f>
        <v>0</v>
      </c>
      <c r="CG199" s="31" t="str">
        <f t="shared" si="161"/>
        <v>0</v>
      </c>
      <c r="CH199" s="10">
        <f>+Risultati!AS198</f>
        <v>0</v>
      </c>
      <c r="CI199" s="31" t="str">
        <f t="shared" si="162"/>
        <v>0</v>
      </c>
      <c r="CJ199" s="10">
        <f t="shared" si="163"/>
        <v>0</v>
      </c>
      <c r="CK199" s="31" t="str">
        <f t="shared" si="164"/>
        <v>0</v>
      </c>
      <c r="CL199" s="10">
        <f>+Risultati!AE198+Risultati!AF198</f>
        <v>0</v>
      </c>
      <c r="CM199" s="31" t="str">
        <f t="shared" si="165"/>
        <v>0</v>
      </c>
      <c r="CN199" s="10">
        <f>+Risultati!AT198</f>
        <v>0</v>
      </c>
      <c r="CO199" s="31" t="str">
        <f t="shared" si="166"/>
        <v>0</v>
      </c>
      <c r="CP199" s="10">
        <f>+Risultati!AU198</f>
        <v>0</v>
      </c>
      <c r="CQ199" s="31" t="str">
        <f t="shared" si="167"/>
        <v>0</v>
      </c>
      <c r="CR199" s="10">
        <f>+Risultati!AL198</f>
        <v>0</v>
      </c>
      <c r="CS199" s="31" t="str">
        <f t="shared" si="168"/>
        <v>0</v>
      </c>
      <c r="CT199" s="10">
        <f t="shared" si="169"/>
        <v>0</v>
      </c>
      <c r="CU199" s="31" t="str">
        <f t="shared" si="170"/>
        <v>0</v>
      </c>
      <c r="CV199" s="10">
        <f>+Risultati!AX198</f>
        <v>0</v>
      </c>
      <c r="CW199" s="31" t="str">
        <f t="shared" si="171"/>
        <v>0</v>
      </c>
      <c r="CX199" s="10">
        <f t="shared" si="172"/>
        <v>0</v>
      </c>
      <c r="CY199" s="31" t="str">
        <f t="shared" si="173"/>
        <v>0</v>
      </c>
      <c r="CZ199" s="10">
        <f>+Risultati!AG198</f>
        <v>0</v>
      </c>
      <c r="DA199" s="31" t="str">
        <f t="shared" si="174"/>
        <v>0</v>
      </c>
      <c r="DB199" s="10">
        <f t="shared" si="175"/>
        <v>0</v>
      </c>
      <c r="DC199" s="31" t="str">
        <f t="shared" si="176"/>
        <v>0</v>
      </c>
      <c r="DD199" s="10">
        <f>+Risultati!AV198</f>
        <v>0</v>
      </c>
      <c r="DE199" s="31" t="str">
        <f t="shared" si="177"/>
        <v>0</v>
      </c>
      <c r="DF199" s="10">
        <f>+Risultati!AJ198</f>
        <v>0</v>
      </c>
      <c r="DG199" s="31" t="str">
        <f t="shared" si="178"/>
        <v>0</v>
      </c>
      <c r="DH199" s="10">
        <f t="shared" si="179"/>
        <v>0</v>
      </c>
      <c r="DI199" s="31" t="str">
        <f t="shared" si="180"/>
        <v>0</v>
      </c>
      <c r="DJ199" s="10">
        <f>+Risultati!AW198</f>
        <v>0</v>
      </c>
      <c r="DK199" s="31" t="str">
        <f t="shared" si="181"/>
        <v>0</v>
      </c>
      <c r="DL199" s="10">
        <f t="shared" si="203"/>
        <v>0</v>
      </c>
      <c r="DM199" s="31" t="str">
        <f t="shared" si="182"/>
        <v>0</v>
      </c>
      <c r="DO199" s="30"/>
      <c r="DP199" s="30"/>
    </row>
    <row r="200" spans="1:120" x14ac:dyDescent="0.2">
      <c r="A200" s="5"/>
      <c r="B200" s="6">
        <f>+Risultati!B199</f>
        <v>0</v>
      </c>
      <c r="C200" s="6">
        <f>+Risultati!C199</f>
        <v>0</v>
      </c>
      <c r="D200" s="26" t="str">
        <f>IF(YEAR(Risultati!D199)=1900,(MID(Risultati!$AP$1,29,4)),YEAR(Risultati!D199))</f>
        <v/>
      </c>
      <c r="E200" s="6">
        <f>+Risultati!E199</f>
        <v>0</v>
      </c>
      <c r="F200" s="8" t="e">
        <f>(LEFT(Risultati!AN199,2)&amp;"-")&amp;VLOOKUP((LEFT(Risultati!AN199,2)),ateco!$B$4:$C$93,2,FALSE)</f>
        <v>#N/A</v>
      </c>
      <c r="G200" s="8" t="str">
        <f>SUBSTITUTE((Risultati!AN199&amp;"-"&amp;Risultati!AO199),",",";")</f>
        <v>-</v>
      </c>
      <c r="I200" s="10">
        <f>+Risultati!G199</f>
        <v>0</v>
      </c>
      <c r="J200" s="11" t="str">
        <f t="shared" si="185"/>
        <v>0</v>
      </c>
      <c r="K200" s="12"/>
      <c r="L200" s="10">
        <f>+Risultati!G199+Risultati!H199</f>
        <v>0</v>
      </c>
      <c r="M200" s="11" t="str">
        <f t="shared" si="186"/>
        <v>0</v>
      </c>
      <c r="N200" s="12"/>
      <c r="O200" s="10">
        <f>+Risultati!I199+Risultati!J199</f>
        <v>0</v>
      </c>
      <c r="P200" s="11" t="str">
        <f t="shared" si="187"/>
        <v>0</v>
      </c>
      <c r="Q200" s="12"/>
      <c r="R200" s="13">
        <f t="shared" si="153"/>
        <v>0</v>
      </c>
      <c r="S200" s="11" t="str">
        <f t="shared" si="188"/>
        <v>0</v>
      </c>
      <c r="T200" s="12"/>
      <c r="U200" s="10">
        <f>+Risultati!F199-(Risultati!G199+Risultati!H199)</f>
        <v>0</v>
      </c>
      <c r="V200" s="12" t="str">
        <f t="shared" si="189"/>
        <v>0</v>
      </c>
      <c r="W200" s="12"/>
      <c r="X200" s="10">
        <f t="shared" si="154"/>
        <v>0</v>
      </c>
      <c r="Y200" s="12" t="str">
        <f t="shared" si="190"/>
        <v>0</v>
      </c>
      <c r="Z200" s="12"/>
      <c r="AA200" s="10">
        <f>+Risultati!K199</f>
        <v>0</v>
      </c>
      <c r="AB200" s="12" t="str">
        <f t="shared" si="191"/>
        <v>0</v>
      </c>
      <c r="AC200" s="12"/>
      <c r="AD200" s="10">
        <f>+Risultati!L199</f>
        <v>0</v>
      </c>
      <c r="AE200" s="12" t="str">
        <f t="shared" si="192"/>
        <v>0</v>
      </c>
      <c r="AF200" s="12"/>
      <c r="AG200" s="10">
        <f>+Risultati!M199+Risultati!P199+Risultati!Q199</f>
        <v>0</v>
      </c>
      <c r="AH200" s="12" t="str">
        <f t="shared" si="193"/>
        <v>0</v>
      </c>
      <c r="AI200" s="12"/>
      <c r="AJ200" s="13">
        <f t="shared" si="155"/>
        <v>0</v>
      </c>
      <c r="AK200" s="11" t="str">
        <f t="shared" si="194"/>
        <v>0</v>
      </c>
      <c r="AL200" s="12"/>
      <c r="AM200" s="10">
        <f>+Risultati!N199</f>
        <v>0</v>
      </c>
      <c r="AN200" s="12" t="str">
        <f t="shared" si="195"/>
        <v>0</v>
      </c>
      <c r="AO200" s="12"/>
      <c r="AP200" s="10">
        <f t="shared" si="156"/>
        <v>0</v>
      </c>
      <c r="AQ200" s="41" t="str">
        <f t="shared" si="196"/>
        <v>0</v>
      </c>
      <c r="AR200" s="12"/>
      <c r="AS200" s="10">
        <f>+Risultati!O199</f>
        <v>0</v>
      </c>
      <c r="AT200" s="12" t="str">
        <f t="shared" si="197"/>
        <v>0</v>
      </c>
      <c r="AU200" s="12"/>
      <c r="AV200" s="10">
        <f t="shared" si="157"/>
        <v>0</v>
      </c>
      <c r="AW200" s="12" t="str">
        <f t="shared" si="198"/>
        <v>0</v>
      </c>
      <c r="AX200" s="12"/>
      <c r="AY200" s="10">
        <f>+Risultati!R199+Risultati!S199</f>
        <v>0</v>
      </c>
      <c r="AZ200" s="12" t="str">
        <f t="shared" si="199"/>
        <v>0</v>
      </c>
      <c r="BA200" s="12"/>
      <c r="BB200" s="10">
        <f>+Risultati!T199</f>
        <v>0</v>
      </c>
      <c r="BC200" s="12" t="str">
        <f t="shared" si="200"/>
        <v>0</v>
      </c>
      <c r="BD200" s="12"/>
      <c r="BE200" s="10">
        <f>+Risultati!U199</f>
        <v>0</v>
      </c>
      <c r="BF200" s="12" t="str">
        <f t="shared" si="201"/>
        <v>0</v>
      </c>
      <c r="BG200" s="12"/>
      <c r="BH200" s="10">
        <f t="shared" si="158"/>
        <v>0</v>
      </c>
      <c r="BI200" s="12" t="str">
        <f t="shared" si="202"/>
        <v>0</v>
      </c>
      <c r="BK200" s="16">
        <f>IF(ISNUMBER(Risultati!X199/100),(Risultati!X199/100))</f>
        <v>0</v>
      </c>
      <c r="BL200" s="16">
        <f>IF(ISNUMBER(Risultati!Y199/100),(Risultati!Y199/100))</f>
        <v>0</v>
      </c>
      <c r="BM200" s="16">
        <f>IF(ISNUMBER(Risultati!Z199/100),(Risultati!Z199/100))</f>
        <v>0</v>
      </c>
      <c r="BN200" s="16">
        <f>IF(AND(Risultati!AY199&lt;0,calcoli!AP200&lt;0),-IF(ISNUMBER(Risultati!AA199/100),(Risultati!AA199/100)),IF(ISNUMBER(Risultati!AA199/100),(Risultati!AA199/100)))</f>
        <v>0</v>
      </c>
      <c r="BO200" s="16" t="str">
        <f t="shared" si="183"/>
        <v>0</v>
      </c>
      <c r="BP200" s="16" t="str">
        <f>IF(Risultati!AB199&gt;0,(AV200/Risultati!AB199),"0")</f>
        <v>0</v>
      </c>
      <c r="BQ200" s="16" t="str">
        <f>IF(Risultati!AG199&lt;&gt;0,(BH200/Risultati!AG199),"0")</f>
        <v>0</v>
      </c>
      <c r="BR200" s="16" t="str">
        <f t="shared" si="184"/>
        <v>0</v>
      </c>
      <c r="BS200" s="14" t="str">
        <f>IF(Risultati!AB199&gt;0,(Risultati!G199/Risultati!AB199),"0")</f>
        <v>0</v>
      </c>
      <c r="BT200" s="15" t="str">
        <f>IF(Risultati!AG199&lt;&gt;0,(Risultati!AB199/Risultati!AG199),"0")</f>
        <v>0</v>
      </c>
      <c r="BU200" s="23" t="str">
        <f>IF(AND(Risultati!G199&gt;0,(Risultati!AE199-Risultati!AF199)&gt;=0),((Risultati!AE199-Risultati!AF199)/Risultati!G199*360),"0")</f>
        <v>0</v>
      </c>
      <c r="BV200" s="21" t="str">
        <f>IF(OR(E200="abbreviato",Risultati!G199=0),"0",((Risultati!AC199+Risultati!AD199)/Risultati!G199*360))</f>
        <v>0</v>
      </c>
      <c r="BW200" s="21" t="str">
        <f>IF(OR(E200="abbreviato",Risultati!G199=0,SUM(Risultati!I199+Risultati!K199+Risultati!M199)=0),"0",(((Risultati!AH199+Risultati!AI199)/(Risultati!I199+Risultati!K199+Risultati!N199)*360)))</f>
        <v>0</v>
      </c>
      <c r="BX200" s="16" t="str">
        <f>IF(Risultati!AB199&gt;0,(+Risultati!AG199/Risultati!AB199),"0")</f>
        <v>0</v>
      </c>
      <c r="BY200" s="22" t="str">
        <f>IF(OR(E200="abbreviato",Risultati!G199=0),"0",(((Risultati!AK199-(Risultati!AL199+Risultati!AM199))/Risultati!G199)))</f>
        <v>0</v>
      </c>
      <c r="BZ200" s="16" t="str">
        <f>IF(Risultati!G199&gt;0,(Risultati!AJ199/Risultati!G199),"0")</f>
        <v>0</v>
      </c>
      <c r="CA200" s="8"/>
      <c r="CB200" s="10">
        <f>+Risultati!AP199</f>
        <v>0</v>
      </c>
      <c r="CC200" s="31" t="str">
        <f t="shared" si="159"/>
        <v>0</v>
      </c>
      <c r="CD200" s="10">
        <f>+Risultati!AQ199</f>
        <v>0</v>
      </c>
      <c r="CE200" s="31" t="str">
        <f t="shared" si="160"/>
        <v>0</v>
      </c>
      <c r="CF200" s="10">
        <f>+Risultati!AR199</f>
        <v>0</v>
      </c>
      <c r="CG200" s="31" t="str">
        <f t="shared" si="161"/>
        <v>0</v>
      </c>
      <c r="CH200" s="10">
        <f>+Risultati!AS199</f>
        <v>0</v>
      </c>
      <c r="CI200" s="31" t="str">
        <f t="shared" si="162"/>
        <v>0</v>
      </c>
      <c r="CJ200" s="10">
        <f t="shared" si="163"/>
        <v>0</v>
      </c>
      <c r="CK200" s="31" t="str">
        <f t="shared" si="164"/>
        <v>0</v>
      </c>
      <c r="CL200" s="10">
        <f>+Risultati!AE199+Risultati!AF199</f>
        <v>0</v>
      </c>
      <c r="CM200" s="31" t="str">
        <f t="shared" si="165"/>
        <v>0</v>
      </c>
      <c r="CN200" s="10">
        <f>+Risultati!AT199</f>
        <v>0</v>
      </c>
      <c r="CO200" s="31" t="str">
        <f t="shared" si="166"/>
        <v>0</v>
      </c>
      <c r="CP200" s="10">
        <f>+Risultati!AU199</f>
        <v>0</v>
      </c>
      <c r="CQ200" s="31" t="str">
        <f t="shared" si="167"/>
        <v>0</v>
      </c>
      <c r="CR200" s="10">
        <f>+Risultati!AL199</f>
        <v>0</v>
      </c>
      <c r="CS200" s="31" t="str">
        <f t="shared" si="168"/>
        <v>0</v>
      </c>
      <c r="CT200" s="10">
        <f t="shared" si="169"/>
        <v>0</v>
      </c>
      <c r="CU200" s="31" t="str">
        <f t="shared" si="170"/>
        <v>0</v>
      </c>
      <c r="CV200" s="10">
        <f>+Risultati!AX199</f>
        <v>0</v>
      </c>
      <c r="CW200" s="31" t="str">
        <f t="shared" si="171"/>
        <v>0</v>
      </c>
      <c r="CX200" s="10">
        <f t="shared" si="172"/>
        <v>0</v>
      </c>
      <c r="CY200" s="31" t="str">
        <f t="shared" si="173"/>
        <v>0</v>
      </c>
      <c r="CZ200" s="10">
        <f>+Risultati!AG199</f>
        <v>0</v>
      </c>
      <c r="DA200" s="31" t="str">
        <f t="shared" si="174"/>
        <v>0</v>
      </c>
      <c r="DB200" s="10">
        <f t="shared" si="175"/>
        <v>0</v>
      </c>
      <c r="DC200" s="31" t="str">
        <f t="shared" si="176"/>
        <v>0</v>
      </c>
      <c r="DD200" s="10">
        <f>+Risultati!AV199</f>
        <v>0</v>
      </c>
      <c r="DE200" s="31" t="str">
        <f t="shared" si="177"/>
        <v>0</v>
      </c>
      <c r="DF200" s="10">
        <f>+Risultati!AJ199</f>
        <v>0</v>
      </c>
      <c r="DG200" s="31" t="str">
        <f t="shared" si="178"/>
        <v>0</v>
      </c>
      <c r="DH200" s="10">
        <f t="shared" si="179"/>
        <v>0</v>
      </c>
      <c r="DI200" s="31" t="str">
        <f t="shared" si="180"/>
        <v>0</v>
      </c>
      <c r="DJ200" s="10">
        <f>+Risultati!AW199</f>
        <v>0</v>
      </c>
      <c r="DK200" s="31" t="str">
        <f t="shared" si="181"/>
        <v>0</v>
      </c>
      <c r="DL200" s="10">
        <f t="shared" si="203"/>
        <v>0</v>
      </c>
      <c r="DM200" s="31" t="str">
        <f t="shared" si="182"/>
        <v>0</v>
      </c>
      <c r="DO200" s="30"/>
      <c r="DP200" s="30"/>
    </row>
    <row r="201" spans="1:120" x14ac:dyDescent="0.2">
      <c r="A201" s="5"/>
      <c r="B201" s="6">
        <f>+Risultati!B200</f>
        <v>0</v>
      </c>
      <c r="C201" s="6">
        <f>+Risultati!C200</f>
        <v>0</v>
      </c>
      <c r="D201" s="26" t="str">
        <f>IF(YEAR(Risultati!D200)=1900,(MID(Risultati!$AP$1,29,4)),YEAR(Risultati!D200))</f>
        <v/>
      </c>
      <c r="E201" s="6">
        <f>+Risultati!E200</f>
        <v>0</v>
      </c>
      <c r="F201" s="8" t="e">
        <f>(LEFT(Risultati!AN200,2)&amp;"-")&amp;VLOOKUP((LEFT(Risultati!AN200,2)),ateco!$B$4:$C$93,2,FALSE)</f>
        <v>#N/A</v>
      </c>
      <c r="G201" s="8" t="str">
        <f>SUBSTITUTE((Risultati!AN200&amp;"-"&amp;Risultati!AO200),",",";")</f>
        <v>-</v>
      </c>
      <c r="I201" s="10">
        <f>+Risultati!G200</f>
        <v>0</v>
      </c>
      <c r="J201" s="11" t="str">
        <f t="shared" si="185"/>
        <v>0</v>
      </c>
      <c r="K201" s="12"/>
      <c r="L201" s="10">
        <f>+Risultati!G200+Risultati!H200</f>
        <v>0</v>
      </c>
      <c r="M201" s="11" t="str">
        <f t="shared" si="186"/>
        <v>0</v>
      </c>
      <c r="N201" s="12"/>
      <c r="O201" s="10">
        <f>+Risultati!I200+Risultati!J200</f>
        <v>0</v>
      </c>
      <c r="P201" s="11" t="str">
        <f t="shared" si="187"/>
        <v>0</v>
      </c>
      <c r="Q201" s="12"/>
      <c r="R201" s="13">
        <f t="shared" si="153"/>
        <v>0</v>
      </c>
      <c r="S201" s="11" t="str">
        <f t="shared" si="188"/>
        <v>0</v>
      </c>
      <c r="T201" s="12"/>
      <c r="U201" s="10">
        <f>+Risultati!F200-(Risultati!G200+Risultati!H200)</f>
        <v>0</v>
      </c>
      <c r="V201" s="12" t="str">
        <f t="shared" si="189"/>
        <v>0</v>
      </c>
      <c r="W201" s="12"/>
      <c r="X201" s="10">
        <f t="shared" si="154"/>
        <v>0</v>
      </c>
      <c r="Y201" s="12" t="str">
        <f t="shared" si="190"/>
        <v>0</v>
      </c>
      <c r="Z201" s="12"/>
      <c r="AA201" s="10">
        <f>+Risultati!K200</f>
        <v>0</v>
      </c>
      <c r="AB201" s="12" t="str">
        <f t="shared" si="191"/>
        <v>0</v>
      </c>
      <c r="AC201" s="12"/>
      <c r="AD201" s="10">
        <f>+Risultati!L200</f>
        <v>0</v>
      </c>
      <c r="AE201" s="12" t="str">
        <f t="shared" si="192"/>
        <v>0</v>
      </c>
      <c r="AF201" s="12"/>
      <c r="AG201" s="10">
        <f>+Risultati!M200+Risultati!P200+Risultati!Q200</f>
        <v>0</v>
      </c>
      <c r="AH201" s="12" t="str">
        <f t="shared" si="193"/>
        <v>0</v>
      </c>
      <c r="AI201" s="12"/>
      <c r="AJ201" s="13">
        <f t="shared" si="155"/>
        <v>0</v>
      </c>
      <c r="AK201" s="11" t="str">
        <f t="shared" si="194"/>
        <v>0</v>
      </c>
      <c r="AL201" s="12"/>
      <c r="AM201" s="10">
        <f>+Risultati!N200</f>
        <v>0</v>
      </c>
      <c r="AN201" s="12" t="str">
        <f t="shared" si="195"/>
        <v>0</v>
      </c>
      <c r="AO201" s="12"/>
      <c r="AP201" s="10">
        <f t="shared" si="156"/>
        <v>0</v>
      </c>
      <c r="AQ201" s="41" t="str">
        <f t="shared" si="196"/>
        <v>0</v>
      </c>
      <c r="AR201" s="12"/>
      <c r="AS201" s="10">
        <f>+Risultati!O200</f>
        <v>0</v>
      </c>
      <c r="AT201" s="12" t="str">
        <f t="shared" si="197"/>
        <v>0</v>
      </c>
      <c r="AU201" s="12"/>
      <c r="AV201" s="10">
        <f t="shared" si="157"/>
        <v>0</v>
      </c>
      <c r="AW201" s="12" t="str">
        <f t="shared" si="198"/>
        <v>0</v>
      </c>
      <c r="AX201" s="12"/>
      <c r="AY201" s="10">
        <f>+Risultati!R200+Risultati!S200</f>
        <v>0</v>
      </c>
      <c r="AZ201" s="12" t="str">
        <f t="shared" si="199"/>
        <v>0</v>
      </c>
      <c r="BA201" s="12"/>
      <c r="BB201" s="10">
        <f>+Risultati!T200</f>
        <v>0</v>
      </c>
      <c r="BC201" s="12" t="str">
        <f t="shared" si="200"/>
        <v>0</v>
      </c>
      <c r="BD201" s="12"/>
      <c r="BE201" s="10">
        <f>+Risultati!U200</f>
        <v>0</v>
      </c>
      <c r="BF201" s="12" t="str">
        <f t="shared" si="201"/>
        <v>0</v>
      </c>
      <c r="BG201" s="12"/>
      <c r="BH201" s="10">
        <f t="shared" si="158"/>
        <v>0</v>
      </c>
      <c r="BI201" s="12" t="str">
        <f t="shared" si="202"/>
        <v>0</v>
      </c>
      <c r="BK201" s="16">
        <f>IF(ISNUMBER(Risultati!X200/100),(Risultati!X200/100))</f>
        <v>0</v>
      </c>
      <c r="BL201" s="16">
        <f>IF(ISNUMBER(Risultati!Y200/100),(Risultati!Y200/100))</f>
        <v>0</v>
      </c>
      <c r="BM201" s="16">
        <f>IF(ISNUMBER(Risultati!Z200/100),(Risultati!Z200/100))</f>
        <v>0</v>
      </c>
      <c r="BN201" s="16">
        <f>IF(AND(Risultati!AY200&lt;0,calcoli!AP201&lt;0),-IF(ISNUMBER(Risultati!AA200/100),(Risultati!AA200/100)),IF(ISNUMBER(Risultati!AA200/100),(Risultati!AA200/100)))</f>
        <v>0</v>
      </c>
      <c r="BO201" s="16" t="str">
        <f t="shared" si="183"/>
        <v>0</v>
      </c>
      <c r="BP201" s="16" t="str">
        <f>IF(Risultati!AB200&gt;0,(AV201/Risultati!AB200),"0")</f>
        <v>0</v>
      </c>
      <c r="BQ201" s="16" t="str">
        <f>IF(Risultati!AG200&lt;&gt;0,(BH201/Risultati!AG200),"0")</f>
        <v>0</v>
      </c>
      <c r="BR201" s="16" t="str">
        <f t="shared" si="184"/>
        <v>0</v>
      </c>
      <c r="BS201" s="14" t="str">
        <f>IF(Risultati!AB200&gt;0,(Risultati!G200/Risultati!AB200),"0")</f>
        <v>0</v>
      </c>
      <c r="BT201" s="15" t="str">
        <f>IF(Risultati!AG200&lt;&gt;0,(Risultati!AB200/Risultati!AG200),"0")</f>
        <v>0</v>
      </c>
      <c r="BU201" s="23" t="str">
        <f>IF(AND(Risultati!G200&gt;0,(Risultati!AE200-Risultati!AF200)&gt;=0),((Risultati!AE200-Risultati!AF200)/Risultati!G200*360),"0")</f>
        <v>0</v>
      </c>
      <c r="BV201" s="21" t="str">
        <f>IF(OR(E201="abbreviato",Risultati!G200=0),"0",((Risultati!AC200+Risultati!AD200)/Risultati!G200*360))</f>
        <v>0</v>
      </c>
      <c r="BW201" s="21" t="str">
        <f>IF(OR(E201="abbreviato",Risultati!G200=0,SUM(Risultati!I200+Risultati!K200+Risultati!M200)=0),"0",(((Risultati!AH200+Risultati!AI200)/(Risultati!I200+Risultati!K200+Risultati!N200)*360)))</f>
        <v>0</v>
      </c>
      <c r="BX201" s="16" t="str">
        <f>IF(Risultati!AB200&gt;0,(+Risultati!AG200/Risultati!AB200),"0")</f>
        <v>0</v>
      </c>
      <c r="BY201" s="22" t="str">
        <f>IF(OR(E201="abbreviato",Risultati!G200=0),"0",(((Risultati!AK200-(Risultati!AL200+Risultati!AM200))/Risultati!G200)))</f>
        <v>0</v>
      </c>
      <c r="BZ201" s="16" t="str">
        <f>IF(Risultati!G200&gt;0,(Risultati!AJ200/Risultati!G200),"0")</f>
        <v>0</v>
      </c>
      <c r="CA201" s="8"/>
      <c r="CB201" s="10">
        <f>+Risultati!AP200</f>
        <v>0</v>
      </c>
      <c r="CC201" s="31" t="str">
        <f t="shared" si="159"/>
        <v>0</v>
      </c>
      <c r="CD201" s="10">
        <f>+Risultati!AQ200</f>
        <v>0</v>
      </c>
      <c r="CE201" s="31" t="str">
        <f t="shared" si="160"/>
        <v>0</v>
      </c>
      <c r="CF201" s="10">
        <f>+Risultati!AR200</f>
        <v>0</v>
      </c>
      <c r="CG201" s="31" t="str">
        <f t="shared" si="161"/>
        <v>0</v>
      </c>
      <c r="CH201" s="10">
        <f>+Risultati!AS200</f>
        <v>0</v>
      </c>
      <c r="CI201" s="31" t="str">
        <f t="shared" si="162"/>
        <v>0</v>
      </c>
      <c r="CJ201" s="10">
        <f t="shared" si="163"/>
        <v>0</v>
      </c>
      <c r="CK201" s="31" t="str">
        <f t="shared" si="164"/>
        <v>0</v>
      </c>
      <c r="CL201" s="10">
        <f>+Risultati!AE200+Risultati!AF200</f>
        <v>0</v>
      </c>
      <c r="CM201" s="31" t="str">
        <f t="shared" si="165"/>
        <v>0</v>
      </c>
      <c r="CN201" s="10">
        <f>+Risultati!AT200</f>
        <v>0</v>
      </c>
      <c r="CO201" s="31" t="str">
        <f t="shared" si="166"/>
        <v>0</v>
      </c>
      <c r="CP201" s="10">
        <f>+Risultati!AU200</f>
        <v>0</v>
      </c>
      <c r="CQ201" s="31" t="str">
        <f t="shared" si="167"/>
        <v>0</v>
      </c>
      <c r="CR201" s="10">
        <f>+Risultati!AL200</f>
        <v>0</v>
      </c>
      <c r="CS201" s="31" t="str">
        <f t="shared" si="168"/>
        <v>0</v>
      </c>
      <c r="CT201" s="10">
        <f t="shared" si="169"/>
        <v>0</v>
      </c>
      <c r="CU201" s="31" t="str">
        <f t="shared" si="170"/>
        <v>0</v>
      </c>
      <c r="CV201" s="10">
        <f>+Risultati!AX200</f>
        <v>0</v>
      </c>
      <c r="CW201" s="31" t="str">
        <f t="shared" si="171"/>
        <v>0</v>
      </c>
      <c r="CX201" s="10">
        <f t="shared" si="172"/>
        <v>0</v>
      </c>
      <c r="CY201" s="31" t="str">
        <f t="shared" si="173"/>
        <v>0</v>
      </c>
      <c r="CZ201" s="10">
        <f>+Risultati!AG200</f>
        <v>0</v>
      </c>
      <c r="DA201" s="31" t="str">
        <f t="shared" si="174"/>
        <v>0</v>
      </c>
      <c r="DB201" s="10">
        <f t="shared" si="175"/>
        <v>0</v>
      </c>
      <c r="DC201" s="31" t="str">
        <f t="shared" si="176"/>
        <v>0</v>
      </c>
      <c r="DD201" s="10">
        <f>+Risultati!AV200</f>
        <v>0</v>
      </c>
      <c r="DE201" s="31" t="str">
        <f t="shared" si="177"/>
        <v>0</v>
      </c>
      <c r="DF201" s="10">
        <f>+Risultati!AJ200</f>
        <v>0</v>
      </c>
      <c r="DG201" s="31" t="str">
        <f t="shared" si="178"/>
        <v>0</v>
      </c>
      <c r="DH201" s="10">
        <f t="shared" si="179"/>
        <v>0</v>
      </c>
      <c r="DI201" s="31" t="str">
        <f t="shared" si="180"/>
        <v>0</v>
      </c>
      <c r="DJ201" s="10">
        <f>+Risultati!AW200</f>
        <v>0</v>
      </c>
      <c r="DK201" s="31" t="str">
        <f t="shared" si="181"/>
        <v>0</v>
      </c>
      <c r="DL201" s="10">
        <f t="shared" si="203"/>
        <v>0</v>
      </c>
      <c r="DM201" s="31" t="str">
        <f t="shared" si="182"/>
        <v>0</v>
      </c>
      <c r="DO201" s="30"/>
      <c r="DP201" s="30"/>
    </row>
    <row r="202" spans="1:120" x14ac:dyDescent="0.2">
      <c r="A202" s="5"/>
      <c r="B202" s="6">
        <f>+Risultati!B201</f>
        <v>0</v>
      </c>
      <c r="C202" s="6">
        <f>+Risultati!C201</f>
        <v>0</v>
      </c>
      <c r="D202" s="26" t="str">
        <f>IF(YEAR(Risultati!D201)=1900,(MID(Risultati!$AP$1,29,4)),YEAR(Risultati!D201))</f>
        <v/>
      </c>
      <c r="E202" s="6">
        <f>+Risultati!E201</f>
        <v>0</v>
      </c>
      <c r="F202" s="8" t="e">
        <f>(LEFT(Risultati!AN201,2)&amp;"-")&amp;VLOOKUP((LEFT(Risultati!AN201,2)),ateco!$B$4:$C$93,2,FALSE)</f>
        <v>#N/A</v>
      </c>
      <c r="G202" s="8" t="str">
        <f>SUBSTITUTE((Risultati!AN201&amp;"-"&amp;Risultati!AO201),",",";")</f>
        <v>-</v>
      </c>
      <c r="I202" s="10">
        <f>+Risultati!G201</f>
        <v>0</v>
      </c>
      <c r="J202" s="11" t="str">
        <f t="shared" si="185"/>
        <v>0</v>
      </c>
      <c r="K202" s="12"/>
      <c r="L202" s="10">
        <f>+Risultati!G201+Risultati!H201</f>
        <v>0</v>
      </c>
      <c r="M202" s="11" t="str">
        <f t="shared" si="186"/>
        <v>0</v>
      </c>
      <c r="N202" s="12"/>
      <c r="O202" s="10">
        <f>+Risultati!I201+Risultati!J201</f>
        <v>0</v>
      </c>
      <c r="P202" s="11" t="str">
        <f t="shared" si="187"/>
        <v>0</v>
      </c>
      <c r="Q202" s="12"/>
      <c r="R202" s="13">
        <f t="shared" si="153"/>
        <v>0</v>
      </c>
      <c r="S202" s="11" t="str">
        <f t="shared" si="188"/>
        <v>0</v>
      </c>
      <c r="T202" s="12"/>
      <c r="U202" s="10">
        <f>+Risultati!F201-(Risultati!G201+Risultati!H201)</f>
        <v>0</v>
      </c>
      <c r="V202" s="12" t="str">
        <f t="shared" si="189"/>
        <v>0</v>
      </c>
      <c r="W202" s="12"/>
      <c r="X202" s="10">
        <f t="shared" si="154"/>
        <v>0</v>
      </c>
      <c r="Y202" s="12" t="str">
        <f t="shared" si="190"/>
        <v>0</v>
      </c>
      <c r="Z202" s="12"/>
      <c r="AA202" s="10">
        <f>+Risultati!K201</f>
        <v>0</v>
      </c>
      <c r="AB202" s="12" t="str">
        <f t="shared" si="191"/>
        <v>0</v>
      </c>
      <c r="AC202" s="12"/>
      <c r="AD202" s="10">
        <f>+Risultati!L201</f>
        <v>0</v>
      </c>
      <c r="AE202" s="12" t="str">
        <f t="shared" si="192"/>
        <v>0</v>
      </c>
      <c r="AF202" s="12"/>
      <c r="AG202" s="10">
        <f>+Risultati!M201+Risultati!P201+Risultati!Q201</f>
        <v>0</v>
      </c>
      <c r="AH202" s="12" t="str">
        <f t="shared" si="193"/>
        <v>0</v>
      </c>
      <c r="AI202" s="12"/>
      <c r="AJ202" s="13">
        <f t="shared" si="155"/>
        <v>0</v>
      </c>
      <c r="AK202" s="11" t="str">
        <f t="shared" si="194"/>
        <v>0</v>
      </c>
      <c r="AL202" s="12"/>
      <c r="AM202" s="10">
        <f>+Risultati!N201</f>
        <v>0</v>
      </c>
      <c r="AN202" s="12" t="str">
        <f t="shared" si="195"/>
        <v>0</v>
      </c>
      <c r="AO202" s="12"/>
      <c r="AP202" s="10">
        <f t="shared" si="156"/>
        <v>0</v>
      </c>
      <c r="AQ202" s="41" t="str">
        <f t="shared" si="196"/>
        <v>0</v>
      </c>
      <c r="AR202" s="12"/>
      <c r="AS202" s="10">
        <f>+Risultati!O201</f>
        <v>0</v>
      </c>
      <c r="AT202" s="12" t="str">
        <f t="shared" si="197"/>
        <v>0</v>
      </c>
      <c r="AU202" s="12"/>
      <c r="AV202" s="10">
        <f t="shared" si="157"/>
        <v>0</v>
      </c>
      <c r="AW202" s="12" t="str">
        <f t="shared" si="198"/>
        <v>0</v>
      </c>
      <c r="AX202" s="12"/>
      <c r="AY202" s="10">
        <f>+Risultati!R201+Risultati!S201</f>
        <v>0</v>
      </c>
      <c r="AZ202" s="12" t="str">
        <f t="shared" si="199"/>
        <v>0</v>
      </c>
      <c r="BA202" s="12"/>
      <c r="BB202" s="10">
        <f>+Risultati!T201</f>
        <v>0</v>
      </c>
      <c r="BC202" s="12" t="str">
        <f t="shared" si="200"/>
        <v>0</v>
      </c>
      <c r="BD202" s="12"/>
      <c r="BE202" s="10">
        <f>+Risultati!U201</f>
        <v>0</v>
      </c>
      <c r="BF202" s="12" t="str">
        <f t="shared" si="201"/>
        <v>0</v>
      </c>
      <c r="BG202" s="12"/>
      <c r="BH202" s="10">
        <f t="shared" si="158"/>
        <v>0</v>
      </c>
      <c r="BI202" s="12" t="str">
        <f t="shared" si="202"/>
        <v>0</v>
      </c>
      <c r="BK202" s="16">
        <f>IF(ISNUMBER(Risultati!X201/100),(Risultati!X201/100))</f>
        <v>0</v>
      </c>
      <c r="BL202" s="16">
        <f>IF(ISNUMBER(Risultati!Y201/100),(Risultati!Y201/100))</f>
        <v>0</v>
      </c>
      <c r="BM202" s="16">
        <f>IF(ISNUMBER(Risultati!Z201/100),(Risultati!Z201/100))</f>
        <v>0</v>
      </c>
      <c r="BN202" s="16">
        <f>IF(AND(Risultati!AY201&lt;0,calcoli!AP202&lt;0),-IF(ISNUMBER(Risultati!AA201/100),(Risultati!AA201/100)),IF(ISNUMBER(Risultati!AA201/100),(Risultati!AA201/100)))</f>
        <v>0</v>
      </c>
      <c r="BO202" s="16" t="str">
        <f t="shared" si="183"/>
        <v>0</v>
      </c>
      <c r="BP202" s="16" t="str">
        <f>IF(Risultati!AB201&gt;0,(AV202/Risultati!AB201),"0")</f>
        <v>0</v>
      </c>
      <c r="BQ202" s="16" t="str">
        <f>IF(Risultati!AG201&lt;&gt;0,(BH202/Risultati!AG201),"0")</f>
        <v>0</v>
      </c>
      <c r="BR202" s="16" t="str">
        <f t="shared" si="184"/>
        <v>0</v>
      </c>
      <c r="BS202" s="14" t="str">
        <f>IF(Risultati!AB201&gt;0,(Risultati!G201/Risultati!AB201),"0")</f>
        <v>0</v>
      </c>
      <c r="BT202" s="15" t="str">
        <f>IF(Risultati!AG201&lt;&gt;0,(Risultati!AB201/Risultati!AG201),"0")</f>
        <v>0</v>
      </c>
      <c r="BU202" s="23" t="str">
        <f>IF(AND(Risultati!G201&gt;0,(Risultati!AE201-Risultati!AF201)&gt;=0),((Risultati!AE201-Risultati!AF201)/Risultati!G201*360),"0")</f>
        <v>0</v>
      </c>
      <c r="BV202" s="21" t="str">
        <f>IF(OR(E202="abbreviato",Risultati!G201=0),"0",((Risultati!AC201+Risultati!AD201)/Risultati!G201*360))</f>
        <v>0</v>
      </c>
      <c r="BW202" s="21" t="str">
        <f>IF(OR(E202="abbreviato",Risultati!G201=0,SUM(Risultati!I201+Risultati!K201+Risultati!M201)=0),"0",(((Risultati!AH201+Risultati!AI201)/(Risultati!I201+Risultati!K201+Risultati!N201)*360)))</f>
        <v>0</v>
      </c>
      <c r="BX202" s="16" t="str">
        <f>IF(Risultati!AB201&gt;0,(+Risultati!AG201/Risultati!AB201),"0")</f>
        <v>0</v>
      </c>
      <c r="BY202" s="22" t="str">
        <f>IF(OR(E202="abbreviato",Risultati!G201=0),"0",(((Risultati!AK201-(Risultati!AL201+Risultati!AM201))/Risultati!G201)))</f>
        <v>0</v>
      </c>
      <c r="BZ202" s="16" t="str">
        <f>IF(Risultati!G201&gt;0,(Risultati!AJ201/Risultati!G201),"0")</f>
        <v>0</v>
      </c>
      <c r="CA202" s="8"/>
      <c r="CB202" s="10">
        <f>+Risultati!AP201</f>
        <v>0</v>
      </c>
      <c r="CC202" s="31" t="str">
        <f t="shared" si="159"/>
        <v>0</v>
      </c>
      <c r="CD202" s="10">
        <f>+Risultati!AQ201</f>
        <v>0</v>
      </c>
      <c r="CE202" s="31" t="str">
        <f t="shared" si="160"/>
        <v>0</v>
      </c>
      <c r="CF202" s="10">
        <f>+Risultati!AR201</f>
        <v>0</v>
      </c>
      <c r="CG202" s="31" t="str">
        <f t="shared" si="161"/>
        <v>0</v>
      </c>
      <c r="CH202" s="10">
        <f>+Risultati!AS201</f>
        <v>0</v>
      </c>
      <c r="CI202" s="31" t="str">
        <f t="shared" si="162"/>
        <v>0</v>
      </c>
      <c r="CJ202" s="10">
        <f t="shared" si="163"/>
        <v>0</v>
      </c>
      <c r="CK202" s="31" t="str">
        <f t="shared" si="164"/>
        <v>0</v>
      </c>
      <c r="CL202" s="10">
        <f>+Risultati!AE201+Risultati!AF201</f>
        <v>0</v>
      </c>
      <c r="CM202" s="31" t="str">
        <f t="shared" si="165"/>
        <v>0</v>
      </c>
      <c r="CN202" s="10">
        <f>+Risultati!AT201</f>
        <v>0</v>
      </c>
      <c r="CO202" s="31" t="str">
        <f t="shared" si="166"/>
        <v>0</v>
      </c>
      <c r="CP202" s="10">
        <f>+Risultati!AU201</f>
        <v>0</v>
      </c>
      <c r="CQ202" s="31" t="str">
        <f t="shared" si="167"/>
        <v>0</v>
      </c>
      <c r="CR202" s="10">
        <f>+Risultati!AL201</f>
        <v>0</v>
      </c>
      <c r="CS202" s="31" t="str">
        <f t="shared" si="168"/>
        <v>0</v>
      </c>
      <c r="CT202" s="10">
        <f t="shared" si="169"/>
        <v>0</v>
      </c>
      <c r="CU202" s="31" t="str">
        <f t="shared" si="170"/>
        <v>0</v>
      </c>
      <c r="CV202" s="10">
        <f>+Risultati!AX201</f>
        <v>0</v>
      </c>
      <c r="CW202" s="31" t="str">
        <f t="shared" si="171"/>
        <v>0</v>
      </c>
      <c r="CX202" s="10">
        <f t="shared" si="172"/>
        <v>0</v>
      </c>
      <c r="CY202" s="31" t="str">
        <f t="shared" si="173"/>
        <v>0</v>
      </c>
      <c r="CZ202" s="10">
        <f>+Risultati!AG201</f>
        <v>0</v>
      </c>
      <c r="DA202" s="31" t="str">
        <f t="shared" si="174"/>
        <v>0</v>
      </c>
      <c r="DB202" s="10">
        <f t="shared" si="175"/>
        <v>0</v>
      </c>
      <c r="DC202" s="31" t="str">
        <f t="shared" si="176"/>
        <v>0</v>
      </c>
      <c r="DD202" s="10">
        <f>+Risultati!AV201</f>
        <v>0</v>
      </c>
      <c r="DE202" s="31" t="str">
        <f t="shared" si="177"/>
        <v>0</v>
      </c>
      <c r="DF202" s="10">
        <f>+Risultati!AJ201</f>
        <v>0</v>
      </c>
      <c r="DG202" s="31" t="str">
        <f t="shared" si="178"/>
        <v>0</v>
      </c>
      <c r="DH202" s="10">
        <f t="shared" si="179"/>
        <v>0</v>
      </c>
      <c r="DI202" s="31" t="str">
        <f t="shared" si="180"/>
        <v>0</v>
      </c>
      <c r="DJ202" s="10">
        <f>+Risultati!AW201</f>
        <v>0</v>
      </c>
      <c r="DK202" s="31" t="str">
        <f t="shared" si="181"/>
        <v>0</v>
      </c>
      <c r="DL202" s="10">
        <f t="shared" si="203"/>
        <v>0</v>
      </c>
      <c r="DM202" s="31" t="str">
        <f t="shared" si="182"/>
        <v>0</v>
      </c>
      <c r="DO202" s="30"/>
      <c r="DP202" s="30"/>
    </row>
    <row r="203" spans="1:120" x14ac:dyDescent="0.2">
      <c r="A203" s="5"/>
      <c r="B203" s="6">
        <f>+Risultati!B202</f>
        <v>0</v>
      </c>
      <c r="C203" s="6">
        <f>+Risultati!C202</f>
        <v>0</v>
      </c>
      <c r="D203" s="26" t="str">
        <f>IF(YEAR(Risultati!D202)=1900,(MID(Risultati!$AP$1,29,4)),YEAR(Risultati!D202))</f>
        <v/>
      </c>
      <c r="E203" s="6">
        <f>+Risultati!E202</f>
        <v>0</v>
      </c>
      <c r="F203" s="8" t="e">
        <f>(LEFT(Risultati!AN202,2)&amp;"-")&amp;VLOOKUP((LEFT(Risultati!AN202,2)),ateco!$B$4:$C$93,2,FALSE)</f>
        <v>#N/A</v>
      </c>
      <c r="G203" s="8" t="str">
        <f>SUBSTITUTE((Risultati!AN202&amp;"-"&amp;Risultati!AO202),",",";")</f>
        <v>-</v>
      </c>
      <c r="I203" s="10">
        <f>+Risultati!G202</f>
        <v>0</v>
      </c>
      <c r="J203" s="11" t="str">
        <f t="shared" si="185"/>
        <v>0</v>
      </c>
      <c r="K203" s="12"/>
      <c r="L203" s="10">
        <f>+Risultati!G202+Risultati!H202</f>
        <v>0</v>
      </c>
      <c r="M203" s="11" t="str">
        <f t="shared" si="186"/>
        <v>0</v>
      </c>
      <c r="N203" s="12"/>
      <c r="O203" s="10">
        <f>+Risultati!I202+Risultati!J202</f>
        <v>0</v>
      </c>
      <c r="P203" s="11" t="str">
        <f t="shared" si="187"/>
        <v>0</v>
      </c>
      <c r="Q203" s="12"/>
      <c r="R203" s="13">
        <f t="shared" si="153"/>
        <v>0</v>
      </c>
      <c r="S203" s="11" t="str">
        <f t="shared" si="188"/>
        <v>0</v>
      </c>
      <c r="T203" s="12"/>
      <c r="U203" s="10">
        <f>+Risultati!F202-(Risultati!G202+Risultati!H202)</f>
        <v>0</v>
      </c>
      <c r="V203" s="12" t="str">
        <f t="shared" si="189"/>
        <v>0</v>
      </c>
      <c r="W203" s="12"/>
      <c r="X203" s="10">
        <f t="shared" si="154"/>
        <v>0</v>
      </c>
      <c r="Y203" s="12" t="str">
        <f t="shared" si="190"/>
        <v>0</v>
      </c>
      <c r="Z203" s="12"/>
      <c r="AA203" s="10">
        <f>+Risultati!K202</f>
        <v>0</v>
      </c>
      <c r="AB203" s="12" t="str">
        <f t="shared" si="191"/>
        <v>0</v>
      </c>
      <c r="AC203" s="12"/>
      <c r="AD203" s="10">
        <f>+Risultati!L202</f>
        <v>0</v>
      </c>
      <c r="AE203" s="12" t="str">
        <f t="shared" si="192"/>
        <v>0</v>
      </c>
      <c r="AF203" s="12"/>
      <c r="AG203" s="10">
        <f>+Risultati!M202+Risultati!P202+Risultati!Q202</f>
        <v>0</v>
      </c>
      <c r="AH203" s="12" t="str">
        <f t="shared" si="193"/>
        <v>0</v>
      </c>
      <c r="AI203" s="12"/>
      <c r="AJ203" s="13">
        <f t="shared" si="155"/>
        <v>0</v>
      </c>
      <c r="AK203" s="11" t="str">
        <f t="shared" si="194"/>
        <v>0</v>
      </c>
      <c r="AL203" s="12"/>
      <c r="AM203" s="10">
        <f>+Risultati!N202</f>
        <v>0</v>
      </c>
      <c r="AN203" s="12" t="str">
        <f t="shared" si="195"/>
        <v>0</v>
      </c>
      <c r="AO203" s="12"/>
      <c r="AP203" s="10">
        <f t="shared" si="156"/>
        <v>0</v>
      </c>
      <c r="AQ203" s="41" t="str">
        <f t="shared" si="196"/>
        <v>0</v>
      </c>
      <c r="AR203" s="12"/>
      <c r="AS203" s="10">
        <f>+Risultati!O202</f>
        <v>0</v>
      </c>
      <c r="AT203" s="12" t="str">
        <f t="shared" si="197"/>
        <v>0</v>
      </c>
      <c r="AU203" s="12"/>
      <c r="AV203" s="10">
        <f t="shared" si="157"/>
        <v>0</v>
      </c>
      <c r="AW203" s="12" t="str">
        <f t="shared" si="198"/>
        <v>0</v>
      </c>
      <c r="AX203" s="12"/>
      <c r="AY203" s="10">
        <f>+Risultati!R202+Risultati!S202</f>
        <v>0</v>
      </c>
      <c r="AZ203" s="12" t="str">
        <f t="shared" si="199"/>
        <v>0</v>
      </c>
      <c r="BA203" s="12"/>
      <c r="BB203" s="10">
        <f>+Risultati!T202</f>
        <v>0</v>
      </c>
      <c r="BC203" s="12" t="str">
        <f t="shared" si="200"/>
        <v>0</v>
      </c>
      <c r="BD203" s="12"/>
      <c r="BE203" s="10">
        <f>+Risultati!U202</f>
        <v>0</v>
      </c>
      <c r="BF203" s="12" t="str">
        <f t="shared" si="201"/>
        <v>0</v>
      </c>
      <c r="BG203" s="12"/>
      <c r="BH203" s="10">
        <f t="shared" si="158"/>
        <v>0</v>
      </c>
      <c r="BI203" s="12" t="str">
        <f t="shared" si="202"/>
        <v>0</v>
      </c>
      <c r="BK203" s="16">
        <f>IF(ISNUMBER(Risultati!X202/100),(Risultati!X202/100))</f>
        <v>0</v>
      </c>
      <c r="BL203" s="16">
        <f>IF(ISNUMBER(Risultati!Y202/100),(Risultati!Y202/100))</f>
        <v>0</v>
      </c>
      <c r="BM203" s="16">
        <f>IF(ISNUMBER(Risultati!Z202/100),(Risultati!Z202/100))</f>
        <v>0</v>
      </c>
      <c r="BN203" s="16">
        <f>IF(AND(Risultati!AY202&lt;0,calcoli!AP203&lt;0),-IF(ISNUMBER(Risultati!AA202/100),(Risultati!AA202/100)),IF(ISNUMBER(Risultati!AA202/100),(Risultati!AA202/100)))</f>
        <v>0</v>
      </c>
      <c r="BO203" s="16" t="str">
        <f t="shared" si="183"/>
        <v>0</v>
      </c>
      <c r="BP203" s="16" t="str">
        <f>IF(Risultati!AB202&gt;0,(AV203/Risultati!AB202),"0")</f>
        <v>0</v>
      </c>
      <c r="BQ203" s="16" t="str">
        <f>IF(Risultati!AG202&lt;&gt;0,(BH203/Risultati!AG202),"0")</f>
        <v>0</v>
      </c>
      <c r="BR203" s="16" t="str">
        <f t="shared" si="184"/>
        <v>0</v>
      </c>
      <c r="BS203" s="14" t="str">
        <f>IF(Risultati!AB202&gt;0,(Risultati!G202/Risultati!AB202),"0")</f>
        <v>0</v>
      </c>
      <c r="BT203" s="15" t="str">
        <f>IF(Risultati!AG202&lt;&gt;0,(Risultati!AB202/Risultati!AG202),"0")</f>
        <v>0</v>
      </c>
      <c r="BU203" s="23" t="str">
        <f>IF(AND(Risultati!G202&gt;0,(Risultati!AE202-Risultati!AF202)&gt;=0),((Risultati!AE202-Risultati!AF202)/Risultati!G202*360),"0")</f>
        <v>0</v>
      </c>
      <c r="BV203" s="21" t="str">
        <f>IF(OR(E203="abbreviato",Risultati!G202=0),"0",((Risultati!AC202+Risultati!AD202)/Risultati!G202*360))</f>
        <v>0</v>
      </c>
      <c r="BW203" s="21" t="str">
        <f>IF(OR(E203="abbreviato",Risultati!G202=0,SUM(Risultati!I202+Risultati!K202+Risultati!M202)=0),"0",(((Risultati!AH202+Risultati!AI202)/(Risultati!I202+Risultati!K202+Risultati!N202)*360)))</f>
        <v>0</v>
      </c>
      <c r="BX203" s="16" t="str">
        <f>IF(Risultati!AB202&gt;0,(+Risultati!AG202/Risultati!AB202),"0")</f>
        <v>0</v>
      </c>
      <c r="BY203" s="22" t="str">
        <f>IF(OR(E203="abbreviato",Risultati!G202=0),"0",(((Risultati!AK202-(Risultati!AL202+Risultati!AM202))/Risultati!G202)))</f>
        <v>0</v>
      </c>
      <c r="BZ203" s="16" t="str">
        <f>IF(Risultati!G202&gt;0,(Risultati!AJ202/Risultati!G202),"0")</f>
        <v>0</v>
      </c>
      <c r="CA203" s="8"/>
      <c r="CB203" s="10">
        <f>+Risultati!AP202</f>
        <v>0</v>
      </c>
      <c r="CC203" s="31" t="str">
        <f t="shared" si="159"/>
        <v>0</v>
      </c>
      <c r="CD203" s="10">
        <f>+Risultati!AQ202</f>
        <v>0</v>
      </c>
      <c r="CE203" s="31" t="str">
        <f t="shared" si="160"/>
        <v>0</v>
      </c>
      <c r="CF203" s="10">
        <f>+Risultati!AR202</f>
        <v>0</v>
      </c>
      <c r="CG203" s="31" t="str">
        <f t="shared" si="161"/>
        <v>0</v>
      </c>
      <c r="CH203" s="10">
        <f>+Risultati!AS202</f>
        <v>0</v>
      </c>
      <c r="CI203" s="31" t="str">
        <f t="shared" si="162"/>
        <v>0</v>
      </c>
      <c r="CJ203" s="10">
        <f t="shared" si="163"/>
        <v>0</v>
      </c>
      <c r="CK203" s="31" t="str">
        <f t="shared" si="164"/>
        <v>0</v>
      </c>
      <c r="CL203" s="10">
        <f>+Risultati!AE202+Risultati!AF202</f>
        <v>0</v>
      </c>
      <c r="CM203" s="31" t="str">
        <f t="shared" si="165"/>
        <v>0</v>
      </c>
      <c r="CN203" s="10">
        <f>+Risultati!AT202</f>
        <v>0</v>
      </c>
      <c r="CO203" s="31" t="str">
        <f t="shared" si="166"/>
        <v>0</v>
      </c>
      <c r="CP203" s="10">
        <f>+Risultati!AU202</f>
        <v>0</v>
      </c>
      <c r="CQ203" s="31" t="str">
        <f t="shared" si="167"/>
        <v>0</v>
      </c>
      <c r="CR203" s="10">
        <f>+Risultati!AL202</f>
        <v>0</v>
      </c>
      <c r="CS203" s="31" t="str">
        <f t="shared" si="168"/>
        <v>0</v>
      </c>
      <c r="CT203" s="10">
        <f t="shared" si="169"/>
        <v>0</v>
      </c>
      <c r="CU203" s="31" t="str">
        <f t="shared" si="170"/>
        <v>0</v>
      </c>
      <c r="CV203" s="10">
        <f>+Risultati!AX202</f>
        <v>0</v>
      </c>
      <c r="CW203" s="31" t="str">
        <f t="shared" si="171"/>
        <v>0</v>
      </c>
      <c r="CX203" s="10">
        <f t="shared" si="172"/>
        <v>0</v>
      </c>
      <c r="CY203" s="31" t="str">
        <f t="shared" si="173"/>
        <v>0</v>
      </c>
      <c r="CZ203" s="10">
        <f>+Risultati!AG202</f>
        <v>0</v>
      </c>
      <c r="DA203" s="31" t="str">
        <f t="shared" si="174"/>
        <v>0</v>
      </c>
      <c r="DB203" s="10">
        <f t="shared" si="175"/>
        <v>0</v>
      </c>
      <c r="DC203" s="31" t="str">
        <f t="shared" si="176"/>
        <v>0</v>
      </c>
      <c r="DD203" s="10">
        <f>+Risultati!AV202</f>
        <v>0</v>
      </c>
      <c r="DE203" s="31" t="str">
        <f t="shared" si="177"/>
        <v>0</v>
      </c>
      <c r="DF203" s="10">
        <f>+Risultati!AJ202</f>
        <v>0</v>
      </c>
      <c r="DG203" s="31" t="str">
        <f t="shared" si="178"/>
        <v>0</v>
      </c>
      <c r="DH203" s="10">
        <f t="shared" si="179"/>
        <v>0</v>
      </c>
      <c r="DI203" s="31" t="str">
        <f t="shared" si="180"/>
        <v>0</v>
      </c>
      <c r="DJ203" s="10">
        <f>+Risultati!AW202</f>
        <v>0</v>
      </c>
      <c r="DK203" s="31" t="str">
        <f t="shared" si="181"/>
        <v>0</v>
      </c>
      <c r="DL203" s="10">
        <f t="shared" si="203"/>
        <v>0</v>
      </c>
      <c r="DM203" s="31" t="str">
        <f t="shared" si="182"/>
        <v>0</v>
      </c>
      <c r="DO203" s="30"/>
      <c r="DP203" s="30"/>
    </row>
    <row r="204" spans="1:120" x14ac:dyDescent="0.2">
      <c r="A204" s="5"/>
      <c r="B204" s="6">
        <f>+Risultati!B203</f>
        <v>0</v>
      </c>
      <c r="C204" s="6">
        <f>+Risultati!C203</f>
        <v>0</v>
      </c>
      <c r="D204" s="26" t="str">
        <f>IF(YEAR(Risultati!D203)=1900,(MID(Risultati!$AP$1,29,4)),YEAR(Risultati!D203))</f>
        <v/>
      </c>
      <c r="E204" s="6">
        <f>+Risultati!E203</f>
        <v>0</v>
      </c>
      <c r="F204" s="8" t="e">
        <f>(LEFT(Risultati!AN203,2)&amp;"-")&amp;VLOOKUP((LEFT(Risultati!AN203,2)),ateco!$B$4:$C$93,2,FALSE)</f>
        <v>#N/A</v>
      </c>
      <c r="G204" s="8" t="str">
        <f>SUBSTITUTE((Risultati!AN203&amp;"-"&amp;Risultati!AO203),",",";")</f>
        <v>-</v>
      </c>
      <c r="I204" s="10">
        <f>+Risultati!G203</f>
        <v>0</v>
      </c>
      <c r="J204" s="11" t="str">
        <f t="shared" si="185"/>
        <v>0</v>
      </c>
      <c r="K204" s="12"/>
      <c r="L204" s="10">
        <f>+Risultati!G203+Risultati!H203</f>
        <v>0</v>
      </c>
      <c r="M204" s="11" t="str">
        <f t="shared" si="186"/>
        <v>0</v>
      </c>
      <c r="N204" s="12"/>
      <c r="O204" s="10">
        <f>+Risultati!I203+Risultati!J203</f>
        <v>0</v>
      </c>
      <c r="P204" s="11" t="str">
        <f t="shared" si="187"/>
        <v>0</v>
      </c>
      <c r="Q204" s="12"/>
      <c r="R204" s="13">
        <f t="shared" si="153"/>
        <v>0</v>
      </c>
      <c r="S204" s="11" t="str">
        <f t="shared" si="188"/>
        <v>0</v>
      </c>
      <c r="T204" s="12"/>
      <c r="U204" s="10">
        <f>+Risultati!F203-(Risultati!G203+Risultati!H203)</f>
        <v>0</v>
      </c>
      <c r="V204" s="12" t="str">
        <f t="shared" si="189"/>
        <v>0</v>
      </c>
      <c r="W204" s="12"/>
      <c r="X204" s="10">
        <f t="shared" si="154"/>
        <v>0</v>
      </c>
      <c r="Y204" s="12" t="str">
        <f t="shared" si="190"/>
        <v>0</v>
      </c>
      <c r="Z204" s="12"/>
      <c r="AA204" s="10">
        <f>+Risultati!K203</f>
        <v>0</v>
      </c>
      <c r="AB204" s="12" t="str">
        <f t="shared" si="191"/>
        <v>0</v>
      </c>
      <c r="AC204" s="12"/>
      <c r="AD204" s="10">
        <f>+Risultati!L203</f>
        <v>0</v>
      </c>
      <c r="AE204" s="12" t="str">
        <f t="shared" si="192"/>
        <v>0</v>
      </c>
      <c r="AF204" s="12"/>
      <c r="AG204" s="10">
        <f>+Risultati!M203+Risultati!P203+Risultati!Q203</f>
        <v>0</v>
      </c>
      <c r="AH204" s="12" t="str">
        <f t="shared" si="193"/>
        <v>0</v>
      </c>
      <c r="AI204" s="12"/>
      <c r="AJ204" s="13">
        <f t="shared" si="155"/>
        <v>0</v>
      </c>
      <c r="AK204" s="11" t="str">
        <f t="shared" si="194"/>
        <v>0</v>
      </c>
      <c r="AL204" s="12"/>
      <c r="AM204" s="10">
        <f>+Risultati!N203</f>
        <v>0</v>
      </c>
      <c r="AN204" s="12" t="str">
        <f t="shared" si="195"/>
        <v>0</v>
      </c>
      <c r="AO204" s="12"/>
      <c r="AP204" s="10">
        <f t="shared" si="156"/>
        <v>0</v>
      </c>
      <c r="AQ204" s="41" t="str">
        <f t="shared" si="196"/>
        <v>0</v>
      </c>
      <c r="AR204" s="12"/>
      <c r="AS204" s="10">
        <f>+Risultati!O203</f>
        <v>0</v>
      </c>
      <c r="AT204" s="12" t="str">
        <f t="shared" si="197"/>
        <v>0</v>
      </c>
      <c r="AU204" s="12"/>
      <c r="AV204" s="10">
        <f t="shared" si="157"/>
        <v>0</v>
      </c>
      <c r="AW204" s="12" t="str">
        <f t="shared" si="198"/>
        <v>0</v>
      </c>
      <c r="AX204" s="12"/>
      <c r="AY204" s="10">
        <f>+Risultati!R203+Risultati!S203</f>
        <v>0</v>
      </c>
      <c r="AZ204" s="12" t="str">
        <f t="shared" si="199"/>
        <v>0</v>
      </c>
      <c r="BA204" s="12"/>
      <c r="BB204" s="10">
        <f>+Risultati!T203</f>
        <v>0</v>
      </c>
      <c r="BC204" s="12" t="str">
        <f t="shared" si="200"/>
        <v>0</v>
      </c>
      <c r="BD204" s="12"/>
      <c r="BE204" s="10">
        <f>+Risultati!U203</f>
        <v>0</v>
      </c>
      <c r="BF204" s="12" t="str">
        <f t="shared" si="201"/>
        <v>0</v>
      </c>
      <c r="BG204" s="12"/>
      <c r="BH204" s="10">
        <f t="shared" si="158"/>
        <v>0</v>
      </c>
      <c r="BI204" s="12" t="str">
        <f t="shared" si="202"/>
        <v>0</v>
      </c>
      <c r="BK204" s="16">
        <f>IF(ISNUMBER(Risultati!X203/100),(Risultati!X203/100))</f>
        <v>0</v>
      </c>
      <c r="BL204" s="16">
        <f>IF(ISNUMBER(Risultati!Y203/100),(Risultati!Y203/100))</f>
        <v>0</v>
      </c>
      <c r="BM204" s="16">
        <f>IF(ISNUMBER(Risultati!Z203/100),(Risultati!Z203/100))</f>
        <v>0</v>
      </c>
      <c r="BN204" s="16">
        <f>IF(AND(Risultati!AY203&lt;0,calcoli!AP204&lt;0),-IF(ISNUMBER(Risultati!AA203/100),(Risultati!AA203/100)),IF(ISNUMBER(Risultati!AA203/100),(Risultati!AA203/100)))</f>
        <v>0</v>
      </c>
      <c r="BO204" s="16" t="str">
        <f t="shared" si="183"/>
        <v>0</v>
      </c>
      <c r="BP204" s="16" t="str">
        <f>IF(Risultati!AB203&gt;0,(AV204/Risultati!AB203),"0")</f>
        <v>0</v>
      </c>
      <c r="BQ204" s="16" t="str">
        <f>IF(Risultati!AG203&lt;&gt;0,(BH204/Risultati!AG203),"0")</f>
        <v>0</v>
      </c>
      <c r="BR204" s="16" t="str">
        <f t="shared" si="184"/>
        <v>0</v>
      </c>
      <c r="BS204" s="14" t="str">
        <f>IF(Risultati!AB203&gt;0,(Risultati!G203/Risultati!AB203),"0")</f>
        <v>0</v>
      </c>
      <c r="BT204" s="15" t="str">
        <f>IF(Risultati!AG203&lt;&gt;0,(Risultati!AB203/Risultati!AG203),"0")</f>
        <v>0</v>
      </c>
      <c r="BU204" s="23" t="str">
        <f>IF(AND(Risultati!G203&gt;0,(Risultati!AE203-Risultati!AF203)&gt;=0),((Risultati!AE203-Risultati!AF203)/Risultati!G203*360),"0")</f>
        <v>0</v>
      </c>
      <c r="BV204" s="21" t="str">
        <f>IF(OR(E204="abbreviato",Risultati!G203=0),"0",((Risultati!AC203+Risultati!AD203)/Risultati!G203*360))</f>
        <v>0</v>
      </c>
      <c r="BW204" s="21" t="str">
        <f>IF(OR(E204="abbreviato",Risultati!G203=0,SUM(Risultati!I203+Risultati!K203+Risultati!M203)=0),"0",(((Risultati!AH203+Risultati!AI203)/(Risultati!I203+Risultati!K203+Risultati!N203)*360)))</f>
        <v>0</v>
      </c>
      <c r="BX204" s="16" t="str">
        <f>IF(Risultati!AB203&gt;0,(+Risultati!AG203/Risultati!AB203),"0")</f>
        <v>0</v>
      </c>
      <c r="BY204" s="22" t="str">
        <f>IF(OR(E204="abbreviato",Risultati!G203=0),"0",(((Risultati!AK203-(Risultati!AL203+Risultati!AM203))/Risultati!G203)))</f>
        <v>0</v>
      </c>
      <c r="BZ204" s="16" t="str">
        <f>IF(Risultati!G203&gt;0,(Risultati!AJ203/Risultati!G203),"0")</f>
        <v>0</v>
      </c>
      <c r="CA204" s="8"/>
      <c r="CB204" s="10">
        <f>+Risultati!AP203</f>
        <v>0</v>
      </c>
      <c r="CC204" s="31" t="str">
        <f t="shared" si="159"/>
        <v>0</v>
      </c>
      <c r="CD204" s="10">
        <f>+Risultati!AQ203</f>
        <v>0</v>
      </c>
      <c r="CE204" s="31" t="str">
        <f t="shared" si="160"/>
        <v>0</v>
      </c>
      <c r="CF204" s="10">
        <f>+Risultati!AR203</f>
        <v>0</v>
      </c>
      <c r="CG204" s="31" t="str">
        <f t="shared" si="161"/>
        <v>0</v>
      </c>
      <c r="CH204" s="10">
        <f>+Risultati!AS203</f>
        <v>0</v>
      </c>
      <c r="CI204" s="31" t="str">
        <f t="shared" si="162"/>
        <v>0</v>
      </c>
      <c r="CJ204" s="10">
        <f t="shared" si="163"/>
        <v>0</v>
      </c>
      <c r="CK204" s="31" t="str">
        <f t="shared" si="164"/>
        <v>0</v>
      </c>
      <c r="CL204" s="10">
        <f>+Risultati!AE203+Risultati!AF203</f>
        <v>0</v>
      </c>
      <c r="CM204" s="31" t="str">
        <f t="shared" si="165"/>
        <v>0</v>
      </c>
      <c r="CN204" s="10">
        <f>+Risultati!AT203</f>
        <v>0</v>
      </c>
      <c r="CO204" s="31" t="str">
        <f t="shared" si="166"/>
        <v>0</v>
      </c>
      <c r="CP204" s="10">
        <f>+Risultati!AU203</f>
        <v>0</v>
      </c>
      <c r="CQ204" s="31" t="str">
        <f t="shared" si="167"/>
        <v>0</v>
      </c>
      <c r="CR204" s="10">
        <f>+Risultati!AL203</f>
        <v>0</v>
      </c>
      <c r="CS204" s="31" t="str">
        <f t="shared" si="168"/>
        <v>0</v>
      </c>
      <c r="CT204" s="10">
        <f t="shared" si="169"/>
        <v>0</v>
      </c>
      <c r="CU204" s="31" t="str">
        <f t="shared" si="170"/>
        <v>0</v>
      </c>
      <c r="CV204" s="10">
        <f>+Risultati!AX203</f>
        <v>0</v>
      </c>
      <c r="CW204" s="31" t="str">
        <f t="shared" si="171"/>
        <v>0</v>
      </c>
      <c r="CX204" s="10">
        <f t="shared" si="172"/>
        <v>0</v>
      </c>
      <c r="CY204" s="31" t="str">
        <f t="shared" si="173"/>
        <v>0</v>
      </c>
      <c r="CZ204" s="10">
        <f>+Risultati!AG203</f>
        <v>0</v>
      </c>
      <c r="DA204" s="31" t="str">
        <f t="shared" si="174"/>
        <v>0</v>
      </c>
      <c r="DB204" s="10">
        <f t="shared" si="175"/>
        <v>0</v>
      </c>
      <c r="DC204" s="31" t="str">
        <f t="shared" si="176"/>
        <v>0</v>
      </c>
      <c r="DD204" s="10">
        <f>+Risultati!AV203</f>
        <v>0</v>
      </c>
      <c r="DE204" s="31" t="str">
        <f t="shared" si="177"/>
        <v>0</v>
      </c>
      <c r="DF204" s="10">
        <f>+Risultati!AJ203</f>
        <v>0</v>
      </c>
      <c r="DG204" s="31" t="str">
        <f t="shared" si="178"/>
        <v>0</v>
      </c>
      <c r="DH204" s="10">
        <f t="shared" si="179"/>
        <v>0</v>
      </c>
      <c r="DI204" s="31" t="str">
        <f t="shared" si="180"/>
        <v>0</v>
      </c>
      <c r="DJ204" s="10">
        <f>+Risultati!AW203</f>
        <v>0</v>
      </c>
      <c r="DK204" s="31" t="str">
        <f t="shared" si="181"/>
        <v>0</v>
      </c>
      <c r="DL204" s="10">
        <f t="shared" si="203"/>
        <v>0</v>
      </c>
      <c r="DM204" s="31" t="str">
        <f t="shared" si="182"/>
        <v>0</v>
      </c>
      <c r="DO204" s="30"/>
      <c r="DP204" s="30"/>
    </row>
    <row r="205" spans="1:120" x14ac:dyDescent="0.2">
      <c r="A205" s="5"/>
      <c r="B205" s="6">
        <f>+Risultati!B204</f>
        <v>0</v>
      </c>
      <c r="C205" s="6">
        <f>+Risultati!C204</f>
        <v>0</v>
      </c>
      <c r="D205" s="26" t="str">
        <f>IF(YEAR(Risultati!D204)=1900,(MID(Risultati!$AP$1,29,4)),YEAR(Risultati!D204))</f>
        <v/>
      </c>
      <c r="E205" s="6">
        <f>+Risultati!E204</f>
        <v>0</v>
      </c>
      <c r="F205" s="8" t="e">
        <f>(LEFT(Risultati!AN204,2)&amp;"-")&amp;VLOOKUP((LEFT(Risultati!AN204,2)),ateco!$B$4:$C$93,2,FALSE)</f>
        <v>#N/A</v>
      </c>
      <c r="G205" s="8" t="str">
        <f>SUBSTITUTE((Risultati!AN204&amp;"-"&amp;Risultati!AO204),",",";")</f>
        <v>-</v>
      </c>
      <c r="I205" s="10">
        <f>+Risultati!G204</f>
        <v>0</v>
      </c>
      <c r="J205" s="11" t="str">
        <f t="shared" si="185"/>
        <v>0</v>
      </c>
      <c r="K205" s="12"/>
      <c r="L205" s="10">
        <f>+Risultati!G204+Risultati!H204</f>
        <v>0</v>
      </c>
      <c r="M205" s="11" t="str">
        <f t="shared" si="186"/>
        <v>0</v>
      </c>
      <c r="N205" s="12"/>
      <c r="O205" s="10">
        <f>+Risultati!I204+Risultati!J204</f>
        <v>0</v>
      </c>
      <c r="P205" s="11" t="str">
        <f t="shared" si="187"/>
        <v>0</v>
      </c>
      <c r="Q205" s="12"/>
      <c r="R205" s="13">
        <f t="shared" si="153"/>
        <v>0</v>
      </c>
      <c r="S205" s="11" t="str">
        <f t="shared" si="188"/>
        <v>0</v>
      </c>
      <c r="T205" s="12"/>
      <c r="U205" s="10">
        <f>+Risultati!F204-(Risultati!G204+Risultati!H204)</f>
        <v>0</v>
      </c>
      <c r="V205" s="12" t="str">
        <f t="shared" si="189"/>
        <v>0</v>
      </c>
      <c r="W205" s="12"/>
      <c r="X205" s="10">
        <f t="shared" si="154"/>
        <v>0</v>
      </c>
      <c r="Y205" s="12" t="str">
        <f t="shared" si="190"/>
        <v>0</v>
      </c>
      <c r="Z205" s="12"/>
      <c r="AA205" s="10">
        <f>+Risultati!K204</f>
        <v>0</v>
      </c>
      <c r="AB205" s="12" t="str">
        <f t="shared" si="191"/>
        <v>0</v>
      </c>
      <c r="AC205" s="12"/>
      <c r="AD205" s="10">
        <f>+Risultati!L204</f>
        <v>0</v>
      </c>
      <c r="AE205" s="12" t="str">
        <f t="shared" si="192"/>
        <v>0</v>
      </c>
      <c r="AF205" s="12"/>
      <c r="AG205" s="10">
        <f>+Risultati!M204+Risultati!P204+Risultati!Q204</f>
        <v>0</v>
      </c>
      <c r="AH205" s="12" t="str">
        <f t="shared" si="193"/>
        <v>0</v>
      </c>
      <c r="AI205" s="12"/>
      <c r="AJ205" s="13">
        <f t="shared" si="155"/>
        <v>0</v>
      </c>
      <c r="AK205" s="11" t="str">
        <f t="shared" si="194"/>
        <v>0</v>
      </c>
      <c r="AL205" s="12"/>
      <c r="AM205" s="10">
        <f>+Risultati!N204</f>
        <v>0</v>
      </c>
      <c r="AN205" s="12" t="str">
        <f t="shared" si="195"/>
        <v>0</v>
      </c>
      <c r="AO205" s="12"/>
      <c r="AP205" s="10">
        <f t="shared" si="156"/>
        <v>0</v>
      </c>
      <c r="AQ205" s="41" t="str">
        <f t="shared" si="196"/>
        <v>0</v>
      </c>
      <c r="AR205" s="12"/>
      <c r="AS205" s="10">
        <f>+Risultati!O204</f>
        <v>0</v>
      </c>
      <c r="AT205" s="12" t="str">
        <f t="shared" si="197"/>
        <v>0</v>
      </c>
      <c r="AU205" s="12"/>
      <c r="AV205" s="10">
        <f t="shared" si="157"/>
        <v>0</v>
      </c>
      <c r="AW205" s="12" t="str">
        <f t="shared" si="198"/>
        <v>0</v>
      </c>
      <c r="AX205" s="12"/>
      <c r="AY205" s="10">
        <f>+Risultati!R204+Risultati!S204</f>
        <v>0</v>
      </c>
      <c r="AZ205" s="12" t="str">
        <f t="shared" si="199"/>
        <v>0</v>
      </c>
      <c r="BA205" s="12"/>
      <c r="BB205" s="10">
        <f>+Risultati!T204</f>
        <v>0</v>
      </c>
      <c r="BC205" s="12" t="str">
        <f t="shared" si="200"/>
        <v>0</v>
      </c>
      <c r="BD205" s="12"/>
      <c r="BE205" s="10">
        <f>+Risultati!U204</f>
        <v>0</v>
      </c>
      <c r="BF205" s="12" t="str">
        <f t="shared" si="201"/>
        <v>0</v>
      </c>
      <c r="BG205" s="12"/>
      <c r="BH205" s="10">
        <f t="shared" si="158"/>
        <v>0</v>
      </c>
      <c r="BI205" s="12" t="str">
        <f t="shared" si="202"/>
        <v>0</v>
      </c>
      <c r="BK205" s="16">
        <f>IF(ISNUMBER(Risultati!X204/100),(Risultati!X204/100))</f>
        <v>0</v>
      </c>
      <c r="BL205" s="16">
        <f>IF(ISNUMBER(Risultati!Y204/100),(Risultati!Y204/100))</f>
        <v>0</v>
      </c>
      <c r="BM205" s="16">
        <f>IF(ISNUMBER(Risultati!Z204/100),(Risultati!Z204/100))</f>
        <v>0</v>
      </c>
      <c r="BN205" s="16">
        <f>IF(AND(Risultati!AY204&lt;0,calcoli!AP205&lt;0),-IF(ISNUMBER(Risultati!AA204/100),(Risultati!AA204/100)),IF(ISNUMBER(Risultati!AA204/100),(Risultati!AA204/100)))</f>
        <v>0</v>
      </c>
      <c r="BO205" s="16" t="str">
        <f t="shared" si="183"/>
        <v>0</v>
      </c>
      <c r="BP205" s="16" t="str">
        <f>IF(Risultati!AB204&gt;0,(AV205/Risultati!AB204),"0")</f>
        <v>0</v>
      </c>
      <c r="BQ205" s="16" t="str">
        <f>IF(Risultati!AG204&lt;&gt;0,(BH205/Risultati!AG204),"0")</f>
        <v>0</v>
      </c>
      <c r="BR205" s="16" t="str">
        <f t="shared" si="184"/>
        <v>0</v>
      </c>
      <c r="BS205" s="14" t="str">
        <f>IF(Risultati!AB204&gt;0,(Risultati!G204/Risultati!AB204),"0")</f>
        <v>0</v>
      </c>
      <c r="BT205" s="15" t="str">
        <f>IF(Risultati!AG204&lt;&gt;0,(Risultati!AB204/Risultati!AG204),"0")</f>
        <v>0</v>
      </c>
      <c r="BU205" s="23" t="str">
        <f>IF(AND(Risultati!G204&gt;0,(Risultati!AE204-Risultati!AF204)&gt;=0),((Risultati!AE204-Risultati!AF204)/Risultati!G204*360),"0")</f>
        <v>0</v>
      </c>
      <c r="BV205" s="21" t="str">
        <f>IF(OR(E205="abbreviato",Risultati!G204=0),"0",((Risultati!AC204+Risultati!AD204)/Risultati!G204*360))</f>
        <v>0</v>
      </c>
      <c r="BW205" s="21" t="str">
        <f>IF(OR(E205="abbreviato",Risultati!G204=0,SUM(Risultati!I204+Risultati!K204+Risultati!M204)=0),"0",(((Risultati!AH204+Risultati!AI204)/(Risultati!I204+Risultati!K204+Risultati!N204)*360)))</f>
        <v>0</v>
      </c>
      <c r="BX205" s="16" t="str">
        <f>IF(Risultati!AB204&gt;0,(+Risultati!AG204/Risultati!AB204),"0")</f>
        <v>0</v>
      </c>
      <c r="BY205" s="22" t="str">
        <f>IF(OR(E205="abbreviato",Risultati!G204=0),"0",(((Risultati!AK204-(Risultati!AL204+Risultati!AM204))/Risultati!G204)))</f>
        <v>0</v>
      </c>
      <c r="BZ205" s="16" t="str">
        <f>IF(Risultati!G204&gt;0,(Risultati!AJ204/Risultati!G204),"0")</f>
        <v>0</v>
      </c>
      <c r="CA205" s="8"/>
      <c r="CB205" s="10">
        <f>+Risultati!AP204</f>
        <v>0</v>
      </c>
      <c r="CC205" s="31" t="str">
        <f t="shared" si="159"/>
        <v>0</v>
      </c>
      <c r="CD205" s="10">
        <f>+Risultati!AQ204</f>
        <v>0</v>
      </c>
      <c r="CE205" s="31" t="str">
        <f t="shared" si="160"/>
        <v>0</v>
      </c>
      <c r="CF205" s="10">
        <f>+Risultati!AR204</f>
        <v>0</v>
      </c>
      <c r="CG205" s="31" t="str">
        <f t="shared" si="161"/>
        <v>0</v>
      </c>
      <c r="CH205" s="10">
        <f>+Risultati!AS204</f>
        <v>0</v>
      </c>
      <c r="CI205" s="31" t="str">
        <f t="shared" si="162"/>
        <v>0</v>
      </c>
      <c r="CJ205" s="10">
        <f t="shared" si="163"/>
        <v>0</v>
      </c>
      <c r="CK205" s="31" t="str">
        <f t="shared" si="164"/>
        <v>0</v>
      </c>
      <c r="CL205" s="10">
        <f>+Risultati!AE204+Risultati!AF204</f>
        <v>0</v>
      </c>
      <c r="CM205" s="31" t="str">
        <f t="shared" si="165"/>
        <v>0</v>
      </c>
      <c r="CN205" s="10">
        <f>+Risultati!AT204</f>
        <v>0</v>
      </c>
      <c r="CO205" s="31" t="str">
        <f t="shared" si="166"/>
        <v>0</v>
      </c>
      <c r="CP205" s="10">
        <f>+Risultati!AU204</f>
        <v>0</v>
      </c>
      <c r="CQ205" s="31" t="str">
        <f t="shared" si="167"/>
        <v>0</v>
      </c>
      <c r="CR205" s="10">
        <f>+Risultati!AL204</f>
        <v>0</v>
      </c>
      <c r="CS205" s="31" t="str">
        <f t="shared" si="168"/>
        <v>0</v>
      </c>
      <c r="CT205" s="10">
        <f t="shared" si="169"/>
        <v>0</v>
      </c>
      <c r="CU205" s="31" t="str">
        <f t="shared" si="170"/>
        <v>0</v>
      </c>
      <c r="CV205" s="10">
        <f>+Risultati!AX204</f>
        <v>0</v>
      </c>
      <c r="CW205" s="31" t="str">
        <f t="shared" si="171"/>
        <v>0</v>
      </c>
      <c r="CX205" s="10">
        <f t="shared" si="172"/>
        <v>0</v>
      </c>
      <c r="CY205" s="31" t="str">
        <f t="shared" si="173"/>
        <v>0</v>
      </c>
      <c r="CZ205" s="10">
        <f>+Risultati!AG204</f>
        <v>0</v>
      </c>
      <c r="DA205" s="31" t="str">
        <f t="shared" si="174"/>
        <v>0</v>
      </c>
      <c r="DB205" s="10">
        <f t="shared" si="175"/>
        <v>0</v>
      </c>
      <c r="DC205" s="31" t="str">
        <f t="shared" si="176"/>
        <v>0</v>
      </c>
      <c r="DD205" s="10">
        <f>+Risultati!AV204</f>
        <v>0</v>
      </c>
      <c r="DE205" s="31" t="str">
        <f t="shared" si="177"/>
        <v>0</v>
      </c>
      <c r="DF205" s="10">
        <f>+Risultati!AJ204</f>
        <v>0</v>
      </c>
      <c r="DG205" s="31" t="str">
        <f t="shared" si="178"/>
        <v>0</v>
      </c>
      <c r="DH205" s="10">
        <f t="shared" si="179"/>
        <v>0</v>
      </c>
      <c r="DI205" s="31" t="str">
        <f t="shared" si="180"/>
        <v>0</v>
      </c>
      <c r="DJ205" s="10">
        <f>+Risultati!AW204</f>
        <v>0</v>
      </c>
      <c r="DK205" s="31" t="str">
        <f t="shared" si="181"/>
        <v>0</v>
      </c>
      <c r="DL205" s="10">
        <f t="shared" si="203"/>
        <v>0</v>
      </c>
      <c r="DM205" s="31" t="str">
        <f t="shared" si="182"/>
        <v>0</v>
      </c>
      <c r="DO205" s="30"/>
      <c r="DP205" s="30"/>
    </row>
    <row r="206" spans="1:120" x14ac:dyDescent="0.2">
      <c r="A206" s="5"/>
      <c r="B206" s="6">
        <f>+Risultati!B205</f>
        <v>0</v>
      </c>
      <c r="C206" s="6">
        <f>+Risultati!C205</f>
        <v>0</v>
      </c>
      <c r="D206" s="26" t="str">
        <f>IF(YEAR(Risultati!D205)=1900,(MID(Risultati!$AP$1,29,4)),YEAR(Risultati!D205))</f>
        <v/>
      </c>
      <c r="E206" s="6">
        <f>+Risultati!E205</f>
        <v>0</v>
      </c>
      <c r="F206" s="8" t="e">
        <f>(LEFT(Risultati!AN205,2)&amp;"-")&amp;VLOOKUP((LEFT(Risultati!AN205,2)),ateco!$B$4:$C$93,2,FALSE)</f>
        <v>#N/A</v>
      </c>
      <c r="G206" s="8" t="str">
        <f>SUBSTITUTE((Risultati!AN205&amp;"-"&amp;Risultati!AO205),",",";")</f>
        <v>-</v>
      </c>
      <c r="I206" s="10">
        <f>+Risultati!G205</f>
        <v>0</v>
      </c>
      <c r="J206" s="11" t="str">
        <f t="shared" si="185"/>
        <v>0</v>
      </c>
      <c r="K206" s="12"/>
      <c r="L206" s="10">
        <f>+Risultati!G205+Risultati!H205</f>
        <v>0</v>
      </c>
      <c r="M206" s="11" t="str">
        <f t="shared" si="186"/>
        <v>0</v>
      </c>
      <c r="N206" s="12"/>
      <c r="O206" s="10">
        <f>+Risultati!I205+Risultati!J205</f>
        <v>0</v>
      </c>
      <c r="P206" s="11" t="str">
        <f t="shared" si="187"/>
        <v>0</v>
      </c>
      <c r="Q206" s="12"/>
      <c r="R206" s="13">
        <f t="shared" si="153"/>
        <v>0</v>
      </c>
      <c r="S206" s="11" t="str">
        <f t="shared" si="188"/>
        <v>0</v>
      </c>
      <c r="T206" s="12"/>
      <c r="U206" s="10">
        <f>+Risultati!F205-(Risultati!G205+Risultati!H205)</f>
        <v>0</v>
      </c>
      <c r="V206" s="12" t="str">
        <f t="shared" si="189"/>
        <v>0</v>
      </c>
      <c r="W206" s="12"/>
      <c r="X206" s="10">
        <f t="shared" si="154"/>
        <v>0</v>
      </c>
      <c r="Y206" s="12" t="str">
        <f t="shared" si="190"/>
        <v>0</v>
      </c>
      <c r="Z206" s="12"/>
      <c r="AA206" s="10">
        <f>+Risultati!K205</f>
        <v>0</v>
      </c>
      <c r="AB206" s="12" t="str">
        <f t="shared" si="191"/>
        <v>0</v>
      </c>
      <c r="AC206" s="12"/>
      <c r="AD206" s="10">
        <f>+Risultati!L205</f>
        <v>0</v>
      </c>
      <c r="AE206" s="12" t="str">
        <f t="shared" si="192"/>
        <v>0</v>
      </c>
      <c r="AF206" s="12"/>
      <c r="AG206" s="10">
        <f>+Risultati!M205+Risultati!P205+Risultati!Q205</f>
        <v>0</v>
      </c>
      <c r="AH206" s="12" t="str">
        <f t="shared" si="193"/>
        <v>0</v>
      </c>
      <c r="AI206" s="12"/>
      <c r="AJ206" s="13">
        <f t="shared" si="155"/>
        <v>0</v>
      </c>
      <c r="AK206" s="11" t="str">
        <f t="shared" si="194"/>
        <v>0</v>
      </c>
      <c r="AL206" s="12"/>
      <c r="AM206" s="10">
        <f>+Risultati!N205</f>
        <v>0</v>
      </c>
      <c r="AN206" s="12" t="str">
        <f t="shared" si="195"/>
        <v>0</v>
      </c>
      <c r="AO206" s="12"/>
      <c r="AP206" s="10">
        <f t="shared" si="156"/>
        <v>0</v>
      </c>
      <c r="AQ206" s="41" t="str">
        <f t="shared" si="196"/>
        <v>0</v>
      </c>
      <c r="AR206" s="12"/>
      <c r="AS206" s="10">
        <f>+Risultati!O205</f>
        <v>0</v>
      </c>
      <c r="AT206" s="12" t="str">
        <f t="shared" si="197"/>
        <v>0</v>
      </c>
      <c r="AU206" s="12"/>
      <c r="AV206" s="10">
        <f t="shared" si="157"/>
        <v>0</v>
      </c>
      <c r="AW206" s="12" t="str">
        <f t="shared" si="198"/>
        <v>0</v>
      </c>
      <c r="AX206" s="12"/>
      <c r="AY206" s="10">
        <f>+Risultati!R205+Risultati!S205</f>
        <v>0</v>
      </c>
      <c r="AZ206" s="12" t="str">
        <f t="shared" si="199"/>
        <v>0</v>
      </c>
      <c r="BA206" s="12"/>
      <c r="BB206" s="10">
        <f>+Risultati!T205</f>
        <v>0</v>
      </c>
      <c r="BC206" s="12" t="str">
        <f t="shared" si="200"/>
        <v>0</v>
      </c>
      <c r="BD206" s="12"/>
      <c r="BE206" s="10">
        <f>+Risultati!U205</f>
        <v>0</v>
      </c>
      <c r="BF206" s="12" t="str">
        <f t="shared" si="201"/>
        <v>0</v>
      </c>
      <c r="BG206" s="12"/>
      <c r="BH206" s="10">
        <f t="shared" si="158"/>
        <v>0</v>
      </c>
      <c r="BI206" s="12" t="str">
        <f t="shared" si="202"/>
        <v>0</v>
      </c>
      <c r="BK206" s="16">
        <f>IF(ISNUMBER(Risultati!X205/100),(Risultati!X205/100))</f>
        <v>0</v>
      </c>
      <c r="BL206" s="16">
        <f>IF(ISNUMBER(Risultati!Y205/100),(Risultati!Y205/100))</f>
        <v>0</v>
      </c>
      <c r="BM206" s="16">
        <f>IF(ISNUMBER(Risultati!Z205/100),(Risultati!Z205/100))</f>
        <v>0</v>
      </c>
      <c r="BN206" s="16">
        <f>IF(AND(Risultati!AY205&lt;0,calcoli!AP206&lt;0),-IF(ISNUMBER(Risultati!AA205/100),(Risultati!AA205/100)),IF(ISNUMBER(Risultati!AA205/100),(Risultati!AA205/100)))</f>
        <v>0</v>
      </c>
      <c r="BO206" s="16" t="str">
        <f t="shared" si="183"/>
        <v>0</v>
      </c>
      <c r="BP206" s="16" t="str">
        <f>IF(Risultati!AB205&gt;0,(AV206/Risultati!AB205),"0")</f>
        <v>0</v>
      </c>
      <c r="BQ206" s="16" t="str">
        <f>IF(Risultati!AG205&lt;&gt;0,(BH206/Risultati!AG205),"0")</f>
        <v>0</v>
      </c>
      <c r="BR206" s="16" t="str">
        <f t="shared" si="184"/>
        <v>0</v>
      </c>
      <c r="BS206" s="14" t="str">
        <f>IF(Risultati!AB205&gt;0,(Risultati!G205/Risultati!AB205),"0")</f>
        <v>0</v>
      </c>
      <c r="BT206" s="15" t="str">
        <f>IF(Risultati!AG205&lt;&gt;0,(Risultati!AB205/Risultati!AG205),"0")</f>
        <v>0</v>
      </c>
      <c r="BU206" s="23" t="str">
        <f>IF(AND(Risultati!G205&gt;0,(Risultati!AE205-Risultati!AF205)&gt;=0),((Risultati!AE205-Risultati!AF205)/Risultati!G205*360),"0")</f>
        <v>0</v>
      </c>
      <c r="BV206" s="21" t="str">
        <f>IF(OR(E206="abbreviato",Risultati!G205=0),"0",((Risultati!AC205+Risultati!AD205)/Risultati!G205*360))</f>
        <v>0</v>
      </c>
      <c r="BW206" s="21" t="str">
        <f>IF(OR(E206="abbreviato",Risultati!G205=0,SUM(Risultati!I205+Risultati!K205+Risultati!M205)=0),"0",(((Risultati!AH205+Risultati!AI205)/(Risultati!I205+Risultati!K205+Risultati!N205)*360)))</f>
        <v>0</v>
      </c>
      <c r="BX206" s="16" t="str">
        <f>IF(Risultati!AB205&gt;0,(+Risultati!AG205/Risultati!AB205),"0")</f>
        <v>0</v>
      </c>
      <c r="BY206" s="22" t="str">
        <f>IF(OR(E206="abbreviato",Risultati!G205=0),"0",(((Risultati!AK205-(Risultati!AL205+Risultati!AM205))/Risultati!G205)))</f>
        <v>0</v>
      </c>
      <c r="BZ206" s="16" t="str">
        <f>IF(Risultati!G205&gt;0,(Risultati!AJ205/Risultati!G205),"0")</f>
        <v>0</v>
      </c>
      <c r="CA206" s="8"/>
      <c r="CB206" s="10">
        <f>+Risultati!AP205</f>
        <v>0</v>
      </c>
      <c r="CC206" s="31" t="str">
        <f t="shared" si="159"/>
        <v>0</v>
      </c>
      <c r="CD206" s="10">
        <f>+Risultati!AQ205</f>
        <v>0</v>
      </c>
      <c r="CE206" s="31" t="str">
        <f t="shared" si="160"/>
        <v>0</v>
      </c>
      <c r="CF206" s="10">
        <f>+Risultati!AR205</f>
        <v>0</v>
      </c>
      <c r="CG206" s="31" t="str">
        <f t="shared" si="161"/>
        <v>0</v>
      </c>
      <c r="CH206" s="10">
        <f>+Risultati!AS205</f>
        <v>0</v>
      </c>
      <c r="CI206" s="31" t="str">
        <f t="shared" si="162"/>
        <v>0</v>
      </c>
      <c r="CJ206" s="10">
        <f t="shared" si="163"/>
        <v>0</v>
      </c>
      <c r="CK206" s="31" t="str">
        <f t="shared" si="164"/>
        <v>0</v>
      </c>
      <c r="CL206" s="10">
        <f>+Risultati!AE205+Risultati!AF205</f>
        <v>0</v>
      </c>
      <c r="CM206" s="31" t="str">
        <f t="shared" si="165"/>
        <v>0</v>
      </c>
      <c r="CN206" s="10">
        <f>+Risultati!AT205</f>
        <v>0</v>
      </c>
      <c r="CO206" s="31" t="str">
        <f t="shared" si="166"/>
        <v>0</v>
      </c>
      <c r="CP206" s="10">
        <f>+Risultati!AU205</f>
        <v>0</v>
      </c>
      <c r="CQ206" s="31" t="str">
        <f t="shared" si="167"/>
        <v>0</v>
      </c>
      <c r="CR206" s="10">
        <f>+Risultati!AL205</f>
        <v>0</v>
      </c>
      <c r="CS206" s="31" t="str">
        <f t="shared" si="168"/>
        <v>0</v>
      </c>
      <c r="CT206" s="10">
        <f t="shared" si="169"/>
        <v>0</v>
      </c>
      <c r="CU206" s="31" t="str">
        <f t="shared" si="170"/>
        <v>0</v>
      </c>
      <c r="CV206" s="10">
        <f>+Risultati!AX205</f>
        <v>0</v>
      </c>
      <c r="CW206" s="31" t="str">
        <f t="shared" si="171"/>
        <v>0</v>
      </c>
      <c r="CX206" s="10">
        <f t="shared" si="172"/>
        <v>0</v>
      </c>
      <c r="CY206" s="31" t="str">
        <f t="shared" si="173"/>
        <v>0</v>
      </c>
      <c r="CZ206" s="10">
        <f>+Risultati!AG205</f>
        <v>0</v>
      </c>
      <c r="DA206" s="31" t="str">
        <f t="shared" si="174"/>
        <v>0</v>
      </c>
      <c r="DB206" s="10">
        <f t="shared" si="175"/>
        <v>0</v>
      </c>
      <c r="DC206" s="31" t="str">
        <f t="shared" si="176"/>
        <v>0</v>
      </c>
      <c r="DD206" s="10">
        <f>+Risultati!AV205</f>
        <v>0</v>
      </c>
      <c r="DE206" s="31" t="str">
        <f t="shared" si="177"/>
        <v>0</v>
      </c>
      <c r="DF206" s="10">
        <f>+Risultati!AJ205</f>
        <v>0</v>
      </c>
      <c r="DG206" s="31" t="str">
        <f t="shared" si="178"/>
        <v>0</v>
      </c>
      <c r="DH206" s="10">
        <f t="shared" si="179"/>
        <v>0</v>
      </c>
      <c r="DI206" s="31" t="str">
        <f t="shared" si="180"/>
        <v>0</v>
      </c>
      <c r="DJ206" s="10">
        <f>+Risultati!AW205</f>
        <v>0</v>
      </c>
      <c r="DK206" s="31" t="str">
        <f t="shared" si="181"/>
        <v>0</v>
      </c>
      <c r="DL206" s="10">
        <f t="shared" si="203"/>
        <v>0</v>
      </c>
      <c r="DM206" s="31" t="str">
        <f t="shared" si="182"/>
        <v>0</v>
      </c>
      <c r="DO206" s="30"/>
      <c r="DP206" s="30"/>
    </row>
    <row r="207" spans="1:120" x14ac:dyDescent="0.2">
      <c r="A207" s="5"/>
      <c r="B207" s="6">
        <f>+Risultati!B206</f>
        <v>0</v>
      </c>
      <c r="C207" s="6">
        <f>+Risultati!C206</f>
        <v>0</v>
      </c>
      <c r="D207" s="26" t="str">
        <f>IF(YEAR(Risultati!D206)=1900,(MID(Risultati!$AP$1,29,4)),YEAR(Risultati!D206))</f>
        <v/>
      </c>
      <c r="E207" s="6">
        <f>+Risultati!E206</f>
        <v>0</v>
      </c>
      <c r="F207" s="8" t="e">
        <f>(LEFT(Risultati!AN206,2)&amp;"-")&amp;VLOOKUP((LEFT(Risultati!AN206,2)),ateco!$B$4:$C$93,2,FALSE)</f>
        <v>#N/A</v>
      </c>
      <c r="G207" s="8" t="str">
        <f>SUBSTITUTE((Risultati!AN206&amp;"-"&amp;Risultati!AO206),",",";")</f>
        <v>-</v>
      </c>
      <c r="I207" s="10">
        <f>+Risultati!G206</f>
        <v>0</v>
      </c>
      <c r="J207" s="11" t="str">
        <f t="shared" si="185"/>
        <v>0</v>
      </c>
      <c r="K207" s="12"/>
      <c r="L207" s="10">
        <f>+Risultati!G206+Risultati!H206</f>
        <v>0</v>
      </c>
      <c r="M207" s="11" t="str">
        <f t="shared" si="186"/>
        <v>0</v>
      </c>
      <c r="N207" s="12"/>
      <c r="O207" s="10">
        <f>+Risultati!I206+Risultati!J206</f>
        <v>0</v>
      </c>
      <c r="P207" s="11" t="str">
        <f t="shared" si="187"/>
        <v>0</v>
      </c>
      <c r="Q207" s="12"/>
      <c r="R207" s="13">
        <f t="shared" si="153"/>
        <v>0</v>
      </c>
      <c r="S207" s="11" t="str">
        <f t="shared" si="188"/>
        <v>0</v>
      </c>
      <c r="T207" s="12"/>
      <c r="U207" s="10">
        <f>+Risultati!F206-(Risultati!G206+Risultati!H206)</f>
        <v>0</v>
      </c>
      <c r="V207" s="12" t="str">
        <f t="shared" si="189"/>
        <v>0</v>
      </c>
      <c r="W207" s="12"/>
      <c r="X207" s="10">
        <f t="shared" si="154"/>
        <v>0</v>
      </c>
      <c r="Y207" s="12" t="str">
        <f t="shared" si="190"/>
        <v>0</v>
      </c>
      <c r="Z207" s="12"/>
      <c r="AA207" s="10">
        <f>+Risultati!K206</f>
        <v>0</v>
      </c>
      <c r="AB207" s="12" t="str">
        <f t="shared" si="191"/>
        <v>0</v>
      </c>
      <c r="AC207" s="12"/>
      <c r="AD207" s="10">
        <f>+Risultati!L206</f>
        <v>0</v>
      </c>
      <c r="AE207" s="12" t="str">
        <f t="shared" si="192"/>
        <v>0</v>
      </c>
      <c r="AF207" s="12"/>
      <c r="AG207" s="10">
        <f>+Risultati!M206+Risultati!P206+Risultati!Q206</f>
        <v>0</v>
      </c>
      <c r="AH207" s="12" t="str">
        <f t="shared" si="193"/>
        <v>0</v>
      </c>
      <c r="AI207" s="12"/>
      <c r="AJ207" s="13">
        <f t="shared" si="155"/>
        <v>0</v>
      </c>
      <c r="AK207" s="11" t="str">
        <f t="shared" si="194"/>
        <v>0</v>
      </c>
      <c r="AL207" s="12"/>
      <c r="AM207" s="10">
        <f>+Risultati!N206</f>
        <v>0</v>
      </c>
      <c r="AN207" s="12" t="str">
        <f t="shared" si="195"/>
        <v>0</v>
      </c>
      <c r="AO207" s="12"/>
      <c r="AP207" s="10">
        <f t="shared" si="156"/>
        <v>0</v>
      </c>
      <c r="AQ207" s="41" t="str">
        <f t="shared" si="196"/>
        <v>0</v>
      </c>
      <c r="AR207" s="12"/>
      <c r="AS207" s="10">
        <f>+Risultati!O206</f>
        <v>0</v>
      </c>
      <c r="AT207" s="12" t="str">
        <f t="shared" si="197"/>
        <v>0</v>
      </c>
      <c r="AU207" s="12"/>
      <c r="AV207" s="10">
        <f t="shared" si="157"/>
        <v>0</v>
      </c>
      <c r="AW207" s="12" t="str">
        <f t="shared" si="198"/>
        <v>0</v>
      </c>
      <c r="AX207" s="12"/>
      <c r="AY207" s="10">
        <f>+Risultati!R206+Risultati!S206</f>
        <v>0</v>
      </c>
      <c r="AZ207" s="12" t="str">
        <f t="shared" si="199"/>
        <v>0</v>
      </c>
      <c r="BA207" s="12"/>
      <c r="BB207" s="10">
        <f>+Risultati!T206</f>
        <v>0</v>
      </c>
      <c r="BC207" s="12" t="str">
        <f t="shared" si="200"/>
        <v>0</v>
      </c>
      <c r="BD207" s="12"/>
      <c r="BE207" s="10">
        <f>+Risultati!U206</f>
        <v>0</v>
      </c>
      <c r="BF207" s="12" t="str">
        <f t="shared" si="201"/>
        <v>0</v>
      </c>
      <c r="BG207" s="12"/>
      <c r="BH207" s="10">
        <f t="shared" si="158"/>
        <v>0</v>
      </c>
      <c r="BI207" s="12" t="str">
        <f t="shared" si="202"/>
        <v>0</v>
      </c>
      <c r="BK207" s="16">
        <f>IF(ISNUMBER(Risultati!X206/100),(Risultati!X206/100))</f>
        <v>0</v>
      </c>
      <c r="BL207" s="16">
        <f>IF(ISNUMBER(Risultati!Y206/100),(Risultati!Y206/100))</f>
        <v>0</v>
      </c>
      <c r="BM207" s="16">
        <f>IF(ISNUMBER(Risultati!Z206/100),(Risultati!Z206/100))</f>
        <v>0</v>
      </c>
      <c r="BN207" s="16">
        <f>IF(AND(Risultati!AY206&lt;0,calcoli!AP207&lt;0),-IF(ISNUMBER(Risultati!AA206/100),(Risultati!AA206/100)),IF(ISNUMBER(Risultati!AA206/100),(Risultati!AA206/100)))</f>
        <v>0</v>
      </c>
      <c r="BO207" s="16" t="str">
        <f t="shared" si="183"/>
        <v>0</v>
      </c>
      <c r="BP207" s="16" t="str">
        <f>IF(Risultati!AB206&gt;0,(AV207/Risultati!AB206),"0")</f>
        <v>0</v>
      </c>
      <c r="BQ207" s="16" t="str">
        <f>IF(Risultati!AG206&lt;&gt;0,(BH207/Risultati!AG206),"0")</f>
        <v>0</v>
      </c>
      <c r="BR207" s="16" t="str">
        <f t="shared" si="184"/>
        <v>0</v>
      </c>
      <c r="BS207" s="14" t="str">
        <f>IF(Risultati!AB206&gt;0,(Risultati!G206/Risultati!AB206),"0")</f>
        <v>0</v>
      </c>
      <c r="BT207" s="15" t="str">
        <f>IF(Risultati!AG206&lt;&gt;0,(Risultati!AB206/Risultati!AG206),"0")</f>
        <v>0</v>
      </c>
      <c r="BU207" s="23" t="str">
        <f>IF(AND(Risultati!G206&gt;0,(Risultati!AE206-Risultati!AF206)&gt;=0),((Risultati!AE206-Risultati!AF206)/Risultati!G206*360),"0")</f>
        <v>0</v>
      </c>
      <c r="BV207" s="21" t="str">
        <f>IF(OR(E207="abbreviato",Risultati!G206=0),"0",((Risultati!AC206+Risultati!AD206)/Risultati!G206*360))</f>
        <v>0</v>
      </c>
      <c r="BW207" s="21" t="str">
        <f>IF(OR(E207="abbreviato",Risultati!G206=0,SUM(Risultati!I206+Risultati!K206+Risultati!M206)=0),"0",(((Risultati!AH206+Risultati!AI206)/(Risultati!I206+Risultati!K206+Risultati!N206)*360)))</f>
        <v>0</v>
      </c>
      <c r="BX207" s="16" t="str">
        <f>IF(Risultati!AB206&gt;0,(+Risultati!AG206/Risultati!AB206),"0")</f>
        <v>0</v>
      </c>
      <c r="BY207" s="22" t="str">
        <f>IF(OR(E207="abbreviato",Risultati!G206=0),"0",(((Risultati!AK206-(Risultati!AL206+Risultati!AM206))/Risultati!G206)))</f>
        <v>0</v>
      </c>
      <c r="BZ207" s="16" t="str">
        <f>IF(Risultati!G206&gt;0,(Risultati!AJ206/Risultati!G206),"0")</f>
        <v>0</v>
      </c>
      <c r="CA207" s="8"/>
      <c r="CB207" s="10">
        <f>+Risultati!AP206</f>
        <v>0</v>
      </c>
      <c r="CC207" s="31" t="str">
        <f t="shared" si="159"/>
        <v>0</v>
      </c>
      <c r="CD207" s="10">
        <f>+Risultati!AQ206</f>
        <v>0</v>
      </c>
      <c r="CE207" s="31" t="str">
        <f t="shared" si="160"/>
        <v>0</v>
      </c>
      <c r="CF207" s="10">
        <f>+Risultati!AR206</f>
        <v>0</v>
      </c>
      <c r="CG207" s="31" t="str">
        <f t="shared" si="161"/>
        <v>0</v>
      </c>
      <c r="CH207" s="10">
        <f>+Risultati!AS206</f>
        <v>0</v>
      </c>
      <c r="CI207" s="31" t="str">
        <f t="shared" si="162"/>
        <v>0</v>
      </c>
      <c r="CJ207" s="10">
        <f t="shared" si="163"/>
        <v>0</v>
      </c>
      <c r="CK207" s="31" t="str">
        <f t="shared" si="164"/>
        <v>0</v>
      </c>
      <c r="CL207" s="10">
        <f>+Risultati!AE206+Risultati!AF206</f>
        <v>0</v>
      </c>
      <c r="CM207" s="31" t="str">
        <f t="shared" si="165"/>
        <v>0</v>
      </c>
      <c r="CN207" s="10">
        <f>+Risultati!AT206</f>
        <v>0</v>
      </c>
      <c r="CO207" s="31" t="str">
        <f t="shared" si="166"/>
        <v>0</v>
      </c>
      <c r="CP207" s="10">
        <f>+Risultati!AU206</f>
        <v>0</v>
      </c>
      <c r="CQ207" s="31" t="str">
        <f t="shared" si="167"/>
        <v>0</v>
      </c>
      <c r="CR207" s="10">
        <f>+Risultati!AL206</f>
        <v>0</v>
      </c>
      <c r="CS207" s="31" t="str">
        <f t="shared" si="168"/>
        <v>0</v>
      </c>
      <c r="CT207" s="10">
        <f t="shared" si="169"/>
        <v>0</v>
      </c>
      <c r="CU207" s="31" t="str">
        <f t="shared" si="170"/>
        <v>0</v>
      </c>
      <c r="CV207" s="10">
        <f>+Risultati!AX206</f>
        <v>0</v>
      </c>
      <c r="CW207" s="31" t="str">
        <f t="shared" si="171"/>
        <v>0</v>
      </c>
      <c r="CX207" s="10">
        <f t="shared" si="172"/>
        <v>0</v>
      </c>
      <c r="CY207" s="31" t="str">
        <f t="shared" si="173"/>
        <v>0</v>
      </c>
      <c r="CZ207" s="10">
        <f>+Risultati!AG206</f>
        <v>0</v>
      </c>
      <c r="DA207" s="31" t="str">
        <f t="shared" si="174"/>
        <v>0</v>
      </c>
      <c r="DB207" s="10">
        <f t="shared" si="175"/>
        <v>0</v>
      </c>
      <c r="DC207" s="31" t="str">
        <f t="shared" si="176"/>
        <v>0</v>
      </c>
      <c r="DD207" s="10">
        <f>+Risultati!AV206</f>
        <v>0</v>
      </c>
      <c r="DE207" s="31" t="str">
        <f t="shared" si="177"/>
        <v>0</v>
      </c>
      <c r="DF207" s="10">
        <f>+Risultati!AJ206</f>
        <v>0</v>
      </c>
      <c r="DG207" s="31" t="str">
        <f t="shared" si="178"/>
        <v>0</v>
      </c>
      <c r="DH207" s="10">
        <f t="shared" si="179"/>
        <v>0</v>
      </c>
      <c r="DI207" s="31" t="str">
        <f t="shared" si="180"/>
        <v>0</v>
      </c>
      <c r="DJ207" s="10">
        <f>+Risultati!AW206</f>
        <v>0</v>
      </c>
      <c r="DK207" s="31" t="str">
        <f t="shared" si="181"/>
        <v>0</v>
      </c>
      <c r="DL207" s="10">
        <f t="shared" si="203"/>
        <v>0</v>
      </c>
      <c r="DM207" s="31" t="str">
        <f t="shared" si="182"/>
        <v>0</v>
      </c>
      <c r="DO207" s="30"/>
      <c r="DP207" s="30"/>
    </row>
    <row r="208" spans="1:120" x14ac:dyDescent="0.2">
      <c r="A208" s="5"/>
      <c r="B208" s="6">
        <f>+Risultati!B207</f>
        <v>0</v>
      </c>
      <c r="C208" s="6">
        <f>+Risultati!C207</f>
        <v>0</v>
      </c>
      <c r="D208" s="26" t="str">
        <f>IF(YEAR(Risultati!D207)=1900,(MID(Risultati!$AP$1,29,4)),YEAR(Risultati!D207))</f>
        <v/>
      </c>
      <c r="E208" s="6">
        <f>+Risultati!E207</f>
        <v>0</v>
      </c>
      <c r="F208" s="8" t="e">
        <f>(LEFT(Risultati!AN207,2)&amp;"-")&amp;VLOOKUP((LEFT(Risultati!AN207,2)),ateco!$B$4:$C$93,2,FALSE)</f>
        <v>#N/A</v>
      </c>
      <c r="G208" s="8" t="str">
        <f>SUBSTITUTE((Risultati!AN207&amp;"-"&amp;Risultati!AO207),",",";")</f>
        <v>-</v>
      </c>
      <c r="I208" s="10">
        <f>+Risultati!G207</f>
        <v>0</v>
      </c>
      <c r="J208" s="11" t="str">
        <f t="shared" si="185"/>
        <v>0</v>
      </c>
      <c r="K208" s="12"/>
      <c r="L208" s="10">
        <f>+Risultati!G207+Risultati!H207</f>
        <v>0</v>
      </c>
      <c r="M208" s="11" t="str">
        <f t="shared" si="186"/>
        <v>0</v>
      </c>
      <c r="N208" s="12"/>
      <c r="O208" s="10">
        <f>+Risultati!I207+Risultati!J207</f>
        <v>0</v>
      </c>
      <c r="P208" s="11" t="str">
        <f t="shared" si="187"/>
        <v>0</v>
      </c>
      <c r="Q208" s="12"/>
      <c r="R208" s="13">
        <f t="shared" si="153"/>
        <v>0</v>
      </c>
      <c r="S208" s="11" t="str">
        <f t="shared" si="188"/>
        <v>0</v>
      </c>
      <c r="T208" s="12"/>
      <c r="U208" s="10">
        <f>+Risultati!F207-(Risultati!G207+Risultati!H207)</f>
        <v>0</v>
      </c>
      <c r="V208" s="12" t="str">
        <f t="shared" si="189"/>
        <v>0</v>
      </c>
      <c r="W208" s="12"/>
      <c r="X208" s="10">
        <f t="shared" si="154"/>
        <v>0</v>
      </c>
      <c r="Y208" s="12" t="str">
        <f t="shared" si="190"/>
        <v>0</v>
      </c>
      <c r="Z208" s="12"/>
      <c r="AA208" s="10">
        <f>+Risultati!K207</f>
        <v>0</v>
      </c>
      <c r="AB208" s="12" t="str">
        <f t="shared" si="191"/>
        <v>0</v>
      </c>
      <c r="AC208" s="12"/>
      <c r="AD208" s="10">
        <f>+Risultati!L207</f>
        <v>0</v>
      </c>
      <c r="AE208" s="12" t="str">
        <f t="shared" si="192"/>
        <v>0</v>
      </c>
      <c r="AF208" s="12"/>
      <c r="AG208" s="10">
        <f>+Risultati!M207+Risultati!P207+Risultati!Q207</f>
        <v>0</v>
      </c>
      <c r="AH208" s="12" t="str">
        <f t="shared" si="193"/>
        <v>0</v>
      </c>
      <c r="AI208" s="12"/>
      <c r="AJ208" s="13">
        <f t="shared" si="155"/>
        <v>0</v>
      </c>
      <c r="AK208" s="11" t="str">
        <f t="shared" si="194"/>
        <v>0</v>
      </c>
      <c r="AL208" s="12"/>
      <c r="AM208" s="10">
        <f>+Risultati!N207</f>
        <v>0</v>
      </c>
      <c r="AN208" s="12" t="str">
        <f t="shared" si="195"/>
        <v>0</v>
      </c>
      <c r="AO208" s="12"/>
      <c r="AP208" s="10">
        <f t="shared" si="156"/>
        <v>0</v>
      </c>
      <c r="AQ208" s="41" t="str">
        <f t="shared" si="196"/>
        <v>0</v>
      </c>
      <c r="AR208" s="12"/>
      <c r="AS208" s="10">
        <f>+Risultati!O207</f>
        <v>0</v>
      </c>
      <c r="AT208" s="12" t="str">
        <f t="shared" si="197"/>
        <v>0</v>
      </c>
      <c r="AU208" s="12"/>
      <c r="AV208" s="10">
        <f t="shared" si="157"/>
        <v>0</v>
      </c>
      <c r="AW208" s="12" t="str">
        <f t="shared" si="198"/>
        <v>0</v>
      </c>
      <c r="AX208" s="12"/>
      <c r="AY208" s="10">
        <f>+Risultati!R207+Risultati!S207</f>
        <v>0</v>
      </c>
      <c r="AZ208" s="12" t="str">
        <f t="shared" si="199"/>
        <v>0</v>
      </c>
      <c r="BA208" s="12"/>
      <c r="BB208" s="10">
        <f>+Risultati!T207</f>
        <v>0</v>
      </c>
      <c r="BC208" s="12" t="str">
        <f t="shared" si="200"/>
        <v>0</v>
      </c>
      <c r="BD208" s="12"/>
      <c r="BE208" s="10">
        <f>+Risultati!U207</f>
        <v>0</v>
      </c>
      <c r="BF208" s="12" t="str">
        <f t="shared" si="201"/>
        <v>0</v>
      </c>
      <c r="BG208" s="12"/>
      <c r="BH208" s="10">
        <f t="shared" si="158"/>
        <v>0</v>
      </c>
      <c r="BI208" s="12" t="str">
        <f t="shared" si="202"/>
        <v>0</v>
      </c>
      <c r="BK208" s="16">
        <f>IF(ISNUMBER(Risultati!X207/100),(Risultati!X207/100))</f>
        <v>0</v>
      </c>
      <c r="BL208" s="16">
        <f>IF(ISNUMBER(Risultati!Y207/100),(Risultati!Y207/100))</f>
        <v>0</v>
      </c>
      <c r="BM208" s="16">
        <f>IF(ISNUMBER(Risultati!Z207/100),(Risultati!Z207/100))</f>
        <v>0</v>
      </c>
      <c r="BN208" s="16">
        <f>IF(AND(Risultati!AY207&lt;0,calcoli!AP208&lt;0),-IF(ISNUMBER(Risultati!AA207/100),(Risultati!AA207/100)),IF(ISNUMBER(Risultati!AA207/100),(Risultati!AA207/100)))</f>
        <v>0</v>
      </c>
      <c r="BO208" s="16" t="str">
        <f t="shared" si="183"/>
        <v>0</v>
      </c>
      <c r="BP208" s="16" t="str">
        <f>IF(Risultati!AB207&gt;0,(AV208/Risultati!AB207),"0")</f>
        <v>0</v>
      </c>
      <c r="BQ208" s="16" t="str">
        <f>IF(Risultati!AG207&lt;&gt;0,(BH208/Risultati!AG207),"0")</f>
        <v>0</v>
      </c>
      <c r="BR208" s="16" t="str">
        <f t="shared" si="184"/>
        <v>0</v>
      </c>
      <c r="BS208" s="14" t="str">
        <f>IF(Risultati!AB207&gt;0,(Risultati!G207/Risultati!AB207),"0")</f>
        <v>0</v>
      </c>
      <c r="BT208" s="15" t="str">
        <f>IF(Risultati!AG207&lt;&gt;0,(Risultati!AB207/Risultati!AG207),"0")</f>
        <v>0</v>
      </c>
      <c r="BU208" s="23" t="str">
        <f>IF(AND(Risultati!G207&gt;0,(Risultati!AE207-Risultati!AF207)&gt;=0),((Risultati!AE207-Risultati!AF207)/Risultati!G207*360),"0")</f>
        <v>0</v>
      </c>
      <c r="BV208" s="21" t="str">
        <f>IF(OR(E208="abbreviato",Risultati!G207=0),"0",((Risultati!AC207+Risultati!AD207)/Risultati!G207*360))</f>
        <v>0</v>
      </c>
      <c r="BW208" s="21" t="str">
        <f>IF(OR(E208="abbreviato",Risultati!G207=0,SUM(Risultati!I207+Risultati!K207+Risultati!M207)=0),"0",(((Risultati!AH207+Risultati!AI207)/(Risultati!I207+Risultati!K207+Risultati!N207)*360)))</f>
        <v>0</v>
      </c>
      <c r="BX208" s="16" t="str">
        <f>IF(Risultati!AB207&gt;0,(+Risultati!AG207/Risultati!AB207),"0")</f>
        <v>0</v>
      </c>
      <c r="BY208" s="22" t="str">
        <f>IF(OR(E208="abbreviato",Risultati!G207=0),"0",(((Risultati!AK207-(Risultati!AL207+Risultati!AM207))/Risultati!G207)))</f>
        <v>0</v>
      </c>
      <c r="BZ208" s="16" t="str">
        <f>IF(Risultati!G207&gt;0,(Risultati!AJ207/Risultati!G207),"0")</f>
        <v>0</v>
      </c>
      <c r="CA208" s="8"/>
      <c r="CB208" s="10">
        <f>+Risultati!AP207</f>
        <v>0</v>
      </c>
      <c r="CC208" s="31" t="str">
        <f t="shared" si="159"/>
        <v>0</v>
      </c>
      <c r="CD208" s="10">
        <f>+Risultati!AQ207</f>
        <v>0</v>
      </c>
      <c r="CE208" s="31" t="str">
        <f t="shared" si="160"/>
        <v>0</v>
      </c>
      <c r="CF208" s="10">
        <f>+Risultati!AR207</f>
        <v>0</v>
      </c>
      <c r="CG208" s="31" t="str">
        <f t="shared" si="161"/>
        <v>0</v>
      </c>
      <c r="CH208" s="10">
        <f>+Risultati!AS207</f>
        <v>0</v>
      </c>
      <c r="CI208" s="31" t="str">
        <f t="shared" si="162"/>
        <v>0</v>
      </c>
      <c r="CJ208" s="10">
        <f t="shared" si="163"/>
        <v>0</v>
      </c>
      <c r="CK208" s="31" t="str">
        <f t="shared" si="164"/>
        <v>0</v>
      </c>
      <c r="CL208" s="10">
        <f>+Risultati!AE207+Risultati!AF207</f>
        <v>0</v>
      </c>
      <c r="CM208" s="31" t="str">
        <f t="shared" si="165"/>
        <v>0</v>
      </c>
      <c r="CN208" s="10">
        <f>+Risultati!AT207</f>
        <v>0</v>
      </c>
      <c r="CO208" s="31" t="str">
        <f t="shared" si="166"/>
        <v>0</v>
      </c>
      <c r="CP208" s="10">
        <f>+Risultati!AU207</f>
        <v>0</v>
      </c>
      <c r="CQ208" s="31" t="str">
        <f t="shared" si="167"/>
        <v>0</v>
      </c>
      <c r="CR208" s="10">
        <f>+Risultati!AL207</f>
        <v>0</v>
      </c>
      <c r="CS208" s="31" t="str">
        <f t="shared" si="168"/>
        <v>0</v>
      </c>
      <c r="CT208" s="10">
        <f t="shared" si="169"/>
        <v>0</v>
      </c>
      <c r="CU208" s="31" t="str">
        <f t="shared" si="170"/>
        <v>0</v>
      </c>
      <c r="CV208" s="10">
        <f>+Risultati!AX207</f>
        <v>0</v>
      </c>
      <c r="CW208" s="31" t="str">
        <f t="shared" si="171"/>
        <v>0</v>
      </c>
      <c r="CX208" s="10">
        <f t="shared" si="172"/>
        <v>0</v>
      </c>
      <c r="CY208" s="31" t="str">
        <f t="shared" si="173"/>
        <v>0</v>
      </c>
      <c r="CZ208" s="10">
        <f>+Risultati!AG207</f>
        <v>0</v>
      </c>
      <c r="DA208" s="31" t="str">
        <f t="shared" si="174"/>
        <v>0</v>
      </c>
      <c r="DB208" s="10">
        <f t="shared" si="175"/>
        <v>0</v>
      </c>
      <c r="DC208" s="31" t="str">
        <f t="shared" si="176"/>
        <v>0</v>
      </c>
      <c r="DD208" s="10">
        <f>+Risultati!AV207</f>
        <v>0</v>
      </c>
      <c r="DE208" s="31" t="str">
        <f t="shared" si="177"/>
        <v>0</v>
      </c>
      <c r="DF208" s="10">
        <f>+Risultati!AJ207</f>
        <v>0</v>
      </c>
      <c r="DG208" s="31" t="str">
        <f t="shared" si="178"/>
        <v>0</v>
      </c>
      <c r="DH208" s="10">
        <f t="shared" si="179"/>
        <v>0</v>
      </c>
      <c r="DI208" s="31" t="str">
        <f t="shared" si="180"/>
        <v>0</v>
      </c>
      <c r="DJ208" s="10">
        <f>+Risultati!AW207</f>
        <v>0</v>
      </c>
      <c r="DK208" s="31" t="str">
        <f t="shared" si="181"/>
        <v>0</v>
      </c>
      <c r="DL208" s="10">
        <f t="shared" si="203"/>
        <v>0</v>
      </c>
      <c r="DM208" s="31" t="str">
        <f t="shared" si="182"/>
        <v>0</v>
      </c>
      <c r="DO208" s="30"/>
      <c r="DP208" s="30"/>
    </row>
    <row r="209" spans="1:120" x14ac:dyDescent="0.2">
      <c r="A209" s="5"/>
      <c r="B209" s="6">
        <f>+Risultati!B208</f>
        <v>0</v>
      </c>
      <c r="C209" s="6">
        <f>+Risultati!C208</f>
        <v>0</v>
      </c>
      <c r="D209" s="26" t="str">
        <f>IF(YEAR(Risultati!D208)=1900,(MID(Risultati!$AP$1,29,4)),YEAR(Risultati!D208))</f>
        <v/>
      </c>
      <c r="E209" s="6">
        <f>+Risultati!E208</f>
        <v>0</v>
      </c>
      <c r="F209" s="8" t="e">
        <f>(LEFT(Risultati!AN208,2)&amp;"-")&amp;VLOOKUP((LEFT(Risultati!AN208,2)),ateco!$B$4:$C$93,2,FALSE)</f>
        <v>#N/A</v>
      </c>
      <c r="G209" s="8" t="str">
        <f>SUBSTITUTE((Risultati!AN208&amp;"-"&amp;Risultati!AO208),",",";")</f>
        <v>-</v>
      </c>
      <c r="I209" s="10">
        <f>+Risultati!G208</f>
        <v>0</v>
      </c>
      <c r="J209" s="11" t="str">
        <f t="shared" si="185"/>
        <v>0</v>
      </c>
      <c r="K209" s="12"/>
      <c r="L209" s="10">
        <f>+Risultati!G208+Risultati!H208</f>
        <v>0</v>
      </c>
      <c r="M209" s="11" t="str">
        <f t="shared" si="186"/>
        <v>0</v>
      </c>
      <c r="N209" s="12"/>
      <c r="O209" s="10">
        <f>+Risultati!I208+Risultati!J208</f>
        <v>0</v>
      </c>
      <c r="P209" s="11" t="str">
        <f t="shared" si="187"/>
        <v>0</v>
      </c>
      <c r="Q209" s="12"/>
      <c r="R209" s="13">
        <f t="shared" si="153"/>
        <v>0</v>
      </c>
      <c r="S209" s="11" t="str">
        <f t="shared" si="188"/>
        <v>0</v>
      </c>
      <c r="T209" s="12"/>
      <c r="U209" s="10">
        <f>+Risultati!F208-(Risultati!G208+Risultati!H208)</f>
        <v>0</v>
      </c>
      <c r="V209" s="12" t="str">
        <f t="shared" si="189"/>
        <v>0</v>
      </c>
      <c r="W209" s="12"/>
      <c r="X209" s="10">
        <f t="shared" si="154"/>
        <v>0</v>
      </c>
      <c r="Y209" s="12" t="str">
        <f t="shared" si="190"/>
        <v>0</v>
      </c>
      <c r="Z209" s="12"/>
      <c r="AA209" s="10">
        <f>+Risultati!K208</f>
        <v>0</v>
      </c>
      <c r="AB209" s="12" t="str">
        <f t="shared" si="191"/>
        <v>0</v>
      </c>
      <c r="AC209" s="12"/>
      <c r="AD209" s="10">
        <f>+Risultati!L208</f>
        <v>0</v>
      </c>
      <c r="AE209" s="12" t="str">
        <f t="shared" si="192"/>
        <v>0</v>
      </c>
      <c r="AF209" s="12"/>
      <c r="AG209" s="10">
        <f>+Risultati!M208+Risultati!P208+Risultati!Q208</f>
        <v>0</v>
      </c>
      <c r="AH209" s="12" t="str">
        <f t="shared" si="193"/>
        <v>0</v>
      </c>
      <c r="AI209" s="12"/>
      <c r="AJ209" s="13">
        <f t="shared" si="155"/>
        <v>0</v>
      </c>
      <c r="AK209" s="11" t="str">
        <f t="shared" si="194"/>
        <v>0</v>
      </c>
      <c r="AL209" s="12"/>
      <c r="AM209" s="10">
        <f>+Risultati!N208</f>
        <v>0</v>
      </c>
      <c r="AN209" s="12" t="str">
        <f t="shared" si="195"/>
        <v>0</v>
      </c>
      <c r="AO209" s="12"/>
      <c r="AP209" s="10">
        <f t="shared" si="156"/>
        <v>0</v>
      </c>
      <c r="AQ209" s="41" t="str">
        <f t="shared" si="196"/>
        <v>0</v>
      </c>
      <c r="AR209" s="12"/>
      <c r="AS209" s="10">
        <f>+Risultati!O208</f>
        <v>0</v>
      </c>
      <c r="AT209" s="12" t="str">
        <f t="shared" si="197"/>
        <v>0</v>
      </c>
      <c r="AU209" s="12"/>
      <c r="AV209" s="10">
        <f t="shared" si="157"/>
        <v>0</v>
      </c>
      <c r="AW209" s="12" t="str">
        <f t="shared" si="198"/>
        <v>0</v>
      </c>
      <c r="AX209" s="12"/>
      <c r="AY209" s="10">
        <f>+Risultati!R208+Risultati!S208</f>
        <v>0</v>
      </c>
      <c r="AZ209" s="12" t="str">
        <f t="shared" si="199"/>
        <v>0</v>
      </c>
      <c r="BA209" s="12"/>
      <c r="BB209" s="10">
        <f>+Risultati!T208</f>
        <v>0</v>
      </c>
      <c r="BC209" s="12" t="str">
        <f t="shared" si="200"/>
        <v>0</v>
      </c>
      <c r="BD209" s="12"/>
      <c r="BE209" s="10">
        <f>+Risultati!U208</f>
        <v>0</v>
      </c>
      <c r="BF209" s="12" t="str">
        <f t="shared" si="201"/>
        <v>0</v>
      </c>
      <c r="BG209" s="12"/>
      <c r="BH209" s="10">
        <f t="shared" si="158"/>
        <v>0</v>
      </c>
      <c r="BI209" s="12" t="str">
        <f t="shared" si="202"/>
        <v>0</v>
      </c>
      <c r="BK209" s="16">
        <f>IF(ISNUMBER(Risultati!X208/100),(Risultati!X208/100))</f>
        <v>0</v>
      </c>
      <c r="BL209" s="16">
        <f>IF(ISNUMBER(Risultati!Y208/100),(Risultati!Y208/100))</f>
        <v>0</v>
      </c>
      <c r="BM209" s="16">
        <f>IF(ISNUMBER(Risultati!Z208/100),(Risultati!Z208/100))</f>
        <v>0</v>
      </c>
      <c r="BN209" s="16">
        <f>IF(AND(Risultati!AY208&lt;0,calcoli!AP209&lt;0),-IF(ISNUMBER(Risultati!AA208/100),(Risultati!AA208/100)),IF(ISNUMBER(Risultati!AA208/100),(Risultati!AA208/100)))</f>
        <v>0</v>
      </c>
      <c r="BO209" s="16" t="str">
        <f t="shared" si="183"/>
        <v>0</v>
      </c>
      <c r="BP209" s="16" t="str">
        <f>IF(Risultati!AB208&gt;0,(AV209/Risultati!AB208),"0")</f>
        <v>0</v>
      </c>
      <c r="BQ209" s="16" t="str">
        <f>IF(Risultati!AG208&lt;&gt;0,(BH209/Risultati!AG208),"0")</f>
        <v>0</v>
      </c>
      <c r="BR209" s="16" t="str">
        <f t="shared" si="184"/>
        <v>0</v>
      </c>
      <c r="BS209" s="14" t="str">
        <f>IF(Risultati!AB208&gt;0,(Risultati!G208/Risultati!AB208),"0")</f>
        <v>0</v>
      </c>
      <c r="BT209" s="15" t="str">
        <f>IF(Risultati!AG208&lt;&gt;0,(Risultati!AB208/Risultati!AG208),"0")</f>
        <v>0</v>
      </c>
      <c r="BU209" s="23" t="str">
        <f>IF(AND(Risultati!G208&gt;0,(Risultati!AE208-Risultati!AF208)&gt;=0),((Risultati!AE208-Risultati!AF208)/Risultati!G208*360),"0")</f>
        <v>0</v>
      </c>
      <c r="BV209" s="21" t="str">
        <f>IF(OR(E209="abbreviato",Risultati!G208=0),"0",((Risultati!AC208+Risultati!AD208)/Risultati!G208*360))</f>
        <v>0</v>
      </c>
      <c r="BW209" s="21" t="str">
        <f>IF(OR(E209="abbreviato",Risultati!G208=0,SUM(Risultati!I208+Risultati!K208+Risultati!M208)=0),"0",(((Risultati!AH208+Risultati!AI208)/(Risultati!I208+Risultati!K208+Risultati!N208)*360)))</f>
        <v>0</v>
      </c>
      <c r="BX209" s="16" t="str">
        <f>IF(Risultati!AB208&gt;0,(+Risultati!AG208/Risultati!AB208),"0")</f>
        <v>0</v>
      </c>
      <c r="BY209" s="22" t="str">
        <f>IF(OR(E209="abbreviato",Risultati!G208=0),"0",(((Risultati!AK208-(Risultati!AL208+Risultati!AM208))/Risultati!G208)))</f>
        <v>0</v>
      </c>
      <c r="BZ209" s="16" t="str">
        <f>IF(Risultati!G208&gt;0,(Risultati!AJ208/Risultati!G208),"0")</f>
        <v>0</v>
      </c>
      <c r="CA209" s="8"/>
      <c r="CB209" s="10">
        <f>+Risultati!AP208</f>
        <v>0</v>
      </c>
      <c r="CC209" s="31" t="str">
        <f t="shared" si="159"/>
        <v>0</v>
      </c>
      <c r="CD209" s="10">
        <f>+Risultati!AQ208</f>
        <v>0</v>
      </c>
      <c r="CE209" s="31" t="str">
        <f t="shared" si="160"/>
        <v>0</v>
      </c>
      <c r="CF209" s="10">
        <f>+Risultati!AR208</f>
        <v>0</v>
      </c>
      <c r="CG209" s="31" t="str">
        <f t="shared" si="161"/>
        <v>0</v>
      </c>
      <c r="CH209" s="10">
        <f>+Risultati!AS208</f>
        <v>0</v>
      </c>
      <c r="CI209" s="31" t="str">
        <f t="shared" si="162"/>
        <v>0</v>
      </c>
      <c r="CJ209" s="10">
        <f t="shared" si="163"/>
        <v>0</v>
      </c>
      <c r="CK209" s="31" t="str">
        <f t="shared" si="164"/>
        <v>0</v>
      </c>
      <c r="CL209" s="10">
        <f>+Risultati!AE208+Risultati!AF208</f>
        <v>0</v>
      </c>
      <c r="CM209" s="31" t="str">
        <f t="shared" si="165"/>
        <v>0</v>
      </c>
      <c r="CN209" s="10">
        <f>+Risultati!AT208</f>
        <v>0</v>
      </c>
      <c r="CO209" s="31" t="str">
        <f t="shared" si="166"/>
        <v>0</v>
      </c>
      <c r="CP209" s="10">
        <f>+Risultati!AU208</f>
        <v>0</v>
      </c>
      <c r="CQ209" s="31" t="str">
        <f t="shared" si="167"/>
        <v>0</v>
      </c>
      <c r="CR209" s="10">
        <f>+Risultati!AL208</f>
        <v>0</v>
      </c>
      <c r="CS209" s="31" t="str">
        <f t="shared" si="168"/>
        <v>0</v>
      </c>
      <c r="CT209" s="10">
        <f t="shared" si="169"/>
        <v>0</v>
      </c>
      <c r="CU209" s="31" t="str">
        <f t="shared" si="170"/>
        <v>0</v>
      </c>
      <c r="CV209" s="10">
        <f>+Risultati!AX208</f>
        <v>0</v>
      </c>
      <c r="CW209" s="31" t="str">
        <f t="shared" si="171"/>
        <v>0</v>
      </c>
      <c r="CX209" s="10">
        <f t="shared" si="172"/>
        <v>0</v>
      </c>
      <c r="CY209" s="31" t="str">
        <f t="shared" si="173"/>
        <v>0</v>
      </c>
      <c r="CZ209" s="10">
        <f>+Risultati!AG208</f>
        <v>0</v>
      </c>
      <c r="DA209" s="31" t="str">
        <f t="shared" si="174"/>
        <v>0</v>
      </c>
      <c r="DB209" s="10">
        <f t="shared" si="175"/>
        <v>0</v>
      </c>
      <c r="DC209" s="31" t="str">
        <f t="shared" si="176"/>
        <v>0</v>
      </c>
      <c r="DD209" s="10">
        <f>+Risultati!AV208</f>
        <v>0</v>
      </c>
      <c r="DE209" s="31" t="str">
        <f t="shared" si="177"/>
        <v>0</v>
      </c>
      <c r="DF209" s="10">
        <f>+Risultati!AJ208</f>
        <v>0</v>
      </c>
      <c r="DG209" s="31" t="str">
        <f t="shared" si="178"/>
        <v>0</v>
      </c>
      <c r="DH209" s="10">
        <f t="shared" si="179"/>
        <v>0</v>
      </c>
      <c r="DI209" s="31" t="str">
        <f t="shared" si="180"/>
        <v>0</v>
      </c>
      <c r="DJ209" s="10">
        <f>+Risultati!AW208</f>
        <v>0</v>
      </c>
      <c r="DK209" s="31" t="str">
        <f t="shared" si="181"/>
        <v>0</v>
      </c>
      <c r="DL209" s="10">
        <f t="shared" si="203"/>
        <v>0</v>
      </c>
      <c r="DM209" s="31" t="str">
        <f t="shared" si="182"/>
        <v>0</v>
      </c>
      <c r="DO209" s="30"/>
      <c r="DP209" s="30"/>
    </row>
    <row r="210" spans="1:120" x14ac:dyDescent="0.2">
      <c r="A210" s="5"/>
      <c r="B210" s="6">
        <f>+Risultati!B209</f>
        <v>0</v>
      </c>
      <c r="C210" s="6">
        <f>+Risultati!C209</f>
        <v>0</v>
      </c>
      <c r="D210" s="26" t="str">
        <f>IF(YEAR(Risultati!D209)=1900,(MID(Risultati!$AP$1,29,4)),YEAR(Risultati!D209))</f>
        <v/>
      </c>
      <c r="E210" s="6">
        <f>+Risultati!E209</f>
        <v>0</v>
      </c>
      <c r="F210" s="8" t="e">
        <f>(LEFT(Risultati!AN209,2)&amp;"-")&amp;VLOOKUP((LEFT(Risultati!AN209,2)),ateco!$B$4:$C$93,2,FALSE)</f>
        <v>#N/A</v>
      </c>
      <c r="G210" s="8" t="str">
        <f>SUBSTITUTE((Risultati!AN209&amp;"-"&amp;Risultati!AO209),",",";")</f>
        <v>-</v>
      </c>
      <c r="I210" s="10">
        <f>+Risultati!G209</f>
        <v>0</v>
      </c>
      <c r="J210" s="11" t="str">
        <f t="shared" si="185"/>
        <v>0</v>
      </c>
      <c r="K210" s="12"/>
      <c r="L210" s="10">
        <f>+Risultati!G209+Risultati!H209</f>
        <v>0</v>
      </c>
      <c r="M210" s="11" t="str">
        <f t="shared" si="186"/>
        <v>0</v>
      </c>
      <c r="N210" s="12"/>
      <c r="O210" s="10">
        <f>+Risultati!I209+Risultati!J209</f>
        <v>0</v>
      </c>
      <c r="P210" s="11" t="str">
        <f t="shared" si="187"/>
        <v>0</v>
      </c>
      <c r="Q210" s="12"/>
      <c r="R210" s="13">
        <f t="shared" si="153"/>
        <v>0</v>
      </c>
      <c r="S210" s="11" t="str">
        <f t="shared" si="188"/>
        <v>0</v>
      </c>
      <c r="T210" s="12"/>
      <c r="U210" s="10">
        <f>+Risultati!F209-(Risultati!G209+Risultati!H209)</f>
        <v>0</v>
      </c>
      <c r="V210" s="12" t="str">
        <f t="shared" si="189"/>
        <v>0</v>
      </c>
      <c r="W210" s="12"/>
      <c r="X210" s="10">
        <f t="shared" si="154"/>
        <v>0</v>
      </c>
      <c r="Y210" s="12" t="str">
        <f t="shared" si="190"/>
        <v>0</v>
      </c>
      <c r="Z210" s="12"/>
      <c r="AA210" s="10">
        <f>+Risultati!K209</f>
        <v>0</v>
      </c>
      <c r="AB210" s="12" t="str">
        <f t="shared" si="191"/>
        <v>0</v>
      </c>
      <c r="AC210" s="12"/>
      <c r="AD210" s="10">
        <f>+Risultati!L209</f>
        <v>0</v>
      </c>
      <c r="AE210" s="12" t="str">
        <f t="shared" si="192"/>
        <v>0</v>
      </c>
      <c r="AF210" s="12"/>
      <c r="AG210" s="10">
        <f>+Risultati!M209+Risultati!P209+Risultati!Q209</f>
        <v>0</v>
      </c>
      <c r="AH210" s="12" t="str">
        <f t="shared" si="193"/>
        <v>0</v>
      </c>
      <c r="AI210" s="12"/>
      <c r="AJ210" s="13">
        <f t="shared" si="155"/>
        <v>0</v>
      </c>
      <c r="AK210" s="11" t="str">
        <f t="shared" si="194"/>
        <v>0</v>
      </c>
      <c r="AL210" s="12"/>
      <c r="AM210" s="10">
        <f>+Risultati!N209</f>
        <v>0</v>
      </c>
      <c r="AN210" s="12" t="str">
        <f t="shared" si="195"/>
        <v>0</v>
      </c>
      <c r="AO210" s="12"/>
      <c r="AP210" s="10">
        <f t="shared" si="156"/>
        <v>0</v>
      </c>
      <c r="AQ210" s="41" t="str">
        <f t="shared" si="196"/>
        <v>0</v>
      </c>
      <c r="AR210" s="12"/>
      <c r="AS210" s="10">
        <f>+Risultati!O209</f>
        <v>0</v>
      </c>
      <c r="AT210" s="12" t="str">
        <f t="shared" si="197"/>
        <v>0</v>
      </c>
      <c r="AU210" s="12"/>
      <c r="AV210" s="10">
        <f t="shared" si="157"/>
        <v>0</v>
      </c>
      <c r="AW210" s="12" t="str">
        <f t="shared" si="198"/>
        <v>0</v>
      </c>
      <c r="AX210" s="12"/>
      <c r="AY210" s="10">
        <f>+Risultati!R209+Risultati!S209</f>
        <v>0</v>
      </c>
      <c r="AZ210" s="12" t="str">
        <f t="shared" si="199"/>
        <v>0</v>
      </c>
      <c r="BA210" s="12"/>
      <c r="BB210" s="10">
        <f>+Risultati!T209</f>
        <v>0</v>
      </c>
      <c r="BC210" s="12" t="str">
        <f t="shared" si="200"/>
        <v>0</v>
      </c>
      <c r="BD210" s="12"/>
      <c r="BE210" s="10">
        <f>+Risultati!U209</f>
        <v>0</v>
      </c>
      <c r="BF210" s="12" t="str">
        <f t="shared" si="201"/>
        <v>0</v>
      </c>
      <c r="BG210" s="12"/>
      <c r="BH210" s="10">
        <f t="shared" si="158"/>
        <v>0</v>
      </c>
      <c r="BI210" s="12" t="str">
        <f t="shared" si="202"/>
        <v>0</v>
      </c>
      <c r="BK210" s="16">
        <f>IF(ISNUMBER(Risultati!X209/100),(Risultati!X209/100))</f>
        <v>0</v>
      </c>
      <c r="BL210" s="16">
        <f>IF(ISNUMBER(Risultati!Y209/100),(Risultati!Y209/100))</f>
        <v>0</v>
      </c>
      <c r="BM210" s="16">
        <f>IF(ISNUMBER(Risultati!Z209/100),(Risultati!Z209/100))</f>
        <v>0</v>
      </c>
      <c r="BN210" s="16">
        <f>IF(AND(Risultati!AY209&lt;0,calcoli!AP210&lt;0),-IF(ISNUMBER(Risultati!AA209/100),(Risultati!AA209/100)),IF(ISNUMBER(Risultati!AA209/100),(Risultati!AA209/100)))</f>
        <v>0</v>
      </c>
      <c r="BO210" s="16" t="str">
        <f t="shared" si="183"/>
        <v>0</v>
      </c>
      <c r="BP210" s="16" t="str">
        <f>IF(Risultati!AB209&gt;0,(AV210/Risultati!AB209),"0")</f>
        <v>0</v>
      </c>
      <c r="BQ210" s="16" t="str">
        <f>IF(Risultati!AG209&lt;&gt;0,(BH210/Risultati!AG209),"0")</f>
        <v>0</v>
      </c>
      <c r="BR210" s="16" t="str">
        <f t="shared" si="184"/>
        <v>0</v>
      </c>
      <c r="BS210" s="14" t="str">
        <f>IF(Risultati!AB209&gt;0,(Risultati!G209/Risultati!AB209),"0")</f>
        <v>0</v>
      </c>
      <c r="BT210" s="15" t="str">
        <f>IF(Risultati!AG209&lt;&gt;0,(Risultati!AB209/Risultati!AG209),"0")</f>
        <v>0</v>
      </c>
      <c r="BU210" s="23" t="str">
        <f>IF(AND(Risultati!G209&gt;0,(Risultati!AE209-Risultati!AF209)&gt;=0),((Risultati!AE209-Risultati!AF209)/Risultati!G209*360),"0")</f>
        <v>0</v>
      </c>
      <c r="BV210" s="21" t="str">
        <f>IF(OR(E210="abbreviato",Risultati!G209=0),"0",((Risultati!AC209+Risultati!AD209)/Risultati!G209*360))</f>
        <v>0</v>
      </c>
      <c r="BW210" s="21" t="str">
        <f>IF(OR(E210="abbreviato",Risultati!G209=0,SUM(Risultati!I209+Risultati!K209+Risultati!M209)=0),"0",(((Risultati!AH209+Risultati!AI209)/(Risultati!I209+Risultati!K209+Risultati!N209)*360)))</f>
        <v>0</v>
      </c>
      <c r="BX210" s="16" t="str">
        <f>IF(Risultati!AB209&gt;0,(+Risultati!AG209/Risultati!AB209),"0")</f>
        <v>0</v>
      </c>
      <c r="BY210" s="22" t="str">
        <f>IF(OR(E210="abbreviato",Risultati!G209=0),"0",(((Risultati!AK209-(Risultati!AL209+Risultati!AM209))/Risultati!G209)))</f>
        <v>0</v>
      </c>
      <c r="BZ210" s="16" t="str">
        <f>IF(Risultati!G209&gt;0,(Risultati!AJ209/Risultati!G209),"0")</f>
        <v>0</v>
      </c>
      <c r="CA210" s="8"/>
      <c r="CB210" s="10">
        <f>+Risultati!AP209</f>
        <v>0</v>
      </c>
      <c r="CC210" s="31" t="str">
        <f t="shared" si="159"/>
        <v>0</v>
      </c>
      <c r="CD210" s="10">
        <f>+Risultati!AQ209</f>
        <v>0</v>
      </c>
      <c r="CE210" s="31" t="str">
        <f t="shared" si="160"/>
        <v>0</v>
      </c>
      <c r="CF210" s="10">
        <f>+Risultati!AR209</f>
        <v>0</v>
      </c>
      <c r="CG210" s="31" t="str">
        <f t="shared" si="161"/>
        <v>0</v>
      </c>
      <c r="CH210" s="10">
        <f>+Risultati!AS209</f>
        <v>0</v>
      </c>
      <c r="CI210" s="31" t="str">
        <f t="shared" si="162"/>
        <v>0</v>
      </c>
      <c r="CJ210" s="10">
        <f t="shared" si="163"/>
        <v>0</v>
      </c>
      <c r="CK210" s="31" t="str">
        <f t="shared" si="164"/>
        <v>0</v>
      </c>
      <c r="CL210" s="10">
        <f>+Risultati!AE209+Risultati!AF209</f>
        <v>0</v>
      </c>
      <c r="CM210" s="31" t="str">
        <f t="shared" si="165"/>
        <v>0</v>
      </c>
      <c r="CN210" s="10">
        <f>+Risultati!AT209</f>
        <v>0</v>
      </c>
      <c r="CO210" s="31" t="str">
        <f t="shared" si="166"/>
        <v>0</v>
      </c>
      <c r="CP210" s="10">
        <f>+Risultati!AU209</f>
        <v>0</v>
      </c>
      <c r="CQ210" s="31" t="str">
        <f t="shared" si="167"/>
        <v>0</v>
      </c>
      <c r="CR210" s="10">
        <f>+Risultati!AL209</f>
        <v>0</v>
      </c>
      <c r="CS210" s="31" t="str">
        <f t="shared" si="168"/>
        <v>0</v>
      </c>
      <c r="CT210" s="10">
        <f t="shared" si="169"/>
        <v>0</v>
      </c>
      <c r="CU210" s="31" t="str">
        <f t="shared" si="170"/>
        <v>0</v>
      </c>
      <c r="CV210" s="10">
        <f>+Risultati!AX209</f>
        <v>0</v>
      </c>
      <c r="CW210" s="31" t="str">
        <f t="shared" si="171"/>
        <v>0</v>
      </c>
      <c r="CX210" s="10">
        <f t="shared" si="172"/>
        <v>0</v>
      </c>
      <c r="CY210" s="31" t="str">
        <f t="shared" si="173"/>
        <v>0</v>
      </c>
      <c r="CZ210" s="10">
        <f>+Risultati!AG209</f>
        <v>0</v>
      </c>
      <c r="DA210" s="31" t="str">
        <f t="shared" si="174"/>
        <v>0</v>
      </c>
      <c r="DB210" s="10">
        <f t="shared" si="175"/>
        <v>0</v>
      </c>
      <c r="DC210" s="31" t="str">
        <f t="shared" si="176"/>
        <v>0</v>
      </c>
      <c r="DD210" s="10">
        <f>+Risultati!AV209</f>
        <v>0</v>
      </c>
      <c r="DE210" s="31" t="str">
        <f t="shared" si="177"/>
        <v>0</v>
      </c>
      <c r="DF210" s="10">
        <f>+Risultati!AJ209</f>
        <v>0</v>
      </c>
      <c r="DG210" s="31" t="str">
        <f t="shared" si="178"/>
        <v>0</v>
      </c>
      <c r="DH210" s="10">
        <f t="shared" si="179"/>
        <v>0</v>
      </c>
      <c r="DI210" s="31" t="str">
        <f t="shared" si="180"/>
        <v>0</v>
      </c>
      <c r="DJ210" s="10">
        <f>+Risultati!AW209</f>
        <v>0</v>
      </c>
      <c r="DK210" s="31" t="str">
        <f t="shared" si="181"/>
        <v>0</v>
      </c>
      <c r="DL210" s="10">
        <f t="shared" si="203"/>
        <v>0</v>
      </c>
      <c r="DM210" s="31" t="str">
        <f t="shared" si="182"/>
        <v>0</v>
      </c>
      <c r="DO210" s="30"/>
      <c r="DP210" s="30"/>
    </row>
    <row r="211" spans="1:120" x14ac:dyDescent="0.2">
      <c r="A211" s="5"/>
      <c r="B211" s="6">
        <f>+Risultati!B210</f>
        <v>0</v>
      </c>
      <c r="C211" s="6">
        <f>+Risultati!C210</f>
        <v>0</v>
      </c>
      <c r="D211" s="26" t="str">
        <f>IF(YEAR(Risultati!D210)=1900,(MID(Risultati!$AP$1,29,4)),YEAR(Risultati!D210))</f>
        <v/>
      </c>
      <c r="E211" s="6">
        <f>+Risultati!E210</f>
        <v>0</v>
      </c>
      <c r="F211" s="8" t="e">
        <f>(LEFT(Risultati!AN210,2)&amp;"-")&amp;VLOOKUP((LEFT(Risultati!AN210,2)),ateco!$B$4:$C$93,2,FALSE)</f>
        <v>#N/A</v>
      </c>
      <c r="G211" s="8" t="str">
        <f>SUBSTITUTE((Risultati!AN210&amp;"-"&amp;Risultati!AO210),",",";")</f>
        <v>-</v>
      </c>
      <c r="I211" s="10">
        <f>+Risultati!G210</f>
        <v>0</v>
      </c>
      <c r="J211" s="11" t="str">
        <f t="shared" si="185"/>
        <v>0</v>
      </c>
      <c r="K211" s="12"/>
      <c r="L211" s="10">
        <f>+Risultati!G210+Risultati!H210</f>
        <v>0</v>
      </c>
      <c r="M211" s="11" t="str">
        <f t="shared" si="186"/>
        <v>0</v>
      </c>
      <c r="N211" s="12"/>
      <c r="O211" s="10">
        <f>+Risultati!I210+Risultati!J210</f>
        <v>0</v>
      </c>
      <c r="P211" s="11" t="str">
        <f t="shared" si="187"/>
        <v>0</v>
      </c>
      <c r="Q211" s="12"/>
      <c r="R211" s="13">
        <f t="shared" si="153"/>
        <v>0</v>
      </c>
      <c r="S211" s="11" t="str">
        <f t="shared" si="188"/>
        <v>0</v>
      </c>
      <c r="T211" s="12"/>
      <c r="U211" s="10">
        <f>+Risultati!F210-(Risultati!G210+Risultati!H210)</f>
        <v>0</v>
      </c>
      <c r="V211" s="12" t="str">
        <f t="shared" si="189"/>
        <v>0</v>
      </c>
      <c r="W211" s="12"/>
      <c r="X211" s="10">
        <f t="shared" si="154"/>
        <v>0</v>
      </c>
      <c r="Y211" s="12" t="str">
        <f t="shared" si="190"/>
        <v>0</v>
      </c>
      <c r="Z211" s="12"/>
      <c r="AA211" s="10">
        <f>+Risultati!K210</f>
        <v>0</v>
      </c>
      <c r="AB211" s="12" t="str">
        <f t="shared" si="191"/>
        <v>0</v>
      </c>
      <c r="AC211" s="12"/>
      <c r="AD211" s="10">
        <f>+Risultati!L210</f>
        <v>0</v>
      </c>
      <c r="AE211" s="12" t="str">
        <f t="shared" si="192"/>
        <v>0</v>
      </c>
      <c r="AF211" s="12"/>
      <c r="AG211" s="10">
        <f>+Risultati!M210+Risultati!P210+Risultati!Q210</f>
        <v>0</v>
      </c>
      <c r="AH211" s="12" t="str">
        <f t="shared" si="193"/>
        <v>0</v>
      </c>
      <c r="AI211" s="12"/>
      <c r="AJ211" s="13">
        <f t="shared" si="155"/>
        <v>0</v>
      </c>
      <c r="AK211" s="11" t="str">
        <f t="shared" si="194"/>
        <v>0</v>
      </c>
      <c r="AL211" s="12"/>
      <c r="AM211" s="10">
        <f>+Risultati!N210</f>
        <v>0</v>
      </c>
      <c r="AN211" s="12" t="str">
        <f t="shared" si="195"/>
        <v>0</v>
      </c>
      <c r="AO211" s="12"/>
      <c r="AP211" s="10">
        <f t="shared" si="156"/>
        <v>0</v>
      </c>
      <c r="AQ211" s="41" t="str">
        <f t="shared" si="196"/>
        <v>0</v>
      </c>
      <c r="AR211" s="12"/>
      <c r="AS211" s="10">
        <f>+Risultati!O210</f>
        <v>0</v>
      </c>
      <c r="AT211" s="12" t="str">
        <f t="shared" si="197"/>
        <v>0</v>
      </c>
      <c r="AU211" s="12"/>
      <c r="AV211" s="10">
        <f t="shared" si="157"/>
        <v>0</v>
      </c>
      <c r="AW211" s="12" t="str">
        <f t="shared" si="198"/>
        <v>0</v>
      </c>
      <c r="AX211" s="12"/>
      <c r="AY211" s="10">
        <f>+Risultati!R210+Risultati!S210</f>
        <v>0</v>
      </c>
      <c r="AZ211" s="12" t="str">
        <f t="shared" si="199"/>
        <v>0</v>
      </c>
      <c r="BA211" s="12"/>
      <c r="BB211" s="10">
        <f>+Risultati!T210</f>
        <v>0</v>
      </c>
      <c r="BC211" s="12" t="str">
        <f t="shared" si="200"/>
        <v>0</v>
      </c>
      <c r="BD211" s="12"/>
      <c r="BE211" s="10">
        <f>+Risultati!U210</f>
        <v>0</v>
      </c>
      <c r="BF211" s="12" t="str">
        <f t="shared" si="201"/>
        <v>0</v>
      </c>
      <c r="BG211" s="12"/>
      <c r="BH211" s="10">
        <f t="shared" si="158"/>
        <v>0</v>
      </c>
      <c r="BI211" s="12" t="str">
        <f t="shared" si="202"/>
        <v>0</v>
      </c>
      <c r="BK211" s="16">
        <f>IF(ISNUMBER(Risultati!X210/100),(Risultati!X210/100))</f>
        <v>0</v>
      </c>
      <c r="BL211" s="16">
        <f>IF(ISNUMBER(Risultati!Y210/100),(Risultati!Y210/100))</f>
        <v>0</v>
      </c>
      <c r="BM211" s="16">
        <f>IF(ISNUMBER(Risultati!Z210/100),(Risultati!Z210/100))</f>
        <v>0</v>
      </c>
      <c r="BN211" s="16">
        <f>IF(AND(Risultati!AY210&lt;0,calcoli!AP211&lt;0),-IF(ISNUMBER(Risultati!AA210/100),(Risultati!AA210/100)),IF(ISNUMBER(Risultati!AA210/100),(Risultati!AA210/100)))</f>
        <v>0</v>
      </c>
      <c r="BO211" s="16" t="str">
        <f t="shared" si="183"/>
        <v>0</v>
      </c>
      <c r="BP211" s="16" t="str">
        <f>IF(Risultati!AB210&gt;0,(AV211/Risultati!AB210),"0")</f>
        <v>0</v>
      </c>
      <c r="BQ211" s="16" t="str">
        <f>IF(Risultati!AG210&lt;&gt;0,(BH211/Risultati!AG210),"0")</f>
        <v>0</v>
      </c>
      <c r="BR211" s="16" t="str">
        <f t="shared" si="184"/>
        <v>0</v>
      </c>
      <c r="BS211" s="14" t="str">
        <f>IF(Risultati!AB210&gt;0,(Risultati!G210/Risultati!AB210),"0")</f>
        <v>0</v>
      </c>
      <c r="BT211" s="15" t="str">
        <f>IF(Risultati!AG210&lt;&gt;0,(Risultati!AB210/Risultati!AG210),"0")</f>
        <v>0</v>
      </c>
      <c r="BU211" s="23" t="str">
        <f>IF(AND(Risultati!G210&gt;0,(Risultati!AE210-Risultati!AF210)&gt;=0),((Risultati!AE210-Risultati!AF210)/Risultati!G210*360),"0")</f>
        <v>0</v>
      </c>
      <c r="BV211" s="21" t="str">
        <f>IF(OR(E211="abbreviato",Risultati!G210=0),"0",((Risultati!AC210+Risultati!AD210)/Risultati!G210*360))</f>
        <v>0</v>
      </c>
      <c r="BW211" s="21" t="str">
        <f>IF(OR(E211="abbreviato",Risultati!G210=0,SUM(Risultati!I210+Risultati!K210+Risultati!M210)=0),"0",(((Risultati!AH210+Risultati!AI210)/(Risultati!I210+Risultati!K210+Risultati!N210)*360)))</f>
        <v>0</v>
      </c>
      <c r="BX211" s="16" t="str">
        <f>IF(Risultati!AB210&gt;0,(+Risultati!AG210/Risultati!AB210),"0")</f>
        <v>0</v>
      </c>
      <c r="BY211" s="22" t="str">
        <f>IF(OR(E211="abbreviato",Risultati!G210=0),"0",(((Risultati!AK210-(Risultati!AL210+Risultati!AM210))/Risultati!G210)))</f>
        <v>0</v>
      </c>
      <c r="BZ211" s="16" t="str">
        <f>IF(Risultati!G210&gt;0,(Risultati!AJ210/Risultati!G210),"0")</f>
        <v>0</v>
      </c>
      <c r="CA211" s="8"/>
      <c r="CB211" s="10">
        <f>+Risultati!AP210</f>
        <v>0</v>
      </c>
      <c r="CC211" s="31" t="str">
        <f t="shared" si="159"/>
        <v>0</v>
      </c>
      <c r="CD211" s="10">
        <f>+Risultati!AQ210</f>
        <v>0</v>
      </c>
      <c r="CE211" s="31" t="str">
        <f t="shared" si="160"/>
        <v>0</v>
      </c>
      <c r="CF211" s="10">
        <f>+Risultati!AR210</f>
        <v>0</v>
      </c>
      <c r="CG211" s="31" t="str">
        <f t="shared" si="161"/>
        <v>0</v>
      </c>
      <c r="CH211" s="10">
        <f>+Risultati!AS210</f>
        <v>0</v>
      </c>
      <c r="CI211" s="31" t="str">
        <f t="shared" si="162"/>
        <v>0</v>
      </c>
      <c r="CJ211" s="10">
        <f t="shared" si="163"/>
        <v>0</v>
      </c>
      <c r="CK211" s="31" t="str">
        <f t="shared" si="164"/>
        <v>0</v>
      </c>
      <c r="CL211" s="10">
        <f>+Risultati!AE210+Risultati!AF210</f>
        <v>0</v>
      </c>
      <c r="CM211" s="31" t="str">
        <f t="shared" si="165"/>
        <v>0</v>
      </c>
      <c r="CN211" s="10">
        <f>+Risultati!AT210</f>
        <v>0</v>
      </c>
      <c r="CO211" s="31" t="str">
        <f t="shared" si="166"/>
        <v>0</v>
      </c>
      <c r="CP211" s="10">
        <f>+Risultati!AU210</f>
        <v>0</v>
      </c>
      <c r="CQ211" s="31" t="str">
        <f t="shared" si="167"/>
        <v>0</v>
      </c>
      <c r="CR211" s="10">
        <f>+Risultati!AL210</f>
        <v>0</v>
      </c>
      <c r="CS211" s="31" t="str">
        <f t="shared" si="168"/>
        <v>0</v>
      </c>
      <c r="CT211" s="10">
        <f t="shared" si="169"/>
        <v>0</v>
      </c>
      <c r="CU211" s="31" t="str">
        <f t="shared" si="170"/>
        <v>0</v>
      </c>
      <c r="CV211" s="10">
        <f>+Risultati!AX210</f>
        <v>0</v>
      </c>
      <c r="CW211" s="31" t="str">
        <f t="shared" si="171"/>
        <v>0</v>
      </c>
      <c r="CX211" s="10">
        <f t="shared" si="172"/>
        <v>0</v>
      </c>
      <c r="CY211" s="31" t="str">
        <f t="shared" si="173"/>
        <v>0</v>
      </c>
      <c r="CZ211" s="10">
        <f>+Risultati!AG210</f>
        <v>0</v>
      </c>
      <c r="DA211" s="31" t="str">
        <f t="shared" si="174"/>
        <v>0</v>
      </c>
      <c r="DB211" s="10">
        <f t="shared" si="175"/>
        <v>0</v>
      </c>
      <c r="DC211" s="31" t="str">
        <f t="shared" si="176"/>
        <v>0</v>
      </c>
      <c r="DD211" s="10">
        <f>+Risultati!AV210</f>
        <v>0</v>
      </c>
      <c r="DE211" s="31" t="str">
        <f t="shared" si="177"/>
        <v>0</v>
      </c>
      <c r="DF211" s="10">
        <f>+Risultati!AJ210</f>
        <v>0</v>
      </c>
      <c r="DG211" s="31" t="str">
        <f t="shared" si="178"/>
        <v>0</v>
      </c>
      <c r="DH211" s="10">
        <f t="shared" si="179"/>
        <v>0</v>
      </c>
      <c r="DI211" s="31" t="str">
        <f t="shared" si="180"/>
        <v>0</v>
      </c>
      <c r="DJ211" s="10">
        <f>+Risultati!AW210</f>
        <v>0</v>
      </c>
      <c r="DK211" s="31" t="str">
        <f t="shared" si="181"/>
        <v>0</v>
      </c>
      <c r="DL211" s="10">
        <f t="shared" si="203"/>
        <v>0</v>
      </c>
      <c r="DM211" s="31" t="str">
        <f t="shared" si="182"/>
        <v>0</v>
      </c>
      <c r="DO211" s="30"/>
      <c r="DP211" s="30"/>
    </row>
    <row r="212" spans="1:120" x14ac:dyDescent="0.2">
      <c r="A212" s="5"/>
      <c r="B212" s="6">
        <f>+Risultati!B211</f>
        <v>0</v>
      </c>
      <c r="C212" s="6">
        <f>+Risultati!C211</f>
        <v>0</v>
      </c>
      <c r="D212" s="26" t="str">
        <f>IF(YEAR(Risultati!D211)=1900,(MID(Risultati!$AP$1,29,4)),YEAR(Risultati!D211))</f>
        <v/>
      </c>
      <c r="E212" s="6">
        <f>+Risultati!E211</f>
        <v>0</v>
      </c>
      <c r="F212" s="8" t="e">
        <f>(LEFT(Risultati!AN211,2)&amp;"-")&amp;VLOOKUP((LEFT(Risultati!AN211,2)),ateco!$B$4:$C$93,2,FALSE)</f>
        <v>#N/A</v>
      </c>
      <c r="G212" s="8" t="str">
        <f>SUBSTITUTE((Risultati!AN211&amp;"-"&amp;Risultati!AO211),",",";")</f>
        <v>-</v>
      </c>
      <c r="I212" s="10">
        <f>+Risultati!G211</f>
        <v>0</v>
      </c>
      <c r="J212" s="11" t="str">
        <f t="shared" si="185"/>
        <v>0</v>
      </c>
      <c r="K212" s="12"/>
      <c r="L212" s="10">
        <f>+Risultati!G211+Risultati!H211</f>
        <v>0</v>
      </c>
      <c r="M212" s="11" t="str">
        <f t="shared" si="186"/>
        <v>0</v>
      </c>
      <c r="N212" s="12"/>
      <c r="O212" s="10">
        <f>+Risultati!I211+Risultati!J211</f>
        <v>0</v>
      </c>
      <c r="P212" s="11" t="str">
        <f t="shared" si="187"/>
        <v>0</v>
      </c>
      <c r="Q212" s="12"/>
      <c r="R212" s="13">
        <f t="shared" si="153"/>
        <v>0</v>
      </c>
      <c r="S212" s="11" t="str">
        <f t="shared" si="188"/>
        <v>0</v>
      </c>
      <c r="T212" s="12"/>
      <c r="U212" s="10">
        <f>+Risultati!F211-(Risultati!G211+Risultati!H211)</f>
        <v>0</v>
      </c>
      <c r="V212" s="12" t="str">
        <f t="shared" si="189"/>
        <v>0</v>
      </c>
      <c r="W212" s="12"/>
      <c r="X212" s="10">
        <f t="shared" si="154"/>
        <v>0</v>
      </c>
      <c r="Y212" s="12" t="str">
        <f t="shared" si="190"/>
        <v>0</v>
      </c>
      <c r="Z212" s="12"/>
      <c r="AA212" s="10">
        <f>+Risultati!K211</f>
        <v>0</v>
      </c>
      <c r="AB212" s="12" t="str">
        <f t="shared" si="191"/>
        <v>0</v>
      </c>
      <c r="AC212" s="12"/>
      <c r="AD212" s="10">
        <f>+Risultati!L211</f>
        <v>0</v>
      </c>
      <c r="AE212" s="12" t="str">
        <f t="shared" si="192"/>
        <v>0</v>
      </c>
      <c r="AF212" s="12"/>
      <c r="AG212" s="10">
        <f>+Risultati!M211+Risultati!P211+Risultati!Q211</f>
        <v>0</v>
      </c>
      <c r="AH212" s="12" t="str">
        <f t="shared" si="193"/>
        <v>0</v>
      </c>
      <c r="AI212" s="12"/>
      <c r="AJ212" s="13">
        <f t="shared" si="155"/>
        <v>0</v>
      </c>
      <c r="AK212" s="11" t="str">
        <f t="shared" si="194"/>
        <v>0</v>
      </c>
      <c r="AL212" s="12"/>
      <c r="AM212" s="10">
        <f>+Risultati!N211</f>
        <v>0</v>
      </c>
      <c r="AN212" s="12" t="str">
        <f t="shared" si="195"/>
        <v>0</v>
      </c>
      <c r="AO212" s="12"/>
      <c r="AP212" s="10">
        <f t="shared" si="156"/>
        <v>0</v>
      </c>
      <c r="AQ212" s="41" t="str">
        <f t="shared" si="196"/>
        <v>0</v>
      </c>
      <c r="AR212" s="12"/>
      <c r="AS212" s="10">
        <f>+Risultati!O211</f>
        <v>0</v>
      </c>
      <c r="AT212" s="12" t="str">
        <f t="shared" si="197"/>
        <v>0</v>
      </c>
      <c r="AU212" s="12"/>
      <c r="AV212" s="10">
        <f t="shared" si="157"/>
        <v>0</v>
      </c>
      <c r="AW212" s="12" t="str">
        <f t="shared" si="198"/>
        <v>0</v>
      </c>
      <c r="AX212" s="12"/>
      <c r="AY212" s="10">
        <f>+Risultati!R211+Risultati!S211</f>
        <v>0</v>
      </c>
      <c r="AZ212" s="12" t="str">
        <f t="shared" si="199"/>
        <v>0</v>
      </c>
      <c r="BA212" s="12"/>
      <c r="BB212" s="10">
        <f>+Risultati!T211</f>
        <v>0</v>
      </c>
      <c r="BC212" s="12" t="str">
        <f t="shared" si="200"/>
        <v>0</v>
      </c>
      <c r="BD212" s="12"/>
      <c r="BE212" s="10">
        <f>+Risultati!U211</f>
        <v>0</v>
      </c>
      <c r="BF212" s="12" t="str">
        <f t="shared" si="201"/>
        <v>0</v>
      </c>
      <c r="BG212" s="12"/>
      <c r="BH212" s="10">
        <f t="shared" si="158"/>
        <v>0</v>
      </c>
      <c r="BI212" s="12" t="str">
        <f t="shared" si="202"/>
        <v>0</v>
      </c>
      <c r="BK212" s="16">
        <f>IF(ISNUMBER(Risultati!X211/100),(Risultati!X211/100))</f>
        <v>0</v>
      </c>
      <c r="BL212" s="16">
        <f>IF(ISNUMBER(Risultati!Y211/100),(Risultati!Y211/100))</f>
        <v>0</v>
      </c>
      <c r="BM212" s="16">
        <f>IF(ISNUMBER(Risultati!Z211/100),(Risultati!Z211/100))</f>
        <v>0</v>
      </c>
      <c r="BN212" s="16">
        <f>IF(AND(Risultati!AY211&lt;0,calcoli!AP212&lt;0),-IF(ISNUMBER(Risultati!AA211/100),(Risultati!AA211/100)),IF(ISNUMBER(Risultati!AA211/100),(Risultati!AA211/100)))</f>
        <v>0</v>
      </c>
      <c r="BO212" s="16" t="str">
        <f t="shared" si="183"/>
        <v>0</v>
      </c>
      <c r="BP212" s="16" t="str">
        <f>IF(Risultati!AB211&gt;0,(AV212/Risultati!AB211),"0")</f>
        <v>0</v>
      </c>
      <c r="BQ212" s="16" t="str">
        <f>IF(Risultati!AG211&lt;&gt;0,(BH212/Risultati!AG211),"0")</f>
        <v>0</v>
      </c>
      <c r="BR212" s="16" t="str">
        <f t="shared" si="184"/>
        <v>0</v>
      </c>
      <c r="BS212" s="14" t="str">
        <f>IF(Risultati!AB211&gt;0,(Risultati!G211/Risultati!AB211),"0")</f>
        <v>0</v>
      </c>
      <c r="BT212" s="15" t="str">
        <f>IF(Risultati!AG211&lt;&gt;0,(Risultati!AB211/Risultati!AG211),"0")</f>
        <v>0</v>
      </c>
      <c r="BU212" s="23" t="str">
        <f>IF(AND(Risultati!G211&gt;0,(Risultati!AE211-Risultati!AF211)&gt;=0),((Risultati!AE211-Risultati!AF211)/Risultati!G211*360),"0")</f>
        <v>0</v>
      </c>
      <c r="BV212" s="21" t="str">
        <f>IF(OR(E212="abbreviato",Risultati!G211=0),"0",((Risultati!AC211+Risultati!AD211)/Risultati!G211*360))</f>
        <v>0</v>
      </c>
      <c r="BW212" s="21" t="str">
        <f>IF(OR(E212="abbreviato",Risultati!G211=0,SUM(Risultati!I211+Risultati!K211+Risultati!M211)=0),"0",(((Risultati!AH211+Risultati!AI211)/(Risultati!I211+Risultati!K211+Risultati!N211)*360)))</f>
        <v>0</v>
      </c>
      <c r="BX212" s="16" t="str">
        <f>IF(Risultati!AB211&gt;0,(+Risultati!AG211/Risultati!AB211),"0")</f>
        <v>0</v>
      </c>
      <c r="BY212" s="22" t="str">
        <f>IF(OR(E212="abbreviato",Risultati!G211=0),"0",(((Risultati!AK211-(Risultati!AL211+Risultati!AM211))/Risultati!G211)))</f>
        <v>0</v>
      </c>
      <c r="BZ212" s="16" t="str">
        <f>IF(Risultati!G211&gt;0,(Risultati!AJ211/Risultati!G211),"0")</f>
        <v>0</v>
      </c>
      <c r="CA212" s="8"/>
      <c r="CB212" s="10">
        <f>+Risultati!AP211</f>
        <v>0</v>
      </c>
      <c r="CC212" s="31" t="str">
        <f t="shared" si="159"/>
        <v>0</v>
      </c>
      <c r="CD212" s="10">
        <f>+Risultati!AQ211</f>
        <v>0</v>
      </c>
      <c r="CE212" s="31" t="str">
        <f t="shared" si="160"/>
        <v>0</v>
      </c>
      <c r="CF212" s="10">
        <f>+Risultati!AR211</f>
        <v>0</v>
      </c>
      <c r="CG212" s="31" t="str">
        <f t="shared" si="161"/>
        <v>0</v>
      </c>
      <c r="CH212" s="10">
        <f>+Risultati!AS211</f>
        <v>0</v>
      </c>
      <c r="CI212" s="31" t="str">
        <f t="shared" si="162"/>
        <v>0</v>
      </c>
      <c r="CJ212" s="10">
        <f t="shared" si="163"/>
        <v>0</v>
      </c>
      <c r="CK212" s="31" t="str">
        <f t="shared" si="164"/>
        <v>0</v>
      </c>
      <c r="CL212" s="10">
        <f>+Risultati!AE211+Risultati!AF211</f>
        <v>0</v>
      </c>
      <c r="CM212" s="31" t="str">
        <f t="shared" si="165"/>
        <v>0</v>
      </c>
      <c r="CN212" s="10">
        <f>+Risultati!AT211</f>
        <v>0</v>
      </c>
      <c r="CO212" s="31" t="str">
        <f t="shared" si="166"/>
        <v>0</v>
      </c>
      <c r="CP212" s="10">
        <f>+Risultati!AU211</f>
        <v>0</v>
      </c>
      <c r="CQ212" s="31" t="str">
        <f t="shared" si="167"/>
        <v>0</v>
      </c>
      <c r="CR212" s="10">
        <f>+Risultati!AL211</f>
        <v>0</v>
      </c>
      <c r="CS212" s="31" t="str">
        <f t="shared" si="168"/>
        <v>0</v>
      </c>
      <c r="CT212" s="10">
        <f t="shared" si="169"/>
        <v>0</v>
      </c>
      <c r="CU212" s="31" t="str">
        <f t="shared" si="170"/>
        <v>0</v>
      </c>
      <c r="CV212" s="10">
        <f>+Risultati!AX211</f>
        <v>0</v>
      </c>
      <c r="CW212" s="31" t="str">
        <f t="shared" si="171"/>
        <v>0</v>
      </c>
      <c r="CX212" s="10">
        <f t="shared" si="172"/>
        <v>0</v>
      </c>
      <c r="CY212" s="31" t="str">
        <f t="shared" si="173"/>
        <v>0</v>
      </c>
      <c r="CZ212" s="10">
        <f>+Risultati!AG211</f>
        <v>0</v>
      </c>
      <c r="DA212" s="31" t="str">
        <f t="shared" si="174"/>
        <v>0</v>
      </c>
      <c r="DB212" s="10">
        <f t="shared" si="175"/>
        <v>0</v>
      </c>
      <c r="DC212" s="31" t="str">
        <f t="shared" si="176"/>
        <v>0</v>
      </c>
      <c r="DD212" s="10">
        <f>+Risultati!AV211</f>
        <v>0</v>
      </c>
      <c r="DE212" s="31" t="str">
        <f t="shared" si="177"/>
        <v>0</v>
      </c>
      <c r="DF212" s="10">
        <f>+Risultati!AJ211</f>
        <v>0</v>
      </c>
      <c r="DG212" s="31" t="str">
        <f t="shared" si="178"/>
        <v>0</v>
      </c>
      <c r="DH212" s="10">
        <f t="shared" si="179"/>
        <v>0</v>
      </c>
      <c r="DI212" s="31" t="str">
        <f t="shared" si="180"/>
        <v>0</v>
      </c>
      <c r="DJ212" s="10">
        <f>+Risultati!AW211</f>
        <v>0</v>
      </c>
      <c r="DK212" s="31" t="str">
        <f t="shared" si="181"/>
        <v>0</v>
      </c>
      <c r="DL212" s="10">
        <f t="shared" si="203"/>
        <v>0</v>
      </c>
      <c r="DM212" s="31" t="str">
        <f t="shared" si="182"/>
        <v>0</v>
      </c>
      <c r="DO212" s="30"/>
      <c r="DP212" s="30"/>
    </row>
    <row r="213" spans="1:120" x14ac:dyDescent="0.2">
      <c r="A213" s="5"/>
      <c r="B213" s="6">
        <f>+Risultati!B212</f>
        <v>0</v>
      </c>
      <c r="C213" s="6">
        <f>+Risultati!C212</f>
        <v>0</v>
      </c>
      <c r="D213" s="26" t="str">
        <f>IF(YEAR(Risultati!D212)=1900,(MID(Risultati!$AP$1,29,4)),YEAR(Risultati!D212))</f>
        <v/>
      </c>
      <c r="E213" s="6">
        <f>+Risultati!E212</f>
        <v>0</v>
      </c>
      <c r="F213" s="8" t="e">
        <f>(LEFT(Risultati!AN212,2)&amp;"-")&amp;VLOOKUP((LEFT(Risultati!AN212,2)),ateco!$B$4:$C$93,2,FALSE)</f>
        <v>#N/A</v>
      </c>
      <c r="G213" s="8" t="str">
        <f>SUBSTITUTE((Risultati!AN212&amp;"-"&amp;Risultati!AO212),",",";")</f>
        <v>-</v>
      </c>
      <c r="I213" s="10">
        <f>+Risultati!G212</f>
        <v>0</v>
      </c>
      <c r="J213" s="11" t="str">
        <f t="shared" si="185"/>
        <v>0</v>
      </c>
      <c r="K213" s="12"/>
      <c r="L213" s="10">
        <f>+Risultati!G212+Risultati!H212</f>
        <v>0</v>
      </c>
      <c r="M213" s="11" t="str">
        <f t="shared" si="186"/>
        <v>0</v>
      </c>
      <c r="N213" s="12"/>
      <c r="O213" s="10">
        <f>+Risultati!I212+Risultati!J212</f>
        <v>0</v>
      </c>
      <c r="P213" s="11" t="str">
        <f t="shared" si="187"/>
        <v>0</v>
      </c>
      <c r="Q213" s="12"/>
      <c r="R213" s="13">
        <f t="shared" si="153"/>
        <v>0</v>
      </c>
      <c r="S213" s="11" t="str">
        <f t="shared" si="188"/>
        <v>0</v>
      </c>
      <c r="T213" s="12"/>
      <c r="U213" s="10">
        <f>+Risultati!F212-(Risultati!G212+Risultati!H212)</f>
        <v>0</v>
      </c>
      <c r="V213" s="12" t="str">
        <f t="shared" si="189"/>
        <v>0</v>
      </c>
      <c r="W213" s="12"/>
      <c r="X213" s="10">
        <f t="shared" si="154"/>
        <v>0</v>
      </c>
      <c r="Y213" s="12" t="str">
        <f t="shared" si="190"/>
        <v>0</v>
      </c>
      <c r="Z213" s="12"/>
      <c r="AA213" s="10">
        <f>+Risultati!K212</f>
        <v>0</v>
      </c>
      <c r="AB213" s="12" t="str">
        <f t="shared" si="191"/>
        <v>0</v>
      </c>
      <c r="AC213" s="12"/>
      <c r="AD213" s="10">
        <f>+Risultati!L212</f>
        <v>0</v>
      </c>
      <c r="AE213" s="12" t="str">
        <f t="shared" si="192"/>
        <v>0</v>
      </c>
      <c r="AF213" s="12"/>
      <c r="AG213" s="10">
        <f>+Risultati!M212+Risultati!P212+Risultati!Q212</f>
        <v>0</v>
      </c>
      <c r="AH213" s="12" t="str">
        <f t="shared" si="193"/>
        <v>0</v>
      </c>
      <c r="AI213" s="12"/>
      <c r="AJ213" s="13">
        <f t="shared" si="155"/>
        <v>0</v>
      </c>
      <c r="AK213" s="11" t="str">
        <f t="shared" si="194"/>
        <v>0</v>
      </c>
      <c r="AL213" s="12"/>
      <c r="AM213" s="10">
        <f>+Risultati!N212</f>
        <v>0</v>
      </c>
      <c r="AN213" s="12" t="str">
        <f t="shared" si="195"/>
        <v>0</v>
      </c>
      <c r="AO213" s="12"/>
      <c r="AP213" s="10">
        <f t="shared" si="156"/>
        <v>0</v>
      </c>
      <c r="AQ213" s="41" t="str">
        <f t="shared" si="196"/>
        <v>0</v>
      </c>
      <c r="AR213" s="12"/>
      <c r="AS213" s="10">
        <f>+Risultati!O212</f>
        <v>0</v>
      </c>
      <c r="AT213" s="12" t="str">
        <f t="shared" si="197"/>
        <v>0</v>
      </c>
      <c r="AU213" s="12"/>
      <c r="AV213" s="10">
        <f t="shared" si="157"/>
        <v>0</v>
      </c>
      <c r="AW213" s="12" t="str">
        <f t="shared" si="198"/>
        <v>0</v>
      </c>
      <c r="AX213" s="12"/>
      <c r="AY213" s="10">
        <f>+Risultati!R212+Risultati!S212</f>
        <v>0</v>
      </c>
      <c r="AZ213" s="12" t="str">
        <f t="shared" si="199"/>
        <v>0</v>
      </c>
      <c r="BA213" s="12"/>
      <c r="BB213" s="10">
        <f>+Risultati!T212</f>
        <v>0</v>
      </c>
      <c r="BC213" s="12" t="str">
        <f t="shared" si="200"/>
        <v>0</v>
      </c>
      <c r="BD213" s="12"/>
      <c r="BE213" s="10">
        <f>+Risultati!U212</f>
        <v>0</v>
      </c>
      <c r="BF213" s="12" t="str">
        <f t="shared" si="201"/>
        <v>0</v>
      </c>
      <c r="BG213" s="12"/>
      <c r="BH213" s="10">
        <f t="shared" si="158"/>
        <v>0</v>
      </c>
      <c r="BI213" s="12" t="str">
        <f t="shared" si="202"/>
        <v>0</v>
      </c>
      <c r="BK213" s="16">
        <f>IF(ISNUMBER(Risultati!X212/100),(Risultati!X212/100))</f>
        <v>0</v>
      </c>
      <c r="BL213" s="16">
        <f>IF(ISNUMBER(Risultati!Y212/100),(Risultati!Y212/100))</f>
        <v>0</v>
      </c>
      <c r="BM213" s="16">
        <f>IF(ISNUMBER(Risultati!Z212/100),(Risultati!Z212/100))</f>
        <v>0</v>
      </c>
      <c r="BN213" s="16">
        <f>IF(AND(Risultati!AY212&lt;0,calcoli!AP213&lt;0),-IF(ISNUMBER(Risultati!AA212/100),(Risultati!AA212/100)),IF(ISNUMBER(Risultati!AA212/100),(Risultati!AA212/100)))</f>
        <v>0</v>
      </c>
      <c r="BO213" s="16" t="str">
        <f t="shared" si="183"/>
        <v>0</v>
      </c>
      <c r="BP213" s="16" t="str">
        <f>IF(Risultati!AB212&gt;0,(AV213/Risultati!AB212),"0")</f>
        <v>0</v>
      </c>
      <c r="BQ213" s="16" t="str">
        <f>IF(Risultati!AG212&lt;&gt;0,(BH213/Risultati!AG212),"0")</f>
        <v>0</v>
      </c>
      <c r="BR213" s="16" t="str">
        <f t="shared" si="184"/>
        <v>0</v>
      </c>
      <c r="BS213" s="14" t="str">
        <f>IF(Risultati!AB212&gt;0,(Risultati!G212/Risultati!AB212),"0")</f>
        <v>0</v>
      </c>
      <c r="BT213" s="15" t="str">
        <f>IF(Risultati!AG212&lt;&gt;0,(Risultati!AB212/Risultati!AG212),"0")</f>
        <v>0</v>
      </c>
      <c r="BU213" s="23" t="str">
        <f>IF(AND(Risultati!G212&gt;0,(Risultati!AE212-Risultati!AF212)&gt;=0),((Risultati!AE212-Risultati!AF212)/Risultati!G212*360),"0")</f>
        <v>0</v>
      </c>
      <c r="BV213" s="21" t="str">
        <f>IF(OR(E213="abbreviato",Risultati!G212=0),"0",((Risultati!AC212+Risultati!AD212)/Risultati!G212*360))</f>
        <v>0</v>
      </c>
      <c r="BW213" s="21" t="str">
        <f>IF(OR(E213="abbreviato",Risultati!G212=0,SUM(Risultati!I212+Risultati!K212+Risultati!M212)=0),"0",(((Risultati!AH212+Risultati!AI212)/(Risultati!I212+Risultati!K212+Risultati!N212)*360)))</f>
        <v>0</v>
      </c>
      <c r="BX213" s="16" t="str">
        <f>IF(Risultati!AB212&gt;0,(+Risultati!AG212/Risultati!AB212),"0")</f>
        <v>0</v>
      </c>
      <c r="BY213" s="22" t="str">
        <f>IF(OR(E213="abbreviato",Risultati!G212=0),"0",(((Risultati!AK212-(Risultati!AL212+Risultati!AM212))/Risultati!G212)))</f>
        <v>0</v>
      </c>
      <c r="BZ213" s="16" t="str">
        <f>IF(Risultati!G212&gt;0,(Risultati!AJ212/Risultati!G212),"0")</f>
        <v>0</v>
      </c>
      <c r="CA213" s="8"/>
      <c r="CB213" s="10">
        <f>+Risultati!AP212</f>
        <v>0</v>
      </c>
      <c r="CC213" s="31" t="str">
        <f t="shared" si="159"/>
        <v>0</v>
      </c>
      <c r="CD213" s="10">
        <f>+Risultati!AQ212</f>
        <v>0</v>
      </c>
      <c r="CE213" s="31" t="str">
        <f t="shared" si="160"/>
        <v>0</v>
      </c>
      <c r="CF213" s="10">
        <f>+Risultati!AR212</f>
        <v>0</v>
      </c>
      <c r="CG213" s="31" t="str">
        <f t="shared" si="161"/>
        <v>0</v>
      </c>
      <c r="CH213" s="10">
        <f>+Risultati!AS212</f>
        <v>0</v>
      </c>
      <c r="CI213" s="31" t="str">
        <f t="shared" si="162"/>
        <v>0</v>
      </c>
      <c r="CJ213" s="10">
        <f t="shared" si="163"/>
        <v>0</v>
      </c>
      <c r="CK213" s="31" t="str">
        <f t="shared" si="164"/>
        <v>0</v>
      </c>
      <c r="CL213" s="10">
        <f>+Risultati!AE212+Risultati!AF212</f>
        <v>0</v>
      </c>
      <c r="CM213" s="31" t="str">
        <f t="shared" si="165"/>
        <v>0</v>
      </c>
      <c r="CN213" s="10">
        <f>+Risultati!AT212</f>
        <v>0</v>
      </c>
      <c r="CO213" s="31" t="str">
        <f t="shared" si="166"/>
        <v>0</v>
      </c>
      <c r="CP213" s="10">
        <f>+Risultati!AU212</f>
        <v>0</v>
      </c>
      <c r="CQ213" s="31" t="str">
        <f t="shared" si="167"/>
        <v>0</v>
      </c>
      <c r="CR213" s="10">
        <f>+Risultati!AL212</f>
        <v>0</v>
      </c>
      <c r="CS213" s="31" t="str">
        <f t="shared" si="168"/>
        <v>0</v>
      </c>
      <c r="CT213" s="10">
        <f t="shared" si="169"/>
        <v>0</v>
      </c>
      <c r="CU213" s="31" t="str">
        <f t="shared" si="170"/>
        <v>0</v>
      </c>
      <c r="CV213" s="10">
        <f>+Risultati!AX212</f>
        <v>0</v>
      </c>
      <c r="CW213" s="31" t="str">
        <f t="shared" si="171"/>
        <v>0</v>
      </c>
      <c r="CX213" s="10">
        <f t="shared" si="172"/>
        <v>0</v>
      </c>
      <c r="CY213" s="31" t="str">
        <f t="shared" si="173"/>
        <v>0</v>
      </c>
      <c r="CZ213" s="10">
        <f>+Risultati!AG212</f>
        <v>0</v>
      </c>
      <c r="DA213" s="31" t="str">
        <f t="shared" si="174"/>
        <v>0</v>
      </c>
      <c r="DB213" s="10">
        <f t="shared" si="175"/>
        <v>0</v>
      </c>
      <c r="DC213" s="31" t="str">
        <f t="shared" si="176"/>
        <v>0</v>
      </c>
      <c r="DD213" s="10">
        <f>+Risultati!AV212</f>
        <v>0</v>
      </c>
      <c r="DE213" s="31" t="str">
        <f t="shared" si="177"/>
        <v>0</v>
      </c>
      <c r="DF213" s="10">
        <f>+Risultati!AJ212</f>
        <v>0</v>
      </c>
      <c r="DG213" s="31" t="str">
        <f t="shared" si="178"/>
        <v>0</v>
      </c>
      <c r="DH213" s="10">
        <f t="shared" si="179"/>
        <v>0</v>
      </c>
      <c r="DI213" s="31" t="str">
        <f t="shared" si="180"/>
        <v>0</v>
      </c>
      <c r="DJ213" s="10">
        <f>+Risultati!AW212</f>
        <v>0</v>
      </c>
      <c r="DK213" s="31" t="str">
        <f t="shared" si="181"/>
        <v>0</v>
      </c>
      <c r="DL213" s="10">
        <f t="shared" si="203"/>
        <v>0</v>
      </c>
      <c r="DM213" s="31" t="str">
        <f t="shared" si="182"/>
        <v>0</v>
      </c>
      <c r="DO213" s="30"/>
      <c r="DP213" s="30"/>
    </row>
    <row r="214" spans="1:120" x14ac:dyDescent="0.2">
      <c r="A214" s="5"/>
      <c r="B214" s="6">
        <f>+Risultati!B213</f>
        <v>0</v>
      </c>
      <c r="C214" s="6">
        <f>+Risultati!C213</f>
        <v>0</v>
      </c>
      <c r="D214" s="26" t="str">
        <f>IF(YEAR(Risultati!D213)=1900,(MID(Risultati!$AP$1,29,4)),YEAR(Risultati!D213))</f>
        <v/>
      </c>
      <c r="E214" s="6">
        <f>+Risultati!E213</f>
        <v>0</v>
      </c>
      <c r="F214" s="8" t="e">
        <f>(LEFT(Risultati!AN213,2)&amp;"-")&amp;VLOOKUP((LEFT(Risultati!AN213,2)),ateco!$B$4:$C$93,2,FALSE)</f>
        <v>#N/A</v>
      </c>
      <c r="G214" s="8" t="str">
        <f>SUBSTITUTE((Risultati!AN213&amp;"-"&amp;Risultati!AO213),",",";")</f>
        <v>-</v>
      </c>
      <c r="I214" s="10">
        <f>+Risultati!G213</f>
        <v>0</v>
      </c>
      <c r="J214" s="11" t="str">
        <f t="shared" si="185"/>
        <v>0</v>
      </c>
      <c r="K214" s="12"/>
      <c r="L214" s="10">
        <f>+Risultati!G213+Risultati!H213</f>
        <v>0</v>
      </c>
      <c r="M214" s="11" t="str">
        <f t="shared" si="186"/>
        <v>0</v>
      </c>
      <c r="N214" s="12"/>
      <c r="O214" s="10">
        <f>+Risultati!I213+Risultati!J213</f>
        <v>0</v>
      </c>
      <c r="P214" s="11" t="str">
        <f t="shared" si="187"/>
        <v>0</v>
      </c>
      <c r="Q214" s="12"/>
      <c r="R214" s="13">
        <f t="shared" si="153"/>
        <v>0</v>
      </c>
      <c r="S214" s="11" t="str">
        <f t="shared" si="188"/>
        <v>0</v>
      </c>
      <c r="T214" s="12"/>
      <c r="U214" s="10">
        <f>+Risultati!F213-(Risultati!G213+Risultati!H213)</f>
        <v>0</v>
      </c>
      <c r="V214" s="12" t="str">
        <f t="shared" si="189"/>
        <v>0</v>
      </c>
      <c r="W214" s="12"/>
      <c r="X214" s="10">
        <f t="shared" si="154"/>
        <v>0</v>
      </c>
      <c r="Y214" s="12" t="str">
        <f t="shared" si="190"/>
        <v>0</v>
      </c>
      <c r="Z214" s="12"/>
      <c r="AA214" s="10">
        <f>+Risultati!K213</f>
        <v>0</v>
      </c>
      <c r="AB214" s="12" t="str">
        <f t="shared" si="191"/>
        <v>0</v>
      </c>
      <c r="AC214" s="12"/>
      <c r="AD214" s="10">
        <f>+Risultati!L213</f>
        <v>0</v>
      </c>
      <c r="AE214" s="12" t="str">
        <f t="shared" si="192"/>
        <v>0</v>
      </c>
      <c r="AF214" s="12"/>
      <c r="AG214" s="10">
        <f>+Risultati!M213+Risultati!P213+Risultati!Q213</f>
        <v>0</v>
      </c>
      <c r="AH214" s="12" t="str">
        <f t="shared" si="193"/>
        <v>0</v>
      </c>
      <c r="AI214" s="12"/>
      <c r="AJ214" s="13">
        <f t="shared" si="155"/>
        <v>0</v>
      </c>
      <c r="AK214" s="11" t="str">
        <f t="shared" si="194"/>
        <v>0</v>
      </c>
      <c r="AL214" s="12"/>
      <c r="AM214" s="10">
        <f>+Risultati!N213</f>
        <v>0</v>
      </c>
      <c r="AN214" s="12" t="str">
        <f t="shared" si="195"/>
        <v>0</v>
      </c>
      <c r="AO214" s="12"/>
      <c r="AP214" s="10">
        <f t="shared" si="156"/>
        <v>0</v>
      </c>
      <c r="AQ214" s="41" t="str">
        <f t="shared" si="196"/>
        <v>0</v>
      </c>
      <c r="AR214" s="12"/>
      <c r="AS214" s="10">
        <f>+Risultati!O213</f>
        <v>0</v>
      </c>
      <c r="AT214" s="12" t="str">
        <f t="shared" si="197"/>
        <v>0</v>
      </c>
      <c r="AU214" s="12"/>
      <c r="AV214" s="10">
        <f t="shared" si="157"/>
        <v>0</v>
      </c>
      <c r="AW214" s="12" t="str">
        <f t="shared" si="198"/>
        <v>0</v>
      </c>
      <c r="AX214" s="12"/>
      <c r="AY214" s="10">
        <f>+Risultati!R213+Risultati!S213</f>
        <v>0</v>
      </c>
      <c r="AZ214" s="12" t="str">
        <f t="shared" si="199"/>
        <v>0</v>
      </c>
      <c r="BA214" s="12"/>
      <c r="BB214" s="10">
        <f>+Risultati!T213</f>
        <v>0</v>
      </c>
      <c r="BC214" s="12" t="str">
        <f t="shared" si="200"/>
        <v>0</v>
      </c>
      <c r="BD214" s="12"/>
      <c r="BE214" s="10">
        <f>+Risultati!U213</f>
        <v>0</v>
      </c>
      <c r="BF214" s="12" t="str">
        <f t="shared" si="201"/>
        <v>0</v>
      </c>
      <c r="BG214" s="12"/>
      <c r="BH214" s="10">
        <f t="shared" si="158"/>
        <v>0</v>
      </c>
      <c r="BI214" s="12" t="str">
        <f t="shared" si="202"/>
        <v>0</v>
      </c>
      <c r="BK214" s="16">
        <f>IF(ISNUMBER(Risultati!X213/100),(Risultati!X213/100))</f>
        <v>0</v>
      </c>
      <c r="BL214" s="16">
        <f>IF(ISNUMBER(Risultati!Y213/100),(Risultati!Y213/100))</f>
        <v>0</v>
      </c>
      <c r="BM214" s="16">
        <f>IF(ISNUMBER(Risultati!Z213/100),(Risultati!Z213/100))</f>
        <v>0</v>
      </c>
      <c r="BN214" s="16">
        <f>IF(AND(Risultati!AY213&lt;0,calcoli!AP214&lt;0),-IF(ISNUMBER(Risultati!AA213/100),(Risultati!AA213/100)),IF(ISNUMBER(Risultati!AA213/100),(Risultati!AA213/100)))</f>
        <v>0</v>
      </c>
      <c r="BO214" s="16" t="str">
        <f t="shared" si="183"/>
        <v>0</v>
      </c>
      <c r="BP214" s="16" t="str">
        <f>IF(Risultati!AB213&gt;0,(AV214/Risultati!AB213),"0")</f>
        <v>0</v>
      </c>
      <c r="BQ214" s="16" t="str">
        <f>IF(Risultati!AG213&lt;&gt;0,(BH214/Risultati!AG213),"0")</f>
        <v>0</v>
      </c>
      <c r="BR214" s="16" t="str">
        <f t="shared" si="184"/>
        <v>0</v>
      </c>
      <c r="BS214" s="14" t="str">
        <f>IF(Risultati!AB213&gt;0,(Risultati!G213/Risultati!AB213),"0")</f>
        <v>0</v>
      </c>
      <c r="BT214" s="15" t="str">
        <f>IF(Risultati!AG213&lt;&gt;0,(Risultati!AB213/Risultati!AG213),"0")</f>
        <v>0</v>
      </c>
      <c r="BU214" s="23" t="str">
        <f>IF(AND(Risultati!G213&gt;0,(Risultati!AE213-Risultati!AF213)&gt;=0),((Risultati!AE213-Risultati!AF213)/Risultati!G213*360),"0")</f>
        <v>0</v>
      </c>
      <c r="BV214" s="21" t="str">
        <f>IF(OR(E214="abbreviato",Risultati!G213=0),"0",((Risultati!AC213+Risultati!AD213)/Risultati!G213*360))</f>
        <v>0</v>
      </c>
      <c r="BW214" s="21" t="str">
        <f>IF(OR(E214="abbreviato",Risultati!G213=0,SUM(Risultati!I213+Risultati!K213+Risultati!M213)=0),"0",(((Risultati!AH213+Risultati!AI213)/(Risultati!I213+Risultati!K213+Risultati!N213)*360)))</f>
        <v>0</v>
      </c>
      <c r="BX214" s="16" t="str">
        <f>IF(Risultati!AB213&gt;0,(+Risultati!AG213/Risultati!AB213),"0")</f>
        <v>0</v>
      </c>
      <c r="BY214" s="22" t="str">
        <f>IF(OR(E214="abbreviato",Risultati!G213=0),"0",(((Risultati!AK213-(Risultati!AL213+Risultati!AM213))/Risultati!G213)))</f>
        <v>0</v>
      </c>
      <c r="BZ214" s="16" t="str">
        <f>IF(Risultati!G213&gt;0,(Risultati!AJ213/Risultati!G213),"0")</f>
        <v>0</v>
      </c>
      <c r="CA214" s="8"/>
      <c r="CB214" s="10">
        <f>+Risultati!AP213</f>
        <v>0</v>
      </c>
      <c r="CC214" s="31" t="str">
        <f t="shared" si="159"/>
        <v>0</v>
      </c>
      <c r="CD214" s="10">
        <f>+Risultati!AQ213</f>
        <v>0</v>
      </c>
      <c r="CE214" s="31" t="str">
        <f t="shared" si="160"/>
        <v>0</v>
      </c>
      <c r="CF214" s="10">
        <f>+Risultati!AR213</f>
        <v>0</v>
      </c>
      <c r="CG214" s="31" t="str">
        <f t="shared" si="161"/>
        <v>0</v>
      </c>
      <c r="CH214" s="10">
        <f>+Risultati!AS213</f>
        <v>0</v>
      </c>
      <c r="CI214" s="31" t="str">
        <f t="shared" si="162"/>
        <v>0</v>
      </c>
      <c r="CJ214" s="10">
        <f t="shared" si="163"/>
        <v>0</v>
      </c>
      <c r="CK214" s="31" t="str">
        <f t="shared" si="164"/>
        <v>0</v>
      </c>
      <c r="CL214" s="10">
        <f>+Risultati!AE213+Risultati!AF213</f>
        <v>0</v>
      </c>
      <c r="CM214" s="31" t="str">
        <f t="shared" si="165"/>
        <v>0</v>
      </c>
      <c r="CN214" s="10">
        <f>+Risultati!AT213</f>
        <v>0</v>
      </c>
      <c r="CO214" s="31" t="str">
        <f t="shared" si="166"/>
        <v>0</v>
      </c>
      <c r="CP214" s="10">
        <f>+Risultati!AU213</f>
        <v>0</v>
      </c>
      <c r="CQ214" s="31" t="str">
        <f t="shared" si="167"/>
        <v>0</v>
      </c>
      <c r="CR214" s="10">
        <f>+Risultati!AL213</f>
        <v>0</v>
      </c>
      <c r="CS214" s="31" t="str">
        <f t="shared" si="168"/>
        <v>0</v>
      </c>
      <c r="CT214" s="10">
        <f t="shared" si="169"/>
        <v>0</v>
      </c>
      <c r="CU214" s="31" t="str">
        <f t="shared" si="170"/>
        <v>0</v>
      </c>
      <c r="CV214" s="10">
        <f>+Risultati!AX213</f>
        <v>0</v>
      </c>
      <c r="CW214" s="31" t="str">
        <f t="shared" si="171"/>
        <v>0</v>
      </c>
      <c r="CX214" s="10">
        <f t="shared" si="172"/>
        <v>0</v>
      </c>
      <c r="CY214" s="31" t="str">
        <f t="shared" si="173"/>
        <v>0</v>
      </c>
      <c r="CZ214" s="10">
        <f>+Risultati!AG213</f>
        <v>0</v>
      </c>
      <c r="DA214" s="31" t="str">
        <f t="shared" si="174"/>
        <v>0</v>
      </c>
      <c r="DB214" s="10">
        <f t="shared" si="175"/>
        <v>0</v>
      </c>
      <c r="DC214" s="31" t="str">
        <f t="shared" si="176"/>
        <v>0</v>
      </c>
      <c r="DD214" s="10">
        <f>+Risultati!AV213</f>
        <v>0</v>
      </c>
      <c r="DE214" s="31" t="str">
        <f t="shared" si="177"/>
        <v>0</v>
      </c>
      <c r="DF214" s="10">
        <f>+Risultati!AJ213</f>
        <v>0</v>
      </c>
      <c r="DG214" s="31" t="str">
        <f t="shared" si="178"/>
        <v>0</v>
      </c>
      <c r="DH214" s="10">
        <f t="shared" si="179"/>
        <v>0</v>
      </c>
      <c r="DI214" s="31" t="str">
        <f t="shared" si="180"/>
        <v>0</v>
      </c>
      <c r="DJ214" s="10">
        <f>+Risultati!AW213</f>
        <v>0</v>
      </c>
      <c r="DK214" s="31" t="str">
        <f t="shared" si="181"/>
        <v>0</v>
      </c>
      <c r="DL214" s="10">
        <f t="shared" si="203"/>
        <v>0</v>
      </c>
      <c r="DM214" s="31" t="str">
        <f t="shared" si="182"/>
        <v>0</v>
      </c>
      <c r="DO214" s="30"/>
      <c r="DP214" s="30"/>
    </row>
    <row r="215" spans="1:120" x14ac:dyDescent="0.2">
      <c r="A215" s="5"/>
      <c r="B215" s="6">
        <f>+Risultati!B214</f>
        <v>0</v>
      </c>
      <c r="C215" s="6">
        <f>+Risultati!C214</f>
        <v>0</v>
      </c>
      <c r="D215" s="26" t="str">
        <f>IF(YEAR(Risultati!D214)=1900,(MID(Risultati!$AP$1,29,4)),YEAR(Risultati!D214))</f>
        <v/>
      </c>
      <c r="E215" s="6">
        <f>+Risultati!E214</f>
        <v>0</v>
      </c>
      <c r="F215" s="8" t="e">
        <f>(LEFT(Risultati!AN214,2)&amp;"-")&amp;VLOOKUP((LEFT(Risultati!AN214,2)),ateco!$B$4:$C$93,2,FALSE)</f>
        <v>#N/A</v>
      </c>
      <c r="G215" s="8" t="str">
        <f>SUBSTITUTE((Risultati!AN214&amp;"-"&amp;Risultati!AO214),",",";")</f>
        <v>-</v>
      </c>
      <c r="I215" s="10">
        <f>+Risultati!G214</f>
        <v>0</v>
      </c>
      <c r="J215" s="11" t="str">
        <f t="shared" si="185"/>
        <v>0</v>
      </c>
      <c r="K215" s="12"/>
      <c r="L215" s="10">
        <f>+Risultati!G214+Risultati!H214</f>
        <v>0</v>
      </c>
      <c r="M215" s="11" t="str">
        <f t="shared" si="186"/>
        <v>0</v>
      </c>
      <c r="N215" s="12"/>
      <c r="O215" s="10">
        <f>+Risultati!I214+Risultati!J214</f>
        <v>0</v>
      </c>
      <c r="P215" s="11" t="str">
        <f t="shared" si="187"/>
        <v>0</v>
      </c>
      <c r="Q215" s="12"/>
      <c r="R215" s="13">
        <f t="shared" si="153"/>
        <v>0</v>
      </c>
      <c r="S215" s="11" t="str">
        <f t="shared" si="188"/>
        <v>0</v>
      </c>
      <c r="T215" s="12"/>
      <c r="U215" s="10">
        <f>+Risultati!F214-(Risultati!G214+Risultati!H214)</f>
        <v>0</v>
      </c>
      <c r="V215" s="12" t="str">
        <f t="shared" si="189"/>
        <v>0</v>
      </c>
      <c r="W215" s="12"/>
      <c r="X215" s="10">
        <f t="shared" si="154"/>
        <v>0</v>
      </c>
      <c r="Y215" s="12" t="str">
        <f t="shared" si="190"/>
        <v>0</v>
      </c>
      <c r="Z215" s="12"/>
      <c r="AA215" s="10">
        <f>+Risultati!K214</f>
        <v>0</v>
      </c>
      <c r="AB215" s="12" t="str">
        <f t="shared" si="191"/>
        <v>0</v>
      </c>
      <c r="AC215" s="12"/>
      <c r="AD215" s="10">
        <f>+Risultati!L214</f>
        <v>0</v>
      </c>
      <c r="AE215" s="12" t="str">
        <f t="shared" si="192"/>
        <v>0</v>
      </c>
      <c r="AF215" s="12"/>
      <c r="AG215" s="10">
        <f>+Risultati!M214+Risultati!P214+Risultati!Q214</f>
        <v>0</v>
      </c>
      <c r="AH215" s="12" t="str">
        <f t="shared" si="193"/>
        <v>0</v>
      </c>
      <c r="AI215" s="12"/>
      <c r="AJ215" s="13">
        <f t="shared" si="155"/>
        <v>0</v>
      </c>
      <c r="AK215" s="11" t="str">
        <f t="shared" si="194"/>
        <v>0</v>
      </c>
      <c r="AL215" s="12"/>
      <c r="AM215" s="10">
        <f>+Risultati!N214</f>
        <v>0</v>
      </c>
      <c r="AN215" s="12" t="str">
        <f t="shared" si="195"/>
        <v>0</v>
      </c>
      <c r="AO215" s="12"/>
      <c r="AP215" s="10">
        <f t="shared" si="156"/>
        <v>0</v>
      </c>
      <c r="AQ215" s="41" t="str">
        <f t="shared" si="196"/>
        <v>0</v>
      </c>
      <c r="AR215" s="12"/>
      <c r="AS215" s="10">
        <f>+Risultati!O214</f>
        <v>0</v>
      </c>
      <c r="AT215" s="12" t="str">
        <f t="shared" si="197"/>
        <v>0</v>
      </c>
      <c r="AU215" s="12"/>
      <c r="AV215" s="10">
        <f t="shared" si="157"/>
        <v>0</v>
      </c>
      <c r="AW215" s="12" t="str">
        <f t="shared" si="198"/>
        <v>0</v>
      </c>
      <c r="AX215" s="12"/>
      <c r="AY215" s="10">
        <f>+Risultati!R214+Risultati!S214</f>
        <v>0</v>
      </c>
      <c r="AZ215" s="12" t="str">
        <f t="shared" si="199"/>
        <v>0</v>
      </c>
      <c r="BA215" s="12"/>
      <c r="BB215" s="10">
        <f>+Risultati!T214</f>
        <v>0</v>
      </c>
      <c r="BC215" s="12" t="str">
        <f t="shared" si="200"/>
        <v>0</v>
      </c>
      <c r="BD215" s="12"/>
      <c r="BE215" s="10">
        <f>+Risultati!U214</f>
        <v>0</v>
      </c>
      <c r="BF215" s="12" t="str">
        <f t="shared" si="201"/>
        <v>0</v>
      </c>
      <c r="BG215" s="12"/>
      <c r="BH215" s="10">
        <f t="shared" si="158"/>
        <v>0</v>
      </c>
      <c r="BI215" s="12" t="str">
        <f t="shared" si="202"/>
        <v>0</v>
      </c>
      <c r="BK215" s="16">
        <f>IF(ISNUMBER(Risultati!X214/100),(Risultati!X214/100))</f>
        <v>0</v>
      </c>
      <c r="BL215" s="16">
        <f>IF(ISNUMBER(Risultati!Y214/100),(Risultati!Y214/100))</f>
        <v>0</v>
      </c>
      <c r="BM215" s="16">
        <f>IF(ISNUMBER(Risultati!Z214/100),(Risultati!Z214/100))</f>
        <v>0</v>
      </c>
      <c r="BN215" s="16">
        <f>IF(AND(Risultati!AY214&lt;0,calcoli!AP215&lt;0),-IF(ISNUMBER(Risultati!AA214/100),(Risultati!AA214/100)),IF(ISNUMBER(Risultati!AA214/100),(Risultati!AA214/100)))</f>
        <v>0</v>
      </c>
      <c r="BO215" s="16" t="str">
        <f t="shared" si="183"/>
        <v>0</v>
      </c>
      <c r="BP215" s="16" t="str">
        <f>IF(Risultati!AB214&gt;0,(AV215/Risultati!AB214),"0")</f>
        <v>0</v>
      </c>
      <c r="BQ215" s="16" t="str">
        <f>IF(Risultati!AG214&lt;&gt;0,(BH215/Risultati!AG214),"0")</f>
        <v>0</v>
      </c>
      <c r="BR215" s="16" t="str">
        <f t="shared" si="184"/>
        <v>0</v>
      </c>
      <c r="BS215" s="14" t="str">
        <f>IF(Risultati!AB214&gt;0,(Risultati!G214/Risultati!AB214),"0")</f>
        <v>0</v>
      </c>
      <c r="BT215" s="15" t="str">
        <f>IF(Risultati!AG214&lt;&gt;0,(Risultati!AB214/Risultati!AG214),"0")</f>
        <v>0</v>
      </c>
      <c r="BU215" s="23" t="str">
        <f>IF(AND(Risultati!G214&gt;0,(Risultati!AE214-Risultati!AF214)&gt;=0),((Risultati!AE214-Risultati!AF214)/Risultati!G214*360),"0")</f>
        <v>0</v>
      </c>
      <c r="BV215" s="21" t="str">
        <f>IF(OR(E215="abbreviato",Risultati!G214=0),"0",((Risultati!AC214+Risultati!AD214)/Risultati!G214*360))</f>
        <v>0</v>
      </c>
      <c r="BW215" s="21" t="str">
        <f>IF(OR(E215="abbreviato",Risultati!G214=0,SUM(Risultati!I214+Risultati!K214+Risultati!M214)=0),"0",(((Risultati!AH214+Risultati!AI214)/(Risultati!I214+Risultati!K214+Risultati!N214)*360)))</f>
        <v>0</v>
      </c>
      <c r="BX215" s="16" t="str">
        <f>IF(Risultati!AB214&gt;0,(+Risultati!AG214/Risultati!AB214),"0")</f>
        <v>0</v>
      </c>
      <c r="BY215" s="22" t="str">
        <f>IF(OR(E215="abbreviato",Risultati!G214=0),"0",(((Risultati!AK214-(Risultati!AL214+Risultati!AM214))/Risultati!G214)))</f>
        <v>0</v>
      </c>
      <c r="BZ215" s="16" t="str">
        <f>IF(Risultati!G214&gt;0,(Risultati!AJ214/Risultati!G214),"0")</f>
        <v>0</v>
      </c>
      <c r="CA215" s="8"/>
      <c r="CB215" s="10">
        <f>+Risultati!AP214</f>
        <v>0</v>
      </c>
      <c r="CC215" s="31" t="str">
        <f t="shared" si="159"/>
        <v>0</v>
      </c>
      <c r="CD215" s="10">
        <f>+Risultati!AQ214</f>
        <v>0</v>
      </c>
      <c r="CE215" s="31" t="str">
        <f t="shared" si="160"/>
        <v>0</v>
      </c>
      <c r="CF215" s="10">
        <f>+Risultati!AR214</f>
        <v>0</v>
      </c>
      <c r="CG215" s="31" t="str">
        <f t="shared" si="161"/>
        <v>0</v>
      </c>
      <c r="CH215" s="10">
        <f>+Risultati!AS214</f>
        <v>0</v>
      </c>
      <c r="CI215" s="31" t="str">
        <f t="shared" si="162"/>
        <v>0</v>
      </c>
      <c r="CJ215" s="10">
        <f t="shared" si="163"/>
        <v>0</v>
      </c>
      <c r="CK215" s="31" t="str">
        <f t="shared" si="164"/>
        <v>0</v>
      </c>
      <c r="CL215" s="10">
        <f>+Risultati!AE214+Risultati!AF214</f>
        <v>0</v>
      </c>
      <c r="CM215" s="31" t="str">
        <f t="shared" si="165"/>
        <v>0</v>
      </c>
      <c r="CN215" s="10">
        <f>+Risultati!AT214</f>
        <v>0</v>
      </c>
      <c r="CO215" s="31" t="str">
        <f t="shared" si="166"/>
        <v>0</v>
      </c>
      <c r="CP215" s="10">
        <f>+Risultati!AU214</f>
        <v>0</v>
      </c>
      <c r="CQ215" s="31" t="str">
        <f t="shared" si="167"/>
        <v>0</v>
      </c>
      <c r="CR215" s="10">
        <f>+Risultati!AL214</f>
        <v>0</v>
      </c>
      <c r="CS215" s="31" t="str">
        <f t="shared" si="168"/>
        <v>0</v>
      </c>
      <c r="CT215" s="10">
        <f t="shared" si="169"/>
        <v>0</v>
      </c>
      <c r="CU215" s="31" t="str">
        <f t="shared" si="170"/>
        <v>0</v>
      </c>
      <c r="CV215" s="10">
        <f>+Risultati!AX214</f>
        <v>0</v>
      </c>
      <c r="CW215" s="31" t="str">
        <f t="shared" si="171"/>
        <v>0</v>
      </c>
      <c r="CX215" s="10">
        <f t="shared" si="172"/>
        <v>0</v>
      </c>
      <c r="CY215" s="31" t="str">
        <f t="shared" si="173"/>
        <v>0</v>
      </c>
      <c r="CZ215" s="10">
        <f>+Risultati!AG214</f>
        <v>0</v>
      </c>
      <c r="DA215" s="31" t="str">
        <f t="shared" si="174"/>
        <v>0</v>
      </c>
      <c r="DB215" s="10">
        <f t="shared" si="175"/>
        <v>0</v>
      </c>
      <c r="DC215" s="31" t="str">
        <f t="shared" si="176"/>
        <v>0</v>
      </c>
      <c r="DD215" s="10">
        <f>+Risultati!AV214</f>
        <v>0</v>
      </c>
      <c r="DE215" s="31" t="str">
        <f t="shared" si="177"/>
        <v>0</v>
      </c>
      <c r="DF215" s="10">
        <f>+Risultati!AJ214</f>
        <v>0</v>
      </c>
      <c r="DG215" s="31" t="str">
        <f t="shared" si="178"/>
        <v>0</v>
      </c>
      <c r="DH215" s="10">
        <f t="shared" si="179"/>
        <v>0</v>
      </c>
      <c r="DI215" s="31" t="str">
        <f t="shared" si="180"/>
        <v>0</v>
      </c>
      <c r="DJ215" s="10">
        <f>+Risultati!AW214</f>
        <v>0</v>
      </c>
      <c r="DK215" s="31" t="str">
        <f t="shared" si="181"/>
        <v>0</v>
      </c>
      <c r="DL215" s="10">
        <f t="shared" si="203"/>
        <v>0</v>
      </c>
      <c r="DM215" s="31" t="str">
        <f t="shared" si="182"/>
        <v>0</v>
      </c>
      <c r="DO215" s="30"/>
      <c r="DP215" s="30"/>
    </row>
    <row r="216" spans="1:120" x14ac:dyDescent="0.2">
      <c r="A216" s="5"/>
      <c r="B216" s="6">
        <f>+Risultati!B215</f>
        <v>0</v>
      </c>
      <c r="C216" s="6">
        <f>+Risultati!C215</f>
        <v>0</v>
      </c>
      <c r="D216" s="26" t="str">
        <f>IF(YEAR(Risultati!D215)=1900,(MID(Risultati!$AP$1,29,4)),YEAR(Risultati!D215))</f>
        <v/>
      </c>
      <c r="E216" s="6">
        <f>+Risultati!E215</f>
        <v>0</v>
      </c>
      <c r="F216" s="8" t="e">
        <f>(LEFT(Risultati!AN215,2)&amp;"-")&amp;VLOOKUP((LEFT(Risultati!AN215,2)),ateco!$B$4:$C$93,2,FALSE)</f>
        <v>#N/A</v>
      </c>
      <c r="G216" s="8" t="str">
        <f>SUBSTITUTE((Risultati!AN215&amp;"-"&amp;Risultati!AO215),",",";")</f>
        <v>-</v>
      </c>
      <c r="I216" s="10">
        <f>+Risultati!G215</f>
        <v>0</v>
      </c>
      <c r="J216" s="11" t="str">
        <f t="shared" si="185"/>
        <v>0</v>
      </c>
      <c r="K216" s="12"/>
      <c r="L216" s="10">
        <f>+Risultati!G215+Risultati!H215</f>
        <v>0</v>
      </c>
      <c r="M216" s="11" t="str">
        <f t="shared" si="186"/>
        <v>0</v>
      </c>
      <c r="N216" s="12"/>
      <c r="O216" s="10">
        <f>+Risultati!I215+Risultati!J215</f>
        <v>0</v>
      </c>
      <c r="P216" s="11" t="str">
        <f t="shared" si="187"/>
        <v>0</v>
      </c>
      <c r="Q216" s="12"/>
      <c r="R216" s="13">
        <f t="shared" si="153"/>
        <v>0</v>
      </c>
      <c r="S216" s="11" t="str">
        <f t="shared" si="188"/>
        <v>0</v>
      </c>
      <c r="T216" s="12"/>
      <c r="U216" s="10">
        <f>+Risultati!F215-(Risultati!G215+Risultati!H215)</f>
        <v>0</v>
      </c>
      <c r="V216" s="12" t="str">
        <f t="shared" si="189"/>
        <v>0</v>
      </c>
      <c r="W216" s="12"/>
      <c r="X216" s="10">
        <f t="shared" si="154"/>
        <v>0</v>
      </c>
      <c r="Y216" s="12" t="str">
        <f t="shared" si="190"/>
        <v>0</v>
      </c>
      <c r="Z216" s="12"/>
      <c r="AA216" s="10">
        <f>+Risultati!K215</f>
        <v>0</v>
      </c>
      <c r="AB216" s="12" t="str">
        <f t="shared" si="191"/>
        <v>0</v>
      </c>
      <c r="AC216" s="12"/>
      <c r="AD216" s="10">
        <f>+Risultati!L215</f>
        <v>0</v>
      </c>
      <c r="AE216" s="12" t="str">
        <f t="shared" si="192"/>
        <v>0</v>
      </c>
      <c r="AF216" s="12"/>
      <c r="AG216" s="10">
        <f>+Risultati!M215+Risultati!P215+Risultati!Q215</f>
        <v>0</v>
      </c>
      <c r="AH216" s="12" t="str">
        <f t="shared" si="193"/>
        <v>0</v>
      </c>
      <c r="AI216" s="12"/>
      <c r="AJ216" s="13">
        <f t="shared" si="155"/>
        <v>0</v>
      </c>
      <c r="AK216" s="11" t="str">
        <f t="shared" si="194"/>
        <v>0</v>
      </c>
      <c r="AL216" s="12"/>
      <c r="AM216" s="10">
        <f>+Risultati!N215</f>
        <v>0</v>
      </c>
      <c r="AN216" s="12" t="str">
        <f t="shared" si="195"/>
        <v>0</v>
      </c>
      <c r="AO216" s="12"/>
      <c r="AP216" s="10">
        <f t="shared" si="156"/>
        <v>0</v>
      </c>
      <c r="AQ216" s="41" t="str">
        <f t="shared" si="196"/>
        <v>0</v>
      </c>
      <c r="AR216" s="12"/>
      <c r="AS216" s="10">
        <f>+Risultati!O215</f>
        <v>0</v>
      </c>
      <c r="AT216" s="12" t="str">
        <f t="shared" si="197"/>
        <v>0</v>
      </c>
      <c r="AU216" s="12"/>
      <c r="AV216" s="10">
        <f t="shared" si="157"/>
        <v>0</v>
      </c>
      <c r="AW216" s="12" t="str">
        <f t="shared" si="198"/>
        <v>0</v>
      </c>
      <c r="AX216" s="12"/>
      <c r="AY216" s="10">
        <f>+Risultati!R215+Risultati!S215</f>
        <v>0</v>
      </c>
      <c r="AZ216" s="12" t="str">
        <f t="shared" si="199"/>
        <v>0</v>
      </c>
      <c r="BA216" s="12"/>
      <c r="BB216" s="10">
        <f>+Risultati!T215</f>
        <v>0</v>
      </c>
      <c r="BC216" s="12" t="str">
        <f t="shared" si="200"/>
        <v>0</v>
      </c>
      <c r="BD216" s="12"/>
      <c r="BE216" s="10">
        <f>+Risultati!U215</f>
        <v>0</v>
      </c>
      <c r="BF216" s="12" t="str">
        <f t="shared" si="201"/>
        <v>0</v>
      </c>
      <c r="BG216" s="12"/>
      <c r="BH216" s="10">
        <f t="shared" si="158"/>
        <v>0</v>
      </c>
      <c r="BI216" s="12" t="str">
        <f t="shared" si="202"/>
        <v>0</v>
      </c>
      <c r="BK216" s="16">
        <f>IF(ISNUMBER(Risultati!X215/100),(Risultati!X215/100))</f>
        <v>0</v>
      </c>
      <c r="BL216" s="16">
        <f>IF(ISNUMBER(Risultati!Y215/100),(Risultati!Y215/100))</f>
        <v>0</v>
      </c>
      <c r="BM216" s="16">
        <f>IF(ISNUMBER(Risultati!Z215/100),(Risultati!Z215/100))</f>
        <v>0</v>
      </c>
      <c r="BN216" s="16">
        <f>IF(AND(Risultati!AY215&lt;0,calcoli!AP216&lt;0),-IF(ISNUMBER(Risultati!AA215/100),(Risultati!AA215/100)),IF(ISNUMBER(Risultati!AA215/100),(Risultati!AA215/100)))</f>
        <v>0</v>
      </c>
      <c r="BO216" s="16" t="str">
        <f t="shared" si="183"/>
        <v>0</v>
      </c>
      <c r="BP216" s="16" t="str">
        <f>IF(Risultati!AB215&gt;0,(AV216/Risultati!AB215),"0")</f>
        <v>0</v>
      </c>
      <c r="BQ216" s="16" t="str">
        <f>IF(Risultati!AG215&lt;&gt;0,(BH216/Risultati!AG215),"0")</f>
        <v>0</v>
      </c>
      <c r="BR216" s="16" t="str">
        <f t="shared" si="184"/>
        <v>0</v>
      </c>
      <c r="BS216" s="14" t="str">
        <f>IF(Risultati!AB215&gt;0,(Risultati!G215/Risultati!AB215),"0")</f>
        <v>0</v>
      </c>
      <c r="BT216" s="15" t="str">
        <f>IF(Risultati!AG215&lt;&gt;0,(Risultati!AB215/Risultati!AG215),"0")</f>
        <v>0</v>
      </c>
      <c r="BU216" s="23" t="str">
        <f>IF(AND(Risultati!G215&gt;0,(Risultati!AE215-Risultati!AF215)&gt;=0),((Risultati!AE215-Risultati!AF215)/Risultati!G215*360),"0")</f>
        <v>0</v>
      </c>
      <c r="BV216" s="21" t="str">
        <f>IF(OR(E216="abbreviato",Risultati!G215=0),"0",((Risultati!AC215+Risultati!AD215)/Risultati!G215*360))</f>
        <v>0</v>
      </c>
      <c r="BW216" s="21" t="str">
        <f>IF(OR(E216="abbreviato",Risultati!G215=0,SUM(Risultati!I215+Risultati!K215+Risultati!M215)=0),"0",(((Risultati!AH215+Risultati!AI215)/(Risultati!I215+Risultati!K215+Risultati!N215)*360)))</f>
        <v>0</v>
      </c>
      <c r="BX216" s="16" t="str">
        <f>IF(Risultati!AB215&gt;0,(+Risultati!AG215/Risultati!AB215),"0")</f>
        <v>0</v>
      </c>
      <c r="BY216" s="22" t="str">
        <f>IF(OR(E216="abbreviato",Risultati!G215=0),"0",(((Risultati!AK215-(Risultati!AL215+Risultati!AM215))/Risultati!G215)))</f>
        <v>0</v>
      </c>
      <c r="BZ216" s="16" t="str">
        <f>IF(Risultati!G215&gt;0,(Risultati!AJ215/Risultati!G215),"0")</f>
        <v>0</v>
      </c>
      <c r="CA216" s="8"/>
      <c r="CB216" s="10">
        <f>+Risultati!AP215</f>
        <v>0</v>
      </c>
      <c r="CC216" s="31" t="str">
        <f t="shared" si="159"/>
        <v>0</v>
      </c>
      <c r="CD216" s="10">
        <f>+Risultati!AQ215</f>
        <v>0</v>
      </c>
      <c r="CE216" s="31" t="str">
        <f t="shared" si="160"/>
        <v>0</v>
      </c>
      <c r="CF216" s="10">
        <f>+Risultati!AR215</f>
        <v>0</v>
      </c>
      <c r="CG216" s="31" t="str">
        <f t="shared" si="161"/>
        <v>0</v>
      </c>
      <c r="CH216" s="10">
        <f>+Risultati!AS215</f>
        <v>0</v>
      </c>
      <c r="CI216" s="31" t="str">
        <f t="shared" si="162"/>
        <v>0</v>
      </c>
      <c r="CJ216" s="10">
        <f t="shared" si="163"/>
        <v>0</v>
      </c>
      <c r="CK216" s="31" t="str">
        <f t="shared" si="164"/>
        <v>0</v>
      </c>
      <c r="CL216" s="10">
        <f>+Risultati!AE215+Risultati!AF215</f>
        <v>0</v>
      </c>
      <c r="CM216" s="31" t="str">
        <f t="shared" si="165"/>
        <v>0</v>
      </c>
      <c r="CN216" s="10">
        <f>+Risultati!AT215</f>
        <v>0</v>
      </c>
      <c r="CO216" s="31" t="str">
        <f t="shared" si="166"/>
        <v>0</v>
      </c>
      <c r="CP216" s="10">
        <f>+Risultati!AU215</f>
        <v>0</v>
      </c>
      <c r="CQ216" s="31" t="str">
        <f t="shared" si="167"/>
        <v>0</v>
      </c>
      <c r="CR216" s="10">
        <f>+Risultati!AL215</f>
        <v>0</v>
      </c>
      <c r="CS216" s="31" t="str">
        <f t="shared" si="168"/>
        <v>0</v>
      </c>
      <c r="CT216" s="10">
        <f t="shared" si="169"/>
        <v>0</v>
      </c>
      <c r="CU216" s="31" t="str">
        <f t="shared" si="170"/>
        <v>0</v>
      </c>
      <c r="CV216" s="10">
        <f>+Risultati!AX215</f>
        <v>0</v>
      </c>
      <c r="CW216" s="31" t="str">
        <f t="shared" si="171"/>
        <v>0</v>
      </c>
      <c r="CX216" s="10">
        <f t="shared" si="172"/>
        <v>0</v>
      </c>
      <c r="CY216" s="31" t="str">
        <f t="shared" si="173"/>
        <v>0</v>
      </c>
      <c r="CZ216" s="10">
        <f>+Risultati!AG215</f>
        <v>0</v>
      </c>
      <c r="DA216" s="31" t="str">
        <f t="shared" si="174"/>
        <v>0</v>
      </c>
      <c r="DB216" s="10">
        <f t="shared" si="175"/>
        <v>0</v>
      </c>
      <c r="DC216" s="31" t="str">
        <f t="shared" si="176"/>
        <v>0</v>
      </c>
      <c r="DD216" s="10">
        <f>+Risultati!AV215</f>
        <v>0</v>
      </c>
      <c r="DE216" s="31" t="str">
        <f t="shared" si="177"/>
        <v>0</v>
      </c>
      <c r="DF216" s="10">
        <f>+Risultati!AJ215</f>
        <v>0</v>
      </c>
      <c r="DG216" s="31" t="str">
        <f t="shared" si="178"/>
        <v>0</v>
      </c>
      <c r="DH216" s="10">
        <f t="shared" si="179"/>
        <v>0</v>
      </c>
      <c r="DI216" s="31" t="str">
        <f t="shared" si="180"/>
        <v>0</v>
      </c>
      <c r="DJ216" s="10">
        <f>+Risultati!AW215</f>
        <v>0</v>
      </c>
      <c r="DK216" s="31" t="str">
        <f t="shared" si="181"/>
        <v>0</v>
      </c>
      <c r="DL216" s="10">
        <f t="shared" si="203"/>
        <v>0</v>
      </c>
      <c r="DM216" s="31" t="str">
        <f t="shared" si="182"/>
        <v>0</v>
      </c>
      <c r="DO216" s="30"/>
      <c r="DP216" s="30"/>
    </row>
    <row r="217" spans="1:120" x14ac:dyDescent="0.2">
      <c r="A217" s="5"/>
      <c r="B217" s="6">
        <f>+Risultati!B216</f>
        <v>0</v>
      </c>
      <c r="C217" s="6">
        <f>+Risultati!C216</f>
        <v>0</v>
      </c>
      <c r="D217" s="26" t="str">
        <f>IF(YEAR(Risultati!D216)=1900,(MID(Risultati!$AP$1,29,4)),YEAR(Risultati!D216))</f>
        <v/>
      </c>
      <c r="E217" s="6">
        <f>+Risultati!E216</f>
        <v>0</v>
      </c>
      <c r="F217" s="8" t="e">
        <f>(LEFT(Risultati!AN216,2)&amp;"-")&amp;VLOOKUP((LEFT(Risultati!AN216,2)),ateco!$B$4:$C$93,2,FALSE)</f>
        <v>#N/A</v>
      </c>
      <c r="G217" s="8" t="str">
        <f>SUBSTITUTE((Risultati!AN216&amp;"-"&amp;Risultati!AO216),",",";")</f>
        <v>-</v>
      </c>
      <c r="I217" s="10">
        <f>+Risultati!G216</f>
        <v>0</v>
      </c>
      <c r="J217" s="11" t="str">
        <f t="shared" si="185"/>
        <v>0</v>
      </c>
      <c r="K217" s="12"/>
      <c r="L217" s="10">
        <f>+Risultati!G216+Risultati!H216</f>
        <v>0</v>
      </c>
      <c r="M217" s="11" t="str">
        <f t="shared" si="186"/>
        <v>0</v>
      </c>
      <c r="N217" s="12"/>
      <c r="O217" s="10">
        <f>+Risultati!I216+Risultati!J216</f>
        <v>0</v>
      </c>
      <c r="P217" s="11" t="str">
        <f t="shared" si="187"/>
        <v>0</v>
      </c>
      <c r="Q217" s="12"/>
      <c r="R217" s="13">
        <f t="shared" si="153"/>
        <v>0</v>
      </c>
      <c r="S217" s="11" t="str">
        <f t="shared" si="188"/>
        <v>0</v>
      </c>
      <c r="T217" s="12"/>
      <c r="U217" s="10">
        <f>+Risultati!F216-(Risultati!G216+Risultati!H216)</f>
        <v>0</v>
      </c>
      <c r="V217" s="12" t="str">
        <f t="shared" si="189"/>
        <v>0</v>
      </c>
      <c r="W217" s="12"/>
      <c r="X217" s="10">
        <f t="shared" si="154"/>
        <v>0</v>
      </c>
      <c r="Y217" s="12" t="str">
        <f t="shared" si="190"/>
        <v>0</v>
      </c>
      <c r="Z217" s="12"/>
      <c r="AA217" s="10">
        <f>+Risultati!K216</f>
        <v>0</v>
      </c>
      <c r="AB217" s="12" t="str">
        <f t="shared" si="191"/>
        <v>0</v>
      </c>
      <c r="AC217" s="12"/>
      <c r="AD217" s="10">
        <f>+Risultati!L216</f>
        <v>0</v>
      </c>
      <c r="AE217" s="12" t="str">
        <f t="shared" si="192"/>
        <v>0</v>
      </c>
      <c r="AF217" s="12"/>
      <c r="AG217" s="10">
        <f>+Risultati!M216+Risultati!P216+Risultati!Q216</f>
        <v>0</v>
      </c>
      <c r="AH217" s="12" t="str">
        <f t="shared" si="193"/>
        <v>0</v>
      </c>
      <c r="AI217" s="12"/>
      <c r="AJ217" s="13">
        <f t="shared" si="155"/>
        <v>0</v>
      </c>
      <c r="AK217" s="11" t="str">
        <f t="shared" si="194"/>
        <v>0</v>
      </c>
      <c r="AL217" s="12"/>
      <c r="AM217" s="10">
        <f>+Risultati!N216</f>
        <v>0</v>
      </c>
      <c r="AN217" s="12" t="str">
        <f t="shared" si="195"/>
        <v>0</v>
      </c>
      <c r="AO217" s="12"/>
      <c r="AP217" s="10">
        <f t="shared" si="156"/>
        <v>0</v>
      </c>
      <c r="AQ217" s="41" t="str">
        <f t="shared" si="196"/>
        <v>0</v>
      </c>
      <c r="AR217" s="12"/>
      <c r="AS217" s="10">
        <f>+Risultati!O216</f>
        <v>0</v>
      </c>
      <c r="AT217" s="12" t="str">
        <f t="shared" si="197"/>
        <v>0</v>
      </c>
      <c r="AU217" s="12"/>
      <c r="AV217" s="10">
        <f t="shared" si="157"/>
        <v>0</v>
      </c>
      <c r="AW217" s="12" t="str">
        <f t="shared" si="198"/>
        <v>0</v>
      </c>
      <c r="AX217" s="12"/>
      <c r="AY217" s="10">
        <f>+Risultati!R216+Risultati!S216</f>
        <v>0</v>
      </c>
      <c r="AZ217" s="12" t="str">
        <f t="shared" si="199"/>
        <v>0</v>
      </c>
      <c r="BA217" s="12"/>
      <c r="BB217" s="10">
        <f>+Risultati!T216</f>
        <v>0</v>
      </c>
      <c r="BC217" s="12" t="str">
        <f t="shared" si="200"/>
        <v>0</v>
      </c>
      <c r="BD217" s="12"/>
      <c r="BE217" s="10">
        <f>+Risultati!U216</f>
        <v>0</v>
      </c>
      <c r="BF217" s="12" t="str">
        <f t="shared" si="201"/>
        <v>0</v>
      </c>
      <c r="BG217" s="12"/>
      <c r="BH217" s="10">
        <f t="shared" si="158"/>
        <v>0</v>
      </c>
      <c r="BI217" s="12" t="str">
        <f t="shared" si="202"/>
        <v>0</v>
      </c>
      <c r="BK217" s="16">
        <f>IF(ISNUMBER(Risultati!X216/100),(Risultati!X216/100))</f>
        <v>0</v>
      </c>
      <c r="BL217" s="16">
        <f>IF(ISNUMBER(Risultati!Y216/100),(Risultati!Y216/100))</f>
        <v>0</v>
      </c>
      <c r="BM217" s="16">
        <f>IF(ISNUMBER(Risultati!Z216/100),(Risultati!Z216/100))</f>
        <v>0</v>
      </c>
      <c r="BN217" s="16">
        <f>IF(AND(Risultati!AY216&lt;0,calcoli!AP217&lt;0),-IF(ISNUMBER(Risultati!AA216/100),(Risultati!AA216/100)),IF(ISNUMBER(Risultati!AA216/100),(Risultati!AA216/100)))</f>
        <v>0</v>
      </c>
      <c r="BO217" s="16" t="str">
        <f t="shared" si="183"/>
        <v>0</v>
      </c>
      <c r="BP217" s="16" t="str">
        <f>IF(Risultati!AB216&gt;0,(AV217/Risultati!AB216),"0")</f>
        <v>0</v>
      </c>
      <c r="BQ217" s="16" t="str">
        <f>IF(Risultati!AG216&lt;&gt;0,(BH217/Risultati!AG216),"0")</f>
        <v>0</v>
      </c>
      <c r="BR217" s="16" t="str">
        <f t="shared" si="184"/>
        <v>0</v>
      </c>
      <c r="BS217" s="14" t="str">
        <f>IF(Risultati!AB216&gt;0,(Risultati!G216/Risultati!AB216),"0")</f>
        <v>0</v>
      </c>
      <c r="BT217" s="15" t="str">
        <f>IF(Risultati!AG216&lt;&gt;0,(Risultati!AB216/Risultati!AG216),"0")</f>
        <v>0</v>
      </c>
      <c r="BU217" s="23" t="str">
        <f>IF(AND(Risultati!G216&gt;0,(Risultati!AE216-Risultati!AF216)&gt;=0),((Risultati!AE216-Risultati!AF216)/Risultati!G216*360),"0")</f>
        <v>0</v>
      </c>
      <c r="BV217" s="21" t="str">
        <f>IF(OR(E217="abbreviato",Risultati!G216=0),"0",((Risultati!AC216+Risultati!AD216)/Risultati!G216*360))</f>
        <v>0</v>
      </c>
      <c r="BW217" s="21" t="str">
        <f>IF(OR(E217="abbreviato",Risultati!G216=0,SUM(Risultati!I216+Risultati!K216+Risultati!M216)=0),"0",(((Risultati!AH216+Risultati!AI216)/(Risultati!I216+Risultati!K216+Risultati!N216)*360)))</f>
        <v>0</v>
      </c>
      <c r="BX217" s="16" t="str">
        <f>IF(Risultati!AB216&gt;0,(+Risultati!AG216/Risultati!AB216),"0")</f>
        <v>0</v>
      </c>
      <c r="BY217" s="22" t="str">
        <f>IF(OR(E217="abbreviato",Risultati!G216=0),"0",(((Risultati!AK216-(Risultati!AL216+Risultati!AM216))/Risultati!G216)))</f>
        <v>0</v>
      </c>
      <c r="BZ217" s="16" t="str">
        <f>IF(Risultati!G216&gt;0,(Risultati!AJ216/Risultati!G216),"0")</f>
        <v>0</v>
      </c>
      <c r="CA217" s="8"/>
      <c r="CB217" s="10">
        <f>+Risultati!AP216</f>
        <v>0</v>
      </c>
      <c r="CC217" s="31" t="str">
        <f t="shared" si="159"/>
        <v>0</v>
      </c>
      <c r="CD217" s="10">
        <f>+Risultati!AQ216</f>
        <v>0</v>
      </c>
      <c r="CE217" s="31" t="str">
        <f t="shared" si="160"/>
        <v>0</v>
      </c>
      <c r="CF217" s="10">
        <f>+Risultati!AR216</f>
        <v>0</v>
      </c>
      <c r="CG217" s="31" t="str">
        <f t="shared" si="161"/>
        <v>0</v>
      </c>
      <c r="CH217" s="10">
        <f>+Risultati!AS216</f>
        <v>0</v>
      </c>
      <c r="CI217" s="31" t="str">
        <f t="shared" si="162"/>
        <v>0</v>
      </c>
      <c r="CJ217" s="10">
        <f t="shared" si="163"/>
        <v>0</v>
      </c>
      <c r="CK217" s="31" t="str">
        <f t="shared" si="164"/>
        <v>0</v>
      </c>
      <c r="CL217" s="10">
        <f>+Risultati!AE216+Risultati!AF216</f>
        <v>0</v>
      </c>
      <c r="CM217" s="31" t="str">
        <f t="shared" si="165"/>
        <v>0</v>
      </c>
      <c r="CN217" s="10">
        <f>+Risultati!AT216</f>
        <v>0</v>
      </c>
      <c r="CO217" s="31" t="str">
        <f t="shared" si="166"/>
        <v>0</v>
      </c>
      <c r="CP217" s="10">
        <f>+Risultati!AU216</f>
        <v>0</v>
      </c>
      <c r="CQ217" s="31" t="str">
        <f t="shared" si="167"/>
        <v>0</v>
      </c>
      <c r="CR217" s="10">
        <f>+Risultati!AL216</f>
        <v>0</v>
      </c>
      <c r="CS217" s="31" t="str">
        <f t="shared" si="168"/>
        <v>0</v>
      </c>
      <c r="CT217" s="10">
        <f t="shared" si="169"/>
        <v>0</v>
      </c>
      <c r="CU217" s="31" t="str">
        <f t="shared" si="170"/>
        <v>0</v>
      </c>
      <c r="CV217" s="10">
        <f>+Risultati!AX216</f>
        <v>0</v>
      </c>
      <c r="CW217" s="31" t="str">
        <f t="shared" si="171"/>
        <v>0</v>
      </c>
      <c r="CX217" s="10">
        <f t="shared" si="172"/>
        <v>0</v>
      </c>
      <c r="CY217" s="31" t="str">
        <f t="shared" si="173"/>
        <v>0</v>
      </c>
      <c r="CZ217" s="10">
        <f>+Risultati!AG216</f>
        <v>0</v>
      </c>
      <c r="DA217" s="31" t="str">
        <f t="shared" si="174"/>
        <v>0</v>
      </c>
      <c r="DB217" s="10">
        <f t="shared" si="175"/>
        <v>0</v>
      </c>
      <c r="DC217" s="31" t="str">
        <f t="shared" si="176"/>
        <v>0</v>
      </c>
      <c r="DD217" s="10">
        <f>+Risultati!AV216</f>
        <v>0</v>
      </c>
      <c r="DE217" s="31" t="str">
        <f t="shared" si="177"/>
        <v>0</v>
      </c>
      <c r="DF217" s="10">
        <f>+Risultati!AJ216</f>
        <v>0</v>
      </c>
      <c r="DG217" s="31" t="str">
        <f t="shared" si="178"/>
        <v>0</v>
      </c>
      <c r="DH217" s="10">
        <f t="shared" si="179"/>
        <v>0</v>
      </c>
      <c r="DI217" s="31" t="str">
        <f t="shared" si="180"/>
        <v>0</v>
      </c>
      <c r="DJ217" s="10">
        <f>+Risultati!AW216</f>
        <v>0</v>
      </c>
      <c r="DK217" s="31" t="str">
        <f t="shared" si="181"/>
        <v>0</v>
      </c>
      <c r="DL217" s="10">
        <f t="shared" si="203"/>
        <v>0</v>
      </c>
      <c r="DM217" s="31" t="str">
        <f t="shared" si="182"/>
        <v>0</v>
      </c>
      <c r="DO217" s="30"/>
      <c r="DP217" s="30"/>
    </row>
    <row r="218" spans="1:120" x14ac:dyDescent="0.2">
      <c r="A218" s="5"/>
      <c r="B218" s="6">
        <f>+Risultati!B217</f>
        <v>0</v>
      </c>
      <c r="C218" s="6">
        <f>+Risultati!C217</f>
        <v>0</v>
      </c>
      <c r="D218" s="26" t="str">
        <f>IF(YEAR(Risultati!D217)=1900,(MID(Risultati!$AP$1,29,4)),YEAR(Risultati!D217))</f>
        <v/>
      </c>
      <c r="E218" s="6">
        <f>+Risultati!E217</f>
        <v>0</v>
      </c>
      <c r="F218" s="8" t="e">
        <f>(LEFT(Risultati!AN217,2)&amp;"-")&amp;VLOOKUP((LEFT(Risultati!AN217,2)),ateco!$B$4:$C$93,2,FALSE)</f>
        <v>#N/A</v>
      </c>
      <c r="G218" s="8" t="str">
        <f>SUBSTITUTE((Risultati!AN217&amp;"-"&amp;Risultati!AO217),",",";")</f>
        <v>-</v>
      </c>
      <c r="I218" s="10">
        <f>+Risultati!G217</f>
        <v>0</v>
      </c>
      <c r="J218" s="11" t="str">
        <f t="shared" si="185"/>
        <v>0</v>
      </c>
      <c r="K218" s="12"/>
      <c r="L218" s="10">
        <f>+Risultati!G217+Risultati!H217</f>
        <v>0</v>
      </c>
      <c r="M218" s="11" t="str">
        <f t="shared" si="186"/>
        <v>0</v>
      </c>
      <c r="N218" s="12"/>
      <c r="O218" s="10">
        <f>+Risultati!I217+Risultati!J217</f>
        <v>0</v>
      </c>
      <c r="P218" s="11" t="str">
        <f t="shared" si="187"/>
        <v>0</v>
      </c>
      <c r="Q218" s="12"/>
      <c r="R218" s="13">
        <f t="shared" ref="R218:R281" si="204">+L218-O218</f>
        <v>0</v>
      </c>
      <c r="S218" s="11" t="str">
        <f t="shared" si="188"/>
        <v>0</v>
      </c>
      <c r="T218" s="12"/>
      <c r="U218" s="10">
        <f>+Risultati!F217-(Risultati!G217+Risultati!H217)</f>
        <v>0</v>
      </c>
      <c r="V218" s="12" t="str">
        <f t="shared" si="189"/>
        <v>0</v>
      </c>
      <c r="W218" s="12"/>
      <c r="X218" s="10">
        <f t="shared" ref="X218:X281" si="205">+U218+R218</f>
        <v>0</v>
      </c>
      <c r="Y218" s="12" t="str">
        <f t="shared" si="190"/>
        <v>0</v>
      </c>
      <c r="Z218" s="12"/>
      <c r="AA218" s="10">
        <f>+Risultati!K217</f>
        <v>0</v>
      </c>
      <c r="AB218" s="12" t="str">
        <f t="shared" si="191"/>
        <v>0</v>
      </c>
      <c r="AC218" s="12"/>
      <c r="AD218" s="10">
        <f>+Risultati!L217</f>
        <v>0</v>
      </c>
      <c r="AE218" s="12" t="str">
        <f t="shared" si="192"/>
        <v>0</v>
      </c>
      <c r="AF218" s="12"/>
      <c r="AG218" s="10">
        <f>+Risultati!M217+Risultati!P217+Risultati!Q217</f>
        <v>0</v>
      </c>
      <c r="AH218" s="12" t="str">
        <f t="shared" si="193"/>
        <v>0</v>
      </c>
      <c r="AI218" s="12"/>
      <c r="AJ218" s="13">
        <f t="shared" ref="AJ218:AJ281" si="206">+X218-AA218-AD218-AG218</f>
        <v>0</v>
      </c>
      <c r="AK218" s="11" t="str">
        <f t="shared" si="194"/>
        <v>0</v>
      </c>
      <c r="AL218" s="12"/>
      <c r="AM218" s="10">
        <f>+Risultati!N217</f>
        <v>0</v>
      </c>
      <c r="AN218" s="12" t="str">
        <f t="shared" si="195"/>
        <v>0</v>
      </c>
      <c r="AO218" s="12"/>
      <c r="AP218" s="10">
        <f t="shared" ref="AP218:AP281" si="207">+AJ218-AM218</f>
        <v>0</v>
      </c>
      <c r="AQ218" s="41" t="str">
        <f t="shared" si="196"/>
        <v>0</v>
      </c>
      <c r="AR218" s="12"/>
      <c r="AS218" s="10">
        <f>+Risultati!O217</f>
        <v>0</v>
      </c>
      <c r="AT218" s="12" t="str">
        <f t="shared" si="197"/>
        <v>0</v>
      </c>
      <c r="AU218" s="12"/>
      <c r="AV218" s="10">
        <f t="shared" ref="AV218:AV281" si="208">+AP218-AS218</f>
        <v>0</v>
      </c>
      <c r="AW218" s="12" t="str">
        <f t="shared" si="198"/>
        <v>0</v>
      </c>
      <c r="AX218" s="12"/>
      <c r="AY218" s="10">
        <f>+Risultati!R217+Risultati!S217</f>
        <v>0</v>
      </c>
      <c r="AZ218" s="12" t="str">
        <f t="shared" si="199"/>
        <v>0</v>
      </c>
      <c r="BA218" s="12"/>
      <c r="BB218" s="10">
        <f>+Risultati!T217</f>
        <v>0</v>
      </c>
      <c r="BC218" s="12" t="str">
        <f t="shared" si="200"/>
        <v>0</v>
      </c>
      <c r="BD218" s="12"/>
      <c r="BE218" s="10">
        <f>+Risultati!U217</f>
        <v>0</v>
      </c>
      <c r="BF218" s="12" t="str">
        <f t="shared" si="201"/>
        <v>0</v>
      </c>
      <c r="BG218" s="12"/>
      <c r="BH218" s="10">
        <f t="shared" ref="BH218:BH281" si="209">+AV218+AY218+BB218-BE218</f>
        <v>0</v>
      </c>
      <c r="BI218" s="12" t="str">
        <f t="shared" si="202"/>
        <v>0</v>
      </c>
      <c r="BK218" s="16">
        <f>IF(ISNUMBER(Risultati!X217/100),(Risultati!X217/100))</f>
        <v>0</v>
      </c>
      <c r="BL218" s="16">
        <f>IF(ISNUMBER(Risultati!Y217/100),(Risultati!Y217/100))</f>
        <v>0</v>
      </c>
      <c r="BM218" s="16">
        <f>IF(ISNUMBER(Risultati!Z217/100),(Risultati!Z217/100))</f>
        <v>0</v>
      </c>
      <c r="BN218" s="16">
        <f>IF(AND(Risultati!AY217&lt;0,calcoli!AP218&lt;0),-IF(ISNUMBER(Risultati!AA217/100),(Risultati!AA217/100)),IF(ISNUMBER(Risultati!AA217/100),(Risultati!AA217/100)))</f>
        <v>0</v>
      </c>
      <c r="BO218" s="16" t="str">
        <f t="shared" si="183"/>
        <v>0</v>
      </c>
      <c r="BP218" s="16" t="str">
        <f>IF(Risultati!AB217&gt;0,(AV218/Risultati!AB217),"0")</f>
        <v>0</v>
      </c>
      <c r="BQ218" s="16" t="str">
        <f>IF(Risultati!AG217&lt;&gt;0,(BH218/Risultati!AG217),"0")</f>
        <v>0</v>
      </c>
      <c r="BR218" s="16" t="str">
        <f t="shared" si="184"/>
        <v>0</v>
      </c>
      <c r="BS218" s="14" t="str">
        <f>IF(Risultati!AB217&gt;0,(Risultati!G217/Risultati!AB217),"0")</f>
        <v>0</v>
      </c>
      <c r="BT218" s="15" t="str">
        <f>IF(Risultati!AG217&lt;&gt;0,(Risultati!AB217/Risultati!AG217),"0")</f>
        <v>0</v>
      </c>
      <c r="BU218" s="23" t="str">
        <f>IF(AND(Risultati!G217&gt;0,(Risultati!AE217-Risultati!AF217)&gt;=0),((Risultati!AE217-Risultati!AF217)/Risultati!G217*360),"0")</f>
        <v>0</v>
      </c>
      <c r="BV218" s="21" t="str">
        <f>IF(OR(E218="abbreviato",Risultati!G217=0),"0",((Risultati!AC217+Risultati!AD217)/Risultati!G217*360))</f>
        <v>0</v>
      </c>
      <c r="BW218" s="21" t="str">
        <f>IF(OR(E218="abbreviato",Risultati!G217=0,SUM(Risultati!I217+Risultati!K217+Risultati!M217)=0),"0",(((Risultati!AH217+Risultati!AI217)/(Risultati!I217+Risultati!K217+Risultati!N217)*360)))</f>
        <v>0</v>
      </c>
      <c r="BX218" s="16" t="str">
        <f>IF(Risultati!AB217&gt;0,(+Risultati!AG217/Risultati!AB217),"0")</f>
        <v>0</v>
      </c>
      <c r="BY218" s="22" t="str">
        <f>IF(OR(E218="abbreviato",Risultati!G217=0),"0",(((Risultati!AK217-(Risultati!AL217+Risultati!AM217))/Risultati!G217)))</f>
        <v>0</v>
      </c>
      <c r="BZ218" s="16" t="str">
        <f>IF(Risultati!G217&gt;0,(Risultati!AJ217/Risultati!G217),"0")</f>
        <v>0</v>
      </c>
      <c r="CA218" s="8"/>
      <c r="CB218" s="10">
        <f>+Risultati!AP217</f>
        <v>0</v>
      </c>
      <c r="CC218" s="31" t="str">
        <f t="shared" ref="CC218:CC281" si="210">IF($CX218&gt;0,(CB218/$CX218),"0")</f>
        <v>0</v>
      </c>
      <c r="CD218" s="10">
        <f>+Risultati!AQ217</f>
        <v>0</v>
      </c>
      <c r="CE218" s="31" t="str">
        <f t="shared" ref="CE218:CE281" si="211">IF($CX218&gt;0,(CD218/$CX218),"0")</f>
        <v>0</v>
      </c>
      <c r="CF218" s="10">
        <f>+Risultati!AR217</f>
        <v>0</v>
      </c>
      <c r="CG218" s="31" t="str">
        <f t="shared" ref="CG218:CG281" si="212">IF($CX218&gt;0,(CF218/$CX218),"0")</f>
        <v>0</v>
      </c>
      <c r="CH218" s="10">
        <f>+Risultati!AS217</f>
        <v>0</v>
      </c>
      <c r="CI218" s="31" t="str">
        <f t="shared" ref="CI218:CI281" si="213">IF($CX218&gt;0,(CH218/$CX218),"0")</f>
        <v>0</v>
      </c>
      <c r="CJ218" s="10">
        <f t="shared" ref="CJ218:CJ281" si="214">+CH218+CF218+CD218</f>
        <v>0</v>
      </c>
      <c r="CK218" s="31" t="str">
        <f t="shared" ref="CK218:CK281" si="215">IF($CX218&gt;0,(CJ218/$CX218),"0")</f>
        <v>0</v>
      </c>
      <c r="CL218" s="10">
        <f>+Risultati!AE217+Risultati!AF217</f>
        <v>0</v>
      </c>
      <c r="CM218" s="31" t="str">
        <f t="shared" ref="CM218:CM281" si="216">IF($CX218&gt;0,(CL218/$CX218),"0")</f>
        <v>0</v>
      </c>
      <c r="CN218" s="10">
        <f>+Risultati!AT217</f>
        <v>0</v>
      </c>
      <c r="CO218" s="31" t="str">
        <f t="shared" ref="CO218:CO281" si="217">IF($CX218&gt;0,(CN218/$CX218),"0")</f>
        <v>0</v>
      </c>
      <c r="CP218" s="10">
        <f>+Risultati!AU217</f>
        <v>0</v>
      </c>
      <c r="CQ218" s="31" t="str">
        <f t="shared" ref="CQ218:CQ281" si="218">IF($CX218&gt;0,(CP218/$CX218),"0")</f>
        <v>0</v>
      </c>
      <c r="CR218" s="10">
        <f>+Risultati!AL217</f>
        <v>0</v>
      </c>
      <c r="CS218" s="31" t="str">
        <f t="shared" ref="CS218:CS281" si="219">IF($CX218&gt;0,(CR218/$CX218),"0")</f>
        <v>0</v>
      </c>
      <c r="CT218" s="10">
        <f t="shared" ref="CT218:CT281" si="220">+CR218+CP218+CN218+CL218</f>
        <v>0</v>
      </c>
      <c r="CU218" s="31" t="str">
        <f t="shared" ref="CU218:CU281" si="221">IF($CX218&gt;0,(CT218/$CX218),"0")</f>
        <v>0</v>
      </c>
      <c r="CV218" s="10">
        <f>+Risultati!AX217</f>
        <v>0</v>
      </c>
      <c r="CW218" s="31" t="str">
        <f t="shared" ref="CW218:CW281" si="222">IF($CX218&gt;0,(CV218/$CX218),"0")</f>
        <v>0</v>
      </c>
      <c r="CX218" s="10">
        <f t="shared" ref="CX218:CX281" si="223">+CV218+CT218+CJ218</f>
        <v>0</v>
      </c>
      <c r="CY218" s="31" t="str">
        <f t="shared" ref="CY218:CY281" si="224">IF($CX218&gt;0,(CX218/$CX218),"0")</f>
        <v>0</v>
      </c>
      <c r="CZ218" s="10">
        <f>+Risultati!AG217</f>
        <v>0</v>
      </c>
      <c r="DA218" s="31" t="str">
        <f t="shared" ref="DA218:DA281" si="225">IF($CX218&gt;0,(CZ218/$CX218),"0")</f>
        <v>0</v>
      </c>
      <c r="DB218" s="10">
        <f t="shared" ref="DB218:DB281" si="226">+DL218-CZ218-DD218-DJ218</f>
        <v>0</v>
      </c>
      <c r="DC218" s="31" t="str">
        <f t="shared" ref="DC218:DC281" si="227">IF($CX218&gt;0,(DB218/$CX218),"0")</f>
        <v>0</v>
      </c>
      <c r="DD218" s="10">
        <f>+Risultati!AV217</f>
        <v>0</v>
      </c>
      <c r="DE218" s="31" t="str">
        <f t="shared" ref="DE218:DE281" si="228">IF($CX218&gt;0,(DD218/$CX218),"0")</f>
        <v>0</v>
      </c>
      <c r="DF218" s="10">
        <f>+Risultati!AJ217</f>
        <v>0</v>
      </c>
      <c r="DG218" s="31" t="str">
        <f t="shared" ref="DG218:DG281" si="229">IF($CX218&gt;0,(DF218/$CX218),"0")</f>
        <v>0</v>
      </c>
      <c r="DH218" s="10">
        <f t="shared" ref="DH218:DH281" si="230">+DD218-DF218</f>
        <v>0</v>
      </c>
      <c r="DI218" s="31" t="str">
        <f t="shared" ref="DI218:DI281" si="231">IF($CX218&gt;0,(DH218/$CX218),"0")</f>
        <v>0</v>
      </c>
      <c r="DJ218" s="10">
        <f>+Risultati!AW217</f>
        <v>0</v>
      </c>
      <c r="DK218" s="31" t="str">
        <f t="shared" ref="DK218:DK281" si="232">IF($CX218&gt;0,(DJ218/$CX218),"0")</f>
        <v>0</v>
      </c>
      <c r="DL218" s="10">
        <f t="shared" si="203"/>
        <v>0</v>
      </c>
      <c r="DM218" s="31" t="str">
        <f t="shared" ref="DM218:DM281" si="233">IF($CX218&gt;0,(DL218/$CX218),"0")</f>
        <v>0</v>
      </c>
      <c r="DO218" s="30"/>
      <c r="DP218" s="30"/>
    </row>
    <row r="219" spans="1:120" x14ac:dyDescent="0.2">
      <c r="A219" s="5"/>
      <c r="B219" s="6">
        <f>+Risultati!B218</f>
        <v>0</v>
      </c>
      <c r="C219" s="6">
        <f>+Risultati!C218</f>
        <v>0</v>
      </c>
      <c r="D219" s="26" t="str">
        <f>IF(YEAR(Risultati!D218)=1900,(MID(Risultati!$AP$1,29,4)),YEAR(Risultati!D218))</f>
        <v/>
      </c>
      <c r="E219" s="6">
        <f>+Risultati!E218</f>
        <v>0</v>
      </c>
      <c r="F219" s="8" t="e">
        <f>(LEFT(Risultati!AN218,2)&amp;"-")&amp;VLOOKUP((LEFT(Risultati!AN218,2)),ateco!$B$4:$C$93,2,FALSE)</f>
        <v>#N/A</v>
      </c>
      <c r="G219" s="8" t="str">
        <f>SUBSTITUTE((Risultati!AN218&amp;"-"&amp;Risultati!AO218),",",";")</f>
        <v>-</v>
      </c>
      <c r="I219" s="10">
        <f>+Risultati!G218</f>
        <v>0</v>
      </c>
      <c r="J219" s="11" t="str">
        <f t="shared" si="185"/>
        <v>0</v>
      </c>
      <c r="K219" s="12"/>
      <c r="L219" s="10">
        <f>+Risultati!G218+Risultati!H218</f>
        <v>0</v>
      </c>
      <c r="M219" s="11" t="str">
        <f t="shared" si="186"/>
        <v>0</v>
      </c>
      <c r="N219" s="12"/>
      <c r="O219" s="10">
        <f>+Risultati!I218+Risultati!J218</f>
        <v>0</v>
      </c>
      <c r="P219" s="11" t="str">
        <f t="shared" si="187"/>
        <v>0</v>
      </c>
      <c r="Q219" s="12"/>
      <c r="R219" s="13">
        <f t="shared" si="204"/>
        <v>0</v>
      </c>
      <c r="S219" s="11" t="str">
        <f t="shared" si="188"/>
        <v>0</v>
      </c>
      <c r="T219" s="12"/>
      <c r="U219" s="10">
        <f>+Risultati!F218-(Risultati!G218+Risultati!H218)</f>
        <v>0</v>
      </c>
      <c r="V219" s="12" t="str">
        <f t="shared" si="189"/>
        <v>0</v>
      </c>
      <c r="W219" s="12"/>
      <c r="X219" s="10">
        <f t="shared" si="205"/>
        <v>0</v>
      </c>
      <c r="Y219" s="12" t="str">
        <f t="shared" si="190"/>
        <v>0</v>
      </c>
      <c r="Z219" s="12"/>
      <c r="AA219" s="10">
        <f>+Risultati!K218</f>
        <v>0</v>
      </c>
      <c r="AB219" s="12" t="str">
        <f t="shared" si="191"/>
        <v>0</v>
      </c>
      <c r="AC219" s="12"/>
      <c r="AD219" s="10">
        <f>+Risultati!L218</f>
        <v>0</v>
      </c>
      <c r="AE219" s="12" t="str">
        <f t="shared" si="192"/>
        <v>0</v>
      </c>
      <c r="AF219" s="12"/>
      <c r="AG219" s="10">
        <f>+Risultati!M218+Risultati!P218+Risultati!Q218</f>
        <v>0</v>
      </c>
      <c r="AH219" s="12" t="str">
        <f t="shared" si="193"/>
        <v>0</v>
      </c>
      <c r="AI219" s="12"/>
      <c r="AJ219" s="13">
        <f t="shared" si="206"/>
        <v>0</v>
      </c>
      <c r="AK219" s="11" t="str">
        <f t="shared" si="194"/>
        <v>0</v>
      </c>
      <c r="AL219" s="12"/>
      <c r="AM219" s="10">
        <f>+Risultati!N218</f>
        <v>0</v>
      </c>
      <c r="AN219" s="12" t="str">
        <f t="shared" si="195"/>
        <v>0</v>
      </c>
      <c r="AO219" s="12"/>
      <c r="AP219" s="10">
        <f t="shared" si="207"/>
        <v>0</v>
      </c>
      <c r="AQ219" s="41" t="str">
        <f t="shared" si="196"/>
        <v>0</v>
      </c>
      <c r="AR219" s="12"/>
      <c r="AS219" s="10">
        <f>+Risultati!O218</f>
        <v>0</v>
      </c>
      <c r="AT219" s="12" t="str">
        <f t="shared" si="197"/>
        <v>0</v>
      </c>
      <c r="AU219" s="12"/>
      <c r="AV219" s="10">
        <f t="shared" si="208"/>
        <v>0</v>
      </c>
      <c r="AW219" s="12" t="str">
        <f t="shared" si="198"/>
        <v>0</v>
      </c>
      <c r="AX219" s="12"/>
      <c r="AY219" s="10">
        <f>+Risultati!R218+Risultati!S218</f>
        <v>0</v>
      </c>
      <c r="AZ219" s="12" t="str">
        <f t="shared" si="199"/>
        <v>0</v>
      </c>
      <c r="BA219" s="12"/>
      <c r="BB219" s="10">
        <f>+Risultati!T218</f>
        <v>0</v>
      </c>
      <c r="BC219" s="12" t="str">
        <f t="shared" si="200"/>
        <v>0</v>
      </c>
      <c r="BD219" s="12"/>
      <c r="BE219" s="10">
        <f>+Risultati!U218</f>
        <v>0</v>
      </c>
      <c r="BF219" s="12" t="str">
        <f t="shared" si="201"/>
        <v>0</v>
      </c>
      <c r="BG219" s="12"/>
      <c r="BH219" s="10">
        <f t="shared" si="209"/>
        <v>0</v>
      </c>
      <c r="BI219" s="12" t="str">
        <f t="shared" si="202"/>
        <v>0</v>
      </c>
      <c r="BK219" s="16">
        <f>IF(ISNUMBER(Risultati!X218/100),(Risultati!X218/100))</f>
        <v>0</v>
      </c>
      <c r="BL219" s="16">
        <f>IF(ISNUMBER(Risultati!Y218/100),(Risultati!Y218/100))</f>
        <v>0</v>
      </c>
      <c r="BM219" s="16">
        <f>IF(ISNUMBER(Risultati!Z218/100),(Risultati!Z218/100))</f>
        <v>0</v>
      </c>
      <c r="BN219" s="16">
        <f>IF(AND(Risultati!AY218&lt;0,calcoli!AP219&lt;0),-IF(ISNUMBER(Risultati!AA218/100),(Risultati!AA218/100)),IF(ISNUMBER(Risultati!AA218/100),(Risultati!AA218/100)))</f>
        <v>0</v>
      </c>
      <c r="BO219" s="16" t="str">
        <f t="shared" si="183"/>
        <v>0</v>
      </c>
      <c r="BP219" s="16" t="str">
        <f>IF(Risultati!AB218&gt;0,(AV219/Risultati!AB218),"0")</f>
        <v>0</v>
      </c>
      <c r="BQ219" s="16" t="str">
        <f>IF(Risultati!AG218&lt;&gt;0,(BH219/Risultati!AG218),"0")</f>
        <v>0</v>
      </c>
      <c r="BR219" s="16" t="str">
        <f t="shared" si="184"/>
        <v>0</v>
      </c>
      <c r="BS219" s="14" t="str">
        <f>IF(Risultati!AB218&gt;0,(Risultati!G218/Risultati!AB218),"0")</f>
        <v>0</v>
      </c>
      <c r="BT219" s="15" t="str">
        <f>IF(Risultati!AG218&lt;&gt;0,(Risultati!AB218/Risultati!AG218),"0")</f>
        <v>0</v>
      </c>
      <c r="BU219" s="23" t="str">
        <f>IF(AND(Risultati!G218&gt;0,(Risultati!AE218-Risultati!AF218)&gt;=0),((Risultati!AE218-Risultati!AF218)/Risultati!G218*360),"0")</f>
        <v>0</v>
      </c>
      <c r="BV219" s="21" t="str">
        <f>IF(OR(E219="abbreviato",Risultati!G218=0),"0",((Risultati!AC218+Risultati!AD218)/Risultati!G218*360))</f>
        <v>0</v>
      </c>
      <c r="BW219" s="21" t="str">
        <f>IF(OR(E219="abbreviato",Risultati!G218=0,SUM(Risultati!I218+Risultati!K218+Risultati!M218)=0),"0",(((Risultati!AH218+Risultati!AI218)/(Risultati!I218+Risultati!K218+Risultati!N218)*360)))</f>
        <v>0</v>
      </c>
      <c r="BX219" s="16" t="str">
        <f>IF(Risultati!AB218&gt;0,(+Risultati!AG218/Risultati!AB218),"0")</f>
        <v>0</v>
      </c>
      <c r="BY219" s="22" t="str">
        <f>IF(OR(E219="abbreviato",Risultati!G218=0),"0",(((Risultati!AK218-(Risultati!AL218+Risultati!AM218))/Risultati!G218)))</f>
        <v>0</v>
      </c>
      <c r="BZ219" s="16" t="str">
        <f>IF(Risultati!G218&gt;0,(Risultati!AJ218/Risultati!G218),"0")</f>
        <v>0</v>
      </c>
      <c r="CA219" s="8"/>
      <c r="CB219" s="10">
        <f>+Risultati!AP218</f>
        <v>0</v>
      </c>
      <c r="CC219" s="31" t="str">
        <f t="shared" si="210"/>
        <v>0</v>
      </c>
      <c r="CD219" s="10">
        <f>+Risultati!AQ218</f>
        <v>0</v>
      </c>
      <c r="CE219" s="31" t="str">
        <f t="shared" si="211"/>
        <v>0</v>
      </c>
      <c r="CF219" s="10">
        <f>+Risultati!AR218</f>
        <v>0</v>
      </c>
      <c r="CG219" s="31" t="str">
        <f t="shared" si="212"/>
        <v>0</v>
      </c>
      <c r="CH219" s="10">
        <f>+Risultati!AS218</f>
        <v>0</v>
      </c>
      <c r="CI219" s="31" t="str">
        <f t="shared" si="213"/>
        <v>0</v>
      </c>
      <c r="CJ219" s="10">
        <f t="shared" si="214"/>
        <v>0</v>
      </c>
      <c r="CK219" s="31" t="str">
        <f t="shared" si="215"/>
        <v>0</v>
      </c>
      <c r="CL219" s="10">
        <f>+Risultati!AE218+Risultati!AF218</f>
        <v>0</v>
      </c>
      <c r="CM219" s="31" t="str">
        <f t="shared" si="216"/>
        <v>0</v>
      </c>
      <c r="CN219" s="10">
        <f>+Risultati!AT218</f>
        <v>0</v>
      </c>
      <c r="CO219" s="31" t="str">
        <f t="shared" si="217"/>
        <v>0</v>
      </c>
      <c r="CP219" s="10">
        <f>+Risultati!AU218</f>
        <v>0</v>
      </c>
      <c r="CQ219" s="31" t="str">
        <f t="shared" si="218"/>
        <v>0</v>
      </c>
      <c r="CR219" s="10">
        <f>+Risultati!AL218</f>
        <v>0</v>
      </c>
      <c r="CS219" s="31" t="str">
        <f t="shared" si="219"/>
        <v>0</v>
      </c>
      <c r="CT219" s="10">
        <f t="shared" si="220"/>
        <v>0</v>
      </c>
      <c r="CU219" s="31" t="str">
        <f t="shared" si="221"/>
        <v>0</v>
      </c>
      <c r="CV219" s="10">
        <f>+Risultati!AX218</f>
        <v>0</v>
      </c>
      <c r="CW219" s="31" t="str">
        <f t="shared" si="222"/>
        <v>0</v>
      </c>
      <c r="CX219" s="10">
        <f t="shared" si="223"/>
        <v>0</v>
      </c>
      <c r="CY219" s="31" t="str">
        <f t="shared" si="224"/>
        <v>0</v>
      </c>
      <c r="CZ219" s="10">
        <f>+Risultati!AG218</f>
        <v>0</v>
      </c>
      <c r="DA219" s="31" t="str">
        <f t="shared" si="225"/>
        <v>0</v>
      </c>
      <c r="DB219" s="10">
        <f t="shared" si="226"/>
        <v>0</v>
      </c>
      <c r="DC219" s="31" t="str">
        <f t="shared" si="227"/>
        <v>0</v>
      </c>
      <c r="DD219" s="10">
        <f>+Risultati!AV218</f>
        <v>0</v>
      </c>
      <c r="DE219" s="31" t="str">
        <f t="shared" si="228"/>
        <v>0</v>
      </c>
      <c r="DF219" s="10">
        <f>+Risultati!AJ218</f>
        <v>0</v>
      </c>
      <c r="DG219" s="31" t="str">
        <f t="shared" si="229"/>
        <v>0</v>
      </c>
      <c r="DH219" s="10">
        <f t="shared" si="230"/>
        <v>0</v>
      </c>
      <c r="DI219" s="31" t="str">
        <f t="shared" si="231"/>
        <v>0</v>
      </c>
      <c r="DJ219" s="10">
        <f>+Risultati!AW218</f>
        <v>0</v>
      </c>
      <c r="DK219" s="31" t="str">
        <f t="shared" si="232"/>
        <v>0</v>
      </c>
      <c r="DL219" s="10">
        <f t="shared" si="203"/>
        <v>0</v>
      </c>
      <c r="DM219" s="31" t="str">
        <f t="shared" si="233"/>
        <v>0</v>
      </c>
      <c r="DO219" s="30"/>
      <c r="DP219" s="30"/>
    </row>
    <row r="220" spans="1:120" x14ac:dyDescent="0.2">
      <c r="A220" s="5"/>
      <c r="B220" s="6">
        <f>+Risultati!B219</f>
        <v>0</v>
      </c>
      <c r="C220" s="6">
        <f>+Risultati!C219</f>
        <v>0</v>
      </c>
      <c r="D220" s="26" t="str">
        <f>IF(YEAR(Risultati!D219)=1900,(MID(Risultati!$AP$1,29,4)),YEAR(Risultati!D219))</f>
        <v/>
      </c>
      <c r="E220" s="6">
        <f>+Risultati!E219</f>
        <v>0</v>
      </c>
      <c r="F220" s="8" t="e">
        <f>(LEFT(Risultati!AN219,2)&amp;"-")&amp;VLOOKUP((LEFT(Risultati!AN219,2)),ateco!$B$4:$C$93,2,FALSE)</f>
        <v>#N/A</v>
      </c>
      <c r="G220" s="8" t="str">
        <f>SUBSTITUTE((Risultati!AN219&amp;"-"&amp;Risultati!AO219),",",";")</f>
        <v>-</v>
      </c>
      <c r="I220" s="10">
        <f>+Risultati!G219</f>
        <v>0</v>
      </c>
      <c r="J220" s="11" t="str">
        <f t="shared" si="185"/>
        <v>0</v>
      </c>
      <c r="K220" s="12"/>
      <c r="L220" s="10">
        <f>+Risultati!G219+Risultati!H219</f>
        <v>0</v>
      </c>
      <c r="M220" s="11" t="str">
        <f t="shared" si="186"/>
        <v>0</v>
      </c>
      <c r="N220" s="12"/>
      <c r="O220" s="10">
        <f>+Risultati!I219+Risultati!J219</f>
        <v>0</v>
      </c>
      <c r="P220" s="11" t="str">
        <f t="shared" si="187"/>
        <v>0</v>
      </c>
      <c r="Q220" s="12"/>
      <c r="R220" s="13">
        <f t="shared" si="204"/>
        <v>0</v>
      </c>
      <c r="S220" s="11" t="str">
        <f t="shared" si="188"/>
        <v>0</v>
      </c>
      <c r="T220" s="12"/>
      <c r="U220" s="10">
        <f>+Risultati!F219-(Risultati!G219+Risultati!H219)</f>
        <v>0</v>
      </c>
      <c r="V220" s="12" t="str">
        <f t="shared" si="189"/>
        <v>0</v>
      </c>
      <c r="W220" s="12"/>
      <c r="X220" s="10">
        <f t="shared" si="205"/>
        <v>0</v>
      </c>
      <c r="Y220" s="12" t="str">
        <f t="shared" si="190"/>
        <v>0</v>
      </c>
      <c r="Z220" s="12"/>
      <c r="AA220" s="10">
        <f>+Risultati!K219</f>
        <v>0</v>
      </c>
      <c r="AB220" s="12" t="str">
        <f t="shared" si="191"/>
        <v>0</v>
      </c>
      <c r="AC220" s="12"/>
      <c r="AD220" s="10">
        <f>+Risultati!L219</f>
        <v>0</v>
      </c>
      <c r="AE220" s="12" t="str">
        <f t="shared" si="192"/>
        <v>0</v>
      </c>
      <c r="AF220" s="12"/>
      <c r="AG220" s="10">
        <f>+Risultati!M219+Risultati!P219+Risultati!Q219</f>
        <v>0</v>
      </c>
      <c r="AH220" s="12" t="str">
        <f t="shared" si="193"/>
        <v>0</v>
      </c>
      <c r="AI220" s="12"/>
      <c r="AJ220" s="13">
        <f t="shared" si="206"/>
        <v>0</v>
      </c>
      <c r="AK220" s="11" t="str">
        <f t="shared" si="194"/>
        <v>0</v>
      </c>
      <c r="AL220" s="12"/>
      <c r="AM220" s="10">
        <f>+Risultati!N219</f>
        <v>0</v>
      </c>
      <c r="AN220" s="12" t="str">
        <f t="shared" si="195"/>
        <v>0</v>
      </c>
      <c r="AO220" s="12"/>
      <c r="AP220" s="10">
        <f t="shared" si="207"/>
        <v>0</v>
      </c>
      <c r="AQ220" s="41" t="str">
        <f t="shared" si="196"/>
        <v>0</v>
      </c>
      <c r="AR220" s="12"/>
      <c r="AS220" s="10">
        <f>+Risultati!O219</f>
        <v>0</v>
      </c>
      <c r="AT220" s="12" t="str">
        <f t="shared" si="197"/>
        <v>0</v>
      </c>
      <c r="AU220" s="12"/>
      <c r="AV220" s="10">
        <f t="shared" si="208"/>
        <v>0</v>
      </c>
      <c r="AW220" s="12" t="str">
        <f t="shared" si="198"/>
        <v>0</v>
      </c>
      <c r="AX220" s="12"/>
      <c r="AY220" s="10">
        <f>+Risultati!R219+Risultati!S219</f>
        <v>0</v>
      </c>
      <c r="AZ220" s="12" t="str">
        <f t="shared" si="199"/>
        <v>0</v>
      </c>
      <c r="BA220" s="12"/>
      <c r="BB220" s="10">
        <f>+Risultati!T219</f>
        <v>0</v>
      </c>
      <c r="BC220" s="12" t="str">
        <f t="shared" si="200"/>
        <v>0</v>
      </c>
      <c r="BD220" s="12"/>
      <c r="BE220" s="10">
        <f>+Risultati!U219</f>
        <v>0</v>
      </c>
      <c r="BF220" s="12" t="str">
        <f t="shared" si="201"/>
        <v>0</v>
      </c>
      <c r="BG220" s="12"/>
      <c r="BH220" s="10">
        <f t="shared" si="209"/>
        <v>0</v>
      </c>
      <c r="BI220" s="12" t="str">
        <f t="shared" si="202"/>
        <v>0</v>
      </c>
      <c r="BK220" s="16">
        <f>IF(ISNUMBER(Risultati!X219/100),(Risultati!X219/100))</f>
        <v>0</v>
      </c>
      <c r="BL220" s="16">
        <f>IF(ISNUMBER(Risultati!Y219/100),(Risultati!Y219/100))</f>
        <v>0</v>
      </c>
      <c r="BM220" s="16">
        <f>IF(ISNUMBER(Risultati!Z219/100),(Risultati!Z219/100))</f>
        <v>0</v>
      </c>
      <c r="BN220" s="16">
        <f>IF(AND(Risultati!AY219&lt;0,calcoli!AP220&lt;0),-IF(ISNUMBER(Risultati!AA219/100),(Risultati!AA219/100)),IF(ISNUMBER(Risultati!AA219/100),(Risultati!AA219/100)))</f>
        <v>0</v>
      </c>
      <c r="BO220" s="16" t="str">
        <f t="shared" si="183"/>
        <v>0</v>
      </c>
      <c r="BP220" s="16" t="str">
        <f>IF(Risultati!AB219&gt;0,(AV220/Risultati!AB219),"0")</f>
        <v>0</v>
      </c>
      <c r="BQ220" s="16" t="str">
        <f>IF(Risultati!AG219&lt;&gt;0,(BH220/Risultati!AG219),"0")</f>
        <v>0</v>
      </c>
      <c r="BR220" s="16" t="str">
        <f t="shared" si="184"/>
        <v>0</v>
      </c>
      <c r="BS220" s="14" t="str">
        <f>IF(Risultati!AB219&gt;0,(Risultati!G219/Risultati!AB219),"0")</f>
        <v>0</v>
      </c>
      <c r="BT220" s="15" t="str">
        <f>IF(Risultati!AG219&lt;&gt;0,(Risultati!AB219/Risultati!AG219),"0")</f>
        <v>0</v>
      </c>
      <c r="BU220" s="23" t="str">
        <f>IF(AND(Risultati!G219&gt;0,(Risultati!AE219-Risultati!AF219)&gt;=0),((Risultati!AE219-Risultati!AF219)/Risultati!G219*360),"0")</f>
        <v>0</v>
      </c>
      <c r="BV220" s="21" t="str">
        <f>IF(OR(E220="abbreviato",Risultati!G219=0),"0",((Risultati!AC219+Risultati!AD219)/Risultati!G219*360))</f>
        <v>0</v>
      </c>
      <c r="BW220" s="21" t="str">
        <f>IF(OR(E220="abbreviato",Risultati!G219=0,SUM(Risultati!I219+Risultati!K219+Risultati!M219)=0),"0",(((Risultati!AH219+Risultati!AI219)/(Risultati!I219+Risultati!K219+Risultati!N219)*360)))</f>
        <v>0</v>
      </c>
      <c r="BX220" s="16" t="str">
        <f>IF(Risultati!AB219&gt;0,(+Risultati!AG219/Risultati!AB219),"0")</f>
        <v>0</v>
      </c>
      <c r="BY220" s="22" t="str">
        <f>IF(OR(E220="abbreviato",Risultati!G219=0),"0",(((Risultati!AK219-(Risultati!AL219+Risultati!AM219))/Risultati!G219)))</f>
        <v>0</v>
      </c>
      <c r="BZ220" s="16" t="str">
        <f>IF(Risultati!G219&gt;0,(Risultati!AJ219/Risultati!G219),"0")</f>
        <v>0</v>
      </c>
      <c r="CA220" s="8"/>
      <c r="CB220" s="10">
        <f>+Risultati!AP219</f>
        <v>0</v>
      </c>
      <c r="CC220" s="31" t="str">
        <f t="shared" si="210"/>
        <v>0</v>
      </c>
      <c r="CD220" s="10">
        <f>+Risultati!AQ219</f>
        <v>0</v>
      </c>
      <c r="CE220" s="31" t="str">
        <f t="shared" si="211"/>
        <v>0</v>
      </c>
      <c r="CF220" s="10">
        <f>+Risultati!AR219</f>
        <v>0</v>
      </c>
      <c r="CG220" s="31" t="str">
        <f t="shared" si="212"/>
        <v>0</v>
      </c>
      <c r="CH220" s="10">
        <f>+Risultati!AS219</f>
        <v>0</v>
      </c>
      <c r="CI220" s="31" t="str">
        <f t="shared" si="213"/>
        <v>0</v>
      </c>
      <c r="CJ220" s="10">
        <f t="shared" si="214"/>
        <v>0</v>
      </c>
      <c r="CK220" s="31" t="str">
        <f t="shared" si="215"/>
        <v>0</v>
      </c>
      <c r="CL220" s="10">
        <f>+Risultati!AE219+Risultati!AF219</f>
        <v>0</v>
      </c>
      <c r="CM220" s="31" t="str">
        <f t="shared" si="216"/>
        <v>0</v>
      </c>
      <c r="CN220" s="10">
        <f>+Risultati!AT219</f>
        <v>0</v>
      </c>
      <c r="CO220" s="31" t="str">
        <f t="shared" si="217"/>
        <v>0</v>
      </c>
      <c r="CP220" s="10">
        <f>+Risultati!AU219</f>
        <v>0</v>
      </c>
      <c r="CQ220" s="31" t="str">
        <f t="shared" si="218"/>
        <v>0</v>
      </c>
      <c r="CR220" s="10">
        <f>+Risultati!AL219</f>
        <v>0</v>
      </c>
      <c r="CS220" s="31" t="str">
        <f t="shared" si="219"/>
        <v>0</v>
      </c>
      <c r="CT220" s="10">
        <f t="shared" si="220"/>
        <v>0</v>
      </c>
      <c r="CU220" s="31" t="str">
        <f t="shared" si="221"/>
        <v>0</v>
      </c>
      <c r="CV220" s="10">
        <f>+Risultati!AX219</f>
        <v>0</v>
      </c>
      <c r="CW220" s="31" t="str">
        <f t="shared" si="222"/>
        <v>0</v>
      </c>
      <c r="CX220" s="10">
        <f t="shared" si="223"/>
        <v>0</v>
      </c>
      <c r="CY220" s="31" t="str">
        <f t="shared" si="224"/>
        <v>0</v>
      </c>
      <c r="CZ220" s="10">
        <f>+Risultati!AG219</f>
        <v>0</v>
      </c>
      <c r="DA220" s="31" t="str">
        <f t="shared" si="225"/>
        <v>0</v>
      </c>
      <c r="DB220" s="10">
        <f t="shared" si="226"/>
        <v>0</v>
      </c>
      <c r="DC220" s="31" t="str">
        <f t="shared" si="227"/>
        <v>0</v>
      </c>
      <c r="DD220" s="10">
        <f>+Risultati!AV219</f>
        <v>0</v>
      </c>
      <c r="DE220" s="31" t="str">
        <f t="shared" si="228"/>
        <v>0</v>
      </c>
      <c r="DF220" s="10">
        <f>+Risultati!AJ219</f>
        <v>0</v>
      </c>
      <c r="DG220" s="31" t="str">
        <f t="shared" si="229"/>
        <v>0</v>
      </c>
      <c r="DH220" s="10">
        <f t="shared" si="230"/>
        <v>0</v>
      </c>
      <c r="DI220" s="31" t="str">
        <f t="shared" si="231"/>
        <v>0</v>
      </c>
      <c r="DJ220" s="10">
        <f>+Risultati!AW219</f>
        <v>0</v>
      </c>
      <c r="DK220" s="31" t="str">
        <f t="shared" si="232"/>
        <v>0</v>
      </c>
      <c r="DL220" s="10">
        <f t="shared" si="203"/>
        <v>0</v>
      </c>
      <c r="DM220" s="31" t="str">
        <f t="shared" si="233"/>
        <v>0</v>
      </c>
      <c r="DO220" s="30"/>
      <c r="DP220" s="30"/>
    </row>
    <row r="221" spans="1:120" x14ac:dyDescent="0.2">
      <c r="A221" s="5"/>
      <c r="B221" s="6">
        <f>+Risultati!B220</f>
        <v>0</v>
      </c>
      <c r="C221" s="6">
        <f>+Risultati!C220</f>
        <v>0</v>
      </c>
      <c r="D221" s="26" t="str">
        <f>IF(YEAR(Risultati!D220)=1900,(MID(Risultati!$AP$1,29,4)),YEAR(Risultati!D220))</f>
        <v/>
      </c>
      <c r="E221" s="6">
        <f>+Risultati!E220</f>
        <v>0</v>
      </c>
      <c r="F221" s="8" t="e">
        <f>(LEFT(Risultati!AN220,2)&amp;"-")&amp;VLOOKUP((LEFT(Risultati!AN220,2)),ateco!$B$4:$C$93,2,FALSE)</f>
        <v>#N/A</v>
      </c>
      <c r="G221" s="8" t="str">
        <f>SUBSTITUTE((Risultati!AN220&amp;"-"&amp;Risultati!AO220),",",";")</f>
        <v>-</v>
      </c>
      <c r="I221" s="10">
        <f>+Risultati!G220</f>
        <v>0</v>
      </c>
      <c r="J221" s="11" t="str">
        <f t="shared" si="185"/>
        <v>0</v>
      </c>
      <c r="K221" s="12"/>
      <c r="L221" s="10">
        <f>+Risultati!G220+Risultati!H220</f>
        <v>0</v>
      </c>
      <c r="M221" s="11" t="str">
        <f t="shared" si="186"/>
        <v>0</v>
      </c>
      <c r="N221" s="12"/>
      <c r="O221" s="10">
        <f>+Risultati!I220+Risultati!J220</f>
        <v>0</v>
      </c>
      <c r="P221" s="11" t="str">
        <f t="shared" si="187"/>
        <v>0</v>
      </c>
      <c r="Q221" s="12"/>
      <c r="R221" s="13">
        <f t="shared" si="204"/>
        <v>0</v>
      </c>
      <c r="S221" s="11" t="str">
        <f t="shared" si="188"/>
        <v>0</v>
      </c>
      <c r="T221" s="12"/>
      <c r="U221" s="10">
        <f>+Risultati!F220-(Risultati!G220+Risultati!H220)</f>
        <v>0</v>
      </c>
      <c r="V221" s="12" t="str">
        <f t="shared" si="189"/>
        <v>0</v>
      </c>
      <c r="W221" s="12"/>
      <c r="X221" s="10">
        <f t="shared" si="205"/>
        <v>0</v>
      </c>
      <c r="Y221" s="12" t="str">
        <f t="shared" si="190"/>
        <v>0</v>
      </c>
      <c r="Z221" s="12"/>
      <c r="AA221" s="10">
        <f>+Risultati!K220</f>
        <v>0</v>
      </c>
      <c r="AB221" s="12" t="str">
        <f t="shared" si="191"/>
        <v>0</v>
      </c>
      <c r="AC221" s="12"/>
      <c r="AD221" s="10">
        <f>+Risultati!L220</f>
        <v>0</v>
      </c>
      <c r="AE221" s="12" t="str">
        <f t="shared" si="192"/>
        <v>0</v>
      </c>
      <c r="AF221" s="12"/>
      <c r="AG221" s="10">
        <f>+Risultati!M220+Risultati!P220+Risultati!Q220</f>
        <v>0</v>
      </c>
      <c r="AH221" s="12" t="str">
        <f t="shared" si="193"/>
        <v>0</v>
      </c>
      <c r="AI221" s="12"/>
      <c r="AJ221" s="13">
        <f t="shared" si="206"/>
        <v>0</v>
      </c>
      <c r="AK221" s="11" t="str">
        <f t="shared" si="194"/>
        <v>0</v>
      </c>
      <c r="AL221" s="12"/>
      <c r="AM221" s="10">
        <f>+Risultati!N220</f>
        <v>0</v>
      </c>
      <c r="AN221" s="12" t="str">
        <f t="shared" si="195"/>
        <v>0</v>
      </c>
      <c r="AO221" s="12"/>
      <c r="AP221" s="10">
        <f t="shared" si="207"/>
        <v>0</v>
      </c>
      <c r="AQ221" s="41" t="str">
        <f t="shared" si="196"/>
        <v>0</v>
      </c>
      <c r="AR221" s="12"/>
      <c r="AS221" s="10">
        <f>+Risultati!O220</f>
        <v>0</v>
      </c>
      <c r="AT221" s="12" t="str">
        <f t="shared" si="197"/>
        <v>0</v>
      </c>
      <c r="AU221" s="12"/>
      <c r="AV221" s="10">
        <f t="shared" si="208"/>
        <v>0</v>
      </c>
      <c r="AW221" s="12" t="str">
        <f t="shared" si="198"/>
        <v>0</v>
      </c>
      <c r="AX221" s="12"/>
      <c r="AY221" s="10">
        <f>+Risultati!R220+Risultati!S220</f>
        <v>0</v>
      </c>
      <c r="AZ221" s="12" t="str">
        <f t="shared" si="199"/>
        <v>0</v>
      </c>
      <c r="BA221" s="12"/>
      <c r="BB221" s="10">
        <f>+Risultati!T220</f>
        <v>0</v>
      </c>
      <c r="BC221" s="12" t="str">
        <f t="shared" si="200"/>
        <v>0</v>
      </c>
      <c r="BD221" s="12"/>
      <c r="BE221" s="10">
        <f>+Risultati!U220</f>
        <v>0</v>
      </c>
      <c r="BF221" s="12" t="str">
        <f t="shared" si="201"/>
        <v>0</v>
      </c>
      <c r="BG221" s="12"/>
      <c r="BH221" s="10">
        <f t="shared" si="209"/>
        <v>0</v>
      </c>
      <c r="BI221" s="12" t="str">
        <f t="shared" si="202"/>
        <v>0</v>
      </c>
      <c r="BK221" s="16">
        <f>IF(ISNUMBER(Risultati!X220/100),(Risultati!X220/100))</f>
        <v>0</v>
      </c>
      <c r="BL221" s="16">
        <f>IF(ISNUMBER(Risultati!Y220/100),(Risultati!Y220/100))</f>
        <v>0</v>
      </c>
      <c r="BM221" s="16">
        <f>IF(ISNUMBER(Risultati!Z220/100),(Risultati!Z220/100))</f>
        <v>0</v>
      </c>
      <c r="BN221" s="16">
        <f>IF(AND(Risultati!AY220&lt;0,calcoli!AP221&lt;0),-IF(ISNUMBER(Risultati!AA220/100),(Risultati!AA220/100)),IF(ISNUMBER(Risultati!AA220/100),(Risultati!AA220/100)))</f>
        <v>0</v>
      </c>
      <c r="BO221" s="16" t="str">
        <f t="shared" si="183"/>
        <v>0</v>
      </c>
      <c r="BP221" s="16" t="str">
        <f>IF(Risultati!AB220&gt;0,(AV221/Risultati!AB220),"0")</f>
        <v>0</v>
      </c>
      <c r="BQ221" s="16" t="str">
        <f>IF(Risultati!AG220&lt;&gt;0,(BH221/Risultati!AG220),"0")</f>
        <v>0</v>
      </c>
      <c r="BR221" s="16" t="str">
        <f t="shared" si="184"/>
        <v>0</v>
      </c>
      <c r="BS221" s="14" t="str">
        <f>IF(Risultati!AB220&gt;0,(Risultati!G220/Risultati!AB220),"0")</f>
        <v>0</v>
      </c>
      <c r="BT221" s="15" t="str">
        <f>IF(Risultati!AG220&lt;&gt;0,(Risultati!AB220/Risultati!AG220),"0")</f>
        <v>0</v>
      </c>
      <c r="BU221" s="23" t="str">
        <f>IF(AND(Risultati!G220&gt;0,(Risultati!AE220-Risultati!AF220)&gt;=0),((Risultati!AE220-Risultati!AF220)/Risultati!G220*360),"0")</f>
        <v>0</v>
      </c>
      <c r="BV221" s="21" t="str">
        <f>IF(OR(E221="abbreviato",Risultati!G220=0),"0",((Risultati!AC220+Risultati!AD220)/Risultati!G220*360))</f>
        <v>0</v>
      </c>
      <c r="BW221" s="21" t="str">
        <f>IF(OR(E221="abbreviato",Risultati!G220=0,SUM(Risultati!I220+Risultati!K220+Risultati!M220)=0),"0",(((Risultati!AH220+Risultati!AI220)/(Risultati!I220+Risultati!K220+Risultati!N220)*360)))</f>
        <v>0</v>
      </c>
      <c r="BX221" s="16" t="str">
        <f>IF(Risultati!AB220&gt;0,(+Risultati!AG220/Risultati!AB220),"0")</f>
        <v>0</v>
      </c>
      <c r="BY221" s="22" t="str">
        <f>IF(OR(E221="abbreviato",Risultati!G220=0),"0",(((Risultati!AK220-(Risultati!AL220+Risultati!AM220))/Risultati!G220)))</f>
        <v>0</v>
      </c>
      <c r="BZ221" s="16" t="str">
        <f>IF(Risultati!G220&gt;0,(Risultati!AJ220/Risultati!G220),"0")</f>
        <v>0</v>
      </c>
      <c r="CA221" s="8"/>
      <c r="CB221" s="10">
        <f>+Risultati!AP220</f>
        <v>0</v>
      </c>
      <c r="CC221" s="31" t="str">
        <f t="shared" si="210"/>
        <v>0</v>
      </c>
      <c r="CD221" s="10">
        <f>+Risultati!AQ220</f>
        <v>0</v>
      </c>
      <c r="CE221" s="31" t="str">
        <f t="shared" si="211"/>
        <v>0</v>
      </c>
      <c r="CF221" s="10">
        <f>+Risultati!AR220</f>
        <v>0</v>
      </c>
      <c r="CG221" s="31" t="str">
        <f t="shared" si="212"/>
        <v>0</v>
      </c>
      <c r="CH221" s="10">
        <f>+Risultati!AS220</f>
        <v>0</v>
      </c>
      <c r="CI221" s="31" t="str">
        <f t="shared" si="213"/>
        <v>0</v>
      </c>
      <c r="CJ221" s="10">
        <f t="shared" si="214"/>
        <v>0</v>
      </c>
      <c r="CK221" s="31" t="str">
        <f t="shared" si="215"/>
        <v>0</v>
      </c>
      <c r="CL221" s="10">
        <f>+Risultati!AE220+Risultati!AF220</f>
        <v>0</v>
      </c>
      <c r="CM221" s="31" t="str">
        <f t="shared" si="216"/>
        <v>0</v>
      </c>
      <c r="CN221" s="10">
        <f>+Risultati!AT220</f>
        <v>0</v>
      </c>
      <c r="CO221" s="31" t="str">
        <f t="shared" si="217"/>
        <v>0</v>
      </c>
      <c r="CP221" s="10">
        <f>+Risultati!AU220</f>
        <v>0</v>
      </c>
      <c r="CQ221" s="31" t="str">
        <f t="shared" si="218"/>
        <v>0</v>
      </c>
      <c r="CR221" s="10">
        <f>+Risultati!AL220</f>
        <v>0</v>
      </c>
      <c r="CS221" s="31" t="str">
        <f t="shared" si="219"/>
        <v>0</v>
      </c>
      <c r="CT221" s="10">
        <f t="shared" si="220"/>
        <v>0</v>
      </c>
      <c r="CU221" s="31" t="str">
        <f t="shared" si="221"/>
        <v>0</v>
      </c>
      <c r="CV221" s="10">
        <f>+Risultati!AX220</f>
        <v>0</v>
      </c>
      <c r="CW221" s="31" t="str">
        <f t="shared" si="222"/>
        <v>0</v>
      </c>
      <c r="CX221" s="10">
        <f t="shared" si="223"/>
        <v>0</v>
      </c>
      <c r="CY221" s="31" t="str">
        <f t="shared" si="224"/>
        <v>0</v>
      </c>
      <c r="CZ221" s="10">
        <f>+Risultati!AG220</f>
        <v>0</v>
      </c>
      <c r="DA221" s="31" t="str">
        <f t="shared" si="225"/>
        <v>0</v>
      </c>
      <c r="DB221" s="10">
        <f t="shared" si="226"/>
        <v>0</v>
      </c>
      <c r="DC221" s="31" t="str">
        <f t="shared" si="227"/>
        <v>0</v>
      </c>
      <c r="DD221" s="10">
        <f>+Risultati!AV220</f>
        <v>0</v>
      </c>
      <c r="DE221" s="31" t="str">
        <f t="shared" si="228"/>
        <v>0</v>
      </c>
      <c r="DF221" s="10">
        <f>+Risultati!AJ220</f>
        <v>0</v>
      </c>
      <c r="DG221" s="31" t="str">
        <f t="shared" si="229"/>
        <v>0</v>
      </c>
      <c r="DH221" s="10">
        <f t="shared" si="230"/>
        <v>0</v>
      </c>
      <c r="DI221" s="31" t="str">
        <f t="shared" si="231"/>
        <v>0</v>
      </c>
      <c r="DJ221" s="10">
        <f>+Risultati!AW220</f>
        <v>0</v>
      </c>
      <c r="DK221" s="31" t="str">
        <f t="shared" si="232"/>
        <v>0</v>
      </c>
      <c r="DL221" s="10">
        <f t="shared" si="203"/>
        <v>0</v>
      </c>
      <c r="DM221" s="31" t="str">
        <f t="shared" si="233"/>
        <v>0</v>
      </c>
      <c r="DO221" s="30"/>
      <c r="DP221" s="30"/>
    </row>
    <row r="222" spans="1:120" x14ac:dyDescent="0.2">
      <c r="A222" s="5"/>
      <c r="B222" s="6">
        <f>+Risultati!B221</f>
        <v>0</v>
      </c>
      <c r="C222" s="6">
        <f>+Risultati!C221</f>
        <v>0</v>
      </c>
      <c r="D222" s="26" t="str">
        <f>IF(YEAR(Risultati!D221)=1900,(MID(Risultati!$AP$1,29,4)),YEAR(Risultati!D221))</f>
        <v/>
      </c>
      <c r="E222" s="6">
        <f>+Risultati!E221</f>
        <v>0</v>
      </c>
      <c r="F222" s="8" t="e">
        <f>(LEFT(Risultati!AN221,2)&amp;"-")&amp;VLOOKUP((LEFT(Risultati!AN221,2)),ateco!$B$4:$C$93,2,FALSE)</f>
        <v>#N/A</v>
      </c>
      <c r="G222" s="8" t="str">
        <f>SUBSTITUTE((Risultati!AN221&amp;"-"&amp;Risultati!AO221),",",";")</f>
        <v>-</v>
      </c>
      <c r="I222" s="10">
        <f>+Risultati!G221</f>
        <v>0</v>
      </c>
      <c r="J222" s="11" t="str">
        <f t="shared" si="185"/>
        <v>0</v>
      </c>
      <c r="K222" s="12"/>
      <c r="L222" s="10">
        <f>+Risultati!G221+Risultati!H221</f>
        <v>0</v>
      </c>
      <c r="M222" s="11" t="str">
        <f t="shared" si="186"/>
        <v>0</v>
      </c>
      <c r="N222" s="12"/>
      <c r="O222" s="10">
        <f>+Risultati!I221+Risultati!J221</f>
        <v>0</v>
      </c>
      <c r="P222" s="11" t="str">
        <f t="shared" si="187"/>
        <v>0</v>
      </c>
      <c r="Q222" s="12"/>
      <c r="R222" s="13">
        <f t="shared" si="204"/>
        <v>0</v>
      </c>
      <c r="S222" s="11" t="str">
        <f t="shared" si="188"/>
        <v>0</v>
      </c>
      <c r="T222" s="12"/>
      <c r="U222" s="10">
        <f>+Risultati!F221-(Risultati!G221+Risultati!H221)</f>
        <v>0</v>
      </c>
      <c r="V222" s="12" t="str">
        <f t="shared" si="189"/>
        <v>0</v>
      </c>
      <c r="W222" s="12"/>
      <c r="X222" s="10">
        <f t="shared" si="205"/>
        <v>0</v>
      </c>
      <c r="Y222" s="12" t="str">
        <f t="shared" si="190"/>
        <v>0</v>
      </c>
      <c r="Z222" s="12"/>
      <c r="AA222" s="10">
        <f>+Risultati!K221</f>
        <v>0</v>
      </c>
      <c r="AB222" s="12" t="str">
        <f t="shared" si="191"/>
        <v>0</v>
      </c>
      <c r="AC222" s="12"/>
      <c r="AD222" s="10">
        <f>+Risultati!L221</f>
        <v>0</v>
      </c>
      <c r="AE222" s="12" t="str">
        <f t="shared" si="192"/>
        <v>0</v>
      </c>
      <c r="AF222" s="12"/>
      <c r="AG222" s="10">
        <f>+Risultati!M221+Risultati!P221+Risultati!Q221</f>
        <v>0</v>
      </c>
      <c r="AH222" s="12" t="str">
        <f t="shared" si="193"/>
        <v>0</v>
      </c>
      <c r="AI222" s="12"/>
      <c r="AJ222" s="13">
        <f t="shared" si="206"/>
        <v>0</v>
      </c>
      <c r="AK222" s="11" t="str">
        <f t="shared" si="194"/>
        <v>0</v>
      </c>
      <c r="AL222" s="12"/>
      <c r="AM222" s="10">
        <f>+Risultati!N221</f>
        <v>0</v>
      </c>
      <c r="AN222" s="12" t="str">
        <f t="shared" si="195"/>
        <v>0</v>
      </c>
      <c r="AO222" s="12"/>
      <c r="AP222" s="10">
        <f t="shared" si="207"/>
        <v>0</v>
      </c>
      <c r="AQ222" s="41" t="str">
        <f t="shared" si="196"/>
        <v>0</v>
      </c>
      <c r="AR222" s="12"/>
      <c r="AS222" s="10">
        <f>+Risultati!O221</f>
        <v>0</v>
      </c>
      <c r="AT222" s="12" t="str">
        <f t="shared" si="197"/>
        <v>0</v>
      </c>
      <c r="AU222" s="12"/>
      <c r="AV222" s="10">
        <f t="shared" si="208"/>
        <v>0</v>
      </c>
      <c r="AW222" s="12" t="str">
        <f t="shared" si="198"/>
        <v>0</v>
      </c>
      <c r="AX222" s="12"/>
      <c r="AY222" s="10">
        <f>+Risultati!R221+Risultati!S221</f>
        <v>0</v>
      </c>
      <c r="AZ222" s="12" t="str">
        <f t="shared" si="199"/>
        <v>0</v>
      </c>
      <c r="BA222" s="12"/>
      <c r="BB222" s="10">
        <f>+Risultati!T221</f>
        <v>0</v>
      </c>
      <c r="BC222" s="12" t="str">
        <f t="shared" si="200"/>
        <v>0</v>
      </c>
      <c r="BD222" s="12"/>
      <c r="BE222" s="10">
        <f>+Risultati!U221</f>
        <v>0</v>
      </c>
      <c r="BF222" s="12" t="str">
        <f t="shared" si="201"/>
        <v>0</v>
      </c>
      <c r="BG222" s="12"/>
      <c r="BH222" s="10">
        <f t="shared" si="209"/>
        <v>0</v>
      </c>
      <c r="BI222" s="12" t="str">
        <f t="shared" si="202"/>
        <v>0</v>
      </c>
      <c r="BK222" s="16">
        <f>IF(ISNUMBER(Risultati!X221/100),(Risultati!X221/100))</f>
        <v>0</v>
      </c>
      <c r="BL222" s="16">
        <f>IF(ISNUMBER(Risultati!Y221/100),(Risultati!Y221/100))</f>
        <v>0</v>
      </c>
      <c r="BM222" s="16">
        <f>IF(ISNUMBER(Risultati!Z221/100),(Risultati!Z221/100))</f>
        <v>0</v>
      </c>
      <c r="BN222" s="16">
        <f>IF(AND(Risultati!AY221&lt;0,calcoli!AP222&lt;0),-IF(ISNUMBER(Risultati!AA221/100),(Risultati!AA221/100)),IF(ISNUMBER(Risultati!AA221/100),(Risultati!AA221/100)))</f>
        <v>0</v>
      </c>
      <c r="BO222" s="16" t="str">
        <f t="shared" si="183"/>
        <v>0</v>
      </c>
      <c r="BP222" s="16" t="str">
        <f>IF(Risultati!AB221&gt;0,(AV222/Risultati!AB221),"0")</f>
        <v>0</v>
      </c>
      <c r="BQ222" s="16" t="str">
        <f>IF(Risultati!AG221&lt;&gt;0,(BH222/Risultati!AG221),"0")</f>
        <v>0</v>
      </c>
      <c r="BR222" s="16" t="str">
        <f t="shared" si="184"/>
        <v>0</v>
      </c>
      <c r="BS222" s="14" t="str">
        <f>IF(Risultati!AB221&gt;0,(Risultati!G221/Risultati!AB221),"0")</f>
        <v>0</v>
      </c>
      <c r="BT222" s="15" t="str">
        <f>IF(Risultati!AG221&lt;&gt;0,(Risultati!AB221/Risultati!AG221),"0")</f>
        <v>0</v>
      </c>
      <c r="BU222" s="23" t="str">
        <f>IF(AND(Risultati!G221&gt;0,(Risultati!AE221-Risultati!AF221)&gt;=0),((Risultati!AE221-Risultati!AF221)/Risultati!G221*360),"0")</f>
        <v>0</v>
      </c>
      <c r="BV222" s="21" t="str">
        <f>IF(OR(E222="abbreviato",Risultati!G221=0),"0",((Risultati!AC221+Risultati!AD221)/Risultati!G221*360))</f>
        <v>0</v>
      </c>
      <c r="BW222" s="21" t="str">
        <f>IF(OR(E222="abbreviato",Risultati!G221=0,SUM(Risultati!I221+Risultati!K221+Risultati!M221)=0),"0",(((Risultati!AH221+Risultati!AI221)/(Risultati!I221+Risultati!K221+Risultati!N221)*360)))</f>
        <v>0</v>
      </c>
      <c r="BX222" s="16" t="str">
        <f>IF(Risultati!AB221&gt;0,(+Risultati!AG221/Risultati!AB221),"0")</f>
        <v>0</v>
      </c>
      <c r="BY222" s="22" t="str">
        <f>IF(OR(E222="abbreviato",Risultati!G221=0),"0",(((Risultati!AK221-(Risultati!AL221+Risultati!AM221))/Risultati!G221)))</f>
        <v>0</v>
      </c>
      <c r="BZ222" s="16" t="str">
        <f>IF(Risultati!G221&gt;0,(Risultati!AJ221/Risultati!G221),"0")</f>
        <v>0</v>
      </c>
      <c r="CA222" s="8"/>
      <c r="CB222" s="10">
        <f>+Risultati!AP221</f>
        <v>0</v>
      </c>
      <c r="CC222" s="31" t="str">
        <f t="shared" si="210"/>
        <v>0</v>
      </c>
      <c r="CD222" s="10">
        <f>+Risultati!AQ221</f>
        <v>0</v>
      </c>
      <c r="CE222" s="31" t="str">
        <f t="shared" si="211"/>
        <v>0</v>
      </c>
      <c r="CF222" s="10">
        <f>+Risultati!AR221</f>
        <v>0</v>
      </c>
      <c r="CG222" s="31" t="str">
        <f t="shared" si="212"/>
        <v>0</v>
      </c>
      <c r="CH222" s="10">
        <f>+Risultati!AS221</f>
        <v>0</v>
      </c>
      <c r="CI222" s="31" t="str">
        <f t="shared" si="213"/>
        <v>0</v>
      </c>
      <c r="CJ222" s="10">
        <f t="shared" si="214"/>
        <v>0</v>
      </c>
      <c r="CK222" s="31" t="str">
        <f t="shared" si="215"/>
        <v>0</v>
      </c>
      <c r="CL222" s="10">
        <f>+Risultati!AE221+Risultati!AF221</f>
        <v>0</v>
      </c>
      <c r="CM222" s="31" t="str">
        <f t="shared" si="216"/>
        <v>0</v>
      </c>
      <c r="CN222" s="10">
        <f>+Risultati!AT221</f>
        <v>0</v>
      </c>
      <c r="CO222" s="31" t="str">
        <f t="shared" si="217"/>
        <v>0</v>
      </c>
      <c r="CP222" s="10">
        <f>+Risultati!AU221</f>
        <v>0</v>
      </c>
      <c r="CQ222" s="31" t="str">
        <f t="shared" si="218"/>
        <v>0</v>
      </c>
      <c r="CR222" s="10">
        <f>+Risultati!AL221</f>
        <v>0</v>
      </c>
      <c r="CS222" s="31" t="str">
        <f t="shared" si="219"/>
        <v>0</v>
      </c>
      <c r="CT222" s="10">
        <f t="shared" si="220"/>
        <v>0</v>
      </c>
      <c r="CU222" s="31" t="str">
        <f t="shared" si="221"/>
        <v>0</v>
      </c>
      <c r="CV222" s="10">
        <f>+Risultati!AX221</f>
        <v>0</v>
      </c>
      <c r="CW222" s="31" t="str">
        <f t="shared" si="222"/>
        <v>0</v>
      </c>
      <c r="CX222" s="10">
        <f t="shared" si="223"/>
        <v>0</v>
      </c>
      <c r="CY222" s="31" t="str">
        <f t="shared" si="224"/>
        <v>0</v>
      </c>
      <c r="CZ222" s="10">
        <f>+Risultati!AG221</f>
        <v>0</v>
      </c>
      <c r="DA222" s="31" t="str">
        <f t="shared" si="225"/>
        <v>0</v>
      </c>
      <c r="DB222" s="10">
        <f t="shared" si="226"/>
        <v>0</v>
      </c>
      <c r="DC222" s="31" t="str">
        <f t="shared" si="227"/>
        <v>0</v>
      </c>
      <c r="DD222" s="10">
        <f>+Risultati!AV221</f>
        <v>0</v>
      </c>
      <c r="DE222" s="31" t="str">
        <f t="shared" si="228"/>
        <v>0</v>
      </c>
      <c r="DF222" s="10">
        <f>+Risultati!AJ221</f>
        <v>0</v>
      </c>
      <c r="DG222" s="31" t="str">
        <f t="shared" si="229"/>
        <v>0</v>
      </c>
      <c r="DH222" s="10">
        <f t="shared" si="230"/>
        <v>0</v>
      </c>
      <c r="DI222" s="31" t="str">
        <f t="shared" si="231"/>
        <v>0</v>
      </c>
      <c r="DJ222" s="10">
        <f>+Risultati!AW221</f>
        <v>0</v>
      </c>
      <c r="DK222" s="31" t="str">
        <f t="shared" si="232"/>
        <v>0</v>
      </c>
      <c r="DL222" s="10">
        <f t="shared" si="203"/>
        <v>0</v>
      </c>
      <c r="DM222" s="31" t="str">
        <f t="shared" si="233"/>
        <v>0</v>
      </c>
      <c r="DO222" s="30"/>
      <c r="DP222" s="30"/>
    </row>
    <row r="223" spans="1:120" x14ac:dyDescent="0.2">
      <c r="A223" s="5"/>
      <c r="B223" s="6">
        <f>+Risultati!B222</f>
        <v>0</v>
      </c>
      <c r="C223" s="6">
        <f>+Risultati!C222</f>
        <v>0</v>
      </c>
      <c r="D223" s="26" t="str">
        <f>IF(YEAR(Risultati!D222)=1900,(MID(Risultati!$AP$1,29,4)),YEAR(Risultati!D222))</f>
        <v/>
      </c>
      <c r="E223" s="6">
        <f>+Risultati!E222</f>
        <v>0</v>
      </c>
      <c r="F223" s="8" t="e">
        <f>(LEFT(Risultati!AN222,2)&amp;"-")&amp;VLOOKUP((LEFT(Risultati!AN222,2)),ateco!$B$4:$C$93,2,FALSE)</f>
        <v>#N/A</v>
      </c>
      <c r="G223" s="8" t="str">
        <f>SUBSTITUTE((Risultati!AN222&amp;"-"&amp;Risultati!AO222),",",";")</f>
        <v>-</v>
      </c>
      <c r="I223" s="10">
        <f>+Risultati!G222</f>
        <v>0</v>
      </c>
      <c r="J223" s="11" t="str">
        <f t="shared" si="185"/>
        <v>0</v>
      </c>
      <c r="K223" s="12"/>
      <c r="L223" s="10">
        <f>+Risultati!G222+Risultati!H222</f>
        <v>0</v>
      </c>
      <c r="M223" s="11" t="str">
        <f t="shared" si="186"/>
        <v>0</v>
      </c>
      <c r="N223" s="12"/>
      <c r="O223" s="10">
        <f>+Risultati!I222+Risultati!J222</f>
        <v>0</v>
      </c>
      <c r="P223" s="11" t="str">
        <f t="shared" si="187"/>
        <v>0</v>
      </c>
      <c r="Q223" s="12"/>
      <c r="R223" s="13">
        <f t="shared" si="204"/>
        <v>0</v>
      </c>
      <c r="S223" s="11" t="str">
        <f t="shared" si="188"/>
        <v>0</v>
      </c>
      <c r="T223" s="12"/>
      <c r="U223" s="10">
        <f>+Risultati!F222-(Risultati!G222+Risultati!H222)</f>
        <v>0</v>
      </c>
      <c r="V223" s="12" t="str">
        <f t="shared" si="189"/>
        <v>0</v>
      </c>
      <c r="W223" s="12"/>
      <c r="X223" s="10">
        <f t="shared" si="205"/>
        <v>0</v>
      </c>
      <c r="Y223" s="12" t="str">
        <f t="shared" si="190"/>
        <v>0</v>
      </c>
      <c r="Z223" s="12"/>
      <c r="AA223" s="10">
        <f>+Risultati!K222</f>
        <v>0</v>
      </c>
      <c r="AB223" s="12" t="str">
        <f t="shared" si="191"/>
        <v>0</v>
      </c>
      <c r="AC223" s="12"/>
      <c r="AD223" s="10">
        <f>+Risultati!L222</f>
        <v>0</v>
      </c>
      <c r="AE223" s="12" t="str">
        <f t="shared" si="192"/>
        <v>0</v>
      </c>
      <c r="AF223" s="12"/>
      <c r="AG223" s="10">
        <f>+Risultati!M222+Risultati!P222+Risultati!Q222</f>
        <v>0</v>
      </c>
      <c r="AH223" s="12" t="str">
        <f t="shared" si="193"/>
        <v>0</v>
      </c>
      <c r="AI223" s="12"/>
      <c r="AJ223" s="13">
        <f t="shared" si="206"/>
        <v>0</v>
      </c>
      <c r="AK223" s="11" t="str">
        <f t="shared" si="194"/>
        <v>0</v>
      </c>
      <c r="AL223" s="12"/>
      <c r="AM223" s="10">
        <f>+Risultati!N222</f>
        <v>0</v>
      </c>
      <c r="AN223" s="12" t="str">
        <f t="shared" si="195"/>
        <v>0</v>
      </c>
      <c r="AO223" s="12"/>
      <c r="AP223" s="10">
        <f t="shared" si="207"/>
        <v>0</v>
      </c>
      <c r="AQ223" s="41" t="str">
        <f t="shared" si="196"/>
        <v>0</v>
      </c>
      <c r="AR223" s="12"/>
      <c r="AS223" s="10">
        <f>+Risultati!O222</f>
        <v>0</v>
      </c>
      <c r="AT223" s="12" t="str">
        <f t="shared" si="197"/>
        <v>0</v>
      </c>
      <c r="AU223" s="12"/>
      <c r="AV223" s="10">
        <f t="shared" si="208"/>
        <v>0</v>
      </c>
      <c r="AW223" s="12" t="str">
        <f t="shared" si="198"/>
        <v>0</v>
      </c>
      <c r="AX223" s="12"/>
      <c r="AY223" s="10">
        <f>+Risultati!R222+Risultati!S222</f>
        <v>0</v>
      </c>
      <c r="AZ223" s="12" t="str">
        <f t="shared" si="199"/>
        <v>0</v>
      </c>
      <c r="BA223" s="12"/>
      <c r="BB223" s="10">
        <f>+Risultati!T222</f>
        <v>0</v>
      </c>
      <c r="BC223" s="12" t="str">
        <f t="shared" si="200"/>
        <v>0</v>
      </c>
      <c r="BD223" s="12"/>
      <c r="BE223" s="10">
        <f>+Risultati!U222</f>
        <v>0</v>
      </c>
      <c r="BF223" s="12" t="str">
        <f t="shared" si="201"/>
        <v>0</v>
      </c>
      <c r="BG223" s="12"/>
      <c r="BH223" s="10">
        <f t="shared" si="209"/>
        <v>0</v>
      </c>
      <c r="BI223" s="12" t="str">
        <f t="shared" si="202"/>
        <v>0</v>
      </c>
      <c r="BK223" s="16">
        <f>IF(ISNUMBER(Risultati!X222/100),(Risultati!X222/100))</f>
        <v>0</v>
      </c>
      <c r="BL223" s="16">
        <f>IF(ISNUMBER(Risultati!Y222/100),(Risultati!Y222/100))</f>
        <v>0</v>
      </c>
      <c r="BM223" s="16">
        <f>IF(ISNUMBER(Risultati!Z222/100),(Risultati!Z222/100))</f>
        <v>0</v>
      </c>
      <c r="BN223" s="16">
        <f>IF(AND(Risultati!AY222&lt;0,calcoli!AP223&lt;0),-IF(ISNUMBER(Risultati!AA222/100),(Risultati!AA222/100)),IF(ISNUMBER(Risultati!AA222/100),(Risultati!AA222/100)))</f>
        <v>0</v>
      </c>
      <c r="BO223" s="16" t="str">
        <f t="shared" si="183"/>
        <v>0</v>
      </c>
      <c r="BP223" s="16" t="str">
        <f>IF(Risultati!AB222&gt;0,(AV223/Risultati!AB222),"0")</f>
        <v>0</v>
      </c>
      <c r="BQ223" s="16" t="str">
        <f>IF(Risultati!AG222&lt;&gt;0,(BH223/Risultati!AG222),"0")</f>
        <v>0</v>
      </c>
      <c r="BR223" s="16" t="str">
        <f t="shared" si="184"/>
        <v>0</v>
      </c>
      <c r="BS223" s="14" t="str">
        <f>IF(Risultati!AB222&gt;0,(Risultati!G222/Risultati!AB222),"0")</f>
        <v>0</v>
      </c>
      <c r="BT223" s="15" t="str">
        <f>IF(Risultati!AG222&lt;&gt;0,(Risultati!AB222/Risultati!AG222),"0")</f>
        <v>0</v>
      </c>
      <c r="BU223" s="23" t="str">
        <f>IF(AND(Risultati!G222&gt;0,(Risultati!AE222-Risultati!AF222)&gt;=0),((Risultati!AE222-Risultati!AF222)/Risultati!G222*360),"0")</f>
        <v>0</v>
      </c>
      <c r="BV223" s="21" t="str">
        <f>IF(OR(E223="abbreviato",Risultati!G222=0),"0",((Risultati!AC222+Risultati!AD222)/Risultati!G222*360))</f>
        <v>0</v>
      </c>
      <c r="BW223" s="21" t="str">
        <f>IF(OR(E223="abbreviato",Risultati!G222=0,SUM(Risultati!I222+Risultati!K222+Risultati!M222)=0),"0",(((Risultati!AH222+Risultati!AI222)/(Risultati!I222+Risultati!K222+Risultati!N222)*360)))</f>
        <v>0</v>
      </c>
      <c r="BX223" s="16" t="str">
        <f>IF(Risultati!AB222&gt;0,(+Risultati!AG222/Risultati!AB222),"0")</f>
        <v>0</v>
      </c>
      <c r="BY223" s="22" t="str">
        <f>IF(OR(E223="abbreviato",Risultati!G222=0),"0",(((Risultati!AK222-(Risultati!AL222+Risultati!AM222))/Risultati!G222)))</f>
        <v>0</v>
      </c>
      <c r="BZ223" s="16" t="str">
        <f>IF(Risultati!G222&gt;0,(Risultati!AJ222/Risultati!G222),"0")</f>
        <v>0</v>
      </c>
      <c r="CA223" s="8"/>
      <c r="CB223" s="10">
        <f>+Risultati!AP222</f>
        <v>0</v>
      </c>
      <c r="CC223" s="31" t="str">
        <f t="shared" si="210"/>
        <v>0</v>
      </c>
      <c r="CD223" s="10">
        <f>+Risultati!AQ222</f>
        <v>0</v>
      </c>
      <c r="CE223" s="31" t="str">
        <f t="shared" si="211"/>
        <v>0</v>
      </c>
      <c r="CF223" s="10">
        <f>+Risultati!AR222</f>
        <v>0</v>
      </c>
      <c r="CG223" s="31" t="str">
        <f t="shared" si="212"/>
        <v>0</v>
      </c>
      <c r="CH223" s="10">
        <f>+Risultati!AS222</f>
        <v>0</v>
      </c>
      <c r="CI223" s="31" t="str">
        <f t="shared" si="213"/>
        <v>0</v>
      </c>
      <c r="CJ223" s="10">
        <f t="shared" si="214"/>
        <v>0</v>
      </c>
      <c r="CK223" s="31" t="str">
        <f t="shared" si="215"/>
        <v>0</v>
      </c>
      <c r="CL223" s="10">
        <f>+Risultati!AE222+Risultati!AF222</f>
        <v>0</v>
      </c>
      <c r="CM223" s="31" t="str">
        <f t="shared" si="216"/>
        <v>0</v>
      </c>
      <c r="CN223" s="10">
        <f>+Risultati!AT222</f>
        <v>0</v>
      </c>
      <c r="CO223" s="31" t="str">
        <f t="shared" si="217"/>
        <v>0</v>
      </c>
      <c r="CP223" s="10">
        <f>+Risultati!AU222</f>
        <v>0</v>
      </c>
      <c r="CQ223" s="31" t="str">
        <f t="shared" si="218"/>
        <v>0</v>
      </c>
      <c r="CR223" s="10">
        <f>+Risultati!AL222</f>
        <v>0</v>
      </c>
      <c r="CS223" s="31" t="str">
        <f t="shared" si="219"/>
        <v>0</v>
      </c>
      <c r="CT223" s="10">
        <f t="shared" si="220"/>
        <v>0</v>
      </c>
      <c r="CU223" s="31" t="str">
        <f t="shared" si="221"/>
        <v>0</v>
      </c>
      <c r="CV223" s="10">
        <f>+Risultati!AX222</f>
        <v>0</v>
      </c>
      <c r="CW223" s="31" t="str">
        <f t="shared" si="222"/>
        <v>0</v>
      </c>
      <c r="CX223" s="10">
        <f t="shared" si="223"/>
        <v>0</v>
      </c>
      <c r="CY223" s="31" t="str">
        <f t="shared" si="224"/>
        <v>0</v>
      </c>
      <c r="CZ223" s="10">
        <f>+Risultati!AG222</f>
        <v>0</v>
      </c>
      <c r="DA223" s="31" t="str">
        <f t="shared" si="225"/>
        <v>0</v>
      </c>
      <c r="DB223" s="10">
        <f t="shared" si="226"/>
        <v>0</v>
      </c>
      <c r="DC223" s="31" t="str">
        <f t="shared" si="227"/>
        <v>0</v>
      </c>
      <c r="DD223" s="10">
        <f>+Risultati!AV222</f>
        <v>0</v>
      </c>
      <c r="DE223" s="31" t="str">
        <f t="shared" si="228"/>
        <v>0</v>
      </c>
      <c r="DF223" s="10">
        <f>+Risultati!AJ222</f>
        <v>0</v>
      </c>
      <c r="DG223" s="31" t="str">
        <f t="shared" si="229"/>
        <v>0</v>
      </c>
      <c r="DH223" s="10">
        <f t="shared" si="230"/>
        <v>0</v>
      </c>
      <c r="DI223" s="31" t="str">
        <f t="shared" si="231"/>
        <v>0</v>
      </c>
      <c r="DJ223" s="10">
        <f>+Risultati!AW222</f>
        <v>0</v>
      </c>
      <c r="DK223" s="31" t="str">
        <f t="shared" si="232"/>
        <v>0</v>
      </c>
      <c r="DL223" s="10">
        <f t="shared" si="203"/>
        <v>0</v>
      </c>
      <c r="DM223" s="31" t="str">
        <f t="shared" si="233"/>
        <v>0</v>
      </c>
      <c r="DO223" s="30"/>
      <c r="DP223" s="30"/>
    </row>
    <row r="224" spans="1:120" x14ac:dyDescent="0.2">
      <c r="A224" s="5"/>
      <c r="B224" s="6">
        <f>+Risultati!B223</f>
        <v>0</v>
      </c>
      <c r="C224" s="6">
        <f>+Risultati!C223</f>
        <v>0</v>
      </c>
      <c r="D224" s="26" t="str">
        <f>IF(YEAR(Risultati!D223)=1900,(MID(Risultati!$AP$1,29,4)),YEAR(Risultati!D223))</f>
        <v/>
      </c>
      <c r="E224" s="6">
        <f>+Risultati!E223</f>
        <v>0</v>
      </c>
      <c r="F224" s="8" t="e">
        <f>(LEFT(Risultati!AN223,2)&amp;"-")&amp;VLOOKUP((LEFT(Risultati!AN223,2)),ateco!$B$4:$C$93,2,FALSE)</f>
        <v>#N/A</v>
      </c>
      <c r="G224" s="8" t="str">
        <f>SUBSTITUTE((Risultati!AN223&amp;"-"&amp;Risultati!AO223),",",";")</f>
        <v>-</v>
      </c>
      <c r="I224" s="10">
        <f>+Risultati!G223</f>
        <v>0</v>
      </c>
      <c r="J224" s="11" t="str">
        <f t="shared" si="185"/>
        <v>0</v>
      </c>
      <c r="K224" s="12"/>
      <c r="L224" s="10">
        <f>+Risultati!G223+Risultati!H223</f>
        <v>0</v>
      </c>
      <c r="M224" s="11" t="str">
        <f t="shared" si="186"/>
        <v>0</v>
      </c>
      <c r="N224" s="12"/>
      <c r="O224" s="10">
        <f>+Risultati!I223+Risultati!J223</f>
        <v>0</v>
      </c>
      <c r="P224" s="11" t="str">
        <f t="shared" si="187"/>
        <v>0</v>
      </c>
      <c r="Q224" s="12"/>
      <c r="R224" s="13">
        <f t="shared" si="204"/>
        <v>0</v>
      </c>
      <c r="S224" s="11" t="str">
        <f t="shared" si="188"/>
        <v>0</v>
      </c>
      <c r="T224" s="12"/>
      <c r="U224" s="10">
        <f>+Risultati!F223-(Risultati!G223+Risultati!H223)</f>
        <v>0</v>
      </c>
      <c r="V224" s="12" t="str">
        <f t="shared" si="189"/>
        <v>0</v>
      </c>
      <c r="W224" s="12"/>
      <c r="X224" s="10">
        <f t="shared" si="205"/>
        <v>0</v>
      </c>
      <c r="Y224" s="12" t="str">
        <f t="shared" si="190"/>
        <v>0</v>
      </c>
      <c r="Z224" s="12"/>
      <c r="AA224" s="10">
        <f>+Risultati!K223</f>
        <v>0</v>
      </c>
      <c r="AB224" s="12" t="str">
        <f t="shared" si="191"/>
        <v>0</v>
      </c>
      <c r="AC224" s="12"/>
      <c r="AD224" s="10">
        <f>+Risultati!L223</f>
        <v>0</v>
      </c>
      <c r="AE224" s="12" t="str">
        <f t="shared" si="192"/>
        <v>0</v>
      </c>
      <c r="AF224" s="12"/>
      <c r="AG224" s="10">
        <f>+Risultati!M223+Risultati!P223+Risultati!Q223</f>
        <v>0</v>
      </c>
      <c r="AH224" s="12" t="str">
        <f t="shared" si="193"/>
        <v>0</v>
      </c>
      <c r="AI224" s="12"/>
      <c r="AJ224" s="13">
        <f t="shared" si="206"/>
        <v>0</v>
      </c>
      <c r="AK224" s="11" t="str">
        <f t="shared" si="194"/>
        <v>0</v>
      </c>
      <c r="AL224" s="12"/>
      <c r="AM224" s="10">
        <f>+Risultati!N223</f>
        <v>0</v>
      </c>
      <c r="AN224" s="12" t="str">
        <f t="shared" si="195"/>
        <v>0</v>
      </c>
      <c r="AO224" s="12"/>
      <c r="AP224" s="10">
        <f t="shared" si="207"/>
        <v>0</v>
      </c>
      <c r="AQ224" s="41" t="str">
        <f t="shared" si="196"/>
        <v>0</v>
      </c>
      <c r="AR224" s="12"/>
      <c r="AS224" s="10">
        <f>+Risultati!O223</f>
        <v>0</v>
      </c>
      <c r="AT224" s="12" t="str">
        <f t="shared" si="197"/>
        <v>0</v>
      </c>
      <c r="AU224" s="12"/>
      <c r="AV224" s="10">
        <f t="shared" si="208"/>
        <v>0</v>
      </c>
      <c r="AW224" s="12" t="str">
        <f t="shared" si="198"/>
        <v>0</v>
      </c>
      <c r="AX224" s="12"/>
      <c r="AY224" s="10">
        <f>+Risultati!R223+Risultati!S223</f>
        <v>0</v>
      </c>
      <c r="AZ224" s="12" t="str">
        <f t="shared" si="199"/>
        <v>0</v>
      </c>
      <c r="BA224" s="12"/>
      <c r="BB224" s="10">
        <f>+Risultati!T223</f>
        <v>0</v>
      </c>
      <c r="BC224" s="12" t="str">
        <f t="shared" si="200"/>
        <v>0</v>
      </c>
      <c r="BD224" s="12"/>
      <c r="BE224" s="10">
        <f>+Risultati!U223</f>
        <v>0</v>
      </c>
      <c r="BF224" s="12" t="str">
        <f t="shared" si="201"/>
        <v>0</v>
      </c>
      <c r="BG224" s="12"/>
      <c r="BH224" s="10">
        <f t="shared" si="209"/>
        <v>0</v>
      </c>
      <c r="BI224" s="12" t="str">
        <f t="shared" si="202"/>
        <v>0</v>
      </c>
      <c r="BK224" s="16">
        <f>IF(ISNUMBER(Risultati!X223/100),(Risultati!X223/100))</f>
        <v>0</v>
      </c>
      <c r="BL224" s="16">
        <f>IF(ISNUMBER(Risultati!Y223/100),(Risultati!Y223/100))</f>
        <v>0</v>
      </c>
      <c r="BM224" s="16">
        <f>IF(ISNUMBER(Risultati!Z223/100),(Risultati!Z223/100))</f>
        <v>0</v>
      </c>
      <c r="BN224" s="16">
        <f>IF(AND(Risultati!AY223&lt;0,calcoli!AP224&lt;0),-IF(ISNUMBER(Risultati!AA223/100),(Risultati!AA223/100)),IF(ISNUMBER(Risultati!AA223/100),(Risultati!AA223/100)))</f>
        <v>0</v>
      </c>
      <c r="BO224" s="16" t="str">
        <f t="shared" si="183"/>
        <v>0</v>
      </c>
      <c r="BP224" s="16" t="str">
        <f>IF(Risultati!AB223&gt;0,(AV224/Risultati!AB223),"0")</f>
        <v>0</v>
      </c>
      <c r="BQ224" s="16" t="str">
        <f>IF(Risultati!AG223&lt;&gt;0,(BH224/Risultati!AG223),"0")</f>
        <v>0</v>
      </c>
      <c r="BR224" s="16" t="str">
        <f t="shared" si="184"/>
        <v>0</v>
      </c>
      <c r="BS224" s="14" t="str">
        <f>IF(Risultati!AB223&gt;0,(Risultati!G223/Risultati!AB223),"0")</f>
        <v>0</v>
      </c>
      <c r="BT224" s="15" t="str">
        <f>IF(Risultati!AG223&lt;&gt;0,(Risultati!AB223/Risultati!AG223),"0")</f>
        <v>0</v>
      </c>
      <c r="BU224" s="23" t="str">
        <f>IF(AND(Risultati!G223&gt;0,(Risultati!AE223-Risultati!AF223)&gt;=0),((Risultati!AE223-Risultati!AF223)/Risultati!G223*360),"0")</f>
        <v>0</v>
      </c>
      <c r="BV224" s="21" t="str">
        <f>IF(OR(E224="abbreviato",Risultati!G223=0),"0",((Risultati!AC223+Risultati!AD223)/Risultati!G223*360))</f>
        <v>0</v>
      </c>
      <c r="BW224" s="21" t="str">
        <f>IF(OR(E224="abbreviato",Risultati!G223=0,SUM(Risultati!I223+Risultati!K223+Risultati!M223)=0),"0",(((Risultati!AH223+Risultati!AI223)/(Risultati!I223+Risultati!K223+Risultati!N223)*360)))</f>
        <v>0</v>
      </c>
      <c r="BX224" s="16" t="str">
        <f>IF(Risultati!AB223&gt;0,(+Risultati!AG223/Risultati!AB223),"0")</f>
        <v>0</v>
      </c>
      <c r="BY224" s="22" t="str">
        <f>IF(OR(E224="abbreviato",Risultati!G223=0),"0",(((Risultati!AK223-(Risultati!AL223+Risultati!AM223))/Risultati!G223)))</f>
        <v>0</v>
      </c>
      <c r="BZ224" s="16" t="str">
        <f>IF(Risultati!G223&gt;0,(Risultati!AJ223/Risultati!G223),"0")</f>
        <v>0</v>
      </c>
      <c r="CA224" s="8"/>
      <c r="CB224" s="10">
        <f>+Risultati!AP223</f>
        <v>0</v>
      </c>
      <c r="CC224" s="31" t="str">
        <f t="shared" si="210"/>
        <v>0</v>
      </c>
      <c r="CD224" s="10">
        <f>+Risultati!AQ223</f>
        <v>0</v>
      </c>
      <c r="CE224" s="31" t="str">
        <f t="shared" si="211"/>
        <v>0</v>
      </c>
      <c r="CF224" s="10">
        <f>+Risultati!AR223</f>
        <v>0</v>
      </c>
      <c r="CG224" s="31" t="str">
        <f t="shared" si="212"/>
        <v>0</v>
      </c>
      <c r="CH224" s="10">
        <f>+Risultati!AS223</f>
        <v>0</v>
      </c>
      <c r="CI224" s="31" t="str">
        <f t="shared" si="213"/>
        <v>0</v>
      </c>
      <c r="CJ224" s="10">
        <f t="shared" si="214"/>
        <v>0</v>
      </c>
      <c r="CK224" s="31" t="str">
        <f t="shared" si="215"/>
        <v>0</v>
      </c>
      <c r="CL224" s="10">
        <f>+Risultati!AE223+Risultati!AF223</f>
        <v>0</v>
      </c>
      <c r="CM224" s="31" t="str">
        <f t="shared" si="216"/>
        <v>0</v>
      </c>
      <c r="CN224" s="10">
        <f>+Risultati!AT223</f>
        <v>0</v>
      </c>
      <c r="CO224" s="31" t="str">
        <f t="shared" si="217"/>
        <v>0</v>
      </c>
      <c r="CP224" s="10">
        <f>+Risultati!AU223</f>
        <v>0</v>
      </c>
      <c r="CQ224" s="31" t="str">
        <f t="shared" si="218"/>
        <v>0</v>
      </c>
      <c r="CR224" s="10">
        <f>+Risultati!AL223</f>
        <v>0</v>
      </c>
      <c r="CS224" s="31" t="str">
        <f t="shared" si="219"/>
        <v>0</v>
      </c>
      <c r="CT224" s="10">
        <f t="shared" si="220"/>
        <v>0</v>
      </c>
      <c r="CU224" s="31" t="str">
        <f t="shared" si="221"/>
        <v>0</v>
      </c>
      <c r="CV224" s="10">
        <f>+Risultati!AX223</f>
        <v>0</v>
      </c>
      <c r="CW224" s="31" t="str">
        <f t="shared" si="222"/>
        <v>0</v>
      </c>
      <c r="CX224" s="10">
        <f t="shared" si="223"/>
        <v>0</v>
      </c>
      <c r="CY224" s="31" t="str">
        <f t="shared" si="224"/>
        <v>0</v>
      </c>
      <c r="CZ224" s="10">
        <f>+Risultati!AG223</f>
        <v>0</v>
      </c>
      <c r="DA224" s="31" t="str">
        <f t="shared" si="225"/>
        <v>0</v>
      </c>
      <c r="DB224" s="10">
        <f t="shared" si="226"/>
        <v>0</v>
      </c>
      <c r="DC224" s="31" t="str">
        <f t="shared" si="227"/>
        <v>0</v>
      </c>
      <c r="DD224" s="10">
        <f>+Risultati!AV223</f>
        <v>0</v>
      </c>
      <c r="DE224" s="31" t="str">
        <f t="shared" si="228"/>
        <v>0</v>
      </c>
      <c r="DF224" s="10">
        <f>+Risultati!AJ223</f>
        <v>0</v>
      </c>
      <c r="DG224" s="31" t="str">
        <f t="shared" si="229"/>
        <v>0</v>
      </c>
      <c r="DH224" s="10">
        <f t="shared" si="230"/>
        <v>0</v>
      </c>
      <c r="DI224" s="31" t="str">
        <f t="shared" si="231"/>
        <v>0</v>
      </c>
      <c r="DJ224" s="10">
        <f>+Risultati!AW223</f>
        <v>0</v>
      </c>
      <c r="DK224" s="31" t="str">
        <f t="shared" si="232"/>
        <v>0</v>
      </c>
      <c r="DL224" s="10">
        <f t="shared" si="203"/>
        <v>0</v>
      </c>
      <c r="DM224" s="31" t="str">
        <f t="shared" si="233"/>
        <v>0</v>
      </c>
      <c r="DO224" s="30"/>
      <c r="DP224" s="30"/>
    </row>
    <row r="225" spans="1:120" x14ac:dyDescent="0.2">
      <c r="A225" s="5"/>
      <c r="B225" s="6">
        <f>+Risultati!B224</f>
        <v>0</v>
      </c>
      <c r="C225" s="6">
        <f>+Risultati!C224</f>
        <v>0</v>
      </c>
      <c r="D225" s="26" t="str">
        <f>IF(YEAR(Risultati!D224)=1900,(MID(Risultati!$AP$1,29,4)),YEAR(Risultati!D224))</f>
        <v/>
      </c>
      <c r="E225" s="6">
        <f>+Risultati!E224</f>
        <v>0</v>
      </c>
      <c r="F225" s="8" t="e">
        <f>(LEFT(Risultati!AN224,2)&amp;"-")&amp;VLOOKUP((LEFT(Risultati!AN224,2)),ateco!$B$4:$C$93,2,FALSE)</f>
        <v>#N/A</v>
      </c>
      <c r="G225" s="8" t="str">
        <f>SUBSTITUTE((Risultati!AN224&amp;"-"&amp;Risultati!AO224),",",";")</f>
        <v>-</v>
      </c>
      <c r="I225" s="10">
        <f>+Risultati!G224</f>
        <v>0</v>
      </c>
      <c r="J225" s="11" t="str">
        <f t="shared" si="185"/>
        <v>0</v>
      </c>
      <c r="K225" s="12"/>
      <c r="L225" s="10">
        <f>+Risultati!G224+Risultati!H224</f>
        <v>0</v>
      </c>
      <c r="M225" s="11" t="str">
        <f t="shared" si="186"/>
        <v>0</v>
      </c>
      <c r="N225" s="12"/>
      <c r="O225" s="10">
        <f>+Risultati!I224+Risultati!J224</f>
        <v>0</v>
      </c>
      <c r="P225" s="11" t="str">
        <f t="shared" si="187"/>
        <v>0</v>
      </c>
      <c r="Q225" s="12"/>
      <c r="R225" s="13">
        <f t="shared" si="204"/>
        <v>0</v>
      </c>
      <c r="S225" s="11" t="str">
        <f t="shared" si="188"/>
        <v>0</v>
      </c>
      <c r="T225" s="12"/>
      <c r="U225" s="10">
        <f>+Risultati!F224-(Risultati!G224+Risultati!H224)</f>
        <v>0</v>
      </c>
      <c r="V225" s="12" t="str">
        <f t="shared" si="189"/>
        <v>0</v>
      </c>
      <c r="W225" s="12"/>
      <c r="X225" s="10">
        <f t="shared" si="205"/>
        <v>0</v>
      </c>
      <c r="Y225" s="12" t="str">
        <f t="shared" si="190"/>
        <v>0</v>
      </c>
      <c r="Z225" s="12"/>
      <c r="AA225" s="10">
        <f>+Risultati!K224</f>
        <v>0</v>
      </c>
      <c r="AB225" s="12" t="str">
        <f t="shared" si="191"/>
        <v>0</v>
      </c>
      <c r="AC225" s="12"/>
      <c r="AD225" s="10">
        <f>+Risultati!L224</f>
        <v>0</v>
      </c>
      <c r="AE225" s="12" t="str">
        <f t="shared" si="192"/>
        <v>0</v>
      </c>
      <c r="AF225" s="12"/>
      <c r="AG225" s="10">
        <f>+Risultati!M224+Risultati!P224+Risultati!Q224</f>
        <v>0</v>
      </c>
      <c r="AH225" s="12" t="str">
        <f t="shared" si="193"/>
        <v>0</v>
      </c>
      <c r="AI225" s="12"/>
      <c r="AJ225" s="13">
        <f t="shared" si="206"/>
        <v>0</v>
      </c>
      <c r="AK225" s="11" t="str">
        <f t="shared" si="194"/>
        <v>0</v>
      </c>
      <c r="AL225" s="12"/>
      <c r="AM225" s="10">
        <f>+Risultati!N224</f>
        <v>0</v>
      </c>
      <c r="AN225" s="12" t="str">
        <f t="shared" si="195"/>
        <v>0</v>
      </c>
      <c r="AO225" s="12"/>
      <c r="AP225" s="10">
        <f t="shared" si="207"/>
        <v>0</v>
      </c>
      <c r="AQ225" s="41" t="str">
        <f t="shared" si="196"/>
        <v>0</v>
      </c>
      <c r="AR225" s="12"/>
      <c r="AS225" s="10">
        <f>+Risultati!O224</f>
        <v>0</v>
      </c>
      <c r="AT225" s="12" t="str">
        <f t="shared" si="197"/>
        <v>0</v>
      </c>
      <c r="AU225" s="12"/>
      <c r="AV225" s="10">
        <f t="shared" si="208"/>
        <v>0</v>
      </c>
      <c r="AW225" s="12" t="str">
        <f t="shared" si="198"/>
        <v>0</v>
      </c>
      <c r="AX225" s="12"/>
      <c r="AY225" s="10">
        <f>+Risultati!R224+Risultati!S224</f>
        <v>0</v>
      </c>
      <c r="AZ225" s="12" t="str">
        <f t="shared" si="199"/>
        <v>0</v>
      </c>
      <c r="BA225" s="12"/>
      <c r="BB225" s="10">
        <f>+Risultati!T224</f>
        <v>0</v>
      </c>
      <c r="BC225" s="12" t="str">
        <f t="shared" si="200"/>
        <v>0</v>
      </c>
      <c r="BD225" s="12"/>
      <c r="BE225" s="10">
        <f>+Risultati!U224</f>
        <v>0</v>
      </c>
      <c r="BF225" s="12" t="str">
        <f t="shared" si="201"/>
        <v>0</v>
      </c>
      <c r="BG225" s="12"/>
      <c r="BH225" s="10">
        <f t="shared" si="209"/>
        <v>0</v>
      </c>
      <c r="BI225" s="12" t="str">
        <f t="shared" si="202"/>
        <v>0</v>
      </c>
      <c r="BK225" s="16">
        <f>IF(ISNUMBER(Risultati!X224/100),(Risultati!X224/100))</f>
        <v>0</v>
      </c>
      <c r="BL225" s="16">
        <f>IF(ISNUMBER(Risultati!Y224/100),(Risultati!Y224/100))</f>
        <v>0</v>
      </c>
      <c r="BM225" s="16">
        <f>IF(ISNUMBER(Risultati!Z224/100),(Risultati!Z224/100))</f>
        <v>0</v>
      </c>
      <c r="BN225" s="16">
        <f>IF(AND(Risultati!AY224&lt;0,calcoli!AP225&lt;0),-IF(ISNUMBER(Risultati!AA224/100),(Risultati!AA224/100)),IF(ISNUMBER(Risultati!AA224/100),(Risultati!AA224/100)))</f>
        <v>0</v>
      </c>
      <c r="BO225" s="16" t="str">
        <f t="shared" si="183"/>
        <v>0</v>
      </c>
      <c r="BP225" s="16" t="str">
        <f>IF(Risultati!AB224&gt;0,(AV225/Risultati!AB224),"0")</f>
        <v>0</v>
      </c>
      <c r="BQ225" s="16" t="str">
        <f>IF(Risultati!AG224&lt;&gt;0,(BH225/Risultati!AG224),"0")</f>
        <v>0</v>
      </c>
      <c r="BR225" s="16" t="str">
        <f t="shared" si="184"/>
        <v>0</v>
      </c>
      <c r="BS225" s="14" t="str">
        <f>IF(Risultati!AB224&gt;0,(Risultati!G224/Risultati!AB224),"0")</f>
        <v>0</v>
      </c>
      <c r="BT225" s="15" t="str">
        <f>IF(Risultati!AG224&lt;&gt;0,(Risultati!AB224/Risultati!AG224),"0")</f>
        <v>0</v>
      </c>
      <c r="BU225" s="23" t="str">
        <f>IF(AND(Risultati!G224&gt;0,(Risultati!AE224-Risultati!AF224)&gt;=0),((Risultati!AE224-Risultati!AF224)/Risultati!G224*360),"0")</f>
        <v>0</v>
      </c>
      <c r="BV225" s="21" t="str">
        <f>IF(OR(E225="abbreviato",Risultati!G224=0),"0",((Risultati!AC224+Risultati!AD224)/Risultati!G224*360))</f>
        <v>0</v>
      </c>
      <c r="BW225" s="21" t="str">
        <f>IF(OR(E225="abbreviato",Risultati!G224=0,SUM(Risultati!I224+Risultati!K224+Risultati!M224)=0),"0",(((Risultati!AH224+Risultati!AI224)/(Risultati!I224+Risultati!K224+Risultati!N224)*360)))</f>
        <v>0</v>
      </c>
      <c r="BX225" s="16" t="str">
        <f>IF(Risultati!AB224&gt;0,(+Risultati!AG224/Risultati!AB224),"0")</f>
        <v>0</v>
      </c>
      <c r="BY225" s="22" t="str">
        <f>IF(OR(E225="abbreviato",Risultati!G224=0),"0",(((Risultati!AK224-(Risultati!AL224+Risultati!AM224))/Risultati!G224)))</f>
        <v>0</v>
      </c>
      <c r="BZ225" s="16" t="str">
        <f>IF(Risultati!G224&gt;0,(Risultati!AJ224/Risultati!G224),"0")</f>
        <v>0</v>
      </c>
      <c r="CA225" s="8"/>
      <c r="CB225" s="10">
        <f>+Risultati!AP224</f>
        <v>0</v>
      </c>
      <c r="CC225" s="31" t="str">
        <f t="shared" si="210"/>
        <v>0</v>
      </c>
      <c r="CD225" s="10">
        <f>+Risultati!AQ224</f>
        <v>0</v>
      </c>
      <c r="CE225" s="31" t="str">
        <f t="shared" si="211"/>
        <v>0</v>
      </c>
      <c r="CF225" s="10">
        <f>+Risultati!AR224</f>
        <v>0</v>
      </c>
      <c r="CG225" s="31" t="str">
        <f t="shared" si="212"/>
        <v>0</v>
      </c>
      <c r="CH225" s="10">
        <f>+Risultati!AS224</f>
        <v>0</v>
      </c>
      <c r="CI225" s="31" t="str">
        <f t="shared" si="213"/>
        <v>0</v>
      </c>
      <c r="CJ225" s="10">
        <f t="shared" si="214"/>
        <v>0</v>
      </c>
      <c r="CK225" s="31" t="str">
        <f t="shared" si="215"/>
        <v>0</v>
      </c>
      <c r="CL225" s="10">
        <f>+Risultati!AE224+Risultati!AF224</f>
        <v>0</v>
      </c>
      <c r="CM225" s="31" t="str">
        <f t="shared" si="216"/>
        <v>0</v>
      </c>
      <c r="CN225" s="10">
        <f>+Risultati!AT224</f>
        <v>0</v>
      </c>
      <c r="CO225" s="31" t="str">
        <f t="shared" si="217"/>
        <v>0</v>
      </c>
      <c r="CP225" s="10">
        <f>+Risultati!AU224</f>
        <v>0</v>
      </c>
      <c r="CQ225" s="31" t="str">
        <f t="shared" si="218"/>
        <v>0</v>
      </c>
      <c r="CR225" s="10">
        <f>+Risultati!AL224</f>
        <v>0</v>
      </c>
      <c r="CS225" s="31" t="str">
        <f t="shared" si="219"/>
        <v>0</v>
      </c>
      <c r="CT225" s="10">
        <f t="shared" si="220"/>
        <v>0</v>
      </c>
      <c r="CU225" s="31" t="str">
        <f t="shared" si="221"/>
        <v>0</v>
      </c>
      <c r="CV225" s="10">
        <f>+Risultati!AX224</f>
        <v>0</v>
      </c>
      <c r="CW225" s="31" t="str">
        <f t="shared" si="222"/>
        <v>0</v>
      </c>
      <c r="CX225" s="10">
        <f t="shared" si="223"/>
        <v>0</v>
      </c>
      <c r="CY225" s="31" t="str">
        <f t="shared" si="224"/>
        <v>0</v>
      </c>
      <c r="CZ225" s="10">
        <f>+Risultati!AG224</f>
        <v>0</v>
      </c>
      <c r="DA225" s="31" t="str">
        <f t="shared" si="225"/>
        <v>0</v>
      </c>
      <c r="DB225" s="10">
        <f t="shared" si="226"/>
        <v>0</v>
      </c>
      <c r="DC225" s="31" t="str">
        <f t="shared" si="227"/>
        <v>0</v>
      </c>
      <c r="DD225" s="10">
        <f>+Risultati!AV224</f>
        <v>0</v>
      </c>
      <c r="DE225" s="31" t="str">
        <f t="shared" si="228"/>
        <v>0</v>
      </c>
      <c r="DF225" s="10">
        <f>+Risultati!AJ224</f>
        <v>0</v>
      </c>
      <c r="DG225" s="31" t="str">
        <f t="shared" si="229"/>
        <v>0</v>
      </c>
      <c r="DH225" s="10">
        <f t="shared" si="230"/>
        <v>0</v>
      </c>
      <c r="DI225" s="31" t="str">
        <f t="shared" si="231"/>
        <v>0</v>
      </c>
      <c r="DJ225" s="10">
        <f>+Risultati!AW224</f>
        <v>0</v>
      </c>
      <c r="DK225" s="31" t="str">
        <f t="shared" si="232"/>
        <v>0</v>
      </c>
      <c r="DL225" s="10">
        <f t="shared" si="203"/>
        <v>0</v>
      </c>
      <c r="DM225" s="31" t="str">
        <f t="shared" si="233"/>
        <v>0</v>
      </c>
      <c r="DO225" s="30"/>
      <c r="DP225" s="30"/>
    </row>
    <row r="226" spans="1:120" x14ac:dyDescent="0.2">
      <c r="A226" s="5"/>
      <c r="B226" s="6">
        <f>+Risultati!B225</f>
        <v>0</v>
      </c>
      <c r="C226" s="6">
        <f>+Risultati!C225</f>
        <v>0</v>
      </c>
      <c r="D226" s="26" t="str">
        <f>IF(YEAR(Risultati!D225)=1900,(MID(Risultati!$AP$1,29,4)),YEAR(Risultati!D225))</f>
        <v/>
      </c>
      <c r="E226" s="6">
        <f>+Risultati!E225</f>
        <v>0</v>
      </c>
      <c r="F226" s="8" t="e">
        <f>(LEFT(Risultati!AN225,2)&amp;"-")&amp;VLOOKUP((LEFT(Risultati!AN225,2)),ateco!$B$4:$C$93,2,FALSE)</f>
        <v>#N/A</v>
      </c>
      <c r="G226" s="8" t="str">
        <f>SUBSTITUTE((Risultati!AN225&amp;"-"&amp;Risultati!AO225),",",";")</f>
        <v>-</v>
      </c>
      <c r="I226" s="10">
        <f>+Risultati!G225</f>
        <v>0</v>
      </c>
      <c r="J226" s="11" t="str">
        <f t="shared" si="185"/>
        <v>0</v>
      </c>
      <c r="K226" s="12"/>
      <c r="L226" s="10">
        <f>+Risultati!G225+Risultati!H225</f>
        <v>0</v>
      </c>
      <c r="M226" s="11" t="str">
        <f t="shared" si="186"/>
        <v>0</v>
      </c>
      <c r="N226" s="12"/>
      <c r="O226" s="10">
        <f>+Risultati!I225+Risultati!J225</f>
        <v>0</v>
      </c>
      <c r="P226" s="11" t="str">
        <f t="shared" si="187"/>
        <v>0</v>
      </c>
      <c r="Q226" s="12"/>
      <c r="R226" s="13">
        <f t="shared" si="204"/>
        <v>0</v>
      </c>
      <c r="S226" s="11" t="str">
        <f t="shared" si="188"/>
        <v>0</v>
      </c>
      <c r="T226" s="12"/>
      <c r="U226" s="10">
        <f>+Risultati!F225-(Risultati!G225+Risultati!H225)</f>
        <v>0</v>
      </c>
      <c r="V226" s="12" t="str">
        <f t="shared" si="189"/>
        <v>0</v>
      </c>
      <c r="W226" s="12"/>
      <c r="X226" s="10">
        <f t="shared" si="205"/>
        <v>0</v>
      </c>
      <c r="Y226" s="12" t="str">
        <f t="shared" si="190"/>
        <v>0</v>
      </c>
      <c r="Z226" s="12"/>
      <c r="AA226" s="10">
        <f>+Risultati!K225</f>
        <v>0</v>
      </c>
      <c r="AB226" s="12" t="str">
        <f t="shared" si="191"/>
        <v>0</v>
      </c>
      <c r="AC226" s="12"/>
      <c r="AD226" s="10">
        <f>+Risultati!L225</f>
        <v>0</v>
      </c>
      <c r="AE226" s="12" t="str">
        <f t="shared" si="192"/>
        <v>0</v>
      </c>
      <c r="AF226" s="12"/>
      <c r="AG226" s="10">
        <f>+Risultati!M225+Risultati!P225+Risultati!Q225</f>
        <v>0</v>
      </c>
      <c r="AH226" s="12" t="str">
        <f t="shared" si="193"/>
        <v>0</v>
      </c>
      <c r="AI226" s="12"/>
      <c r="AJ226" s="13">
        <f t="shared" si="206"/>
        <v>0</v>
      </c>
      <c r="AK226" s="11" t="str">
        <f t="shared" si="194"/>
        <v>0</v>
      </c>
      <c r="AL226" s="12"/>
      <c r="AM226" s="10">
        <f>+Risultati!N225</f>
        <v>0</v>
      </c>
      <c r="AN226" s="12" t="str">
        <f t="shared" si="195"/>
        <v>0</v>
      </c>
      <c r="AO226" s="12"/>
      <c r="AP226" s="10">
        <f t="shared" si="207"/>
        <v>0</v>
      </c>
      <c r="AQ226" s="41" t="str">
        <f t="shared" si="196"/>
        <v>0</v>
      </c>
      <c r="AR226" s="12"/>
      <c r="AS226" s="10">
        <f>+Risultati!O225</f>
        <v>0</v>
      </c>
      <c r="AT226" s="12" t="str">
        <f t="shared" si="197"/>
        <v>0</v>
      </c>
      <c r="AU226" s="12"/>
      <c r="AV226" s="10">
        <f t="shared" si="208"/>
        <v>0</v>
      </c>
      <c r="AW226" s="12" t="str">
        <f t="shared" si="198"/>
        <v>0</v>
      </c>
      <c r="AX226" s="12"/>
      <c r="AY226" s="10">
        <f>+Risultati!R225+Risultati!S225</f>
        <v>0</v>
      </c>
      <c r="AZ226" s="12" t="str">
        <f t="shared" si="199"/>
        <v>0</v>
      </c>
      <c r="BA226" s="12"/>
      <c r="BB226" s="10">
        <f>+Risultati!T225</f>
        <v>0</v>
      </c>
      <c r="BC226" s="12" t="str">
        <f t="shared" si="200"/>
        <v>0</v>
      </c>
      <c r="BD226" s="12"/>
      <c r="BE226" s="10">
        <f>+Risultati!U225</f>
        <v>0</v>
      </c>
      <c r="BF226" s="12" t="str">
        <f t="shared" si="201"/>
        <v>0</v>
      </c>
      <c r="BG226" s="12"/>
      <c r="BH226" s="10">
        <f t="shared" si="209"/>
        <v>0</v>
      </c>
      <c r="BI226" s="12" t="str">
        <f t="shared" si="202"/>
        <v>0</v>
      </c>
      <c r="BK226" s="16">
        <f>IF(ISNUMBER(Risultati!X225/100),(Risultati!X225/100))</f>
        <v>0</v>
      </c>
      <c r="BL226" s="16">
        <f>IF(ISNUMBER(Risultati!Y225/100),(Risultati!Y225/100))</f>
        <v>0</v>
      </c>
      <c r="BM226" s="16">
        <f>IF(ISNUMBER(Risultati!Z225/100),(Risultati!Z225/100))</f>
        <v>0</v>
      </c>
      <c r="BN226" s="16">
        <f>IF(AND(Risultati!AY225&lt;0,calcoli!AP226&lt;0),-IF(ISNUMBER(Risultati!AA225/100),(Risultati!AA225/100)),IF(ISNUMBER(Risultati!AA225/100),(Risultati!AA225/100)))</f>
        <v>0</v>
      </c>
      <c r="BO226" s="16" t="str">
        <f t="shared" si="183"/>
        <v>0</v>
      </c>
      <c r="BP226" s="16" t="str">
        <f>IF(Risultati!AB225&gt;0,(AV226/Risultati!AB225),"0")</f>
        <v>0</v>
      </c>
      <c r="BQ226" s="16" t="str">
        <f>IF(Risultati!AG225&lt;&gt;0,(BH226/Risultati!AG225),"0")</f>
        <v>0</v>
      </c>
      <c r="BR226" s="16" t="str">
        <f t="shared" si="184"/>
        <v>0</v>
      </c>
      <c r="BS226" s="14" t="str">
        <f>IF(Risultati!AB225&gt;0,(Risultati!G225/Risultati!AB225),"0")</f>
        <v>0</v>
      </c>
      <c r="BT226" s="15" t="str">
        <f>IF(Risultati!AG225&lt;&gt;0,(Risultati!AB225/Risultati!AG225),"0")</f>
        <v>0</v>
      </c>
      <c r="BU226" s="23" t="str">
        <f>IF(AND(Risultati!G225&gt;0,(Risultati!AE225-Risultati!AF225)&gt;=0),((Risultati!AE225-Risultati!AF225)/Risultati!G225*360),"0")</f>
        <v>0</v>
      </c>
      <c r="BV226" s="21" t="str">
        <f>IF(OR(E226="abbreviato",Risultati!G225=0),"0",((Risultati!AC225+Risultati!AD225)/Risultati!G225*360))</f>
        <v>0</v>
      </c>
      <c r="BW226" s="21" t="str">
        <f>IF(OR(E226="abbreviato",Risultati!G225=0,SUM(Risultati!I225+Risultati!K225+Risultati!M225)=0),"0",(((Risultati!AH225+Risultati!AI225)/(Risultati!I225+Risultati!K225+Risultati!N225)*360)))</f>
        <v>0</v>
      </c>
      <c r="BX226" s="16" t="str">
        <f>IF(Risultati!AB225&gt;0,(+Risultati!AG225/Risultati!AB225),"0")</f>
        <v>0</v>
      </c>
      <c r="BY226" s="22" t="str">
        <f>IF(OR(E226="abbreviato",Risultati!G225=0),"0",(((Risultati!AK225-(Risultati!AL225+Risultati!AM225))/Risultati!G225)))</f>
        <v>0</v>
      </c>
      <c r="BZ226" s="16" t="str">
        <f>IF(Risultati!G225&gt;0,(Risultati!AJ225/Risultati!G225),"0")</f>
        <v>0</v>
      </c>
      <c r="CA226" s="8"/>
      <c r="CB226" s="10">
        <f>+Risultati!AP225</f>
        <v>0</v>
      </c>
      <c r="CC226" s="31" t="str">
        <f t="shared" si="210"/>
        <v>0</v>
      </c>
      <c r="CD226" s="10">
        <f>+Risultati!AQ225</f>
        <v>0</v>
      </c>
      <c r="CE226" s="31" t="str">
        <f t="shared" si="211"/>
        <v>0</v>
      </c>
      <c r="CF226" s="10">
        <f>+Risultati!AR225</f>
        <v>0</v>
      </c>
      <c r="CG226" s="31" t="str">
        <f t="shared" si="212"/>
        <v>0</v>
      </c>
      <c r="CH226" s="10">
        <f>+Risultati!AS225</f>
        <v>0</v>
      </c>
      <c r="CI226" s="31" t="str">
        <f t="shared" si="213"/>
        <v>0</v>
      </c>
      <c r="CJ226" s="10">
        <f t="shared" si="214"/>
        <v>0</v>
      </c>
      <c r="CK226" s="31" t="str">
        <f t="shared" si="215"/>
        <v>0</v>
      </c>
      <c r="CL226" s="10">
        <f>+Risultati!AE225+Risultati!AF225</f>
        <v>0</v>
      </c>
      <c r="CM226" s="31" t="str">
        <f t="shared" si="216"/>
        <v>0</v>
      </c>
      <c r="CN226" s="10">
        <f>+Risultati!AT225</f>
        <v>0</v>
      </c>
      <c r="CO226" s="31" t="str">
        <f t="shared" si="217"/>
        <v>0</v>
      </c>
      <c r="CP226" s="10">
        <f>+Risultati!AU225</f>
        <v>0</v>
      </c>
      <c r="CQ226" s="31" t="str">
        <f t="shared" si="218"/>
        <v>0</v>
      </c>
      <c r="CR226" s="10">
        <f>+Risultati!AL225</f>
        <v>0</v>
      </c>
      <c r="CS226" s="31" t="str">
        <f t="shared" si="219"/>
        <v>0</v>
      </c>
      <c r="CT226" s="10">
        <f t="shared" si="220"/>
        <v>0</v>
      </c>
      <c r="CU226" s="31" t="str">
        <f t="shared" si="221"/>
        <v>0</v>
      </c>
      <c r="CV226" s="10">
        <f>+Risultati!AX225</f>
        <v>0</v>
      </c>
      <c r="CW226" s="31" t="str">
        <f t="shared" si="222"/>
        <v>0</v>
      </c>
      <c r="CX226" s="10">
        <f t="shared" si="223"/>
        <v>0</v>
      </c>
      <c r="CY226" s="31" t="str">
        <f t="shared" si="224"/>
        <v>0</v>
      </c>
      <c r="CZ226" s="10">
        <f>+Risultati!AG225</f>
        <v>0</v>
      </c>
      <c r="DA226" s="31" t="str">
        <f t="shared" si="225"/>
        <v>0</v>
      </c>
      <c r="DB226" s="10">
        <f t="shared" si="226"/>
        <v>0</v>
      </c>
      <c r="DC226" s="31" t="str">
        <f t="shared" si="227"/>
        <v>0</v>
      </c>
      <c r="DD226" s="10">
        <f>+Risultati!AV225</f>
        <v>0</v>
      </c>
      <c r="DE226" s="31" t="str">
        <f t="shared" si="228"/>
        <v>0</v>
      </c>
      <c r="DF226" s="10">
        <f>+Risultati!AJ225</f>
        <v>0</v>
      </c>
      <c r="DG226" s="31" t="str">
        <f t="shared" si="229"/>
        <v>0</v>
      </c>
      <c r="DH226" s="10">
        <f t="shared" si="230"/>
        <v>0</v>
      </c>
      <c r="DI226" s="31" t="str">
        <f t="shared" si="231"/>
        <v>0</v>
      </c>
      <c r="DJ226" s="10">
        <f>+Risultati!AW225</f>
        <v>0</v>
      </c>
      <c r="DK226" s="31" t="str">
        <f t="shared" si="232"/>
        <v>0</v>
      </c>
      <c r="DL226" s="10">
        <f t="shared" si="203"/>
        <v>0</v>
      </c>
      <c r="DM226" s="31" t="str">
        <f t="shared" si="233"/>
        <v>0</v>
      </c>
      <c r="DO226" s="30"/>
      <c r="DP226" s="30"/>
    </row>
    <row r="227" spans="1:120" x14ac:dyDescent="0.2">
      <c r="A227" s="5"/>
      <c r="B227" s="6">
        <f>+Risultati!B226</f>
        <v>0</v>
      </c>
      <c r="C227" s="6">
        <f>+Risultati!C226</f>
        <v>0</v>
      </c>
      <c r="D227" s="26" t="str">
        <f>IF(YEAR(Risultati!D226)=1900,(MID(Risultati!$AP$1,29,4)),YEAR(Risultati!D226))</f>
        <v/>
      </c>
      <c r="E227" s="6">
        <f>+Risultati!E226</f>
        <v>0</v>
      </c>
      <c r="F227" s="8" t="e">
        <f>(LEFT(Risultati!AN226,2)&amp;"-")&amp;VLOOKUP((LEFT(Risultati!AN226,2)),ateco!$B$4:$C$93,2,FALSE)</f>
        <v>#N/A</v>
      </c>
      <c r="G227" s="8" t="str">
        <f>SUBSTITUTE((Risultati!AN226&amp;"-"&amp;Risultati!AO226),",",";")</f>
        <v>-</v>
      </c>
      <c r="I227" s="10">
        <f>+Risultati!G226</f>
        <v>0</v>
      </c>
      <c r="J227" s="11" t="str">
        <f t="shared" si="185"/>
        <v>0</v>
      </c>
      <c r="K227" s="12"/>
      <c r="L227" s="10">
        <f>+Risultati!G226+Risultati!H226</f>
        <v>0</v>
      </c>
      <c r="M227" s="11" t="str">
        <f t="shared" si="186"/>
        <v>0</v>
      </c>
      <c r="N227" s="12"/>
      <c r="O227" s="10">
        <f>+Risultati!I226+Risultati!J226</f>
        <v>0</v>
      </c>
      <c r="P227" s="11" t="str">
        <f t="shared" si="187"/>
        <v>0</v>
      </c>
      <c r="Q227" s="12"/>
      <c r="R227" s="13">
        <f t="shared" si="204"/>
        <v>0</v>
      </c>
      <c r="S227" s="11" t="str">
        <f t="shared" si="188"/>
        <v>0</v>
      </c>
      <c r="T227" s="12"/>
      <c r="U227" s="10">
        <f>+Risultati!F226-(Risultati!G226+Risultati!H226)</f>
        <v>0</v>
      </c>
      <c r="V227" s="12" t="str">
        <f t="shared" si="189"/>
        <v>0</v>
      </c>
      <c r="W227" s="12"/>
      <c r="X227" s="10">
        <f t="shared" si="205"/>
        <v>0</v>
      </c>
      <c r="Y227" s="12" t="str">
        <f t="shared" si="190"/>
        <v>0</v>
      </c>
      <c r="Z227" s="12"/>
      <c r="AA227" s="10">
        <f>+Risultati!K226</f>
        <v>0</v>
      </c>
      <c r="AB227" s="12" t="str">
        <f t="shared" si="191"/>
        <v>0</v>
      </c>
      <c r="AC227" s="12"/>
      <c r="AD227" s="10">
        <f>+Risultati!L226</f>
        <v>0</v>
      </c>
      <c r="AE227" s="12" t="str">
        <f t="shared" si="192"/>
        <v>0</v>
      </c>
      <c r="AF227" s="12"/>
      <c r="AG227" s="10">
        <f>+Risultati!M226+Risultati!P226+Risultati!Q226</f>
        <v>0</v>
      </c>
      <c r="AH227" s="12" t="str">
        <f t="shared" si="193"/>
        <v>0</v>
      </c>
      <c r="AI227" s="12"/>
      <c r="AJ227" s="13">
        <f t="shared" si="206"/>
        <v>0</v>
      </c>
      <c r="AK227" s="11" t="str">
        <f t="shared" si="194"/>
        <v>0</v>
      </c>
      <c r="AL227" s="12"/>
      <c r="AM227" s="10">
        <f>+Risultati!N226</f>
        <v>0</v>
      </c>
      <c r="AN227" s="12" t="str">
        <f t="shared" si="195"/>
        <v>0</v>
      </c>
      <c r="AO227" s="12"/>
      <c r="AP227" s="10">
        <f t="shared" si="207"/>
        <v>0</v>
      </c>
      <c r="AQ227" s="41" t="str">
        <f t="shared" si="196"/>
        <v>0</v>
      </c>
      <c r="AR227" s="12"/>
      <c r="AS227" s="10">
        <f>+Risultati!O226</f>
        <v>0</v>
      </c>
      <c r="AT227" s="12" t="str">
        <f t="shared" si="197"/>
        <v>0</v>
      </c>
      <c r="AU227" s="12"/>
      <c r="AV227" s="10">
        <f t="shared" si="208"/>
        <v>0</v>
      </c>
      <c r="AW227" s="12" t="str">
        <f t="shared" si="198"/>
        <v>0</v>
      </c>
      <c r="AX227" s="12"/>
      <c r="AY227" s="10">
        <f>+Risultati!R226+Risultati!S226</f>
        <v>0</v>
      </c>
      <c r="AZ227" s="12" t="str">
        <f t="shared" si="199"/>
        <v>0</v>
      </c>
      <c r="BA227" s="12"/>
      <c r="BB227" s="10">
        <f>+Risultati!T226</f>
        <v>0</v>
      </c>
      <c r="BC227" s="12" t="str">
        <f t="shared" si="200"/>
        <v>0</v>
      </c>
      <c r="BD227" s="12"/>
      <c r="BE227" s="10">
        <f>+Risultati!U226</f>
        <v>0</v>
      </c>
      <c r="BF227" s="12" t="str">
        <f t="shared" si="201"/>
        <v>0</v>
      </c>
      <c r="BG227" s="12"/>
      <c r="BH227" s="10">
        <f t="shared" si="209"/>
        <v>0</v>
      </c>
      <c r="BI227" s="12" t="str">
        <f t="shared" si="202"/>
        <v>0</v>
      </c>
      <c r="BK227" s="16">
        <f>IF(ISNUMBER(Risultati!X226/100),(Risultati!X226/100))</f>
        <v>0</v>
      </c>
      <c r="BL227" s="16">
        <f>IF(ISNUMBER(Risultati!Y226/100),(Risultati!Y226/100))</f>
        <v>0</v>
      </c>
      <c r="BM227" s="16">
        <f>IF(ISNUMBER(Risultati!Z226/100),(Risultati!Z226/100))</f>
        <v>0</v>
      </c>
      <c r="BN227" s="16">
        <f>IF(AND(Risultati!AY226&lt;0,calcoli!AP227&lt;0),-IF(ISNUMBER(Risultati!AA226/100),(Risultati!AA226/100)),IF(ISNUMBER(Risultati!AA226/100),(Risultati!AA226/100)))</f>
        <v>0</v>
      </c>
      <c r="BO227" s="16" t="str">
        <f t="shared" si="183"/>
        <v>0</v>
      </c>
      <c r="BP227" s="16" t="str">
        <f>IF(Risultati!AB226&gt;0,(AV227/Risultati!AB226),"0")</f>
        <v>0</v>
      </c>
      <c r="BQ227" s="16" t="str">
        <f>IF(Risultati!AG226&lt;&gt;0,(BH227/Risultati!AG226),"0")</f>
        <v>0</v>
      </c>
      <c r="BR227" s="16" t="str">
        <f t="shared" si="184"/>
        <v>0</v>
      </c>
      <c r="BS227" s="14" t="str">
        <f>IF(Risultati!AB226&gt;0,(Risultati!G226/Risultati!AB226),"0")</f>
        <v>0</v>
      </c>
      <c r="BT227" s="15" t="str">
        <f>IF(Risultati!AG226&lt;&gt;0,(Risultati!AB226/Risultati!AG226),"0")</f>
        <v>0</v>
      </c>
      <c r="BU227" s="23" t="str">
        <f>IF(AND(Risultati!G226&gt;0,(Risultati!AE226-Risultati!AF226)&gt;=0),((Risultati!AE226-Risultati!AF226)/Risultati!G226*360),"0")</f>
        <v>0</v>
      </c>
      <c r="BV227" s="21" t="str">
        <f>IF(OR(E227="abbreviato",Risultati!G226=0),"0",((Risultati!AC226+Risultati!AD226)/Risultati!G226*360))</f>
        <v>0</v>
      </c>
      <c r="BW227" s="21" t="str">
        <f>IF(OR(E227="abbreviato",Risultati!G226=0,SUM(Risultati!I226+Risultati!K226+Risultati!M226)=0),"0",(((Risultati!AH226+Risultati!AI226)/(Risultati!I226+Risultati!K226+Risultati!N226)*360)))</f>
        <v>0</v>
      </c>
      <c r="BX227" s="16" t="str">
        <f>IF(Risultati!AB226&gt;0,(+Risultati!AG226/Risultati!AB226),"0")</f>
        <v>0</v>
      </c>
      <c r="BY227" s="22" t="str">
        <f>IF(OR(E227="abbreviato",Risultati!G226=0),"0",(((Risultati!AK226-(Risultati!AL226+Risultati!AM226))/Risultati!G226)))</f>
        <v>0</v>
      </c>
      <c r="BZ227" s="16" t="str">
        <f>IF(Risultati!G226&gt;0,(Risultati!AJ226/Risultati!G226),"0")</f>
        <v>0</v>
      </c>
      <c r="CA227" s="8"/>
      <c r="CB227" s="10">
        <f>+Risultati!AP226</f>
        <v>0</v>
      </c>
      <c r="CC227" s="31" t="str">
        <f t="shared" si="210"/>
        <v>0</v>
      </c>
      <c r="CD227" s="10">
        <f>+Risultati!AQ226</f>
        <v>0</v>
      </c>
      <c r="CE227" s="31" t="str">
        <f t="shared" si="211"/>
        <v>0</v>
      </c>
      <c r="CF227" s="10">
        <f>+Risultati!AR226</f>
        <v>0</v>
      </c>
      <c r="CG227" s="31" t="str">
        <f t="shared" si="212"/>
        <v>0</v>
      </c>
      <c r="CH227" s="10">
        <f>+Risultati!AS226</f>
        <v>0</v>
      </c>
      <c r="CI227" s="31" t="str">
        <f t="shared" si="213"/>
        <v>0</v>
      </c>
      <c r="CJ227" s="10">
        <f t="shared" si="214"/>
        <v>0</v>
      </c>
      <c r="CK227" s="31" t="str">
        <f t="shared" si="215"/>
        <v>0</v>
      </c>
      <c r="CL227" s="10">
        <f>+Risultati!AE226+Risultati!AF226</f>
        <v>0</v>
      </c>
      <c r="CM227" s="31" t="str">
        <f t="shared" si="216"/>
        <v>0</v>
      </c>
      <c r="CN227" s="10">
        <f>+Risultati!AT226</f>
        <v>0</v>
      </c>
      <c r="CO227" s="31" t="str">
        <f t="shared" si="217"/>
        <v>0</v>
      </c>
      <c r="CP227" s="10">
        <f>+Risultati!AU226</f>
        <v>0</v>
      </c>
      <c r="CQ227" s="31" t="str">
        <f t="shared" si="218"/>
        <v>0</v>
      </c>
      <c r="CR227" s="10">
        <f>+Risultati!AL226</f>
        <v>0</v>
      </c>
      <c r="CS227" s="31" t="str">
        <f t="shared" si="219"/>
        <v>0</v>
      </c>
      <c r="CT227" s="10">
        <f t="shared" si="220"/>
        <v>0</v>
      </c>
      <c r="CU227" s="31" t="str">
        <f t="shared" si="221"/>
        <v>0</v>
      </c>
      <c r="CV227" s="10">
        <f>+Risultati!AX226</f>
        <v>0</v>
      </c>
      <c r="CW227" s="31" t="str">
        <f t="shared" si="222"/>
        <v>0</v>
      </c>
      <c r="CX227" s="10">
        <f t="shared" si="223"/>
        <v>0</v>
      </c>
      <c r="CY227" s="31" t="str">
        <f t="shared" si="224"/>
        <v>0</v>
      </c>
      <c r="CZ227" s="10">
        <f>+Risultati!AG226</f>
        <v>0</v>
      </c>
      <c r="DA227" s="31" t="str">
        <f t="shared" si="225"/>
        <v>0</v>
      </c>
      <c r="DB227" s="10">
        <f t="shared" si="226"/>
        <v>0</v>
      </c>
      <c r="DC227" s="31" t="str">
        <f t="shared" si="227"/>
        <v>0</v>
      </c>
      <c r="DD227" s="10">
        <f>+Risultati!AV226</f>
        <v>0</v>
      </c>
      <c r="DE227" s="31" t="str">
        <f t="shared" si="228"/>
        <v>0</v>
      </c>
      <c r="DF227" s="10">
        <f>+Risultati!AJ226</f>
        <v>0</v>
      </c>
      <c r="DG227" s="31" t="str">
        <f t="shared" si="229"/>
        <v>0</v>
      </c>
      <c r="DH227" s="10">
        <f t="shared" si="230"/>
        <v>0</v>
      </c>
      <c r="DI227" s="31" t="str">
        <f t="shared" si="231"/>
        <v>0</v>
      </c>
      <c r="DJ227" s="10">
        <f>+Risultati!AW226</f>
        <v>0</v>
      </c>
      <c r="DK227" s="31" t="str">
        <f t="shared" si="232"/>
        <v>0</v>
      </c>
      <c r="DL227" s="10">
        <f t="shared" si="203"/>
        <v>0</v>
      </c>
      <c r="DM227" s="31" t="str">
        <f t="shared" si="233"/>
        <v>0</v>
      </c>
      <c r="DO227" s="30"/>
      <c r="DP227" s="30"/>
    </row>
    <row r="228" spans="1:120" x14ac:dyDescent="0.2">
      <c r="A228" s="5"/>
      <c r="B228" s="6">
        <f>+Risultati!B227</f>
        <v>0</v>
      </c>
      <c r="C228" s="6">
        <f>+Risultati!C227</f>
        <v>0</v>
      </c>
      <c r="D228" s="26" t="str">
        <f>IF(YEAR(Risultati!D227)=1900,(MID(Risultati!$AP$1,29,4)),YEAR(Risultati!D227))</f>
        <v/>
      </c>
      <c r="E228" s="6">
        <f>+Risultati!E227</f>
        <v>0</v>
      </c>
      <c r="F228" s="8" t="e">
        <f>(LEFT(Risultati!AN227,2)&amp;"-")&amp;VLOOKUP((LEFT(Risultati!AN227,2)),ateco!$B$4:$C$93,2,FALSE)</f>
        <v>#N/A</v>
      </c>
      <c r="G228" s="8" t="str">
        <f>SUBSTITUTE((Risultati!AN227&amp;"-"&amp;Risultati!AO227),",",";")</f>
        <v>-</v>
      </c>
      <c r="I228" s="10">
        <f>+Risultati!G227</f>
        <v>0</v>
      </c>
      <c r="J228" s="11" t="str">
        <f t="shared" si="185"/>
        <v>0</v>
      </c>
      <c r="K228" s="12"/>
      <c r="L228" s="10">
        <f>+Risultati!G227+Risultati!H227</f>
        <v>0</v>
      </c>
      <c r="M228" s="11" t="str">
        <f t="shared" si="186"/>
        <v>0</v>
      </c>
      <c r="N228" s="12"/>
      <c r="O228" s="10">
        <f>+Risultati!I227+Risultati!J227</f>
        <v>0</v>
      </c>
      <c r="P228" s="11" t="str">
        <f t="shared" si="187"/>
        <v>0</v>
      </c>
      <c r="Q228" s="12"/>
      <c r="R228" s="13">
        <f t="shared" si="204"/>
        <v>0</v>
      </c>
      <c r="S228" s="11" t="str">
        <f t="shared" si="188"/>
        <v>0</v>
      </c>
      <c r="T228" s="12"/>
      <c r="U228" s="10">
        <f>+Risultati!F227-(Risultati!G227+Risultati!H227)</f>
        <v>0</v>
      </c>
      <c r="V228" s="12" t="str">
        <f t="shared" si="189"/>
        <v>0</v>
      </c>
      <c r="W228" s="12"/>
      <c r="X228" s="10">
        <f t="shared" si="205"/>
        <v>0</v>
      </c>
      <c r="Y228" s="12" t="str">
        <f t="shared" si="190"/>
        <v>0</v>
      </c>
      <c r="Z228" s="12"/>
      <c r="AA228" s="10">
        <f>+Risultati!K227</f>
        <v>0</v>
      </c>
      <c r="AB228" s="12" t="str">
        <f t="shared" si="191"/>
        <v>0</v>
      </c>
      <c r="AC228" s="12"/>
      <c r="AD228" s="10">
        <f>+Risultati!L227</f>
        <v>0</v>
      </c>
      <c r="AE228" s="12" t="str">
        <f t="shared" si="192"/>
        <v>0</v>
      </c>
      <c r="AF228" s="12"/>
      <c r="AG228" s="10">
        <f>+Risultati!M227+Risultati!P227+Risultati!Q227</f>
        <v>0</v>
      </c>
      <c r="AH228" s="12" t="str">
        <f t="shared" si="193"/>
        <v>0</v>
      </c>
      <c r="AI228" s="12"/>
      <c r="AJ228" s="13">
        <f t="shared" si="206"/>
        <v>0</v>
      </c>
      <c r="AK228" s="11" t="str">
        <f t="shared" si="194"/>
        <v>0</v>
      </c>
      <c r="AL228" s="12"/>
      <c r="AM228" s="10">
        <f>+Risultati!N227</f>
        <v>0</v>
      </c>
      <c r="AN228" s="12" t="str">
        <f t="shared" si="195"/>
        <v>0</v>
      </c>
      <c r="AO228" s="12"/>
      <c r="AP228" s="10">
        <f t="shared" si="207"/>
        <v>0</v>
      </c>
      <c r="AQ228" s="41" t="str">
        <f t="shared" si="196"/>
        <v>0</v>
      </c>
      <c r="AR228" s="12"/>
      <c r="AS228" s="10">
        <f>+Risultati!O227</f>
        <v>0</v>
      </c>
      <c r="AT228" s="12" t="str">
        <f t="shared" si="197"/>
        <v>0</v>
      </c>
      <c r="AU228" s="12"/>
      <c r="AV228" s="10">
        <f t="shared" si="208"/>
        <v>0</v>
      </c>
      <c r="AW228" s="12" t="str">
        <f t="shared" si="198"/>
        <v>0</v>
      </c>
      <c r="AX228" s="12"/>
      <c r="AY228" s="10">
        <f>+Risultati!R227+Risultati!S227</f>
        <v>0</v>
      </c>
      <c r="AZ228" s="12" t="str">
        <f t="shared" si="199"/>
        <v>0</v>
      </c>
      <c r="BA228" s="12"/>
      <c r="BB228" s="10">
        <f>+Risultati!T227</f>
        <v>0</v>
      </c>
      <c r="BC228" s="12" t="str">
        <f t="shared" si="200"/>
        <v>0</v>
      </c>
      <c r="BD228" s="12"/>
      <c r="BE228" s="10">
        <f>+Risultati!U227</f>
        <v>0</v>
      </c>
      <c r="BF228" s="12" t="str">
        <f t="shared" si="201"/>
        <v>0</v>
      </c>
      <c r="BG228" s="12"/>
      <c r="BH228" s="10">
        <f t="shared" si="209"/>
        <v>0</v>
      </c>
      <c r="BI228" s="12" t="str">
        <f t="shared" si="202"/>
        <v>0</v>
      </c>
      <c r="BK228" s="16">
        <f>IF(ISNUMBER(Risultati!X227/100),(Risultati!X227/100))</f>
        <v>0</v>
      </c>
      <c r="BL228" s="16">
        <f>IF(ISNUMBER(Risultati!Y227/100),(Risultati!Y227/100))</f>
        <v>0</v>
      </c>
      <c r="BM228" s="16">
        <f>IF(ISNUMBER(Risultati!Z227/100),(Risultati!Z227/100))</f>
        <v>0</v>
      </c>
      <c r="BN228" s="16">
        <f>IF(AND(Risultati!AY227&lt;0,calcoli!AP228&lt;0),-IF(ISNUMBER(Risultati!AA227/100),(Risultati!AA227/100)),IF(ISNUMBER(Risultati!AA227/100),(Risultati!AA227/100)))</f>
        <v>0</v>
      </c>
      <c r="BO228" s="16" t="str">
        <f t="shared" si="183"/>
        <v>0</v>
      </c>
      <c r="BP228" s="16" t="str">
        <f>IF(Risultati!AB227&gt;0,(AV228/Risultati!AB227),"0")</f>
        <v>0</v>
      </c>
      <c r="BQ228" s="16" t="str">
        <f>IF(Risultati!AG227&lt;&gt;0,(BH228/Risultati!AG227),"0")</f>
        <v>0</v>
      </c>
      <c r="BR228" s="16" t="str">
        <f t="shared" si="184"/>
        <v>0</v>
      </c>
      <c r="BS228" s="14" t="str">
        <f>IF(Risultati!AB227&gt;0,(Risultati!G227/Risultati!AB227),"0")</f>
        <v>0</v>
      </c>
      <c r="BT228" s="15" t="str">
        <f>IF(Risultati!AG227&lt;&gt;0,(Risultati!AB227/Risultati!AG227),"0")</f>
        <v>0</v>
      </c>
      <c r="BU228" s="23" t="str">
        <f>IF(AND(Risultati!G227&gt;0,(Risultati!AE227-Risultati!AF227)&gt;=0),((Risultati!AE227-Risultati!AF227)/Risultati!G227*360),"0")</f>
        <v>0</v>
      </c>
      <c r="BV228" s="21" t="str">
        <f>IF(OR(E228="abbreviato",Risultati!G227=0),"0",((Risultati!AC227+Risultati!AD227)/Risultati!G227*360))</f>
        <v>0</v>
      </c>
      <c r="BW228" s="21" t="str">
        <f>IF(OR(E228="abbreviato",Risultati!G227=0,SUM(Risultati!I227+Risultati!K227+Risultati!M227)=0),"0",(((Risultati!AH227+Risultati!AI227)/(Risultati!I227+Risultati!K227+Risultati!N227)*360)))</f>
        <v>0</v>
      </c>
      <c r="BX228" s="16" t="str">
        <f>IF(Risultati!AB227&gt;0,(+Risultati!AG227/Risultati!AB227),"0")</f>
        <v>0</v>
      </c>
      <c r="BY228" s="22" t="str">
        <f>IF(OR(E228="abbreviato",Risultati!G227=0),"0",(((Risultati!AK227-(Risultati!AL227+Risultati!AM227))/Risultati!G227)))</f>
        <v>0</v>
      </c>
      <c r="BZ228" s="16" t="str">
        <f>IF(Risultati!G227&gt;0,(Risultati!AJ227/Risultati!G227),"0")</f>
        <v>0</v>
      </c>
      <c r="CA228" s="8"/>
      <c r="CB228" s="10">
        <f>+Risultati!AP227</f>
        <v>0</v>
      </c>
      <c r="CC228" s="31" t="str">
        <f t="shared" si="210"/>
        <v>0</v>
      </c>
      <c r="CD228" s="10">
        <f>+Risultati!AQ227</f>
        <v>0</v>
      </c>
      <c r="CE228" s="31" t="str">
        <f t="shared" si="211"/>
        <v>0</v>
      </c>
      <c r="CF228" s="10">
        <f>+Risultati!AR227</f>
        <v>0</v>
      </c>
      <c r="CG228" s="31" t="str">
        <f t="shared" si="212"/>
        <v>0</v>
      </c>
      <c r="CH228" s="10">
        <f>+Risultati!AS227</f>
        <v>0</v>
      </c>
      <c r="CI228" s="31" t="str">
        <f t="shared" si="213"/>
        <v>0</v>
      </c>
      <c r="CJ228" s="10">
        <f t="shared" si="214"/>
        <v>0</v>
      </c>
      <c r="CK228" s="31" t="str">
        <f t="shared" si="215"/>
        <v>0</v>
      </c>
      <c r="CL228" s="10">
        <f>+Risultati!AE227+Risultati!AF227</f>
        <v>0</v>
      </c>
      <c r="CM228" s="31" t="str">
        <f t="shared" si="216"/>
        <v>0</v>
      </c>
      <c r="CN228" s="10">
        <f>+Risultati!AT227</f>
        <v>0</v>
      </c>
      <c r="CO228" s="31" t="str">
        <f t="shared" si="217"/>
        <v>0</v>
      </c>
      <c r="CP228" s="10">
        <f>+Risultati!AU227</f>
        <v>0</v>
      </c>
      <c r="CQ228" s="31" t="str">
        <f t="shared" si="218"/>
        <v>0</v>
      </c>
      <c r="CR228" s="10">
        <f>+Risultati!AL227</f>
        <v>0</v>
      </c>
      <c r="CS228" s="31" t="str">
        <f t="shared" si="219"/>
        <v>0</v>
      </c>
      <c r="CT228" s="10">
        <f t="shared" si="220"/>
        <v>0</v>
      </c>
      <c r="CU228" s="31" t="str">
        <f t="shared" si="221"/>
        <v>0</v>
      </c>
      <c r="CV228" s="10">
        <f>+Risultati!AX227</f>
        <v>0</v>
      </c>
      <c r="CW228" s="31" t="str">
        <f t="shared" si="222"/>
        <v>0</v>
      </c>
      <c r="CX228" s="10">
        <f t="shared" si="223"/>
        <v>0</v>
      </c>
      <c r="CY228" s="31" t="str">
        <f t="shared" si="224"/>
        <v>0</v>
      </c>
      <c r="CZ228" s="10">
        <f>+Risultati!AG227</f>
        <v>0</v>
      </c>
      <c r="DA228" s="31" t="str">
        <f t="shared" si="225"/>
        <v>0</v>
      </c>
      <c r="DB228" s="10">
        <f t="shared" si="226"/>
        <v>0</v>
      </c>
      <c r="DC228" s="31" t="str">
        <f t="shared" si="227"/>
        <v>0</v>
      </c>
      <c r="DD228" s="10">
        <f>+Risultati!AV227</f>
        <v>0</v>
      </c>
      <c r="DE228" s="31" t="str">
        <f t="shared" si="228"/>
        <v>0</v>
      </c>
      <c r="DF228" s="10">
        <f>+Risultati!AJ227</f>
        <v>0</v>
      </c>
      <c r="DG228" s="31" t="str">
        <f t="shared" si="229"/>
        <v>0</v>
      </c>
      <c r="DH228" s="10">
        <f t="shared" si="230"/>
        <v>0</v>
      </c>
      <c r="DI228" s="31" t="str">
        <f t="shared" si="231"/>
        <v>0</v>
      </c>
      <c r="DJ228" s="10">
        <f>+Risultati!AW227</f>
        <v>0</v>
      </c>
      <c r="DK228" s="31" t="str">
        <f t="shared" si="232"/>
        <v>0</v>
      </c>
      <c r="DL228" s="10">
        <f t="shared" si="203"/>
        <v>0</v>
      </c>
      <c r="DM228" s="31" t="str">
        <f t="shared" si="233"/>
        <v>0</v>
      </c>
      <c r="DO228" s="30"/>
      <c r="DP228" s="30"/>
    </row>
    <row r="229" spans="1:120" x14ac:dyDescent="0.2">
      <c r="A229" s="5"/>
      <c r="B229" s="6">
        <f>+Risultati!B228</f>
        <v>0</v>
      </c>
      <c r="C229" s="6">
        <f>+Risultati!C228</f>
        <v>0</v>
      </c>
      <c r="D229" s="26" t="str">
        <f>IF(YEAR(Risultati!D228)=1900,(MID(Risultati!$AP$1,29,4)),YEAR(Risultati!D228))</f>
        <v/>
      </c>
      <c r="E229" s="6">
        <f>+Risultati!E228</f>
        <v>0</v>
      </c>
      <c r="F229" s="8" t="e">
        <f>(LEFT(Risultati!AN228,2)&amp;"-")&amp;VLOOKUP((LEFT(Risultati!AN228,2)),ateco!$B$4:$C$93,2,FALSE)</f>
        <v>#N/A</v>
      </c>
      <c r="G229" s="8" t="str">
        <f>SUBSTITUTE((Risultati!AN228&amp;"-"&amp;Risultati!AO228),",",";")</f>
        <v>-</v>
      </c>
      <c r="I229" s="10">
        <f>+Risultati!G228</f>
        <v>0</v>
      </c>
      <c r="J229" s="11" t="str">
        <f t="shared" si="185"/>
        <v>0</v>
      </c>
      <c r="K229" s="12"/>
      <c r="L229" s="10">
        <f>+Risultati!G228+Risultati!H228</f>
        <v>0</v>
      </c>
      <c r="M229" s="11" t="str">
        <f t="shared" si="186"/>
        <v>0</v>
      </c>
      <c r="N229" s="12"/>
      <c r="O229" s="10">
        <f>+Risultati!I228+Risultati!J228</f>
        <v>0</v>
      </c>
      <c r="P229" s="11" t="str">
        <f t="shared" si="187"/>
        <v>0</v>
      </c>
      <c r="Q229" s="12"/>
      <c r="R229" s="13">
        <f t="shared" si="204"/>
        <v>0</v>
      </c>
      <c r="S229" s="11" t="str">
        <f t="shared" si="188"/>
        <v>0</v>
      </c>
      <c r="T229" s="12"/>
      <c r="U229" s="10">
        <f>+Risultati!F228-(Risultati!G228+Risultati!H228)</f>
        <v>0</v>
      </c>
      <c r="V229" s="12" t="str">
        <f t="shared" si="189"/>
        <v>0</v>
      </c>
      <c r="W229" s="12"/>
      <c r="X229" s="10">
        <f t="shared" si="205"/>
        <v>0</v>
      </c>
      <c r="Y229" s="12" t="str">
        <f t="shared" si="190"/>
        <v>0</v>
      </c>
      <c r="Z229" s="12"/>
      <c r="AA229" s="10">
        <f>+Risultati!K228</f>
        <v>0</v>
      </c>
      <c r="AB229" s="12" t="str">
        <f t="shared" si="191"/>
        <v>0</v>
      </c>
      <c r="AC229" s="12"/>
      <c r="AD229" s="10">
        <f>+Risultati!L228</f>
        <v>0</v>
      </c>
      <c r="AE229" s="12" t="str">
        <f t="shared" si="192"/>
        <v>0</v>
      </c>
      <c r="AF229" s="12"/>
      <c r="AG229" s="10">
        <f>+Risultati!M228+Risultati!P228+Risultati!Q228</f>
        <v>0</v>
      </c>
      <c r="AH229" s="12" t="str">
        <f t="shared" si="193"/>
        <v>0</v>
      </c>
      <c r="AI229" s="12"/>
      <c r="AJ229" s="13">
        <f t="shared" si="206"/>
        <v>0</v>
      </c>
      <c r="AK229" s="11" t="str">
        <f t="shared" si="194"/>
        <v>0</v>
      </c>
      <c r="AL229" s="12"/>
      <c r="AM229" s="10">
        <f>+Risultati!N228</f>
        <v>0</v>
      </c>
      <c r="AN229" s="12" t="str">
        <f t="shared" si="195"/>
        <v>0</v>
      </c>
      <c r="AO229" s="12"/>
      <c r="AP229" s="10">
        <f t="shared" si="207"/>
        <v>0</v>
      </c>
      <c r="AQ229" s="41" t="str">
        <f t="shared" si="196"/>
        <v>0</v>
      </c>
      <c r="AR229" s="12"/>
      <c r="AS229" s="10">
        <f>+Risultati!O228</f>
        <v>0</v>
      </c>
      <c r="AT229" s="12" t="str">
        <f t="shared" si="197"/>
        <v>0</v>
      </c>
      <c r="AU229" s="12"/>
      <c r="AV229" s="10">
        <f t="shared" si="208"/>
        <v>0</v>
      </c>
      <c r="AW229" s="12" t="str">
        <f t="shared" si="198"/>
        <v>0</v>
      </c>
      <c r="AX229" s="12"/>
      <c r="AY229" s="10">
        <f>+Risultati!R228+Risultati!S228</f>
        <v>0</v>
      </c>
      <c r="AZ229" s="12" t="str">
        <f t="shared" si="199"/>
        <v>0</v>
      </c>
      <c r="BA229" s="12"/>
      <c r="BB229" s="10">
        <f>+Risultati!T228</f>
        <v>0</v>
      </c>
      <c r="BC229" s="12" t="str">
        <f t="shared" si="200"/>
        <v>0</v>
      </c>
      <c r="BD229" s="12"/>
      <c r="BE229" s="10">
        <f>+Risultati!U228</f>
        <v>0</v>
      </c>
      <c r="BF229" s="12" t="str">
        <f t="shared" si="201"/>
        <v>0</v>
      </c>
      <c r="BG229" s="12"/>
      <c r="BH229" s="10">
        <f t="shared" si="209"/>
        <v>0</v>
      </c>
      <c r="BI229" s="12" t="str">
        <f t="shared" si="202"/>
        <v>0</v>
      </c>
      <c r="BK229" s="16">
        <f>IF(ISNUMBER(Risultati!X228/100),(Risultati!X228/100))</f>
        <v>0</v>
      </c>
      <c r="BL229" s="16">
        <f>IF(ISNUMBER(Risultati!Y228/100),(Risultati!Y228/100))</f>
        <v>0</v>
      </c>
      <c r="BM229" s="16">
        <f>IF(ISNUMBER(Risultati!Z228/100),(Risultati!Z228/100))</f>
        <v>0</v>
      </c>
      <c r="BN229" s="16">
        <f>IF(AND(Risultati!AY228&lt;0,calcoli!AP229&lt;0),-IF(ISNUMBER(Risultati!AA228/100),(Risultati!AA228/100)),IF(ISNUMBER(Risultati!AA228/100),(Risultati!AA228/100)))</f>
        <v>0</v>
      </c>
      <c r="BO229" s="16" t="str">
        <f t="shared" si="183"/>
        <v>0</v>
      </c>
      <c r="BP229" s="16" t="str">
        <f>IF(Risultati!AB228&gt;0,(AV229/Risultati!AB228),"0")</f>
        <v>0</v>
      </c>
      <c r="BQ229" s="16" t="str">
        <f>IF(Risultati!AG228&lt;&gt;0,(BH229/Risultati!AG228),"0")</f>
        <v>0</v>
      </c>
      <c r="BR229" s="16" t="str">
        <f t="shared" si="184"/>
        <v>0</v>
      </c>
      <c r="BS229" s="14" t="str">
        <f>IF(Risultati!AB228&gt;0,(Risultati!G228/Risultati!AB228),"0")</f>
        <v>0</v>
      </c>
      <c r="BT229" s="15" t="str">
        <f>IF(Risultati!AG228&lt;&gt;0,(Risultati!AB228/Risultati!AG228),"0")</f>
        <v>0</v>
      </c>
      <c r="BU229" s="23" t="str">
        <f>IF(AND(Risultati!G228&gt;0,(Risultati!AE228-Risultati!AF228)&gt;=0),((Risultati!AE228-Risultati!AF228)/Risultati!G228*360),"0")</f>
        <v>0</v>
      </c>
      <c r="BV229" s="21" t="str">
        <f>IF(OR(E229="abbreviato",Risultati!G228=0),"0",((Risultati!AC228+Risultati!AD228)/Risultati!G228*360))</f>
        <v>0</v>
      </c>
      <c r="BW229" s="21" t="str">
        <f>IF(OR(E229="abbreviato",Risultati!G228=0,SUM(Risultati!I228+Risultati!K228+Risultati!M228)=0),"0",(((Risultati!AH228+Risultati!AI228)/(Risultati!I228+Risultati!K228+Risultati!N228)*360)))</f>
        <v>0</v>
      </c>
      <c r="BX229" s="16" t="str">
        <f>IF(Risultati!AB228&gt;0,(+Risultati!AG228/Risultati!AB228),"0")</f>
        <v>0</v>
      </c>
      <c r="BY229" s="22" t="str">
        <f>IF(OR(E229="abbreviato",Risultati!G228=0),"0",(((Risultati!AK228-(Risultati!AL228+Risultati!AM228))/Risultati!G228)))</f>
        <v>0</v>
      </c>
      <c r="BZ229" s="16" t="str">
        <f>IF(Risultati!G228&gt;0,(Risultati!AJ228/Risultati!G228),"0")</f>
        <v>0</v>
      </c>
      <c r="CA229" s="8"/>
      <c r="CB229" s="10">
        <f>+Risultati!AP228</f>
        <v>0</v>
      </c>
      <c r="CC229" s="31" t="str">
        <f t="shared" si="210"/>
        <v>0</v>
      </c>
      <c r="CD229" s="10">
        <f>+Risultati!AQ228</f>
        <v>0</v>
      </c>
      <c r="CE229" s="31" t="str">
        <f t="shared" si="211"/>
        <v>0</v>
      </c>
      <c r="CF229" s="10">
        <f>+Risultati!AR228</f>
        <v>0</v>
      </c>
      <c r="CG229" s="31" t="str">
        <f t="shared" si="212"/>
        <v>0</v>
      </c>
      <c r="CH229" s="10">
        <f>+Risultati!AS228</f>
        <v>0</v>
      </c>
      <c r="CI229" s="31" t="str">
        <f t="shared" si="213"/>
        <v>0</v>
      </c>
      <c r="CJ229" s="10">
        <f t="shared" si="214"/>
        <v>0</v>
      </c>
      <c r="CK229" s="31" t="str">
        <f t="shared" si="215"/>
        <v>0</v>
      </c>
      <c r="CL229" s="10">
        <f>+Risultati!AE228+Risultati!AF228</f>
        <v>0</v>
      </c>
      <c r="CM229" s="31" t="str">
        <f t="shared" si="216"/>
        <v>0</v>
      </c>
      <c r="CN229" s="10">
        <f>+Risultati!AT228</f>
        <v>0</v>
      </c>
      <c r="CO229" s="31" t="str">
        <f t="shared" si="217"/>
        <v>0</v>
      </c>
      <c r="CP229" s="10">
        <f>+Risultati!AU228</f>
        <v>0</v>
      </c>
      <c r="CQ229" s="31" t="str">
        <f t="shared" si="218"/>
        <v>0</v>
      </c>
      <c r="CR229" s="10">
        <f>+Risultati!AL228</f>
        <v>0</v>
      </c>
      <c r="CS229" s="31" t="str">
        <f t="shared" si="219"/>
        <v>0</v>
      </c>
      <c r="CT229" s="10">
        <f t="shared" si="220"/>
        <v>0</v>
      </c>
      <c r="CU229" s="31" t="str">
        <f t="shared" si="221"/>
        <v>0</v>
      </c>
      <c r="CV229" s="10">
        <f>+Risultati!AX228</f>
        <v>0</v>
      </c>
      <c r="CW229" s="31" t="str">
        <f t="shared" si="222"/>
        <v>0</v>
      </c>
      <c r="CX229" s="10">
        <f t="shared" si="223"/>
        <v>0</v>
      </c>
      <c r="CY229" s="31" t="str">
        <f t="shared" si="224"/>
        <v>0</v>
      </c>
      <c r="CZ229" s="10">
        <f>+Risultati!AG228</f>
        <v>0</v>
      </c>
      <c r="DA229" s="31" t="str">
        <f t="shared" si="225"/>
        <v>0</v>
      </c>
      <c r="DB229" s="10">
        <f t="shared" si="226"/>
        <v>0</v>
      </c>
      <c r="DC229" s="31" t="str">
        <f t="shared" si="227"/>
        <v>0</v>
      </c>
      <c r="DD229" s="10">
        <f>+Risultati!AV228</f>
        <v>0</v>
      </c>
      <c r="DE229" s="31" t="str">
        <f t="shared" si="228"/>
        <v>0</v>
      </c>
      <c r="DF229" s="10">
        <f>+Risultati!AJ228</f>
        <v>0</v>
      </c>
      <c r="DG229" s="31" t="str">
        <f t="shared" si="229"/>
        <v>0</v>
      </c>
      <c r="DH229" s="10">
        <f t="shared" si="230"/>
        <v>0</v>
      </c>
      <c r="DI229" s="31" t="str">
        <f t="shared" si="231"/>
        <v>0</v>
      </c>
      <c r="DJ229" s="10">
        <f>+Risultati!AW228</f>
        <v>0</v>
      </c>
      <c r="DK229" s="31" t="str">
        <f t="shared" si="232"/>
        <v>0</v>
      </c>
      <c r="DL229" s="10">
        <f t="shared" si="203"/>
        <v>0</v>
      </c>
      <c r="DM229" s="31" t="str">
        <f t="shared" si="233"/>
        <v>0</v>
      </c>
      <c r="DO229" s="30"/>
      <c r="DP229" s="30"/>
    </row>
    <row r="230" spans="1:120" x14ac:dyDescent="0.2">
      <c r="A230" s="5"/>
      <c r="B230" s="6">
        <f>+Risultati!B229</f>
        <v>0</v>
      </c>
      <c r="C230" s="6">
        <f>+Risultati!C229</f>
        <v>0</v>
      </c>
      <c r="D230" s="26" t="str">
        <f>IF(YEAR(Risultati!D229)=1900,(MID(Risultati!$AP$1,29,4)),YEAR(Risultati!D229))</f>
        <v/>
      </c>
      <c r="E230" s="6">
        <f>+Risultati!E229</f>
        <v>0</v>
      </c>
      <c r="F230" s="8" t="e">
        <f>(LEFT(Risultati!AN229,2)&amp;"-")&amp;VLOOKUP((LEFT(Risultati!AN229,2)),ateco!$B$4:$C$93,2,FALSE)</f>
        <v>#N/A</v>
      </c>
      <c r="G230" s="8" t="str">
        <f>SUBSTITUTE((Risultati!AN229&amp;"-"&amp;Risultati!AO229),",",";")</f>
        <v>-</v>
      </c>
      <c r="I230" s="10">
        <f>+Risultati!G229</f>
        <v>0</v>
      </c>
      <c r="J230" s="11" t="str">
        <f t="shared" si="185"/>
        <v>0</v>
      </c>
      <c r="K230" s="12"/>
      <c r="L230" s="10">
        <f>+Risultati!G229+Risultati!H229</f>
        <v>0</v>
      </c>
      <c r="M230" s="11" t="str">
        <f t="shared" si="186"/>
        <v>0</v>
      </c>
      <c r="N230" s="12"/>
      <c r="O230" s="10">
        <f>+Risultati!I229+Risultati!J229</f>
        <v>0</v>
      </c>
      <c r="P230" s="11" t="str">
        <f t="shared" si="187"/>
        <v>0</v>
      </c>
      <c r="Q230" s="12"/>
      <c r="R230" s="13">
        <f t="shared" si="204"/>
        <v>0</v>
      </c>
      <c r="S230" s="11" t="str">
        <f t="shared" si="188"/>
        <v>0</v>
      </c>
      <c r="T230" s="12"/>
      <c r="U230" s="10">
        <f>+Risultati!F229-(Risultati!G229+Risultati!H229)</f>
        <v>0</v>
      </c>
      <c r="V230" s="12" t="str">
        <f t="shared" si="189"/>
        <v>0</v>
      </c>
      <c r="W230" s="12"/>
      <c r="X230" s="10">
        <f t="shared" si="205"/>
        <v>0</v>
      </c>
      <c r="Y230" s="12" t="str">
        <f t="shared" si="190"/>
        <v>0</v>
      </c>
      <c r="Z230" s="12"/>
      <c r="AA230" s="10">
        <f>+Risultati!K229</f>
        <v>0</v>
      </c>
      <c r="AB230" s="12" t="str">
        <f t="shared" si="191"/>
        <v>0</v>
      </c>
      <c r="AC230" s="12"/>
      <c r="AD230" s="10">
        <f>+Risultati!L229</f>
        <v>0</v>
      </c>
      <c r="AE230" s="12" t="str">
        <f t="shared" si="192"/>
        <v>0</v>
      </c>
      <c r="AF230" s="12"/>
      <c r="AG230" s="10">
        <f>+Risultati!M229+Risultati!P229+Risultati!Q229</f>
        <v>0</v>
      </c>
      <c r="AH230" s="12" t="str">
        <f t="shared" si="193"/>
        <v>0</v>
      </c>
      <c r="AI230" s="12"/>
      <c r="AJ230" s="13">
        <f t="shared" si="206"/>
        <v>0</v>
      </c>
      <c r="AK230" s="11" t="str">
        <f t="shared" si="194"/>
        <v>0</v>
      </c>
      <c r="AL230" s="12"/>
      <c r="AM230" s="10">
        <f>+Risultati!N229</f>
        <v>0</v>
      </c>
      <c r="AN230" s="12" t="str">
        <f t="shared" si="195"/>
        <v>0</v>
      </c>
      <c r="AO230" s="12"/>
      <c r="AP230" s="10">
        <f t="shared" si="207"/>
        <v>0</v>
      </c>
      <c r="AQ230" s="41" t="str">
        <f t="shared" si="196"/>
        <v>0</v>
      </c>
      <c r="AR230" s="12"/>
      <c r="AS230" s="10">
        <f>+Risultati!O229</f>
        <v>0</v>
      </c>
      <c r="AT230" s="12" t="str">
        <f t="shared" si="197"/>
        <v>0</v>
      </c>
      <c r="AU230" s="12"/>
      <c r="AV230" s="10">
        <f t="shared" si="208"/>
        <v>0</v>
      </c>
      <c r="AW230" s="12" t="str">
        <f t="shared" si="198"/>
        <v>0</v>
      </c>
      <c r="AX230" s="12"/>
      <c r="AY230" s="10">
        <f>+Risultati!R229+Risultati!S229</f>
        <v>0</v>
      </c>
      <c r="AZ230" s="12" t="str">
        <f t="shared" si="199"/>
        <v>0</v>
      </c>
      <c r="BA230" s="12"/>
      <c r="BB230" s="10">
        <f>+Risultati!T229</f>
        <v>0</v>
      </c>
      <c r="BC230" s="12" t="str">
        <f t="shared" si="200"/>
        <v>0</v>
      </c>
      <c r="BD230" s="12"/>
      <c r="BE230" s="10">
        <f>+Risultati!U229</f>
        <v>0</v>
      </c>
      <c r="BF230" s="12" t="str">
        <f t="shared" si="201"/>
        <v>0</v>
      </c>
      <c r="BG230" s="12"/>
      <c r="BH230" s="10">
        <f t="shared" si="209"/>
        <v>0</v>
      </c>
      <c r="BI230" s="12" t="str">
        <f t="shared" si="202"/>
        <v>0</v>
      </c>
      <c r="BK230" s="16">
        <f>IF(ISNUMBER(Risultati!X229/100),(Risultati!X229/100))</f>
        <v>0</v>
      </c>
      <c r="BL230" s="16">
        <f>IF(ISNUMBER(Risultati!Y229/100),(Risultati!Y229/100))</f>
        <v>0</v>
      </c>
      <c r="BM230" s="16">
        <f>IF(ISNUMBER(Risultati!Z229/100),(Risultati!Z229/100))</f>
        <v>0</v>
      </c>
      <c r="BN230" s="16">
        <f>IF(AND(Risultati!AY229&lt;0,calcoli!AP230&lt;0),-IF(ISNUMBER(Risultati!AA229/100),(Risultati!AA229/100)),IF(ISNUMBER(Risultati!AA229/100),(Risultati!AA229/100)))</f>
        <v>0</v>
      </c>
      <c r="BO230" s="16" t="str">
        <f t="shared" si="183"/>
        <v>0</v>
      </c>
      <c r="BP230" s="16" t="str">
        <f>IF(Risultati!AB229&gt;0,(AV230/Risultati!AB229),"0")</f>
        <v>0</v>
      </c>
      <c r="BQ230" s="16" t="str">
        <f>IF(Risultati!AG229&lt;&gt;0,(BH230/Risultati!AG229),"0")</f>
        <v>0</v>
      </c>
      <c r="BR230" s="16" t="str">
        <f t="shared" si="184"/>
        <v>0</v>
      </c>
      <c r="BS230" s="14" t="str">
        <f>IF(Risultati!AB229&gt;0,(Risultati!G229/Risultati!AB229),"0")</f>
        <v>0</v>
      </c>
      <c r="BT230" s="15" t="str">
        <f>IF(Risultati!AG229&lt;&gt;0,(Risultati!AB229/Risultati!AG229),"0")</f>
        <v>0</v>
      </c>
      <c r="BU230" s="23" t="str">
        <f>IF(AND(Risultati!G229&gt;0,(Risultati!AE229-Risultati!AF229)&gt;=0),((Risultati!AE229-Risultati!AF229)/Risultati!G229*360),"0")</f>
        <v>0</v>
      </c>
      <c r="BV230" s="21" t="str">
        <f>IF(OR(E230="abbreviato",Risultati!G229=0),"0",((Risultati!AC229+Risultati!AD229)/Risultati!G229*360))</f>
        <v>0</v>
      </c>
      <c r="BW230" s="21" t="str">
        <f>IF(OR(E230="abbreviato",Risultati!G229=0,SUM(Risultati!I229+Risultati!K229+Risultati!M229)=0),"0",(((Risultati!AH229+Risultati!AI229)/(Risultati!I229+Risultati!K229+Risultati!N229)*360)))</f>
        <v>0</v>
      </c>
      <c r="BX230" s="16" t="str">
        <f>IF(Risultati!AB229&gt;0,(+Risultati!AG229/Risultati!AB229),"0")</f>
        <v>0</v>
      </c>
      <c r="BY230" s="22" t="str">
        <f>IF(OR(E230="abbreviato",Risultati!G229=0),"0",(((Risultati!AK229-(Risultati!AL229+Risultati!AM229))/Risultati!G229)))</f>
        <v>0</v>
      </c>
      <c r="BZ230" s="16" t="str">
        <f>IF(Risultati!G229&gt;0,(Risultati!AJ229/Risultati!G229),"0")</f>
        <v>0</v>
      </c>
      <c r="CA230" s="8"/>
      <c r="CB230" s="10">
        <f>+Risultati!AP229</f>
        <v>0</v>
      </c>
      <c r="CC230" s="31" t="str">
        <f t="shared" si="210"/>
        <v>0</v>
      </c>
      <c r="CD230" s="10">
        <f>+Risultati!AQ229</f>
        <v>0</v>
      </c>
      <c r="CE230" s="31" t="str">
        <f t="shared" si="211"/>
        <v>0</v>
      </c>
      <c r="CF230" s="10">
        <f>+Risultati!AR229</f>
        <v>0</v>
      </c>
      <c r="CG230" s="31" t="str">
        <f t="shared" si="212"/>
        <v>0</v>
      </c>
      <c r="CH230" s="10">
        <f>+Risultati!AS229</f>
        <v>0</v>
      </c>
      <c r="CI230" s="31" t="str">
        <f t="shared" si="213"/>
        <v>0</v>
      </c>
      <c r="CJ230" s="10">
        <f t="shared" si="214"/>
        <v>0</v>
      </c>
      <c r="CK230" s="31" t="str">
        <f t="shared" si="215"/>
        <v>0</v>
      </c>
      <c r="CL230" s="10">
        <f>+Risultati!AE229+Risultati!AF229</f>
        <v>0</v>
      </c>
      <c r="CM230" s="31" t="str">
        <f t="shared" si="216"/>
        <v>0</v>
      </c>
      <c r="CN230" s="10">
        <f>+Risultati!AT229</f>
        <v>0</v>
      </c>
      <c r="CO230" s="31" t="str">
        <f t="shared" si="217"/>
        <v>0</v>
      </c>
      <c r="CP230" s="10">
        <f>+Risultati!AU229</f>
        <v>0</v>
      </c>
      <c r="CQ230" s="31" t="str">
        <f t="shared" si="218"/>
        <v>0</v>
      </c>
      <c r="CR230" s="10">
        <f>+Risultati!AL229</f>
        <v>0</v>
      </c>
      <c r="CS230" s="31" t="str">
        <f t="shared" si="219"/>
        <v>0</v>
      </c>
      <c r="CT230" s="10">
        <f t="shared" si="220"/>
        <v>0</v>
      </c>
      <c r="CU230" s="31" t="str">
        <f t="shared" si="221"/>
        <v>0</v>
      </c>
      <c r="CV230" s="10">
        <f>+Risultati!AX229</f>
        <v>0</v>
      </c>
      <c r="CW230" s="31" t="str">
        <f t="shared" si="222"/>
        <v>0</v>
      </c>
      <c r="CX230" s="10">
        <f t="shared" si="223"/>
        <v>0</v>
      </c>
      <c r="CY230" s="31" t="str">
        <f t="shared" si="224"/>
        <v>0</v>
      </c>
      <c r="CZ230" s="10">
        <f>+Risultati!AG229</f>
        <v>0</v>
      </c>
      <c r="DA230" s="31" t="str">
        <f t="shared" si="225"/>
        <v>0</v>
      </c>
      <c r="DB230" s="10">
        <f t="shared" si="226"/>
        <v>0</v>
      </c>
      <c r="DC230" s="31" t="str">
        <f t="shared" si="227"/>
        <v>0</v>
      </c>
      <c r="DD230" s="10">
        <f>+Risultati!AV229</f>
        <v>0</v>
      </c>
      <c r="DE230" s="31" t="str">
        <f t="shared" si="228"/>
        <v>0</v>
      </c>
      <c r="DF230" s="10">
        <f>+Risultati!AJ229</f>
        <v>0</v>
      </c>
      <c r="DG230" s="31" t="str">
        <f t="shared" si="229"/>
        <v>0</v>
      </c>
      <c r="DH230" s="10">
        <f t="shared" si="230"/>
        <v>0</v>
      </c>
      <c r="DI230" s="31" t="str">
        <f t="shared" si="231"/>
        <v>0</v>
      </c>
      <c r="DJ230" s="10">
        <f>+Risultati!AW229</f>
        <v>0</v>
      </c>
      <c r="DK230" s="31" t="str">
        <f t="shared" si="232"/>
        <v>0</v>
      </c>
      <c r="DL230" s="10">
        <f t="shared" si="203"/>
        <v>0</v>
      </c>
      <c r="DM230" s="31" t="str">
        <f t="shared" si="233"/>
        <v>0</v>
      </c>
      <c r="DO230" s="30"/>
      <c r="DP230" s="30"/>
    </row>
    <row r="231" spans="1:120" x14ac:dyDescent="0.2">
      <c r="A231" s="5"/>
      <c r="B231" s="6">
        <f>+Risultati!B230</f>
        <v>0</v>
      </c>
      <c r="C231" s="6">
        <f>+Risultati!C230</f>
        <v>0</v>
      </c>
      <c r="D231" s="26" t="str">
        <f>IF(YEAR(Risultati!D230)=1900,(MID(Risultati!$AP$1,29,4)),YEAR(Risultati!D230))</f>
        <v/>
      </c>
      <c r="E231" s="6">
        <f>+Risultati!E230</f>
        <v>0</v>
      </c>
      <c r="F231" s="8" t="e">
        <f>(LEFT(Risultati!AN230,2)&amp;"-")&amp;VLOOKUP((LEFT(Risultati!AN230,2)),ateco!$B$4:$C$93,2,FALSE)</f>
        <v>#N/A</v>
      </c>
      <c r="G231" s="8" t="str">
        <f>SUBSTITUTE((Risultati!AN230&amp;"-"&amp;Risultati!AO230),",",";")</f>
        <v>-</v>
      </c>
      <c r="I231" s="10">
        <f>+Risultati!G230</f>
        <v>0</v>
      </c>
      <c r="J231" s="11" t="str">
        <f t="shared" si="185"/>
        <v>0</v>
      </c>
      <c r="K231" s="12"/>
      <c r="L231" s="10">
        <f>+Risultati!G230+Risultati!H230</f>
        <v>0</v>
      </c>
      <c r="M231" s="11" t="str">
        <f t="shared" si="186"/>
        <v>0</v>
      </c>
      <c r="N231" s="12"/>
      <c r="O231" s="10">
        <f>+Risultati!I230+Risultati!J230</f>
        <v>0</v>
      </c>
      <c r="P231" s="11" t="str">
        <f t="shared" si="187"/>
        <v>0</v>
      </c>
      <c r="Q231" s="12"/>
      <c r="R231" s="13">
        <f t="shared" si="204"/>
        <v>0</v>
      </c>
      <c r="S231" s="11" t="str">
        <f t="shared" si="188"/>
        <v>0</v>
      </c>
      <c r="T231" s="12"/>
      <c r="U231" s="10">
        <f>+Risultati!F230-(Risultati!G230+Risultati!H230)</f>
        <v>0</v>
      </c>
      <c r="V231" s="12" t="str">
        <f t="shared" si="189"/>
        <v>0</v>
      </c>
      <c r="W231" s="12"/>
      <c r="X231" s="10">
        <f t="shared" si="205"/>
        <v>0</v>
      </c>
      <c r="Y231" s="12" t="str">
        <f t="shared" si="190"/>
        <v>0</v>
      </c>
      <c r="Z231" s="12"/>
      <c r="AA231" s="10">
        <f>+Risultati!K230</f>
        <v>0</v>
      </c>
      <c r="AB231" s="12" t="str">
        <f t="shared" si="191"/>
        <v>0</v>
      </c>
      <c r="AC231" s="12"/>
      <c r="AD231" s="10">
        <f>+Risultati!L230</f>
        <v>0</v>
      </c>
      <c r="AE231" s="12" t="str">
        <f t="shared" si="192"/>
        <v>0</v>
      </c>
      <c r="AF231" s="12"/>
      <c r="AG231" s="10">
        <f>+Risultati!M230+Risultati!P230+Risultati!Q230</f>
        <v>0</v>
      </c>
      <c r="AH231" s="12" t="str">
        <f t="shared" si="193"/>
        <v>0</v>
      </c>
      <c r="AI231" s="12"/>
      <c r="AJ231" s="13">
        <f t="shared" si="206"/>
        <v>0</v>
      </c>
      <c r="AK231" s="11" t="str">
        <f t="shared" si="194"/>
        <v>0</v>
      </c>
      <c r="AL231" s="12"/>
      <c r="AM231" s="10">
        <f>+Risultati!N230</f>
        <v>0</v>
      </c>
      <c r="AN231" s="12" t="str">
        <f t="shared" si="195"/>
        <v>0</v>
      </c>
      <c r="AO231" s="12"/>
      <c r="AP231" s="10">
        <f t="shared" si="207"/>
        <v>0</v>
      </c>
      <c r="AQ231" s="41" t="str">
        <f t="shared" si="196"/>
        <v>0</v>
      </c>
      <c r="AR231" s="12"/>
      <c r="AS231" s="10">
        <f>+Risultati!O230</f>
        <v>0</v>
      </c>
      <c r="AT231" s="12" t="str">
        <f t="shared" si="197"/>
        <v>0</v>
      </c>
      <c r="AU231" s="12"/>
      <c r="AV231" s="10">
        <f t="shared" si="208"/>
        <v>0</v>
      </c>
      <c r="AW231" s="12" t="str">
        <f t="shared" si="198"/>
        <v>0</v>
      </c>
      <c r="AX231" s="12"/>
      <c r="AY231" s="10">
        <f>+Risultati!R230+Risultati!S230</f>
        <v>0</v>
      </c>
      <c r="AZ231" s="12" t="str">
        <f t="shared" si="199"/>
        <v>0</v>
      </c>
      <c r="BA231" s="12"/>
      <c r="BB231" s="10">
        <f>+Risultati!T230</f>
        <v>0</v>
      </c>
      <c r="BC231" s="12" t="str">
        <f t="shared" si="200"/>
        <v>0</v>
      </c>
      <c r="BD231" s="12"/>
      <c r="BE231" s="10">
        <f>+Risultati!U230</f>
        <v>0</v>
      </c>
      <c r="BF231" s="12" t="str">
        <f t="shared" si="201"/>
        <v>0</v>
      </c>
      <c r="BG231" s="12"/>
      <c r="BH231" s="10">
        <f t="shared" si="209"/>
        <v>0</v>
      </c>
      <c r="BI231" s="12" t="str">
        <f t="shared" si="202"/>
        <v>0</v>
      </c>
      <c r="BK231" s="16">
        <f>IF(ISNUMBER(Risultati!X230/100),(Risultati!X230/100))</f>
        <v>0</v>
      </c>
      <c r="BL231" s="16">
        <f>IF(ISNUMBER(Risultati!Y230/100),(Risultati!Y230/100))</f>
        <v>0</v>
      </c>
      <c r="BM231" s="16">
        <f>IF(ISNUMBER(Risultati!Z230/100),(Risultati!Z230/100))</f>
        <v>0</v>
      </c>
      <c r="BN231" s="16">
        <f>IF(AND(Risultati!AY230&lt;0,calcoli!AP231&lt;0),-IF(ISNUMBER(Risultati!AA230/100),(Risultati!AA230/100)),IF(ISNUMBER(Risultati!AA230/100),(Risultati!AA230/100)))</f>
        <v>0</v>
      </c>
      <c r="BO231" s="16" t="str">
        <f t="shared" si="183"/>
        <v>0</v>
      </c>
      <c r="BP231" s="16" t="str">
        <f>IF(Risultati!AB230&gt;0,(AV231/Risultati!AB230),"0")</f>
        <v>0</v>
      </c>
      <c r="BQ231" s="16" t="str">
        <f>IF(Risultati!AG230&lt;&gt;0,(BH231/Risultati!AG230),"0")</f>
        <v>0</v>
      </c>
      <c r="BR231" s="16" t="str">
        <f t="shared" si="184"/>
        <v>0</v>
      </c>
      <c r="BS231" s="14" t="str">
        <f>IF(Risultati!AB230&gt;0,(Risultati!G230/Risultati!AB230),"0")</f>
        <v>0</v>
      </c>
      <c r="BT231" s="15" t="str">
        <f>IF(Risultati!AG230&lt;&gt;0,(Risultati!AB230/Risultati!AG230),"0")</f>
        <v>0</v>
      </c>
      <c r="BU231" s="23" t="str">
        <f>IF(AND(Risultati!G230&gt;0,(Risultati!AE230-Risultati!AF230)&gt;=0),((Risultati!AE230-Risultati!AF230)/Risultati!G230*360),"0")</f>
        <v>0</v>
      </c>
      <c r="BV231" s="21" t="str">
        <f>IF(OR(E231="abbreviato",Risultati!G230=0),"0",((Risultati!AC230+Risultati!AD230)/Risultati!G230*360))</f>
        <v>0</v>
      </c>
      <c r="BW231" s="21" t="str">
        <f>IF(OR(E231="abbreviato",Risultati!G230=0,SUM(Risultati!I230+Risultati!K230+Risultati!M230)=0),"0",(((Risultati!AH230+Risultati!AI230)/(Risultati!I230+Risultati!K230+Risultati!N230)*360)))</f>
        <v>0</v>
      </c>
      <c r="BX231" s="16" t="str">
        <f>IF(Risultati!AB230&gt;0,(+Risultati!AG230/Risultati!AB230),"0")</f>
        <v>0</v>
      </c>
      <c r="BY231" s="22" t="str">
        <f>IF(OR(E231="abbreviato",Risultati!G230=0),"0",(((Risultati!AK230-(Risultati!AL230+Risultati!AM230))/Risultati!G230)))</f>
        <v>0</v>
      </c>
      <c r="BZ231" s="16" t="str">
        <f>IF(Risultati!G230&gt;0,(Risultati!AJ230/Risultati!G230),"0")</f>
        <v>0</v>
      </c>
      <c r="CA231" s="8"/>
      <c r="CB231" s="10">
        <f>+Risultati!AP230</f>
        <v>0</v>
      </c>
      <c r="CC231" s="31" t="str">
        <f t="shared" si="210"/>
        <v>0</v>
      </c>
      <c r="CD231" s="10">
        <f>+Risultati!AQ230</f>
        <v>0</v>
      </c>
      <c r="CE231" s="31" t="str">
        <f t="shared" si="211"/>
        <v>0</v>
      </c>
      <c r="CF231" s="10">
        <f>+Risultati!AR230</f>
        <v>0</v>
      </c>
      <c r="CG231" s="31" t="str">
        <f t="shared" si="212"/>
        <v>0</v>
      </c>
      <c r="CH231" s="10">
        <f>+Risultati!AS230</f>
        <v>0</v>
      </c>
      <c r="CI231" s="31" t="str">
        <f t="shared" si="213"/>
        <v>0</v>
      </c>
      <c r="CJ231" s="10">
        <f t="shared" si="214"/>
        <v>0</v>
      </c>
      <c r="CK231" s="31" t="str">
        <f t="shared" si="215"/>
        <v>0</v>
      </c>
      <c r="CL231" s="10">
        <f>+Risultati!AE230+Risultati!AF230</f>
        <v>0</v>
      </c>
      <c r="CM231" s="31" t="str">
        <f t="shared" si="216"/>
        <v>0</v>
      </c>
      <c r="CN231" s="10">
        <f>+Risultati!AT230</f>
        <v>0</v>
      </c>
      <c r="CO231" s="31" t="str">
        <f t="shared" si="217"/>
        <v>0</v>
      </c>
      <c r="CP231" s="10">
        <f>+Risultati!AU230</f>
        <v>0</v>
      </c>
      <c r="CQ231" s="31" t="str">
        <f t="shared" si="218"/>
        <v>0</v>
      </c>
      <c r="CR231" s="10">
        <f>+Risultati!AL230</f>
        <v>0</v>
      </c>
      <c r="CS231" s="31" t="str">
        <f t="shared" si="219"/>
        <v>0</v>
      </c>
      <c r="CT231" s="10">
        <f t="shared" si="220"/>
        <v>0</v>
      </c>
      <c r="CU231" s="31" t="str">
        <f t="shared" si="221"/>
        <v>0</v>
      </c>
      <c r="CV231" s="10">
        <f>+Risultati!AX230</f>
        <v>0</v>
      </c>
      <c r="CW231" s="31" t="str">
        <f t="shared" si="222"/>
        <v>0</v>
      </c>
      <c r="CX231" s="10">
        <f t="shared" si="223"/>
        <v>0</v>
      </c>
      <c r="CY231" s="31" t="str">
        <f t="shared" si="224"/>
        <v>0</v>
      </c>
      <c r="CZ231" s="10">
        <f>+Risultati!AG230</f>
        <v>0</v>
      </c>
      <c r="DA231" s="31" t="str">
        <f t="shared" si="225"/>
        <v>0</v>
      </c>
      <c r="DB231" s="10">
        <f t="shared" si="226"/>
        <v>0</v>
      </c>
      <c r="DC231" s="31" t="str">
        <f t="shared" si="227"/>
        <v>0</v>
      </c>
      <c r="DD231" s="10">
        <f>+Risultati!AV230</f>
        <v>0</v>
      </c>
      <c r="DE231" s="31" t="str">
        <f t="shared" si="228"/>
        <v>0</v>
      </c>
      <c r="DF231" s="10">
        <f>+Risultati!AJ230</f>
        <v>0</v>
      </c>
      <c r="DG231" s="31" t="str">
        <f t="shared" si="229"/>
        <v>0</v>
      </c>
      <c r="DH231" s="10">
        <f t="shared" si="230"/>
        <v>0</v>
      </c>
      <c r="DI231" s="31" t="str">
        <f t="shared" si="231"/>
        <v>0</v>
      </c>
      <c r="DJ231" s="10">
        <f>+Risultati!AW230</f>
        <v>0</v>
      </c>
      <c r="DK231" s="31" t="str">
        <f t="shared" si="232"/>
        <v>0</v>
      </c>
      <c r="DL231" s="10">
        <f t="shared" si="203"/>
        <v>0</v>
      </c>
      <c r="DM231" s="31" t="str">
        <f t="shared" si="233"/>
        <v>0</v>
      </c>
      <c r="DO231" s="30"/>
      <c r="DP231" s="30"/>
    </row>
    <row r="232" spans="1:120" x14ac:dyDescent="0.2">
      <c r="A232" s="5"/>
      <c r="B232" s="6">
        <f>+Risultati!B231</f>
        <v>0</v>
      </c>
      <c r="C232" s="6">
        <f>+Risultati!C231</f>
        <v>0</v>
      </c>
      <c r="D232" s="26" t="str">
        <f>IF(YEAR(Risultati!D231)=1900,(MID(Risultati!$AP$1,29,4)),YEAR(Risultati!D231))</f>
        <v/>
      </c>
      <c r="E232" s="6">
        <f>+Risultati!E231</f>
        <v>0</v>
      </c>
      <c r="F232" s="8" t="e">
        <f>(LEFT(Risultati!AN231,2)&amp;"-")&amp;VLOOKUP((LEFT(Risultati!AN231,2)),ateco!$B$4:$C$93,2,FALSE)</f>
        <v>#N/A</v>
      </c>
      <c r="G232" s="8" t="str">
        <f>SUBSTITUTE((Risultati!AN231&amp;"-"&amp;Risultati!AO231),",",";")</f>
        <v>-</v>
      </c>
      <c r="I232" s="10">
        <f>+Risultati!G231</f>
        <v>0</v>
      </c>
      <c r="J232" s="11" t="str">
        <f t="shared" si="185"/>
        <v>0</v>
      </c>
      <c r="K232" s="12"/>
      <c r="L232" s="10">
        <f>+Risultati!G231+Risultati!H231</f>
        <v>0</v>
      </c>
      <c r="M232" s="11" t="str">
        <f t="shared" si="186"/>
        <v>0</v>
      </c>
      <c r="N232" s="12"/>
      <c r="O232" s="10">
        <f>+Risultati!I231+Risultati!J231</f>
        <v>0</v>
      </c>
      <c r="P232" s="11" t="str">
        <f t="shared" si="187"/>
        <v>0</v>
      </c>
      <c r="Q232" s="12"/>
      <c r="R232" s="13">
        <f t="shared" si="204"/>
        <v>0</v>
      </c>
      <c r="S232" s="11" t="str">
        <f t="shared" si="188"/>
        <v>0</v>
      </c>
      <c r="T232" s="12"/>
      <c r="U232" s="10">
        <f>+Risultati!F231-(Risultati!G231+Risultati!H231)</f>
        <v>0</v>
      </c>
      <c r="V232" s="12" t="str">
        <f t="shared" si="189"/>
        <v>0</v>
      </c>
      <c r="W232" s="12"/>
      <c r="X232" s="10">
        <f t="shared" si="205"/>
        <v>0</v>
      </c>
      <c r="Y232" s="12" t="str">
        <f t="shared" si="190"/>
        <v>0</v>
      </c>
      <c r="Z232" s="12"/>
      <c r="AA232" s="10">
        <f>+Risultati!K231</f>
        <v>0</v>
      </c>
      <c r="AB232" s="12" t="str">
        <f t="shared" si="191"/>
        <v>0</v>
      </c>
      <c r="AC232" s="12"/>
      <c r="AD232" s="10">
        <f>+Risultati!L231</f>
        <v>0</v>
      </c>
      <c r="AE232" s="12" t="str">
        <f t="shared" si="192"/>
        <v>0</v>
      </c>
      <c r="AF232" s="12"/>
      <c r="AG232" s="10">
        <f>+Risultati!M231+Risultati!P231+Risultati!Q231</f>
        <v>0</v>
      </c>
      <c r="AH232" s="12" t="str">
        <f t="shared" si="193"/>
        <v>0</v>
      </c>
      <c r="AI232" s="12"/>
      <c r="AJ232" s="13">
        <f t="shared" si="206"/>
        <v>0</v>
      </c>
      <c r="AK232" s="11" t="str">
        <f t="shared" si="194"/>
        <v>0</v>
      </c>
      <c r="AL232" s="12"/>
      <c r="AM232" s="10">
        <f>+Risultati!N231</f>
        <v>0</v>
      </c>
      <c r="AN232" s="12" t="str">
        <f t="shared" si="195"/>
        <v>0</v>
      </c>
      <c r="AO232" s="12"/>
      <c r="AP232" s="10">
        <f t="shared" si="207"/>
        <v>0</v>
      </c>
      <c r="AQ232" s="41" t="str">
        <f t="shared" si="196"/>
        <v>0</v>
      </c>
      <c r="AR232" s="12"/>
      <c r="AS232" s="10">
        <f>+Risultati!O231</f>
        <v>0</v>
      </c>
      <c r="AT232" s="12" t="str">
        <f t="shared" si="197"/>
        <v>0</v>
      </c>
      <c r="AU232" s="12"/>
      <c r="AV232" s="10">
        <f t="shared" si="208"/>
        <v>0</v>
      </c>
      <c r="AW232" s="12" t="str">
        <f t="shared" si="198"/>
        <v>0</v>
      </c>
      <c r="AX232" s="12"/>
      <c r="AY232" s="10">
        <f>+Risultati!R231+Risultati!S231</f>
        <v>0</v>
      </c>
      <c r="AZ232" s="12" t="str">
        <f t="shared" si="199"/>
        <v>0</v>
      </c>
      <c r="BA232" s="12"/>
      <c r="BB232" s="10">
        <f>+Risultati!T231</f>
        <v>0</v>
      </c>
      <c r="BC232" s="12" t="str">
        <f t="shared" si="200"/>
        <v>0</v>
      </c>
      <c r="BD232" s="12"/>
      <c r="BE232" s="10">
        <f>+Risultati!U231</f>
        <v>0</v>
      </c>
      <c r="BF232" s="12" t="str">
        <f t="shared" si="201"/>
        <v>0</v>
      </c>
      <c r="BG232" s="12"/>
      <c r="BH232" s="10">
        <f t="shared" si="209"/>
        <v>0</v>
      </c>
      <c r="BI232" s="12" t="str">
        <f t="shared" si="202"/>
        <v>0</v>
      </c>
      <c r="BK232" s="16">
        <f>IF(ISNUMBER(Risultati!X231/100),(Risultati!X231/100))</f>
        <v>0</v>
      </c>
      <c r="BL232" s="16">
        <f>IF(ISNUMBER(Risultati!Y231/100),(Risultati!Y231/100))</f>
        <v>0</v>
      </c>
      <c r="BM232" s="16">
        <f>IF(ISNUMBER(Risultati!Z231/100),(Risultati!Z231/100))</f>
        <v>0</v>
      </c>
      <c r="BN232" s="16">
        <f>IF(AND(Risultati!AY231&lt;0,calcoli!AP232&lt;0),-IF(ISNUMBER(Risultati!AA231/100),(Risultati!AA231/100)),IF(ISNUMBER(Risultati!AA231/100),(Risultati!AA231/100)))</f>
        <v>0</v>
      </c>
      <c r="BO232" s="16" t="str">
        <f t="shared" si="183"/>
        <v>0</v>
      </c>
      <c r="BP232" s="16" t="str">
        <f>IF(Risultati!AB231&gt;0,(AV232/Risultati!AB231),"0")</f>
        <v>0</v>
      </c>
      <c r="BQ232" s="16" t="str">
        <f>IF(Risultati!AG231&lt;&gt;0,(BH232/Risultati!AG231),"0")</f>
        <v>0</v>
      </c>
      <c r="BR232" s="16" t="str">
        <f t="shared" si="184"/>
        <v>0</v>
      </c>
      <c r="BS232" s="14" t="str">
        <f>IF(Risultati!AB231&gt;0,(Risultati!G231/Risultati!AB231),"0")</f>
        <v>0</v>
      </c>
      <c r="BT232" s="15" t="str">
        <f>IF(Risultati!AG231&lt;&gt;0,(Risultati!AB231/Risultati!AG231),"0")</f>
        <v>0</v>
      </c>
      <c r="BU232" s="23" t="str">
        <f>IF(AND(Risultati!G231&gt;0,(Risultati!AE231-Risultati!AF231)&gt;=0),((Risultati!AE231-Risultati!AF231)/Risultati!G231*360),"0")</f>
        <v>0</v>
      </c>
      <c r="BV232" s="21" t="str">
        <f>IF(OR(E232="abbreviato",Risultati!G231=0),"0",((Risultati!AC231+Risultati!AD231)/Risultati!G231*360))</f>
        <v>0</v>
      </c>
      <c r="BW232" s="21" t="str">
        <f>IF(OR(E232="abbreviato",Risultati!G231=0,SUM(Risultati!I231+Risultati!K231+Risultati!M231)=0),"0",(((Risultati!AH231+Risultati!AI231)/(Risultati!I231+Risultati!K231+Risultati!N231)*360)))</f>
        <v>0</v>
      </c>
      <c r="BX232" s="16" t="str">
        <f>IF(Risultati!AB231&gt;0,(+Risultati!AG231/Risultati!AB231),"0")</f>
        <v>0</v>
      </c>
      <c r="BY232" s="22" t="str">
        <f>IF(OR(E232="abbreviato",Risultati!G231=0),"0",(((Risultati!AK231-(Risultati!AL231+Risultati!AM231))/Risultati!G231)))</f>
        <v>0</v>
      </c>
      <c r="BZ232" s="16" t="str">
        <f>IF(Risultati!G231&gt;0,(Risultati!AJ231/Risultati!G231),"0")</f>
        <v>0</v>
      </c>
      <c r="CA232" s="8"/>
      <c r="CB232" s="10">
        <f>+Risultati!AP231</f>
        <v>0</v>
      </c>
      <c r="CC232" s="31" t="str">
        <f t="shared" si="210"/>
        <v>0</v>
      </c>
      <c r="CD232" s="10">
        <f>+Risultati!AQ231</f>
        <v>0</v>
      </c>
      <c r="CE232" s="31" t="str">
        <f t="shared" si="211"/>
        <v>0</v>
      </c>
      <c r="CF232" s="10">
        <f>+Risultati!AR231</f>
        <v>0</v>
      </c>
      <c r="CG232" s="31" t="str">
        <f t="shared" si="212"/>
        <v>0</v>
      </c>
      <c r="CH232" s="10">
        <f>+Risultati!AS231</f>
        <v>0</v>
      </c>
      <c r="CI232" s="31" t="str">
        <f t="shared" si="213"/>
        <v>0</v>
      </c>
      <c r="CJ232" s="10">
        <f t="shared" si="214"/>
        <v>0</v>
      </c>
      <c r="CK232" s="31" t="str">
        <f t="shared" si="215"/>
        <v>0</v>
      </c>
      <c r="CL232" s="10">
        <f>+Risultati!AE231+Risultati!AF231</f>
        <v>0</v>
      </c>
      <c r="CM232" s="31" t="str">
        <f t="shared" si="216"/>
        <v>0</v>
      </c>
      <c r="CN232" s="10">
        <f>+Risultati!AT231</f>
        <v>0</v>
      </c>
      <c r="CO232" s="31" t="str">
        <f t="shared" si="217"/>
        <v>0</v>
      </c>
      <c r="CP232" s="10">
        <f>+Risultati!AU231</f>
        <v>0</v>
      </c>
      <c r="CQ232" s="31" t="str">
        <f t="shared" si="218"/>
        <v>0</v>
      </c>
      <c r="CR232" s="10">
        <f>+Risultati!AL231</f>
        <v>0</v>
      </c>
      <c r="CS232" s="31" t="str">
        <f t="shared" si="219"/>
        <v>0</v>
      </c>
      <c r="CT232" s="10">
        <f t="shared" si="220"/>
        <v>0</v>
      </c>
      <c r="CU232" s="31" t="str">
        <f t="shared" si="221"/>
        <v>0</v>
      </c>
      <c r="CV232" s="10">
        <f>+Risultati!AX231</f>
        <v>0</v>
      </c>
      <c r="CW232" s="31" t="str">
        <f t="shared" si="222"/>
        <v>0</v>
      </c>
      <c r="CX232" s="10">
        <f t="shared" si="223"/>
        <v>0</v>
      </c>
      <c r="CY232" s="31" t="str">
        <f t="shared" si="224"/>
        <v>0</v>
      </c>
      <c r="CZ232" s="10">
        <f>+Risultati!AG231</f>
        <v>0</v>
      </c>
      <c r="DA232" s="31" t="str">
        <f t="shared" si="225"/>
        <v>0</v>
      </c>
      <c r="DB232" s="10">
        <f t="shared" si="226"/>
        <v>0</v>
      </c>
      <c r="DC232" s="31" t="str">
        <f t="shared" si="227"/>
        <v>0</v>
      </c>
      <c r="DD232" s="10">
        <f>+Risultati!AV231</f>
        <v>0</v>
      </c>
      <c r="DE232" s="31" t="str">
        <f t="shared" si="228"/>
        <v>0</v>
      </c>
      <c r="DF232" s="10">
        <f>+Risultati!AJ231</f>
        <v>0</v>
      </c>
      <c r="DG232" s="31" t="str">
        <f t="shared" si="229"/>
        <v>0</v>
      </c>
      <c r="DH232" s="10">
        <f t="shared" si="230"/>
        <v>0</v>
      </c>
      <c r="DI232" s="31" t="str">
        <f t="shared" si="231"/>
        <v>0</v>
      </c>
      <c r="DJ232" s="10">
        <f>+Risultati!AW231</f>
        <v>0</v>
      </c>
      <c r="DK232" s="31" t="str">
        <f t="shared" si="232"/>
        <v>0</v>
      </c>
      <c r="DL232" s="10">
        <f t="shared" si="203"/>
        <v>0</v>
      </c>
      <c r="DM232" s="31" t="str">
        <f t="shared" si="233"/>
        <v>0</v>
      </c>
      <c r="DO232" s="30"/>
      <c r="DP232" s="30"/>
    </row>
    <row r="233" spans="1:120" x14ac:dyDescent="0.2">
      <c r="A233" s="5"/>
      <c r="B233" s="6">
        <f>+Risultati!B232</f>
        <v>0</v>
      </c>
      <c r="C233" s="6">
        <f>+Risultati!C232</f>
        <v>0</v>
      </c>
      <c r="D233" s="26" t="str">
        <f>IF(YEAR(Risultati!D232)=1900,(MID(Risultati!$AP$1,29,4)),YEAR(Risultati!D232))</f>
        <v/>
      </c>
      <c r="E233" s="6">
        <f>+Risultati!E232</f>
        <v>0</v>
      </c>
      <c r="F233" s="8" t="e">
        <f>(LEFT(Risultati!AN232,2)&amp;"-")&amp;VLOOKUP((LEFT(Risultati!AN232,2)),ateco!$B$4:$C$93,2,FALSE)</f>
        <v>#N/A</v>
      </c>
      <c r="G233" s="8" t="str">
        <f>SUBSTITUTE((Risultati!AN232&amp;"-"&amp;Risultati!AO232),",",";")</f>
        <v>-</v>
      </c>
      <c r="I233" s="10">
        <f>+Risultati!G232</f>
        <v>0</v>
      </c>
      <c r="J233" s="11" t="str">
        <f t="shared" si="185"/>
        <v>0</v>
      </c>
      <c r="K233" s="12"/>
      <c r="L233" s="10">
        <f>+Risultati!G232+Risultati!H232</f>
        <v>0</v>
      </c>
      <c r="M233" s="11" t="str">
        <f t="shared" si="186"/>
        <v>0</v>
      </c>
      <c r="N233" s="12"/>
      <c r="O233" s="10">
        <f>+Risultati!I232+Risultati!J232</f>
        <v>0</v>
      </c>
      <c r="P233" s="11" t="str">
        <f t="shared" si="187"/>
        <v>0</v>
      </c>
      <c r="Q233" s="12"/>
      <c r="R233" s="13">
        <f t="shared" si="204"/>
        <v>0</v>
      </c>
      <c r="S233" s="11" t="str">
        <f t="shared" si="188"/>
        <v>0</v>
      </c>
      <c r="T233" s="12"/>
      <c r="U233" s="10">
        <f>+Risultati!F232-(Risultati!G232+Risultati!H232)</f>
        <v>0</v>
      </c>
      <c r="V233" s="12" t="str">
        <f t="shared" si="189"/>
        <v>0</v>
      </c>
      <c r="W233" s="12"/>
      <c r="X233" s="10">
        <f t="shared" si="205"/>
        <v>0</v>
      </c>
      <c r="Y233" s="12" t="str">
        <f t="shared" si="190"/>
        <v>0</v>
      </c>
      <c r="Z233" s="12"/>
      <c r="AA233" s="10">
        <f>+Risultati!K232</f>
        <v>0</v>
      </c>
      <c r="AB233" s="12" t="str">
        <f t="shared" si="191"/>
        <v>0</v>
      </c>
      <c r="AC233" s="12"/>
      <c r="AD233" s="10">
        <f>+Risultati!L232</f>
        <v>0</v>
      </c>
      <c r="AE233" s="12" t="str">
        <f t="shared" si="192"/>
        <v>0</v>
      </c>
      <c r="AF233" s="12"/>
      <c r="AG233" s="10">
        <f>+Risultati!M232+Risultati!P232+Risultati!Q232</f>
        <v>0</v>
      </c>
      <c r="AH233" s="12" t="str">
        <f t="shared" si="193"/>
        <v>0</v>
      </c>
      <c r="AI233" s="12"/>
      <c r="AJ233" s="13">
        <f t="shared" si="206"/>
        <v>0</v>
      </c>
      <c r="AK233" s="11" t="str">
        <f t="shared" si="194"/>
        <v>0</v>
      </c>
      <c r="AL233" s="12"/>
      <c r="AM233" s="10">
        <f>+Risultati!N232</f>
        <v>0</v>
      </c>
      <c r="AN233" s="12" t="str">
        <f t="shared" si="195"/>
        <v>0</v>
      </c>
      <c r="AO233" s="12"/>
      <c r="AP233" s="10">
        <f t="shared" si="207"/>
        <v>0</v>
      </c>
      <c r="AQ233" s="41" t="str">
        <f t="shared" si="196"/>
        <v>0</v>
      </c>
      <c r="AR233" s="12"/>
      <c r="AS233" s="10">
        <f>+Risultati!O232</f>
        <v>0</v>
      </c>
      <c r="AT233" s="12" t="str">
        <f t="shared" si="197"/>
        <v>0</v>
      </c>
      <c r="AU233" s="12"/>
      <c r="AV233" s="10">
        <f t="shared" si="208"/>
        <v>0</v>
      </c>
      <c r="AW233" s="12" t="str">
        <f t="shared" si="198"/>
        <v>0</v>
      </c>
      <c r="AX233" s="12"/>
      <c r="AY233" s="10">
        <f>+Risultati!R232+Risultati!S232</f>
        <v>0</v>
      </c>
      <c r="AZ233" s="12" t="str">
        <f t="shared" si="199"/>
        <v>0</v>
      </c>
      <c r="BA233" s="12"/>
      <c r="BB233" s="10">
        <f>+Risultati!T232</f>
        <v>0</v>
      </c>
      <c r="BC233" s="12" t="str">
        <f t="shared" si="200"/>
        <v>0</v>
      </c>
      <c r="BD233" s="12"/>
      <c r="BE233" s="10">
        <f>+Risultati!U232</f>
        <v>0</v>
      </c>
      <c r="BF233" s="12" t="str">
        <f t="shared" si="201"/>
        <v>0</v>
      </c>
      <c r="BG233" s="12"/>
      <c r="BH233" s="10">
        <f t="shared" si="209"/>
        <v>0</v>
      </c>
      <c r="BI233" s="12" t="str">
        <f t="shared" si="202"/>
        <v>0</v>
      </c>
      <c r="BK233" s="16">
        <f>IF(ISNUMBER(Risultati!X232/100),(Risultati!X232/100))</f>
        <v>0</v>
      </c>
      <c r="BL233" s="16">
        <f>IF(ISNUMBER(Risultati!Y232/100),(Risultati!Y232/100))</f>
        <v>0</v>
      </c>
      <c r="BM233" s="16">
        <f>IF(ISNUMBER(Risultati!Z232/100),(Risultati!Z232/100))</f>
        <v>0</v>
      </c>
      <c r="BN233" s="16">
        <f>IF(AND(Risultati!AY232&lt;0,calcoli!AP233&lt;0),-IF(ISNUMBER(Risultati!AA232/100),(Risultati!AA232/100)),IF(ISNUMBER(Risultati!AA232/100),(Risultati!AA232/100)))</f>
        <v>0</v>
      </c>
      <c r="BO233" s="16" t="str">
        <f t="shared" si="183"/>
        <v>0</v>
      </c>
      <c r="BP233" s="16" t="str">
        <f>IF(Risultati!AB232&gt;0,(AV233/Risultati!AB232),"0")</f>
        <v>0</v>
      </c>
      <c r="BQ233" s="16" t="str">
        <f>IF(Risultati!AG232&lt;&gt;0,(BH233/Risultati!AG232),"0")</f>
        <v>0</v>
      </c>
      <c r="BR233" s="16" t="str">
        <f t="shared" si="184"/>
        <v>0</v>
      </c>
      <c r="BS233" s="14" t="str">
        <f>IF(Risultati!AB232&gt;0,(Risultati!G232/Risultati!AB232),"0")</f>
        <v>0</v>
      </c>
      <c r="BT233" s="15" t="str">
        <f>IF(Risultati!AG232&lt;&gt;0,(Risultati!AB232/Risultati!AG232),"0")</f>
        <v>0</v>
      </c>
      <c r="BU233" s="23" t="str">
        <f>IF(AND(Risultati!G232&gt;0,(Risultati!AE232-Risultati!AF232)&gt;=0),((Risultati!AE232-Risultati!AF232)/Risultati!G232*360),"0")</f>
        <v>0</v>
      </c>
      <c r="BV233" s="21" t="str">
        <f>IF(OR(E233="abbreviato",Risultati!G232=0),"0",((Risultati!AC232+Risultati!AD232)/Risultati!G232*360))</f>
        <v>0</v>
      </c>
      <c r="BW233" s="21" t="str">
        <f>IF(OR(E233="abbreviato",Risultati!G232=0,SUM(Risultati!I232+Risultati!K232+Risultati!M232)=0),"0",(((Risultati!AH232+Risultati!AI232)/(Risultati!I232+Risultati!K232+Risultati!N232)*360)))</f>
        <v>0</v>
      </c>
      <c r="BX233" s="16" t="str">
        <f>IF(Risultati!AB232&gt;0,(+Risultati!AG232/Risultati!AB232),"0")</f>
        <v>0</v>
      </c>
      <c r="BY233" s="22" t="str">
        <f>IF(OR(E233="abbreviato",Risultati!G232=0),"0",(((Risultati!AK232-(Risultati!AL232+Risultati!AM232))/Risultati!G232)))</f>
        <v>0</v>
      </c>
      <c r="BZ233" s="16" t="str">
        <f>IF(Risultati!G232&gt;0,(Risultati!AJ232/Risultati!G232),"0")</f>
        <v>0</v>
      </c>
      <c r="CA233" s="8"/>
      <c r="CB233" s="10">
        <f>+Risultati!AP232</f>
        <v>0</v>
      </c>
      <c r="CC233" s="31" t="str">
        <f t="shared" si="210"/>
        <v>0</v>
      </c>
      <c r="CD233" s="10">
        <f>+Risultati!AQ232</f>
        <v>0</v>
      </c>
      <c r="CE233" s="31" t="str">
        <f t="shared" si="211"/>
        <v>0</v>
      </c>
      <c r="CF233" s="10">
        <f>+Risultati!AR232</f>
        <v>0</v>
      </c>
      <c r="CG233" s="31" t="str">
        <f t="shared" si="212"/>
        <v>0</v>
      </c>
      <c r="CH233" s="10">
        <f>+Risultati!AS232</f>
        <v>0</v>
      </c>
      <c r="CI233" s="31" t="str">
        <f t="shared" si="213"/>
        <v>0</v>
      </c>
      <c r="CJ233" s="10">
        <f t="shared" si="214"/>
        <v>0</v>
      </c>
      <c r="CK233" s="31" t="str">
        <f t="shared" si="215"/>
        <v>0</v>
      </c>
      <c r="CL233" s="10">
        <f>+Risultati!AE232+Risultati!AF232</f>
        <v>0</v>
      </c>
      <c r="CM233" s="31" t="str">
        <f t="shared" si="216"/>
        <v>0</v>
      </c>
      <c r="CN233" s="10">
        <f>+Risultati!AT232</f>
        <v>0</v>
      </c>
      <c r="CO233" s="31" t="str">
        <f t="shared" si="217"/>
        <v>0</v>
      </c>
      <c r="CP233" s="10">
        <f>+Risultati!AU232</f>
        <v>0</v>
      </c>
      <c r="CQ233" s="31" t="str">
        <f t="shared" si="218"/>
        <v>0</v>
      </c>
      <c r="CR233" s="10">
        <f>+Risultati!AL232</f>
        <v>0</v>
      </c>
      <c r="CS233" s="31" t="str">
        <f t="shared" si="219"/>
        <v>0</v>
      </c>
      <c r="CT233" s="10">
        <f t="shared" si="220"/>
        <v>0</v>
      </c>
      <c r="CU233" s="31" t="str">
        <f t="shared" si="221"/>
        <v>0</v>
      </c>
      <c r="CV233" s="10">
        <f>+Risultati!AX232</f>
        <v>0</v>
      </c>
      <c r="CW233" s="31" t="str">
        <f t="shared" si="222"/>
        <v>0</v>
      </c>
      <c r="CX233" s="10">
        <f t="shared" si="223"/>
        <v>0</v>
      </c>
      <c r="CY233" s="31" t="str">
        <f t="shared" si="224"/>
        <v>0</v>
      </c>
      <c r="CZ233" s="10">
        <f>+Risultati!AG232</f>
        <v>0</v>
      </c>
      <c r="DA233" s="31" t="str">
        <f t="shared" si="225"/>
        <v>0</v>
      </c>
      <c r="DB233" s="10">
        <f t="shared" si="226"/>
        <v>0</v>
      </c>
      <c r="DC233" s="31" t="str">
        <f t="shared" si="227"/>
        <v>0</v>
      </c>
      <c r="DD233" s="10">
        <f>+Risultati!AV232</f>
        <v>0</v>
      </c>
      <c r="DE233" s="31" t="str">
        <f t="shared" si="228"/>
        <v>0</v>
      </c>
      <c r="DF233" s="10">
        <f>+Risultati!AJ232</f>
        <v>0</v>
      </c>
      <c r="DG233" s="31" t="str">
        <f t="shared" si="229"/>
        <v>0</v>
      </c>
      <c r="DH233" s="10">
        <f t="shared" si="230"/>
        <v>0</v>
      </c>
      <c r="DI233" s="31" t="str">
        <f t="shared" si="231"/>
        <v>0</v>
      </c>
      <c r="DJ233" s="10">
        <f>+Risultati!AW232</f>
        <v>0</v>
      </c>
      <c r="DK233" s="31" t="str">
        <f t="shared" si="232"/>
        <v>0</v>
      </c>
      <c r="DL233" s="10">
        <f t="shared" si="203"/>
        <v>0</v>
      </c>
      <c r="DM233" s="31" t="str">
        <f t="shared" si="233"/>
        <v>0</v>
      </c>
      <c r="DO233" s="30"/>
      <c r="DP233" s="30"/>
    </row>
    <row r="234" spans="1:120" x14ac:dyDescent="0.2">
      <c r="A234" s="5"/>
      <c r="B234" s="6">
        <f>+Risultati!B233</f>
        <v>0</v>
      </c>
      <c r="C234" s="6">
        <f>+Risultati!C233</f>
        <v>0</v>
      </c>
      <c r="D234" s="26" t="str">
        <f>IF(YEAR(Risultati!D233)=1900,(MID(Risultati!$AP$1,29,4)),YEAR(Risultati!D233))</f>
        <v/>
      </c>
      <c r="E234" s="6">
        <f>+Risultati!E233</f>
        <v>0</v>
      </c>
      <c r="F234" s="8" t="e">
        <f>(LEFT(Risultati!AN233,2)&amp;"-")&amp;VLOOKUP((LEFT(Risultati!AN233,2)),ateco!$B$4:$C$93,2,FALSE)</f>
        <v>#N/A</v>
      </c>
      <c r="G234" s="8" t="str">
        <f>SUBSTITUTE((Risultati!AN233&amp;"-"&amp;Risultati!AO233),",",";")</f>
        <v>-</v>
      </c>
      <c r="I234" s="10">
        <f>+Risultati!G233</f>
        <v>0</v>
      </c>
      <c r="J234" s="11" t="str">
        <f t="shared" si="185"/>
        <v>0</v>
      </c>
      <c r="K234" s="12"/>
      <c r="L234" s="10">
        <f>+Risultati!G233+Risultati!H233</f>
        <v>0</v>
      </c>
      <c r="M234" s="11" t="str">
        <f t="shared" si="186"/>
        <v>0</v>
      </c>
      <c r="N234" s="12"/>
      <c r="O234" s="10">
        <f>+Risultati!I233+Risultati!J233</f>
        <v>0</v>
      </c>
      <c r="P234" s="11" t="str">
        <f t="shared" si="187"/>
        <v>0</v>
      </c>
      <c r="Q234" s="12"/>
      <c r="R234" s="13">
        <f t="shared" si="204"/>
        <v>0</v>
      </c>
      <c r="S234" s="11" t="str">
        <f t="shared" si="188"/>
        <v>0</v>
      </c>
      <c r="T234" s="12"/>
      <c r="U234" s="10">
        <f>+Risultati!F233-(Risultati!G233+Risultati!H233)</f>
        <v>0</v>
      </c>
      <c r="V234" s="12" t="str">
        <f t="shared" si="189"/>
        <v>0</v>
      </c>
      <c r="W234" s="12"/>
      <c r="X234" s="10">
        <f t="shared" si="205"/>
        <v>0</v>
      </c>
      <c r="Y234" s="12" t="str">
        <f t="shared" si="190"/>
        <v>0</v>
      </c>
      <c r="Z234" s="12"/>
      <c r="AA234" s="10">
        <f>+Risultati!K233</f>
        <v>0</v>
      </c>
      <c r="AB234" s="12" t="str">
        <f t="shared" si="191"/>
        <v>0</v>
      </c>
      <c r="AC234" s="12"/>
      <c r="AD234" s="10">
        <f>+Risultati!L233</f>
        <v>0</v>
      </c>
      <c r="AE234" s="12" t="str">
        <f t="shared" si="192"/>
        <v>0</v>
      </c>
      <c r="AF234" s="12"/>
      <c r="AG234" s="10">
        <f>+Risultati!M233+Risultati!P233+Risultati!Q233</f>
        <v>0</v>
      </c>
      <c r="AH234" s="12" t="str">
        <f t="shared" si="193"/>
        <v>0</v>
      </c>
      <c r="AI234" s="12"/>
      <c r="AJ234" s="13">
        <f t="shared" si="206"/>
        <v>0</v>
      </c>
      <c r="AK234" s="11" t="str">
        <f t="shared" si="194"/>
        <v>0</v>
      </c>
      <c r="AL234" s="12"/>
      <c r="AM234" s="10">
        <f>+Risultati!N233</f>
        <v>0</v>
      </c>
      <c r="AN234" s="12" t="str">
        <f t="shared" si="195"/>
        <v>0</v>
      </c>
      <c r="AO234" s="12"/>
      <c r="AP234" s="10">
        <f t="shared" si="207"/>
        <v>0</v>
      </c>
      <c r="AQ234" s="41" t="str">
        <f t="shared" si="196"/>
        <v>0</v>
      </c>
      <c r="AR234" s="12"/>
      <c r="AS234" s="10">
        <f>+Risultati!O233</f>
        <v>0</v>
      </c>
      <c r="AT234" s="12" t="str">
        <f t="shared" si="197"/>
        <v>0</v>
      </c>
      <c r="AU234" s="12"/>
      <c r="AV234" s="10">
        <f t="shared" si="208"/>
        <v>0</v>
      </c>
      <c r="AW234" s="12" t="str">
        <f t="shared" si="198"/>
        <v>0</v>
      </c>
      <c r="AX234" s="12"/>
      <c r="AY234" s="10">
        <f>+Risultati!R233+Risultati!S233</f>
        <v>0</v>
      </c>
      <c r="AZ234" s="12" t="str">
        <f t="shared" si="199"/>
        <v>0</v>
      </c>
      <c r="BA234" s="12"/>
      <c r="BB234" s="10">
        <f>+Risultati!T233</f>
        <v>0</v>
      </c>
      <c r="BC234" s="12" t="str">
        <f t="shared" si="200"/>
        <v>0</v>
      </c>
      <c r="BD234" s="12"/>
      <c r="BE234" s="10">
        <f>+Risultati!U233</f>
        <v>0</v>
      </c>
      <c r="BF234" s="12" t="str">
        <f t="shared" si="201"/>
        <v>0</v>
      </c>
      <c r="BG234" s="12"/>
      <c r="BH234" s="10">
        <f t="shared" si="209"/>
        <v>0</v>
      </c>
      <c r="BI234" s="12" t="str">
        <f t="shared" si="202"/>
        <v>0</v>
      </c>
      <c r="BK234" s="16">
        <f>IF(ISNUMBER(Risultati!X233/100),(Risultati!X233/100))</f>
        <v>0</v>
      </c>
      <c r="BL234" s="16">
        <f>IF(ISNUMBER(Risultati!Y233/100),(Risultati!Y233/100))</f>
        <v>0</v>
      </c>
      <c r="BM234" s="16">
        <f>IF(ISNUMBER(Risultati!Z233/100),(Risultati!Z233/100))</f>
        <v>0</v>
      </c>
      <c r="BN234" s="16">
        <f>IF(AND(Risultati!AY233&lt;0,calcoli!AP234&lt;0),-IF(ISNUMBER(Risultati!AA233/100),(Risultati!AA233/100)),IF(ISNUMBER(Risultati!AA233/100),(Risultati!AA233/100)))</f>
        <v>0</v>
      </c>
      <c r="BO234" s="16" t="str">
        <f t="shared" si="183"/>
        <v>0</v>
      </c>
      <c r="BP234" s="16" t="str">
        <f>IF(Risultati!AB233&gt;0,(AV234/Risultati!AB233),"0")</f>
        <v>0</v>
      </c>
      <c r="BQ234" s="16" t="str">
        <f>IF(Risultati!AG233&lt;&gt;0,(BH234/Risultati!AG233),"0")</f>
        <v>0</v>
      </c>
      <c r="BR234" s="16" t="str">
        <f t="shared" si="184"/>
        <v>0</v>
      </c>
      <c r="BS234" s="14" t="str">
        <f>IF(Risultati!AB233&gt;0,(Risultati!G233/Risultati!AB233),"0")</f>
        <v>0</v>
      </c>
      <c r="BT234" s="15" t="str">
        <f>IF(Risultati!AG233&lt;&gt;0,(Risultati!AB233/Risultati!AG233),"0")</f>
        <v>0</v>
      </c>
      <c r="BU234" s="23" t="str">
        <f>IF(AND(Risultati!G233&gt;0,(Risultati!AE233-Risultati!AF233)&gt;=0),((Risultati!AE233-Risultati!AF233)/Risultati!G233*360),"0")</f>
        <v>0</v>
      </c>
      <c r="BV234" s="21" t="str">
        <f>IF(OR(E234="abbreviato",Risultati!G233=0),"0",((Risultati!AC233+Risultati!AD233)/Risultati!G233*360))</f>
        <v>0</v>
      </c>
      <c r="BW234" s="21" t="str">
        <f>IF(OR(E234="abbreviato",Risultati!G233=0,SUM(Risultati!I233+Risultati!K233+Risultati!M233)=0),"0",(((Risultati!AH233+Risultati!AI233)/(Risultati!I233+Risultati!K233+Risultati!N233)*360)))</f>
        <v>0</v>
      </c>
      <c r="BX234" s="16" t="str">
        <f>IF(Risultati!AB233&gt;0,(+Risultati!AG233/Risultati!AB233),"0")</f>
        <v>0</v>
      </c>
      <c r="BY234" s="22" t="str">
        <f>IF(OR(E234="abbreviato",Risultati!G233=0),"0",(((Risultati!AK233-(Risultati!AL233+Risultati!AM233))/Risultati!G233)))</f>
        <v>0</v>
      </c>
      <c r="BZ234" s="16" t="str">
        <f>IF(Risultati!G233&gt;0,(Risultati!AJ233/Risultati!G233),"0")</f>
        <v>0</v>
      </c>
      <c r="CA234" s="8"/>
      <c r="CB234" s="10">
        <f>+Risultati!AP233</f>
        <v>0</v>
      </c>
      <c r="CC234" s="31" t="str">
        <f t="shared" si="210"/>
        <v>0</v>
      </c>
      <c r="CD234" s="10">
        <f>+Risultati!AQ233</f>
        <v>0</v>
      </c>
      <c r="CE234" s="31" t="str">
        <f t="shared" si="211"/>
        <v>0</v>
      </c>
      <c r="CF234" s="10">
        <f>+Risultati!AR233</f>
        <v>0</v>
      </c>
      <c r="CG234" s="31" t="str">
        <f t="shared" si="212"/>
        <v>0</v>
      </c>
      <c r="CH234" s="10">
        <f>+Risultati!AS233</f>
        <v>0</v>
      </c>
      <c r="CI234" s="31" t="str">
        <f t="shared" si="213"/>
        <v>0</v>
      </c>
      <c r="CJ234" s="10">
        <f t="shared" si="214"/>
        <v>0</v>
      </c>
      <c r="CK234" s="31" t="str">
        <f t="shared" si="215"/>
        <v>0</v>
      </c>
      <c r="CL234" s="10">
        <f>+Risultati!AE233+Risultati!AF233</f>
        <v>0</v>
      </c>
      <c r="CM234" s="31" t="str">
        <f t="shared" si="216"/>
        <v>0</v>
      </c>
      <c r="CN234" s="10">
        <f>+Risultati!AT233</f>
        <v>0</v>
      </c>
      <c r="CO234" s="31" t="str">
        <f t="shared" si="217"/>
        <v>0</v>
      </c>
      <c r="CP234" s="10">
        <f>+Risultati!AU233</f>
        <v>0</v>
      </c>
      <c r="CQ234" s="31" t="str">
        <f t="shared" si="218"/>
        <v>0</v>
      </c>
      <c r="CR234" s="10">
        <f>+Risultati!AL233</f>
        <v>0</v>
      </c>
      <c r="CS234" s="31" t="str">
        <f t="shared" si="219"/>
        <v>0</v>
      </c>
      <c r="CT234" s="10">
        <f t="shared" si="220"/>
        <v>0</v>
      </c>
      <c r="CU234" s="31" t="str">
        <f t="shared" si="221"/>
        <v>0</v>
      </c>
      <c r="CV234" s="10">
        <f>+Risultati!AX233</f>
        <v>0</v>
      </c>
      <c r="CW234" s="31" t="str">
        <f t="shared" si="222"/>
        <v>0</v>
      </c>
      <c r="CX234" s="10">
        <f t="shared" si="223"/>
        <v>0</v>
      </c>
      <c r="CY234" s="31" t="str">
        <f t="shared" si="224"/>
        <v>0</v>
      </c>
      <c r="CZ234" s="10">
        <f>+Risultati!AG233</f>
        <v>0</v>
      </c>
      <c r="DA234" s="31" t="str">
        <f t="shared" si="225"/>
        <v>0</v>
      </c>
      <c r="DB234" s="10">
        <f t="shared" si="226"/>
        <v>0</v>
      </c>
      <c r="DC234" s="31" t="str">
        <f t="shared" si="227"/>
        <v>0</v>
      </c>
      <c r="DD234" s="10">
        <f>+Risultati!AV233</f>
        <v>0</v>
      </c>
      <c r="DE234" s="31" t="str">
        <f t="shared" si="228"/>
        <v>0</v>
      </c>
      <c r="DF234" s="10">
        <f>+Risultati!AJ233</f>
        <v>0</v>
      </c>
      <c r="DG234" s="31" t="str">
        <f t="shared" si="229"/>
        <v>0</v>
      </c>
      <c r="DH234" s="10">
        <f t="shared" si="230"/>
        <v>0</v>
      </c>
      <c r="DI234" s="31" t="str">
        <f t="shared" si="231"/>
        <v>0</v>
      </c>
      <c r="DJ234" s="10">
        <f>+Risultati!AW233</f>
        <v>0</v>
      </c>
      <c r="DK234" s="31" t="str">
        <f t="shared" si="232"/>
        <v>0</v>
      </c>
      <c r="DL234" s="10">
        <f t="shared" si="203"/>
        <v>0</v>
      </c>
      <c r="DM234" s="31" t="str">
        <f t="shared" si="233"/>
        <v>0</v>
      </c>
      <c r="DO234" s="30"/>
      <c r="DP234" s="30"/>
    </row>
    <row r="235" spans="1:120" x14ac:dyDescent="0.2">
      <c r="A235" s="5"/>
      <c r="B235" s="6">
        <f>+Risultati!B234</f>
        <v>0</v>
      </c>
      <c r="C235" s="6">
        <f>+Risultati!C234</f>
        <v>0</v>
      </c>
      <c r="D235" s="26" t="str">
        <f>IF(YEAR(Risultati!D234)=1900,(MID(Risultati!$AP$1,29,4)),YEAR(Risultati!D234))</f>
        <v/>
      </c>
      <c r="E235" s="6">
        <f>+Risultati!E234</f>
        <v>0</v>
      </c>
      <c r="F235" s="8" t="e">
        <f>(LEFT(Risultati!AN234,2)&amp;"-")&amp;VLOOKUP((LEFT(Risultati!AN234,2)),ateco!$B$4:$C$93,2,FALSE)</f>
        <v>#N/A</v>
      </c>
      <c r="G235" s="8" t="str">
        <f>SUBSTITUTE((Risultati!AN234&amp;"-"&amp;Risultati!AO234),",",";")</f>
        <v>-</v>
      </c>
      <c r="I235" s="10">
        <f>+Risultati!G234</f>
        <v>0</v>
      </c>
      <c r="J235" s="11" t="str">
        <f t="shared" si="185"/>
        <v>0</v>
      </c>
      <c r="K235" s="12"/>
      <c r="L235" s="10">
        <f>+Risultati!G234+Risultati!H234</f>
        <v>0</v>
      </c>
      <c r="M235" s="11" t="str">
        <f t="shared" si="186"/>
        <v>0</v>
      </c>
      <c r="N235" s="12"/>
      <c r="O235" s="10">
        <f>+Risultati!I234+Risultati!J234</f>
        <v>0</v>
      </c>
      <c r="P235" s="11" t="str">
        <f t="shared" si="187"/>
        <v>0</v>
      </c>
      <c r="Q235" s="12"/>
      <c r="R235" s="13">
        <f t="shared" si="204"/>
        <v>0</v>
      </c>
      <c r="S235" s="11" t="str">
        <f t="shared" si="188"/>
        <v>0</v>
      </c>
      <c r="T235" s="12"/>
      <c r="U235" s="10">
        <f>+Risultati!F234-(Risultati!G234+Risultati!H234)</f>
        <v>0</v>
      </c>
      <c r="V235" s="12" t="str">
        <f t="shared" si="189"/>
        <v>0</v>
      </c>
      <c r="W235" s="12"/>
      <c r="X235" s="10">
        <f t="shared" si="205"/>
        <v>0</v>
      </c>
      <c r="Y235" s="12" t="str">
        <f t="shared" si="190"/>
        <v>0</v>
      </c>
      <c r="Z235" s="12"/>
      <c r="AA235" s="10">
        <f>+Risultati!K234</f>
        <v>0</v>
      </c>
      <c r="AB235" s="12" t="str">
        <f t="shared" si="191"/>
        <v>0</v>
      </c>
      <c r="AC235" s="12"/>
      <c r="AD235" s="10">
        <f>+Risultati!L234</f>
        <v>0</v>
      </c>
      <c r="AE235" s="12" t="str">
        <f t="shared" si="192"/>
        <v>0</v>
      </c>
      <c r="AF235" s="12"/>
      <c r="AG235" s="10">
        <f>+Risultati!M234+Risultati!P234+Risultati!Q234</f>
        <v>0</v>
      </c>
      <c r="AH235" s="12" t="str">
        <f t="shared" si="193"/>
        <v>0</v>
      </c>
      <c r="AI235" s="12"/>
      <c r="AJ235" s="13">
        <f t="shared" si="206"/>
        <v>0</v>
      </c>
      <c r="AK235" s="11" t="str">
        <f t="shared" si="194"/>
        <v>0</v>
      </c>
      <c r="AL235" s="12"/>
      <c r="AM235" s="10">
        <f>+Risultati!N234</f>
        <v>0</v>
      </c>
      <c r="AN235" s="12" t="str">
        <f t="shared" si="195"/>
        <v>0</v>
      </c>
      <c r="AO235" s="12"/>
      <c r="AP235" s="10">
        <f t="shared" si="207"/>
        <v>0</v>
      </c>
      <c r="AQ235" s="41" t="str">
        <f t="shared" si="196"/>
        <v>0</v>
      </c>
      <c r="AR235" s="12"/>
      <c r="AS235" s="10">
        <f>+Risultati!O234</f>
        <v>0</v>
      </c>
      <c r="AT235" s="12" t="str">
        <f t="shared" si="197"/>
        <v>0</v>
      </c>
      <c r="AU235" s="12"/>
      <c r="AV235" s="10">
        <f t="shared" si="208"/>
        <v>0</v>
      </c>
      <c r="AW235" s="12" t="str">
        <f t="shared" si="198"/>
        <v>0</v>
      </c>
      <c r="AX235" s="12"/>
      <c r="AY235" s="10">
        <f>+Risultati!R234+Risultati!S234</f>
        <v>0</v>
      </c>
      <c r="AZ235" s="12" t="str">
        <f t="shared" si="199"/>
        <v>0</v>
      </c>
      <c r="BA235" s="12"/>
      <c r="BB235" s="10">
        <f>+Risultati!T234</f>
        <v>0</v>
      </c>
      <c r="BC235" s="12" t="str">
        <f t="shared" si="200"/>
        <v>0</v>
      </c>
      <c r="BD235" s="12"/>
      <c r="BE235" s="10">
        <f>+Risultati!U234</f>
        <v>0</v>
      </c>
      <c r="BF235" s="12" t="str">
        <f t="shared" si="201"/>
        <v>0</v>
      </c>
      <c r="BG235" s="12"/>
      <c r="BH235" s="10">
        <f t="shared" si="209"/>
        <v>0</v>
      </c>
      <c r="BI235" s="12" t="str">
        <f t="shared" si="202"/>
        <v>0</v>
      </c>
      <c r="BK235" s="16">
        <f>IF(ISNUMBER(Risultati!X234/100),(Risultati!X234/100))</f>
        <v>0</v>
      </c>
      <c r="BL235" s="16">
        <f>IF(ISNUMBER(Risultati!Y234/100),(Risultati!Y234/100))</f>
        <v>0</v>
      </c>
      <c r="BM235" s="16">
        <f>IF(ISNUMBER(Risultati!Z234/100),(Risultati!Z234/100))</f>
        <v>0</v>
      </c>
      <c r="BN235" s="16">
        <f>IF(AND(Risultati!AY234&lt;0,calcoli!AP235&lt;0),-IF(ISNUMBER(Risultati!AA234/100),(Risultati!AA234/100)),IF(ISNUMBER(Risultati!AA234/100),(Risultati!AA234/100)))</f>
        <v>0</v>
      </c>
      <c r="BO235" s="16" t="str">
        <f t="shared" si="183"/>
        <v>0</v>
      </c>
      <c r="BP235" s="16" t="str">
        <f>IF(Risultati!AB234&gt;0,(AV235/Risultati!AB234),"0")</f>
        <v>0</v>
      </c>
      <c r="BQ235" s="16" t="str">
        <f>IF(Risultati!AG234&lt;&gt;0,(BH235/Risultati!AG234),"0")</f>
        <v>0</v>
      </c>
      <c r="BR235" s="16" t="str">
        <f t="shared" si="184"/>
        <v>0</v>
      </c>
      <c r="BS235" s="14" t="str">
        <f>IF(Risultati!AB234&gt;0,(Risultati!G234/Risultati!AB234),"0")</f>
        <v>0</v>
      </c>
      <c r="BT235" s="15" t="str">
        <f>IF(Risultati!AG234&lt;&gt;0,(Risultati!AB234/Risultati!AG234),"0")</f>
        <v>0</v>
      </c>
      <c r="BU235" s="23" t="str">
        <f>IF(AND(Risultati!G234&gt;0,(Risultati!AE234-Risultati!AF234)&gt;=0),((Risultati!AE234-Risultati!AF234)/Risultati!G234*360),"0")</f>
        <v>0</v>
      </c>
      <c r="BV235" s="21" t="str">
        <f>IF(OR(E235="abbreviato",Risultati!G234=0),"0",((Risultati!AC234+Risultati!AD234)/Risultati!G234*360))</f>
        <v>0</v>
      </c>
      <c r="BW235" s="21" t="str">
        <f>IF(OR(E235="abbreviato",Risultati!G234=0,SUM(Risultati!I234+Risultati!K234+Risultati!M234)=0),"0",(((Risultati!AH234+Risultati!AI234)/(Risultati!I234+Risultati!K234+Risultati!N234)*360)))</f>
        <v>0</v>
      </c>
      <c r="BX235" s="16" t="str">
        <f>IF(Risultati!AB234&gt;0,(+Risultati!AG234/Risultati!AB234),"0")</f>
        <v>0</v>
      </c>
      <c r="BY235" s="22" t="str">
        <f>IF(OR(E235="abbreviato",Risultati!G234=0),"0",(((Risultati!AK234-(Risultati!AL234+Risultati!AM234))/Risultati!G234)))</f>
        <v>0</v>
      </c>
      <c r="BZ235" s="16" t="str">
        <f>IF(Risultati!G234&gt;0,(Risultati!AJ234/Risultati!G234),"0")</f>
        <v>0</v>
      </c>
      <c r="CA235" s="8"/>
      <c r="CB235" s="10">
        <f>+Risultati!AP234</f>
        <v>0</v>
      </c>
      <c r="CC235" s="31" t="str">
        <f t="shared" si="210"/>
        <v>0</v>
      </c>
      <c r="CD235" s="10">
        <f>+Risultati!AQ234</f>
        <v>0</v>
      </c>
      <c r="CE235" s="31" t="str">
        <f t="shared" si="211"/>
        <v>0</v>
      </c>
      <c r="CF235" s="10">
        <f>+Risultati!AR234</f>
        <v>0</v>
      </c>
      <c r="CG235" s="31" t="str">
        <f t="shared" si="212"/>
        <v>0</v>
      </c>
      <c r="CH235" s="10">
        <f>+Risultati!AS234</f>
        <v>0</v>
      </c>
      <c r="CI235" s="31" t="str">
        <f t="shared" si="213"/>
        <v>0</v>
      </c>
      <c r="CJ235" s="10">
        <f t="shared" si="214"/>
        <v>0</v>
      </c>
      <c r="CK235" s="31" t="str">
        <f t="shared" si="215"/>
        <v>0</v>
      </c>
      <c r="CL235" s="10">
        <f>+Risultati!AE234+Risultati!AF234</f>
        <v>0</v>
      </c>
      <c r="CM235" s="31" t="str">
        <f t="shared" si="216"/>
        <v>0</v>
      </c>
      <c r="CN235" s="10">
        <f>+Risultati!AT234</f>
        <v>0</v>
      </c>
      <c r="CO235" s="31" t="str">
        <f t="shared" si="217"/>
        <v>0</v>
      </c>
      <c r="CP235" s="10">
        <f>+Risultati!AU234</f>
        <v>0</v>
      </c>
      <c r="CQ235" s="31" t="str">
        <f t="shared" si="218"/>
        <v>0</v>
      </c>
      <c r="CR235" s="10">
        <f>+Risultati!AL234</f>
        <v>0</v>
      </c>
      <c r="CS235" s="31" t="str">
        <f t="shared" si="219"/>
        <v>0</v>
      </c>
      <c r="CT235" s="10">
        <f t="shared" si="220"/>
        <v>0</v>
      </c>
      <c r="CU235" s="31" t="str">
        <f t="shared" si="221"/>
        <v>0</v>
      </c>
      <c r="CV235" s="10">
        <f>+Risultati!AX234</f>
        <v>0</v>
      </c>
      <c r="CW235" s="31" t="str">
        <f t="shared" si="222"/>
        <v>0</v>
      </c>
      <c r="CX235" s="10">
        <f t="shared" si="223"/>
        <v>0</v>
      </c>
      <c r="CY235" s="31" t="str">
        <f t="shared" si="224"/>
        <v>0</v>
      </c>
      <c r="CZ235" s="10">
        <f>+Risultati!AG234</f>
        <v>0</v>
      </c>
      <c r="DA235" s="31" t="str">
        <f t="shared" si="225"/>
        <v>0</v>
      </c>
      <c r="DB235" s="10">
        <f t="shared" si="226"/>
        <v>0</v>
      </c>
      <c r="DC235" s="31" t="str">
        <f t="shared" si="227"/>
        <v>0</v>
      </c>
      <c r="DD235" s="10">
        <f>+Risultati!AV234</f>
        <v>0</v>
      </c>
      <c r="DE235" s="31" t="str">
        <f t="shared" si="228"/>
        <v>0</v>
      </c>
      <c r="DF235" s="10">
        <f>+Risultati!AJ234</f>
        <v>0</v>
      </c>
      <c r="DG235" s="31" t="str">
        <f t="shared" si="229"/>
        <v>0</v>
      </c>
      <c r="DH235" s="10">
        <f t="shared" si="230"/>
        <v>0</v>
      </c>
      <c r="DI235" s="31" t="str">
        <f t="shared" si="231"/>
        <v>0</v>
      </c>
      <c r="DJ235" s="10">
        <f>+Risultati!AW234</f>
        <v>0</v>
      </c>
      <c r="DK235" s="31" t="str">
        <f t="shared" si="232"/>
        <v>0</v>
      </c>
      <c r="DL235" s="10">
        <f t="shared" si="203"/>
        <v>0</v>
      </c>
      <c r="DM235" s="31" t="str">
        <f t="shared" si="233"/>
        <v>0</v>
      </c>
      <c r="DO235" s="30"/>
      <c r="DP235" s="30"/>
    </row>
    <row r="236" spans="1:120" x14ac:dyDescent="0.2">
      <c r="A236" s="5"/>
      <c r="B236" s="6">
        <f>+Risultati!B235</f>
        <v>0</v>
      </c>
      <c r="C236" s="6">
        <f>+Risultati!C235</f>
        <v>0</v>
      </c>
      <c r="D236" s="26" t="str">
        <f>IF(YEAR(Risultati!D235)=1900,(MID(Risultati!$AP$1,29,4)),YEAR(Risultati!D235))</f>
        <v/>
      </c>
      <c r="E236" s="6">
        <f>+Risultati!E235</f>
        <v>0</v>
      </c>
      <c r="F236" s="8" t="e">
        <f>(LEFT(Risultati!AN235,2)&amp;"-")&amp;VLOOKUP((LEFT(Risultati!AN235,2)),ateco!$B$4:$C$93,2,FALSE)</f>
        <v>#N/A</v>
      </c>
      <c r="G236" s="8" t="str">
        <f>SUBSTITUTE((Risultati!AN235&amp;"-"&amp;Risultati!AO235),",",";")</f>
        <v>-</v>
      </c>
      <c r="I236" s="10">
        <f>+Risultati!G235</f>
        <v>0</v>
      </c>
      <c r="J236" s="11" t="str">
        <f t="shared" si="185"/>
        <v>0</v>
      </c>
      <c r="K236" s="12"/>
      <c r="L236" s="10">
        <f>+Risultati!G235+Risultati!H235</f>
        <v>0</v>
      </c>
      <c r="M236" s="11" t="str">
        <f t="shared" si="186"/>
        <v>0</v>
      </c>
      <c r="N236" s="12"/>
      <c r="O236" s="10">
        <f>+Risultati!I235+Risultati!J235</f>
        <v>0</v>
      </c>
      <c r="P236" s="11" t="str">
        <f t="shared" si="187"/>
        <v>0</v>
      </c>
      <c r="Q236" s="12"/>
      <c r="R236" s="13">
        <f t="shared" si="204"/>
        <v>0</v>
      </c>
      <c r="S236" s="11" t="str">
        <f t="shared" si="188"/>
        <v>0</v>
      </c>
      <c r="T236" s="12"/>
      <c r="U236" s="10">
        <f>+Risultati!F235-(Risultati!G235+Risultati!H235)</f>
        <v>0</v>
      </c>
      <c r="V236" s="12" t="str">
        <f t="shared" si="189"/>
        <v>0</v>
      </c>
      <c r="W236" s="12"/>
      <c r="X236" s="10">
        <f t="shared" si="205"/>
        <v>0</v>
      </c>
      <c r="Y236" s="12" t="str">
        <f t="shared" si="190"/>
        <v>0</v>
      </c>
      <c r="Z236" s="12"/>
      <c r="AA236" s="10">
        <f>+Risultati!K235</f>
        <v>0</v>
      </c>
      <c r="AB236" s="12" t="str">
        <f t="shared" si="191"/>
        <v>0</v>
      </c>
      <c r="AC236" s="12"/>
      <c r="AD236" s="10">
        <f>+Risultati!L235</f>
        <v>0</v>
      </c>
      <c r="AE236" s="12" t="str">
        <f t="shared" si="192"/>
        <v>0</v>
      </c>
      <c r="AF236" s="12"/>
      <c r="AG236" s="10">
        <f>+Risultati!M235+Risultati!P235+Risultati!Q235</f>
        <v>0</v>
      </c>
      <c r="AH236" s="12" t="str">
        <f t="shared" si="193"/>
        <v>0</v>
      </c>
      <c r="AI236" s="12"/>
      <c r="AJ236" s="13">
        <f t="shared" si="206"/>
        <v>0</v>
      </c>
      <c r="AK236" s="11" t="str">
        <f t="shared" si="194"/>
        <v>0</v>
      </c>
      <c r="AL236" s="12"/>
      <c r="AM236" s="10">
        <f>+Risultati!N235</f>
        <v>0</v>
      </c>
      <c r="AN236" s="12" t="str">
        <f t="shared" si="195"/>
        <v>0</v>
      </c>
      <c r="AO236" s="12"/>
      <c r="AP236" s="10">
        <f t="shared" si="207"/>
        <v>0</v>
      </c>
      <c r="AQ236" s="41" t="str">
        <f t="shared" si="196"/>
        <v>0</v>
      </c>
      <c r="AR236" s="12"/>
      <c r="AS236" s="10">
        <f>+Risultati!O235</f>
        <v>0</v>
      </c>
      <c r="AT236" s="12" t="str">
        <f t="shared" si="197"/>
        <v>0</v>
      </c>
      <c r="AU236" s="12"/>
      <c r="AV236" s="10">
        <f t="shared" si="208"/>
        <v>0</v>
      </c>
      <c r="AW236" s="12" t="str">
        <f t="shared" si="198"/>
        <v>0</v>
      </c>
      <c r="AX236" s="12"/>
      <c r="AY236" s="10">
        <f>+Risultati!R235+Risultati!S235</f>
        <v>0</v>
      </c>
      <c r="AZ236" s="12" t="str">
        <f t="shared" si="199"/>
        <v>0</v>
      </c>
      <c r="BA236" s="12"/>
      <c r="BB236" s="10">
        <f>+Risultati!T235</f>
        <v>0</v>
      </c>
      <c r="BC236" s="12" t="str">
        <f t="shared" si="200"/>
        <v>0</v>
      </c>
      <c r="BD236" s="12"/>
      <c r="BE236" s="10">
        <f>+Risultati!U235</f>
        <v>0</v>
      </c>
      <c r="BF236" s="12" t="str">
        <f t="shared" si="201"/>
        <v>0</v>
      </c>
      <c r="BG236" s="12"/>
      <c r="BH236" s="10">
        <f t="shared" si="209"/>
        <v>0</v>
      </c>
      <c r="BI236" s="12" t="str">
        <f t="shared" si="202"/>
        <v>0</v>
      </c>
      <c r="BK236" s="16">
        <f>IF(ISNUMBER(Risultati!X235/100),(Risultati!X235/100))</f>
        <v>0</v>
      </c>
      <c r="BL236" s="16">
        <f>IF(ISNUMBER(Risultati!Y235/100),(Risultati!Y235/100))</f>
        <v>0</v>
      </c>
      <c r="BM236" s="16">
        <f>IF(ISNUMBER(Risultati!Z235/100),(Risultati!Z235/100))</f>
        <v>0</v>
      </c>
      <c r="BN236" s="16">
        <f>IF(AND(Risultati!AY235&lt;0,calcoli!AP236&lt;0),-IF(ISNUMBER(Risultati!AA235/100),(Risultati!AA235/100)),IF(ISNUMBER(Risultati!AA235/100),(Risultati!AA235/100)))</f>
        <v>0</v>
      </c>
      <c r="BO236" s="16" t="str">
        <f t="shared" si="183"/>
        <v>0</v>
      </c>
      <c r="BP236" s="16" t="str">
        <f>IF(Risultati!AB235&gt;0,(AV236/Risultati!AB235),"0")</f>
        <v>0</v>
      </c>
      <c r="BQ236" s="16" t="str">
        <f>IF(Risultati!AG235&lt;&gt;0,(BH236/Risultati!AG235),"0")</f>
        <v>0</v>
      </c>
      <c r="BR236" s="16" t="str">
        <f t="shared" si="184"/>
        <v>0</v>
      </c>
      <c r="BS236" s="14" t="str">
        <f>IF(Risultati!AB235&gt;0,(Risultati!G235/Risultati!AB235),"0")</f>
        <v>0</v>
      </c>
      <c r="BT236" s="15" t="str">
        <f>IF(Risultati!AG235&lt;&gt;0,(Risultati!AB235/Risultati!AG235),"0")</f>
        <v>0</v>
      </c>
      <c r="BU236" s="23" t="str">
        <f>IF(AND(Risultati!G235&gt;0,(Risultati!AE235-Risultati!AF235)&gt;=0),((Risultati!AE235-Risultati!AF235)/Risultati!G235*360),"0")</f>
        <v>0</v>
      </c>
      <c r="BV236" s="21" t="str">
        <f>IF(OR(E236="abbreviato",Risultati!G235=0),"0",((Risultati!AC235+Risultati!AD235)/Risultati!G235*360))</f>
        <v>0</v>
      </c>
      <c r="BW236" s="21" t="str">
        <f>IF(OR(E236="abbreviato",Risultati!G235=0,SUM(Risultati!I235+Risultati!K235+Risultati!M235)=0),"0",(((Risultati!AH235+Risultati!AI235)/(Risultati!I235+Risultati!K235+Risultati!N235)*360)))</f>
        <v>0</v>
      </c>
      <c r="BX236" s="16" t="str">
        <f>IF(Risultati!AB235&gt;0,(+Risultati!AG235/Risultati!AB235),"0")</f>
        <v>0</v>
      </c>
      <c r="BY236" s="22" t="str">
        <f>IF(OR(E236="abbreviato",Risultati!G235=0),"0",(((Risultati!AK235-(Risultati!AL235+Risultati!AM235))/Risultati!G235)))</f>
        <v>0</v>
      </c>
      <c r="BZ236" s="16" t="str">
        <f>IF(Risultati!G235&gt;0,(Risultati!AJ235/Risultati!G235),"0")</f>
        <v>0</v>
      </c>
      <c r="CA236" s="8"/>
      <c r="CB236" s="10">
        <f>+Risultati!AP235</f>
        <v>0</v>
      </c>
      <c r="CC236" s="31" t="str">
        <f t="shared" si="210"/>
        <v>0</v>
      </c>
      <c r="CD236" s="10">
        <f>+Risultati!AQ235</f>
        <v>0</v>
      </c>
      <c r="CE236" s="31" t="str">
        <f t="shared" si="211"/>
        <v>0</v>
      </c>
      <c r="CF236" s="10">
        <f>+Risultati!AR235</f>
        <v>0</v>
      </c>
      <c r="CG236" s="31" t="str">
        <f t="shared" si="212"/>
        <v>0</v>
      </c>
      <c r="CH236" s="10">
        <f>+Risultati!AS235</f>
        <v>0</v>
      </c>
      <c r="CI236" s="31" t="str">
        <f t="shared" si="213"/>
        <v>0</v>
      </c>
      <c r="CJ236" s="10">
        <f t="shared" si="214"/>
        <v>0</v>
      </c>
      <c r="CK236" s="31" t="str">
        <f t="shared" si="215"/>
        <v>0</v>
      </c>
      <c r="CL236" s="10">
        <f>+Risultati!AE235+Risultati!AF235</f>
        <v>0</v>
      </c>
      <c r="CM236" s="31" t="str">
        <f t="shared" si="216"/>
        <v>0</v>
      </c>
      <c r="CN236" s="10">
        <f>+Risultati!AT235</f>
        <v>0</v>
      </c>
      <c r="CO236" s="31" t="str">
        <f t="shared" si="217"/>
        <v>0</v>
      </c>
      <c r="CP236" s="10">
        <f>+Risultati!AU235</f>
        <v>0</v>
      </c>
      <c r="CQ236" s="31" t="str">
        <f t="shared" si="218"/>
        <v>0</v>
      </c>
      <c r="CR236" s="10">
        <f>+Risultati!AL235</f>
        <v>0</v>
      </c>
      <c r="CS236" s="31" t="str">
        <f t="shared" si="219"/>
        <v>0</v>
      </c>
      <c r="CT236" s="10">
        <f t="shared" si="220"/>
        <v>0</v>
      </c>
      <c r="CU236" s="31" t="str">
        <f t="shared" si="221"/>
        <v>0</v>
      </c>
      <c r="CV236" s="10">
        <f>+Risultati!AX235</f>
        <v>0</v>
      </c>
      <c r="CW236" s="31" t="str">
        <f t="shared" si="222"/>
        <v>0</v>
      </c>
      <c r="CX236" s="10">
        <f t="shared" si="223"/>
        <v>0</v>
      </c>
      <c r="CY236" s="31" t="str">
        <f t="shared" si="224"/>
        <v>0</v>
      </c>
      <c r="CZ236" s="10">
        <f>+Risultati!AG235</f>
        <v>0</v>
      </c>
      <c r="DA236" s="31" t="str">
        <f t="shared" si="225"/>
        <v>0</v>
      </c>
      <c r="DB236" s="10">
        <f t="shared" si="226"/>
        <v>0</v>
      </c>
      <c r="DC236" s="31" t="str">
        <f t="shared" si="227"/>
        <v>0</v>
      </c>
      <c r="DD236" s="10">
        <f>+Risultati!AV235</f>
        <v>0</v>
      </c>
      <c r="DE236" s="31" t="str">
        <f t="shared" si="228"/>
        <v>0</v>
      </c>
      <c r="DF236" s="10">
        <f>+Risultati!AJ235</f>
        <v>0</v>
      </c>
      <c r="DG236" s="31" t="str">
        <f t="shared" si="229"/>
        <v>0</v>
      </c>
      <c r="DH236" s="10">
        <f t="shared" si="230"/>
        <v>0</v>
      </c>
      <c r="DI236" s="31" t="str">
        <f t="shared" si="231"/>
        <v>0</v>
      </c>
      <c r="DJ236" s="10">
        <f>+Risultati!AW235</f>
        <v>0</v>
      </c>
      <c r="DK236" s="31" t="str">
        <f t="shared" si="232"/>
        <v>0</v>
      </c>
      <c r="DL236" s="10">
        <f t="shared" si="203"/>
        <v>0</v>
      </c>
      <c r="DM236" s="31" t="str">
        <f t="shared" si="233"/>
        <v>0</v>
      </c>
      <c r="DO236" s="30"/>
      <c r="DP236" s="30"/>
    </row>
    <row r="237" spans="1:120" x14ac:dyDescent="0.2">
      <c r="A237" s="5"/>
      <c r="B237" s="6">
        <f>+Risultati!B236</f>
        <v>0</v>
      </c>
      <c r="C237" s="6">
        <f>+Risultati!C236</f>
        <v>0</v>
      </c>
      <c r="D237" s="26" t="str">
        <f>IF(YEAR(Risultati!D236)=1900,(MID(Risultati!$AP$1,29,4)),YEAR(Risultati!D236))</f>
        <v/>
      </c>
      <c r="E237" s="6">
        <f>+Risultati!E236</f>
        <v>0</v>
      </c>
      <c r="F237" s="8" t="e">
        <f>(LEFT(Risultati!AN236,2)&amp;"-")&amp;VLOOKUP((LEFT(Risultati!AN236,2)),ateco!$B$4:$C$93,2,FALSE)</f>
        <v>#N/A</v>
      </c>
      <c r="G237" s="8" t="str">
        <f>SUBSTITUTE((Risultati!AN236&amp;"-"&amp;Risultati!AO236),",",";")</f>
        <v>-</v>
      </c>
      <c r="I237" s="10">
        <f>+Risultati!G236</f>
        <v>0</v>
      </c>
      <c r="J237" s="11" t="str">
        <f t="shared" si="185"/>
        <v>0</v>
      </c>
      <c r="K237" s="12"/>
      <c r="L237" s="10">
        <f>+Risultati!G236+Risultati!H236</f>
        <v>0</v>
      </c>
      <c r="M237" s="11" t="str">
        <f t="shared" si="186"/>
        <v>0</v>
      </c>
      <c r="N237" s="12"/>
      <c r="O237" s="10">
        <f>+Risultati!I236+Risultati!J236</f>
        <v>0</v>
      </c>
      <c r="P237" s="11" t="str">
        <f t="shared" si="187"/>
        <v>0</v>
      </c>
      <c r="Q237" s="12"/>
      <c r="R237" s="13">
        <f t="shared" si="204"/>
        <v>0</v>
      </c>
      <c r="S237" s="11" t="str">
        <f t="shared" si="188"/>
        <v>0</v>
      </c>
      <c r="T237" s="12"/>
      <c r="U237" s="10">
        <f>+Risultati!F236-(Risultati!G236+Risultati!H236)</f>
        <v>0</v>
      </c>
      <c r="V237" s="12" t="str">
        <f t="shared" si="189"/>
        <v>0</v>
      </c>
      <c r="W237" s="12"/>
      <c r="X237" s="10">
        <f t="shared" si="205"/>
        <v>0</v>
      </c>
      <c r="Y237" s="12" t="str">
        <f t="shared" si="190"/>
        <v>0</v>
      </c>
      <c r="Z237" s="12"/>
      <c r="AA237" s="10">
        <f>+Risultati!K236</f>
        <v>0</v>
      </c>
      <c r="AB237" s="12" t="str">
        <f t="shared" si="191"/>
        <v>0</v>
      </c>
      <c r="AC237" s="12"/>
      <c r="AD237" s="10">
        <f>+Risultati!L236</f>
        <v>0</v>
      </c>
      <c r="AE237" s="12" t="str">
        <f t="shared" si="192"/>
        <v>0</v>
      </c>
      <c r="AF237" s="12"/>
      <c r="AG237" s="10">
        <f>+Risultati!M236+Risultati!P236+Risultati!Q236</f>
        <v>0</v>
      </c>
      <c r="AH237" s="12" t="str">
        <f t="shared" si="193"/>
        <v>0</v>
      </c>
      <c r="AI237" s="12"/>
      <c r="AJ237" s="13">
        <f t="shared" si="206"/>
        <v>0</v>
      </c>
      <c r="AK237" s="11" t="str">
        <f t="shared" si="194"/>
        <v>0</v>
      </c>
      <c r="AL237" s="12"/>
      <c r="AM237" s="10">
        <f>+Risultati!N236</f>
        <v>0</v>
      </c>
      <c r="AN237" s="12" t="str">
        <f t="shared" si="195"/>
        <v>0</v>
      </c>
      <c r="AO237" s="12"/>
      <c r="AP237" s="10">
        <f t="shared" si="207"/>
        <v>0</v>
      </c>
      <c r="AQ237" s="41" t="str">
        <f t="shared" si="196"/>
        <v>0</v>
      </c>
      <c r="AR237" s="12"/>
      <c r="AS237" s="10">
        <f>+Risultati!O236</f>
        <v>0</v>
      </c>
      <c r="AT237" s="12" t="str">
        <f t="shared" si="197"/>
        <v>0</v>
      </c>
      <c r="AU237" s="12"/>
      <c r="AV237" s="10">
        <f t="shared" si="208"/>
        <v>0</v>
      </c>
      <c r="AW237" s="12" t="str">
        <f t="shared" si="198"/>
        <v>0</v>
      </c>
      <c r="AX237" s="12"/>
      <c r="AY237" s="10">
        <f>+Risultati!R236+Risultati!S236</f>
        <v>0</v>
      </c>
      <c r="AZ237" s="12" t="str">
        <f t="shared" si="199"/>
        <v>0</v>
      </c>
      <c r="BA237" s="12"/>
      <c r="BB237" s="10">
        <f>+Risultati!T236</f>
        <v>0</v>
      </c>
      <c r="BC237" s="12" t="str">
        <f t="shared" si="200"/>
        <v>0</v>
      </c>
      <c r="BD237" s="12"/>
      <c r="BE237" s="10">
        <f>+Risultati!U236</f>
        <v>0</v>
      </c>
      <c r="BF237" s="12" t="str">
        <f t="shared" si="201"/>
        <v>0</v>
      </c>
      <c r="BG237" s="12"/>
      <c r="BH237" s="10">
        <f t="shared" si="209"/>
        <v>0</v>
      </c>
      <c r="BI237" s="12" t="str">
        <f t="shared" si="202"/>
        <v>0</v>
      </c>
      <c r="BK237" s="16">
        <f>IF(ISNUMBER(Risultati!X236/100),(Risultati!X236/100))</f>
        <v>0</v>
      </c>
      <c r="BL237" s="16">
        <f>IF(ISNUMBER(Risultati!Y236/100),(Risultati!Y236/100))</f>
        <v>0</v>
      </c>
      <c r="BM237" s="16">
        <f>IF(ISNUMBER(Risultati!Z236/100),(Risultati!Z236/100))</f>
        <v>0</v>
      </c>
      <c r="BN237" s="16">
        <f>IF(AND(Risultati!AY236&lt;0,calcoli!AP237&lt;0),-IF(ISNUMBER(Risultati!AA236/100),(Risultati!AA236/100)),IF(ISNUMBER(Risultati!AA236/100),(Risultati!AA236/100)))</f>
        <v>0</v>
      </c>
      <c r="BO237" s="16" t="str">
        <f t="shared" si="183"/>
        <v>0</v>
      </c>
      <c r="BP237" s="16" t="str">
        <f>IF(Risultati!AB236&gt;0,(AV237/Risultati!AB236),"0")</f>
        <v>0</v>
      </c>
      <c r="BQ237" s="16" t="str">
        <f>IF(Risultati!AG236&lt;&gt;0,(BH237/Risultati!AG236),"0")</f>
        <v>0</v>
      </c>
      <c r="BR237" s="16" t="str">
        <f t="shared" si="184"/>
        <v>0</v>
      </c>
      <c r="BS237" s="14" t="str">
        <f>IF(Risultati!AB236&gt;0,(Risultati!G236/Risultati!AB236),"0")</f>
        <v>0</v>
      </c>
      <c r="BT237" s="15" t="str">
        <f>IF(Risultati!AG236&lt;&gt;0,(Risultati!AB236/Risultati!AG236),"0")</f>
        <v>0</v>
      </c>
      <c r="BU237" s="23" t="str">
        <f>IF(AND(Risultati!G236&gt;0,(Risultati!AE236-Risultati!AF236)&gt;=0),((Risultati!AE236-Risultati!AF236)/Risultati!G236*360),"0")</f>
        <v>0</v>
      </c>
      <c r="BV237" s="21" t="str">
        <f>IF(OR(E237="abbreviato",Risultati!G236=0),"0",((Risultati!AC236+Risultati!AD236)/Risultati!G236*360))</f>
        <v>0</v>
      </c>
      <c r="BW237" s="21" t="str">
        <f>IF(OR(E237="abbreviato",Risultati!G236=0,SUM(Risultati!I236+Risultati!K236+Risultati!M236)=0),"0",(((Risultati!AH236+Risultati!AI236)/(Risultati!I236+Risultati!K236+Risultati!N236)*360)))</f>
        <v>0</v>
      </c>
      <c r="BX237" s="16" t="str">
        <f>IF(Risultati!AB236&gt;0,(+Risultati!AG236/Risultati!AB236),"0")</f>
        <v>0</v>
      </c>
      <c r="BY237" s="22" t="str">
        <f>IF(OR(E237="abbreviato",Risultati!G236=0),"0",(((Risultati!AK236-(Risultati!AL236+Risultati!AM236))/Risultati!G236)))</f>
        <v>0</v>
      </c>
      <c r="BZ237" s="16" t="str">
        <f>IF(Risultati!G236&gt;0,(Risultati!AJ236/Risultati!G236),"0")</f>
        <v>0</v>
      </c>
      <c r="CA237" s="8"/>
      <c r="CB237" s="10">
        <f>+Risultati!AP236</f>
        <v>0</v>
      </c>
      <c r="CC237" s="31" t="str">
        <f t="shared" si="210"/>
        <v>0</v>
      </c>
      <c r="CD237" s="10">
        <f>+Risultati!AQ236</f>
        <v>0</v>
      </c>
      <c r="CE237" s="31" t="str">
        <f t="shared" si="211"/>
        <v>0</v>
      </c>
      <c r="CF237" s="10">
        <f>+Risultati!AR236</f>
        <v>0</v>
      </c>
      <c r="CG237" s="31" t="str">
        <f t="shared" si="212"/>
        <v>0</v>
      </c>
      <c r="CH237" s="10">
        <f>+Risultati!AS236</f>
        <v>0</v>
      </c>
      <c r="CI237" s="31" t="str">
        <f t="shared" si="213"/>
        <v>0</v>
      </c>
      <c r="CJ237" s="10">
        <f t="shared" si="214"/>
        <v>0</v>
      </c>
      <c r="CK237" s="31" t="str">
        <f t="shared" si="215"/>
        <v>0</v>
      </c>
      <c r="CL237" s="10">
        <f>+Risultati!AE236+Risultati!AF236</f>
        <v>0</v>
      </c>
      <c r="CM237" s="31" t="str">
        <f t="shared" si="216"/>
        <v>0</v>
      </c>
      <c r="CN237" s="10">
        <f>+Risultati!AT236</f>
        <v>0</v>
      </c>
      <c r="CO237" s="31" t="str">
        <f t="shared" si="217"/>
        <v>0</v>
      </c>
      <c r="CP237" s="10">
        <f>+Risultati!AU236</f>
        <v>0</v>
      </c>
      <c r="CQ237" s="31" t="str">
        <f t="shared" si="218"/>
        <v>0</v>
      </c>
      <c r="CR237" s="10">
        <f>+Risultati!AL236</f>
        <v>0</v>
      </c>
      <c r="CS237" s="31" t="str">
        <f t="shared" si="219"/>
        <v>0</v>
      </c>
      <c r="CT237" s="10">
        <f t="shared" si="220"/>
        <v>0</v>
      </c>
      <c r="CU237" s="31" t="str">
        <f t="shared" si="221"/>
        <v>0</v>
      </c>
      <c r="CV237" s="10">
        <f>+Risultati!AX236</f>
        <v>0</v>
      </c>
      <c r="CW237" s="31" t="str">
        <f t="shared" si="222"/>
        <v>0</v>
      </c>
      <c r="CX237" s="10">
        <f t="shared" si="223"/>
        <v>0</v>
      </c>
      <c r="CY237" s="31" t="str">
        <f t="shared" si="224"/>
        <v>0</v>
      </c>
      <c r="CZ237" s="10">
        <f>+Risultati!AG236</f>
        <v>0</v>
      </c>
      <c r="DA237" s="31" t="str">
        <f t="shared" si="225"/>
        <v>0</v>
      </c>
      <c r="DB237" s="10">
        <f t="shared" si="226"/>
        <v>0</v>
      </c>
      <c r="DC237" s="31" t="str">
        <f t="shared" si="227"/>
        <v>0</v>
      </c>
      <c r="DD237" s="10">
        <f>+Risultati!AV236</f>
        <v>0</v>
      </c>
      <c r="DE237" s="31" t="str">
        <f t="shared" si="228"/>
        <v>0</v>
      </c>
      <c r="DF237" s="10">
        <f>+Risultati!AJ236</f>
        <v>0</v>
      </c>
      <c r="DG237" s="31" t="str">
        <f t="shared" si="229"/>
        <v>0</v>
      </c>
      <c r="DH237" s="10">
        <f t="shared" si="230"/>
        <v>0</v>
      </c>
      <c r="DI237" s="31" t="str">
        <f t="shared" si="231"/>
        <v>0</v>
      </c>
      <c r="DJ237" s="10">
        <f>+Risultati!AW236</f>
        <v>0</v>
      </c>
      <c r="DK237" s="31" t="str">
        <f t="shared" si="232"/>
        <v>0</v>
      </c>
      <c r="DL237" s="10">
        <f t="shared" si="203"/>
        <v>0</v>
      </c>
      <c r="DM237" s="31" t="str">
        <f t="shared" si="233"/>
        <v>0</v>
      </c>
      <c r="DO237" s="30"/>
      <c r="DP237" s="30"/>
    </row>
    <row r="238" spans="1:120" x14ac:dyDescent="0.2">
      <c r="A238" s="5"/>
      <c r="B238" s="6">
        <f>+Risultati!B237</f>
        <v>0</v>
      </c>
      <c r="C238" s="6">
        <f>+Risultati!C237</f>
        <v>0</v>
      </c>
      <c r="D238" s="26" t="str">
        <f>IF(YEAR(Risultati!D237)=1900,(MID(Risultati!$AP$1,29,4)),YEAR(Risultati!D237))</f>
        <v/>
      </c>
      <c r="E238" s="6">
        <f>+Risultati!E237</f>
        <v>0</v>
      </c>
      <c r="F238" s="8" t="e">
        <f>(LEFT(Risultati!AN237,2)&amp;"-")&amp;VLOOKUP((LEFT(Risultati!AN237,2)),ateco!$B$4:$C$93,2,FALSE)</f>
        <v>#N/A</v>
      </c>
      <c r="G238" s="8" t="str">
        <f>SUBSTITUTE((Risultati!AN237&amp;"-"&amp;Risultati!AO237),",",";")</f>
        <v>-</v>
      </c>
      <c r="I238" s="10">
        <f>+Risultati!G237</f>
        <v>0</v>
      </c>
      <c r="J238" s="11" t="str">
        <f t="shared" si="185"/>
        <v>0</v>
      </c>
      <c r="K238" s="12"/>
      <c r="L238" s="10">
        <f>+Risultati!G237+Risultati!H237</f>
        <v>0</v>
      </c>
      <c r="M238" s="11" t="str">
        <f t="shared" si="186"/>
        <v>0</v>
      </c>
      <c r="N238" s="12"/>
      <c r="O238" s="10">
        <f>+Risultati!I237+Risultati!J237</f>
        <v>0</v>
      </c>
      <c r="P238" s="11" t="str">
        <f t="shared" si="187"/>
        <v>0</v>
      </c>
      <c r="Q238" s="12"/>
      <c r="R238" s="13">
        <f t="shared" si="204"/>
        <v>0</v>
      </c>
      <c r="S238" s="11" t="str">
        <f t="shared" si="188"/>
        <v>0</v>
      </c>
      <c r="T238" s="12"/>
      <c r="U238" s="10">
        <f>+Risultati!F237-(Risultati!G237+Risultati!H237)</f>
        <v>0</v>
      </c>
      <c r="V238" s="12" t="str">
        <f t="shared" si="189"/>
        <v>0</v>
      </c>
      <c r="W238" s="12"/>
      <c r="X238" s="10">
        <f t="shared" si="205"/>
        <v>0</v>
      </c>
      <c r="Y238" s="12" t="str">
        <f t="shared" si="190"/>
        <v>0</v>
      </c>
      <c r="Z238" s="12"/>
      <c r="AA238" s="10">
        <f>+Risultati!K237</f>
        <v>0</v>
      </c>
      <c r="AB238" s="12" t="str">
        <f t="shared" si="191"/>
        <v>0</v>
      </c>
      <c r="AC238" s="12"/>
      <c r="AD238" s="10">
        <f>+Risultati!L237</f>
        <v>0</v>
      </c>
      <c r="AE238" s="12" t="str">
        <f t="shared" si="192"/>
        <v>0</v>
      </c>
      <c r="AF238" s="12"/>
      <c r="AG238" s="10">
        <f>+Risultati!M237+Risultati!P237+Risultati!Q237</f>
        <v>0</v>
      </c>
      <c r="AH238" s="12" t="str">
        <f t="shared" si="193"/>
        <v>0</v>
      </c>
      <c r="AI238" s="12"/>
      <c r="AJ238" s="13">
        <f t="shared" si="206"/>
        <v>0</v>
      </c>
      <c r="AK238" s="11" t="str">
        <f t="shared" si="194"/>
        <v>0</v>
      </c>
      <c r="AL238" s="12"/>
      <c r="AM238" s="10">
        <f>+Risultati!N237</f>
        <v>0</v>
      </c>
      <c r="AN238" s="12" t="str">
        <f t="shared" si="195"/>
        <v>0</v>
      </c>
      <c r="AO238" s="12"/>
      <c r="AP238" s="10">
        <f t="shared" si="207"/>
        <v>0</v>
      </c>
      <c r="AQ238" s="41" t="str">
        <f t="shared" si="196"/>
        <v>0</v>
      </c>
      <c r="AR238" s="12"/>
      <c r="AS238" s="10">
        <f>+Risultati!O237</f>
        <v>0</v>
      </c>
      <c r="AT238" s="12" t="str">
        <f t="shared" si="197"/>
        <v>0</v>
      </c>
      <c r="AU238" s="12"/>
      <c r="AV238" s="10">
        <f t="shared" si="208"/>
        <v>0</v>
      </c>
      <c r="AW238" s="12" t="str">
        <f t="shared" si="198"/>
        <v>0</v>
      </c>
      <c r="AX238" s="12"/>
      <c r="AY238" s="10">
        <f>+Risultati!R237+Risultati!S237</f>
        <v>0</v>
      </c>
      <c r="AZ238" s="12" t="str">
        <f t="shared" si="199"/>
        <v>0</v>
      </c>
      <c r="BA238" s="12"/>
      <c r="BB238" s="10">
        <f>+Risultati!T237</f>
        <v>0</v>
      </c>
      <c r="BC238" s="12" t="str">
        <f t="shared" si="200"/>
        <v>0</v>
      </c>
      <c r="BD238" s="12"/>
      <c r="BE238" s="10">
        <f>+Risultati!U237</f>
        <v>0</v>
      </c>
      <c r="BF238" s="12" t="str">
        <f t="shared" si="201"/>
        <v>0</v>
      </c>
      <c r="BG238" s="12"/>
      <c r="BH238" s="10">
        <f t="shared" si="209"/>
        <v>0</v>
      </c>
      <c r="BI238" s="12" t="str">
        <f t="shared" si="202"/>
        <v>0</v>
      </c>
      <c r="BK238" s="16">
        <f>IF(ISNUMBER(Risultati!X237/100),(Risultati!X237/100))</f>
        <v>0</v>
      </c>
      <c r="BL238" s="16">
        <f>IF(ISNUMBER(Risultati!Y237/100),(Risultati!Y237/100))</f>
        <v>0</v>
      </c>
      <c r="BM238" s="16">
        <f>IF(ISNUMBER(Risultati!Z237/100),(Risultati!Z237/100))</f>
        <v>0</v>
      </c>
      <c r="BN238" s="16">
        <f>IF(AND(Risultati!AY237&lt;0,calcoli!AP238&lt;0),-IF(ISNUMBER(Risultati!AA237/100),(Risultati!AA237/100)),IF(ISNUMBER(Risultati!AA237/100),(Risultati!AA237/100)))</f>
        <v>0</v>
      </c>
      <c r="BO238" s="16" t="str">
        <f t="shared" si="183"/>
        <v>0</v>
      </c>
      <c r="BP238" s="16" t="str">
        <f>IF(Risultati!AB237&gt;0,(AV238/Risultati!AB237),"0")</f>
        <v>0</v>
      </c>
      <c r="BQ238" s="16" t="str">
        <f>IF(Risultati!AG237&lt;&gt;0,(BH238/Risultati!AG237),"0")</f>
        <v>0</v>
      </c>
      <c r="BR238" s="16" t="str">
        <f t="shared" si="184"/>
        <v>0</v>
      </c>
      <c r="BS238" s="14" t="str">
        <f>IF(Risultati!AB237&gt;0,(Risultati!G237/Risultati!AB237),"0")</f>
        <v>0</v>
      </c>
      <c r="BT238" s="15" t="str">
        <f>IF(Risultati!AG237&lt;&gt;0,(Risultati!AB237/Risultati!AG237),"0")</f>
        <v>0</v>
      </c>
      <c r="BU238" s="23" t="str">
        <f>IF(AND(Risultati!G237&gt;0,(Risultati!AE237-Risultati!AF237)&gt;=0),((Risultati!AE237-Risultati!AF237)/Risultati!G237*360),"0")</f>
        <v>0</v>
      </c>
      <c r="BV238" s="21" t="str">
        <f>IF(OR(E238="abbreviato",Risultati!G237=0),"0",((Risultati!AC237+Risultati!AD237)/Risultati!G237*360))</f>
        <v>0</v>
      </c>
      <c r="BW238" s="21" t="str">
        <f>IF(OR(E238="abbreviato",Risultati!G237=0,SUM(Risultati!I237+Risultati!K237+Risultati!M237)=0),"0",(((Risultati!AH237+Risultati!AI237)/(Risultati!I237+Risultati!K237+Risultati!N237)*360)))</f>
        <v>0</v>
      </c>
      <c r="BX238" s="16" t="str">
        <f>IF(Risultati!AB237&gt;0,(+Risultati!AG237/Risultati!AB237),"0")</f>
        <v>0</v>
      </c>
      <c r="BY238" s="22" t="str">
        <f>IF(OR(E238="abbreviato",Risultati!G237=0),"0",(((Risultati!AK237-(Risultati!AL237+Risultati!AM237))/Risultati!G237)))</f>
        <v>0</v>
      </c>
      <c r="BZ238" s="16" t="str">
        <f>IF(Risultati!G237&gt;0,(Risultati!AJ237/Risultati!G237),"0")</f>
        <v>0</v>
      </c>
      <c r="CA238" s="8"/>
      <c r="CB238" s="10">
        <f>+Risultati!AP237</f>
        <v>0</v>
      </c>
      <c r="CC238" s="31" t="str">
        <f t="shared" si="210"/>
        <v>0</v>
      </c>
      <c r="CD238" s="10">
        <f>+Risultati!AQ237</f>
        <v>0</v>
      </c>
      <c r="CE238" s="31" t="str">
        <f t="shared" si="211"/>
        <v>0</v>
      </c>
      <c r="CF238" s="10">
        <f>+Risultati!AR237</f>
        <v>0</v>
      </c>
      <c r="CG238" s="31" t="str">
        <f t="shared" si="212"/>
        <v>0</v>
      </c>
      <c r="CH238" s="10">
        <f>+Risultati!AS237</f>
        <v>0</v>
      </c>
      <c r="CI238" s="31" t="str">
        <f t="shared" si="213"/>
        <v>0</v>
      </c>
      <c r="CJ238" s="10">
        <f t="shared" si="214"/>
        <v>0</v>
      </c>
      <c r="CK238" s="31" t="str">
        <f t="shared" si="215"/>
        <v>0</v>
      </c>
      <c r="CL238" s="10">
        <f>+Risultati!AE237+Risultati!AF237</f>
        <v>0</v>
      </c>
      <c r="CM238" s="31" t="str">
        <f t="shared" si="216"/>
        <v>0</v>
      </c>
      <c r="CN238" s="10">
        <f>+Risultati!AT237</f>
        <v>0</v>
      </c>
      <c r="CO238" s="31" t="str">
        <f t="shared" si="217"/>
        <v>0</v>
      </c>
      <c r="CP238" s="10">
        <f>+Risultati!AU237</f>
        <v>0</v>
      </c>
      <c r="CQ238" s="31" t="str">
        <f t="shared" si="218"/>
        <v>0</v>
      </c>
      <c r="CR238" s="10">
        <f>+Risultati!AL237</f>
        <v>0</v>
      </c>
      <c r="CS238" s="31" t="str">
        <f t="shared" si="219"/>
        <v>0</v>
      </c>
      <c r="CT238" s="10">
        <f t="shared" si="220"/>
        <v>0</v>
      </c>
      <c r="CU238" s="31" t="str">
        <f t="shared" si="221"/>
        <v>0</v>
      </c>
      <c r="CV238" s="10">
        <f>+Risultati!AX237</f>
        <v>0</v>
      </c>
      <c r="CW238" s="31" t="str">
        <f t="shared" si="222"/>
        <v>0</v>
      </c>
      <c r="CX238" s="10">
        <f t="shared" si="223"/>
        <v>0</v>
      </c>
      <c r="CY238" s="31" t="str">
        <f t="shared" si="224"/>
        <v>0</v>
      </c>
      <c r="CZ238" s="10">
        <f>+Risultati!AG237</f>
        <v>0</v>
      </c>
      <c r="DA238" s="31" t="str">
        <f t="shared" si="225"/>
        <v>0</v>
      </c>
      <c r="DB238" s="10">
        <f t="shared" si="226"/>
        <v>0</v>
      </c>
      <c r="DC238" s="31" t="str">
        <f t="shared" si="227"/>
        <v>0</v>
      </c>
      <c r="DD238" s="10">
        <f>+Risultati!AV237</f>
        <v>0</v>
      </c>
      <c r="DE238" s="31" t="str">
        <f t="shared" si="228"/>
        <v>0</v>
      </c>
      <c r="DF238" s="10">
        <f>+Risultati!AJ237</f>
        <v>0</v>
      </c>
      <c r="DG238" s="31" t="str">
        <f t="shared" si="229"/>
        <v>0</v>
      </c>
      <c r="DH238" s="10">
        <f t="shared" si="230"/>
        <v>0</v>
      </c>
      <c r="DI238" s="31" t="str">
        <f t="shared" si="231"/>
        <v>0</v>
      </c>
      <c r="DJ238" s="10">
        <f>+Risultati!AW237</f>
        <v>0</v>
      </c>
      <c r="DK238" s="31" t="str">
        <f t="shared" si="232"/>
        <v>0</v>
      </c>
      <c r="DL238" s="10">
        <f t="shared" si="203"/>
        <v>0</v>
      </c>
      <c r="DM238" s="31" t="str">
        <f t="shared" si="233"/>
        <v>0</v>
      </c>
      <c r="DO238" s="30"/>
      <c r="DP238" s="30"/>
    </row>
    <row r="239" spans="1:120" x14ac:dyDescent="0.2">
      <c r="A239" s="5"/>
      <c r="B239" s="6">
        <f>+Risultati!B238</f>
        <v>0</v>
      </c>
      <c r="C239" s="6">
        <f>+Risultati!C238</f>
        <v>0</v>
      </c>
      <c r="D239" s="26" t="str">
        <f>IF(YEAR(Risultati!D238)=1900,(MID(Risultati!$AP$1,29,4)),YEAR(Risultati!D238))</f>
        <v/>
      </c>
      <c r="E239" s="6">
        <f>+Risultati!E238</f>
        <v>0</v>
      </c>
      <c r="F239" s="8" t="e">
        <f>(LEFT(Risultati!AN238,2)&amp;"-")&amp;VLOOKUP((LEFT(Risultati!AN238,2)),ateco!$B$4:$C$93,2,FALSE)</f>
        <v>#N/A</v>
      </c>
      <c r="G239" s="8" t="str">
        <f>SUBSTITUTE((Risultati!AN238&amp;"-"&amp;Risultati!AO238),",",";")</f>
        <v>-</v>
      </c>
      <c r="I239" s="10">
        <f>+Risultati!G238</f>
        <v>0</v>
      </c>
      <c r="J239" s="11" t="str">
        <f t="shared" si="185"/>
        <v>0</v>
      </c>
      <c r="K239" s="12"/>
      <c r="L239" s="10">
        <f>+Risultati!G238+Risultati!H238</f>
        <v>0</v>
      </c>
      <c r="M239" s="11" t="str">
        <f t="shared" si="186"/>
        <v>0</v>
      </c>
      <c r="N239" s="12"/>
      <c r="O239" s="10">
        <f>+Risultati!I238+Risultati!J238</f>
        <v>0</v>
      </c>
      <c r="P239" s="11" t="str">
        <f t="shared" si="187"/>
        <v>0</v>
      </c>
      <c r="Q239" s="12"/>
      <c r="R239" s="13">
        <f t="shared" si="204"/>
        <v>0</v>
      </c>
      <c r="S239" s="11" t="str">
        <f t="shared" si="188"/>
        <v>0</v>
      </c>
      <c r="T239" s="12"/>
      <c r="U239" s="10">
        <f>+Risultati!F238-(Risultati!G238+Risultati!H238)</f>
        <v>0</v>
      </c>
      <c r="V239" s="12" t="str">
        <f t="shared" si="189"/>
        <v>0</v>
      </c>
      <c r="W239" s="12"/>
      <c r="X239" s="10">
        <f t="shared" si="205"/>
        <v>0</v>
      </c>
      <c r="Y239" s="12" t="str">
        <f t="shared" si="190"/>
        <v>0</v>
      </c>
      <c r="Z239" s="12"/>
      <c r="AA239" s="10">
        <f>+Risultati!K238</f>
        <v>0</v>
      </c>
      <c r="AB239" s="12" t="str">
        <f t="shared" si="191"/>
        <v>0</v>
      </c>
      <c r="AC239" s="12"/>
      <c r="AD239" s="10">
        <f>+Risultati!L238</f>
        <v>0</v>
      </c>
      <c r="AE239" s="12" t="str">
        <f t="shared" si="192"/>
        <v>0</v>
      </c>
      <c r="AF239" s="12"/>
      <c r="AG239" s="10">
        <f>+Risultati!M238+Risultati!P238+Risultati!Q238</f>
        <v>0</v>
      </c>
      <c r="AH239" s="12" t="str">
        <f t="shared" si="193"/>
        <v>0</v>
      </c>
      <c r="AI239" s="12"/>
      <c r="AJ239" s="13">
        <f t="shared" si="206"/>
        <v>0</v>
      </c>
      <c r="AK239" s="11" t="str">
        <f t="shared" si="194"/>
        <v>0</v>
      </c>
      <c r="AL239" s="12"/>
      <c r="AM239" s="10">
        <f>+Risultati!N238</f>
        <v>0</v>
      </c>
      <c r="AN239" s="12" t="str">
        <f t="shared" si="195"/>
        <v>0</v>
      </c>
      <c r="AO239" s="12"/>
      <c r="AP239" s="10">
        <f t="shared" si="207"/>
        <v>0</v>
      </c>
      <c r="AQ239" s="41" t="str">
        <f t="shared" si="196"/>
        <v>0</v>
      </c>
      <c r="AR239" s="12"/>
      <c r="AS239" s="10">
        <f>+Risultati!O238</f>
        <v>0</v>
      </c>
      <c r="AT239" s="12" t="str">
        <f t="shared" si="197"/>
        <v>0</v>
      </c>
      <c r="AU239" s="12"/>
      <c r="AV239" s="10">
        <f t="shared" si="208"/>
        <v>0</v>
      </c>
      <c r="AW239" s="12" t="str">
        <f t="shared" si="198"/>
        <v>0</v>
      </c>
      <c r="AX239" s="12"/>
      <c r="AY239" s="10">
        <f>+Risultati!R238+Risultati!S238</f>
        <v>0</v>
      </c>
      <c r="AZ239" s="12" t="str">
        <f t="shared" si="199"/>
        <v>0</v>
      </c>
      <c r="BA239" s="12"/>
      <c r="BB239" s="10">
        <f>+Risultati!T238</f>
        <v>0</v>
      </c>
      <c r="BC239" s="12" t="str">
        <f t="shared" si="200"/>
        <v>0</v>
      </c>
      <c r="BD239" s="12"/>
      <c r="BE239" s="10">
        <f>+Risultati!U238</f>
        <v>0</v>
      </c>
      <c r="BF239" s="12" t="str">
        <f t="shared" si="201"/>
        <v>0</v>
      </c>
      <c r="BG239" s="12"/>
      <c r="BH239" s="10">
        <f t="shared" si="209"/>
        <v>0</v>
      </c>
      <c r="BI239" s="12" t="str">
        <f t="shared" si="202"/>
        <v>0</v>
      </c>
      <c r="BK239" s="16">
        <f>IF(ISNUMBER(Risultati!X238/100),(Risultati!X238/100))</f>
        <v>0</v>
      </c>
      <c r="BL239" s="16">
        <f>IF(ISNUMBER(Risultati!Y238/100),(Risultati!Y238/100))</f>
        <v>0</v>
      </c>
      <c r="BM239" s="16">
        <f>IF(ISNUMBER(Risultati!Z238/100),(Risultati!Z238/100))</f>
        <v>0</v>
      </c>
      <c r="BN239" s="16">
        <f>IF(AND(Risultati!AY238&lt;0,calcoli!AP239&lt;0),-IF(ISNUMBER(Risultati!AA238/100),(Risultati!AA238/100)),IF(ISNUMBER(Risultati!AA238/100),(Risultati!AA238/100)))</f>
        <v>0</v>
      </c>
      <c r="BO239" s="16" t="str">
        <f t="shared" si="183"/>
        <v>0</v>
      </c>
      <c r="BP239" s="16" t="str">
        <f>IF(Risultati!AB238&gt;0,(AV239/Risultati!AB238),"0")</f>
        <v>0</v>
      </c>
      <c r="BQ239" s="16" t="str">
        <f>IF(Risultati!AG238&lt;&gt;0,(BH239/Risultati!AG238),"0")</f>
        <v>0</v>
      </c>
      <c r="BR239" s="16" t="str">
        <f t="shared" si="184"/>
        <v>0</v>
      </c>
      <c r="BS239" s="14" t="str">
        <f>IF(Risultati!AB238&gt;0,(Risultati!G238/Risultati!AB238),"0")</f>
        <v>0</v>
      </c>
      <c r="BT239" s="15" t="str">
        <f>IF(Risultati!AG238&lt;&gt;0,(Risultati!AB238/Risultati!AG238),"0")</f>
        <v>0</v>
      </c>
      <c r="BU239" s="23" t="str">
        <f>IF(AND(Risultati!G238&gt;0,(Risultati!AE238-Risultati!AF238)&gt;=0),((Risultati!AE238-Risultati!AF238)/Risultati!G238*360),"0")</f>
        <v>0</v>
      </c>
      <c r="BV239" s="21" t="str">
        <f>IF(OR(E239="abbreviato",Risultati!G238=0),"0",((Risultati!AC238+Risultati!AD238)/Risultati!G238*360))</f>
        <v>0</v>
      </c>
      <c r="BW239" s="21" t="str">
        <f>IF(OR(E239="abbreviato",Risultati!G238=0,SUM(Risultati!I238+Risultati!K238+Risultati!M238)=0),"0",(((Risultati!AH238+Risultati!AI238)/(Risultati!I238+Risultati!K238+Risultati!N238)*360)))</f>
        <v>0</v>
      </c>
      <c r="BX239" s="16" t="str">
        <f>IF(Risultati!AB238&gt;0,(+Risultati!AG238/Risultati!AB238),"0")</f>
        <v>0</v>
      </c>
      <c r="BY239" s="22" t="str">
        <f>IF(OR(E239="abbreviato",Risultati!G238=0),"0",(((Risultati!AK238-(Risultati!AL238+Risultati!AM238))/Risultati!G238)))</f>
        <v>0</v>
      </c>
      <c r="BZ239" s="16" t="str">
        <f>IF(Risultati!G238&gt;0,(Risultati!AJ238/Risultati!G238),"0")</f>
        <v>0</v>
      </c>
      <c r="CA239" s="8"/>
      <c r="CB239" s="10">
        <f>+Risultati!AP238</f>
        <v>0</v>
      </c>
      <c r="CC239" s="31" t="str">
        <f t="shared" si="210"/>
        <v>0</v>
      </c>
      <c r="CD239" s="10">
        <f>+Risultati!AQ238</f>
        <v>0</v>
      </c>
      <c r="CE239" s="31" t="str">
        <f t="shared" si="211"/>
        <v>0</v>
      </c>
      <c r="CF239" s="10">
        <f>+Risultati!AR238</f>
        <v>0</v>
      </c>
      <c r="CG239" s="31" t="str">
        <f t="shared" si="212"/>
        <v>0</v>
      </c>
      <c r="CH239" s="10">
        <f>+Risultati!AS238</f>
        <v>0</v>
      </c>
      <c r="CI239" s="31" t="str">
        <f t="shared" si="213"/>
        <v>0</v>
      </c>
      <c r="CJ239" s="10">
        <f t="shared" si="214"/>
        <v>0</v>
      </c>
      <c r="CK239" s="31" t="str">
        <f t="shared" si="215"/>
        <v>0</v>
      </c>
      <c r="CL239" s="10">
        <f>+Risultati!AE238+Risultati!AF238</f>
        <v>0</v>
      </c>
      <c r="CM239" s="31" t="str">
        <f t="shared" si="216"/>
        <v>0</v>
      </c>
      <c r="CN239" s="10">
        <f>+Risultati!AT238</f>
        <v>0</v>
      </c>
      <c r="CO239" s="31" t="str">
        <f t="shared" si="217"/>
        <v>0</v>
      </c>
      <c r="CP239" s="10">
        <f>+Risultati!AU238</f>
        <v>0</v>
      </c>
      <c r="CQ239" s="31" t="str">
        <f t="shared" si="218"/>
        <v>0</v>
      </c>
      <c r="CR239" s="10">
        <f>+Risultati!AL238</f>
        <v>0</v>
      </c>
      <c r="CS239" s="31" t="str">
        <f t="shared" si="219"/>
        <v>0</v>
      </c>
      <c r="CT239" s="10">
        <f t="shared" si="220"/>
        <v>0</v>
      </c>
      <c r="CU239" s="31" t="str">
        <f t="shared" si="221"/>
        <v>0</v>
      </c>
      <c r="CV239" s="10">
        <f>+Risultati!AX238</f>
        <v>0</v>
      </c>
      <c r="CW239" s="31" t="str">
        <f t="shared" si="222"/>
        <v>0</v>
      </c>
      <c r="CX239" s="10">
        <f t="shared" si="223"/>
        <v>0</v>
      </c>
      <c r="CY239" s="31" t="str">
        <f t="shared" si="224"/>
        <v>0</v>
      </c>
      <c r="CZ239" s="10">
        <f>+Risultati!AG238</f>
        <v>0</v>
      </c>
      <c r="DA239" s="31" t="str">
        <f t="shared" si="225"/>
        <v>0</v>
      </c>
      <c r="DB239" s="10">
        <f t="shared" si="226"/>
        <v>0</v>
      </c>
      <c r="DC239" s="31" t="str">
        <f t="shared" si="227"/>
        <v>0</v>
      </c>
      <c r="DD239" s="10">
        <f>+Risultati!AV238</f>
        <v>0</v>
      </c>
      <c r="DE239" s="31" t="str">
        <f t="shared" si="228"/>
        <v>0</v>
      </c>
      <c r="DF239" s="10">
        <f>+Risultati!AJ238</f>
        <v>0</v>
      </c>
      <c r="DG239" s="31" t="str">
        <f t="shared" si="229"/>
        <v>0</v>
      </c>
      <c r="DH239" s="10">
        <f t="shared" si="230"/>
        <v>0</v>
      </c>
      <c r="DI239" s="31" t="str">
        <f t="shared" si="231"/>
        <v>0</v>
      </c>
      <c r="DJ239" s="10">
        <f>+Risultati!AW238</f>
        <v>0</v>
      </c>
      <c r="DK239" s="31" t="str">
        <f t="shared" si="232"/>
        <v>0</v>
      </c>
      <c r="DL239" s="10">
        <f t="shared" si="203"/>
        <v>0</v>
      </c>
      <c r="DM239" s="31" t="str">
        <f t="shared" si="233"/>
        <v>0</v>
      </c>
      <c r="DO239" s="30"/>
      <c r="DP239" s="30"/>
    </row>
    <row r="240" spans="1:120" x14ac:dyDescent="0.2">
      <c r="A240" s="5"/>
      <c r="B240" s="6">
        <f>+Risultati!B239</f>
        <v>0</v>
      </c>
      <c r="C240" s="6">
        <f>+Risultati!C239</f>
        <v>0</v>
      </c>
      <c r="D240" s="26" t="str">
        <f>IF(YEAR(Risultati!D239)=1900,(MID(Risultati!$AP$1,29,4)),YEAR(Risultati!D239))</f>
        <v/>
      </c>
      <c r="E240" s="6">
        <f>+Risultati!E239</f>
        <v>0</v>
      </c>
      <c r="F240" s="8" t="e">
        <f>(LEFT(Risultati!AN239,2)&amp;"-")&amp;VLOOKUP((LEFT(Risultati!AN239,2)),ateco!$B$4:$C$93,2,FALSE)</f>
        <v>#N/A</v>
      </c>
      <c r="G240" s="8" t="str">
        <f>SUBSTITUTE((Risultati!AN239&amp;"-"&amp;Risultati!AO239),",",";")</f>
        <v>-</v>
      </c>
      <c r="I240" s="10">
        <f>+Risultati!G239</f>
        <v>0</v>
      </c>
      <c r="J240" s="11" t="str">
        <f t="shared" si="185"/>
        <v>0</v>
      </c>
      <c r="K240" s="12"/>
      <c r="L240" s="10">
        <f>+Risultati!G239+Risultati!H239</f>
        <v>0</v>
      </c>
      <c r="M240" s="11" t="str">
        <f t="shared" si="186"/>
        <v>0</v>
      </c>
      <c r="N240" s="12"/>
      <c r="O240" s="10">
        <f>+Risultati!I239+Risultati!J239</f>
        <v>0</v>
      </c>
      <c r="P240" s="11" t="str">
        <f t="shared" si="187"/>
        <v>0</v>
      </c>
      <c r="Q240" s="12"/>
      <c r="R240" s="13">
        <f t="shared" si="204"/>
        <v>0</v>
      </c>
      <c r="S240" s="11" t="str">
        <f t="shared" si="188"/>
        <v>0</v>
      </c>
      <c r="T240" s="12"/>
      <c r="U240" s="10">
        <f>+Risultati!F239-(Risultati!G239+Risultati!H239)</f>
        <v>0</v>
      </c>
      <c r="V240" s="12" t="str">
        <f t="shared" si="189"/>
        <v>0</v>
      </c>
      <c r="W240" s="12"/>
      <c r="X240" s="10">
        <f t="shared" si="205"/>
        <v>0</v>
      </c>
      <c r="Y240" s="12" t="str">
        <f t="shared" si="190"/>
        <v>0</v>
      </c>
      <c r="Z240" s="12"/>
      <c r="AA240" s="10">
        <f>+Risultati!K239</f>
        <v>0</v>
      </c>
      <c r="AB240" s="12" t="str">
        <f t="shared" si="191"/>
        <v>0</v>
      </c>
      <c r="AC240" s="12"/>
      <c r="AD240" s="10">
        <f>+Risultati!L239</f>
        <v>0</v>
      </c>
      <c r="AE240" s="12" t="str">
        <f t="shared" si="192"/>
        <v>0</v>
      </c>
      <c r="AF240" s="12"/>
      <c r="AG240" s="10">
        <f>+Risultati!M239+Risultati!P239+Risultati!Q239</f>
        <v>0</v>
      </c>
      <c r="AH240" s="12" t="str">
        <f t="shared" si="193"/>
        <v>0</v>
      </c>
      <c r="AI240" s="12"/>
      <c r="AJ240" s="13">
        <f t="shared" si="206"/>
        <v>0</v>
      </c>
      <c r="AK240" s="11" t="str">
        <f t="shared" si="194"/>
        <v>0</v>
      </c>
      <c r="AL240" s="12"/>
      <c r="AM240" s="10">
        <f>+Risultati!N239</f>
        <v>0</v>
      </c>
      <c r="AN240" s="12" t="str">
        <f t="shared" si="195"/>
        <v>0</v>
      </c>
      <c r="AO240" s="12"/>
      <c r="AP240" s="10">
        <f t="shared" si="207"/>
        <v>0</v>
      </c>
      <c r="AQ240" s="41" t="str">
        <f t="shared" si="196"/>
        <v>0</v>
      </c>
      <c r="AR240" s="12"/>
      <c r="AS240" s="10">
        <f>+Risultati!O239</f>
        <v>0</v>
      </c>
      <c r="AT240" s="12" t="str">
        <f t="shared" si="197"/>
        <v>0</v>
      </c>
      <c r="AU240" s="12"/>
      <c r="AV240" s="10">
        <f t="shared" si="208"/>
        <v>0</v>
      </c>
      <c r="AW240" s="12" t="str">
        <f t="shared" si="198"/>
        <v>0</v>
      </c>
      <c r="AX240" s="12"/>
      <c r="AY240" s="10">
        <f>+Risultati!R239+Risultati!S239</f>
        <v>0</v>
      </c>
      <c r="AZ240" s="12" t="str">
        <f t="shared" si="199"/>
        <v>0</v>
      </c>
      <c r="BA240" s="12"/>
      <c r="BB240" s="10">
        <f>+Risultati!T239</f>
        <v>0</v>
      </c>
      <c r="BC240" s="12" t="str">
        <f t="shared" si="200"/>
        <v>0</v>
      </c>
      <c r="BD240" s="12"/>
      <c r="BE240" s="10">
        <f>+Risultati!U239</f>
        <v>0</v>
      </c>
      <c r="BF240" s="12" t="str">
        <f t="shared" si="201"/>
        <v>0</v>
      </c>
      <c r="BG240" s="12"/>
      <c r="BH240" s="10">
        <f t="shared" si="209"/>
        <v>0</v>
      </c>
      <c r="BI240" s="12" t="str">
        <f t="shared" si="202"/>
        <v>0</v>
      </c>
      <c r="BK240" s="16">
        <f>IF(ISNUMBER(Risultati!X239/100),(Risultati!X239/100))</f>
        <v>0</v>
      </c>
      <c r="BL240" s="16">
        <f>IF(ISNUMBER(Risultati!Y239/100),(Risultati!Y239/100))</f>
        <v>0</v>
      </c>
      <c r="BM240" s="16">
        <f>IF(ISNUMBER(Risultati!Z239/100),(Risultati!Z239/100))</f>
        <v>0</v>
      </c>
      <c r="BN240" s="16">
        <f>IF(AND(Risultati!AY239&lt;0,calcoli!AP240&lt;0),-IF(ISNUMBER(Risultati!AA239/100),(Risultati!AA239/100)),IF(ISNUMBER(Risultati!AA239/100),(Risultati!AA239/100)))</f>
        <v>0</v>
      </c>
      <c r="BO240" s="16" t="str">
        <f t="shared" si="183"/>
        <v>0</v>
      </c>
      <c r="BP240" s="16" t="str">
        <f>IF(Risultati!AB239&gt;0,(AV240/Risultati!AB239),"0")</f>
        <v>0</v>
      </c>
      <c r="BQ240" s="16" t="str">
        <f>IF(Risultati!AG239&lt;&gt;0,(BH240/Risultati!AG239),"0")</f>
        <v>0</v>
      </c>
      <c r="BR240" s="16" t="str">
        <f t="shared" si="184"/>
        <v>0</v>
      </c>
      <c r="BS240" s="14" t="str">
        <f>IF(Risultati!AB239&gt;0,(Risultati!G239/Risultati!AB239),"0")</f>
        <v>0</v>
      </c>
      <c r="BT240" s="15" t="str">
        <f>IF(Risultati!AG239&lt;&gt;0,(Risultati!AB239/Risultati!AG239),"0")</f>
        <v>0</v>
      </c>
      <c r="BU240" s="23" t="str">
        <f>IF(AND(Risultati!G239&gt;0,(Risultati!AE239-Risultati!AF239)&gt;=0),((Risultati!AE239-Risultati!AF239)/Risultati!G239*360),"0")</f>
        <v>0</v>
      </c>
      <c r="BV240" s="21" t="str">
        <f>IF(OR(E240="abbreviato",Risultati!G239=0),"0",((Risultati!AC239+Risultati!AD239)/Risultati!G239*360))</f>
        <v>0</v>
      </c>
      <c r="BW240" s="21" t="str">
        <f>IF(OR(E240="abbreviato",Risultati!G239=0,SUM(Risultati!I239+Risultati!K239+Risultati!M239)=0),"0",(((Risultati!AH239+Risultati!AI239)/(Risultati!I239+Risultati!K239+Risultati!N239)*360)))</f>
        <v>0</v>
      </c>
      <c r="BX240" s="16" t="str">
        <f>IF(Risultati!AB239&gt;0,(+Risultati!AG239/Risultati!AB239),"0")</f>
        <v>0</v>
      </c>
      <c r="BY240" s="22" t="str">
        <f>IF(OR(E240="abbreviato",Risultati!G239=0),"0",(((Risultati!AK239-(Risultati!AL239+Risultati!AM239))/Risultati!G239)))</f>
        <v>0</v>
      </c>
      <c r="BZ240" s="16" t="str">
        <f>IF(Risultati!G239&gt;0,(Risultati!AJ239/Risultati!G239),"0")</f>
        <v>0</v>
      </c>
      <c r="CA240" s="8"/>
      <c r="CB240" s="10">
        <f>+Risultati!AP239</f>
        <v>0</v>
      </c>
      <c r="CC240" s="31" t="str">
        <f t="shared" si="210"/>
        <v>0</v>
      </c>
      <c r="CD240" s="10">
        <f>+Risultati!AQ239</f>
        <v>0</v>
      </c>
      <c r="CE240" s="31" t="str">
        <f t="shared" si="211"/>
        <v>0</v>
      </c>
      <c r="CF240" s="10">
        <f>+Risultati!AR239</f>
        <v>0</v>
      </c>
      <c r="CG240" s="31" t="str">
        <f t="shared" si="212"/>
        <v>0</v>
      </c>
      <c r="CH240" s="10">
        <f>+Risultati!AS239</f>
        <v>0</v>
      </c>
      <c r="CI240" s="31" t="str">
        <f t="shared" si="213"/>
        <v>0</v>
      </c>
      <c r="CJ240" s="10">
        <f t="shared" si="214"/>
        <v>0</v>
      </c>
      <c r="CK240" s="31" t="str">
        <f t="shared" si="215"/>
        <v>0</v>
      </c>
      <c r="CL240" s="10">
        <f>+Risultati!AE239+Risultati!AF239</f>
        <v>0</v>
      </c>
      <c r="CM240" s="31" t="str">
        <f t="shared" si="216"/>
        <v>0</v>
      </c>
      <c r="CN240" s="10">
        <f>+Risultati!AT239</f>
        <v>0</v>
      </c>
      <c r="CO240" s="31" t="str">
        <f t="shared" si="217"/>
        <v>0</v>
      </c>
      <c r="CP240" s="10">
        <f>+Risultati!AU239</f>
        <v>0</v>
      </c>
      <c r="CQ240" s="31" t="str">
        <f t="shared" si="218"/>
        <v>0</v>
      </c>
      <c r="CR240" s="10">
        <f>+Risultati!AL239</f>
        <v>0</v>
      </c>
      <c r="CS240" s="31" t="str">
        <f t="shared" si="219"/>
        <v>0</v>
      </c>
      <c r="CT240" s="10">
        <f t="shared" si="220"/>
        <v>0</v>
      </c>
      <c r="CU240" s="31" t="str">
        <f t="shared" si="221"/>
        <v>0</v>
      </c>
      <c r="CV240" s="10">
        <f>+Risultati!AX239</f>
        <v>0</v>
      </c>
      <c r="CW240" s="31" t="str">
        <f t="shared" si="222"/>
        <v>0</v>
      </c>
      <c r="CX240" s="10">
        <f t="shared" si="223"/>
        <v>0</v>
      </c>
      <c r="CY240" s="31" t="str">
        <f t="shared" si="224"/>
        <v>0</v>
      </c>
      <c r="CZ240" s="10">
        <f>+Risultati!AG239</f>
        <v>0</v>
      </c>
      <c r="DA240" s="31" t="str">
        <f t="shared" si="225"/>
        <v>0</v>
      </c>
      <c r="DB240" s="10">
        <f t="shared" si="226"/>
        <v>0</v>
      </c>
      <c r="DC240" s="31" t="str">
        <f t="shared" si="227"/>
        <v>0</v>
      </c>
      <c r="DD240" s="10">
        <f>+Risultati!AV239</f>
        <v>0</v>
      </c>
      <c r="DE240" s="31" t="str">
        <f t="shared" si="228"/>
        <v>0</v>
      </c>
      <c r="DF240" s="10">
        <f>+Risultati!AJ239</f>
        <v>0</v>
      </c>
      <c r="DG240" s="31" t="str">
        <f t="shared" si="229"/>
        <v>0</v>
      </c>
      <c r="DH240" s="10">
        <f t="shared" si="230"/>
        <v>0</v>
      </c>
      <c r="DI240" s="31" t="str">
        <f t="shared" si="231"/>
        <v>0</v>
      </c>
      <c r="DJ240" s="10">
        <f>+Risultati!AW239</f>
        <v>0</v>
      </c>
      <c r="DK240" s="31" t="str">
        <f t="shared" si="232"/>
        <v>0</v>
      </c>
      <c r="DL240" s="10">
        <f t="shared" si="203"/>
        <v>0</v>
      </c>
      <c r="DM240" s="31" t="str">
        <f t="shared" si="233"/>
        <v>0</v>
      </c>
      <c r="DO240" s="30"/>
      <c r="DP240" s="30"/>
    </row>
    <row r="241" spans="1:120" x14ac:dyDescent="0.2">
      <c r="A241" s="5"/>
      <c r="B241" s="6">
        <f>+Risultati!B240</f>
        <v>0</v>
      </c>
      <c r="C241" s="6">
        <f>+Risultati!C240</f>
        <v>0</v>
      </c>
      <c r="D241" s="26" t="str">
        <f>IF(YEAR(Risultati!D240)=1900,(MID(Risultati!$AP$1,29,4)),YEAR(Risultati!D240))</f>
        <v/>
      </c>
      <c r="E241" s="6">
        <f>+Risultati!E240</f>
        <v>0</v>
      </c>
      <c r="F241" s="8" t="e">
        <f>(LEFT(Risultati!AN240,2)&amp;"-")&amp;VLOOKUP((LEFT(Risultati!AN240,2)),ateco!$B$4:$C$93,2,FALSE)</f>
        <v>#N/A</v>
      </c>
      <c r="G241" s="8" t="str">
        <f>SUBSTITUTE((Risultati!AN240&amp;"-"&amp;Risultati!AO240),",",";")</f>
        <v>-</v>
      </c>
      <c r="I241" s="10">
        <f>+Risultati!G240</f>
        <v>0</v>
      </c>
      <c r="J241" s="11" t="str">
        <f t="shared" si="185"/>
        <v>0</v>
      </c>
      <c r="K241" s="12"/>
      <c r="L241" s="10">
        <f>+Risultati!G240+Risultati!H240</f>
        <v>0</v>
      </c>
      <c r="M241" s="11" t="str">
        <f t="shared" si="186"/>
        <v>0</v>
      </c>
      <c r="N241" s="12"/>
      <c r="O241" s="10">
        <f>+Risultati!I240+Risultati!J240</f>
        <v>0</v>
      </c>
      <c r="P241" s="11" t="str">
        <f t="shared" si="187"/>
        <v>0</v>
      </c>
      <c r="Q241" s="12"/>
      <c r="R241" s="13">
        <f t="shared" si="204"/>
        <v>0</v>
      </c>
      <c r="S241" s="11" t="str">
        <f t="shared" si="188"/>
        <v>0</v>
      </c>
      <c r="T241" s="12"/>
      <c r="U241" s="10">
        <f>+Risultati!F240-(Risultati!G240+Risultati!H240)</f>
        <v>0</v>
      </c>
      <c r="V241" s="12" t="str">
        <f t="shared" si="189"/>
        <v>0</v>
      </c>
      <c r="W241" s="12"/>
      <c r="X241" s="10">
        <f t="shared" si="205"/>
        <v>0</v>
      </c>
      <c r="Y241" s="12" t="str">
        <f t="shared" si="190"/>
        <v>0</v>
      </c>
      <c r="Z241" s="12"/>
      <c r="AA241" s="10">
        <f>+Risultati!K240</f>
        <v>0</v>
      </c>
      <c r="AB241" s="12" t="str">
        <f t="shared" si="191"/>
        <v>0</v>
      </c>
      <c r="AC241" s="12"/>
      <c r="AD241" s="10">
        <f>+Risultati!L240</f>
        <v>0</v>
      </c>
      <c r="AE241" s="12" t="str">
        <f t="shared" si="192"/>
        <v>0</v>
      </c>
      <c r="AF241" s="12"/>
      <c r="AG241" s="10">
        <f>+Risultati!M240+Risultati!P240+Risultati!Q240</f>
        <v>0</v>
      </c>
      <c r="AH241" s="12" t="str">
        <f t="shared" si="193"/>
        <v>0</v>
      </c>
      <c r="AI241" s="12"/>
      <c r="AJ241" s="13">
        <f t="shared" si="206"/>
        <v>0</v>
      </c>
      <c r="AK241" s="11" t="str">
        <f t="shared" si="194"/>
        <v>0</v>
      </c>
      <c r="AL241" s="12"/>
      <c r="AM241" s="10">
        <f>+Risultati!N240</f>
        <v>0</v>
      </c>
      <c r="AN241" s="12" t="str">
        <f t="shared" si="195"/>
        <v>0</v>
      </c>
      <c r="AO241" s="12"/>
      <c r="AP241" s="10">
        <f t="shared" si="207"/>
        <v>0</v>
      </c>
      <c r="AQ241" s="41" t="str">
        <f t="shared" si="196"/>
        <v>0</v>
      </c>
      <c r="AR241" s="12"/>
      <c r="AS241" s="10">
        <f>+Risultati!O240</f>
        <v>0</v>
      </c>
      <c r="AT241" s="12" t="str">
        <f t="shared" si="197"/>
        <v>0</v>
      </c>
      <c r="AU241" s="12"/>
      <c r="AV241" s="10">
        <f t="shared" si="208"/>
        <v>0</v>
      </c>
      <c r="AW241" s="12" t="str">
        <f t="shared" si="198"/>
        <v>0</v>
      </c>
      <c r="AX241" s="12"/>
      <c r="AY241" s="10">
        <f>+Risultati!R240+Risultati!S240</f>
        <v>0</v>
      </c>
      <c r="AZ241" s="12" t="str">
        <f t="shared" si="199"/>
        <v>0</v>
      </c>
      <c r="BA241" s="12"/>
      <c r="BB241" s="10">
        <f>+Risultati!T240</f>
        <v>0</v>
      </c>
      <c r="BC241" s="12" t="str">
        <f t="shared" si="200"/>
        <v>0</v>
      </c>
      <c r="BD241" s="12"/>
      <c r="BE241" s="10">
        <f>+Risultati!U240</f>
        <v>0</v>
      </c>
      <c r="BF241" s="12" t="str">
        <f t="shared" si="201"/>
        <v>0</v>
      </c>
      <c r="BG241" s="12"/>
      <c r="BH241" s="10">
        <f t="shared" si="209"/>
        <v>0</v>
      </c>
      <c r="BI241" s="12" t="str">
        <f t="shared" si="202"/>
        <v>0</v>
      </c>
      <c r="BK241" s="16">
        <f>IF(ISNUMBER(Risultati!X240/100),(Risultati!X240/100))</f>
        <v>0</v>
      </c>
      <c r="BL241" s="16">
        <f>IF(ISNUMBER(Risultati!Y240/100),(Risultati!Y240/100))</f>
        <v>0</v>
      </c>
      <c r="BM241" s="16">
        <f>IF(ISNUMBER(Risultati!Z240/100),(Risultati!Z240/100))</f>
        <v>0</v>
      </c>
      <c r="BN241" s="16">
        <f>IF(AND(Risultati!AY240&lt;0,calcoli!AP241&lt;0),-IF(ISNUMBER(Risultati!AA240/100),(Risultati!AA240/100)),IF(ISNUMBER(Risultati!AA240/100),(Risultati!AA240/100)))</f>
        <v>0</v>
      </c>
      <c r="BO241" s="16" t="str">
        <f t="shared" si="183"/>
        <v>0</v>
      </c>
      <c r="BP241" s="16" t="str">
        <f>IF(Risultati!AB240&gt;0,(AV241/Risultati!AB240),"0")</f>
        <v>0</v>
      </c>
      <c r="BQ241" s="16" t="str">
        <f>IF(Risultati!AG240&lt;&gt;0,(BH241/Risultati!AG240),"0")</f>
        <v>0</v>
      </c>
      <c r="BR241" s="16" t="str">
        <f t="shared" si="184"/>
        <v>0</v>
      </c>
      <c r="BS241" s="14" t="str">
        <f>IF(Risultati!AB240&gt;0,(Risultati!G240/Risultati!AB240),"0")</f>
        <v>0</v>
      </c>
      <c r="BT241" s="15" t="str">
        <f>IF(Risultati!AG240&lt;&gt;0,(Risultati!AB240/Risultati!AG240),"0")</f>
        <v>0</v>
      </c>
      <c r="BU241" s="23" t="str">
        <f>IF(AND(Risultati!G240&gt;0,(Risultati!AE240-Risultati!AF240)&gt;=0),((Risultati!AE240-Risultati!AF240)/Risultati!G240*360),"0")</f>
        <v>0</v>
      </c>
      <c r="BV241" s="21" t="str">
        <f>IF(OR(E241="abbreviato",Risultati!G240=0),"0",((Risultati!AC240+Risultati!AD240)/Risultati!G240*360))</f>
        <v>0</v>
      </c>
      <c r="BW241" s="21" t="str">
        <f>IF(OR(E241="abbreviato",Risultati!G240=0,SUM(Risultati!I240+Risultati!K240+Risultati!M240)=0),"0",(((Risultati!AH240+Risultati!AI240)/(Risultati!I240+Risultati!K240+Risultati!N240)*360)))</f>
        <v>0</v>
      </c>
      <c r="BX241" s="16" t="str">
        <f>IF(Risultati!AB240&gt;0,(+Risultati!AG240/Risultati!AB240),"0")</f>
        <v>0</v>
      </c>
      <c r="BY241" s="22" t="str">
        <f>IF(OR(E241="abbreviato",Risultati!G240=0),"0",(((Risultati!AK240-(Risultati!AL240+Risultati!AM240))/Risultati!G240)))</f>
        <v>0</v>
      </c>
      <c r="BZ241" s="16" t="str">
        <f>IF(Risultati!G240&gt;0,(Risultati!AJ240/Risultati!G240),"0")</f>
        <v>0</v>
      </c>
      <c r="CA241" s="8"/>
      <c r="CB241" s="10">
        <f>+Risultati!AP240</f>
        <v>0</v>
      </c>
      <c r="CC241" s="31" t="str">
        <f t="shared" si="210"/>
        <v>0</v>
      </c>
      <c r="CD241" s="10">
        <f>+Risultati!AQ240</f>
        <v>0</v>
      </c>
      <c r="CE241" s="31" t="str">
        <f t="shared" si="211"/>
        <v>0</v>
      </c>
      <c r="CF241" s="10">
        <f>+Risultati!AR240</f>
        <v>0</v>
      </c>
      <c r="CG241" s="31" t="str">
        <f t="shared" si="212"/>
        <v>0</v>
      </c>
      <c r="CH241" s="10">
        <f>+Risultati!AS240</f>
        <v>0</v>
      </c>
      <c r="CI241" s="31" t="str">
        <f t="shared" si="213"/>
        <v>0</v>
      </c>
      <c r="CJ241" s="10">
        <f t="shared" si="214"/>
        <v>0</v>
      </c>
      <c r="CK241" s="31" t="str">
        <f t="shared" si="215"/>
        <v>0</v>
      </c>
      <c r="CL241" s="10">
        <f>+Risultati!AE240+Risultati!AF240</f>
        <v>0</v>
      </c>
      <c r="CM241" s="31" t="str">
        <f t="shared" si="216"/>
        <v>0</v>
      </c>
      <c r="CN241" s="10">
        <f>+Risultati!AT240</f>
        <v>0</v>
      </c>
      <c r="CO241" s="31" t="str">
        <f t="shared" si="217"/>
        <v>0</v>
      </c>
      <c r="CP241" s="10">
        <f>+Risultati!AU240</f>
        <v>0</v>
      </c>
      <c r="CQ241" s="31" t="str">
        <f t="shared" si="218"/>
        <v>0</v>
      </c>
      <c r="CR241" s="10">
        <f>+Risultati!AL240</f>
        <v>0</v>
      </c>
      <c r="CS241" s="31" t="str">
        <f t="shared" si="219"/>
        <v>0</v>
      </c>
      <c r="CT241" s="10">
        <f t="shared" si="220"/>
        <v>0</v>
      </c>
      <c r="CU241" s="31" t="str">
        <f t="shared" si="221"/>
        <v>0</v>
      </c>
      <c r="CV241" s="10">
        <f>+Risultati!AX240</f>
        <v>0</v>
      </c>
      <c r="CW241" s="31" t="str">
        <f t="shared" si="222"/>
        <v>0</v>
      </c>
      <c r="CX241" s="10">
        <f t="shared" si="223"/>
        <v>0</v>
      </c>
      <c r="CY241" s="31" t="str">
        <f t="shared" si="224"/>
        <v>0</v>
      </c>
      <c r="CZ241" s="10">
        <f>+Risultati!AG240</f>
        <v>0</v>
      </c>
      <c r="DA241" s="31" t="str">
        <f t="shared" si="225"/>
        <v>0</v>
      </c>
      <c r="DB241" s="10">
        <f t="shared" si="226"/>
        <v>0</v>
      </c>
      <c r="DC241" s="31" t="str">
        <f t="shared" si="227"/>
        <v>0</v>
      </c>
      <c r="DD241" s="10">
        <f>+Risultati!AV240</f>
        <v>0</v>
      </c>
      <c r="DE241" s="31" t="str">
        <f t="shared" si="228"/>
        <v>0</v>
      </c>
      <c r="DF241" s="10">
        <f>+Risultati!AJ240</f>
        <v>0</v>
      </c>
      <c r="DG241" s="31" t="str">
        <f t="shared" si="229"/>
        <v>0</v>
      </c>
      <c r="DH241" s="10">
        <f t="shared" si="230"/>
        <v>0</v>
      </c>
      <c r="DI241" s="31" t="str">
        <f t="shared" si="231"/>
        <v>0</v>
      </c>
      <c r="DJ241" s="10">
        <f>+Risultati!AW240</f>
        <v>0</v>
      </c>
      <c r="DK241" s="31" t="str">
        <f t="shared" si="232"/>
        <v>0</v>
      </c>
      <c r="DL241" s="10">
        <f t="shared" si="203"/>
        <v>0</v>
      </c>
      <c r="DM241" s="31" t="str">
        <f t="shared" si="233"/>
        <v>0</v>
      </c>
      <c r="DO241" s="30"/>
      <c r="DP241" s="30"/>
    </row>
    <row r="242" spans="1:120" x14ac:dyDescent="0.2">
      <c r="A242" s="5"/>
      <c r="B242" s="6">
        <f>+Risultati!B241</f>
        <v>0</v>
      </c>
      <c r="C242" s="6">
        <f>+Risultati!C241</f>
        <v>0</v>
      </c>
      <c r="D242" s="26" t="str">
        <f>IF(YEAR(Risultati!D241)=1900,(MID(Risultati!$AP$1,29,4)),YEAR(Risultati!D241))</f>
        <v/>
      </c>
      <c r="E242" s="6">
        <f>+Risultati!E241</f>
        <v>0</v>
      </c>
      <c r="F242" s="8" t="e">
        <f>(LEFT(Risultati!AN241,2)&amp;"-")&amp;VLOOKUP((LEFT(Risultati!AN241,2)),ateco!$B$4:$C$93,2,FALSE)</f>
        <v>#N/A</v>
      </c>
      <c r="G242" s="8" t="str">
        <f>SUBSTITUTE((Risultati!AN241&amp;"-"&amp;Risultati!AO241),",",";")</f>
        <v>-</v>
      </c>
      <c r="I242" s="10">
        <f>+Risultati!G241</f>
        <v>0</v>
      </c>
      <c r="J242" s="11" t="str">
        <f t="shared" si="185"/>
        <v>0</v>
      </c>
      <c r="K242" s="12"/>
      <c r="L242" s="10">
        <f>+Risultati!G241+Risultati!H241</f>
        <v>0</v>
      </c>
      <c r="M242" s="11" t="str">
        <f t="shared" si="186"/>
        <v>0</v>
      </c>
      <c r="N242" s="12"/>
      <c r="O242" s="10">
        <f>+Risultati!I241+Risultati!J241</f>
        <v>0</v>
      </c>
      <c r="P242" s="11" t="str">
        <f t="shared" si="187"/>
        <v>0</v>
      </c>
      <c r="Q242" s="12"/>
      <c r="R242" s="13">
        <f t="shared" si="204"/>
        <v>0</v>
      </c>
      <c r="S242" s="11" t="str">
        <f t="shared" si="188"/>
        <v>0</v>
      </c>
      <c r="T242" s="12"/>
      <c r="U242" s="10">
        <f>+Risultati!F241-(Risultati!G241+Risultati!H241)</f>
        <v>0</v>
      </c>
      <c r="V242" s="12" t="str">
        <f t="shared" si="189"/>
        <v>0</v>
      </c>
      <c r="W242" s="12"/>
      <c r="X242" s="10">
        <f t="shared" si="205"/>
        <v>0</v>
      </c>
      <c r="Y242" s="12" t="str">
        <f t="shared" si="190"/>
        <v>0</v>
      </c>
      <c r="Z242" s="12"/>
      <c r="AA242" s="10">
        <f>+Risultati!K241</f>
        <v>0</v>
      </c>
      <c r="AB242" s="12" t="str">
        <f t="shared" si="191"/>
        <v>0</v>
      </c>
      <c r="AC242" s="12"/>
      <c r="AD242" s="10">
        <f>+Risultati!L241</f>
        <v>0</v>
      </c>
      <c r="AE242" s="12" t="str">
        <f t="shared" si="192"/>
        <v>0</v>
      </c>
      <c r="AF242" s="12"/>
      <c r="AG242" s="10">
        <f>+Risultati!M241+Risultati!P241+Risultati!Q241</f>
        <v>0</v>
      </c>
      <c r="AH242" s="12" t="str">
        <f t="shared" si="193"/>
        <v>0</v>
      </c>
      <c r="AI242" s="12"/>
      <c r="AJ242" s="13">
        <f t="shared" si="206"/>
        <v>0</v>
      </c>
      <c r="AK242" s="11" t="str">
        <f t="shared" si="194"/>
        <v>0</v>
      </c>
      <c r="AL242" s="12"/>
      <c r="AM242" s="10">
        <f>+Risultati!N241</f>
        <v>0</v>
      </c>
      <c r="AN242" s="12" t="str">
        <f t="shared" si="195"/>
        <v>0</v>
      </c>
      <c r="AO242" s="12"/>
      <c r="AP242" s="10">
        <f t="shared" si="207"/>
        <v>0</v>
      </c>
      <c r="AQ242" s="41" t="str">
        <f t="shared" si="196"/>
        <v>0</v>
      </c>
      <c r="AR242" s="12"/>
      <c r="AS242" s="10">
        <f>+Risultati!O241</f>
        <v>0</v>
      </c>
      <c r="AT242" s="12" t="str">
        <f t="shared" si="197"/>
        <v>0</v>
      </c>
      <c r="AU242" s="12"/>
      <c r="AV242" s="10">
        <f t="shared" si="208"/>
        <v>0</v>
      </c>
      <c r="AW242" s="12" t="str">
        <f t="shared" si="198"/>
        <v>0</v>
      </c>
      <c r="AX242" s="12"/>
      <c r="AY242" s="10">
        <f>+Risultati!R241+Risultati!S241</f>
        <v>0</v>
      </c>
      <c r="AZ242" s="12" t="str">
        <f t="shared" si="199"/>
        <v>0</v>
      </c>
      <c r="BA242" s="12"/>
      <c r="BB242" s="10">
        <f>+Risultati!T241</f>
        <v>0</v>
      </c>
      <c r="BC242" s="12" t="str">
        <f t="shared" si="200"/>
        <v>0</v>
      </c>
      <c r="BD242" s="12"/>
      <c r="BE242" s="10">
        <f>+Risultati!U241</f>
        <v>0</v>
      </c>
      <c r="BF242" s="12" t="str">
        <f t="shared" si="201"/>
        <v>0</v>
      </c>
      <c r="BG242" s="12"/>
      <c r="BH242" s="10">
        <f t="shared" si="209"/>
        <v>0</v>
      </c>
      <c r="BI242" s="12" t="str">
        <f t="shared" si="202"/>
        <v>0</v>
      </c>
      <c r="BK242" s="16">
        <f>IF(ISNUMBER(Risultati!X241/100),(Risultati!X241/100))</f>
        <v>0</v>
      </c>
      <c r="BL242" s="16">
        <f>IF(ISNUMBER(Risultati!Y241/100),(Risultati!Y241/100))</f>
        <v>0</v>
      </c>
      <c r="BM242" s="16">
        <f>IF(ISNUMBER(Risultati!Z241/100),(Risultati!Z241/100))</f>
        <v>0</v>
      </c>
      <c r="BN242" s="16">
        <f>IF(AND(Risultati!AY241&lt;0,calcoli!AP242&lt;0),-IF(ISNUMBER(Risultati!AA241/100),(Risultati!AA241/100)),IF(ISNUMBER(Risultati!AA241/100),(Risultati!AA241/100)))</f>
        <v>0</v>
      </c>
      <c r="BO242" s="16" t="str">
        <f t="shared" si="183"/>
        <v>0</v>
      </c>
      <c r="BP242" s="16" t="str">
        <f>IF(Risultati!AB241&gt;0,(AV242/Risultati!AB241),"0")</f>
        <v>0</v>
      </c>
      <c r="BQ242" s="16" t="str">
        <f>IF(Risultati!AG241&lt;&gt;0,(BH242/Risultati!AG241),"0")</f>
        <v>0</v>
      </c>
      <c r="BR242" s="16" t="str">
        <f t="shared" si="184"/>
        <v>0</v>
      </c>
      <c r="BS242" s="14" t="str">
        <f>IF(Risultati!AB241&gt;0,(Risultati!G241/Risultati!AB241),"0")</f>
        <v>0</v>
      </c>
      <c r="BT242" s="15" t="str">
        <f>IF(Risultati!AG241&lt;&gt;0,(Risultati!AB241/Risultati!AG241),"0")</f>
        <v>0</v>
      </c>
      <c r="BU242" s="23" t="str">
        <f>IF(AND(Risultati!G241&gt;0,(Risultati!AE241-Risultati!AF241)&gt;=0),((Risultati!AE241-Risultati!AF241)/Risultati!G241*360),"0")</f>
        <v>0</v>
      </c>
      <c r="BV242" s="21" t="str">
        <f>IF(OR(E242="abbreviato",Risultati!G241=0),"0",((Risultati!AC241+Risultati!AD241)/Risultati!G241*360))</f>
        <v>0</v>
      </c>
      <c r="BW242" s="21" t="str">
        <f>IF(OR(E242="abbreviato",Risultati!G241=0,SUM(Risultati!I241+Risultati!K241+Risultati!M241)=0),"0",(((Risultati!AH241+Risultati!AI241)/(Risultati!I241+Risultati!K241+Risultati!N241)*360)))</f>
        <v>0</v>
      </c>
      <c r="BX242" s="16" t="str">
        <f>IF(Risultati!AB241&gt;0,(+Risultati!AG241/Risultati!AB241),"0")</f>
        <v>0</v>
      </c>
      <c r="BY242" s="22" t="str">
        <f>IF(OR(E242="abbreviato",Risultati!G241=0),"0",(((Risultati!AK241-(Risultati!AL241+Risultati!AM241))/Risultati!G241)))</f>
        <v>0</v>
      </c>
      <c r="BZ242" s="16" t="str">
        <f>IF(Risultati!G241&gt;0,(Risultati!AJ241/Risultati!G241),"0")</f>
        <v>0</v>
      </c>
      <c r="CA242" s="8"/>
      <c r="CB242" s="10">
        <f>+Risultati!AP241</f>
        <v>0</v>
      </c>
      <c r="CC242" s="31" t="str">
        <f t="shared" si="210"/>
        <v>0</v>
      </c>
      <c r="CD242" s="10">
        <f>+Risultati!AQ241</f>
        <v>0</v>
      </c>
      <c r="CE242" s="31" t="str">
        <f t="shared" si="211"/>
        <v>0</v>
      </c>
      <c r="CF242" s="10">
        <f>+Risultati!AR241</f>
        <v>0</v>
      </c>
      <c r="CG242" s="31" t="str">
        <f t="shared" si="212"/>
        <v>0</v>
      </c>
      <c r="CH242" s="10">
        <f>+Risultati!AS241</f>
        <v>0</v>
      </c>
      <c r="CI242" s="31" t="str">
        <f t="shared" si="213"/>
        <v>0</v>
      </c>
      <c r="CJ242" s="10">
        <f t="shared" si="214"/>
        <v>0</v>
      </c>
      <c r="CK242" s="31" t="str">
        <f t="shared" si="215"/>
        <v>0</v>
      </c>
      <c r="CL242" s="10">
        <f>+Risultati!AE241+Risultati!AF241</f>
        <v>0</v>
      </c>
      <c r="CM242" s="31" t="str">
        <f t="shared" si="216"/>
        <v>0</v>
      </c>
      <c r="CN242" s="10">
        <f>+Risultati!AT241</f>
        <v>0</v>
      </c>
      <c r="CO242" s="31" t="str">
        <f t="shared" si="217"/>
        <v>0</v>
      </c>
      <c r="CP242" s="10">
        <f>+Risultati!AU241</f>
        <v>0</v>
      </c>
      <c r="CQ242" s="31" t="str">
        <f t="shared" si="218"/>
        <v>0</v>
      </c>
      <c r="CR242" s="10">
        <f>+Risultati!AL241</f>
        <v>0</v>
      </c>
      <c r="CS242" s="31" t="str">
        <f t="shared" si="219"/>
        <v>0</v>
      </c>
      <c r="CT242" s="10">
        <f t="shared" si="220"/>
        <v>0</v>
      </c>
      <c r="CU242" s="31" t="str">
        <f t="shared" si="221"/>
        <v>0</v>
      </c>
      <c r="CV242" s="10">
        <f>+Risultati!AX241</f>
        <v>0</v>
      </c>
      <c r="CW242" s="31" t="str">
        <f t="shared" si="222"/>
        <v>0</v>
      </c>
      <c r="CX242" s="10">
        <f t="shared" si="223"/>
        <v>0</v>
      </c>
      <c r="CY242" s="31" t="str">
        <f t="shared" si="224"/>
        <v>0</v>
      </c>
      <c r="CZ242" s="10">
        <f>+Risultati!AG241</f>
        <v>0</v>
      </c>
      <c r="DA242" s="31" t="str">
        <f t="shared" si="225"/>
        <v>0</v>
      </c>
      <c r="DB242" s="10">
        <f t="shared" si="226"/>
        <v>0</v>
      </c>
      <c r="DC242" s="31" t="str">
        <f t="shared" si="227"/>
        <v>0</v>
      </c>
      <c r="DD242" s="10">
        <f>+Risultati!AV241</f>
        <v>0</v>
      </c>
      <c r="DE242" s="31" t="str">
        <f t="shared" si="228"/>
        <v>0</v>
      </c>
      <c r="DF242" s="10">
        <f>+Risultati!AJ241</f>
        <v>0</v>
      </c>
      <c r="DG242" s="31" t="str">
        <f t="shared" si="229"/>
        <v>0</v>
      </c>
      <c r="DH242" s="10">
        <f t="shared" si="230"/>
        <v>0</v>
      </c>
      <c r="DI242" s="31" t="str">
        <f t="shared" si="231"/>
        <v>0</v>
      </c>
      <c r="DJ242" s="10">
        <f>+Risultati!AW241</f>
        <v>0</v>
      </c>
      <c r="DK242" s="31" t="str">
        <f t="shared" si="232"/>
        <v>0</v>
      </c>
      <c r="DL242" s="10">
        <f t="shared" si="203"/>
        <v>0</v>
      </c>
      <c r="DM242" s="31" t="str">
        <f t="shared" si="233"/>
        <v>0</v>
      </c>
      <c r="DO242" s="30"/>
      <c r="DP242" s="30"/>
    </row>
    <row r="243" spans="1:120" x14ac:dyDescent="0.2">
      <c r="A243" s="5"/>
      <c r="B243" s="6">
        <f>+Risultati!B242</f>
        <v>0</v>
      </c>
      <c r="C243" s="6">
        <f>+Risultati!C242</f>
        <v>0</v>
      </c>
      <c r="D243" s="26" t="str">
        <f>IF(YEAR(Risultati!D242)=1900,(MID(Risultati!$AP$1,29,4)),YEAR(Risultati!D242))</f>
        <v/>
      </c>
      <c r="E243" s="6">
        <f>+Risultati!E242</f>
        <v>0</v>
      </c>
      <c r="F243" s="8" t="e">
        <f>(LEFT(Risultati!AN242,2)&amp;"-")&amp;VLOOKUP((LEFT(Risultati!AN242,2)),ateco!$B$4:$C$93,2,FALSE)</f>
        <v>#N/A</v>
      </c>
      <c r="G243" s="8" t="str">
        <f>SUBSTITUTE((Risultati!AN242&amp;"-"&amp;Risultati!AO242),",",";")</f>
        <v>-</v>
      </c>
      <c r="I243" s="10">
        <f>+Risultati!G242</f>
        <v>0</v>
      </c>
      <c r="J243" s="11" t="str">
        <f t="shared" si="185"/>
        <v>0</v>
      </c>
      <c r="K243" s="12"/>
      <c r="L243" s="10">
        <f>+Risultati!G242+Risultati!H242</f>
        <v>0</v>
      </c>
      <c r="M243" s="11" t="str">
        <f t="shared" si="186"/>
        <v>0</v>
      </c>
      <c r="N243" s="12"/>
      <c r="O243" s="10">
        <f>+Risultati!I242+Risultati!J242</f>
        <v>0</v>
      </c>
      <c r="P243" s="11" t="str">
        <f t="shared" si="187"/>
        <v>0</v>
      </c>
      <c r="Q243" s="12"/>
      <c r="R243" s="13">
        <f t="shared" si="204"/>
        <v>0</v>
      </c>
      <c r="S243" s="11" t="str">
        <f t="shared" si="188"/>
        <v>0</v>
      </c>
      <c r="T243" s="12"/>
      <c r="U243" s="10">
        <f>+Risultati!F242-(Risultati!G242+Risultati!H242)</f>
        <v>0</v>
      </c>
      <c r="V243" s="12" t="str">
        <f t="shared" si="189"/>
        <v>0</v>
      </c>
      <c r="W243" s="12"/>
      <c r="X243" s="10">
        <f t="shared" si="205"/>
        <v>0</v>
      </c>
      <c r="Y243" s="12" t="str">
        <f t="shared" si="190"/>
        <v>0</v>
      </c>
      <c r="Z243" s="12"/>
      <c r="AA243" s="10">
        <f>+Risultati!K242</f>
        <v>0</v>
      </c>
      <c r="AB243" s="12" t="str">
        <f t="shared" si="191"/>
        <v>0</v>
      </c>
      <c r="AC243" s="12"/>
      <c r="AD243" s="10">
        <f>+Risultati!L242</f>
        <v>0</v>
      </c>
      <c r="AE243" s="12" t="str">
        <f t="shared" si="192"/>
        <v>0</v>
      </c>
      <c r="AF243" s="12"/>
      <c r="AG243" s="10">
        <f>+Risultati!M242+Risultati!P242+Risultati!Q242</f>
        <v>0</v>
      </c>
      <c r="AH243" s="12" t="str">
        <f t="shared" si="193"/>
        <v>0</v>
      </c>
      <c r="AI243" s="12"/>
      <c r="AJ243" s="13">
        <f t="shared" si="206"/>
        <v>0</v>
      </c>
      <c r="AK243" s="11" t="str">
        <f t="shared" si="194"/>
        <v>0</v>
      </c>
      <c r="AL243" s="12"/>
      <c r="AM243" s="10">
        <f>+Risultati!N242</f>
        <v>0</v>
      </c>
      <c r="AN243" s="12" t="str">
        <f t="shared" si="195"/>
        <v>0</v>
      </c>
      <c r="AO243" s="12"/>
      <c r="AP243" s="10">
        <f t="shared" si="207"/>
        <v>0</v>
      </c>
      <c r="AQ243" s="41" t="str">
        <f t="shared" si="196"/>
        <v>0</v>
      </c>
      <c r="AR243" s="12"/>
      <c r="AS243" s="10">
        <f>+Risultati!O242</f>
        <v>0</v>
      </c>
      <c r="AT243" s="12" t="str">
        <f t="shared" si="197"/>
        <v>0</v>
      </c>
      <c r="AU243" s="12"/>
      <c r="AV243" s="10">
        <f t="shared" si="208"/>
        <v>0</v>
      </c>
      <c r="AW243" s="12" t="str">
        <f t="shared" si="198"/>
        <v>0</v>
      </c>
      <c r="AX243" s="12"/>
      <c r="AY243" s="10">
        <f>+Risultati!R242+Risultati!S242</f>
        <v>0</v>
      </c>
      <c r="AZ243" s="12" t="str">
        <f t="shared" si="199"/>
        <v>0</v>
      </c>
      <c r="BA243" s="12"/>
      <c r="BB243" s="10">
        <f>+Risultati!T242</f>
        <v>0</v>
      </c>
      <c r="BC243" s="12" t="str">
        <f t="shared" si="200"/>
        <v>0</v>
      </c>
      <c r="BD243" s="12"/>
      <c r="BE243" s="10">
        <f>+Risultati!U242</f>
        <v>0</v>
      </c>
      <c r="BF243" s="12" t="str">
        <f t="shared" si="201"/>
        <v>0</v>
      </c>
      <c r="BG243" s="12"/>
      <c r="BH243" s="10">
        <f t="shared" si="209"/>
        <v>0</v>
      </c>
      <c r="BI243" s="12" t="str">
        <f t="shared" si="202"/>
        <v>0</v>
      </c>
      <c r="BK243" s="16">
        <f>IF(ISNUMBER(Risultati!X242/100),(Risultati!X242/100))</f>
        <v>0</v>
      </c>
      <c r="BL243" s="16">
        <f>IF(ISNUMBER(Risultati!Y242/100),(Risultati!Y242/100))</f>
        <v>0</v>
      </c>
      <c r="BM243" s="16">
        <f>IF(ISNUMBER(Risultati!Z242/100),(Risultati!Z242/100))</f>
        <v>0</v>
      </c>
      <c r="BN243" s="16">
        <f>IF(AND(Risultati!AY242&lt;0,calcoli!AP243&lt;0),-IF(ISNUMBER(Risultati!AA242/100),(Risultati!AA242/100)),IF(ISNUMBER(Risultati!AA242/100),(Risultati!AA242/100)))</f>
        <v>0</v>
      </c>
      <c r="BO243" s="16" t="str">
        <f t="shared" si="183"/>
        <v>0</v>
      </c>
      <c r="BP243" s="16" t="str">
        <f>IF(Risultati!AB242&gt;0,(AV243/Risultati!AB242),"0")</f>
        <v>0</v>
      </c>
      <c r="BQ243" s="16" t="str">
        <f>IF(Risultati!AG242&lt;&gt;0,(BH243/Risultati!AG242),"0")</f>
        <v>0</v>
      </c>
      <c r="BR243" s="16" t="str">
        <f t="shared" si="184"/>
        <v>0</v>
      </c>
      <c r="BS243" s="14" t="str">
        <f>IF(Risultati!AB242&gt;0,(Risultati!G242/Risultati!AB242),"0")</f>
        <v>0</v>
      </c>
      <c r="BT243" s="15" t="str">
        <f>IF(Risultati!AG242&lt;&gt;0,(Risultati!AB242/Risultati!AG242),"0")</f>
        <v>0</v>
      </c>
      <c r="BU243" s="23" t="str">
        <f>IF(AND(Risultati!G242&gt;0,(Risultati!AE242-Risultati!AF242)&gt;=0),((Risultati!AE242-Risultati!AF242)/Risultati!G242*360),"0")</f>
        <v>0</v>
      </c>
      <c r="BV243" s="21" t="str">
        <f>IF(OR(E243="abbreviato",Risultati!G242=0),"0",((Risultati!AC242+Risultati!AD242)/Risultati!G242*360))</f>
        <v>0</v>
      </c>
      <c r="BW243" s="21" t="str">
        <f>IF(OR(E243="abbreviato",Risultati!G242=0,SUM(Risultati!I242+Risultati!K242+Risultati!M242)=0),"0",(((Risultati!AH242+Risultati!AI242)/(Risultati!I242+Risultati!K242+Risultati!N242)*360)))</f>
        <v>0</v>
      </c>
      <c r="BX243" s="16" t="str">
        <f>IF(Risultati!AB242&gt;0,(+Risultati!AG242/Risultati!AB242),"0")</f>
        <v>0</v>
      </c>
      <c r="BY243" s="22" t="str">
        <f>IF(OR(E243="abbreviato",Risultati!G242=0),"0",(((Risultati!AK242-(Risultati!AL242+Risultati!AM242))/Risultati!G242)))</f>
        <v>0</v>
      </c>
      <c r="BZ243" s="16" t="str">
        <f>IF(Risultati!G242&gt;0,(Risultati!AJ242/Risultati!G242),"0")</f>
        <v>0</v>
      </c>
      <c r="CA243" s="8"/>
      <c r="CB243" s="10">
        <f>+Risultati!AP242</f>
        <v>0</v>
      </c>
      <c r="CC243" s="31" t="str">
        <f t="shared" si="210"/>
        <v>0</v>
      </c>
      <c r="CD243" s="10">
        <f>+Risultati!AQ242</f>
        <v>0</v>
      </c>
      <c r="CE243" s="31" t="str">
        <f t="shared" si="211"/>
        <v>0</v>
      </c>
      <c r="CF243" s="10">
        <f>+Risultati!AR242</f>
        <v>0</v>
      </c>
      <c r="CG243" s="31" t="str">
        <f t="shared" si="212"/>
        <v>0</v>
      </c>
      <c r="CH243" s="10">
        <f>+Risultati!AS242</f>
        <v>0</v>
      </c>
      <c r="CI243" s="31" t="str">
        <f t="shared" si="213"/>
        <v>0</v>
      </c>
      <c r="CJ243" s="10">
        <f t="shared" si="214"/>
        <v>0</v>
      </c>
      <c r="CK243" s="31" t="str">
        <f t="shared" si="215"/>
        <v>0</v>
      </c>
      <c r="CL243" s="10">
        <f>+Risultati!AE242+Risultati!AF242</f>
        <v>0</v>
      </c>
      <c r="CM243" s="31" t="str">
        <f t="shared" si="216"/>
        <v>0</v>
      </c>
      <c r="CN243" s="10">
        <f>+Risultati!AT242</f>
        <v>0</v>
      </c>
      <c r="CO243" s="31" t="str">
        <f t="shared" si="217"/>
        <v>0</v>
      </c>
      <c r="CP243" s="10">
        <f>+Risultati!AU242</f>
        <v>0</v>
      </c>
      <c r="CQ243" s="31" t="str">
        <f t="shared" si="218"/>
        <v>0</v>
      </c>
      <c r="CR243" s="10">
        <f>+Risultati!AL242</f>
        <v>0</v>
      </c>
      <c r="CS243" s="31" t="str">
        <f t="shared" si="219"/>
        <v>0</v>
      </c>
      <c r="CT243" s="10">
        <f t="shared" si="220"/>
        <v>0</v>
      </c>
      <c r="CU243" s="31" t="str">
        <f t="shared" si="221"/>
        <v>0</v>
      </c>
      <c r="CV243" s="10">
        <f>+Risultati!AX242</f>
        <v>0</v>
      </c>
      <c r="CW243" s="31" t="str">
        <f t="shared" si="222"/>
        <v>0</v>
      </c>
      <c r="CX243" s="10">
        <f t="shared" si="223"/>
        <v>0</v>
      </c>
      <c r="CY243" s="31" t="str">
        <f t="shared" si="224"/>
        <v>0</v>
      </c>
      <c r="CZ243" s="10">
        <f>+Risultati!AG242</f>
        <v>0</v>
      </c>
      <c r="DA243" s="31" t="str">
        <f t="shared" si="225"/>
        <v>0</v>
      </c>
      <c r="DB243" s="10">
        <f t="shared" si="226"/>
        <v>0</v>
      </c>
      <c r="DC243" s="31" t="str">
        <f t="shared" si="227"/>
        <v>0</v>
      </c>
      <c r="DD243" s="10">
        <f>+Risultati!AV242</f>
        <v>0</v>
      </c>
      <c r="DE243" s="31" t="str">
        <f t="shared" si="228"/>
        <v>0</v>
      </c>
      <c r="DF243" s="10">
        <f>+Risultati!AJ242</f>
        <v>0</v>
      </c>
      <c r="DG243" s="31" t="str">
        <f t="shared" si="229"/>
        <v>0</v>
      </c>
      <c r="DH243" s="10">
        <f t="shared" si="230"/>
        <v>0</v>
      </c>
      <c r="DI243" s="31" t="str">
        <f t="shared" si="231"/>
        <v>0</v>
      </c>
      <c r="DJ243" s="10">
        <f>+Risultati!AW242</f>
        <v>0</v>
      </c>
      <c r="DK243" s="31" t="str">
        <f t="shared" si="232"/>
        <v>0</v>
      </c>
      <c r="DL243" s="10">
        <f t="shared" si="203"/>
        <v>0</v>
      </c>
      <c r="DM243" s="31" t="str">
        <f t="shared" si="233"/>
        <v>0</v>
      </c>
      <c r="DO243" s="30"/>
      <c r="DP243" s="30"/>
    </row>
    <row r="244" spans="1:120" x14ac:dyDescent="0.2">
      <c r="A244" s="5"/>
      <c r="B244" s="6">
        <f>+Risultati!B243</f>
        <v>0</v>
      </c>
      <c r="C244" s="6">
        <f>+Risultati!C243</f>
        <v>0</v>
      </c>
      <c r="D244" s="26" t="str">
        <f>IF(YEAR(Risultati!D243)=1900,(MID(Risultati!$AP$1,29,4)),YEAR(Risultati!D243))</f>
        <v/>
      </c>
      <c r="E244" s="6">
        <f>+Risultati!E243</f>
        <v>0</v>
      </c>
      <c r="F244" s="8" t="e">
        <f>(LEFT(Risultati!AN243,2)&amp;"-")&amp;VLOOKUP((LEFT(Risultati!AN243,2)),ateco!$B$4:$C$93,2,FALSE)</f>
        <v>#N/A</v>
      </c>
      <c r="G244" s="8" t="str">
        <f>SUBSTITUTE((Risultati!AN243&amp;"-"&amp;Risultati!AO243),",",";")</f>
        <v>-</v>
      </c>
      <c r="I244" s="10">
        <f>+Risultati!G243</f>
        <v>0</v>
      </c>
      <c r="J244" s="11" t="str">
        <f t="shared" si="185"/>
        <v>0</v>
      </c>
      <c r="K244" s="12"/>
      <c r="L244" s="10">
        <f>+Risultati!G243+Risultati!H243</f>
        <v>0</v>
      </c>
      <c r="M244" s="11" t="str">
        <f t="shared" si="186"/>
        <v>0</v>
      </c>
      <c r="N244" s="12"/>
      <c r="O244" s="10">
        <f>+Risultati!I243+Risultati!J243</f>
        <v>0</v>
      </c>
      <c r="P244" s="11" t="str">
        <f t="shared" si="187"/>
        <v>0</v>
      </c>
      <c r="Q244" s="12"/>
      <c r="R244" s="13">
        <f t="shared" si="204"/>
        <v>0</v>
      </c>
      <c r="S244" s="11" t="str">
        <f t="shared" si="188"/>
        <v>0</v>
      </c>
      <c r="T244" s="12"/>
      <c r="U244" s="10">
        <f>+Risultati!F243-(Risultati!G243+Risultati!H243)</f>
        <v>0</v>
      </c>
      <c r="V244" s="12" t="str">
        <f t="shared" si="189"/>
        <v>0</v>
      </c>
      <c r="W244" s="12"/>
      <c r="X244" s="10">
        <f t="shared" si="205"/>
        <v>0</v>
      </c>
      <c r="Y244" s="12" t="str">
        <f t="shared" si="190"/>
        <v>0</v>
      </c>
      <c r="Z244" s="12"/>
      <c r="AA244" s="10">
        <f>+Risultati!K243</f>
        <v>0</v>
      </c>
      <c r="AB244" s="12" t="str">
        <f t="shared" si="191"/>
        <v>0</v>
      </c>
      <c r="AC244" s="12"/>
      <c r="AD244" s="10">
        <f>+Risultati!L243</f>
        <v>0</v>
      </c>
      <c r="AE244" s="12" t="str">
        <f t="shared" si="192"/>
        <v>0</v>
      </c>
      <c r="AF244" s="12"/>
      <c r="AG244" s="10">
        <f>+Risultati!M243+Risultati!P243+Risultati!Q243</f>
        <v>0</v>
      </c>
      <c r="AH244" s="12" t="str">
        <f t="shared" si="193"/>
        <v>0</v>
      </c>
      <c r="AI244" s="12"/>
      <c r="AJ244" s="13">
        <f t="shared" si="206"/>
        <v>0</v>
      </c>
      <c r="AK244" s="11" t="str">
        <f t="shared" si="194"/>
        <v>0</v>
      </c>
      <c r="AL244" s="12"/>
      <c r="AM244" s="10">
        <f>+Risultati!N243</f>
        <v>0</v>
      </c>
      <c r="AN244" s="12" t="str">
        <f t="shared" si="195"/>
        <v>0</v>
      </c>
      <c r="AO244" s="12"/>
      <c r="AP244" s="10">
        <f t="shared" si="207"/>
        <v>0</v>
      </c>
      <c r="AQ244" s="41" t="str">
        <f t="shared" si="196"/>
        <v>0</v>
      </c>
      <c r="AR244" s="12"/>
      <c r="AS244" s="10">
        <f>+Risultati!O243</f>
        <v>0</v>
      </c>
      <c r="AT244" s="12" t="str">
        <f t="shared" si="197"/>
        <v>0</v>
      </c>
      <c r="AU244" s="12"/>
      <c r="AV244" s="10">
        <f t="shared" si="208"/>
        <v>0</v>
      </c>
      <c r="AW244" s="12" t="str">
        <f t="shared" si="198"/>
        <v>0</v>
      </c>
      <c r="AX244" s="12"/>
      <c r="AY244" s="10">
        <f>+Risultati!R243+Risultati!S243</f>
        <v>0</v>
      </c>
      <c r="AZ244" s="12" t="str">
        <f t="shared" si="199"/>
        <v>0</v>
      </c>
      <c r="BA244" s="12"/>
      <c r="BB244" s="10">
        <f>+Risultati!T243</f>
        <v>0</v>
      </c>
      <c r="BC244" s="12" t="str">
        <f t="shared" si="200"/>
        <v>0</v>
      </c>
      <c r="BD244" s="12"/>
      <c r="BE244" s="10">
        <f>+Risultati!U243</f>
        <v>0</v>
      </c>
      <c r="BF244" s="12" t="str">
        <f t="shared" si="201"/>
        <v>0</v>
      </c>
      <c r="BG244" s="12"/>
      <c r="BH244" s="10">
        <f t="shared" si="209"/>
        <v>0</v>
      </c>
      <c r="BI244" s="12" t="str">
        <f t="shared" si="202"/>
        <v>0</v>
      </c>
      <c r="BK244" s="16">
        <f>IF(ISNUMBER(Risultati!X243/100),(Risultati!X243/100))</f>
        <v>0</v>
      </c>
      <c r="BL244" s="16">
        <f>IF(ISNUMBER(Risultati!Y243/100),(Risultati!Y243/100))</f>
        <v>0</v>
      </c>
      <c r="BM244" s="16">
        <f>IF(ISNUMBER(Risultati!Z243/100),(Risultati!Z243/100))</f>
        <v>0</v>
      </c>
      <c r="BN244" s="16">
        <f>IF(AND(Risultati!AY243&lt;0,calcoli!AP244&lt;0),-IF(ISNUMBER(Risultati!AA243/100),(Risultati!AA243/100)),IF(ISNUMBER(Risultati!AA243/100),(Risultati!AA243/100)))</f>
        <v>0</v>
      </c>
      <c r="BO244" s="16" t="str">
        <f t="shared" si="183"/>
        <v>0</v>
      </c>
      <c r="BP244" s="16" t="str">
        <f>IF(Risultati!AB243&gt;0,(AV244/Risultati!AB243),"0")</f>
        <v>0</v>
      </c>
      <c r="BQ244" s="16" t="str">
        <f>IF(Risultati!AG243&lt;&gt;0,(BH244/Risultati!AG243),"0")</f>
        <v>0</v>
      </c>
      <c r="BR244" s="16" t="str">
        <f t="shared" si="184"/>
        <v>0</v>
      </c>
      <c r="BS244" s="14" t="str">
        <f>IF(Risultati!AB243&gt;0,(Risultati!G243/Risultati!AB243),"0")</f>
        <v>0</v>
      </c>
      <c r="BT244" s="15" t="str">
        <f>IF(Risultati!AG243&lt;&gt;0,(Risultati!AB243/Risultati!AG243),"0")</f>
        <v>0</v>
      </c>
      <c r="BU244" s="23" t="str">
        <f>IF(AND(Risultati!G243&gt;0,(Risultati!AE243-Risultati!AF243)&gt;=0),((Risultati!AE243-Risultati!AF243)/Risultati!G243*360),"0")</f>
        <v>0</v>
      </c>
      <c r="BV244" s="21" t="str">
        <f>IF(OR(E244="abbreviato",Risultati!G243=0),"0",((Risultati!AC243+Risultati!AD243)/Risultati!G243*360))</f>
        <v>0</v>
      </c>
      <c r="BW244" s="21" t="str">
        <f>IF(OR(E244="abbreviato",Risultati!G243=0,SUM(Risultati!I243+Risultati!K243+Risultati!M243)=0),"0",(((Risultati!AH243+Risultati!AI243)/(Risultati!I243+Risultati!K243+Risultati!N243)*360)))</f>
        <v>0</v>
      </c>
      <c r="BX244" s="16" t="str">
        <f>IF(Risultati!AB243&gt;0,(+Risultati!AG243/Risultati!AB243),"0")</f>
        <v>0</v>
      </c>
      <c r="BY244" s="22" t="str">
        <f>IF(OR(E244="abbreviato",Risultati!G243=0),"0",(((Risultati!AK243-(Risultati!AL243+Risultati!AM243))/Risultati!G243)))</f>
        <v>0</v>
      </c>
      <c r="BZ244" s="16" t="str">
        <f>IF(Risultati!G243&gt;0,(Risultati!AJ243/Risultati!G243),"0")</f>
        <v>0</v>
      </c>
      <c r="CA244" s="8"/>
      <c r="CB244" s="10">
        <f>+Risultati!AP243</f>
        <v>0</v>
      </c>
      <c r="CC244" s="31" t="str">
        <f t="shared" si="210"/>
        <v>0</v>
      </c>
      <c r="CD244" s="10">
        <f>+Risultati!AQ243</f>
        <v>0</v>
      </c>
      <c r="CE244" s="31" t="str">
        <f t="shared" si="211"/>
        <v>0</v>
      </c>
      <c r="CF244" s="10">
        <f>+Risultati!AR243</f>
        <v>0</v>
      </c>
      <c r="CG244" s="31" t="str">
        <f t="shared" si="212"/>
        <v>0</v>
      </c>
      <c r="CH244" s="10">
        <f>+Risultati!AS243</f>
        <v>0</v>
      </c>
      <c r="CI244" s="31" t="str">
        <f t="shared" si="213"/>
        <v>0</v>
      </c>
      <c r="CJ244" s="10">
        <f t="shared" si="214"/>
        <v>0</v>
      </c>
      <c r="CK244" s="31" t="str">
        <f t="shared" si="215"/>
        <v>0</v>
      </c>
      <c r="CL244" s="10">
        <f>+Risultati!AE243+Risultati!AF243</f>
        <v>0</v>
      </c>
      <c r="CM244" s="31" t="str">
        <f t="shared" si="216"/>
        <v>0</v>
      </c>
      <c r="CN244" s="10">
        <f>+Risultati!AT243</f>
        <v>0</v>
      </c>
      <c r="CO244" s="31" t="str">
        <f t="shared" si="217"/>
        <v>0</v>
      </c>
      <c r="CP244" s="10">
        <f>+Risultati!AU243</f>
        <v>0</v>
      </c>
      <c r="CQ244" s="31" t="str">
        <f t="shared" si="218"/>
        <v>0</v>
      </c>
      <c r="CR244" s="10">
        <f>+Risultati!AL243</f>
        <v>0</v>
      </c>
      <c r="CS244" s="31" t="str">
        <f t="shared" si="219"/>
        <v>0</v>
      </c>
      <c r="CT244" s="10">
        <f t="shared" si="220"/>
        <v>0</v>
      </c>
      <c r="CU244" s="31" t="str">
        <f t="shared" si="221"/>
        <v>0</v>
      </c>
      <c r="CV244" s="10">
        <f>+Risultati!AX243</f>
        <v>0</v>
      </c>
      <c r="CW244" s="31" t="str">
        <f t="shared" si="222"/>
        <v>0</v>
      </c>
      <c r="CX244" s="10">
        <f t="shared" si="223"/>
        <v>0</v>
      </c>
      <c r="CY244" s="31" t="str">
        <f t="shared" si="224"/>
        <v>0</v>
      </c>
      <c r="CZ244" s="10">
        <f>+Risultati!AG243</f>
        <v>0</v>
      </c>
      <c r="DA244" s="31" t="str">
        <f t="shared" si="225"/>
        <v>0</v>
      </c>
      <c r="DB244" s="10">
        <f t="shared" si="226"/>
        <v>0</v>
      </c>
      <c r="DC244" s="31" t="str">
        <f t="shared" si="227"/>
        <v>0</v>
      </c>
      <c r="DD244" s="10">
        <f>+Risultati!AV243</f>
        <v>0</v>
      </c>
      <c r="DE244" s="31" t="str">
        <f t="shared" si="228"/>
        <v>0</v>
      </c>
      <c r="DF244" s="10">
        <f>+Risultati!AJ243</f>
        <v>0</v>
      </c>
      <c r="DG244" s="31" t="str">
        <f t="shared" si="229"/>
        <v>0</v>
      </c>
      <c r="DH244" s="10">
        <f t="shared" si="230"/>
        <v>0</v>
      </c>
      <c r="DI244" s="31" t="str">
        <f t="shared" si="231"/>
        <v>0</v>
      </c>
      <c r="DJ244" s="10">
        <f>+Risultati!AW243</f>
        <v>0</v>
      </c>
      <c r="DK244" s="31" t="str">
        <f t="shared" si="232"/>
        <v>0</v>
      </c>
      <c r="DL244" s="10">
        <f t="shared" si="203"/>
        <v>0</v>
      </c>
      <c r="DM244" s="31" t="str">
        <f t="shared" si="233"/>
        <v>0</v>
      </c>
      <c r="DO244" s="30"/>
      <c r="DP244" s="30"/>
    </row>
    <row r="245" spans="1:120" x14ac:dyDescent="0.2">
      <c r="A245" s="5"/>
      <c r="B245" s="6">
        <f>+Risultati!B244</f>
        <v>0</v>
      </c>
      <c r="C245" s="6">
        <f>+Risultati!C244</f>
        <v>0</v>
      </c>
      <c r="D245" s="26" t="str">
        <f>IF(YEAR(Risultati!D244)=1900,(MID(Risultati!$AP$1,29,4)),YEAR(Risultati!D244))</f>
        <v/>
      </c>
      <c r="E245" s="6">
        <f>+Risultati!E244</f>
        <v>0</v>
      </c>
      <c r="F245" s="8" t="e">
        <f>(LEFT(Risultati!AN244,2)&amp;"-")&amp;VLOOKUP((LEFT(Risultati!AN244,2)),ateco!$B$4:$C$93,2,FALSE)</f>
        <v>#N/A</v>
      </c>
      <c r="G245" s="8" t="str">
        <f>SUBSTITUTE((Risultati!AN244&amp;"-"&amp;Risultati!AO244),",",";")</f>
        <v>-</v>
      </c>
      <c r="I245" s="10">
        <f>+Risultati!G244</f>
        <v>0</v>
      </c>
      <c r="J245" s="11" t="str">
        <f t="shared" si="185"/>
        <v>0</v>
      </c>
      <c r="K245" s="12"/>
      <c r="L245" s="10">
        <f>+Risultati!G244+Risultati!H244</f>
        <v>0</v>
      </c>
      <c r="M245" s="11" t="str">
        <f t="shared" si="186"/>
        <v>0</v>
      </c>
      <c r="N245" s="12"/>
      <c r="O245" s="10">
        <f>+Risultati!I244+Risultati!J244</f>
        <v>0</v>
      </c>
      <c r="P245" s="11" t="str">
        <f t="shared" si="187"/>
        <v>0</v>
      </c>
      <c r="Q245" s="12"/>
      <c r="R245" s="13">
        <f t="shared" si="204"/>
        <v>0</v>
      </c>
      <c r="S245" s="11" t="str">
        <f t="shared" si="188"/>
        <v>0</v>
      </c>
      <c r="T245" s="12"/>
      <c r="U245" s="10">
        <f>+Risultati!F244-(Risultati!G244+Risultati!H244)</f>
        <v>0</v>
      </c>
      <c r="V245" s="12" t="str">
        <f t="shared" si="189"/>
        <v>0</v>
      </c>
      <c r="W245" s="12"/>
      <c r="X245" s="10">
        <f t="shared" si="205"/>
        <v>0</v>
      </c>
      <c r="Y245" s="12" t="str">
        <f t="shared" si="190"/>
        <v>0</v>
      </c>
      <c r="Z245" s="12"/>
      <c r="AA245" s="10">
        <f>+Risultati!K244</f>
        <v>0</v>
      </c>
      <c r="AB245" s="12" t="str">
        <f t="shared" si="191"/>
        <v>0</v>
      </c>
      <c r="AC245" s="12"/>
      <c r="AD245" s="10">
        <f>+Risultati!L244</f>
        <v>0</v>
      </c>
      <c r="AE245" s="12" t="str">
        <f t="shared" si="192"/>
        <v>0</v>
      </c>
      <c r="AF245" s="12"/>
      <c r="AG245" s="10">
        <f>+Risultati!M244+Risultati!P244+Risultati!Q244</f>
        <v>0</v>
      </c>
      <c r="AH245" s="12" t="str">
        <f t="shared" si="193"/>
        <v>0</v>
      </c>
      <c r="AI245" s="12"/>
      <c r="AJ245" s="13">
        <f t="shared" si="206"/>
        <v>0</v>
      </c>
      <c r="AK245" s="11" t="str">
        <f t="shared" si="194"/>
        <v>0</v>
      </c>
      <c r="AL245" s="12"/>
      <c r="AM245" s="10">
        <f>+Risultati!N244</f>
        <v>0</v>
      </c>
      <c r="AN245" s="12" t="str">
        <f t="shared" si="195"/>
        <v>0</v>
      </c>
      <c r="AO245" s="12"/>
      <c r="AP245" s="10">
        <f t="shared" si="207"/>
        <v>0</v>
      </c>
      <c r="AQ245" s="41" t="str">
        <f t="shared" si="196"/>
        <v>0</v>
      </c>
      <c r="AR245" s="12"/>
      <c r="AS245" s="10">
        <f>+Risultati!O244</f>
        <v>0</v>
      </c>
      <c r="AT245" s="12" t="str">
        <f t="shared" si="197"/>
        <v>0</v>
      </c>
      <c r="AU245" s="12"/>
      <c r="AV245" s="10">
        <f t="shared" si="208"/>
        <v>0</v>
      </c>
      <c r="AW245" s="12" t="str">
        <f t="shared" si="198"/>
        <v>0</v>
      </c>
      <c r="AX245" s="12"/>
      <c r="AY245" s="10">
        <f>+Risultati!R244+Risultati!S244</f>
        <v>0</v>
      </c>
      <c r="AZ245" s="12" t="str">
        <f t="shared" si="199"/>
        <v>0</v>
      </c>
      <c r="BA245" s="12"/>
      <c r="BB245" s="10">
        <f>+Risultati!T244</f>
        <v>0</v>
      </c>
      <c r="BC245" s="12" t="str">
        <f t="shared" si="200"/>
        <v>0</v>
      </c>
      <c r="BD245" s="12"/>
      <c r="BE245" s="10">
        <f>+Risultati!U244</f>
        <v>0</v>
      </c>
      <c r="BF245" s="12" t="str">
        <f t="shared" si="201"/>
        <v>0</v>
      </c>
      <c r="BG245" s="12"/>
      <c r="BH245" s="10">
        <f t="shared" si="209"/>
        <v>0</v>
      </c>
      <c r="BI245" s="12" t="str">
        <f t="shared" si="202"/>
        <v>0</v>
      </c>
      <c r="BK245" s="16">
        <f>IF(ISNUMBER(Risultati!X244/100),(Risultati!X244/100))</f>
        <v>0</v>
      </c>
      <c r="BL245" s="16">
        <f>IF(ISNUMBER(Risultati!Y244/100),(Risultati!Y244/100))</f>
        <v>0</v>
      </c>
      <c r="BM245" s="16">
        <f>IF(ISNUMBER(Risultati!Z244/100),(Risultati!Z244/100))</f>
        <v>0</v>
      </c>
      <c r="BN245" s="16">
        <f>IF(AND(Risultati!AY244&lt;0,calcoli!AP245&lt;0),-IF(ISNUMBER(Risultati!AA244/100),(Risultati!AA244/100)),IF(ISNUMBER(Risultati!AA244/100),(Risultati!AA244/100)))</f>
        <v>0</v>
      </c>
      <c r="BO245" s="16" t="str">
        <f t="shared" si="183"/>
        <v>0</v>
      </c>
      <c r="BP245" s="16" t="str">
        <f>IF(Risultati!AB244&gt;0,(AV245/Risultati!AB244),"0")</f>
        <v>0</v>
      </c>
      <c r="BQ245" s="16" t="str">
        <f>IF(Risultati!AG244&lt;&gt;0,(BH245/Risultati!AG244),"0")</f>
        <v>0</v>
      </c>
      <c r="BR245" s="16" t="str">
        <f t="shared" si="184"/>
        <v>0</v>
      </c>
      <c r="BS245" s="14" t="str">
        <f>IF(Risultati!AB244&gt;0,(Risultati!G244/Risultati!AB244),"0")</f>
        <v>0</v>
      </c>
      <c r="BT245" s="15" t="str">
        <f>IF(Risultati!AG244&lt;&gt;0,(Risultati!AB244/Risultati!AG244),"0")</f>
        <v>0</v>
      </c>
      <c r="BU245" s="23" t="str">
        <f>IF(AND(Risultati!G244&gt;0,(Risultati!AE244-Risultati!AF244)&gt;=0),((Risultati!AE244-Risultati!AF244)/Risultati!G244*360),"0")</f>
        <v>0</v>
      </c>
      <c r="BV245" s="21" t="str">
        <f>IF(OR(E245="abbreviato",Risultati!G244=0),"0",((Risultati!AC244+Risultati!AD244)/Risultati!G244*360))</f>
        <v>0</v>
      </c>
      <c r="BW245" s="21" t="str">
        <f>IF(OR(E245="abbreviato",Risultati!G244=0,SUM(Risultati!I244+Risultati!K244+Risultati!M244)=0),"0",(((Risultati!AH244+Risultati!AI244)/(Risultati!I244+Risultati!K244+Risultati!N244)*360)))</f>
        <v>0</v>
      </c>
      <c r="BX245" s="16" t="str">
        <f>IF(Risultati!AB244&gt;0,(+Risultati!AG244/Risultati!AB244),"0")</f>
        <v>0</v>
      </c>
      <c r="BY245" s="22" t="str">
        <f>IF(OR(E245="abbreviato",Risultati!G244=0),"0",(((Risultati!AK244-(Risultati!AL244+Risultati!AM244))/Risultati!G244)))</f>
        <v>0</v>
      </c>
      <c r="BZ245" s="16" t="str">
        <f>IF(Risultati!G244&gt;0,(Risultati!AJ244/Risultati!G244),"0")</f>
        <v>0</v>
      </c>
      <c r="CA245" s="8"/>
      <c r="CB245" s="10">
        <f>+Risultati!AP244</f>
        <v>0</v>
      </c>
      <c r="CC245" s="31" t="str">
        <f t="shared" si="210"/>
        <v>0</v>
      </c>
      <c r="CD245" s="10">
        <f>+Risultati!AQ244</f>
        <v>0</v>
      </c>
      <c r="CE245" s="31" t="str">
        <f t="shared" si="211"/>
        <v>0</v>
      </c>
      <c r="CF245" s="10">
        <f>+Risultati!AR244</f>
        <v>0</v>
      </c>
      <c r="CG245" s="31" t="str">
        <f t="shared" si="212"/>
        <v>0</v>
      </c>
      <c r="CH245" s="10">
        <f>+Risultati!AS244</f>
        <v>0</v>
      </c>
      <c r="CI245" s="31" t="str">
        <f t="shared" si="213"/>
        <v>0</v>
      </c>
      <c r="CJ245" s="10">
        <f t="shared" si="214"/>
        <v>0</v>
      </c>
      <c r="CK245" s="31" t="str">
        <f t="shared" si="215"/>
        <v>0</v>
      </c>
      <c r="CL245" s="10">
        <f>+Risultati!AE244+Risultati!AF244</f>
        <v>0</v>
      </c>
      <c r="CM245" s="31" t="str">
        <f t="shared" si="216"/>
        <v>0</v>
      </c>
      <c r="CN245" s="10">
        <f>+Risultati!AT244</f>
        <v>0</v>
      </c>
      <c r="CO245" s="31" t="str">
        <f t="shared" si="217"/>
        <v>0</v>
      </c>
      <c r="CP245" s="10">
        <f>+Risultati!AU244</f>
        <v>0</v>
      </c>
      <c r="CQ245" s="31" t="str">
        <f t="shared" si="218"/>
        <v>0</v>
      </c>
      <c r="CR245" s="10">
        <f>+Risultati!AL244</f>
        <v>0</v>
      </c>
      <c r="CS245" s="31" t="str">
        <f t="shared" si="219"/>
        <v>0</v>
      </c>
      <c r="CT245" s="10">
        <f t="shared" si="220"/>
        <v>0</v>
      </c>
      <c r="CU245" s="31" t="str">
        <f t="shared" si="221"/>
        <v>0</v>
      </c>
      <c r="CV245" s="10">
        <f>+Risultati!AX244</f>
        <v>0</v>
      </c>
      <c r="CW245" s="31" t="str">
        <f t="shared" si="222"/>
        <v>0</v>
      </c>
      <c r="CX245" s="10">
        <f t="shared" si="223"/>
        <v>0</v>
      </c>
      <c r="CY245" s="31" t="str">
        <f t="shared" si="224"/>
        <v>0</v>
      </c>
      <c r="CZ245" s="10">
        <f>+Risultati!AG244</f>
        <v>0</v>
      </c>
      <c r="DA245" s="31" t="str">
        <f t="shared" si="225"/>
        <v>0</v>
      </c>
      <c r="DB245" s="10">
        <f t="shared" si="226"/>
        <v>0</v>
      </c>
      <c r="DC245" s="31" t="str">
        <f t="shared" si="227"/>
        <v>0</v>
      </c>
      <c r="DD245" s="10">
        <f>+Risultati!AV244</f>
        <v>0</v>
      </c>
      <c r="DE245" s="31" t="str">
        <f t="shared" si="228"/>
        <v>0</v>
      </c>
      <c r="DF245" s="10">
        <f>+Risultati!AJ244</f>
        <v>0</v>
      </c>
      <c r="DG245" s="31" t="str">
        <f t="shared" si="229"/>
        <v>0</v>
      </c>
      <c r="DH245" s="10">
        <f t="shared" si="230"/>
        <v>0</v>
      </c>
      <c r="DI245" s="31" t="str">
        <f t="shared" si="231"/>
        <v>0</v>
      </c>
      <c r="DJ245" s="10">
        <f>+Risultati!AW244</f>
        <v>0</v>
      </c>
      <c r="DK245" s="31" t="str">
        <f t="shared" si="232"/>
        <v>0</v>
      </c>
      <c r="DL245" s="10">
        <f t="shared" si="203"/>
        <v>0</v>
      </c>
      <c r="DM245" s="31" t="str">
        <f t="shared" si="233"/>
        <v>0</v>
      </c>
      <c r="DO245" s="30"/>
      <c r="DP245" s="30"/>
    </row>
    <row r="246" spans="1:120" x14ac:dyDescent="0.2">
      <c r="A246" s="5"/>
      <c r="B246" s="6">
        <f>+Risultati!B245</f>
        <v>0</v>
      </c>
      <c r="C246" s="6">
        <f>+Risultati!C245</f>
        <v>0</v>
      </c>
      <c r="D246" s="26" t="str">
        <f>IF(YEAR(Risultati!D245)=1900,(MID(Risultati!$AP$1,29,4)),YEAR(Risultati!D245))</f>
        <v/>
      </c>
      <c r="E246" s="6">
        <f>+Risultati!E245</f>
        <v>0</v>
      </c>
      <c r="F246" s="8" t="e">
        <f>(LEFT(Risultati!AN245,2)&amp;"-")&amp;VLOOKUP((LEFT(Risultati!AN245,2)),ateco!$B$4:$C$93,2,FALSE)</f>
        <v>#N/A</v>
      </c>
      <c r="G246" s="8" t="str">
        <f>SUBSTITUTE((Risultati!AN245&amp;"-"&amp;Risultati!AO245),",",";")</f>
        <v>-</v>
      </c>
      <c r="I246" s="10">
        <f>+Risultati!G245</f>
        <v>0</v>
      </c>
      <c r="J246" s="11" t="str">
        <f t="shared" si="185"/>
        <v>0</v>
      </c>
      <c r="K246" s="12"/>
      <c r="L246" s="10">
        <f>+Risultati!G245+Risultati!H245</f>
        <v>0</v>
      </c>
      <c r="M246" s="11" t="str">
        <f t="shared" si="186"/>
        <v>0</v>
      </c>
      <c r="N246" s="12"/>
      <c r="O246" s="10">
        <f>+Risultati!I245+Risultati!J245</f>
        <v>0</v>
      </c>
      <c r="P246" s="11" t="str">
        <f t="shared" si="187"/>
        <v>0</v>
      </c>
      <c r="Q246" s="12"/>
      <c r="R246" s="13">
        <f t="shared" si="204"/>
        <v>0</v>
      </c>
      <c r="S246" s="11" t="str">
        <f t="shared" si="188"/>
        <v>0</v>
      </c>
      <c r="T246" s="12"/>
      <c r="U246" s="10">
        <f>+Risultati!F245-(Risultati!G245+Risultati!H245)</f>
        <v>0</v>
      </c>
      <c r="V246" s="12" t="str">
        <f t="shared" si="189"/>
        <v>0</v>
      </c>
      <c r="W246" s="12"/>
      <c r="X246" s="10">
        <f t="shared" si="205"/>
        <v>0</v>
      </c>
      <c r="Y246" s="12" t="str">
        <f t="shared" si="190"/>
        <v>0</v>
      </c>
      <c r="Z246" s="12"/>
      <c r="AA246" s="10">
        <f>+Risultati!K245</f>
        <v>0</v>
      </c>
      <c r="AB246" s="12" t="str">
        <f t="shared" si="191"/>
        <v>0</v>
      </c>
      <c r="AC246" s="12"/>
      <c r="AD246" s="10">
        <f>+Risultati!L245</f>
        <v>0</v>
      </c>
      <c r="AE246" s="12" t="str">
        <f t="shared" si="192"/>
        <v>0</v>
      </c>
      <c r="AF246" s="12"/>
      <c r="AG246" s="10">
        <f>+Risultati!M245+Risultati!P245+Risultati!Q245</f>
        <v>0</v>
      </c>
      <c r="AH246" s="12" t="str">
        <f t="shared" si="193"/>
        <v>0</v>
      </c>
      <c r="AI246" s="12"/>
      <c r="AJ246" s="13">
        <f t="shared" si="206"/>
        <v>0</v>
      </c>
      <c r="AK246" s="11" t="str">
        <f t="shared" si="194"/>
        <v>0</v>
      </c>
      <c r="AL246" s="12"/>
      <c r="AM246" s="10">
        <f>+Risultati!N245</f>
        <v>0</v>
      </c>
      <c r="AN246" s="12" t="str">
        <f t="shared" si="195"/>
        <v>0</v>
      </c>
      <c r="AO246" s="12"/>
      <c r="AP246" s="10">
        <f t="shared" si="207"/>
        <v>0</v>
      </c>
      <c r="AQ246" s="41" t="str">
        <f t="shared" si="196"/>
        <v>0</v>
      </c>
      <c r="AR246" s="12"/>
      <c r="AS246" s="10">
        <f>+Risultati!O245</f>
        <v>0</v>
      </c>
      <c r="AT246" s="12" t="str">
        <f t="shared" si="197"/>
        <v>0</v>
      </c>
      <c r="AU246" s="12"/>
      <c r="AV246" s="10">
        <f t="shared" si="208"/>
        <v>0</v>
      </c>
      <c r="AW246" s="12" t="str">
        <f t="shared" si="198"/>
        <v>0</v>
      </c>
      <c r="AX246" s="12"/>
      <c r="AY246" s="10">
        <f>+Risultati!R245+Risultati!S245</f>
        <v>0</v>
      </c>
      <c r="AZ246" s="12" t="str">
        <f t="shared" si="199"/>
        <v>0</v>
      </c>
      <c r="BA246" s="12"/>
      <c r="BB246" s="10">
        <f>+Risultati!T245</f>
        <v>0</v>
      </c>
      <c r="BC246" s="12" t="str">
        <f t="shared" si="200"/>
        <v>0</v>
      </c>
      <c r="BD246" s="12"/>
      <c r="BE246" s="10">
        <f>+Risultati!U245</f>
        <v>0</v>
      </c>
      <c r="BF246" s="12" t="str">
        <f t="shared" si="201"/>
        <v>0</v>
      </c>
      <c r="BG246" s="12"/>
      <c r="BH246" s="10">
        <f t="shared" si="209"/>
        <v>0</v>
      </c>
      <c r="BI246" s="12" t="str">
        <f t="shared" si="202"/>
        <v>0</v>
      </c>
      <c r="BK246" s="16">
        <f>IF(ISNUMBER(Risultati!X245/100),(Risultati!X245/100))</f>
        <v>0</v>
      </c>
      <c r="BL246" s="16">
        <f>IF(ISNUMBER(Risultati!Y245/100),(Risultati!Y245/100))</f>
        <v>0</v>
      </c>
      <c r="BM246" s="16">
        <f>IF(ISNUMBER(Risultati!Z245/100),(Risultati!Z245/100))</f>
        <v>0</v>
      </c>
      <c r="BN246" s="16">
        <f>IF(AND(Risultati!AY245&lt;0,calcoli!AP246&lt;0),-IF(ISNUMBER(Risultati!AA245/100),(Risultati!AA245/100)),IF(ISNUMBER(Risultati!AA245/100),(Risultati!AA245/100)))</f>
        <v>0</v>
      </c>
      <c r="BO246" s="16" t="str">
        <f t="shared" si="183"/>
        <v>0</v>
      </c>
      <c r="BP246" s="16" t="str">
        <f>IF(Risultati!AB245&gt;0,(AV246/Risultati!AB245),"0")</f>
        <v>0</v>
      </c>
      <c r="BQ246" s="16" t="str">
        <f>IF(Risultati!AG245&lt;&gt;0,(BH246/Risultati!AG245),"0")</f>
        <v>0</v>
      </c>
      <c r="BR246" s="16" t="str">
        <f t="shared" si="184"/>
        <v>0</v>
      </c>
      <c r="BS246" s="14" t="str">
        <f>IF(Risultati!AB245&gt;0,(Risultati!G245/Risultati!AB245),"0")</f>
        <v>0</v>
      </c>
      <c r="BT246" s="15" t="str">
        <f>IF(Risultati!AG245&lt;&gt;0,(Risultati!AB245/Risultati!AG245),"0")</f>
        <v>0</v>
      </c>
      <c r="BU246" s="23" t="str">
        <f>IF(AND(Risultati!G245&gt;0,(Risultati!AE245-Risultati!AF245)&gt;=0),((Risultati!AE245-Risultati!AF245)/Risultati!G245*360),"0")</f>
        <v>0</v>
      </c>
      <c r="BV246" s="21" t="str">
        <f>IF(OR(E246="abbreviato",Risultati!G245=0),"0",((Risultati!AC245+Risultati!AD245)/Risultati!G245*360))</f>
        <v>0</v>
      </c>
      <c r="BW246" s="21" t="str">
        <f>IF(OR(E246="abbreviato",Risultati!G245=0,SUM(Risultati!I245+Risultati!K245+Risultati!M245)=0),"0",(((Risultati!AH245+Risultati!AI245)/(Risultati!I245+Risultati!K245+Risultati!N245)*360)))</f>
        <v>0</v>
      </c>
      <c r="BX246" s="16" t="str">
        <f>IF(Risultati!AB245&gt;0,(+Risultati!AG245/Risultati!AB245),"0")</f>
        <v>0</v>
      </c>
      <c r="BY246" s="22" t="str">
        <f>IF(OR(E246="abbreviato",Risultati!G245=0),"0",(((Risultati!AK245-(Risultati!AL245+Risultati!AM245))/Risultati!G245)))</f>
        <v>0</v>
      </c>
      <c r="BZ246" s="16" t="str">
        <f>IF(Risultati!G245&gt;0,(Risultati!AJ245/Risultati!G245),"0")</f>
        <v>0</v>
      </c>
      <c r="CA246" s="8"/>
      <c r="CB246" s="10">
        <f>+Risultati!AP245</f>
        <v>0</v>
      </c>
      <c r="CC246" s="31" t="str">
        <f t="shared" si="210"/>
        <v>0</v>
      </c>
      <c r="CD246" s="10">
        <f>+Risultati!AQ245</f>
        <v>0</v>
      </c>
      <c r="CE246" s="31" t="str">
        <f t="shared" si="211"/>
        <v>0</v>
      </c>
      <c r="CF246" s="10">
        <f>+Risultati!AR245</f>
        <v>0</v>
      </c>
      <c r="CG246" s="31" t="str">
        <f t="shared" si="212"/>
        <v>0</v>
      </c>
      <c r="CH246" s="10">
        <f>+Risultati!AS245</f>
        <v>0</v>
      </c>
      <c r="CI246" s="31" t="str">
        <f t="shared" si="213"/>
        <v>0</v>
      </c>
      <c r="CJ246" s="10">
        <f t="shared" si="214"/>
        <v>0</v>
      </c>
      <c r="CK246" s="31" t="str">
        <f t="shared" si="215"/>
        <v>0</v>
      </c>
      <c r="CL246" s="10">
        <f>+Risultati!AE245+Risultati!AF245</f>
        <v>0</v>
      </c>
      <c r="CM246" s="31" t="str">
        <f t="shared" si="216"/>
        <v>0</v>
      </c>
      <c r="CN246" s="10">
        <f>+Risultati!AT245</f>
        <v>0</v>
      </c>
      <c r="CO246" s="31" t="str">
        <f t="shared" si="217"/>
        <v>0</v>
      </c>
      <c r="CP246" s="10">
        <f>+Risultati!AU245</f>
        <v>0</v>
      </c>
      <c r="CQ246" s="31" t="str">
        <f t="shared" si="218"/>
        <v>0</v>
      </c>
      <c r="CR246" s="10">
        <f>+Risultati!AL245</f>
        <v>0</v>
      </c>
      <c r="CS246" s="31" t="str">
        <f t="shared" si="219"/>
        <v>0</v>
      </c>
      <c r="CT246" s="10">
        <f t="shared" si="220"/>
        <v>0</v>
      </c>
      <c r="CU246" s="31" t="str">
        <f t="shared" si="221"/>
        <v>0</v>
      </c>
      <c r="CV246" s="10">
        <f>+Risultati!AX245</f>
        <v>0</v>
      </c>
      <c r="CW246" s="31" t="str">
        <f t="shared" si="222"/>
        <v>0</v>
      </c>
      <c r="CX246" s="10">
        <f t="shared" si="223"/>
        <v>0</v>
      </c>
      <c r="CY246" s="31" t="str">
        <f t="shared" si="224"/>
        <v>0</v>
      </c>
      <c r="CZ246" s="10">
        <f>+Risultati!AG245</f>
        <v>0</v>
      </c>
      <c r="DA246" s="31" t="str">
        <f t="shared" si="225"/>
        <v>0</v>
      </c>
      <c r="DB246" s="10">
        <f t="shared" si="226"/>
        <v>0</v>
      </c>
      <c r="DC246" s="31" t="str">
        <f t="shared" si="227"/>
        <v>0</v>
      </c>
      <c r="DD246" s="10">
        <f>+Risultati!AV245</f>
        <v>0</v>
      </c>
      <c r="DE246" s="31" t="str">
        <f t="shared" si="228"/>
        <v>0</v>
      </c>
      <c r="DF246" s="10">
        <f>+Risultati!AJ245</f>
        <v>0</v>
      </c>
      <c r="DG246" s="31" t="str">
        <f t="shared" si="229"/>
        <v>0</v>
      </c>
      <c r="DH246" s="10">
        <f t="shared" si="230"/>
        <v>0</v>
      </c>
      <c r="DI246" s="31" t="str">
        <f t="shared" si="231"/>
        <v>0</v>
      </c>
      <c r="DJ246" s="10">
        <f>+Risultati!AW245</f>
        <v>0</v>
      </c>
      <c r="DK246" s="31" t="str">
        <f t="shared" si="232"/>
        <v>0</v>
      </c>
      <c r="DL246" s="10">
        <f t="shared" si="203"/>
        <v>0</v>
      </c>
      <c r="DM246" s="31" t="str">
        <f t="shared" si="233"/>
        <v>0</v>
      </c>
      <c r="DO246" s="30"/>
      <c r="DP246" s="30"/>
    </row>
    <row r="247" spans="1:120" x14ac:dyDescent="0.2">
      <c r="A247" s="5"/>
      <c r="B247" s="6">
        <f>+Risultati!B246</f>
        <v>0</v>
      </c>
      <c r="C247" s="6">
        <f>+Risultati!C246</f>
        <v>0</v>
      </c>
      <c r="D247" s="26" t="str">
        <f>IF(YEAR(Risultati!D246)=1900,(MID(Risultati!$AP$1,29,4)),YEAR(Risultati!D246))</f>
        <v/>
      </c>
      <c r="E247" s="6">
        <f>+Risultati!E246</f>
        <v>0</v>
      </c>
      <c r="F247" s="8" t="e">
        <f>(LEFT(Risultati!AN246,2)&amp;"-")&amp;VLOOKUP((LEFT(Risultati!AN246,2)),ateco!$B$4:$C$93,2,FALSE)</f>
        <v>#N/A</v>
      </c>
      <c r="G247" s="8" t="str">
        <f>SUBSTITUTE((Risultati!AN246&amp;"-"&amp;Risultati!AO246),",",";")</f>
        <v>-</v>
      </c>
      <c r="I247" s="10">
        <f>+Risultati!G246</f>
        <v>0</v>
      </c>
      <c r="J247" s="11" t="str">
        <f t="shared" si="185"/>
        <v>0</v>
      </c>
      <c r="K247" s="12"/>
      <c r="L247" s="10">
        <f>+Risultati!G246+Risultati!H246</f>
        <v>0</v>
      </c>
      <c r="M247" s="11" t="str">
        <f t="shared" si="186"/>
        <v>0</v>
      </c>
      <c r="N247" s="12"/>
      <c r="O247" s="10">
        <f>+Risultati!I246+Risultati!J246</f>
        <v>0</v>
      </c>
      <c r="P247" s="11" t="str">
        <f t="shared" si="187"/>
        <v>0</v>
      </c>
      <c r="Q247" s="12"/>
      <c r="R247" s="13">
        <f t="shared" si="204"/>
        <v>0</v>
      </c>
      <c r="S247" s="11" t="str">
        <f t="shared" si="188"/>
        <v>0</v>
      </c>
      <c r="T247" s="12"/>
      <c r="U247" s="10">
        <f>+Risultati!F246-(Risultati!G246+Risultati!H246)</f>
        <v>0</v>
      </c>
      <c r="V247" s="12" t="str">
        <f t="shared" si="189"/>
        <v>0</v>
      </c>
      <c r="W247" s="12"/>
      <c r="X247" s="10">
        <f t="shared" si="205"/>
        <v>0</v>
      </c>
      <c r="Y247" s="12" t="str">
        <f t="shared" si="190"/>
        <v>0</v>
      </c>
      <c r="Z247" s="12"/>
      <c r="AA247" s="10">
        <f>+Risultati!K246</f>
        <v>0</v>
      </c>
      <c r="AB247" s="12" t="str">
        <f t="shared" si="191"/>
        <v>0</v>
      </c>
      <c r="AC247" s="12"/>
      <c r="AD247" s="10">
        <f>+Risultati!L246</f>
        <v>0</v>
      </c>
      <c r="AE247" s="12" t="str">
        <f t="shared" si="192"/>
        <v>0</v>
      </c>
      <c r="AF247" s="12"/>
      <c r="AG247" s="10">
        <f>+Risultati!M246+Risultati!P246+Risultati!Q246</f>
        <v>0</v>
      </c>
      <c r="AH247" s="12" t="str">
        <f t="shared" si="193"/>
        <v>0</v>
      </c>
      <c r="AI247" s="12"/>
      <c r="AJ247" s="13">
        <f t="shared" si="206"/>
        <v>0</v>
      </c>
      <c r="AK247" s="11" t="str">
        <f t="shared" si="194"/>
        <v>0</v>
      </c>
      <c r="AL247" s="12"/>
      <c r="AM247" s="10">
        <f>+Risultati!N246</f>
        <v>0</v>
      </c>
      <c r="AN247" s="12" t="str">
        <f t="shared" si="195"/>
        <v>0</v>
      </c>
      <c r="AO247" s="12"/>
      <c r="AP247" s="10">
        <f t="shared" si="207"/>
        <v>0</v>
      </c>
      <c r="AQ247" s="41" t="str">
        <f t="shared" si="196"/>
        <v>0</v>
      </c>
      <c r="AR247" s="12"/>
      <c r="AS247" s="10">
        <f>+Risultati!O246</f>
        <v>0</v>
      </c>
      <c r="AT247" s="12" t="str">
        <f t="shared" si="197"/>
        <v>0</v>
      </c>
      <c r="AU247" s="12"/>
      <c r="AV247" s="10">
        <f t="shared" si="208"/>
        <v>0</v>
      </c>
      <c r="AW247" s="12" t="str">
        <f t="shared" si="198"/>
        <v>0</v>
      </c>
      <c r="AX247" s="12"/>
      <c r="AY247" s="10">
        <f>+Risultati!R246+Risultati!S246</f>
        <v>0</v>
      </c>
      <c r="AZ247" s="12" t="str">
        <f t="shared" si="199"/>
        <v>0</v>
      </c>
      <c r="BA247" s="12"/>
      <c r="BB247" s="10">
        <f>+Risultati!T246</f>
        <v>0</v>
      </c>
      <c r="BC247" s="12" t="str">
        <f t="shared" si="200"/>
        <v>0</v>
      </c>
      <c r="BD247" s="12"/>
      <c r="BE247" s="10">
        <f>+Risultati!U246</f>
        <v>0</v>
      </c>
      <c r="BF247" s="12" t="str">
        <f t="shared" si="201"/>
        <v>0</v>
      </c>
      <c r="BG247" s="12"/>
      <c r="BH247" s="10">
        <f t="shared" si="209"/>
        <v>0</v>
      </c>
      <c r="BI247" s="12" t="str">
        <f t="shared" si="202"/>
        <v>0</v>
      </c>
      <c r="BK247" s="16">
        <f>IF(ISNUMBER(Risultati!X246/100),(Risultati!X246/100))</f>
        <v>0</v>
      </c>
      <c r="BL247" s="16">
        <f>IF(ISNUMBER(Risultati!Y246/100),(Risultati!Y246/100))</f>
        <v>0</v>
      </c>
      <c r="BM247" s="16">
        <f>IF(ISNUMBER(Risultati!Z246/100),(Risultati!Z246/100))</f>
        <v>0</v>
      </c>
      <c r="BN247" s="16">
        <f>IF(AND(Risultati!AY246&lt;0,calcoli!AP247&lt;0),-IF(ISNUMBER(Risultati!AA246/100),(Risultati!AA246/100)),IF(ISNUMBER(Risultati!AA246/100),(Risultati!AA246/100)))</f>
        <v>0</v>
      </c>
      <c r="BO247" s="16" t="str">
        <f t="shared" si="183"/>
        <v>0</v>
      </c>
      <c r="BP247" s="16" t="str">
        <f>IF(Risultati!AB246&gt;0,(AV247/Risultati!AB246),"0")</f>
        <v>0</v>
      </c>
      <c r="BQ247" s="16" t="str">
        <f>IF(Risultati!AG246&lt;&gt;0,(BH247/Risultati!AG246),"0")</f>
        <v>0</v>
      </c>
      <c r="BR247" s="16" t="str">
        <f t="shared" si="184"/>
        <v>0</v>
      </c>
      <c r="BS247" s="14" t="str">
        <f>IF(Risultati!AB246&gt;0,(Risultati!G246/Risultati!AB246),"0")</f>
        <v>0</v>
      </c>
      <c r="BT247" s="15" t="str">
        <f>IF(Risultati!AG246&lt;&gt;0,(Risultati!AB246/Risultati!AG246),"0")</f>
        <v>0</v>
      </c>
      <c r="BU247" s="23" t="str">
        <f>IF(AND(Risultati!G246&gt;0,(Risultati!AE246-Risultati!AF246)&gt;=0),((Risultati!AE246-Risultati!AF246)/Risultati!G246*360),"0")</f>
        <v>0</v>
      </c>
      <c r="BV247" s="21" t="str">
        <f>IF(OR(E247="abbreviato",Risultati!G246=0),"0",((Risultati!AC246+Risultati!AD246)/Risultati!G246*360))</f>
        <v>0</v>
      </c>
      <c r="BW247" s="21" t="str">
        <f>IF(OR(E247="abbreviato",Risultati!G246=0,SUM(Risultati!I246+Risultati!K246+Risultati!M246)=0),"0",(((Risultati!AH246+Risultati!AI246)/(Risultati!I246+Risultati!K246+Risultati!N246)*360)))</f>
        <v>0</v>
      </c>
      <c r="BX247" s="16" t="str">
        <f>IF(Risultati!AB246&gt;0,(+Risultati!AG246/Risultati!AB246),"0")</f>
        <v>0</v>
      </c>
      <c r="BY247" s="22" t="str">
        <f>IF(OR(E247="abbreviato",Risultati!G246=0),"0",(((Risultati!AK246-(Risultati!AL246+Risultati!AM246))/Risultati!G246)))</f>
        <v>0</v>
      </c>
      <c r="BZ247" s="16" t="str">
        <f>IF(Risultati!G246&gt;0,(Risultati!AJ246/Risultati!G246),"0")</f>
        <v>0</v>
      </c>
      <c r="CA247" s="8"/>
      <c r="CB247" s="10">
        <f>+Risultati!AP246</f>
        <v>0</v>
      </c>
      <c r="CC247" s="31" t="str">
        <f t="shared" si="210"/>
        <v>0</v>
      </c>
      <c r="CD247" s="10">
        <f>+Risultati!AQ246</f>
        <v>0</v>
      </c>
      <c r="CE247" s="31" t="str">
        <f t="shared" si="211"/>
        <v>0</v>
      </c>
      <c r="CF247" s="10">
        <f>+Risultati!AR246</f>
        <v>0</v>
      </c>
      <c r="CG247" s="31" t="str">
        <f t="shared" si="212"/>
        <v>0</v>
      </c>
      <c r="CH247" s="10">
        <f>+Risultati!AS246</f>
        <v>0</v>
      </c>
      <c r="CI247" s="31" t="str">
        <f t="shared" si="213"/>
        <v>0</v>
      </c>
      <c r="CJ247" s="10">
        <f t="shared" si="214"/>
        <v>0</v>
      </c>
      <c r="CK247" s="31" t="str">
        <f t="shared" si="215"/>
        <v>0</v>
      </c>
      <c r="CL247" s="10">
        <f>+Risultati!AE246+Risultati!AF246</f>
        <v>0</v>
      </c>
      <c r="CM247" s="31" t="str">
        <f t="shared" si="216"/>
        <v>0</v>
      </c>
      <c r="CN247" s="10">
        <f>+Risultati!AT246</f>
        <v>0</v>
      </c>
      <c r="CO247" s="31" t="str">
        <f t="shared" si="217"/>
        <v>0</v>
      </c>
      <c r="CP247" s="10">
        <f>+Risultati!AU246</f>
        <v>0</v>
      </c>
      <c r="CQ247" s="31" t="str">
        <f t="shared" si="218"/>
        <v>0</v>
      </c>
      <c r="CR247" s="10">
        <f>+Risultati!AL246</f>
        <v>0</v>
      </c>
      <c r="CS247" s="31" t="str">
        <f t="shared" si="219"/>
        <v>0</v>
      </c>
      <c r="CT247" s="10">
        <f t="shared" si="220"/>
        <v>0</v>
      </c>
      <c r="CU247" s="31" t="str">
        <f t="shared" si="221"/>
        <v>0</v>
      </c>
      <c r="CV247" s="10">
        <f>+Risultati!AX246</f>
        <v>0</v>
      </c>
      <c r="CW247" s="31" t="str">
        <f t="shared" si="222"/>
        <v>0</v>
      </c>
      <c r="CX247" s="10">
        <f t="shared" si="223"/>
        <v>0</v>
      </c>
      <c r="CY247" s="31" t="str">
        <f t="shared" si="224"/>
        <v>0</v>
      </c>
      <c r="CZ247" s="10">
        <f>+Risultati!AG246</f>
        <v>0</v>
      </c>
      <c r="DA247" s="31" t="str">
        <f t="shared" si="225"/>
        <v>0</v>
      </c>
      <c r="DB247" s="10">
        <f t="shared" si="226"/>
        <v>0</v>
      </c>
      <c r="DC247" s="31" t="str">
        <f t="shared" si="227"/>
        <v>0</v>
      </c>
      <c r="DD247" s="10">
        <f>+Risultati!AV246</f>
        <v>0</v>
      </c>
      <c r="DE247" s="31" t="str">
        <f t="shared" si="228"/>
        <v>0</v>
      </c>
      <c r="DF247" s="10">
        <f>+Risultati!AJ246</f>
        <v>0</v>
      </c>
      <c r="DG247" s="31" t="str">
        <f t="shared" si="229"/>
        <v>0</v>
      </c>
      <c r="DH247" s="10">
        <f t="shared" si="230"/>
        <v>0</v>
      </c>
      <c r="DI247" s="31" t="str">
        <f t="shared" si="231"/>
        <v>0</v>
      </c>
      <c r="DJ247" s="10">
        <f>+Risultati!AW246</f>
        <v>0</v>
      </c>
      <c r="DK247" s="31" t="str">
        <f t="shared" si="232"/>
        <v>0</v>
      </c>
      <c r="DL247" s="10">
        <f t="shared" si="203"/>
        <v>0</v>
      </c>
      <c r="DM247" s="31" t="str">
        <f t="shared" si="233"/>
        <v>0</v>
      </c>
      <c r="DO247" s="30"/>
      <c r="DP247" s="30"/>
    </row>
    <row r="248" spans="1:120" x14ac:dyDescent="0.2">
      <c r="A248" s="5"/>
      <c r="B248" s="6">
        <f>+Risultati!B247</f>
        <v>0</v>
      </c>
      <c r="C248" s="6">
        <f>+Risultati!C247</f>
        <v>0</v>
      </c>
      <c r="D248" s="26" t="str">
        <f>IF(YEAR(Risultati!D247)=1900,(MID(Risultati!$AP$1,29,4)),YEAR(Risultati!D247))</f>
        <v/>
      </c>
      <c r="E248" s="6">
        <f>+Risultati!E247</f>
        <v>0</v>
      </c>
      <c r="F248" s="8" t="e">
        <f>(LEFT(Risultati!AN247,2)&amp;"-")&amp;VLOOKUP((LEFT(Risultati!AN247,2)),ateco!$B$4:$C$93,2,FALSE)</f>
        <v>#N/A</v>
      </c>
      <c r="G248" s="8" t="str">
        <f>SUBSTITUTE((Risultati!AN247&amp;"-"&amp;Risultati!AO247),",",";")</f>
        <v>-</v>
      </c>
      <c r="I248" s="10">
        <f>+Risultati!G247</f>
        <v>0</v>
      </c>
      <c r="J248" s="11" t="str">
        <f t="shared" si="185"/>
        <v>0</v>
      </c>
      <c r="K248" s="12"/>
      <c r="L248" s="10">
        <f>+Risultati!G247+Risultati!H247</f>
        <v>0</v>
      </c>
      <c r="M248" s="11" t="str">
        <f t="shared" si="186"/>
        <v>0</v>
      </c>
      <c r="N248" s="12"/>
      <c r="O248" s="10">
        <f>+Risultati!I247+Risultati!J247</f>
        <v>0</v>
      </c>
      <c r="P248" s="11" t="str">
        <f t="shared" si="187"/>
        <v>0</v>
      </c>
      <c r="Q248" s="12"/>
      <c r="R248" s="13">
        <f t="shared" si="204"/>
        <v>0</v>
      </c>
      <c r="S248" s="11" t="str">
        <f t="shared" si="188"/>
        <v>0</v>
      </c>
      <c r="T248" s="12"/>
      <c r="U248" s="10">
        <f>+Risultati!F247-(Risultati!G247+Risultati!H247)</f>
        <v>0</v>
      </c>
      <c r="V248" s="12" t="str">
        <f t="shared" si="189"/>
        <v>0</v>
      </c>
      <c r="W248" s="12"/>
      <c r="X248" s="10">
        <f t="shared" si="205"/>
        <v>0</v>
      </c>
      <c r="Y248" s="12" t="str">
        <f t="shared" si="190"/>
        <v>0</v>
      </c>
      <c r="Z248" s="12"/>
      <c r="AA248" s="10">
        <f>+Risultati!K247</f>
        <v>0</v>
      </c>
      <c r="AB248" s="12" t="str">
        <f t="shared" si="191"/>
        <v>0</v>
      </c>
      <c r="AC248" s="12"/>
      <c r="AD248" s="10">
        <f>+Risultati!L247</f>
        <v>0</v>
      </c>
      <c r="AE248" s="12" t="str">
        <f t="shared" si="192"/>
        <v>0</v>
      </c>
      <c r="AF248" s="12"/>
      <c r="AG248" s="10">
        <f>+Risultati!M247+Risultati!P247+Risultati!Q247</f>
        <v>0</v>
      </c>
      <c r="AH248" s="12" t="str">
        <f t="shared" si="193"/>
        <v>0</v>
      </c>
      <c r="AI248" s="12"/>
      <c r="AJ248" s="13">
        <f t="shared" si="206"/>
        <v>0</v>
      </c>
      <c r="AK248" s="11" t="str">
        <f t="shared" si="194"/>
        <v>0</v>
      </c>
      <c r="AL248" s="12"/>
      <c r="AM248" s="10">
        <f>+Risultati!N247</f>
        <v>0</v>
      </c>
      <c r="AN248" s="12" t="str">
        <f t="shared" si="195"/>
        <v>0</v>
      </c>
      <c r="AO248" s="12"/>
      <c r="AP248" s="10">
        <f t="shared" si="207"/>
        <v>0</v>
      </c>
      <c r="AQ248" s="41" t="str">
        <f t="shared" si="196"/>
        <v>0</v>
      </c>
      <c r="AR248" s="12"/>
      <c r="AS248" s="10">
        <f>+Risultati!O247</f>
        <v>0</v>
      </c>
      <c r="AT248" s="12" t="str">
        <f t="shared" si="197"/>
        <v>0</v>
      </c>
      <c r="AU248" s="12"/>
      <c r="AV248" s="10">
        <f t="shared" si="208"/>
        <v>0</v>
      </c>
      <c r="AW248" s="12" t="str">
        <f t="shared" si="198"/>
        <v>0</v>
      </c>
      <c r="AX248" s="12"/>
      <c r="AY248" s="10">
        <f>+Risultati!R247+Risultati!S247</f>
        <v>0</v>
      </c>
      <c r="AZ248" s="12" t="str">
        <f t="shared" si="199"/>
        <v>0</v>
      </c>
      <c r="BA248" s="12"/>
      <c r="BB248" s="10">
        <f>+Risultati!T247</f>
        <v>0</v>
      </c>
      <c r="BC248" s="12" t="str">
        <f t="shared" si="200"/>
        <v>0</v>
      </c>
      <c r="BD248" s="12"/>
      <c r="BE248" s="10">
        <f>+Risultati!U247</f>
        <v>0</v>
      </c>
      <c r="BF248" s="12" t="str">
        <f t="shared" si="201"/>
        <v>0</v>
      </c>
      <c r="BG248" s="12"/>
      <c r="BH248" s="10">
        <f t="shared" si="209"/>
        <v>0</v>
      </c>
      <c r="BI248" s="12" t="str">
        <f t="shared" si="202"/>
        <v>0</v>
      </c>
      <c r="BK248" s="16">
        <f>IF(ISNUMBER(Risultati!X247/100),(Risultati!X247/100))</f>
        <v>0</v>
      </c>
      <c r="BL248" s="16">
        <f>IF(ISNUMBER(Risultati!Y247/100),(Risultati!Y247/100))</f>
        <v>0</v>
      </c>
      <c r="BM248" s="16">
        <f>IF(ISNUMBER(Risultati!Z247/100),(Risultati!Z247/100))</f>
        <v>0</v>
      </c>
      <c r="BN248" s="16">
        <f>IF(AND(Risultati!AY247&lt;0,calcoli!AP248&lt;0),-IF(ISNUMBER(Risultati!AA247/100),(Risultati!AA247/100)),IF(ISNUMBER(Risultati!AA247/100),(Risultati!AA247/100)))</f>
        <v>0</v>
      </c>
      <c r="BO248" s="16" t="str">
        <f t="shared" si="183"/>
        <v>0</v>
      </c>
      <c r="BP248" s="16" t="str">
        <f>IF(Risultati!AB247&gt;0,(AV248/Risultati!AB247),"0")</f>
        <v>0</v>
      </c>
      <c r="BQ248" s="16" t="str">
        <f>IF(Risultati!AG247&lt;&gt;0,(BH248/Risultati!AG247),"0")</f>
        <v>0</v>
      </c>
      <c r="BR248" s="16" t="str">
        <f t="shared" si="184"/>
        <v>0</v>
      </c>
      <c r="BS248" s="14" t="str">
        <f>IF(Risultati!AB247&gt;0,(Risultati!G247/Risultati!AB247),"0")</f>
        <v>0</v>
      </c>
      <c r="BT248" s="15" t="str">
        <f>IF(Risultati!AG247&lt;&gt;0,(Risultati!AB247/Risultati!AG247),"0")</f>
        <v>0</v>
      </c>
      <c r="BU248" s="23" t="str">
        <f>IF(AND(Risultati!G247&gt;0,(Risultati!AE247-Risultati!AF247)&gt;=0),((Risultati!AE247-Risultati!AF247)/Risultati!G247*360),"0")</f>
        <v>0</v>
      </c>
      <c r="BV248" s="21" t="str">
        <f>IF(OR(E248="abbreviato",Risultati!G247=0),"0",((Risultati!AC247+Risultati!AD247)/Risultati!G247*360))</f>
        <v>0</v>
      </c>
      <c r="BW248" s="21" t="str">
        <f>IF(OR(E248="abbreviato",Risultati!G247=0,SUM(Risultati!I247+Risultati!K247+Risultati!M247)=0),"0",(((Risultati!AH247+Risultati!AI247)/(Risultati!I247+Risultati!K247+Risultati!N247)*360)))</f>
        <v>0</v>
      </c>
      <c r="BX248" s="16" t="str">
        <f>IF(Risultati!AB247&gt;0,(+Risultati!AG247/Risultati!AB247),"0")</f>
        <v>0</v>
      </c>
      <c r="BY248" s="22" t="str">
        <f>IF(OR(E248="abbreviato",Risultati!G247=0),"0",(((Risultati!AK247-(Risultati!AL247+Risultati!AM247))/Risultati!G247)))</f>
        <v>0</v>
      </c>
      <c r="BZ248" s="16" t="str">
        <f>IF(Risultati!G247&gt;0,(Risultati!AJ247/Risultati!G247),"0")</f>
        <v>0</v>
      </c>
      <c r="CA248" s="8"/>
      <c r="CB248" s="10">
        <f>+Risultati!AP247</f>
        <v>0</v>
      </c>
      <c r="CC248" s="31" t="str">
        <f t="shared" si="210"/>
        <v>0</v>
      </c>
      <c r="CD248" s="10">
        <f>+Risultati!AQ247</f>
        <v>0</v>
      </c>
      <c r="CE248" s="31" t="str">
        <f t="shared" si="211"/>
        <v>0</v>
      </c>
      <c r="CF248" s="10">
        <f>+Risultati!AR247</f>
        <v>0</v>
      </c>
      <c r="CG248" s="31" t="str">
        <f t="shared" si="212"/>
        <v>0</v>
      </c>
      <c r="CH248" s="10">
        <f>+Risultati!AS247</f>
        <v>0</v>
      </c>
      <c r="CI248" s="31" t="str">
        <f t="shared" si="213"/>
        <v>0</v>
      </c>
      <c r="CJ248" s="10">
        <f t="shared" si="214"/>
        <v>0</v>
      </c>
      <c r="CK248" s="31" t="str">
        <f t="shared" si="215"/>
        <v>0</v>
      </c>
      <c r="CL248" s="10">
        <f>+Risultati!AE247+Risultati!AF247</f>
        <v>0</v>
      </c>
      <c r="CM248" s="31" t="str">
        <f t="shared" si="216"/>
        <v>0</v>
      </c>
      <c r="CN248" s="10">
        <f>+Risultati!AT247</f>
        <v>0</v>
      </c>
      <c r="CO248" s="31" t="str">
        <f t="shared" si="217"/>
        <v>0</v>
      </c>
      <c r="CP248" s="10">
        <f>+Risultati!AU247</f>
        <v>0</v>
      </c>
      <c r="CQ248" s="31" t="str">
        <f t="shared" si="218"/>
        <v>0</v>
      </c>
      <c r="CR248" s="10">
        <f>+Risultati!AL247</f>
        <v>0</v>
      </c>
      <c r="CS248" s="31" t="str">
        <f t="shared" si="219"/>
        <v>0</v>
      </c>
      <c r="CT248" s="10">
        <f t="shared" si="220"/>
        <v>0</v>
      </c>
      <c r="CU248" s="31" t="str">
        <f t="shared" si="221"/>
        <v>0</v>
      </c>
      <c r="CV248" s="10">
        <f>+Risultati!AX247</f>
        <v>0</v>
      </c>
      <c r="CW248" s="31" t="str">
        <f t="shared" si="222"/>
        <v>0</v>
      </c>
      <c r="CX248" s="10">
        <f t="shared" si="223"/>
        <v>0</v>
      </c>
      <c r="CY248" s="31" t="str">
        <f t="shared" si="224"/>
        <v>0</v>
      </c>
      <c r="CZ248" s="10">
        <f>+Risultati!AG247</f>
        <v>0</v>
      </c>
      <c r="DA248" s="31" t="str">
        <f t="shared" si="225"/>
        <v>0</v>
      </c>
      <c r="DB248" s="10">
        <f t="shared" si="226"/>
        <v>0</v>
      </c>
      <c r="DC248" s="31" t="str">
        <f t="shared" si="227"/>
        <v>0</v>
      </c>
      <c r="DD248" s="10">
        <f>+Risultati!AV247</f>
        <v>0</v>
      </c>
      <c r="DE248" s="31" t="str">
        <f t="shared" si="228"/>
        <v>0</v>
      </c>
      <c r="DF248" s="10">
        <f>+Risultati!AJ247</f>
        <v>0</v>
      </c>
      <c r="DG248" s="31" t="str">
        <f t="shared" si="229"/>
        <v>0</v>
      </c>
      <c r="DH248" s="10">
        <f t="shared" si="230"/>
        <v>0</v>
      </c>
      <c r="DI248" s="31" t="str">
        <f t="shared" si="231"/>
        <v>0</v>
      </c>
      <c r="DJ248" s="10">
        <f>+Risultati!AW247</f>
        <v>0</v>
      </c>
      <c r="DK248" s="31" t="str">
        <f t="shared" si="232"/>
        <v>0</v>
      </c>
      <c r="DL248" s="10">
        <f t="shared" si="203"/>
        <v>0</v>
      </c>
      <c r="DM248" s="31" t="str">
        <f t="shared" si="233"/>
        <v>0</v>
      </c>
      <c r="DO248" s="30"/>
      <c r="DP248" s="30"/>
    </row>
    <row r="249" spans="1:120" x14ac:dyDescent="0.2">
      <c r="A249" s="5"/>
      <c r="B249" s="6">
        <f>+Risultati!B248</f>
        <v>0</v>
      </c>
      <c r="C249" s="6">
        <f>+Risultati!C248</f>
        <v>0</v>
      </c>
      <c r="D249" s="26" t="str">
        <f>IF(YEAR(Risultati!D248)=1900,(MID(Risultati!$AP$1,29,4)),YEAR(Risultati!D248))</f>
        <v/>
      </c>
      <c r="E249" s="6">
        <f>+Risultati!E248</f>
        <v>0</v>
      </c>
      <c r="F249" s="8" t="e">
        <f>(LEFT(Risultati!AN248,2)&amp;"-")&amp;VLOOKUP((LEFT(Risultati!AN248,2)),ateco!$B$4:$C$93,2,FALSE)</f>
        <v>#N/A</v>
      </c>
      <c r="G249" s="8" t="str">
        <f>SUBSTITUTE((Risultati!AN248&amp;"-"&amp;Risultati!AO248),",",";")</f>
        <v>-</v>
      </c>
      <c r="I249" s="10">
        <f>+Risultati!G248</f>
        <v>0</v>
      </c>
      <c r="J249" s="11" t="str">
        <f t="shared" si="185"/>
        <v>0</v>
      </c>
      <c r="K249" s="12"/>
      <c r="L249" s="10">
        <f>+Risultati!G248+Risultati!H248</f>
        <v>0</v>
      </c>
      <c r="M249" s="11" t="str">
        <f t="shared" si="186"/>
        <v>0</v>
      </c>
      <c r="N249" s="12"/>
      <c r="O249" s="10">
        <f>+Risultati!I248+Risultati!J248</f>
        <v>0</v>
      </c>
      <c r="P249" s="11" t="str">
        <f t="shared" si="187"/>
        <v>0</v>
      </c>
      <c r="Q249" s="12"/>
      <c r="R249" s="13">
        <f t="shared" si="204"/>
        <v>0</v>
      </c>
      <c r="S249" s="11" t="str">
        <f t="shared" si="188"/>
        <v>0</v>
      </c>
      <c r="T249" s="12"/>
      <c r="U249" s="10">
        <f>+Risultati!F248-(Risultati!G248+Risultati!H248)</f>
        <v>0</v>
      </c>
      <c r="V249" s="12" t="str">
        <f t="shared" si="189"/>
        <v>0</v>
      </c>
      <c r="W249" s="12"/>
      <c r="X249" s="10">
        <f t="shared" si="205"/>
        <v>0</v>
      </c>
      <c r="Y249" s="12" t="str">
        <f t="shared" si="190"/>
        <v>0</v>
      </c>
      <c r="Z249" s="12"/>
      <c r="AA249" s="10">
        <f>+Risultati!K248</f>
        <v>0</v>
      </c>
      <c r="AB249" s="12" t="str">
        <f t="shared" si="191"/>
        <v>0</v>
      </c>
      <c r="AC249" s="12"/>
      <c r="AD249" s="10">
        <f>+Risultati!L248</f>
        <v>0</v>
      </c>
      <c r="AE249" s="12" t="str">
        <f t="shared" si="192"/>
        <v>0</v>
      </c>
      <c r="AF249" s="12"/>
      <c r="AG249" s="10">
        <f>+Risultati!M248+Risultati!P248+Risultati!Q248</f>
        <v>0</v>
      </c>
      <c r="AH249" s="12" t="str">
        <f t="shared" si="193"/>
        <v>0</v>
      </c>
      <c r="AI249" s="12"/>
      <c r="AJ249" s="13">
        <f t="shared" si="206"/>
        <v>0</v>
      </c>
      <c r="AK249" s="11" t="str">
        <f t="shared" si="194"/>
        <v>0</v>
      </c>
      <c r="AL249" s="12"/>
      <c r="AM249" s="10">
        <f>+Risultati!N248</f>
        <v>0</v>
      </c>
      <c r="AN249" s="12" t="str">
        <f t="shared" si="195"/>
        <v>0</v>
      </c>
      <c r="AO249" s="12"/>
      <c r="AP249" s="10">
        <f t="shared" si="207"/>
        <v>0</v>
      </c>
      <c r="AQ249" s="41" t="str">
        <f t="shared" si="196"/>
        <v>0</v>
      </c>
      <c r="AR249" s="12"/>
      <c r="AS249" s="10">
        <f>+Risultati!O248</f>
        <v>0</v>
      </c>
      <c r="AT249" s="12" t="str">
        <f t="shared" si="197"/>
        <v>0</v>
      </c>
      <c r="AU249" s="12"/>
      <c r="AV249" s="10">
        <f t="shared" si="208"/>
        <v>0</v>
      </c>
      <c r="AW249" s="12" t="str">
        <f t="shared" si="198"/>
        <v>0</v>
      </c>
      <c r="AX249" s="12"/>
      <c r="AY249" s="10">
        <f>+Risultati!R248+Risultati!S248</f>
        <v>0</v>
      </c>
      <c r="AZ249" s="12" t="str">
        <f t="shared" si="199"/>
        <v>0</v>
      </c>
      <c r="BA249" s="12"/>
      <c r="BB249" s="10">
        <f>+Risultati!T248</f>
        <v>0</v>
      </c>
      <c r="BC249" s="12" t="str">
        <f t="shared" si="200"/>
        <v>0</v>
      </c>
      <c r="BD249" s="12"/>
      <c r="BE249" s="10">
        <f>+Risultati!U248</f>
        <v>0</v>
      </c>
      <c r="BF249" s="12" t="str">
        <f t="shared" si="201"/>
        <v>0</v>
      </c>
      <c r="BG249" s="12"/>
      <c r="BH249" s="10">
        <f t="shared" si="209"/>
        <v>0</v>
      </c>
      <c r="BI249" s="12" t="str">
        <f t="shared" si="202"/>
        <v>0</v>
      </c>
      <c r="BK249" s="16">
        <f>IF(ISNUMBER(Risultati!X248/100),(Risultati!X248/100))</f>
        <v>0</v>
      </c>
      <c r="BL249" s="16">
        <f>IF(ISNUMBER(Risultati!Y248/100),(Risultati!Y248/100))</f>
        <v>0</v>
      </c>
      <c r="BM249" s="16">
        <f>IF(ISNUMBER(Risultati!Z248/100),(Risultati!Z248/100))</f>
        <v>0</v>
      </c>
      <c r="BN249" s="16">
        <f>IF(AND(Risultati!AY248&lt;0,calcoli!AP249&lt;0),-IF(ISNUMBER(Risultati!AA248/100),(Risultati!AA248/100)),IF(ISNUMBER(Risultati!AA248/100),(Risultati!AA248/100)))</f>
        <v>0</v>
      </c>
      <c r="BO249" s="16" t="str">
        <f t="shared" si="183"/>
        <v>0</v>
      </c>
      <c r="BP249" s="16" t="str">
        <f>IF(Risultati!AB248&gt;0,(AV249/Risultati!AB248),"0")</f>
        <v>0</v>
      </c>
      <c r="BQ249" s="16" t="str">
        <f>IF(Risultati!AG248&lt;&gt;0,(BH249/Risultati!AG248),"0")</f>
        <v>0</v>
      </c>
      <c r="BR249" s="16" t="str">
        <f t="shared" si="184"/>
        <v>0</v>
      </c>
      <c r="BS249" s="14" t="str">
        <f>IF(Risultati!AB248&gt;0,(Risultati!G248/Risultati!AB248),"0")</f>
        <v>0</v>
      </c>
      <c r="BT249" s="15" t="str">
        <f>IF(Risultati!AG248&lt;&gt;0,(Risultati!AB248/Risultati!AG248),"0")</f>
        <v>0</v>
      </c>
      <c r="BU249" s="23" t="str">
        <f>IF(AND(Risultati!G248&gt;0,(Risultati!AE248-Risultati!AF248)&gt;=0),((Risultati!AE248-Risultati!AF248)/Risultati!G248*360),"0")</f>
        <v>0</v>
      </c>
      <c r="BV249" s="21" t="str">
        <f>IF(OR(E249="abbreviato",Risultati!G248=0),"0",((Risultati!AC248+Risultati!AD248)/Risultati!G248*360))</f>
        <v>0</v>
      </c>
      <c r="BW249" s="21" t="str">
        <f>IF(OR(E249="abbreviato",Risultati!G248=0,SUM(Risultati!I248+Risultati!K248+Risultati!M248)=0),"0",(((Risultati!AH248+Risultati!AI248)/(Risultati!I248+Risultati!K248+Risultati!N248)*360)))</f>
        <v>0</v>
      </c>
      <c r="BX249" s="16" t="str">
        <f>IF(Risultati!AB248&gt;0,(+Risultati!AG248/Risultati!AB248),"0")</f>
        <v>0</v>
      </c>
      <c r="BY249" s="22" t="str">
        <f>IF(OR(E249="abbreviato",Risultati!G248=0),"0",(((Risultati!AK248-(Risultati!AL248+Risultati!AM248))/Risultati!G248)))</f>
        <v>0</v>
      </c>
      <c r="BZ249" s="16" t="str">
        <f>IF(Risultati!G248&gt;0,(Risultati!AJ248/Risultati!G248),"0")</f>
        <v>0</v>
      </c>
      <c r="CA249" s="8"/>
      <c r="CB249" s="10">
        <f>+Risultati!AP248</f>
        <v>0</v>
      </c>
      <c r="CC249" s="31" t="str">
        <f t="shared" si="210"/>
        <v>0</v>
      </c>
      <c r="CD249" s="10">
        <f>+Risultati!AQ248</f>
        <v>0</v>
      </c>
      <c r="CE249" s="31" t="str">
        <f t="shared" si="211"/>
        <v>0</v>
      </c>
      <c r="CF249" s="10">
        <f>+Risultati!AR248</f>
        <v>0</v>
      </c>
      <c r="CG249" s="31" t="str">
        <f t="shared" si="212"/>
        <v>0</v>
      </c>
      <c r="CH249" s="10">
        <f>+Risultati!AS248</f>
        <v>0</v>
      </c>
      <c r="CI249" s="31" t="str">
        <f t="shared" si="213"/>
        <v>0</v>
      </c>
      <c r="CJ249" s="10">
        <f t="shared" si="214"/>
        <v>0</v>
      </c>
      <c r="CK249" s="31" t="str">
        <f t="shared" si="215"/>
        <v>0</v>
      </c>
      <c r="CL249" s="10">
        <f>+Risultati!AE248+Risultati!AF248</f>
        <v>0</v>
      </c>
      <c r="CM249" s="31" t="str">
        <f t="shared" si="216"/>
        <v>0</v>
      </c>
      <c r="CN249" s="10">
        <f>+Risultati!AT248</f>
        <v>0</v>
      </c>
      <c r="CO249" s="31" t="str">
        <f t="shared" si="217"/>
        <v>0</v>
      </c>
      <c r="CP249" s="10">
        <f>+Risultati!AU248</f>
        <v>0</v>
      </c>
      <c r="CQ249" s="31" t="str">
        <f t="shared" si="218"/>
        <v>0</v>
      </c>
      <c r="CR249" s="10">
        <f>+Risultati!AL248</f>
        <v>0</v>
      </c>
      <c r="CS249" s="31" t="str">
        <f t="shared" si="219"/>
        <v>0</v>
      </c>
      <c r="CT249" s="10">
        <f t="shared" si="220"/>
        <v>0</v>
      </c>
      <c r="CU249" s="31" t="str">
        <f t="shared" si="221"/>
        <v>0</v>
      </c>
      <c r="CV249" s="10">
        <f>+Risultati!AX248</f>
        <v>0</v>
      </c>
      <c r="CW249" s="31" t="str">
        <f t="shared" si="222"/>
        <v>0</v>
      </c>
      <c r="CX249" s="10">
        <f t="shared" si="223"/>
        <v>0</v>
      </c>
      <c r="CY249" s="31" t="str">
        <f t="shared" si="224"/>
        <v>0</v>
      </c>
      <c r="CZ249" s="10">
        <f>+Risultati!AG248</f>
        <v>0</v>
      </c>
      <c r="DA249" s="31" t="str">
        <f t="shared" si="225"/>
        <v>0</v>
      </c>
      <c r="DB249" s="10">
        <f t="shared" si="226"/>
        <v>0</v>
      </c>
      <c r="DC249" s="31" t="str">
        <f t="shared" si="227"/>
        <v>0</v>
      </c>
      <c r="DD249" s="10">
        <f>+Risultati!AV248</f>
        <v>0</v>
      </c>
      <c r="DE249" s="31" t="str">
        <f t="shared" si="228"/>
        <v>0</v>
      </c>
      <c r="DF249" s="10">
        <f>+Risultati!AJ248</f>
        <v>0</v>
      </c>
      <c r="DG249" s="31" t="str">
        <f t="shared" si="229"/>
        <v>0</v>
      </c>
      <c r="DH249" s="10">
        <f t="shared" si="230"/>
        <v>0</v>
      </c>
      <c r="DI249" s="31" t="str">
        <f t="shared" si="231"/>
        <v>0</v>
      </c>
      <c r="DJ249" s="10">
        <f>+Risultati!AW248</f>
        <v>0</v>
      </c>
      <c r="DK249" s="31" t="str">
        <f t="shared" si="232"/>
        <v>0</v>
      </c>
      <c r="DL249" s="10">
        <f t="shared" si="203"/>
        <v>0</v>
      </c>
      <c r="DM249" s="31" t="str">
        <f t="shared" si="233"/>
        <v>0</v>
      </c>
      <c r="DO249" s="30"/>
      <c r="DP249" s="30"/>
    </row>
    <row r="250" spans="1:120" x14ac:dyDescent="0.2">
      <c r="A250" s="5"/>
      <c r="B250" s="6">
        <f>+Risultati!B249</f>
        <v>0</v>
      </c>
      <c r="C250" s="6">
        <f>+Risultati!C249</f>
        <v>0</v>
      </c>
      <c r="D250" s="26" t="str">
        <f>IF(YEAR(Risultati!D249)=1900,(MID(Risultati!$AP$1,29,4)),YEAR(Risultati!D249))</f>
        <v/>
      </c>
      <c r="E250" s="6">
        <f>+Risultati!E249</f>
        <v>0</v>
      </c>
      <c r="F250" s="8" t="e">
        <f>(LEFT(Risultati!AN249,2)&amp;"-")&amp;VLOOKUP((LEFT(Risultati!AN249,2)),ateco!$B$4:$C$93,2,FALSE)</f>
        <v>#N/A</v>
      </c>
      <c r="G250" s="8" t="str">
        <f>SUBSTITUTE((Risultati!AN249&amp;"-"&amp;Risultati!AO249),",",";")</f>
        <v>-</v>
      </c>
      <c r="I250" s="10">
        <f>+Risultati!G249</f>
        <v>0</v>
      </c>
      <c r="J250" s="11" t="str">
        <f t="shared" si="185"/>
        <v>0</v>
      </c>
      <c r="K250" s="12"/>
      <c r="L250" s="10">
        <f>+Risultati!G249+Risultati!H249</f>
        <v>0</v>
      </c>
      <c r="M250" s="11" t="str">
        <f t="shared" si="186"/>
        <v>0</v>
      </c>
      <c r="N250" s="12"/>
      <c r="O250" s="10">
        <f>+Risultati!I249+Risultati!J249</f>
        <v>0</v>
      </c>
      <c r="P250" s="11" t="str">
        <f t="shared" si="187"/>
        <v>0</v>
      </c>
      <c r="Q250" s="12"/>
      <c r="R250" s="13">
        <f t="shared" si="204"/>
        <v>0</v>
      </c>
      <c r="S250" s="11" t="str">
        <f t="shared" si="188"/>
        <v>0</v>
      </c>
      <c r="T250" s="12"/>
      <c r="U250" s="10">
        <f>+Risultati!F249-(Risultati!G249+Risultati!H249)</f>
        <v>0</v>
      </c>
      <c r="V250" s="12" t="str">
        <f t="shared" si="189"/>
        <v>0</v>
      </c>
      <c r="W250" s="12"/>
      <c r="X250" s="10">
        <f t="shared" si="205"/>
        <v>0</v>
      </c>
      <c r="Y250" s="12" t="str">
        <f t="shared" si="190"/>
        <v>0</v>
      </c>
      <c r="Z250" s="12"/>
      <c r="AA250" s="10">
        <f>+Risultati!K249</f>
        <v>0</v>
      </c>
      <c r="AB250" s="12" t="str">
        <f t="shared" si="191"/>
        <v>0</v>
      </c>
      <c r="AC250" s="12"/>
      <c r="AD250" s="10">
        <f>+Risultati!L249</f>
        <v>0</v>
      </c>
      <c r="AE250" s="12" t="str">
        <f t="shared" si="192"/>
        <v>0</v>
      </c>
      <c r="AF250" s="12"/>
      <c r="AG250" s="10">
        <f>+Risultati!M249+Risultati!P249+Risultati!Q249</f>
        <v>0</v>
      </c>
      <c r="AH250" s="12" t="str">
        <f t="shared" si="193"/>
        <v>0</v>
      </c>
      <c r="AI250" s="12"/>
      <c r="AJ250" s="13">
        <f t="shared" si="206"/>
        <v>0</v>
      </c>
      <c r="AK250" s="11" t="str">
        <f t="shared" si="194"/>
        <v>0</v>
      </c>
      <c r="AL250" s="12"/>
      <c r="AM250" s="10">
        <f>+Risultati!N249</f>
        <v>0</v>
      </c>
      <c r="AN250" s="12" t="str">
        <f t="shared" si="195"/>
        <v>0</v>
      </c>
      <c r="AO250" s="12"/>
      <c r="AP250" s="10">
        <f t="shared" si="207"/>
        <v>0</v>
      </c>
      <c r="AQ250" s="41" t="str">
        <f t="shared" si="196"/>
        <v>0</v>
      </c>
      <c r="AR250" s="12"/>
      <c r="AS250" s="10">
        <f>+Risultati!O249</f>
        <v>0</v>
      </c>
      <c r="AT250" s="12" t="str">
        <f t="shared" si="197"/>
        <v>0</v>
      </c>
      <c r="AU250" s="12"/>
      <c r="AV250" s="10">
        <f t="shared" si="208"/>
        <v>0</v>
      </c>
      <c r="AW250" s="12" t="str">
        <f t="shared" si="198"/>
        <v>0</v>
      </c>
      <c r="AX250" s="12"/>
      <c r="AY250" s="10">
        <f>+Risultati!R249+Risultati!S249</f>
        <v>0</v>
      </c>
      <c r="AZ250" s="12" t="str">
        <f t="shared" si="199"/>
        <v>0</v>
      </c>
      <c r="BA250" s="12"/>
      <c r="BB250" s="10">
        <f>+Risultati!T249</f>
        <v>0</v>
      </c>
      <c r="BC250" s="12" t="str">
        <f t="shared" si="200"/>
        <v>0</v>
      </c>
      <c r="BD250" s="12"/>
      <c r="BE250" s="10">
        <f>+Risultati!U249</f>
        <v>0</v>
      </c>
      <c r="BF250" s="12" t="str">
        <f t="shared" si="201"/>
        <v>0</v>
      </c>
      <c r="BG250" s="12"/>
      <c r="BH250" s="10">
        <f t="shared" si="209"/>
        <v>0</v>
      </c>
      <c r="BI250" s="12" t="str">
        <f t="shared" si="202"/>
        <v>0</v>
      </c>
      <c r="BK250" s="16">
        <f>IF(ISNUMBER(Risultati!X249/100),(Risultati!X249/100))</f>
        <v>0</v>
      </c>
      <c r="BL250" s="16">
        <f>IF(ISNUMBER(Risultati!Y249/100),(Risultati!Y249/100))</f>
        <v>0</v>
      </c>
      <c r="BM250" s="16">
        <f>IF(ISNUMBER(Risultati!Z249/100),(Risultati!Z249/100))</f>
        <v>0</v>
      </c>
      <c r="BN250" s="16">
        <f>IF(AND(Risultati!AY249&lt;0,calcoli!AP250&lt;0),-IF(ISNUMBER(Risultati!AA249/100),(Risultati!AA249/100)),IF(ISNUMBER(Risultati!AA249/100),(Risultati!AA249/100)))</f>
        <v>0</v>
      </c>
      <c r="BO250" s="16" t="str">
        <f t="shared" si="183"/>
        <v>0</v>
      </c>
      <c r="BP250" s="16" t="str">
        <f>IF(Risultati!AB249&gt;0,(AV250/Risultati!AB249),"0")</f>
        <v>0</v>
      </c>
      <c r="BQ250" s="16" t="str">
        <f>IF(Risultati!AG249&lt;&gt;0,(BH250/Risultati!AG249),"0")</f>
        <v>0</v>
      </c>
      <c r="BR250" s="16" t="str">
        <f t="shared" si="184"/>
        <v>0</v>
      </c>
      <c r="BS250" s="14" t="str">
        <f>IF(Risultati!AB249&gt;0,(Risultati!G249/Risultati!AB249),"0")</f>
        <v>0</v>
      </c>
      <c r="BT250" s="15" t="str">
        <f>IF(Risultati!AG249&lt;&gt;0,(Risultati!AB249/Risultati!AG249),"0")</f>
        <v>0</v>
      </c>
      <c r="BU250" s="23" t="str">
        <f>IF(AND(Risultati!G249&gt;0,(Risultati!AE249-Risultati!AF249)&gt;=0),((Risultati!AE249-Risultati!AF249)/Risultati!G249*360),"0")</f>
        <v>0</v>
      </c>
      <c r="BV250" s="21" t="str">
        <f>IF(OR(E250="abbreviato",Risultati!G249=0),"0",((Risultati!AC249+Risultati!AD249)/Risultati!G249*360))</f>
        <v>0</v>
      </c>
      <c r="BW250" s="21" t="str">
        <f>IF(OR(E250="abbreviato",Risultati!G249=0,SUM(Risultati!I249+Risultati!K249+Risultati!M249)=0),"0",(((Risultati!AH249+Risultati!AI249)/(Risultati!I249+Risultati!K249+Risultati!N249)*360)))</f>
        <v>0</v>
      </c>
      <c r="BX250" s="16" t="str">
        <f>IF(Risultati!AB249&gt;0,(+Risultati!AG249/Risultati!AB249),"0")</f>
        <v>0</v>
      </c>
      <c r="BY250" s="22" t="str">
        <f>IF(OR(E250="abbreviato",Risultati!G249=0),"0",(((Risultati!AK249-(Risultati!AL249+Risultati!AM249))/Risultati!G249)))</f>
        <v>0</v>
      </c>
      <c r="BZ250" s="16" t="str">
        <f>IF(Risultati!G249&gt;0,(Risultati!AJ249/Risultati!G249),"0")</f>
        <v>0</v>
      </c>
      <c r="CA250" s="8"/>
      <c r="CB250" s="10">
        <f>+Risultati!AP249</f>
        <v>0</v>
      </c>
      <c r="CC250" s="31" t="str">
        <f t="shared" si="210"/>
        <v>0</v>
      </c>
      <c r="CD250" s="10">
        <f>+Risultati!AQ249</f>
        <v>0</v>
      </c>
      <c r="CE250" s="31" t="str">
        <f t="shared" si="211"/>
        <v>0</v>
      </c>
      <c r="CF250" s="10">
        <f>+Risultati!AR249</f>
        <v>0</v>
      </c>
      <c r="CG250" s="31" t="str">
        <f t="shared" si="212"/>
        <v>0</v>
      </c>
      <c r="CH250" s="10">
        <f>+Risultati!AS249</f>
        <v>0</v>
      </c>
      <c r="CI250" s="31" t="str">
        <f t="shared" si="213"/>
        <v>0</v>
      </c>
      <c r="CJ250" s="10">
        <f t="shared" si="214"/>
        <v>0</v>
      </c>
      <c r="CK250" s="31" t="str">
        <f t="shared" si="215"/>
        <v>0</v>
      </c>
      <c r="CL250" s="10">
        <f>+Risultati!AE249+Risultati!AF249</f>
        <v>0</v>
      </c>
      <c r="CM250" s="31" t="str">
        <f t="shared" si="216"/>
        <v>0</v>
      </c>
      <c r="CN250" s="10">
        <f>+Risultati!AT249</f>
        <v>0</v>
      </c>
      <c r="CO250" s="31" t="str">
        <f t="shared" si="217"/>
        <v>0</v>
      </c>
      <c r="CP250" s="10">
        <f>+Risultati!AU249</f>
        <v>0</v>
      </c>
      <c r="CQ250" s="31" t="str">
        <f t="shared" si="218"/>
        <v>0</v>
      </c>
      <c r="CR250" s="10">
        <f>+Risultati!AL249</f>
        <v>0</v>
      </c>
      <c r="CS250" s="31" t="str">
        <f t="shared" si="219"/>
        <v>0</v>
      </c>
      <c r="CT250" s="10">
        <f t="shared" si="220"/>
        <v>0</v>
      </c>
      <c r="CU250" s="31" t="str">
        <f t="shared" si="221"/>
        <v>0</v>
      </c>
      <c r="CV250" s="10">
        <f>+Risultati!AX249</f>
        <v>0</v>
      </c>
      <c r="CW250" s="31" t="str">
        <f t="shared" si="222"/>
        <v>0</v>
      </c>
      <c r="CX250" s="10">
        <f t="shared" si="223"/>
        <v>0</v>
      </c>
      <c r="CY250" s="31" t="str">
        <f t="shared" si="224"/>
        <v>0</v>
      </c>
      <c r="CZ250" s="10">
        <f>+Risultati!AG249</f>
        <v>0</v>
      </c>
      <c r="DA250" s="31" t="str">
        <f t="shared" si="225"/>
        <v>0</v>
      </c>
      <c r="DB250" s="10">
        <f t="shared" si="226"/>
        <v>0</v>
      </c>
      <c r="DC250" s="31" t="str">
        <f t="shared" si="227"/>
        <v>0</v>
      </c>
      <c r="DD250" s="10">
        <f>+Risultati!AV249</f>
        <v>0</v>
      </c>
      <c r="DE250" s="31" t="str">
        <f t="shared" si="228"/>
        <v>0</v>
      </c>
      <c r="DF250" s="10">
        <f>+Risultati!AJ249</f>
        <v>0</v>
      </c>
      <c r="DG250" s="31" t="str">
        <f t="shared" si="229"/>
        <v>0</v>
      </c>
      <c r="DH250" s="10">
        <f t="shared" si="230"/>
        <v>0</v>
      </c>
      <c r="DI250" s="31" t="str">
        <f t="shared" si="231"/>
        <v>0</v>
      </c>
      <c r="DJ250" s="10">
        <f>+Risultati!AW249</f>
        <v>0</v>
      </c>
      <c r="DK250" s="31" t="str">
        <f t="shared" si="232"/>
        <v>0</v>
      </c>
      <c r="DL250" s="10">
        <f t="shared" si="203"/>
        <v>0</v>
      </c>
      <c r="DM250" s="31" t="str">
        <f t="shared" si="233"/>
        <v>0</v>
      </c>
      <c r="DO250" s="30"/>
      <c r="DP250" s="30"/>
    </row>
    <row r="251" spans="1:120" x14ac:dyDescent="0.2">
      <c r="A251" s="5"/>
      <c r="B251" s="6">
        <f>+Risultati!B250</f>
        <v>0</v>
      </c>
      <c r="C251" s="6">
        <f>+Risultati!C250</f>
        <v>0</v>
      </c>
      <c r="D251" s="26" t="str">
        <f>IF(YEAR(Risultati!D250)=1900,(MID(Risultati!$AP$1,29,4)),YEAR(Risultati!D250))</f>
        <v/>
      </c>
      <c r="E251" s="6">
        <f>+Risultati!E250</f>
        <v>0</v>
      </c>
      <c r="F251" s="8" t="e">
        <f>(LEFT(Risultati!AN250,2)&amp;"-")&amp;VLOOKUP((LEFT(Risultati!AN250,2)),ateco!$B$4:$C$93,2,FALSE)</f>
        <v>#N/A</v>
      </c>
      <c r="G251" s="8" t="str">
        <f>SUBSTITUTE((Risultati!AN250&amp;"-"&amp;Risultati!AO250),",",";")</f>
        <v>-</v>
      </c>
      <c r="I251" s="10">
        <f>+Risultati!G250</f>
        <v>0</v>
      </c>
      <c r="J251" s="11" t="str">
        <f t="shared" si="185"/>
        <v>0</v>
      </c>
      <c r="K251" s="12"/>
      <c r="L251" s="10">
        <f>+Risultati!G250+Risultati!H250</f>
        <v>0</v>
      </c>
      <c r="M251" s="11" t="str">
        <f t="shared" si="186"/>
        <v>0</v>
      </c>
      <c r="N251" s="12"/>
      <c r="O251" s="10">
        <f>+Risultati!I250+Risultati!J250</f>
        <v>0</v>
      </c>
      <c r="P251" s="11" t="str">
        <f t="shared" si="187"/>
        <v>0</v>
      </c>
      <c r="Q251" s="12"/>
      <c r="R251" s="13">
        <f t="shared" si="204"/>
        <v>0</v>
      </c>
      <c r="S251" s="11" t="str">
        <f t="shared" si="188"/>
        <v>0</v>
      </c>
      <c r="T251" s="12"/>
      <c r="U251" s="10">
        <f>+Risultati!F250-(Risultati!G250+Risultati!H250)</f>
        <v>0</v>
      </c>
      <c r="V251" s="12" t="str">
        <f t="shared" si="189"/>
        <v>0</v>
      </c>
      <c r="W251" s="12"/>
      <c r="X251" s="10">
        <f t="shared" si="205"/>
        <v>0</v>
      </c>
      <c r="Y251" s="12" t="str">
        <f t="shared" si="190"/>
        <v>0</v>
      </c>
      <c r="Z251" s="12"/>
      <c r="AA251" s="10">
        <f>+Risultati!K250</f>
        <v>0</v>
      </c>
      <c r="AB251" s="12" t="str">
        <f t="shared" si="191"/>
        <v>0</v>
      </c>
      <c r="AC251" s="12"/>
      <c r="AD251" s="10">
        <f>+Risultati!L250</f>
        <v>0</v>
      </c>
      <c r="AE251" s="12" t="str">
        <f t="shared" si="192"/>
        <v>0</v>
      </c>
      <c r="AF251" s="12"/>
      <c r="AG251" s="10">
        <f>+Risultati!M250+Risultati!P250+Risultati!Q250</f>
        <v>0</v>
      </c>
      <c r="AH251" s="12" t="str">
        <f t="shared" si="193"/>
        <v>0</v>
      </c>
      <c r="AI251" s="12"/>
      <c r="AJ251" s="13">
        <f t="shared" si="206"/>
        <v>0</v>
      </c>
      <c r="AK251" s="11" t="str">
        <f t="shared" si="194"/>
        <v>0</v>
      </c>
      <c r="AL251" s="12"/>
      <c r="AM251" s="10">
        <f>+Risultati!N250</f>
        <v>0</v>
      </c>
      <c r="AN251" s="12" t="str">
        <f t="shared" si="195"/>
        <v>0</v>
      </c>
      <c r="AO251" s="12"/>
      <c r="AP251" s="10">
        <f t="shared" si="207"/>
        <v>0</v>
      </c>
      <c r="AQ251" s="41" t="str">
        <f t="shared" si="196"/>
        <v>0</v>
      </c>
      <c r="AR251" s="12"/>
      <c r="AS251" s="10">
        <f>+Risultati!O250</f>
        <v>0</v>
      </c>
      <c r="AT251" s="12" t="str">
        <f t="shared" si="197"/>
        <v>0</v>
      </c>
      <c r="AU251" s="12"/>
      <c r="AV251" s="10">
        <f t="shared" si="208"/>
        <v>0</v>
      </c>
      <c r="AW251" s="12" t="str">
        <f t="shared" si="198"/>
        <v>0</v>
      </c>
      <c r="AX251" s="12"/>
      <c r="AY251" s="10">
        <f>+Risultati!R250+Risultati!S250</f>
        <v>0</v>
      </c>
      <c r="AZ251" s="12" t="str">
        <f t="shared" si="199"/>
        <v>0</v>
      </c>
      <c r="BA251" s="12"/>
      <c r="BB251" s="10">
        <f>+Risultati!T250</f>
        <v>0</v>
      </c>
      <c r="BC251" s="12" t="str">
        <f t="shared" si="200"/>
        <v>0</v>
      </c>
      <c r="BD251" s="12"/>
      <c r="BE251" s="10">
        <f>+Risultati!U250</f>
        <v>0</v>
      </c>
      <c r="BF251" s="12" t="str">
        <f t="shared" si="201"/>
        <v>0</v>
      </c>
      <c r="BG251" s="12"/>
      <c r="BH251" s="10">
        <f t="shared" si="209"/>
        <v>0</v>
      </c>
      <c r="BI251" s="12" t="str">
        <f t="shared" si="202"/>
        <v>0</v>
      </c>
      <c r="BK251" s="16">
        <f>IF(ISNUMBER(Risultati!X250/100),(Risultati!X250/100))</f>
        <v>0</v>
      </c>
      <c r="BL251" s="16">
        <f>IF(ISNUMBER(Risultati!Y250/100),(Risultati!Y250/100))</f>
        <v>0</v>
      </c>
      <c r="BM251" s="16">
        <f>IF(ISNUMBER(Risultati!Z250/100),(Risultati!Z250/100))</f>
        <v>0</v>
      </c>
      <c r="BN251" s="16">
        <f>IF(AND(Risultati!AY250&lt;0,calcoli!AP251&lt;0),-IF(ISNUMBER(Risultati!AA250/100),(Risultati!AA250/100)),IF(ISNUMBER(Risultati!AA250/100),(Risultati!AA250/100)))</f>
        <v>0</v>
      </c>
      <c r="BO251" s="16" t="str">
        <f t="shared" si="183"/>
        <v>0</v>
      </c>
      <c r="BP251" s="16" t="str">
        <f>IF(Risultati!AB250&gt;0,(AV251/Risultati!AB250),"0")</f>
        <v>0</v>
      </c>
      <c r="BQ251" s="16" t="str">
        <f>IF(Risultati!AG250&lt;&gt;0,(BH251/Risultati!AG250),"0")</f>
        <v>0</v>
      </c>
      <c r="BR251" s="16" t="str">
        <f t="shared" si="184"/>
        <v>0</v>
      </c>
      <c r="BS251" s="14" t="str">
        <f>IF(Risultati!AB250&gt;0,(Risultati!G250/Risultati!AB250),"0")</f>
        <v>0</v>
      </c>
      <c r="BT251" s="15" t="str">
        <f>IF(Risultati!AG250&lt;&gt;0,(Risultati!AB250/Risultati!AG250),"0")</f>
        <v>0</v>
      </c>
      <c r="BU251" s="23" t="str">
        <f>IF(AND(Risultati!G250&gt;0,(Risultati!AE250-Risultati!AF250)&gt;=0),((Risultati!AE250-Risultati!AF250)/Risultati!G250*360),"0")</f>
        <v>0</v>
      </c>
      <c r="BV251" s="21" t="str">
        <f>IF(OR(E251="abbreviato",Risultati!G250=0),"0",((Risultati!AC250+Risultati!AD250)/Risultati!G250*360))</f>
        <v>0</v>
      </c>
      <c r="BW251" s="21" t="str">
        <f>IF(OR(E251="abbreviato",Risultati!G250=0,SUM(Risultati!I250+Risultati!K250+Risultati!M250)=0),"0",(((Risultati!AH250+Risultati!AI250)/(Risultati!I250+Risultati!K250+Risultati!N250)*360)))</f>
        <v>0</v>
      </c>
      <c r="BX251" s="16" t="str">
        <f>IF(Risultati!AB250&gt;0,(+Risultati!AG250/Risultati!AB250),"0")</f>
        <v>0</v>
      </c>
      <c r="BY251" s="22" t="str">
        <f>IF(OR(E251="abbreviato",Risultati!G250=0),"0",(((Risultati!AK250-(Risultati!AL250+Risultati!AM250))/Risultati!G250)))</f>
        <v>0</v>
      </c>
      <c r="BZ251" s="16" t="str">
        <f>IF(Risultati!G250&gt;0,(Risultati!AJ250/Risultati!G250),"0")</f>
        <v>0</v>
      </c>
      <c r="CA251" s="8"/>
      <c r="CB251" s="10">
        <f>+Risultati!AP250</f>
        <v>0</v>
      </c>
      <c r="CC251" s="31" t="str">
        <f t="shared" si="210"/>
        <v>0</v>
      </c>
      <c r="CD251" s="10">
        <f>+Risultati!AQ250</f>
        <v>0</v>
      </c>
      <c r="CE251" s="31" t="str">
        <f t="shared" si="211"/>
        <v>0</v>
      </c>
      <c r="CF251" s="10">
        <f>+Risultati!AR250</f>
        <v>0</v>
      </c>
      <c r="CG251" s="31" t="str">
        <f t="shared" si="212"/>
        <v>0</v>
      </c>
      <c r="CH251" s="10">
        <f>+Risultati!AS250</f>
        <v>0</v>
      </c>
      <c r="CI251" s="31" t="str">
        <f t="shared" si="213"/>
        <v>0</v>
      </c>
      <c r="CJ251" s="10">
        <f t="shared" si="214"/>
        <v>0</v>
      </c>
      <c r="CK251" s="31" t="str">
        <f t="shared" si="215"/>
        <v>0</v>
      </c>
      <c r="CL251" s="10">
        <f>+Risultati!AE250+Risultati!AF250</f>
        <v>0</v>
      </c>
      <c r="CM251" s="31" t="str">
        <f t="shared" si="216"/>
        <v>0</v>
      </c>
      <c r="CN251" s="10">
        <f>+Risultati!AT250</f>
        <v>0</v>
      </c>
      <c r="CO251" s="31" t="str">
        <f t="shared" si="217"/>
        <v>0</v>
      </c>
      <c r="CP251" s="10">
        <f>+Risultati!AU250</f>
        <v>0</v>
      </c>
      <c r="CQ251" s="31" t="str">
        <f t="shared" si="218"/>
        <v>0</v>
      </c>
      <c r="CR251" s="10">
        <f>+Risultati!AL250</f>
        <v>0</v>
      </c>
      <c r="CS251" s="31" t="str">
        <f t="shared" si="219"/>
        <v>0</v>
      </c>
      <c r="CT251" s="10">
        <f t="shared" si="220"/>
        <v>0</v>
      </c>
      <c r="CU251" s="31" t="str">
        <f t="shared" si="221"/>
        <v>0</v>
      </c>
      <c r="CV251" s="10">
        <f>+Risultati!AX250</f>
        <v>0</v>
      </c>
      <c r="CW251" s="31" t="str">
        <f t="shared" si="222"/>
        <v>0</v>
      </c>
      <c r="CX251" s="10">
        <f t="shared" si="223"/>
        <v>0</v>
      </c>
      <c r="CY251" s="31" t="str">
        <f t="shared" si="224"/>
        <v>0</v>
      </c>
      <c r="CZ251" s="10">
        <f>+Risultati!AG250</f>
        <v>0</v>
      </c>
      <c r="DA251" s="31" t="str">
        <f t="shared" si="225"/>
        <v>0</v>
      </c>
      <c r="DB251" s="10">
        <f t="shared" si="226"/>
        <v>0</v>
      </c>
      <c r="DC251" s="31" t="str">
        <f t="shared" si="227"/>
        <v>0</v>
      </c>
      <c r="DD251" s="10">
        <f>+Risultati!AV250</f>
        <v>0</v>
      </c>
      <c r="DE251" s="31" t="str">
        <f t="shared" si="228"/>
        <v>0</v>
      </c>
      <c r="DF251" s="10">
        <f>+Risultati!AJ250</f>
        <v>0</v>
      </c>
      <c r="DG251" s="31" t="str">
        <f t="shared" si="229"/>
        <v>0</v>
      </c>
      <c r="DH251" s="10">
        <f t="shared" si="230"/>
        <v>0</v>
      </c>
      <c r="DI251" s="31" t="str">
        <f t="shared" si="231"/>
        <v>0</v>
      </c>
      <c r="DJ251" s="10">
        <f>+Risultati!AW250</f>
        <v>0</v>
      </c>
      <c r="DK251" s="31" t="str">
        <f t="shared" si="232"/>
        <v>0</v>
      </c>
      <c r="DL251" s="10">
        <f t="shared" si="203"/>
        <v>0</v>
      </c>
      <c r="DM251" s="31" t="str">
        <f t="shared" si="233"/>
        <v>0</v>
      </c>
      <c r="DO251" s="30"/>
      <c r="DP251" s="30"/>
    </row>
    <row r="252" spans="1:120" x14ac:dyDescent="0.2">
      <c r="A252" s="5"/>
      <c r="B252" s="6">
        <f>+Risultati!B251</f>
        <v>0</v>
      </c>
      <c r="C252" s="6">
        <f>+Risultati!C251</f>
        <v>0</v>
      </c>
      <c r="D252" s="26" t="str">
        <f>IF(YEAR(Risultati!D251)=1900,(MID(Risultati!$AP$1,29,4)),YEAR(Risultati!D251))</f>
        <v/>
      </c>
      <c r="E252" s="6">
        <f>+Risultati!E251</f>
        <v>0</v>
      </c>
      <c r="F252" s="8" t="e">
        <f>(LEFT(Risultati!AN251,2)&amp;"-")&amp;VLOOKUP((LEFT(Risultati!AN251,2)),ateco!$B$4:$C$93,2,FALSE)</f>
        <v>#N/A</v>
      </c>
      <c r="G252" s="8" t="str">
        <f>SUBSTITUTE((Risultati!AN251&amp;"-"&amp;Risultati!AO251),",",";")</f>
        <v>-</v>
      </c>
      <c r="I252" s="10">
        <f>+Risultati!G251</f>
        <v>0</v>
      </c>
      <c r="J252" s="11" t="str">
        <f t="shared" si="185"/>
        <v>0</v>
      </c>
      <c r="K252" s="12"/>
      <c r="L252" s="10">
        <f>+Risultati!G251+Risultati!H251</f>
        <v>0</v>
      </c>
      <c r="M252" s="11" t="str">
        <f t="shared" si="186"/>
        <v>0</v>
      </c>
      <c r="N252" s="12"/>
      <c r="O252" s="10">
        <f>+Risultati!I251+Risultati!J251</f>
        <v>0</v>
      </c>
      <c r="P252" s="11" t="str">
        <f t="shared" si="187"/>
        <v>0</v>
      </c>
      <c r="Q252" s="12"/>
      <c r="R252" s="13">
        <f t="shared" si="204"/>
        <v>0</v>
      </c>
      <c r="S252" s="11" t="str">
        <f t="shared" si="188"/>
        <v>0</v>
      </c>
      <c r="T252" s="12"/>
      <c r="U252" s="10">
        <f>+Risultati!F251-(Risultati!G251+Risultati!H251)</f>
        <v>0</v>
      </c>
      <c r="V252" s="12" t="str">
        <f t="shared" si="189"/>
        <v>0</v>
      </c>
      <c r="W252" s="12"/>
      <c r="X252" s="10">
        <f t="shared" si="205"/>
        <v>0</v>
      </c>
      <c r="Y252" s="12" t="str">
        <f t="shared" si="190"/>
        <v>0</v>
      </c>
      <c r="Z252" s="12"/>
      <c r="AA252" s="10">
        <f>+Risultati!K251</f>
        <v>0</v>
      </c>
      <c r="AB252" s="12" t="str">
        <f t="shared" si="191"/>
        <v>0</v>
      </c>
      <c r="AC252" s="12"/>
      <c r="AD252" s="10">
        <f>+Risultati!L251</f>
        <v>0</v>
      </c>
      <c r="AE252" s="12" t="str">
        <f t="shared" si="192"/>
        <v>0</v>
      </c>
      <c r="AF252" s="12"/>
      <c r="AG252" s="10">
        <f>+Risultati!M251+Risultati!P251+Risultati!Q251</f>
        <v>0</v>
      </c>
      <c r="AH252" s="12" t="str">
        <f t="shared" si="193"/>
        <v>0</v>
      </c>
      <c r="AI252" s="12"/>
      <c r="AJ252" s="13">
        <f t="shared" si="206"/>
        <v>0</v>
      </c>
      <c r="AK252" s="11" t="str">
        <f t="shared" si="194"/>
        <v>0</v>
      </c>
      <c r="AL252" s="12"/>
      <c r="AM252" s="10">
        <f>+Risultati!N251</f>
        <v>0</v>
      </c>
      <c r="AN252" s="12" t="str">
        <f t="shared" si="195"/>
        <v>0</v>
      </c>
      <c r="AO252" s="12"/>
      <c r="AP252" s="10">
        <f t="shared" si="207"/>
        <v>0</v>
      </c>
      <c r="AQ252" s="41" t="str">
        <f t="shared" si="196"/>
        <v>0</v>
      </c>
      <c r="AR252" s="12"/>
      <c r="AS252" s="10">
        <f>+Risultati!O251</f>
        <v>0</v>
      </c>
      <c r="AT252" s="12" t="str">
        <f t="shared" si="197"/>
        <v>0</v>
      </c>
      <c r="AU252" s="12"/>
      <c r="AV252" s="10">
        <f t="shared" si="208"/>
        <v>0</v>
      </c>
      <c r="AW252" s="12" t="str">
        <f t="shared" si="198"/>
        <v>0</v>
      </c>
      <c r="AX252" s="12"/>
      <c r="AY252" s="10">
        <f>+Risultati!R251+Risultati!S251</f>
        <v>0</v>
      </c>
      <c r="AZ252" s="12" t="str">
        <f t="shared" si="199"/>
        <v>0</v>
      </c>
      <c r="BA252" s="12"/>
      <c r="BB252" s="10">
        <f>+Risultati!T251</f>
        <v>0</v>
      </c>
      <c r="BC252" s="12" t="str">
        <f t="shared" si="200"/>
        <v>0</v>
      </c>
      <c r="BD252" s="12"/>
      <c r="BE252" s="10">
        <f>+Risultati!U251</f>
        <v>0</v>
      </c>
      <c r="BF252" s="12" t="str">
        <f t="shared" si="201"/>
        <v>0</v>
      </c>
      <c r="BG252" s="12"/>
      <c r="BH252" s="10">
        <f t="shared" si="209"/>
        <v>0</v>
      </c>
      <c r="BI252" s="12" t="str">
        <f t="shared" si="202"/>
        <v>0</v>
      </c>
      <c r="BK252" s="16">
        <f>IF(ISNUMBER(Risultati!X251/100),(Risultati!X251/100))</f>
        <v>0</v>
      </c>
      <c r="BL252" s="16">
        <f>IF(ISNUMBER(Risultati!Y251/100),(Risultati!Y251/100))</f>
        <v>0</v>
      </c>
      <c r="BM252" s="16">
        <f>IF(ISNUMBER(Risultati!Z251/100),(Risultati!Z251/100))</f>
        <v>0</v>
      </c>
      <c r="BN252" s="16">
        <f>IF(AND(Risultati!AY251&lt;0,calcoli!AP252&lt;0),-IF(ISNUMBER(Risultati!AA251/100),(Risultati!AA251/100)),IF(ISNUMBER(Risultati!AA251/100),(Risultati!AA251/100)))</f>
        <v>0</v>
      </c>
      <c r="BO252" s="16" t="str">
        <f t="shared" si="183"/>
        <v>0</v>
      </c>
      <c r="BP252" s="16" t="str">
        <f>IF(Risultati!AB251&gt;0,(AV252/Risultati!AB251),"0")</f>
        <v>0</v>
      </c>
      <c r="BQ252" s="16" t="str">
        <f>IF(Risultati!AG251&lt;&gt;0,(BH252/Risultati!AG251),"0")</f>
        <v>0</v>
      </c>
      <c r="BR252" s="16" t="str">
        <f t="shared" si="184"/>
        <v>0</v>
      </c>
      <c r="BS252" s="14" t="str">
        <f>IF(Risultati!AB251&gt;0,(Risultati!G251/Risultati!AB251),"0")</f>
        <v>0</v>
      </c>
      <c r="BT252" s="15" t="str">
        <f>IF(Risultati!AG251&lt;&gt;0,(Risultati!AB251/Risultati!AG251),"0")</f>
        <v>0</v>
      </c>
      <c r="BU252" s="23" t="str">
        <f>IF(AND(Risultati!G251&gt;0,(Risultati!AE251-Risultati!AF251)&gt;=0),((Risultati!AE251-Risultati!AF251)/Risultati!G251*360),"0")</f>
        <v>0</v>
      </c>
      <c r="BV252" s="21" t="str">
        <f>IF(OR(E252="abbreviato",Risultati!G251=0),"0",((Risultati!AC251+Risultati!AD251)/Risultati!G251*360))</f>
        <v>0</v>
      </c>
      <c r="BW252" s="21" t="str">
        <f>IF(OR(E252="abbreviato",Risultati!G251=0,SUM(Risultati!I251+Risultati!K251+Risultati!M251)=0),"0",(((Risultati!AH251+Risultati!AI251)/(Risultati!I251+Risultati!K251+Risultati!N251)*360)))</f>
        <v>0</v>
      </c>
      <c r="BX252" s="16" t="str">
        <f>IF(Risultati!AB251&gt;0,(+Risultati!AG251/Risultati!AB251),"0")</f>
        <v>0</v>
      </c>
      <c r="BY252" s="22" t="str">
        <f>IF(OR(E252="abbreviato",Risultati!G251=0),"0",(((Risultati!AK251-(Risultati!AL251+Risultati!AM251))/Risultati!G251)))</f>
        <v>0</v>
      </c>
      <c r="BZ252" s="16" t="str">
        <f>IF(Risultati!G251&gt;0,(Risultati!AJ251/Risultati!G251),"0")</f>
        <v>0</v>
      </c>
      <c r="CA252" s="8"/>
      <c r="CB252" s="10">
        <f>+Risultati!AP251</f>
        <v>0</v>
      </c>
      <c r="CC252" s="31" t="str">
        <f t="shared" si="210"/>
        <v>0</v>
      </c>
      <c r="CD252" s="10">
        <f>+Risultati!AQ251</f>
        <v>0</v>
      </c>
      <c r="CE252" s="31" t="str">
        <f t="shared" si="211"/>
        <v>0</v>
      </c>
      <c r="CF252" s="10">
        <f>+Risultati!AR251</f>
        <v>0</v>
      </c>
      <c r="CG252" s="31" t="str">
        <f t="shared" si="212"/>
        <v>0</v>
      </c>
      <c r="CH252" s="10">
        <f>+Risultati!AS251</f>
        <v>0</v>
      </c>
      <c r="CI252" s="31" t="str">
        <f t="shared" si="213"/>
        <v>0</v>
      </c>
      <c r="CJ252" s="10">
        <f t="shared" si="214"/>
        <v>0</v>
      </c>
      <c r="CK252" s="31" t="str">
        <f t="shared" si="215"/>
        <v>0</v>
      </c>
      <c r="CL252" s="10">
        <f>+Risultati!AE251+Risultati!AF251</f>
        <v>0</v>
      </c>
      <c r="CM252" s="31" t="str">
        <f t="shared" si="216"/>
        <v>0</v>
      </c>
      <c r="CN252" s="10">
        <f>+Risultati!AT251</f>
        <v>0</v>
      </c>
      <c r="CO252" s="31" t="str">
        <f t="shared" si="217"/>
        <v>0</v>
      </c>
      <c r="CP252" s="10">
        <f>+Risultati!AU251</f>
        <v>0</v>
      </c>
      <c r="CQ252" s="31" t="str">
        <f t="shared" si="218"/>
        <v>0</v>
      </c>
      <c r="CR252" s="10">
        <f>+Risultati!AL251</f>
        <v>0</v>
      </c>
      <c r="CS252" s="31" t="str">
        <f t="shared" si="219"/>
        <v>0</v>
      </c>
      <c r="CT252" s="10">
        <f t="shared" si="220"/>
        <v>0</v>
      </c>
      <c r="CU252" s="31" t="str">
        <f t="shared" si="221"/>
        <v>0</v>
      </c>
      <c r="CV252" s="10">
        <f>+Risultati!AX251</f>
        <v>0</v>
      </c>
      <c r="CW252" s="31" t="str">
        <f t="shared" si="222"/>
        <v>0</v>
      </c>
      <c r="CX252" s="10">
        <f t="shared" si="223"/>
        <v>0</v>
      </c>
      <c r="CY252" s="31" t="str">
        <f t="shared" si="224"/>
        <v>0</v>
      </c>
      <c r="CZ252" s="10">
        <f>+Risultati!AG251</f>
        <v>0</v>
      </c>
      <c r="DA252" s="31" t="str">
        <f t="shared" si="225"/>
        <v>0</v>
      </c>
      <c r="DB252" s="10">
        <f t="shared" si="226"/>
        <v>0</v>
      </c>
      <c r="DC252" s="31" t="str">
        <f t="shared" si="227"/>
        <v>0</v>
      </c>
      <c r="DD252" s="10">
        <f>+Risultati!AV251</f>
        <v>0</v>
      </c>
      <c r="DE252" s="31" t="str">
        <f t="shared" si="228"/>
        <v>0</v>
      </c>
      <c r="DF252" s="10">
        <f>+Risultati!AJ251</f>
        <v>0</v>
      </c>
      <c r="DG252" s="31" t="str">
        <f t="shared" si="229"/>
        <v>0</v>
      </c>
      <c r="DH252" s="10">
        <f t="shared" si="230"/>
        <v>0</v>
      </c>
      <c r="DI252" s="31" t="str">
        <f t="shared" si="231"/>
        <v>0</v>
      </c>
      <c r="DJ252" s="10">
        <f>+Risultati!AW251</f>
        <v>0</v>
      </c>
      <c r="DK252" s="31" t="str">
        <f t="shared" si="232"/>
        <v>0</v>
      </c>
      <c r="DL252" s="10">
        <f t="shared" si="203"/>
        <v>0</v>
      </c>
      <c r="DM252" s="31" t="str">
        <f t="shared" si="233"/>
        <v>0</v>
      </c>
      <c r="DO252" s="30"/>
      <c r="DP252" s="30"/>
    </row>
    <row r="253" spans="1:120" x14ac:dyDescent="0.2">
      <c r="A253" s="5"/>
      <c r="B253" s="6">
        <f>+Risultati!B252</f>
        <v>0</v>
      </c>
      <c r="C253" s="6">
        <f>+Risultati!C252</f>
        <v>0</v>
      </c>
      <c r="D253" s="26" t="str">
        <f>IF(YEAR(Risultati!D252)=1900,(MID(Risultati!$AP$1,29,4)),YEAR(Risultati!D252))</f>
        <v/>
      </c>
      <c r="E253" s="6">
        <f>+Risultati!E252</f>
        <v>0</v>
      </c>
      <c r="F253" s="8" t="e">
        <f>(LEFT(Risultati!AN252,2)&amp;"-")&amp;VLOOKUP((LEFT(Risultati!AN252,2)),ateco!$B$4:$C$93,2,FALSE)</f>
        <v>#N/A</v>
      </c>
      <c r="G253" s="8" t="str">
        <f>SUBSTITUTE((Risultati!AN252&amp;"-"&amp;Risultati!AO252),",",";")</f>
        <v>-</v>
      </c>
      <c r="I253" s="10">
        <f>+Risultati!G252</f>
        <v>0</v>
      </c>
      <c r="J253" s="11" t="str">
        <f t="shared" si="185"/>
        <v>0</v>
      </c>
      <c r="K253" s="12"/>
      <c r="L253" s="10">
        <f>+Risultati!G252+Risultati!H252</f>
        <v>0</v>
      </c>
      <c r="M253" s="11" t="str">
        <f t="shared" si="186"/>
        <v>0</v>
      </c>
      <c r="N253" s="12"/>
      <c r="O253" s="10">
        <f>+Risultati!I252+Risultati!J252</f>
        <v>0</v>
      </c>
      <c r="P253" s="11" t="str">
        <f t="shared" si="187"/>
        <v>0</v>
      </c>
      <c r="Q253" s="12"/>
      <c r="R253" s="13">
        <f t="shared" si="204"/>
        <v>0</v>
      </c>
      <c r="S253" s="11" t="str">
        <f t="shared" si="188"/>
        <v>0</v>
      </c>
      <c r="T253" s="12"/>
      <c r="U253" s="10">
        <f>+Risultati!F252-(Risultati!G252+Risultati!H252)</f>
        <v>0</v>
      </c>
      <c r="V253" s="12" t="str">
        <f t="shared" si="189"/>
        <v>0</v>
      </c>
      <c r="W253" s="12"/>
      <c r="X253" s="10">
        <f t="shared" si="205"/>
        <v>0</v>
      </c>
      <c r="Y253" s="12" t="str">
        <f t="shared" si="190"/>
        <v>0</v>
      </c>
      <c r="Z253" s="12"/>
      <c r="AA253" s="10">
        <f>+Risultati!K252</f>
        <v>0</v>
      </c>
      <c r="AB253" s="12" t="str">
        <f t="shared" si="191"/>
        <v>0</v>
      </c>
      <c r="AC253" s="12"/>
      <c r="AD253" s="10">
        <f>+Risultati!L252</f>
        <v>0</v>
      </c>
      <c r="AE253" s="12" t="str">
        <f t="shared" si="192"/>
        <v>0</v>
      </c>
      <c r="AF253" s="12"/>
      <c r="AG253" s="10">
        <f>+Risultati!M252+Risultati!P252+Risultati!Q252</f>
        <v>0</v>
      </c>
      <c r="AH253" s="12" t="str">
        <f t="shared" si="193"/>
        <v>0</v>
      </c>
      <c r="AI253" s="12"/>
      <c r="AJ253" s="13">
        <f t="shared" si="206"/>
        <v>0</v>
      </c>
      <c r="AK253" s="11" t="str">
        <f t="shared" si="194"/>
        <v>0</v>
      </c>
      <c r="AL253" s="12"/>
      <c r="AM253" s="10">
        <f>+Risultati!N252</f>
        <v>0</v>
      </c>
      <c r="AN253" s="12" t="str">
        <f t="shared" si="195"/>
        <v>0</v>
      </c>
      <c r="AO253" s="12"/>
      <c r="AP253" s="10">
        <f t="shared" si="207"/>
        <v>0</v>
      </c>
      <c r="AQ253" s="41" t="str">
        <f t="shared" si="196"/>
        <v>0</v>
      </c>
      <c r="AR253" s="12"/>
      <c r="AS253" s="10">
        <f>+Risultati!O252</f>
        <v>0</v>
      </c>
      <c r="AT253" s="12" t="str">
        <f t="shared" si="197"/>
        <v>0</v>
      </c>
      <c r="AU253" s="12"/>
      <c r="AV253" s="10">
        <f t="shared" si="208"/>
        <v>0</v>
      </c>
      <c r="AW253" s="12" t="str">
        <f t="shared" si="198"/>
        <v>0</v>
      </c>
      <c r="AX253" s="12"/>
      <c r="AY253" s="10">
        <f>+Risultati!R252+Risultati!S252</f>
        <v>0</v>
      </c>
      <c r="AZ253" s="12" t="str">
        <f t="shared" si="199"/>
        <v>0</v>
      </c>
      <c r="BA253" s="12"/>
      <c r="BB253" s="10">
        <f>+Risultati!T252</f>
        <v>0</v>
      </c>
      <c r="BC253" s="12" t="str">
        <f t="shared" si="200"/>
        <v>0</v>
      </c>
      <c r="BD253" s="12"/>
      <c r="BE253" s="10">
        <f>+Risultati!U252</f>
        <v>0</v>
      </c>
      <c r="BF253" s="12" t="str">
        <f t="shared" si="201"/>
        <v>0</v>
      </c>
      <c r="BG253" s="12"/>
      <c r="BH253" s="10">
        <f t="shared" si="209"/>
        <v>0</v>
      </c>
      <c r="BI253" s="12" t="str">
        <f t="shared" si="202"/>
        <v>0</v>
      </c>
      <c r="BK253" s="16">
        <f>IF(ISNUMBER(Risultati!X252/100),(Risultati!X252/100))</f>
        <v>0</v>
      </c>
      <c r="BL253" s="16">
        <f>IF(ISNUMBER(Risultati!Y252/100),(Risultati!Y252/100))</f>
        <v>0</v>
      </c>
      <c r="BM253" s="16">
        <f>IF(ISNUMBER(Risultati!Z252/100),(Risultati!Z252/100))</f>
        <v>0</v>
      </c>
      <c r="BN253" s="16">
        <f>IF(AND(Risultati!AY252&lt;0,calcoli!AP253&lt;0),-IF(ISNUMBER(Risultati!AA252/100),(Risultati!AA252/100)),IF(ISNUMBER(Risultati!AA252/100),(Risultati!AA252/100)))</f>
        <v>0</v>
      </c>
      <c r="BO253" s="16" t="str">
        <f t="shared" si="183"/>
        <v>0</v>
      </c>
      <c r="BP253" s="16" t="str">
        <f>IF(Risultati!AB252&gt;0,(AV253/Risultati!AB252),"0")</f>
        <v>0</v>
      </c>
      <c r="BQ253" s="16" t="str">
        <f>IF(Risultati!AG252&lt;&gt;0,(BH253/Risultati!AG252),"0")</f>
        <v>0</v>
      </c>
      <c r="BR253" s="16" t="str">
        <f t="shared" si="184"/>
        <v>0</v>
      </c>
      <c r="BS253" s="14" t="str">
        <f>IF(Risultati!AB252&gt;0,(Risultati!G252/Risultati!AB252),"0")</f>
        <v>0</v>
      </c>
      <c r="BT253" s="15" t="str">
        <f>IF(Risultati!AG252&lt;&gt;0,(Risultati!AB252/Risultati!AG252),"0")</f>
        <v>0</v>
      </c>
      <c r="BU253" s="23" t="str">
        <f>IF(AND(Risultati!G252&gt;0,(Risultati!AE252-Risultati!AF252)&gt;=0),((Risultati!AE252-Risultati!AF252)/Risultati!G252*360),"0")</f>
        <v>0</v>
      </c>
      <c r="BV253" s="21" t="str">
        <f>IF(OR(E253="abbreviato",Risultati!G252=0),"0",((Risultati!AC252+Risultati!AD252)/Risultati!G252*360))</f>
        <v>0</v>
      </c>
      <c r="BW253" s="21" t="str">
        <f>IF(OR(E253="abbreviato",Risultati!G252=0,SUM(Risultati!I252+Risultati!K252+Risultati!M252)=0),"0",(((Risultati!AH252+Risultati!AI252)/(Risultati!I252+Risultati!K252+Risultati!N252)*360)))</f>
        <v>0</v>
      </c>
      <c r="BX253" s="16" t="str">
        <f>IF(Risultati!AB252&gt;0,(+Risultati!AG252/Risultati!AB252),"0")</f>
        <v>0</v>
      </c>
      <c r="BY253" s="22" t="str">
        <f>IF(OR(E253="abbreviato",Risultati!G252=0),"0",(((Risultati!AK252-(Risultati!AL252+Risultati!AM252))/Risultati!G252)))</f>
        <v>0</v>
      </c>
      <c r="BZ253" s="16" t="str">
        <f>IF(Risultati!G252&gt;0,(Risultati!AJ252/Risultati!G252),"0")</f>
        <v>0</v>
      </c>
      <c r="CA253" s="8"/>
      <c r="CB253" s="10">
        <f>+Risultati!AP252</f>
        <v>0</v>
      </c>
      <c r="CC253" s="31" t="str">
        <f t="shared" si="210"/>
        <v>0</v>
      </c>
      <c r="CD253" s="10">
        <f>+Risultati!AQ252</f>
        <v>0</v>
      </c>
      <c r="CE253" s="31" t="str">
        <f t="shared" si="211"/>
        <v>0</v>
      </c>
      <c r="CF253" s="10">
        <f>+Risultati!AR252</f>
        <v>0</v>
      </c>
      <c r="CG253" s="31" t="str">
        <f t="shared" si="212"/>
        <v>0</v>
      </c>
      <c r="CH253" s="10">
        <f>+Risultati!AS252</f>
        <v>0</v>
      </c>
      <c r="CI253" s="31" t="str">
        <f t="shared" si="213"/>
        <v>0</v>
      </c>
      <c r="CJ253" s="10">
        <f t="shared" si="214"/>
        <v>0</v>
      </c>
      <c r="CK253" s="31" t="str">
        <f t="shared" si="215"/>
        <v>0</v>
      </c>
      <c r="CL253" s="10">
        <f>+Risultati!AE252+Risultati!AF252</f>
        <v>0</v>
      </c>
      <c r="CM253" s="31" t="str">
        <f t="shared" si="216"/>
        <v>0</v>
      </c>
      <c r="CN253" s="10">
        <f>+Risultati!AT252</f>
        <v>0</v>
      </c>
      <c r="CO253" s="31" t="str">
        <f t="shared" si="217"/>
        <v>0</v>
      </c>
      <c r="CP253" s="10">
        <f>+Risultati!AU252</f>
        <v>0</v>
      </c>
      <c r="CQ253" s="31" t="str">
        <f t="shared" si="218"/>
        <v>0</v>
      </c>
      <c r="CR253" s="10">
        <f>+Risultati!AL252</f>
        <v>0</v>
      </c>
      <c r="CS253" s="31" t="str">
        <f t="shared" si="219"/>
        <v>0</v>
      </c>
      <c r="CT253" s="10">
        <f t="shared" si="220"/>
        <v>0</v>
      </c>
      <c r="CU253" s="31" t="str">
        <f t="shared" si="221"/>
        <v>0</v>
      </c>
      <c r="CV253" s="10">
        <f>+Risultati!AX252</f>
        <v>0</v>
      </c>
      <c r="CW253" s="31" t="str">
        <f t="shared" si="222"/>
        <v>0</v>
      </c>
      <c r="CX253" s="10">
        <f t="shared" si="223"/>
        <v>0</v>
      </c>
      <c r="CY253" s="31" t="str">
        <f t="shared" si="224"/>
        <v>0</v>
      </c>
      <c r="CZ253" s="10">
        <f>+Risultati!AG252</f>
        <v>0</v>
      </c>
      <c r="DA253" s="31" t="str">
        <f t="shared" si="225"/>
        <v>0</v>
      </c>
      <c r="DB253" s="10">
        <f t="shared" si="226"/>
        <v>0</v>
      </c>
      <c r="DC253" s="31" t="str">
        <f t="shared" si="227"/>
        <v>0</v>
      </c>
      <c r="DD253" s="10">
        <f>+Risultati!AV252</f>
        <v>0</v>
      </c>
      <c r="DE253" s="31" t="str">
        <f t="shared" si="228"/>
        <v>0</v>
      </c>
      <c r="DF253" s="10">
        <f>+Risultati!AJ252</f>
        <v>0</v>
      </c>
      <c r="DG253" s="31" t="str">
        <f t="shared" si="229"/>
        <v>0</v>
      </c>
      <c r="DH253" s="10">
        <f t="shared" si="230"/>
        <v>0</v>
      </c>
      <c r="DI253" s="31" t="str">
        <f t="shared" si="231"/>
        <v>0</v>
      </c>
      <c r="DJ253" s="10">
        <f>+Risultati!AW252</f>
        <v>0</v>
      </c>
      <c r="DK253" s="31" t="str">
        <f t="shared" si="232"/>
        <v>0</v>
      </c>
      <c r="DL253" s="10">
        <f t="shared" si="203"/>
        <v>0</v>
      </c>
      <c r="DM253" s="31" t="str">
        <f t="shared" si="233"/>
        <v>0</v>
      </c>
      <c r="DO253" s="30"/>
      <c r="DP253" s="30"/>
    </row>
    <row r="254" spans="1:120" x14ac:dyDescent="0.2">
      <c r="A254" s="5"/>
      <c r="B254" s="6">
        <f>+Risultati!B253</f>
        <v>0</v>
      </c>
      <c r="C254" s="6">
        <f>+Risultati!C253</f>
        <v>0</v>
      </c>
      <c r="D254" s="26" t="str">
        <f>IF(YEAR(Risultati!D253)=1900,(MID(Risultati!$AP$1,29,4)),YEAR(Risultati!D253))</f>
        <v/>
      </c>
      <c r="E254" s="6">
        <f>+Risultati!E253</f>
        <v>0</v>
      </c>
      <c r="F254" s="8" t="e">
        <f>(LEFT(Risultati!AN253,2)&amp;"-")&amp;VLOOKUP((LEFT(Risultati!AN253,2)),ateco!$B$4:$C$93,2,FALSE)</f>
        <v>#N/A</v>
      </c>
      <c r="G254" s="8" t="str">
        <f>SUBSTITUTE((Risultati!AN253&amp;"-"&amp;Risultati!AO253),",",";")</f>
        <v>-</v>
      </c>
      <c r="I254" s="10">
        <f>+Risultati!G253</f>
        <v>0</v>
      </c>
      <c r="J254" s="11" t="str">
        <f t="shared" si="185"/>
        <v>0</v>
      </c>
      <c r="K254" s="12"/>
      <c r="L254" s="10">
        <f>+Risultati!G253+Risultati!H253</f>
        <v>0</v>
      </c>
      <c r="M254" s="11" t="str">
        <f t="shared" si="186"/>
        <v>0</v>
      </c>
      <c r="N254" s="12"/>
      <c r="O254" s="10">
        <f>+Risultati!I253+Risultati!J253</f>
        <v>0</v>
      </c>
      <c r="P254" s="11" t="str">
        <f t="shared" si="187"/>
        <v>0</v>
      </c>
      <c r="Q254" s="12"/>
      <c r="R254" s="13">
        <f t="shared" si="204"/>
        <v>0</v>
      </c>
      <c r="S254" s="11" t="str">
        <f t="shared" si="188"/>
        <v>0</v>
      </c>
      <c r="T254" s="12"/>
      <c r="U254" s="10">
        <f>+Risultati!F253-(Risultati!G253+Risultati!H253)</f>
        <v>0</v>
      </c>
      <c r="V254" s="12" t="str">
        <f t="shared" si="189"/>
        <v>0</v>
      </c>
      <c r="W254" s="12"/>
      <c r="X254" s="10">
        <f t="shared" si="205"/>
        <v>0</v>
      </c>
      <c r="Y254" s="12" t="str">
        <f t="shared" si="190"/>
        <v>0</v>
      </c>
      <c r="Z254" s="12"/>
      <c r="AA254" s="10">
        <f>+Risultati!K253</f>
        <v>0</v>
      </c>
      <c r="AB254" s="12" t="str">
        <f t="shared" si="191"/>
        <v>0</v>
      </c>
      <c r="AC254" s="12"/>
      <c r="AD254" s="10">
        <f>+Risultati!L253</f>
        <v>0</v>
      </c>
      <c r="AE254" s="12" t="str">
        <f t="shared" si="192"/>
        <v>0</v>
      </c>
      <c r="AF254" s="12"/>
      <c r="AG254" s="10">
        <f>+Risultati!M253+Risultati!P253+Risultati!Q253</f>
        <v>0</v>
      </c>
      <c r="AH254" s="12" t="str">
        <f t="shared" si="193"/>
        <v>0</v>
      </c>
      <c r="AI254" s="12"/>
      <c r="AJ254" s="13">
        <f t="shared" si="206"/>
        <v>0</v>
      </c>
      <c r="AK254" s="11" t="str">
        <f t="shared" si="194"/>
        <v>0</v>
      </c>
      <c r="AL254" s="12"/>
      <c r="AM254" s="10">
        <f>+Risultati!N253</f>
        <v>0</v>
      </c>
      <c r="AN254" s="12" t="str">
        <f t="shared" si="195"/>
        <v>0</v>
      </c>
      <c r="AO254" s="12"/>
      <c r="AP254" s="10">
        <f t="shared" si="207"/>
        <v>0</v>
      </c>
      <c r="AQ254" s="41" t="str">
        <f t="shared" si="196"/>
        <v>0</v>
      </c>
      <c r="AR254" s="12"/>
      <c r="AS254" s="10">
        <f>+Risultati!O253</f>
        <v>0</v>
      </c>
      <c r="AT254" s="12" t="str">
        <f t="shared" si="197"/>
        <v>0</v>
      </c>
      <c r="AU254" s="12"/>
      <c r="AV254" s="10">
        <f t="shared" si="208"/>
        <v>0</v>
      </c>
      <c r="AW254" s="12" t="str">
        <f t="shared" si="198"/>
        <v>0</v>
      </c>
      <c r="AX254" s="12"/>
      <c r="AY254" s="10">
        <f>+Risultati!R253+Risultati!S253</f>
        <v>0</v>
      </c>
      <c r="AZ254" s="12" t="str">
        <f t="shared" si="199"/>
        <v>0</v>
      </c>
      <c r="BA254" s="12"/>
      <c r="BB254" s="10">
        <f>+Risultati!T253</f>
        <v>0</v>
      </c>
      <c r="BC254" s="12" t="str">
        <f t="shared" si="200"/>
        <v>0</v>
      </c>
      <c r="BD254" s="12"/>
      <c r="BE254" s="10">
        <f>+Risultati!U253</f>
        <v>0</v>
      </c>
      <c r="BF254" s="12" t="str">
        <f t="shared" si="201"/>
        <v>0</v>
      </c>
      <c r="BG254" s="12"/>
      <c r="BH254" s="10">
        <f t="shared" si="209"/>
        <v>0</v>
      </c>
      <c r="BI254" s="12" t="str">
        <f t="shared" si="202"/>
        <v>0</v>
      </c>
      <c r="BK254" s="16">
        <f>IF(ISNUMBER(Risultati!X253/100),(Risultati!X253/100))</f>
        <v>0</v>
      </c>
      <c r="BL254" s="16">
        <f>IF(ISNUMBER(Risultati!Y253/100),(Risultati!Y253/100))</f>
        <v>0</v>
      </c>
      <c r="BM254" s="16">
        <f>IF(ISNUMBER(Risultati!Z253/100),(Risultati!Z253/100))</f>
        <v>0</v>
      </c>
      <c r="BN254" s="16">
        <f>IF(AND(Risultati!AY253&lt;0,calcoli!AP254&lt;0),-IF(ISNUMBER(Risultati!AA253/100),(Risultati!AA253/100)),IF(ISNUMBER(Risultati!AA253/100),(Risultati!AA253/100)))</f>
        <v>0</v>
      </c>
      <c r="BO254" s="16" t="str">
        <f t="shared" si="183"/>
        <v>0</v>
      </c>
      <c r="BP254" s="16" t="str">
        <f>IF(Risultati!AB253&gt;0,(AV254/Risultati!AB253),"0")</f>
        <v>0</v>
      </c>
      <c r="BQ254" s="16" t="str">
        <f>IF(Risultati!AG253&lt;&gt;0,(BH254/Risultati!AG253),"0")</f>
        <v>0</v>
      </c>
      <c r="BR254" s="16" t="str">
        <f t="shared" si="184"/>
        <v>0</v>
      </c>
      <c r="BS254" s="14" t="str">
        <f>IF(Risultati!AB253&gt;0,(Risultati!G253/Risultati!AB253),"0")</f>
        <v>0</v>
      </c>
      <c r="BT254" s="15" t="str">
        <f>IF(Risultati!AG253&lt;&gt;0,(Risultati!AB253/Risultati!AG253),"0")</f>
        <v>0</v>
      </c>
      <c r="BU254" s="23" t="str">
        <f>IF(AND(Risultati!G253&gt;0,(Risultati!AE253-Risultati!AF253)&gt;=0),((Risultati!AE253-Risultati!AF253)/Risultati!G253*360),"0")</f>
        <v>0</v>
      </c>
      <c r="BV254" s="21" t="str">
        <f>IF(OR(E254="abbreviato",Risultati!G253=0),"0",((Risultati!AC253+Risultati!AD253)/Risultati!G253*360))</f>
        <v>0</v>
      </c>
      <c r="BW254" s="21" t="str">
        <f>IF(OR(E254="abbreviato",Risultati!G253=0,SUM(Risultati!I253+Risultati!K253+Risultati!M253)=0),"0",(((Risultati!AH253+Risultati!AI253)/(Risultati!I253+Risultati!K253+Risultati!N253)*360)))</f>
        <v>0</v>
      </c>
      <c r="BX254" s="16" t="str">
        <f>IF(Risultati!AB253&gt;0,(+Risultati!AG253/Risultati!AB253),"0")</f>
        <v>0</v>
      </c>
      <c r="BY254" s="22" t="str">
        <f>IF(OR(E254="abbreviato",Risultati!G253=0),"0",(((Risultati!AK253-(Risultati!AL253+Risultati!AM253))/Risultati!G253)))</f>
        <v>0</v>
      </c>
      <c r="BZ254" s="16" t="str">
        <f>IF(Risultati!G253&gt;0,(Risultati!AJ253/Risultati!G253),"0")</f>
        <v>0</v>
      </c>
      <c r="CA254" s="8"/>
      <c r="CB254" s="10">
        <f>+Risultati!AP253</f>
        <v>0</v>
      </c>
      <c r="CC254" s="31" t="str">
        <f t="shared" si="210"/>
        <v>0</v>
      </c>
      <c r="CD254" s="10">
        <f>+Risultati!AQ253</f>
        <v>0</v>
      </c>
      <c r="CE254" s="31" t="str">
        <f t="shared" si="211"/>
        <v>0</v>
      </c>
      <c r="CF254" s="10">
        <f>+Risultati!AR253</f>
        <v>0</v>
      </c>
      <c r="CG254" s="31" t="str">
        <f t="shared" si="212"/>
        <v>0</v>
      </c>
      <c r="CH254" s="10">
        <f>+Risultati!AS253</f>
        <v>0</v>
      </c>
      <c r="CI254" s="31" t="str">
        <f t="shared" si="213"/>
        <v>0</v>
      </c>
      <c r="CJ254" s="10">
        <f t="shared" si="214"/>
        <v>0</v>
      </c>
      <c r="CK254" s="31" t="str">
        <f t="shared" si="215"/>
        <v>0</v>
      </c>
      <c r="CL254" s="10">
        <f>+Risultati!AE253+Risultati!AF253</f>
        <v>0</v>
      </c>
      <c r="CM254" s="31" t="str">
        <f t="shared" si="216"/>
        <v>0</v>
      </c>
      <c r="CN254" s="10">
        <f>+Risultati!AT253</f>
        <v>0</v>
      </c>
      <c r="CO254" s="31" t="str">
        <f t="shared" si="217"/>
        <v>0</v>
      </c>
      <c r="CP254" s="10">
        <f>+Risultati!AU253</f>
        <v>0</v>
      </c>
      <c r="CQ254" s="31" t="str">
        <f t="shared" si="218"/>
        <v>0</v>
      </c>
      <c r="CR254" s="10">
        <f>+Risultati!AL253</f>
        <v>0</v>
      </c>
      <c r="CS254" s="31" t="str">
        <f t="shared" si="219"/>
        <v>0</v>
      </c>
      <c r="CT254" s="10">
        <f t="shared" si="220"/>
        <v>0</v>
      </c>
      <c r="CU254" s="31" t="str">
        <f t="shared" si="221"/>
        <v>0</v>
      </c>
      <c r="CV254" s="10">
        <f>+Risultati!AX253</f>
        <v>0</v>
      </c>
      <c r="CW254" s="31" t="str">
        <f t="shared" si="222"/>
        <v>0</v>
      </c>
      <c r="CX254" s="10">
        <f t="shared" si="223"/>
        <v>0</v>
      </c>
      <c r="CY254" s="31" t="str">
        <f t="shared" si="224"/>
        <v>0</v>
      </c>
      <c r="CZ254" s="10">
        <f>+Risultati!AG253</f>
        <v>0</v>
      </c>
      <c r="DA254" s="31" t="str">
        <f t="shared" si="225"/>
        <v>0</v>
      </c>
      <c r="DB254" s="10">
        <f t="shared" si="226"/>
        <v>0</v>
      </c>
      <c r="DC254" s="31" t="str">
        <f t="shared" si="227"/>
        <v>0</v>
      </c>
      <c r="DD254" s="10">
        <f>+Risultati!AV253</f>
        <v>0</v>
      </c>
      <c r="DE254" s="31" t="str">
        <f t="shared" si="228"/>
        <v>0</v>
      </c>
      <c r="DF254" s="10">
        <f>+Risultati!AJ253</f>
        <v>0</v>
      </c>
      <c r="DG254" s="31" t="str">
        <f t="shared" si="229"/>
        <v>0</v>
      </c>
      <c r="DH254" s="10">
        <f t="shared" si="230"/>
        <v>0</v>
      </c>
      <c r="DI254" s="31" t="str">
        <f t="shared" si="231"/>
        <v>0</v>
      </c>
      <c r="DJ254" s="10">
        <f>+Risultati!AW253</f>
        <v>0</v>
      </c>
      <c r="DK254" s="31" t="str">
        <f t="shared" si="232"/>
        <v>0</v>
      </c>
      <c r="DL254" s="10">
        <f t="shared" si="203"/>
        <v>0</v>
      </c>
      <c r="DM254" s="31" t="str">
        <f t="shared" si="233"/>
        <v>0</v>
      </c>
      <c r="DO254" s="30"/>
      <c r="DP254" s="30"/>
    </row>
    <row r="255" spans="1:120" x14ac:dyDescent="0.2">
      <c r="A255" s="5"/>
      <c r="B255" s="6">
        <f>+Risultati!B254</f>
        <v>0</v>
      </c>
      <c r="C255" s="6">
        <f>+Risultati!C254</f>
        <v>0</v>
      </c>
      <c r="D255" s="26" t="str">
        <f>IF(YEAR(Risultati!D254)=1900,(MID(Risultati!$AP$1,29,4)),YEAR(Risultati!D254))</f>
        <v/>
      </c>
      <c r="E255" s="6">
        <f>+Risultati!E254</f>
        <v>0</v>
      </c>
      <c r="F255" s="8" t="e">
        <f>(LEFT(Risultati!AN254,2)&amp;"-")&amp;VLOOKUP((LEFT(Risultati!AN254,2)),ateco!$B$4:$C$93,2,FALSE)</f>
        <v>#N/A</v>
      </c>
      <c r="G255" s="8" t="str">
        <f>SUBSTITUTE((Risultati!AN254&amp;"-"&amp;Risultati!AO254),",",";")</f>
        <v>-</v>
      </c>
      <c r="I255" s="10">
        <f>+Risultati!G254</f>
        <v>0</v>
      </c>
      <c r="J255" s="11" t="str">
        <f t="shared" si="185"/>
        <v>0</v>
      </c>
      <c r="K255" s="12"/>
      <c r="L255" s="10">
        <f>+Risultati!G254+Risultati!H254</f>
        <v>0</v>
      </c>
      <c r="M255" s="11" t="str">
        <f t="shared" si="186"/>
        <v>0</v>
      </c>
      <c r="N255" s="12"/>
      <c r="O255" s="10">
        <f>+Risultati!I254+Risultati!J254</f>
        <v>0</v>
      </c>
      <c r="P255" s="11" t="str">
        <f t="shared" si="187"/>
        <v>0</v>
      </c>
      <c r="Q255" s="12"/>
      <c r="R255" s="13">
        <f t="shared" si="204"/>
        <v>0</v>
      </c>
      <c r="S255" s="11" t="str">
        <f t="shared" si="188"/>
        <v>0</v>
      </c>
      <c r="T255" s="12"/>
      <c r="U255" s="10">
        <f>+Risultati!F254-(Risultati!G254+Risultati!H254)</f>
        <v>0</v>
      </c>
      <c r="V255" s="12" t="str">
        <f t="shared" si="189"/>
        <v>0</v>
      </c>
      <c r="W255" s="12"/>
      <c r="X255" s="10">
        <f t="shared" si="205"/>
        <v>0</v>
      </c>
      <c r="Y255" s="12" t="str">
        <f t="shared" si="190"/>
        <v>0</v>
      </c>
      <c r="Z255" s="12"/>
      <c r="AA255" s="10">
        <f>+Risultati!K254</f>
        <v>0</v>
      </c>
      <c r="AB255" s="12" t="str">
        <f t="shared" si="191"/>
        <v>0</v>
      </c>
      <c r="AC255" s="12"/>
      <c r="AD255" s="10">
        <f>+Risultati!L254</f>
        <v>0</v>
      </c>
      <c r="AE255" s="12" t="str">
        <f t="shared" si="192"/>
        <v>0</v>
      </c>
      <c r="AF255" s="12"/>
      <c r="AG255" s="10">
        <f>+Risultati!M254+Risultati!P254+Risultati!Q254</f>
        <v>0</v>
      </c>
      <c r="AH255" s="12" t="str">
        <f t="shared" si="193"/>
        <v>0</v>
      </c>
      <c r="AI255" s="12"/>
      <c r="AJ255" s="13">
        <f t="shared" si="206"/>
        <v>0</v>
      </c>
      <c r="AK255" s="11" t="str">
        <f t="shared" si="194"/>
        <v>0</v>
      </c>
      <c r="AL255" s="12"/>
      <c r="AM255" s="10">
        <f>+Risultati!N254</f>
        <v>0</v>
      </c>
      <c r="AN255" s="12" t="str">
        <f t="shared" si="195"/>
        <v>0</v>
      </c>
      <c r="AO255" s="12"/>
      <c r="AP255" s="10">
        <f t="shared" si="207"/>
        <v>0</v>
      </c>
      <c r="AQ255" s="41" t="str">
        <f t="shared" si="196"/>
        <v>0</v>
      </c>
      <c r="AR255" s="12"/>
      <c r="AS255" s="10">
        <f>+Risultati!O254</f>
        <v>0</v>
      </c>
      <c r="AT255" s="12" t="str">
        <f t="shared" si="197"/>
        <v>0</v>
      </c>
      <c r="AU255" s="12"/>
      <c r="AV255" s="10">
        <f t="shared" si="208"/>
        <v>0</v>
      </c>
      <c r="AW255" s="12" t="str">
        <f t="shared" si="198"/>
        <v>0</v>
      </c>
      <c r="AX255" s="12"/>
      <c r="AY255" s="10">
        <f>+Risultati!R254+Risultati!S254</f>
        <v>0</v>
      </c>
      <c r="AZ255" s="12" t="str">
        <f t="shared" si="199"/>
        <v>0</v>
      </c>
      <c r="BA255" s="12"/>
      <c r="BB255" s="10">
        <f>+Risultati!T254</f>
        <v>0</v>
      </c>
      <c r="BC255" s="12" t="str">
        <f t="shared" si="200"/>
        <v>0</v>
      </c>
      <c r="BD255" s="12"/>
      <c r="BE255" s="10">
        <f>+Risultati!U254</f>
        <v>0</v>
      </c>
      <c r="BF255" s="12" t="str">
        <f t="shared" si="201"/>
        <v>0</v>
      </c>
      <c r="BG255" s="12"/>
      <c r="BH255" s="10">
        <f t="shared" si="209"/>
        <v>0</v>
      </c>
      <c r="BI255" s="12" t="str">
        <f t="shared" si="202"/>
        <v>0</v>
      </c>
      <c r="BK255" s="16">
        <f>IF(ISNUMBER(Risultati!X254/100),(Risultati!X254/100))</f>
        <v>0</v>
      </c>
      <c r="BL255" s="16">
        <f>IF(ISNUMBER(Risultati!Y254/100),(Risultati!Y254/100))</f>
        <v>0</v>
      </c>
      <c r="BM255" s="16">
        <f>IF(ISNUMBER(Risultati!Z254/100),(Risultati!Z254/100))</f>
        <v>0</v>
      </c>
      <c r="BN255" s="16">
        <f>IF(AND(Risultati!AY254&lt;0,calcoli!AP255&lt;0),-IF(ISNUMBER(Risultati!AA254/100),(Risultati!AA254/100)),IF(ISNUMBER(Risultati!AA254/100),(Risultati!AA254/100)))</f>
        <v>0</v>
      </c>
      <c r="BO255" s="16" t="str">
        <f t="shared" si="183"/>
        <v>0</v>
      </c>
      <c r="BP255" s="16" t="str">
        <f>IF(Risultati!AB254&gt;0,(AV255/Risultati!AB254),"0")</f>
        <v>0</v>
      </c>
      <c r="BQ255" s="16" t="str">
        <f>IF(Risultati!AG254&lt;&gt;0,(BH255/Risultati!AG254),"0")</f>
        <v>0</v>
      </c>
      <c r="BR255" s="16" t="str">
        <f t="shared" si="184"/>
        <v>0</v>
      </c>
      <c r="BS255" s="14" t="str">
        <f>IF(Risultati!AB254&gt;0,(Risultati!G254/Risultati!AB254),"0")</f>
        <v>0</v>
      </c>
      <c r="BT255" s="15" t="str">
        <f>IF(Risultati!AG254&lt;&gt;0,(Risultati!AB254/Risultati!AG254),"0")</f>
        <v>0</v>
      </c>
      <c r="BU255" s="23" t="str">
        <f>IF(AND(Risultati!G254&gt;0,(Risultati!AE254-Risultati!AF254)&gt;=0),((Risultati!AE254-Risultati!AF254)/Risultati!G254*360),"0")</f>
        <v>0</v>
      </c>
      <c r="BV255" s="21" t="str">
        <f>IF(OR(E255="abbreviato",Risultati!G254=0),"0",((Risultati!AC254+Risultati!AD254)/Risultati!G254*360))</f>
        <v>0</v>
      </c>
      <c r="BW255" s="21" t="str">
        <f>IF(OR(E255="abbreviato",Risultati!G254=0,SUM(Risultati!I254+Risultati!K254+Risultati!M254)=0),"0",(((Risultati!AH254+Risultati!AI254)/(Risultati!I254+Risultati!K254+Risultati!N254)*360)))</f>
        <v>0</v>
      </c>
      <c r="BX255" s="16" t="str">
        <f>IF(Risultati!AB254&gt;0,(+Risultati!AG254/Risultati!AB254),"0")</f>
        <v>0</v>
      </c>
      <c r="BY255" s="22" t="str">
        <f>IF(OR(E255="abbreviato",Risultati!G254=0),"0",(((Risultati!AK254-(Risultati!AL254+Risultati!AM254))/Risultati!G254)))</f>
        <v>0</v>
      </c>
      <c r="BZ255" s="16" t="str">
        <f>IF(Risultati!G254&gt;0,(Risultati!AJ254/Risultati!G254),"0")</f>
        <v>0</v>
      </c>
      <c r="CA255" s="8"/>
      <c r="CB255" s="10">
        <f>+Risultati!AP254</f>
        <v>0</v>
      </c>
      <c r="CC255" s="31" t="str">
        <f t="shared" si="210"/>
        <v>0</v>
      </c>
      <c r="CD255" s="10">
        <f>+Risultati!AQ254</f>
        <v>0</v>
      </c>
      <c r="CE255" s="31" t="str">
        <f t="shared" si="211"/>
        <v>0</v>
      </c>
      <c r="CF255" s="10">
        <f>+Risultati!AR254</f>
        <v>0</v>
      </c>
      <c r="CG255" s="31" t="str">
        <f t="shared" si="212"/>
        <v>0</v>
      </c>
      <c r="CH255" s="10">
        <f>+Risultati!AS254</f>
        <v>0</v>
      </c>
      <c r="CI255" s="31" t="str">
        <f t="shared" si="213"/>
        <v>0</v>
      </c>
      <c r="CJ255" s="10">
        <f t="shared" si="214"/>
        <v>0</v>
      </c>
      <c r="CK255" s="31" t="str">
        <f t="shared" si="215"/>
        <v>0</v>
      </c>
      <c r="CL255" s="10">
        <f>+Risultati!AE254+Risultati!AF254</f>
        <v>0</v>
      </c>
      <c r="CM255" s="31" t="str">
        <f t="shared" si="216"/>
        <v>0</v>
      </c>
      <c r="CN255" s="10">
        <f>+Risultati!AT254</f>
        <v>0</v>
      </c>
      <c r="CO255" s="31" t="str">
        <f t="shared" si="217"/>
        <v>0</v>
      </c>
      <c r="CP255" s="10">
        <f>+Risultati!AU254</f>
        <v>0</v>
      </c>
      <c r="CQ255" s="31" t="str">
        <f t="shared" si="218"/>
        <v>0</v>
      </c>
      <c r="CR255" s="10">
        <f>+Risultati!AL254</f>
        <v>0</v>
      </c>
      <c r="CS255" s="31" t="str">
        <f t="shared" si="219"/>
        <v>0</v>
      </c>
      <c r="CT255" s="10">
        <f t="shared" si="220"/>
        <v>0</v>
      </c>
      <c r="CU255" s="31" t="str">
        <f t="shared" si="221"/>
        <v>0</v>
      </c>
      <c r="CV255" s="10">
        <f>+Risultati!AX254</f>
        <v>0</v>
      </c>
      <c r="CW255" s="31" t="str">
        <f t="shared" si="222"/>
        <v>0</v>
      </c>
      <c r="CX255" s="10">
        <f t="shared" si="223"/>
        <v>0</v>
      </c>
      <c r="CY255" s="31" t="str">
        <f t="shared" si="224"/>
        <v>0</v>
      </c>
      <c r="CZ255" s="10">
        <f>+Risultati!AG254</f>
        <v>0</v>
      </c>
      <c r="DA255" s="31" t="str">
        <f t="shared" si="225"/>
        <v>0</v>
      </c>
      <c r="DB255" s="10">
        <f t="shared" si="226"/>
        <v>0</v>
      </c>
      <c r="DC255" s="31" t="str">
        <f t="shared" si="227"/>
        <v>0</v>
      </c>
      <c r="DD255" s="10">
        <f>+Risultati!AV254</f>
        <v>0</v>
      </c>
      <c r="DE255" s="31" t="str">
        <f t="shared" si="228"/>
        <v>0</v>
      </c>
      <c r="DF255" s="10">
        <f>+Risultati!AJ254</f>
        <v>0</v>
      </c>
      <c r="DG255" s="31" t="str">
        <f t="shared" si="229"/>
        <v>0</v>
      </c>
      <c r="DH255" s="10">
        <f t="shared" si="230"/>
        <v>0</v>
      </c>
      <c r="DI255" s="31" t="str">
        <f t="shared" si="231"/>
        <v>0</v>
      </c>
      <c r="DJ255" s="10">
        <f>+Risultati!AW254</f>
        <v>0</v>
      </c>
      <c r="DK255" s="31" t="str">
        <f t="shared" si="232"/>
        <v>0</v>
      </c>
      <c r="DL255" s="10">
        <f t="shared" si="203"/>
        <v>0</v>
      </c>
      <c r="DM255" s="31" t="str">
        <f t="shared" si="233"/>
        <v>0</v>
      </c>
      <c r="DO255" s="30"/>
      <c r="DP255" s="30"/>
    </row>
    <row r="256" spans="1:120" x14ac:dyDescent="0.2">
      <c r="A256" s="5"/>
      <c r="B256" s="6">
        <f>+Risultati!B255</f>
        <v>0</v>
      </c>
      <c r="C256" s="6">
        <f>+Risultati!C255</f>
        <v>0</v>
      </c>
      <c r="D256" s="26" t="str">
        <f>IF(YEAR(Risultati!D255)=1900,(MID(Risultati!$AP$1,29,4)),YEAR(Risultati!D255))</f>
        <v/>
      </c>
      <c r="E256" s="6">
        <f>+Risultati!E255</f>
        <v>0</v>
      </c>
      <c r="F256" s="8" t="e">
        <f>(LEFT(Risultati!AN255,2)&amp;"-")&amp;VLOOKUP((LEFT(Risultati!AN255,2)),ateco!$B$4:$C$93,2,FALSE)</f>
        <v>#N/A</v>
      </c>
      <c r="G256" s="8" t="str">
        <f>SUBSTITUTE((Risultati!AN255&amp;"-"&amp;Risultati!AO255),",",";")</f>
        <v>-</v>
      </c>
      <c r="I256" s="10">
        <f>+Risultati!G255</f>
        <v>0</v>
      </c>
      <c r="J256" s="11" t="str">
        <f t="shared" si="185"/>
        <v>0</v>
      </c>
      <c r="K256" s="12"/>
      <c r="L256" s="10">
        <f>+Risultati!G255+Risultati!H255</f>
        <v>0</v>
      </c>
      <c r="M256" s="11" t="str">
        <f t="shared" si="186"/>
        <v>0</v>
      </c>
      <c r="N256" s="12"/>
      <c r="O256" s="10">
        <f>+Risultati!I255+Risultati!J255</f>
        <v>0</v>
      </c>
      <c r="P256" s="11" t="str">
        <f t="shared" si="187"/>
        <v>0</v>
      </c>
      <c r="Q256" s="12"/>
      <c r="R256" s="13">
        <f t="shared" si="204"/>
        <v>0</v>
      </c>
      <c r="S256" s="11" t="str">
        <f t="shared" si="188"/>
        <v>0</v>
      </c>
      <c r="T256" s="12"/>
      <c r="U256" s="10">
        <f>+Risultati!F255-(Risultati!G255+Risultati!H255)</f>
        <v>0</v>
      </c>
      <c r="V256" s="12" t="str">
        <f t="shared" si="189"/>
        <v>0</v>
      </c>
      <c r="W256" s="12"/>
      <c r="X256" s="10">
        <f t="shared" si="205"/>
        <v>0</v>
      </c>
      <c r="Y256" s="12" t="str">
        <f t="shared" si="190"/>
        <v>0</v>
      </c>
      <c r="Z256" s="12"/>
      <c r="AA256" s="10">
        <f>+Risultati!K255</f>
        <v>0</v>
      </c>
      <c r="AB256" s="12" t="str">
        <f t="shared" si="191"/>
        <v>0</v>
      </c>
      <c r="AC256" s="12"/>
      <c r="AD256" s="10">
        <f>+Risultati!L255</f>
        <v>0</v>
      </c>
      <c r="AE256" s="12" t="str">
        <f t="shared" si="192"/>
        <v>0</v>
      </c>
      <c r="AF256" s="12"/>
      <c r="AG256" s="10">
        <f>+Risultati!M255+Risultati!P255+Risultati!Q255</f>
        <v>0</v>
      </c>
      <c r="AH256" s="12" t="str">
        <f t="shared" si="193"/>
        <v>0</v>
      </c>
      <c r="AI256" s="12"/>
      <c r="AJ256" s="13">
        <f t="shared" si="206"/>
        <v>0</v>
      </c>
      <c r="AK256" s="11" t="str">
        <f t="shared" si="194"/>
        <v>0</v>
      </c>
      <c r="AL256" s="12"/>
      <c r="AM256" s="10">
        <f>+Risultati!N255</f>
        <v>0</v>
      </c>
      <c r="AN256" s="12" t="str">
        <f t="shared" si="195"/>
        <v>0</v>
      </c>
      <c r="AO256" s="12"/>
      <c r="AP256" s="10">
        <f t="shared" si="207"/>
        <v>0</v>
      </c>
      <c r="AQ256" s="41" t="str">
        <f t="shared" si="196"/>
        <v>0</v>
      </c>
      <c r="AR256" s="12"/>
      <c r="AS256" s="10">
        <f>+Risultati!O255</f>
        <v>0</v>
      </c>
      <c r="AT256" s="12" t="str">
        <f t="shared" si="197"/>
        <v>0</v>
      </c>
      <c r="AU256" s="12"/>
      <c r="AV256" s="10">
        <f t="shared" si="208"/>
        <v>0</v>
      </c>
      <c r="AW256" s="12" t="str">
        <f t="shared" si="198"/>
        <v>0</v>
      </c>
      <c r="AX256" s="12"/>
      <c r="AY256" s="10">
        <f>+Risultati!R255+Risultati!S255</f>
        <v>0</v>
      </c>
      <c r="AZ256" s="12" t="str">
        <f t="shared" si="199"/>
        <v>0</v>
      </c>
      <c r="BA256" s="12"/>
      <c r="BB256" s="10">
        <f>+Risultati!T255</f>
        <v>0</v>
      </c>
      <c r="BC256" s="12" t="str">
        <f t="shared" si="200"/>
        <v>0</v>
      </c>
      <c r="BD256" s="12"/>
      <c r="BE256" s="10">
        <f>+Risultati!U255</f>
        <v>0</v>
      </c>
      <c r="BF256" s="12" t="str">
        <f t="shared" si="201"/>
        <v>0</v>
      </c>
      <c r="BG256" s="12"/>
      <c r="BH256" s="10">
        <f t="shared" si="209"/>
        <v>0</v>
      </c>
      <c r="BI256" s="12" t="str">
        <f t="shared" si="202"/>
        <v>0</v>
      </c>
      <c r="BK256" s="16">
        <f>IF(ISNUMBER(Risultati!X255/100),(Risultati!X255/100))</f>
        <v>0</v>
      </c>
      <c r="BL256" s="16">
        <f>IF(ISNUMBER(Risultati!Y255/100),(Risultati!Y255/100))</f>
        <v>0</v>
      </c>
      <c r="BM256" s="16">
        <f>IF(ISNUMBER(Risultati!Z255/100),(Risultati!Z255/100))</f>
        <v>0</v>
      </c>
      <c r="BN256" s="16">
        <f>IF(AND(Risultati!AY255&lt;0,calcoli!AP256&lt;0),-IF(ISNUMBER(Risultati!AA255/100),(Risultati!AA255/100)),IF(ISNUMBER(Risultati!AA255/100),(Risultati!AA255/100)))</f>
        <v>0</v>
      </c>
      <c r="BO256" s="16" t="str">
        <f t="shared" si="183"/>
        <v>0</v>
      </c>
      <c r="BP256" s="16" t="str">
        <f>IF(Risultati!AB255&gt;0,(AV256/Risultati!AB255),"0")</f>
        <v>0</v>
      </c>
      <c r="BQ256" s="16" t="str">
        <f>IF(Risultati!AG255&lt;&gt;0,(BH256/Risultati!AG255),"0")</f>
        <v>0</v>
      </c>
      <c r="BR256" s="16" t="str">
        <f t="shared" si="184"/>
        <v>0</v>
      </c>
      <c r="BS256" s="14" t="str">
        <f>IF(Risultati!AB255&gt;0,(Risultati!G255/Risultati!AB255),"0")</f>
        <v>0</v>
      </c>
      <c r="BT256" s="15" t="str">
        <f>IF(Risultati!AG255&lt;&gt;0,(Risultati!AB255/Risultati!AG255),"0")</f>
        <v>0</v>
      </c>
      <c r="BU256" s="23" t="str">
        <f>IF(AND(Risultati!G255&gt;0,(Risultati!AE255-Risultati!AF255)&gt;=0),((Risultati!AE255-Risultati!AF255)/Risultati!G255*360),"0")</f>
        <v>0</v>
      </c>
      <c r="BV256" s="21" t="str">
        <f>IF(OR(E256="abbreviato",Risultati!G255=0),"0",((Risultati!AC255+Risultati!AD255)/Risultati!G255*360))</f>
        <v>0</v>
      </c>
      <c r="BW256" s="21" t="str">
        <f>IF(OR(E256="abbreviato",Risultati!G255=0,SUM(Risultati!I255+Risultati!K255+Risultati!M255)=0),"0",(((Risultati!AH255+Risultati!AI255)/(Risultati!I255+Risultati!K255+Risultati!N255)*360)))</f>
        <v>0</v>
      </c>
      <c r="BX256" s="16" t="str">
        <f>IF(Risultati!AB255&gt;0,(+Risultati!AG255/Risultati!AB255),"0")</f>
        <v>0</v>
      </c>
      <c r="BY256" s="22" t="str">
        <f>IF(OR(E256="abbreviato",Risultati!G255=0),"0",(((Risultati!AK255-(Risultati!AL255+Risultati!AM255))/Risultati!G255)))</f>
        <v>0</v>
      </c>
      <c r="BZ256" s="16" t="str">
        <f>IF(Risultati!G255&gt;0,(Risultati!AJ255/Risultati!G255),"0")</f>
        <v>0</v>
      </c>
      <c r="CA256" s="8"/>
      <c r="CB256" s="10">
        <f>+Risultati!AP255</f>
        <v>0</v>
      </c>
      <c r="CC256" s="31" t="str">
        <f t="shared" si="210"/>
        <v>0</v>
      </c>
      <c r="CD256" s="10">
        <f>+Risultati!AQ255</f>
        <v>0</v>
      </c>
      <c r="CE256" s="31" t="str">
        <f t="shared" si="211"/>
        <v>0</v>
      </c>
      <c r="CF256" s="10">
        <f>+Risultati!AR255</f>
        <v>0</v>
      </c>
      <c r="CG256" s="31" t="str">
        <f t="shared" si="212"/>
        <v>0</v>
      </c>
      <c r="CH256" s="10">
        <f>+Risultati!AS255</f>
        <v>0</v>
      </c>
      <c r="CI256" s="31" t="str">
        <f t="shared" si="213"/>
        <v>0</v>
      </c>
      <c r="CJ256" s="10">
        <f t="shared" si="214"/>
        <v>0</v>
      </c>
      <c r="CK256" s="31" t="str">
        <f t="shared" si="215"/>
        <v>0</v>
      </c>
      <c r="CL256" s="10">
        <f>+Risultati!AE255+Risultati!AF255</f>
        <v>0</v>
      </c>
      <c r="CM256" s="31" t="str">
        <f t="shared" si="216"/>
        <v>0</v>
      </c>
      <c r="CN256" s="10">
        <f>+Risultati!AT255</f>
        <v>0</v>
      </c>
      <c r="CO256" s="31" t="str">
        <f t="shared" si="217"/>
        <v>0</v>
      </c>
      <c r="CP256" s="10">
        <f>+Risultati!AU255</f>
        <v>0</v>
      </c>
      <c r="CQ256" s="31" t="str">
        <f t="shared" si="218"/>
        <v>0</v>
      </c>
      <c r="CR256" s="10">
        <f>+Risultati!AL255</f>
        <v>0</v>
      </c>
      <c r="CS256" s="31" t="str">
        <f t="shared" si="219"/>
        <v>0</v>
      </c>
      <c r="CT256" s="10">
        <f t="shared" si="220"/>
        <v>0</v>
      </c>
      <c r="CU256" s="31" t="str">
        <f t="shared" si="221"/>
        <v>0</v>
      </c>
      <c r="CV256" s="10">
        <f>+Risultati!AX255</f>
        <v>0</v>
      </c>
      <c r="CW256" s="31" t="str">
        <f t="shared" si="222"/>
        <v>0</v>
      </c>
      <c r="CX256" s="10">
        <f t="shared" si="223"/>
        <v>0</v>
      </c>
      <c r="CY256" s="31" t="str">
        <f t="shared" si="224"/>
        <v>0</v>
      </c>
      <c r="CZ256" s="10">
        <f>+Risultati!AG255</f>
        <v>0</v>
      </c>
      <c r="DA256" s="31" t="str">
        <f t="shared" si="225"/>
        <v>0</v>
      </c>
      <c r="DB256" s="10">
        <f t="shared" si="226"/>
        <v>0</v>
      </c>
      <c r="DC256" s="31" t="str">
        <f t="shared" si="227"/>
        <v>0</v>
      </c>
      <c r="DD256" s="10">
        <f>+Risultati!AV255</f>
        <v>0</v>
      </c>
      <c r="DE256" s="31" t="str">
        <f t="shared" si="228"/>
        <v>0</v>
      </c>
      <c r="DF256" s="10">
        <f>+Risultati!AJ255</f>
        <v>0</v>
      </c>
      <c r="DG256" s="31" t="str">
        <f t="shared" si="229"/>
        <v>0</v>
      </c>
      <c r="DH256" s="10">
        <f t="shared" si="230"/>
        <v>0</v>
      </c>
      <c r="DI256" s="31" t="str">
        <f t="shared" si="231"/>
        <v>0</v>
      </c>
      <c r="DJ256" s="10">
        <f>+Risultati!AW255</f>
        <v>0</v>
      </c>
      <c r="DK256" s="31" t="str">
        <f t="shared" si="232"/>
        <v>0</v>
      </c>
      <c r="DL256" s="10">
        <f t="shared" si="203"/>
        <v>0</v>
      </c>
      <c r="DM256" s="31" t="str">
        <f t="shared" si="233"/>
        <v>0</v>
      </c>
      <c r="DO256" s="30"/>
      <c r="DP256" s="30"/>
    </row>
    <row r="257" spans="1:120" x14ac:dyDescent="0.2">
      <c r="A257" s="5"/>
      <c r="B257" s="6">
        <f>+Risultati!B256</f>
        <v>0</v>
      </c>
      <c r="C257" s="6">
        <f>+Risultati!C256</f>
        <v>0</v>
      </c>
      <c r="D257" s="26" t="str">
        <f>IF(YEAR(Risultati!D256)=1900,(MID(Risultati!$AP$1,29,4)),YEAR(Risultati!D256))</f>
        <v/>
      </c>
      <c r="E257" s="6">
        <f>+Risultati!E256</f>
        <v>0</v>
      </c>
      <c r="F257" s="8" t="e">
        <f>(LEFT(Risultati!AN256,2)&amp;"-")&amp;VLOOKUP((LEFT(Risultati!AN256,2)),ateco!$B$4:$C$93,2,FALSE)</f>
        <v>#N/A</v>
      </c>
      <c r="G257" s="8" t="str">
        <f>SUBSTITUTE((Risultati!AN256&amp;"-"&amp;Risultati!AO256),",",";")</f>
        <v>-</v>
      </c>
      <c r="I257" s="10">
        <f>+Risultati!G256</f>
        <v>0</v>
      </c>
      <c r="J257" s="11" t="str">
        <f t="shared" si="185"/>
        <v>0</v>
      </c>
      <c r="K257" s="12"/>
      <c r="L257" s="10">
        <f>+Risultati!G256+Risultati!H256</f>
        <v>0</v>
      </c>
      <c r="M257" s="11" t="str">
        <f t="shared" si="186"/>
        <v>0</v>
      </c>
      <c r="N257" s="12"/>
      <c r="O257" s="10">
        <f>+Risultati!I256+Risultati!J256</f>
        <v>0</v>
      </c>
      <c r="P257" s="11" t="str">
        <f t="shared" si="187"/>
        <v>0</v>
      </c>
      <c r="Q257" s="12"/>
      <c r="R257" s="13">
        <f t="shared" si="204"/>
        <v>0</v>
      </c>
      <c r="S257" s="11" t="str">
        <f t="shared" si="188"/>
        <v>0</v>
      </c>
      <c r="T257" s="12"/>
      <c r="U257" s="10">
        <f>+Risultati!F256-(Risultati!G256+Risultati!H256)</f>
        <v>0</v>
      </c>
      <c r="V257" s="12" t="str">
        <f t="shared" si="189"/>
        <v>0</v>
      </c>
      <c r="W257" s="12"/>
      <c r="X257" s="10">
        <f t="shared" si="205"/>
        <v>0</v>
      </c>
      <c r="Y257" s="12" t="str">
        <f t="shared" si="190"/>
        <v>0</v>
      </c>
      <c r="Z257" s="12"/>
      <c r="AA257" s="10">
        <f>+Risultati!K256</f>
        <v>0</v>
      </c>
      <c r="AB257" s="12" t="str">
        <f t="shared" si="191"/>
        <v>0</v>
      </c>
      <c r="AC257" s="12"/>
      <c r="AD257" s="10">
        <f>+Risultati!L256</f>
        <v>0</v>
      </c>
      <c r="AE257" s="12" t="str">
        <f t="shared" si="192"/>
        <v>0</v>
      </c>
      <c r="AF257" s="12"/>
      <c r="AG257" s="10">
        <f>+Risultati!M256+Risultati!P256+Risultati!Q256</f>
        <v>0</v>
      </c>
      <c r="AH257" s="12" t="str">
        <f t="shared" si="193"/>
        <v>0</v>
      </c>
      <c r="AI257" s="12"/>
      <c r="AJ257" s="13">
        <f t="shared" si="206"/>
        <v>0</v>
      </c>
      <c r="AK257" s="11" t="str">
        <f t="shared" si="194"/>
        <v>0</v>
      </c>
      <c r="AL257" s="12"/>
      <c r="AM257" s="10">
        <f>+Risultati!N256</f>
        <v>0</v>
      </c>
      <c r="AN257" s="12" t="str">
        <f t="shared" si="195"/>
        <v>0</v>
      </c>
      <c r="AO257" s="12"/>
      <c r="AP257" s="10">
        <f t="shared" si="207"/>
        <v>0</v>
      </c>
      <c r="AQ257" s="41" t="str">
        <f t="shared" si="196"/>
        <v>0</v>
      </c>
      <c r="AR257" s="12"/>
      <c r="AS257" s="10">
        <f>+Risultati!O256</f>
        <v>0</v>
      </c>
      <c r="AT257" s="12" t="str">
        <f t="shared" si="197"/>
        <v>0</v>
      </c>
      <c r="AU257" s="12"/>
      <c r="AV257" s="10">
        <f t="shared" si="208"/>
        <v>0</v>
      </c>
      <c r="AW257" s="12" t="str">
        <f t="shared" si="198"/>
        <v>0</v>
      </c>
      <c r="AX257" s="12"/>
      <c r="AY257" s="10">
        <f>+Risultati!R256+Risultati!S256</f>
        <v>0</v>
      </c>
      <c r="AZ257" s="12" t="str">
        <f t="shared" si="199"/>
        <v>0</v>
      </c>
      <c r="BA257" s="12"/>
      <c r="BB257" s="10">
        <f>+Risultati!T256</f>
        <v>0</v>
      </c>
      <c r="BC257" s="12" t="str">
        <f t="shared" si="200"/>
        <v>0</v>
      </c>
      <c r="BD257" s="12"/>
      <c r="BE257" s="10">
        <f>+Risultati!U256</f>
        <v>0</v>
      </c>
      <c r="BF257" s="12" t="str">
        <f t="shared" si="201"/>
        <v>0</v>
      </c>
      <c r="BG257" s="12"/>
      <c r="BH257" s="10">
        <f t="shared" si="209"/>
        <v>0</v>
      </c>
      <c r="BI257" s="12" t="str">
        <f t="shared" si="202"/>
        <v>0</v>
      </c>
      <c r="BK257" s="16">
        <f>IF(ISNUMBER(Risultati!X256/100),(Risultati!X256/100))</f>
        <v>0</v>
      </c>
      <c r="BL257" s="16">
        <f>IF(ISNUMBER(Risultati!Y256/100),(Risultati!Y256/100))</f>
        <v>0</v>
      </c>
      <c r="BM257" s="16">
        <f>IF(ISNUMBER(Risultati!Z256/100),(Risultati!Z256/100))</f>
        <v>0</v>
      </c>
      <c r="BN257" s="16">
        <f>IF(AND(Risultati!AY256&lt;0,calcoli!AP257&lt;0),-IF(ISNUMBER(Risultati!AA256/100),(Risultati!AA256/100)),IF(ISNUMBER(Risultati!AA256/100),(Risultati!AA256/100)))</f>
        <v>0</v>
      </c>
      <c r="BO257" s="16" t="str">
        <f t="shared" si="183"/>
        <v>0</v>
      </c>
      <c r="BP257" s="16" t="str">
        <f>IF(Risultati!AB256&gt;0,(AV257/Risultati!AB256),"0")</f>
        <v>0</v>
      </c>
      <c r="BQ257" s="16" t="str">
        <f>IF(Risultati!AG256&lt;&gt;0,(BH257/Risultati!AG256),"0")</f>
        <v>0</v>
      </c>
      <c r="BR257" s="16" t="str">
        <f t="shared" si="184"/>
        <v>0</v>
      </c>
      <c r="BS257" s="14" t="str">
        <f>IF(Risultati!AB256&gt;0,(Risultati!G256/Risultati!AB256),"0")</f>
        <v>0</v>
      </c>
      <c r="BT257" s="15" t="str">
        <f>IF(Risultati!AG256&lt;&gt;0,(Risultati!AB256/Risultati!AG256),"0")</f>
        <v>0</v>
      </c>
      <c r="BU257" s="23" t="str">
        <f>IF(AND(Risultati!G256&gt;0,(Risultati!AE256-Risultati!AF256)&gt;=0),((Risultati!AE256-Risultati!AF256)/Risultati!G256*360),"0")</f>
        <v>0</v>
      </c>
      <c r="BV257" s="21" t="str">
        <f>IF(OR(E257="abbreviato",Risultati!G256=0),"0",((Risultati!AC256+Risultati!AD256)/Risultati!G256*360))</f>
        <v>0</v>
      </c>
      <c r="BW257" s="21" t="str">
        <f>IF(OR(E257="abbreviato",Risultati!G256=0,SUM(Risultati!I256+Risultati!K256+Risultati!M256)=0),"0",(((Risultati!AH256+Risultati!AI256)/(Risultati!I256+Risultati!K256+Risultati!N256)*360)))</f>
        <v>0</v>
      </c>
      <c r="BX257" s="16" t="str">
        <f>IF(Risultati!AB256&gt;0,(+Risultati!AG256/Risultati!AB256),"0")</f>
        <v>0</v>
      </c>
      <c r="BY257" s="22" t="str">
        <f>IF(OR(E257="abbreviato",Risultati!G256=0),"0",(((Risultati!AK256-(Risultati!AL256+Risultati!AM256))/Risultati!G256)))</f>
        <v>0</v>
      </c>
      <c r="BZ257" s="16" t="str">
        <f>IF(Risultati!G256&gt;0,(Risultati!AJ256/Risultati!G256),"0")</f>
        <v>0</v>
      </c>
      <c r="CA257" s="8"/>
      <c r="CB257" s="10">
        <f>+Risultati!AP256</f>
        <v>0</v>
      </c>
      <c r="CC257" s="31" t="str">
        <f t="shared" si="210"/>
        <v>0</v>
      </c>
      <c r="CD257" s="10">
        <f>+Risultati!AQ256</f>
        <v>0</v>
      </c>
      <c r="CE257" s="31" t="str">
        <f t="shared" si="211"/>
        <v>0</v>
      </c>
      <c r="CF257" s="10">
        <f>+Risultati!AR256</f>
        <v>0</v>
      </c>
      <c r="CG257" s="31" t="str">
        <f t="shared" si="212"/>
        <v>0</v>
      </c>
      <c r="CH257" s="10">
        <f>+Risultati!AS256</f>
        <v>0</v>
      </c>
      <c r="CI257" s="31" t="str">
        <f t="shared" si="213"/>
        <v>0</v>
      </c>
      <c r="CJ257" s="10">
        <f t="shared" si="214"/>
        <v>0</v>
      </c>
      <c r="CK257" s="31" t="str">
        <f t="shared" si="215"/>
        <v>0</v>
      </c>
      <c r="CL257" s="10">
        <f>+Risultati!AE256+Risultati!AF256</f>
        <v>0</v>
      </c>
      <c r="CM257" s="31" t="str">
        <f t="shared" si="216"/>
        <v>0</v>
      </c>
      <c r="CN257" s="10">
        <f>+Risultati!AT256</f>
        <v>0</v>
      </c>
      <c r="CO257" s="31" t="str">
        <f t="shared" si="217"/>
        <v>0</v>
      </c>
      <c r="CP257" s="10">
        <f>+Risultati!AU256</f>
        <v>0</v>
      </c>
      <c r="CQ257" s="31" t="str">
        <f t="shared" si="218"/>
        <v>0</v>
      </c>
      <c r="CR257" s="10">
        <f>+Risultati!AL256</f>
        <v>0</v>
      </c>
      <c r="CS257" s="31" t="str">
        <f t="shared" si="219"/>
        <v>0</v>
      </c>
      <c r="CT257" s="10">
        <f t="shared" si="220"/>
        <v>0</v>
      </c>
      <c r="CU257" s="31" t="str">
        <f t="shared" si="221"/>
        <v>0</v>
      </c>
      <c r="CV257" s="10">
        <f>+Risultati!AX256</f>
        <v>0</v>
      </c>
      <c r="CW257" s="31" t="str">
        <f t="shared" si="222"/>
        <v>0</v>
      </c>
      <c r="CX257" s="10">
        <f t="shared" si="223"/>
        <v>0</v>
      </c>
      <c r="CY257" s="31" t="str">
        <f t="shared" si="224"/>
        <v>0</v>
      </c>
      <c r="CZ257" s="10">
        <f>+Risultati!AG256</f>
        <v>0</v>
      </c>
      <c r="DA257" s="31" t="str">
        <f t="shared" si="225"/>
        <v>0</v>
      </c>
      <c r="DB257" s="10">
        <f t="shared" si="226"/>
        <v>0</v>
      </c>
      <c r="DC257" s="31" t="str">
        <f t="shared" si="227"/>
        <v>0</v>
      </c>
      <c r="DD257" s="10">
        <f>+Risultati!AV256</f>
        <v>0</v>
      </c>
      <c r="DE257" s="31" t="str">
        <f t="shared" si="228"/>
        <v>0</v>
      </c>
      <c r="DF257" s="10">
        <f>+Risultati!AJ256</f>
        <v>0</v>
      </c>
      <c r="DG257" s="31" t="str">
        <f t="shared" si="229"/>
        <v>0</v>
      </c>
      <c r="DH257" s="10">
        <f t="shared" si="230"/>
        <v>0</v>
      </c>
      <c r="DI257" s="31" t="str">
        <f t="shared" si="231"/>
        <v>0</v>
      </c>
      <c r="DJ257" s="10">
        <f>+Risultati!AW256</f>
        <v>0</v>
      </c>
      <c r="DK257" s="31" t="str">
        <f t="shared" si="232"/>
        <v>0</v>
      </c>
      <c r="DL257" s="10">
        <f t="shared" si="203"/>
        <v>0</v>
      </c>
      <c r="DM257" s="31" t="str">
        <f t="shared" si="233"/>
        <v>0</v>
      </c>
      <c r="DO257" s="30"/>
      <c r="DP257" s="30"/>
    </row>
    <row r="258" spans="1:120" x14ac:dyDescent="0.2">
      <c r="A258" s="5"/>
      <c r="B258" s="6">
        <f>+Risultati!B257</f>
        <v>0</v>
      </c>
      <c r="C258" s="6">
        <f>+Risultati!C257</f>
        <v>0</v>
      </c>
      <c r="D258" s="26" t="str">
        <f>IF(YEAR(Risultati!D257)=1900,(MID(Risultati!$AP$1,29,4)),YEAR(Risultati!D257))</f>
        <v/>
      </c>
      <c r="E258" s="6">
        <f>+Risultati!E257</f>
        <v>0</v>
      </c>
      <c r="F258" s="8" t="e">
        <f>(LEFT(Risultati!AN257,2)&amp;"-")&amp;VLOOKUP((LEFT(Risultati!AN257,2)),ateco!$B$4:$C$93,2,FALSE)</f>
        <v>#N/A</v>
      </c>
      <c r="G258" s="8" t="str">
        <f>SUBSTITUTE((Risultati!AN257&amp;"-"&amp;Risultati!AO257),",",";")</f>
        <v>-</v>
      </c>
      <c r="I258" s="10">
        <f>+Risultati!G257</f>
        <v>0</v>
      </c>
      <c r="J258" s="11" t="str">
        <f t="shared" si="185"/>
        <v>0</v>
      </c>
      <c r="K258" s="12"/>
      <c r="L258" s="10">
        <f>+Risultati!G257+Risultati!H257</f>
        <v>0</v>
      </c>
      <c r="M258" s="11" t="str">
        <f t="shared" si="186"/>
        <v>0</v>
      </c>
      <c r="N258" s="12"/>
      <c r="O258" s="10">
        <f>+Risultati!I257+Risultati!J257</f>
        <v>0</v>
      </c>
      <c r="P258" s="11" t="str">
        <f t="shared" si="187"/>
        <v>0</v>
      </c>
      <c r="Q258" s="12"/>
      <c r="R258" s="13">
        <f t="shared" si="204"/>
        <v>0</v>
      </c>
      <c r="S258" s="11" t="str">
        <f t="shared" si="188"/>
        <v>0</v>
      </c>
      <c r="T258" s="12"/>
      <c r="U258" s="10">
        <f>+Risultati!F257-(Risultati!G257+Risultati!H257)</f>
        <v>0</v>
      </c>
      <c r="V258" s="12" t="str">
        <f t="shared" si="189"/>
        <v>0</v>
      </c>
      <c r="W258" s="12"/>
      <c r="X258" s="10">
        <f t="shared" si="205"/>
        <v>0</v>
      </c>
      <c r="Y258" s="12" t="str">
        <f t="shared" si="190"/>
        <v>0</v>
      </c>
      <c r="Z258" s="12"/>
      <c r="AA258" s="10">
        <f>+Risultati!K257</f>
        <v>0</v>
      </c>
      <c r="AB258" s="12" t="str">
        <f t="shared" si="191"/>
        <v>0</v>
      </c>
      <c r="AC258" s="12"/>
      <c r="AD258" s="10">
        <f>+Risultati!L257</f>
        <v>0</v>
      </c>
      <c r="AE258" s="12" t="str">
        <f t="shared" si="192"/>
        <v>0</v>
      </c>
      <c r="AF258" s="12"/>
      <c r="AG258" s="10">
        <f>+Risultati!M257+Risultati!P257+Risultati!Q257</f>
        <v>0</v>
      </c>
      <c r="AH258" s="12" t="str">
        <f t="shared" si="193"/>
        <v>0</v>
      </c>
      <c r="AI258" s="12"/>
      <c r="AJ258" s="13">
        <f t="shared" si="206"/>
        <v>0</v>
      </c>
      <c r="AK258" s="11" t="str">
        <f t="shared" si="194"/>
        <v>0</v>
      </c>
      <c r="AL258" s="12"/>
      <c r="AM258" s="10">
        <f>+Risultati!N257</f>
        <v>0</v>
      </c>
      <c r="AN258" s="12" t="str">
        <f t="shared" si="195"/>
        <v>0</v>
      </c>
      <c r="AO258" s="12"/>
      <c r="AP258" s="10">
        <f t="shared" si="207"/>
        <v>0</v>
      </c>
      <c r="AQ258" s="41" t="str">
        <f t="shared" si="196"/>
        <v>0</v>
      </c>
      <c r="AR258" s="12"/>
      <c r="AS258" s="10">
        <f>+Risultati!O257</f>
        <v>0</v>
      </c>
      <c r="AT258" s="12" t="str">
        <f t="shared" si="197"/>
        <v>0</v>
      </c>
      <c r="AU258" s="12"/>
      <c r="AV258" s="10">
        <f t="shared" si="208"/>
        <v>0</v>
      </c>
      <c r="AW258" s="12" t="str">
        <f t="shared" si="198"/>
        <v>0</v>
      </c>
      <c r="AX258" s="12"/>
      <c r="AY258" s="10">
        <f>+Risultati!R257+Risultati!S257</f>
        <v>0</v>
      </c>
      <c r="AZ258" s="12" t="str">
        <f t="shared" si="199"/>
        <v>0</v>
      </c>
      <c r="BA258" s="12"/>
      <c r="BB258" s="10">
        <f>+Risultati!T257</f>
        <v>0</v>
      </c>
      <c r="BC258" s="12" t="str">
        <f t="shared" si="200"/>
        <v>0</v>
      </c>
      <c r="BD258" s="12"/>
      <c r="BE258" s="10">
        <f>+Risultati!U257</f>
        <v>0</v>
      </c>
      <c r="BF258" s="12" t="str">
        <f t="shared" si="201"/>
        <v>0</v>
      </c>
      <c r="BG258" s="12"/>
      <c r="BH258" s="10">
        <f t="shared" si="209"/>
        <v>0</v>
      </c>
      <c r="BI258" s="12" t="str">
        <f t="shared" si="202"/>
        <v>0</v>
      </c>
      <c r="BK258" s="16">
        <f>IF(ISNUMBER(Risultati!X257/100),(Risultati!X257/100))</f>
        <v>0</v>
      </c>
      <c r="BL258" s="16">
        <f>IF(ISNUMBER(Risultati!Y257/100),(Risultati!Y257/100))</f>
        <v>0</v>
      </c>
      <c r="BM258" s="16">
        <f>IF(ISNUMBER(Risultati!Z257/100),(Risultati!Z257/100))</f>
        <v>0</v>
      </c>
      <c r="BN258" s="16">
        <f>IF(AND(Risultati!AY257&lt;0,calcoli!AP258&lt;0),-IF(ISNUMBER(Risultati!AA257/100),(Risultati!AA257/100)),IF(ISNUMBER(Risultati!AA257/100),(Risultati!AA257/100)))</f>
        <v>0</v>
      </c>
      <c r="BO258" s="16" t="str">
        <f t="shared" si="183"/>
        <v>0</v>
      </c>
      <c r="BP258" s="16" t="str">
        <f>IF(Risultati!AB257&gt;0,(AV258/Risultati!AB257),"0")</f>
        <v>0</v>
      </c>
      <c r="BQ258" s="16" t="str">
        <f>IF(Risultati!AG257&lt;&gt;0,(BH258/Risultati!AG257),"0")</f>
        <v>0</v>
      </c>
      <c r="BR258" s="16" t="str">
        <f t="shared" si="184"/>
        <v>0</v>
      </c>
      <c r="BS258" s="14" t="str">
        <f>IF(Risultati!AB257&gt;0,(Risultati!G257/Risultati!AB257),"0")</f>
        <v>0</v>
      </c>
      <c r="BT258" s="15" t="str">
        <f>IF(Risultati!AG257&lt;&gt;0,(Risultati!AB257/Risultati!AG257),"0")</f>
        <v>0</v>
      </c>
      <c r="BU258" s="23" t="str">
        <f>IF(AND(Risultati!G257&gt;0,(Risultati!AE257-Risultati!AF257)&gt;=0),((Risultati!AE257-Risultati!AF257)/Risultati!G257*360),"0")</f>
        <v>0</v>
      </c>
      <c r="BV258" s="21" t="str">
        <f>IF(OR(E258="abbreviato",Risultati!G257=0),"0",((Risultati!AC257+Risultati!AD257)/Risultati!G257*360))</f>
        <v>0</v>
      </c>
      <c r="BW258" s="21" t="str">
        <f>IF(OR(E258="abbreviato",Risultati!G257=0,SUM(Risultati!I257+Risultati!K257+Risultati!M257)=0),"0",(((Risultati!AH257+Risultati!AI257)/(Risultati!I257+Risultati!K257+Risultati!N257)*360)))</f>
        <v>0</v>
      </c>
      <c r="BX258" s="16" t="str">
        <f>IF(Risultati!AB257&gt;0,(+Risultati!AG257/Risultati!AB257),"0")</f>
        <v>0</v>
      </c>
      <c r="BY258" s="22" t="str">
        <f>IF(OR(E258="abbreviato",Risultati!G257=0),"0",(((Risultati!AK257-(Risultati!AL257+Risultati!AM257))/Risultati!G257)))</f>
        <v>0</v>
      </c>
      <c r="BZ258" s="16" t="str">
        <f>IF(Risultati!G257&gt;0,(Risultati!AJ257/Risultati!G257),"0")</f>
        <v>0</v>
      </c>
      <c r="CA258" s="8"/>
      <c r="CB258" s="10">
        <f>+Risultati!AP257</f>
        <v>0</v>
      </c>
      <c r="CC258" s="31" t="str">
        <f t="shared" si="210"/>
        <v>0</v>
      </c>
      <c r="CD258" s="10">
        <f>+Risultati!AQ257</f>
        <v>0</v>
      </c>
      <c r="CE258" s="31" t="str">
        <f t="shared" si="211"/>
        <v>0</v>
      </c>
      <c r="CF258" s="10">
        <f>+Risultati!AR257</f>
        <v>0</v>
      </c>
      <c r="CG258" s="31" t="str">
        <f t="shared" si="212"/>
        <v>0</v>
      </c>
      <c r="CH258" s="10">
        <f>+Risultati!AS257</f>
        <v>0</v>
      </c>
      <c r="CI258" s="31" t="str">
        <f t="shared" si="213"/>
        <v>0</v>
      </c>
      <c r="CJ258" s="10">
        <f t="shared" si="214"/>
        <v>0</v>
      </c>
      <c r="CK258" s="31" t="str">
        <f t="shared" si="215"/>
        <v>0</v>
      </c>
      <c r="CL258" s="10">
        <f>+Risultati!AE257+Risultati!AF257</f>
        <v>0</v>
      </c>
      <c r="CM258" s="31" t="str">
        <f t="shared" si="216"/>
        <v>0</v>
      </c>
      <c r="CN258" s="10">
        <f>+Risultati!AT257</f>
        <v>0</v>
      </c>
      <c r="CO258" s="31" t="str">
        <f t="shared" si="217"/>
        <v>0</v>
      </c>
      <c r="CP258" s="10">
        <f>+Risultati!AU257</f>
        <v>0</v>
      </c>
      <c r="CQ258" s="31" t="str">
        <f t="shared" si="218"/>
        <v>0</v>
      </c>
      <c r="CR258" s="10">
        <f>+Risultati!AL257</f>
        <v>0</v>
      </c>
      <c r="CS258" s="31" t="str">
        <f t="shared" si="219"/>
        <v>0</v>
      </c>
      <c r="CT258" s="10">
        <f t="shared" si="220"/>
        <v>0</v>
      </c>
      <c r="CU258" s="31" t="str">
        <f t="shared" si="221"/>
        <v>0</v>
      </c>
      <c r="CV258" s="10">
        <f>+Risultati!AX257</f>
        <v>0</v>
      </c>
      <c r="CW258" s="31" t="str">
        <f t="shared" si="222"/>
        <v>0</v>
      </c>
      <c r="CX258" s="10">
        <f t="shared" si="223"/>
        <v>0</v>
      </c>
      <c r="CY258" s="31" t="str">
        <f t="shared" si="224"/>
        <v>0</v>
      </c>
      <c r="CZ258" s="10">
        <f>+Risultati!AG257</f>
        <v>0</v>
      </c>
      <c r="DA258" s="31" t="str">
        <f t="shared" si="225"/>
        <v>0</v>
      </c>
      <c r="DB258" s="10">
        <f t="shared" si="226"/>
        <v>0</v>
      </c>
      <c r="DC258" s="31" t="str">
        <f t="shared" si="227"/>
        <v>0</v>
      </c>
      <c r="DD258" s="10">
        <f>+Risultati!AV257</f>
        <v>0</v>
      </c>
      <c r="DE258" s="31" t="str">
        <f t="shared" si="228"/>
        <v>0</v>
      </c>
      <c r="DF258" s="10">
        <f>+Risultati!AJ257</f>
        <v>0</v>
      </c>
      <c r="DG258" s="31" t="str">
        <f t="shared" si="229"/>
        <v>0</v>
      </c>
      <c r="DH258" s="10">
        <f t="shared" si="230"/>
        <v>0</v>
      </c>
      <c r="DI258" s="31" t="str">
        <f t="shared" si="231"/>
        <v>0</v>
      </c>
      <c r="DJ258" s="10">
        <f>+Risultati!AW257</f>
        <v>0</v>
      </c>
      <c r="DK258" s="31" t="str">
        <f t="shared" si="232"/>
        <v>0</v>
      </c>
      <c r="DL258" s="10">
        <f t="shared" si="203"/>
        <v>0</v>
      </c>
      <c r="DM258" s="31" t="str">
        <f t="shared" si="233"/>
        <v>0</v>
      </c>
      <c r="DO258" s="30"/>
      <c r="DP258" s="30"/>
    </row>
    <row r="259" spans="1:120" x14ac:dyDescent="0.2">
      <c r="A259" s="5"/>
      <c r="B259" s="6">
        <f>+Risultati!B258</f>
        <v>0</v>
      </c>
      <c r="C259" s="6">
        <f>+Risultati!C258</f>
        <v>0</v>
      </c>
      <c r="D259" s="26" t="str">
        <f>IF(YEAR(Risultati!D258)=1900,(MID(Risultati!$AP$1,29,4)),YEAR(Risultati!D258))</f>
        <v/>
      </c>
      <c r="E259" s="6">
        <f>+Risultati!E258</f>
        <v>0</v>
      </c>
      <c r="F259" s="8" t="e">
        <f>(LEFT(Risultati!AN258,2)&amp;"-")&amp;VLOOKUP((LEFT(Risultati!AN258,2)),ateco!$B$4:$C$93,2,FALSE)</f>
        <v>#N/A</v>
      </c>
      <c r="G259" s="8" t="str">
        <f>SUBSTITUTE((Risultati!AN258&amp;"-"&amp;Risultati!AO258),",",";")</f>
        <v>-</v>
      </c>
      <c r="I259" s="10">
        <f>+Risultati!G258</f>
        <v>0</v>
      </c>
      <c r="J259" s="11" t="str">
        <f t="shared" si="185"/>
        <v>0</v>
      </c>
      <c r="K259" s="12"/>
      <c r="L259" s="10">
        <f>+Risultati!G258+Risultati!H258</f>
        <v>0</v>
      </c>
      <c r="M259" s="11" t="str">
        <f t="shared" si="186"/>
        <v>0</v>
      </c>
      <c r="N259" s="12"/>
      <c r="O259" s="10">
        <f>+Risultati!I258+Risultati!J258</f>
        <v>0</v>
      </c>
      <c r="P259" s="11" t="str">
        <f t="shared" si="187"/>
        <v>0</v>
      </c>
      <c r="Q259" s="12"/>
      <c r="R259" s="13">
        <f t="shared" si="204"/>
        <v>0</v>
      </c>
      <c r="S259" s="11" t="str">
        <f t="shared" si="188"/>
        <v>0</v>
      </c>
      <c r="T259" s="12"/>
      <c r="U259" s="10">
        <f>+Risultati!F258-(Risultati!G258+Risultati!H258)</f>
        <v>0</v>
      </c>
      <c r="V259" s="12" t="str">
        <f t="shared" si="189"/>
        <v>0</v>
      </c>
      <c r="W259" s="12"/>
      <c r="X259" s="10">
        <f t="shared" si="205"/>
        <v>0</v>
      </c>
      <c r="Y259" s="12" t="str">
        <f t="shared" si="190"/>
        <v>0</v>
      </c>
      <c r="Z259" s="12"/>
      <c r="AA259" s="10">
        <f>+Risultati!K258</f>
        <v>0</v>
      </c>
      <c r="AB259" s="12" t="str">
        <f t="shared" si="191"/>
        <v>0</v>
      </c>
      <c r="AC259" s="12"/>
      <c r="AD259" s="10">
        <f>+Risultati!L258</f>
        <v>0</v>
      </c>
      <c r="AE259" s="12" t="str">
        <f t="shared" si="192"/>
        <v>0</v>
      </c>
      <c r="AF259" s="12"/>
      <c r="AG259" s="10">
        <f>+Risultati!M258+Risultati!P258+Risultati!Q258</f>
        <v>0</v>
      </c>
      <c r="AH259" s="12" t="str">
        <f t="shared" si="193"/>
        <v>0</v>
      </c>
      <c r="AI259" s="12"/>
      <c r="AJ259" s="13">
        <f t="shared" si="206"/>
        <v>0</v>
      </c>
      <c r="AK259" s="11" t="str">
        <f t="shared" si="194"/>
        <v>0</v>
      </c>
      <c r="AL259" s="12"/>
      <c r="AM259" s="10">
        <f>+Risultati!N258</f>
        <v>0</v>
      </c>
      <c r="AN259" s="12" t="str">
        <f t="shared" si="195"/>
        <v>0</v>
      </c>
      <c r="AO259" s="12"/>
      <c r="AP259" s="10">
        <f t="shared" si="207"/>
        <v>0</v>
      </c>
      <c r="AQ259" s="41" t="str">
        <f t="shared" si="196"/>
        <v>0</v>
      </c>
      <c r="AR259" s="12"/>
      <c r="AS259" s="10">
        <f>+Risultati!O258</f>
        <v>0</v>
      </c>
      <c r="AT259" s="12" t="str">
        <f t="shared" si="197"/>
        <v>0</v>
      </c>
      <c r="AU259" s="12"/>
      <c r="AV259" s="10">
        <f t="shared" si="208"/>
        <v>0</v>
      </c>
      <c r="AW259" s="12" t="str">
        <f t="shared" si="198"/>
        <v>0</v>
      </c>
      <c r="AX259" s="12"/>
      <c r="AY259" s="10">
        <f>+Risultati!R258+Risultati!S258</f>
        <v>0</v>
      </c>
      <c r="AZ259" s="12" t="str">
        <f t="shared" si="199"/>
        <v>0</v>
      </c>
      <c r="BA259" s="12"/>
      <c r="BB259" s="10">
        <f>+Risultati!T258</f>
        <v>0</v>
      </c>
      <c r="BC259" s="12" t="str">
        <f t="shared" si="200"/>
        <v>0</v>
      </c>
      <c r="BD259" s="12"/>
      <c r="BE259" s="10">
        <f>+Risultati!U258</f>
        <v>0</v>
      </c>
      <c r="BF259" s="12" t="str">
        <f t="shared" si="201"/>
        <v>0</v>
      </c>
      <c r="BG259" s="12"/>
      <c r="BH259" s="10">
        <f t="shared" si="209"/>
        <v>0</v>
      </c>
      <c r="BI259" s="12" t="str">
        <f t="shared" si="202"/>
        <v>0</v>
      </c>
      <c r="BK259" s="16">
        <f>IF(ISNUMBER(Risultati!X258/100),(Risultati!X258/100))</f>
        <v>0</v>
      </c>
      <c r="BL259" s="16">
        <f>IF(ISNUMBER(Risultati!Y258/100),(Risultati!Y258/100))</f>
        <v>0</v>
      </c>
      <c r="BM259" s="16">
        <f>IF(ISNUMBER(Risultati!Z258/100),(Risultati!Z258/100))</f>
        <v>0</v>
      </c>
      <c r="BN259" s="16">
        <f>IF(AND(Risultati!AY258&lt;0,calcoli!AP259&lt;0),-IF(ISNUMBER(Risultati!AA258/100),(Risultati!AA258/100)),IF(ISNUMBER(Risultati!AA258/100),(Risultati!AA258/100)))</f>
        <v>0</v>
      </c>
      <c r="BO259" s="16" t="str">
        <f t="shared" ref="BO259:BO322" si="234">+BI259</f>
        <v>0</v>
      </c>
      <c r="BP259" s="16" t="str">
        <f>IF(Risultati!AB258&gt;0,(AV259/Risultati!AB258),"0")</f>
        <v>0</v>
      </c>
      <c r="BQ259" s="16" t="str">
        <f>IF(Risultati!AG258&lt;&gt;0,(BH259/Risultati!AG258),"0")</f>
        <v>0</v>
      </c>
      <c r="BR259" s="16" t="str">
        <f t="shared" ref="BR259:BR322" si="235">+BI259</f>
        <v>0</v>
      </c>
      <c r="BS259" s="14" t="str">
        <f>IF(Risultati!AB258&gt;0,(Risultati!G258/Risultati!AB258),"0")</f>
        <v>0</v>
      </c>
      <c r="BT259" s="15" t="str">
        <f>IF(Risultati!AG258&lt;&gt;0,(Risultati!AB258/Risultati!AG258),"0")</f>
        <v>0</v>
      </c>
      <c r="BU259" s="23" t="str">
        <f>IF(AND(Risultati!G258&gt;0,(Risultati!AE258-Risultati!AF258)&gt;=0),((Risultati!AE258-Risultati!AF258)/Risultati!G258*360),"0")</f>
        <v>0</v>
      </c>
      <c r="BV259" s="21" t="str">
        <f>IF(OR(E259="abbreviato",Risultati!G258=0),"0",((Risultati!AC258+Risultati!AD258)/Risultati!G258*360))</f>
        <v>0</v>
      </c>
      <c r="BW259" s="21" t="str">
        <f>IF(OR(E259="abbreviato",Risultati!G258=0,SUM(Risultati!I258+Risultati!K258+Risultati!M258)=0),"0",(((Risultati!AH258+Risultati!AI258)/(Risultati!I258+Risultati!K258+Risultati!N258)*360)))</f>
        <v>0</v>
      </c>
      <c r="BX259" s="16" t="str">
        <f>IF(Risultati!AB258&gt;0,(+Risultati!AG258/Risultati!AB258),"0")</f>
        <v>0</v>
      </c>
      <c r="BY259" s="22" t="str">
        <f>IF(OR(E259="abbreviato",Risultati!G258=0),"0",(((Risultati!AK258-(Risultati!AL258+Risultati!AM258))/Risultati!G258)))</f>
        <v>0</v>
      </c>
      <c r="BZ259" s="16" t="str">
        <f>IF(Risultati!G258&gt;0,(Risultati!AJ258/Risultati!G258),"0")</f>
        <v>0</v>
      </c>
      <c r="CA259" s="8"/>
      <c r="CB259" s="10">
        <f>+Risultati!AP258</f>
        <v>0</v>
      </c>
      <c r="CC259" s="31" t="str">
        <f t="shared" si="210"/>
        <v>0</v>
      </c>
      <c r="CD259" s="10">
        <f>+Risultati!AQ258</f>
        <v>0</v>
      </c>
      <c r="CE259" s="31" t="str">
        <f t="shared" si="211"/>
        <v>0</v>
      </c>
      <c r="CF259" s="10">
        <f>+Risultati!AR258</f>
        <v>0</v>
      </c>
      <c r="CG259" s="31" t="str">
        <f t="shared" si="212"/>
        <v>0</v>
      </c>
      <c r="CH259" s="10">
        <f>+Risultati!AS258</f>
        <v>0</v>
      </c>
      <c r="CI259" s="31" t="str">
        <f t="shared" si="213"/>
        <v>0</v>
      </c>
      <c r="CJ259" s="10">
        <f t="shared" si="214"/>
        <v>0</v>
      </c>
      <c r="CK259" s="31" t="str">
        <f t="shared" si="215"/>
        <v>0</v>
      </c>
      <c r="CL259" s="10">
        <f>+Risultati!AE258+Risultati!AF258</f>
        <v>0</v>
      </c>
      <c r="CM259" s="31" t="str">
        <f t="shared" si="216"/>
        <v>0</v>
      </c>
      <c r="CN259" s="10">
        <f>+Risultati!AT258</f>
        <v>0</v>
      </c>
      <c r="CO259" s="31" t="str">
        <f t="shared" si="217"/>
        <v>0</v>
      </c>
      <c r="CP259" s="10">
        <f>+Risultati!AU258</f>
        <v>0</v>
      </c>
      <c r="CQ259" s="31" t="str">
        <f t="shared" si="218"/>
        <v>0</v>
      </c>
      <c r="CR259" s="10">
        <f>+Risultati!AL258</f>
        <v>0</v>
      </c>
      <c r="CS259" s="31" t="str">
        <f t="shared" si="219"/>
        <v>0</v>
      </c>
      <c r="CT259" s="10">
        <f t="shared" si="220"/>
        <v>0</v>
      </c>
      <c r="CU259" s="31" t="str">
        <f t="shared" si="221"/>
        <v>0</v>
      </c>
      <c r="CV259" s="10">
        <f>+Risultati!AX258</f>
        <v>0</v>
      </c>
      <c r="CW259" s="31" t="str">
        <f t="shared" si="222"/>
        <v>0</v>
      </c>
      <c r="CX259" s="10">
        <f t="shared" si="223"/>
        <v>0</v>
      </c>
      <c r="CY259" s="31" t="str">
        <f t="shared" si="224"/>
        <v>0</v>
      </c>
      <c r="CZ259" s="10">
        <f>+Risultati!AG258</f>
        <v>0</v>
      </c>
      <c r="DA259" s="31" t="str">
        <f t="shared" si="225"/>
        <v>0</v>
      </c>
      <c r="DB259" s="10">
        <f t="shared" si="226"/>
        <v>0</v>
      </c>
      <c r="DC259" s="31" t="str">
        <f t="shared" si="227"/>
        <v>0</v>
      </c>
      <c r="DD259" s="10">
        <f>+Risultati!AV258</f>
        <v>0</v>
      </c>
      <c r="DE259" s="31" t="str">
        <f t="shared" si="228"/>
        <v>0</v>
      </c>
      <c r="DF259" s="10">
        <f>+Risultati!AJ258</f>
        <v>0</v>
      </c>
      <c r="DG259" s="31" t="str">
        <f t="shared" si="229"/>
        <v>0</v>
      </c>
      <c r="DH259" s="10">
        <f t="shared" si="230"/>
        <v>0</v>
      </c>
      <c r="DI259" s="31" t="str">
        <f t="shared" si="231"/>
        <v>0</v>
      </c>
      <c r="DJ259" s="10">
        <f>+Risultati!AW258</f>
        <v>0</v>
      </c>
      <c r="DK259" s="31" t="str">
        <f t="shared" si="232"/>
        <v>0</v>
      </c>
      <c r="DL259" s="10">
        <f t="shared" si="203"/>
        <v>0</v>
      </c>
      <c r="DM259" s="31" t="str">
        <f t="shared" si="233"/>
        <v>0</v>
      </c>
      <c r="DO259" s="30"/>
      <c r="DP259" s="30"/>
    </row>
    <row r="260" spans="1:120" x14ac:dyDescent="0.2">
      <c r="A260" s="5"/>
      <c r="B260" s="6">
        <f>+Risultati!B259</f>
        <v>0</v>
      </c>
      <c r="C260" s="6">
        <f>+Risultati!C259</f>
        <v>0</v>
      </c>
      <c r="D260" s="26" t="str">
        <f>IF(YEAR(Risultati!D259)=1900,(MID(Risultati!$AP$1,29,4)),YEAR(Risultati!D259))</f>
        <v/>
      </c>
      <c r="E260" s="6">
        <f>+Risultati!E259</f>
        <v>0</v>
      </c>
      <c r="F260" s="8" t="e">
        <f>(LEFT(Risultati!AN259,2)&amp;"-")&amp;VLOOKUP((LEFT(Risultati!AN259,2)),ateco!$B$4:$C$93,2,FALSE)</f>
        <v>#N/A</v>
      </c>
      <c r="G260" s="8" t="str">
        <f>SUBSTITUTE((Risultati!AN259&amp;"-"&amp;Risultati!AO259),",",";")</f>
        <v>-</v>
      </c>
      <c r="I260" s="10">
        <f>+Risultati!G259</f>
        <v>0</v>
      </c>
      <c r="J260" s="11" t="str">
        <f t="shared" ref="J260:J323" si="236">IF(L260&lt;&gt;0,(I260/L260),"0")</f>
        <v>0</v>
      </c>
      <c r="K260" s="12"/>
      <c r="L260" s="10">
        <f>+Risultati!G259+Risultati!H259</f>
        <v>0</v>
      </c>
      <c r="M260" s="11" t="str">
        <f t="shared" ref="M260:M323" si="237">IF(L260&lt;&gt;0,(L260/(L260+U260)),"0")</f>
        <v>0</v>
      </c>
      <c r="N260" s="12"/>
      <c r="O260" s="10">
        <f>+Risultati!I259+Risultati!J259</f>
        <v>0</v>
      </c>
      <c r="P260" s="11" t="str">
        <f t="shared" ref="P260:P323" si="238">IF(L260&lt;&gt;0,(O260/(L260+U260)),"0")</f>
        <v>0</v>
      </c>
      <c r="Q260" s="12"/>
      <c r="R260" s="13">
        <f t="shared" si="204"/>
        <v>0</v>
      </c>
      <c r="S260" s="11" t="str">
        <f t="shared" ref="S260:S323" si="239">IF(L260&lt;&gt;0,(R260/(L260+U260)),"0")</f>
        <v>0</v>
      </c>
      <c r="T260" s="12"/>
      <c r="U260" s="10">
        <f>+Risultati!F259-(Risultati!G259+Risultati!H259)</f>
        <v>0</v>
      </c>
      <c r="V260" s="12" t="str">
        <f t="shared" ref="V260:V323" si="240">IF(L260&lt;&gt;0,(U260/(L260+U260)),"0")</f>
        <v>0</v>
      </c>
      <c r="W260" s="12"/>
      <c r="X260" s="10">
        <f t="shared" si="205"/>
        <v>0</v>
      </c>
      <c r="Y260" s="12" t="str">
        <f t="shared" ref="Y260:Y323" si="241">IF(L260&lt;&gt;0,(X260/(L260+U260)),"0")</f>
        <v>0</v>
      </c>
      <c r="Z260" s="12"/>
      <c r="AA260" s="10">
        <f>+Risultati!K259</f>
        <v>0</v>
      </c>
      <c r="AB260" s="12" t="str">
        <f t="shared" ref="AB260:AB323" si="242">IF(L260&lt;&gt;0,(AA260/(L260+U260)),"0")</f>
        <v>0</v>
      </c>
      <c r="AC260" s="12"/>
      <c r="AD260" s="10">
        <f>+Risultati!L259</f>
        <v>0</v>
      </c>
      <c r="AE260" s="12" t="str">
        <f t="shared" ref="AE260:AE323" si="243">IF(L260&lt;&gt;0,(AD260/(L260+U260)),"0")</f>
        <v>0</v>
      </c>
      <c r="AF260" s="12"/>
      <c r="AG260" s="10">
        <f>+Risultati!M259+Risultati!P259+Risultati!Q259</f>
        <v>0</v>
      </c>
      <c r="AH260" s="12" t="str">
        <f t="shared" ref="AH260:AH323" si="244">IF(L260&lt;&gt;0,(AG260/(L260+U260)),"0")</f>
        <v>0</v>
      </c>
      <c r="AI260" s="12"/>
      <c r="AJ260" s="13">
        <f t="shared" si="206"/>
        <v>0</v>
      </c>
      <c r="AK260" s="11" t="str">
        <f t="shared" ref="AK260:AK323" si="245">IF(L260&lt;&gt;0,(AJ260/(L260+U260)),"0")</f>
        <v>0</v>
      </c>
      <c r="AL260" s="12"/>
      <c r="AM260" s="10">
        <f>+Risultati!N259</f>
        <v>0</v>
      </c>
      <c r="AN260" s="12" t="str">
        <f t="shared" ref="AN260:AN323" si="246">IF(L260&lt;&gt;0,(AM260/(L260+U260)),"0")</f>
        <v>0</v>
      </c>
      <c r="AO260" s="12"/>
      <c r="AP260" s="10">
        <f t="shared" si="207"/>
        <v>0</v>
      </c>
      <c r="AQ260" s="41" t="str">
        <f t="shared" ref="AQ260:AQ323" si="247">IF(L260&lt;&gt;0,(AP260/(L260+U260)),"0")</f>
        <v>0</v>
      </c>
      <c r="AR260" s="12"/>
      <c r="AS260" s="10">
        <f>+Risultati!O259</f>
        <v>0</v>
      </c>
      <c r="AT260" s="12" t="str">
        <f t="shared" ref="AT260:AT323" si="248">IF(L260&lt;&gt;0,(AS260/(L260+U260)),"0")</f>
        <v>0</v>
      </c>
      <c r="AU260" s="12"/>
      <c r="AV260" s="10">
        <f t="shared" si="208"/>
        <v>0</v>
      </c>
      <c r="AW260" s="12" t="str">
        <f t="shared" ref="AW260:AW323" si="249">IF(L260&lt;&gt;0,(AV260/(L260+U260)),"0")</f>
        <v>0</v>
      </c>
      <c r="AX260" s="12"/>
      <c r="AY260" s="10">
        <f>+Risultati!R259+Risultati!S259</f>
        <v>0</v>
      </c>
      <c r="AZ260" s="12" t="str">
        <f t="shared" ref="AZ260:AZ323" si="250">IF(L260&lt;&gt;0,(AY260/(L260+U260)),"0")</f>
        <v>0</v>
      </c>
      <c r="BA260" s="12"/>
      <c r="BB260" s="10">
        <f>+Risultati!T259</f>
        <v>0</v>
      </c>
      <c r="BC260" s="12" t="str">
        <f t="shared" ref="BC260:BC323" si="251">IF(L260&lt;&gt;0,(BB260/(L260+U260)),"0")</f>
        <v>0</v>
      </c>
      <c r="BD260" s="12"/>
      <c r="BE260" s="10">
        <f>+Risultati!U259</f>
        <v>0</v>
      </c>
      <c r="BF260" s="12" t="str">
        <f t="shared" ref="BF260:BF323" si="252">IF(L260&lt;&gt;0,(BE260/(L260+U260)),"0")</f>
        <v>0</v>
      </c>
      <c r="BG260" s="12"/>
      <c r="BH260" s="10">
        <f t="shared" si="209"/>
        <v>0</v>
      </c>
      <c r="BI260" s="12" t="str">
        <f t="shared" ref="BI260:BI323" si="253">IF(L260&lt;&gt;0,(+BH260/(L260+U260)),"0")</f>
        <v>0</v>
      </c>
      <c r="BK260" s="16">
        <f>IF(ISNUMBER(Risultati!X259/100),(Risultati!X259/100))</f>
        <v>0</v>
      </c>
      <c r="BL260" s="16">
        <f>IF(ISNUMBER(Risultati!Y259/100),(Risultati!Y259/100))</f>
        <v>0</v>
      </c>
      <c r="BM260" s="16">
        <f>IF(ISNUMBER(Risultati!Z259/100),(Risultati!Z259/100))</f>
        <v>0</v>
      </c>
      <c r="BN260" s="16">
        <f>IF(AND(Risultati!AY259&lt;0,calcoli!AP260&lt;0),-IF(ISNUMBER(Risultati!AA259/100),(Risultati!AA259/100)),IF(ISNUMBER(Risultati!AA259/100),(Risultati!AA259/100)))</f>
        <v>0</v>
      </c>
      <c r="BO260" s="16" t="str">
        <f t="shared" si="234"/>
        <v>0</v>
      </c>
      <c r="BP260" s="16" t="str">
        <f>IF(Risultati!AB259&gt;0,(AV260/Risultati!AB259),"0")</f>
        <v>0</v>
      </c>
      <c r="BQ260" s="16" t="str">
        <f>IF(Risultati!AG259&lt;&gt;0,(BH260/Risultati!AG259),"0")</f>
        <v>0</v>
      </c>
      <c r="BR260" s="16" t="str">
        <f t="shared" si="235"/>
        <v>0</v>
      </c>
      <c r="BS260" s="14" t="str">
        <f>IF(Risultati!AB259&gt;0,(Risultati!G259/Risultati!AB259),"0")</f>
        <v>0</v>
      </c>
      <c r="BT260" s="15" t="str">
        <f>IF(Risultati!AG259&lt;&gt;0,(Risultati!AB259/Risultati!AG259),"0")</f>
        <v>0</v>
      </c>
      <c r="BU260" s="23" t="str">
        <f>IF(AND(Risultati!G259&gt;0,(Risultati!AE259-Risultati!AF259)&gt;=0),((Risultati!AE259-Risultati!AF259)/Risultati!G259*360),"0")</f>
        <v>0</v>
      </c>
      <c r="BV260" s="21" t="str">
        <f>IF(OR(E260="abbreviato",Risultati!G259=0),"0",((Risultati!AC259+Risultati!AD259)/Risultati!G259*360))</f>
        <v>0</v>
      </c>
      <c r="BW260" s="21" t="str">
        <f>IF(OR(E260="abbreviato",Risultati!G259=0,SUM(Risultati!I259+Risultati!K259+Risultati!M259)=0),"0",(((Risultati!AH259+Risultati!AI259)/(Risultati!I259+Risultati!K259+Risultati!N259)*360)))</f>
        <v>0</v>
      </c>
      <c r="BX260" s="16" t="str">
        <f>IF(Risultati!AB259&gt;0,(+Risultati!AG259/Risultati!AB259),"0")</f>
        <v>0</v>
      </c>
      <c r="BY260" s="22" t="str">
        <f>IF(OR(E260="abbreviato",Risultati!G259=0),"0",(((Risultati!AK259-(Risultati!AL259+Risultati!AM259))/Risultati!G259)))</f>
        <v>0</v>
      </c>
      <c r="BZ260" s="16" t="str">
        <f>IF(Risultati!G259&gt;0,(Risultati!AJ259/Risultati!G259),"0")</f>
        <v>0</v>
      </c>
      <c r="CA260" s="8"/>
      <c r="CB260" s="10">
        <f>+Risultati!AP259</f>
        <v>0</v>
      </c>
      <c r="CC260" s="31" t="str">
        <f t="shared" si="210"/>
        <v>0</v>
      </c>
      <c r="CD260" s="10">
        <f>+Risultati!AQ259</f>
        <v>0</v>
      </c>
      <c r="CE260" s="31" t="str">
        <f t="shared" si="211"/>
        <v>0</v>
      </c>
      <c r="CF260" s="10">
        <f>+Risultati!AR259</f>
        <v>0</v>
      </c>
      <c r="CG260" s="31" t="str">
        <f t="shared" si="212"/>
        <v>0</v>
      </c>
      <c r="CH260" s="10">
        <f>+Risultati!AS259</f>
        <v>0</v>
      </c>
      <c r="CI260" s="31" t="str">
        <f t="shared" si="213"/>
        <v>0</v>
      </c>
      <c r="CJ260" s="10">
        <f t="shared" si="214"/>
        <v>0</v>
      </c>
      <c r="CK260" s="31" t="str">
        <f t="shared" si="215"/>
        <v>0</v>
      </c>
      <c r="CL260" s="10">
        <f>+Risultati!AE259+Risultati!AF259</f>
        <v>0</v>
      </c>
      <c r="CM260" s="31" t="str">
        <f t="shared" si="216"/>
        <v>0</v>
      </c>
      <c r="CN260" s="10">
        <f>+Risultati!AT259</f>
        <v>0</v>
      </c>
      <c r="CO260" s="31" t="str">
        <f t="shared" si="217"/>
        <v>0</v>
      </c>
      <c r="CP260" s="10">
        <f>+Risultati!AU259</f>
        <v>0</v>
      </c>
      <c r="CQ260" s="31" t="str">
        <f t="shared" si="218"/>
        <v>0</v>
      </c>
      <c r="CR260" s="10">
        <f>+Risultati!AL259</f>
        <v>0</v>
      </c>
      <c r="CS260" s="31" t="str">
        <f t="shared" si="219"/>
        <v>0</v>
      </c>
      <c r="CT260" s="10">
        <f t="shared" si="220"/>
        <v>0</v>
      </c>
      <c r="CU260" s="31" t="str">
        <f t="shared" si="221"/>
        <v>0</v>
      </c>
      <c r="CV260" s="10">
        <f>+Risultati!AX259</f>
        <v>0</v>
      </c>
      <c r="CW260" s="31" t="str">
        <f t="shared" si="222"/>
        <v>0</v>
      </c>
      <c r="CX260" s="10">
        <f t="shared" si="223"/>
        <v>0</v>
      </c>
      <c r="CY260" s="31" t="str">
        <f t="shared" si="224"/>
        <v>0</v>
      </c>
      <c r="CZ260" s="10">
        <f>+Risultati!AG259</f>
        <v>0</v>
      </c>
      <c r="DA260" s="31" t="str">
        <f t="shared" si="225"/>
        <v>0</v>
      </c>
      <c r="DB260" s="10">
        <f t="shared" si="226"/>
        <v>0</v>
      </c>
      <c r="DC260" s="31" t="str">
        <f t="shared" si="227"/>
        <v>0</v>
      </c>
      <c r="DD260" s="10">
        <f>+Risultati!AV259</f>
        <v>0</v>
      </c>
      <c r="DE260" s="31" t="str">
        <f t="shared" si="228"/>
        <v>0</v>
      </c>
      <c r="DF260" s="10">
        <f>+Risultati!AJ259</f>
        <v>0</v>
      </c>
      <c r="DG260" s="31" t="str">
        <f t="shared" si="229"/>
        <v>0</v>
      </c>
      <c r="DH260" s="10">
        <f t="shared" si="230"/>
        <v>0</v>
      </c>
      <c r="DI260" s="31" t="str">
        <f t="shared" si="231"/>
        <v>0</v>
      </c>
      <c r="DJ260" s="10">
        <f>+Risultati!AW259</f>
        <v>0</v>
      </c>
      <c r="DK260" s="31" t="str">
        <f t="shared" si="232"/>
        <v>0</v>
      </c>
      <c r="DL260" s="10">
        <f t="shared" ref="DL260:DL323" si="254">+CX260</f>
        <v>0</v>
      </c>
      <c r="DM260" s="31" t="str">
        <f t="shared" si="233"/>
        <v>0</v>
      </c>
      <c r="DO260" s="30"/>
      <c r="DP260" s="30"/>
    </row>
    <row r="261" spans="1:120" x14ac:dyDescent="0.2">
      <c r="A261" s="5"/>
      <c r="B261" s="6">
        <f>+Risultati!B260</f>
        <v>0</v>
      </c>
      <c r="C261" s="6">
        <f>+Risultati!C260</f>
        <v>0</v>
      </c>
      <c r="D261" s="26" t="str">
        <f>IF(YEAR(Risultati!D260)=1900,(MID(Risultati!$AP$1,29,4)),YEAR(Risultati!D260))</f>
        <v/>
      </c>
      <c r="E261" s="6">
        <f>+Risultati!E260</f>
        <v>0</v>
      </c>
      <c r="F261" s="8" t="e">
        <f>(LEFT(Risultati!AN260,2)&amp;"-")&amp;VLOOKUP((LEFT(Risultati!AN260,2)),ateco!$B$4:$C$93,2,FALSE)</f>
        <v>#N/A</v>
      </c>
      <c r="G261" s="8" t="str">
        <f>SUBSTITUTE((Risultati!AN260&amp;"-"&amp;Risultati!AO260),",",";")</f>
        <v>-</v>
      </c>
      <c r="I261" s="10">
        <f>+Risultati!G260</f>
        <v>0</v>
      </c>
      <c r="J261" s="11" t="str">
        <f t="shared" si="236"/>
        <v>0</v>
      </c>
      <c r="K261" s="12"/>
      <c r="L261" s="10">
        <f>+Risultati!G260+Risultati!H260</f>
        <v>0</v>
      </c>
      <c r="M261" s="11" t="str">
        <f t="shared" si="237"/>
        <v>0</v>
      </c>
      <c r="N261" s="12"/>
      <c r="O261" s="10">
        <f>+Risultati!I260+Risultati!J260</f>
        <v>0</v>
      </c>
      <c r="P261" s="11" t="str">
        <f t="shared" si="238"/>
        <v>0</v>
      </c>
      <c r="Q261" s="12"/>
      <c r="R261" s="13">
        <f t="shared" si="204"/>
        <v>0</v>
      </c>
      <c r="S261" s="11" t="str">
        <f t="shared" si="239"/>
        <v>0</v>
      </c>
      <c r="T261" s="12"/>
      <c r="U261" s="10">
        <f>+Risultati!F260-(Risultati!G260+Risultati!H260)</f>
        <v>0</v>
      </c>
      <c r="V261" s="12" t="str">
        <f t="shared" si="240"/>
        <v>0</v>
      </c>
      <c r="W261" s="12"/>
      <c r="X261" s="10">
        <f t="shared" si="205"/>
        <v>0</v>
      </c>
      <c r="Y261" s="12" t="str">
        <f t="shared" si="241"/>
        <v>0</v>
      </c>
      <c r="Z261" s="12"/>
      <c r="AA261" s="10">
        <f>+Risultati!K260</f>
        <v>0</v>
      </c>
      <c r="AB261" s="12" t="str">
        <f t="shared" si="242"/>
        <v>0</v>
      </c>
      <c r="AC261" s="12"/>
      <c r="AD261" s="10">
        <f>+Risultati!L260</f>
        <v>0</v>
      </c>
      <c r="AE261" s="12" t="str">
        <f t="shared" si="243"/>
        <v>0</v>
      </c>
      <c r="AF261" s="12"/>
      <c r="AG261" s="10">
        <f>+Risultati!M260+Risultati!P260+Risultati!Q260</f>
        <v>0</v>
      </c>
      <c r="AH261" s="12" t="str">
        <f t="shared" si="244"/>
        <v>0</v>
      </c>
      <c r="AI261" s="12"/>
      <c r="AJ261" s="13">
        <f t="shared" si="206"/>
        <v>0</v>
      </c>
      <c r="AK261" s="11" t="str">
        <f t="shared" si="245"/>
        <v>0</v>
      </c>
      <c r="AL261" s="12"/>
      <c r="AM261" s="10">
        <f>+Risultati!N260</f>
        <v>0</v>
      </c>
      <c r="AN261" s="12" t="str">
        <f t="shared" si="246"/>
        <v>0</v>
      </c>
      <c r="AO261" s="12"/>
      <c r="AP261" s="10">
        <f t="shared" si="207"/>
        <v>0</v>
      </c>
      <c r="AQ261" s="41" t="str">
        <f t="shared" si="247"/>
        <v>0</v>
      </c>
      <c r="AR261" s="12"/>
      <c r="AS261" s="10">
        <f>+Risultati!O260</f>
        <v>0</v>
      </c>
      <c r="AT261" s="12" t="str">
        <f t="shared" si="248"/>
        <v>0</v>
      </c>
      <c r="AU261" s="12"/>
      <c r="AV261" s="10">
        <f t="shared" si="208"/>
        <v>0</v>
      </c>
      <c r="AW261" s="12" t="str">
        <f t="shared" si="249"/>
        <v>0</v>
      </c>
      <c r="AX261" s="12"/>
      <c r="AY261" s="10">
        <f>+Risultati!R260+Risultati!S260</f>
        <v>0</v>
      </c>
      <c r="AZ261" s="12" t="str">
        <f t="shared" si="250"/>
        <v>0</v>
      </c>
      <c r="BA261" s="12"/>
      <c r="BB261" s="10">
        <f>+Risultati!T260</f>
        <v>0</v>
      </c>
      <c r="BC261" s="12" t="str">
        <f t="shared" si="251"/>
        <v>0</v>
      </c>
      <c r="BD261" s="12"/>
      <c r="BE261" s="10">
        <f>+Risultati!U260</f>
        <v>0</v>
      </c>
      <c r="BF261" s="12" t="str">
        <f t="shared" si="252"/>
        <v>0</v>
      </c>
      <c r="BG261" s="12"/>
      <c r="BH261" s="10">
        <f t="shared" si="209"/>
        <v>0</v>
      </c>
      <c r="BI261" s="12" t="str">
        <f t="shared" si="253"/>
        <v>0</v>
      </c>
      <c r="BK261" s="16">
        <f>IF(ISNUMBER(Risultati!X260/100),(Risultati!X260/100))</f>
        <v>0</v>
      </c>
      <c r="BL261" s="16">
        <f>IF(ISNUMBER(Risultati!Y260/100),(Risultati!Y260/100))</f>
        <v>0</v>
      </c>
      <c r="BM261" s="16">
        <f>IF(ISNUMBER(Risultati!Z260/100),(Risultati!Z260/100))</f>
        <v>0</v>
      </c>
      <c r="BN261" s="16">
        <f>IF(AND(Risultati!AY260&lt;0,calcoli!AP261&lt;0),-IF(ISNUMBER(Risultati!AA260/100),(Risultati!AA260/100)),IF(ISNUMBER(Risultati!AA260/100),(Risultati!AA260/100)))</f>
        <v>0</v>
      </c>
      <c r="BO261" s="16" t="str">
        <f t="shared" si="234"/>
        <v>0</v>
      </c>
      <c r="BP261" s="16" t="str">
        <f>IF(Risultati!AB260&gt;0,(AV261/Risultati!AB260),"0")</f>
        <v>0</v>
      </c>
      <c r="BQ261" s="16" t="str">
        <f>IF(Risultati!AG260&lt;&gt;0,(BH261/Risultati!AG260),"0")</f>
        <v>0</v>
      </c>
      <c r="BR261" s="16" t="str">
        <f t="shared" si="235"/>
        <v>0</v>
      </c>
      <c r="BS261" s="14" t="str">
        <f>IF(Risultati!AB260&gt;0,(Risultati!G260/Risultati!AB260),"0")</f>
        <v>0</v>
      </c>
      <c r="BT261" s="15" t="str">
        <f>IF(Risultati!AG260&lt;&gt;0,(Risultati!AB260/Risultati!AG260),"0")</f>
        <v>0</v>
      </c>
      <c r="BU261" s="23" t="str">
        <f>IF(AND(Risultati!G260&gt;0,(Risultati!AE260-Risultati!AF260)&gt;=0),((Risultati!AE260-Risultati!AF260)/Risultati!G260*360),"0")</f>
        <v>0</v>
      </c>
      <c r="BV261" s="21" t="str">
        <f>IF(OR(E261="abbreviato",Risultati!G260=0),"0",((Risultati!AC260+Risultati!AD260)/Risultati!G260*360))</f>
        <v>0</v>
      </c>
      <c r="BW261" s="21" t="str">
        <f>IF(OR(E261="abbreviato",Risultati!G260=0,SUM(Risultati!I260+Risultati!K260+Risultati!M260)=0),"0",(((Risultati!AH260+Risultati!AI260)/(Risultati!I260+Risultati!K260+Risultati!N260)*360)))</f>
        <v>0</v>
      </c>
      <c r="BX261" s="16" t="str">
        <f>IF(Risultati!AB260&gt;0,(+Risultati!AG260/Risultati!AB260),"0")</f>
        <v>0</v>
      </c>
      <c r="BY261" s="22" t="str">
        <f>IF(OR(E261="abbreviato",Risultati!G260=0),"0",(((Risultati!AK260-(Risultati!AL260+Risultati!AM260))/Risultati!G260)))</f>
        <v>0</v>
      </c>
      <c r="BZ261" s="16" t="str">
        <f>IF(Risultati!G260&gt;0,(Risultati!AJ260/Risultati!G260),"0")</f>
        <v>0</v>
      </c>
      <c r="CA261" s="8"/>
      <c r="CB261" s="10">
        <f>+Risultati!AP260</f>
        <v>0</v>
      </c>
      <c r="CC261" s="31" t="str">
        <f t="shared" si="210"/>
        <v>0</v>
      </c>
      <c r="CD261" s="10">
        <f>+Risultati!AQ260</f>
        <v>0</v>
      </c>
      <c r="CE261" s="31" t="str">
        <f t="shared" si="211"/>
        <v>0</v>
      </c>
      <c r="CF261" s="10">
        <f>+Risultati!AR260</f>
        <v>0</v>
      </c>
      <c r="CG261" s="31" t="str">
        <f t="shared" si="212"/>
        <v>0</v>
      </c>
      <c r="CH261" s="10">
        <f>+Risultati!AS260</f>
        <v>0</v>
      </c>
      <c r="CI261" s="31" t="str">
        <f t="shared" si="213"/>
        <v>0</v>
      </c>
      <c r="CJ261" s="10">
        <f t="shared" si="214"/>
        <v>0</v>
      </c>
      <c r="CK261" s="31" t="str">
        <f t="shared" si="215"/>
        <v>0</v>
      </c>
      <c r="CL261" s="10">
        <f>+Risultati!AE260+Risultati!AF260</f>
        <v>0</v>
      </c>
      <c r="CM261" s="31" t="str">
        <f t="shared" si="216"/>
        <v>0</v>
      </c>
      <c r="CN261" s="10">
        <f>+Risultati!AT260</f>
        <v>0</v>
      </c>
      <c r="CO261" s="31" t="str">
        <f t="shared" si="217"/>
        <v>0</v>
      </c>
      <c r="CP261" s="10">
        <f>+Risultati!AU260</f>
        <v>0</v>
      </c>
      <c r="CQ261" s="31" t="str">
        <f t="shared" si="218"/>
        <v>0</v>
      </c>
      <c r="CR261" s="10">
        <f>+Risultati!AL260</f>
        <v>0</v>
      </c>
      <c r="CS261" s="31" t="str">
        <f t="shared" si="219"/>
        <v>0</v>
      </c>
      <c r="CT261" s="10">
        <f t="shared" si="220"/>
        <v>0</v>
      </c>
      <c r="CU261" s="31" t="str">
        <f t="shared" si="221"/>
        <v>0</v>
      </c>
      <c r="CV261" s="10">
        <f>+Risultati!AX260</f>
        <v>0</v>
      </c>
      <c r="CW261" s="31" t="str">
        <f t="shared" si="222"/>
        <v>0</v>
      </c>
      <c r="CX261" s="10">
        <f t="shared" si="223"/>
        <v>0</v>
      </c>
      <c r="CY261" s="31" t="str">
        <f t="shared" si="224"/>
        <v>0</v>
      </c>
      <c r="CZ261" s="10">
        <f>+Risultati!AG260</f>
        <v>0</v>
      </c>
      <c r="DA261" s="31" t="str">
        <f t="shared" si="225"/>
        <v>0</v>
      </c>
      <c r="DB261" s="10">
        <f t="shared" si="226"/>
        <v>0</v>
      </c>
      <c r="DC261" s="31" t="str">
        <f t="shared" si="227"/>
        <v>0</v>
      </c>
      <c r="DD261" s="10">
        <f>+Risultati!AV260</f>
        <v>0</v>
      </c>
      <c r="DE261" s="31" t="str">
        <f t="shared" si="228"/>
        <v>0</v>
      </c>
      <c r="DF261" s="10">
        <f>+Risultati!AJ260</f>
        <v>0</v>
      </c>
      <c r="DG261" s="31" t="str">
        <f t="shared" si="229"/>
        <v>0</v>
      </c>
      <c r="DH261" s="10">
        <f t="shared" si="230"/>
        <v>0</v>
      </c>
      <c r="DI261" s="31" t="str">
        <f t="shared" si="231"/>
        <v>0</v>
      </c>
      <c r="DJ261" s="10">
        <f>+Risultati!AW260</f>
        <v>0</v>
      </c>
      <c r="DK261" s="31" t="str">
        <f t="shared" si="232"/>
        <v>0</v>
      </c>
      <c r="DL261" s="10">
        <f t="shared" si="254"/>
        <v>0</v>
      </c>
      <c r="DM261" s="31" t="str">
        <f t="shared" si="233"/>
        <v>0</v>
      </c>
      <c r="DO261" s="30"/>
      <c r="DP261" s="30"/>
    </row>
    <row r="262" spans="1:120" x14ac:dyDescent="0.2">
      <c r="A262" s="5"/>
      <c r="B262" s="6">
        <f>+Risultati!B261</f>
        <v>0</v>
      </c>
      <c r="C262" s="6">
        <f>+Risultati!C261</f>
        <v>0</v>
      </c>
      <c r="D262" s="26" t="str">
        <f>IF(YEAR(Risultati!D261)=1900,(MID(Risultati!$AP$1,29,4)),YEAR(Risultati!D261))</f>
        <v/>
      </c>
      <c r="E262" s="6">
        <f>+Risultati!E261</f>
        <v>0</v>
      </c>
      <c r="F262" s="8" t="e">
        <f>(LEFT(Risultati!AN261,2)&amp;"-")&amp;VLOOKUP((LEFT(Risultati!AN261,2)),ateco!$B$4:$C$93,2,FALSE)</f>
        <v>#N/A</v>
      </c>
      <c r="G262" s="8" t="str">
        <f>SUBSTITUTE((Risultati!AN261&amp;"-"&amp;Risultati!AO261),",",";")</f>
        <v>-</v>
      </c>
      <c r="I262" s="10">
        <f>+Risultati!G261</f>
        <v>0</v>
      </c>
      <c r="J262" s="11" t="str">
        <f t="shared" si="236"/>
        <v>0</v>
      </c>
      <c r="K262" s="12"/>
      <c r="L262" s="10">
        <f>+Risultati!G261+Risultati!H261</f>
        <v>0</v>
      </c>
      <c r="M262" s="11" t="str">
        <f t="shared" si="237"/>
        <v>0</v>
      </c>
      <c r="N262" s="12"/>
      <c r="O262" s="10">
        <f>+Risultati!I261+Risultati!J261</f>
        <v>0</v>
      </c>
      <c r="P262" s="11" t="str">
        <f t="shared" si="238"/>
        <v>0</v>
      </c>
      <c r="Q262" s="12"/>
      <c r="R262" s="13">
        <f t="shared" si="204"/>
        <v>0</v>
      </c>
      <c r="S262" s="11" t="str">
        <f t="shared" si="239"/>
        <v>0</v>
      </c>
      <c r="T262" s="12"/>
      <c r="U262" s="10">
        <f>+Risultati!F261-(Risultati!G261+Risultati!H261)</f>
        <v>0</v>
      </c>
      <c r="V262" s="12" t="str">
        <f t="shared" si="240"/>
        <v>0</v>
      </c>
      <c r="W262" s="12"/>
      <c r="X262" s="10">
        <f t="shared" si="205"/>
        <v>0</v>
      </c>
      <c r="Y262" s="12" t="str">
        <f t="shared" si="241"/>
        <v>0</v>
      </c>
      <c r="Z262" s="12"/>
      <c r="AA262" s="10">
        <f>+Risultati!K261</f>
        <v>0</v>
      </c>
      <c r="AB262" s="12" t="str">
        <f t="shared" si="242"/>
        <v>0</v>
      </c>
      <c r="AC262" s="12"/>
      <c r="AD262" s="10">
        <f>+Risultati!L261</f>
        <v>0</v>
      </c>
      <c r="AE262" s="12" t="str">
        <f t="shared" si="243"/>
        <v>0</v>
      </c>
      <c r="AF262" s="12"/>
      <c r="AG262" s="10">
        <f>+Risultati!M261+Risultati!P261+Risultati!Q261</f>
        <v>0</v>
      </c>
      <c r="AH262" s="12" t="str">
        <f t="shared" si="244"/>
        <v>0</v>
      </c>
      <c r="AI262" s="12"/>
      <c r="AJ262" s="13">
        <f t="shared" si="206"/>
        <v>0</v>
      </c>
      <c r="AK262" s="11" t="str">
        <f t="shared" si="245"/>
        <v>0</v>
      </c>
      <c r="AL262" s="12"/>
      <c r="AM262" s="10">
        <f>+Risultati!N261</f>
        <v>0</v>
      </c>
      <c r="AN262" s="12" t="str">
        <f t="shared" si="246"/>
        <v>0</v>
      </c>
      <c r="AO262" s="12"/>
      <c r="AP262" s="10">
        <f t="shared" si="207"/>
        <v>0</v>
      </c>
      <c r="AQ262" s="41" t="str">
        <f t="shared" si="247"/>
        <v>0</v>
      </c>
      <c r="AR262" s="12"/>
      <c r="AS262" s="10">
        <f>+Risultati!O261</f>
        <v>0</v>
      </c>
      <c r="AT262" s="12" t="str">
        <f t="shared" si="248"/>
        <v>0</v>
      </c>
      <c r="AU262" s="12"/>
      <c r="AV262" s="10">
        <f t="shared" si="208"/>
        <v>0</v>
      </c>
      <c r="AW262" s="12" t="str">
        <f t="shared" si="249"/>
        <v>0</v>
      </c>
      <c r="AX262" s="12"/>
      <c r="AY262" s="10">
        <f>+Risultati!R261+Risultati!S261</f>
        <v>0</v>
      </c>
      <c r="AZ262" s="12" t="str">
        <f t="shared" si="250"/>
        <v>0</v>
      </c>
      <c r="BA262" s="12"/>
      <c r="BB262" s="10">
        <f>+Risultati!T261</f>
        <v>0</v>
      </c>
      <c r="BC262" s="12" t="str">
        <f t="shared" si="251"/>
        <v>0</v>
      </c>
      <c r="BD262" s="12"/>
      <c r="BE262" s="10">
        <f>+Risultati!U261</f>
        <v>0</v>
      </c>
      <c r="BF262" s="12" t="str">
        <f t="shared" si="252"/>
        <v>0</v>
      </c>
      <c r="BG262" s="12"/>
      <c r="BH262" s="10">
        <f t="shared" si="209"/>
        <v>0</v>
      </c>
      <c r="BI262" s="12" t="str">
        <f t="shared" si="253"/>
        <v>0</v>
      </c>
      <c r="BK262" s="16">
        <f>IF(ISNUMBER(Risultati!X261/100),(Risultati!X261/100))</f>
        <v>0</v>
      </c>
      <c r="BL262" s="16">
        <f>IF(ISNUMBER(Risultati!Y261/100),(Risultati!Y261/100))</f>
        <v>0</v>
      </c>
      <c r="BM262" s="16">
        <f>IF(ISNUMBER(Risultati!Z261/100),(Risultati!Z261/100))</f>
        <v>0</v>
      </c>
      <c r="BN262" s="16">
        <f>IF(AND(Risultati!AY261&lt;0,calcoli!AP262&lt;0),-IF(ISNUMBER(Risultati!AA261/100),(Risultati!AA261/100)),IF(ISNUMBER(Risultati!AA261/100),(Risultati!AA261/100)))</f>
        <v>0</v>
      </c>
      <c r="BO262" s="16" t="str">
        <f t="shared" si="234"/>
        <v>0</v>
      </c>
      <c r="BP262" s="16" t="str">
        <f>IF(Risultati!AB261&gt;0,(AV262/Risultati!AB261),"0")</f>
        <v>0</v>
      </c>
      <c r="BQ262" s="16" t="str">
        <f>IF(Risultati!AG261&lt;&gt;0,(BH262/Risultati!AG261),"0")</f>
        <v>0</v>
      </c>
      <c r="BR262" s="16" t="str">
        <f t="shared" si="235"/>
        <v>0</v>
      </c>
      <c r="BS262" s="14" t="str">
        <f>IF(Risultati!AB261&gt;0,(Risultati!G261/Risultati!AB261),"0")</f>
        <v>0</v>
      </c>
      <c r="BT262" s="15" t="str">
        <f>IF(Risultati!AG261&lt;&gt;0,(Risultati!AB261/Risultati!AG261),"0")</f>
        <v>0</v>
      </c>
      <c r="BU262" s="23" t="str">
        <f>IF(AND(Risultati!G261&gt;0,(Risultati!AE261-Risultati!AF261)&gt;=0),((Risultati!AE261-Risultati!AF261)/Risultati!G261*360),"0")</f>
        <v>0</v>
      </c>
      <c r="BV262" s="21" t="str">
        <f>IF(OR(E262="abbreviato",Risultati!G261=0),"0",((Risultati!AC261+Risultati!AD261)/Risultati!G261*360))</f>
        <v>0</v>
      </c>
      <c r="BW262" s="21" t="str">
        <f>IF(OR(E262="abbreviato",Risultati!G261=0,SUM(Risultati!I261+Risultati!K261+Risultati!M261)=0),"0",(((Risultati!AH261+Risultati!AI261)/(Risultati!I261+Risultati!K261+Risultati!N261)*360)))</f>
        <v>0</v>
      </c>
      <c r="BX262" s="16" t="str">
        <f>IF(Risultati!AB261&gt;0,(+Risultati!AG261/Risultati!AB261),"0")</f>
        <v>0</v>
      </c>
      <c r="BY262" s="22" t="str">
        <f>IF(OR(E262="abbreviato",Risultati!G261=0),"0",(((Risultati!AK261-(Risultati!AL261+Risultati!AM261))/Risultati!G261)))</f>
        <v>0</v>
      </c>
      <c r="BZ262" s="16" t="str">
        <f>IF(Risultati!G261&gt;0,(Risultati!AJ261/Risultati!G261),"0")</f>
        <v>0</v>
      </c>
      <c r="CA262" s="8"/>
      <c r="CB262" s="10">
        <f>+Risultati!AP261</f>
        <v>0</v>
      </c>
      <c r="CC262" s="31" t="str">
        <f t="shared" si="210"/>
        <v>0</v>
      </c>
      <c r="CD262" s="10">
        <f>+Risultati!AQ261</f>
        <v>0</v>
      </c>
      <c r="CE262" s="31" t="str">
        <f t="shared" si="211"/>
        <v>0</v>
      </c>
      <c r="CF262" s="10">
        <f>+Risultati!AR261</f>
        <v>0</v>
      </c>
      <c r="CG262" s="31" t="str">
        <f t="shared" si="212"/>
        <v>0</v>
      </c>
      <c r="CH262" s="10">
        <f>+Risultati!AS261</f>
        <v>0</v>
      </c>
      <c r="CI262" s="31" t="str">
        <f t="shared" si="213"/>
        <v>0</v>
      </c>
      <c r="CJ262" s="10">
        <f t="shared" si="214"/>
        <v>0</v>
      </c>
      <c r="CK262" s="31" t="str">
        <f t="shared" si="215"/>
        <v>0</v>
      </c>
      <c r="CL262" s="10">
        <f>+Risultati!AE261+Risultati!AF261</f>
        <v>0</v>
      </c>
      <c r="CM262" s="31" t="str">
        <f t="shared" si="216"/>
        <v>0</v>
      </c>
      <c r="CN262" s="10">
        <f>+Risultati!AT261</f>
        <v>0</v>
      </c>
      <c r="CO262" s="31" t="str">
        <f t="shared" si="217"/>
        <v>0</v>
      </c>
      <c r="CP262" s="10">
        <f>+Risultati!AU261</f>
        <v>0</v>
      </c>
      <c r="CQ262" s="31" t="str">
        <f t="shared" si="218"/>
        <v>0</v>
      </c>
      <c r="CR262" s="10">
        <f>+Risultati!AL261</f>
        <v>0</v>
      </c>
      <c r="CS262" s="31" t="str">
        <f t="shared" si="219"/>
        <v>0</v>
      </c>
      <c r="CT262" s="10">
        <f t="shared" si="220"/>
        <v>0</v>
      </c>
      <c r="CU262" s="31" t="str">
        <f t="shared" si="221"/>
        <v>0</v>
      </c>
      <c r="CV262" s="10">
        <f>+Risultati!AX261</f>
        <v>0</v>
      </c>
      <c r="CW262" s="31" t="str">
        <f t="shared" si="222"/>
        <v>0</v>
      </c>
      <c r="CX262" s="10">
        <f t="shared" si="223"/>
        <v>0</v>
      </c>
      <c r="CY262" s="31" t="str">
        <f t="shared" si="224"/>
        <v>0</v>
      </c>
      <c r="CZ262" s="10">
        <f>+Risultati!AG261</f>
        <v>0</v>
      </c>
      <c r="DA262" s="31" t="str">
        <f t="shared" si="225"/>
        <v>0</v>
      </c>
      <c r="DB262" s="10">
        <f t="shared" si="226"/>
        <v>0</v>
      </c>
      <c r="DC262" s="31" t="str">
        <f t="shared" si="227"/>
        <v>0</v>
      </c>
      <c r="DD262" s="10">
        <f>+Risultati!AV261</f>
        <v>0</v>
      </c>
      <c r="DE262" s="31" t="str">
        <f t="shared" si="228"/>
        <v>0</v>
      </c>
      <c r="DF262" s="10">
        <f>+Risultati!AJ261</f>
        <v>0</v>
      </c>
      <c r="DG262" s="31" t="str">
        <f t="shared" si="229"/>
        <v>0</v>
      </c>
      <c r="DH262" s="10">
        <f t="shared" si="230"/>
        <v>0</v>
      </c>
      <c r="DI262" s="31" t="str">
        <f t="shared" si="231"/>
        <v>0</v>
      </c>
      <c r="DJ262" s="10">
        <f>+Risultati!AW261</f>
        <v>0</v>
      </c>
      <c r="DK262" s="31" t="str">
        <f t="shared" si="232"/>
        <v>0</v>
      </c>
      <c r="DL262" s="10">
        <f t="shared" si="254"/>
        <v>0</v>
      </c>
      <c r="DM262" s="31" t="str">
        <f t="shared" si="233"/>
        <v>0</v>
      </c>
      <c r="DO262" s="30"/>
      <c r="DP262" s="30"/>
    </row>
    <row r="263" spans="1:120" x14ac:dyDescent="0.2">
      <c r="A263" s="5"/>
      <c r="B263" s="6">
        <f>+Risultati!B262</f>
        <v>0</v>
      </c>
      <c r="C263" s="6">
        <f>+Risultati!C262</f>
        <v>0</v>
      </c>
      <c r="D263" s="26" t="str">
        <f>IF(YEAR(Risultati!D262)=1900,(MID(Risultati!$AP$1,29,4)),YEAR(Risultati!D262))</f>
        <v/>
      </c>
      <c r="E263" s="6">
        <f>+Risultati!E262</f>
        <v>0</v>
      </c>
      <c r="F263" s="8" t="e">
        <f>(LEFT(Risultati!AN262,2)&amp;"-")&amp;VLOOKUP((LEFT(Risultati!AN262,2)),ateco!$B$4:$C$93,2,FALSE)</f>
        <v>#N/A</v>
      </c>
      <c r="G263" s="8" t="str">
        <f>SUBSTITUTE((Risultati!AN262&amp;"-"&amp;Risultati!AO262),",",";")</f>
        <v>-</v>
      </c>
      <c r="I263" s="10">
        <f>+Risultati!G262</f>
        <v>0</v>
      </c>
      <c r="J263" s="11" t="str">
        <f t="shared" si="236"/>
        <v>0</v>
      </c>
      <c r="K263" s="12"/>
      <c r="L263" s="10">
        <f>+Risultati!G262+Risultati!H262</f>
        <v>0</v>
      </c>
      <c r="M263" s="11" t="str">
        <f t="shared" si="237"/>
        <v>0</v>
      </c>
      <c r="N263" s="12"/>
      <c r="O263" s="10">
        <f>+Risultati!I262+Risultati!J262</f>
        <v>0</v>
      </c>
      <c r="P263" s="11" t="str">
        <f t="shared" si="238"/>
        <v>0</v>
      </c>
      <c r="Q263" s="12"/>
      <c r="R263" s="13">
        <f t="shared" si="204"/>
        <v>0</v>
      </c>
      <c r="S263" s="11" t="str">
        <f t="shared" si="239"/>
        <v>0</v>
      </c>
      <c r="T263" s="12"/>
      <c r="U263" s="10">
        <f>+Risultati!F262-(Risultati!G262+Risultati!H262)</f>
        <v>0</v>
      </c>
      <c r="V263" s="12" t="str">
        <f t="shared" si="240"/>
        <v>0</v>
      </c>
      <c r="W263" s="12"/>
      <c r="X263" s="10">
        <f t="shared" si="205"/>
        <v>0</v>
      </c>
      <c r="Y263" s="12" t="str">
        <f t="shared" si="241"/>
        <v>0</v>
      </c>
      <c r="Z263" s="12"/>
      <c r="AA263" s="10">
        <f>+Risultati!K262</f>
        <v>0</v>
      </c>
      <c r="AB263" s="12" t="str">
        <f t="shared" si="242"/>
        <v>0</v>
      </c>
      <c r="AC263" s="12"/>
      <c r="AD263" s="10">
        <f>+Risultati!L262</f>
        <v>0</v>
      </c>
      <c r="AE263" s="12" t="str">
        <f t="shared" si="243"/>
        <v>0</v>
      </c>
      <c r="AF263" s="12"/>
      <c r="AG263" s="10">
        <f>+Risultati!M262+Risultati!P262+Risultati!Q262</f>
        <v>0</v>
      </c>
      <c r="AH263" s="12" t="str">
        <f t="shared" si="244"/>
        <v>0</v>
      </c>
      <c r="AI263" s="12"/>
      <c r="AJ263" s="13">
        <f t="shared" si="206"/>
        <v>0</v>
      </c>
      <c r="AK263" s="11" t="str">
        <f t="shared" si="245"/>
        <v>0</v>
      </c>
      <c r="AL263" s="12"/>
      <c r="AM263" s="10">
        <f>+Risultati!N262</f>
        <v>0</v>
      </c>
      <c r="AN263" s="12" t="str">
        <f t="shared" si="246"/>
        <v>0</v>
      </c>
      <c r="AO263" s="12"/>
      <c r="AP263" s="10">
        <f t="shared" si="207"/>
        <v>0</v>
      </c>
      <c r="AQ263" s="41" t="str">
        <f t="shared" si="247"/>
        <v>0</v>
      </c>
      <c r="AR263" s="12"/>
      <c r="AS263" s="10">
        <f>+Risultati!O262</f>
        <v>0</v>
      </c>
      <c r="AT263" s="12" t="str">
        <f t="shared" si="248"/>
        <v>0</v>
      </c>
      <c r="AU263" s="12"/>
      <c r="AV263" s="10">
        <f t="shared" si="208"/>
        <v>0</v>
      </c>
      <c r="AW263" s="12" t="str">
        <f t="shared" si="249"/>
        <v>0</v>
      </c>
      <c r="AX263" s="12"/>
      <c r="AY263" s="10">
        <f>+Risultati!R262+Risultati!S262</f>
        <v>0</v>
      </c>
      <c r="AZ263" s="12" t="str">
        <f t="shared" si="250"/>
        <v>0</v>
      </c>
      <c r="BA263" s="12"/>
      <c r="BB263" s="10">
        <f>+Risultati!T262</f>
        <v>0</v>
      </c>
      <c r="BC263" s="12" t="str">
        <f t="shared" si="251"/>
        <v>0</v>
      </c>
      <c r="BD263" s="12"/>
      <c r="BE263" s="10">
        <f>+Risultati!U262</f>
        <v>0</v>
      </c>
      <c r="BF263" s="12" t="str">
        <f t="shared" si="252"/>
        <v>0</v>
      </c>
      <c r="BG263" s="12"/>
      <c r="BH263" s="10">
        <f t="shared" si="209"/>
        <v>0</v>
      </c>
      <c r="BI263" s="12" t="str">
        <f t="shared" si="253"/>
        <v>0</v>
      </c>
      <c r="BK263" s="16">
        <f>IF(ISNUMBER(Risultati!X262/100),(Risultati!X262/100))</f>
        <v>0</v>
      </c>
      <c r="BL263" s="16">
        <f>IF(ISNUMBER(Risultati!Y262/100),(Risultati!Y262/100))</f>
        <v>0</v>
      </c>
      <c r="BM263" s="16">
        <f>IF(ISNUMBER(Risultati!Z262/100),(Risultati!Z262/100))</f>
        <v>0</v>
      </c>
      <c r="BN263" s="16">
        <f>IF(AND(Risultati!AY262&lt;0,calcoli!AP263&lt;0),-IF(ISNUMBER(Risultati!AA262/100),(Risultati!AA262/100)),IF(ISNUMBER(Risultati!AA262/100),(Risultati!AA262/100)))</f>
        <v>0</v>
      </c>
      <c r="BO263" s="16" t="str">
        <f t="shared" si="234"/>
        <v>0</v>
      </c>
      <c r="BP263" s="16" t="str">
        <f>IF(Risultati!AB262&gt;0,(AV263/Risultati!AB262),"0")</f>
        <v>0</v>
      </c>
      <c r="BQ263" s="16" t="str">
        <f>IF(Risultati!AG262&lt;&gt;0,(BH263/Risultati!AG262),"0")</f>
        <v>0</v>
      </c>
      <c r="BR263" s="16" t="str">
        <f t="shared" si="235"/>
        <v>0</v>
      </c>
      <c r="BS263" s="14" t="str">
        <f>IF(Risultati!AB262&gt;0,(Risultati!G262/Risultati!AB262),"0")</f>
        <v>0</v>
      </c>
      <c r="BT263" s="15" t="str">
        <f>IF(Risultati!AG262&lt;&gt;0,(Risultati!AB262/Risultati!AG262),"0")</f>
        <v>0</v>
      </c>
      <c r="BU263" s="23" t="str">
        <f>IF(AND(Risultati!G262&gt;0,(Risultati!AE262-Risultati!AF262)&gt;=0),((Risultati!AE262-Risultati!AF262)/Risultati!G262*360),"0")</f>
        <v>0</v>
      </c>
      <c r="BV263" s="21" t="str">
        <f>IF(OR(E263="abbreviato",Risultati!G262=0),"0",((Risultati!AC262+Risultati!AD262)/Risultati!G262*360))</f>
        <v>0</v>
      </c>
      <c r="BW263" s="21" t="str">
        <f>IF(OR(E263="abbreviato",Risultati!G262=0,SUM(Risultati!I262+Risultati!K262+Risultati!M262)=0),"0",(((Risultati!AH262+Risultati!AI262)/(Risultati!I262+Risultati!K262+Risultati!N262)*360)))</f>
        <v>0</v>
      </c>
      <c r="BX263" s="16" t="str">
        <f>IF(Risultati!AB262&gt;0,(+Risultati!AG262/Risultati!AB262),"0")</f>
        <v>0</v>
      </c>
      <c r="BY263" s="22" t="str">
        <f>IF(OR(E263="abbreviato",Risultati!G262=0),"0",(((Risultati!AK262-(Risultati!AL262+Risultati!AM262))/Risultati!G262)))</f>
        <v>0</v>
      </c>
      <c r="BZ263" s="16" t="str">
        <f>IF(Risultati!G262&gt;0,(Risultati!AJ262/Risultati!G262),"0")</f>
        <v>0</v>
      </c>
      <c r="CA263" s="8"/>
      <c r="CB263" s="10">
        <f>+Risultati!AP262</f>
        <v>0</v>
      </c>
      <c r="CC263" s="31" t="str">
        <f t="shared" si="210"/>
        <v>0</v>
      </c>
      <c r="CD263" s="10">
        <f>+Risultati!AQ262</f>
        <v>0</v>
      </c>
      <c r="CE263" s="31" t="str">
        <f t="shared" si="211"/>
        <v>0</v>
      </c>
      <c r="CF263" s="10">
        <f>+Risultati!AR262</f>
        <v>0</v>
      </c>
      <c r="CG263" s="31" t="str">
        <f t="shared" si="212"/>
        <v>0</v>
      </c>
      <c r="CH263" s="10">
        <f>+Risultati!AS262</f>
        <v>0</v>
      </c>
      <c r="CI263" s="31" t="str">
        <f t="shared" si="213"/>
        <v>0</v>
      </c>
      <c r="CJ263" s="10">
        <f t="shared" si="214"/>
        <v>0</v>
      </c>
      <c r="CK263" s="31" t="str">
        <f t="shared" si="215"/>
        <v>0</v>
      </c>
      <c r="CL263" s="10">
        <f>+Risultati!AE262+Risultati!AF262</f>
        <v>0</v>
      </c>
      <c r="CM263" s="31" t="str">
        <f t="shared" si="216"/>
        <v>0</v>
      </c>
      <c r="CN263" s="10">
        <f>+Risultati!AT262</f>
        <v>0</v>
      </c>
      <c r="CO263" s="31" t="str">
        <f t="shared" si="217"/>
        <v>0</v>
      </c>
      <c r="CP263" s="10">
        <f>+Risultati!AU262</f>
        <v>0</v>
      </c>
      <c r="CQ263" s="31" t="str">
        <f t="shared" si="218"/>
        <v>0</v>
      </c>
      <c r="CR263" s="10">
        <f>+Risultati!AL262</f>
        <v>0</v>
      </c>
      <c r="CS263" s="31" t="str">
        <f t="shared" si="219"/>
        <v>0</v>
      </c>
      <c r="CT263" s="10">
        <f t="shared" si="220"/>
        <v>0</v>
      </c>
      <c r="CU263" s="31" t="str">
        <f t="shared" si="221"/>
        <v>0</v>
      </c>
      <c r="CV263" s="10">
        <f>+Risultati!AX262</f>
        <v>0</v>
      </c>
      <c r="CW263" s="31" t="str">
        <f t="shared" si="222"/>
        <v>0</v>
      </c>
      <c r="CX263" s="10">
        <f t="shared" si="223"/>
        <v>0</v>
      </c>
      <c r="CY263" s="31" t="str">
        <f t="shared" si="224"/>
        <v>0</v>
      </c>
      <c r="CZ263" s="10">
        <f>+Risultati!AG262</f>
        <v>0</v>
      </c>
      <c r="DA263" s="31" t="str">
        <f t="shared" si="225"/>
        <v>0</v>
      </c>
      <c r="DB263" s="10">
        <f t="shared" si="226"/>
        <v>0</v>
      </c>
      <c r="DC263" s="31" t="str">
        <f t="shared" si="227"/>
        <v>0</v>
      </c>
      <c r="DD263" s="10">
        <f>+Risultati!AV262</f>
        <v>0</v>
      </c>
      <c r="DE263" s="31" t="str">
        <f t="shared" si="228"/>
        <v>0</v>
      </c>
      <c r="DF263" s="10">
        <f>+Risultati!AJ262</f>
        <v>0</v>
      </c>
      <c r="DG263" s="31" t="str">
        <f t="shared" si="229"/>
        <v>0</v>
      </c>
      <c r="DH263" s="10">
        <f t="shared" si="230"/>
        <v>0</v>
      </c>
      <c r="DI263" s="31" t="str">
        <f t="shared" si="231"/>
        <v>0</v>
      </c>
      <c r="DJ263" s="10">
        <f>+Risultati!AW262</f>
        <v>0</v>
      </c>
      <c r="DK263" s="31" t="str">
        <f t="shared" si="232"/>
        <v>0</v>
      </c>
      <c r="DL263" s="10">
        <f t="shared" si="254"/>
        <v>0</v>
      </c>
      <c r="DM263" s="31" t="str">
        <f t="shared" si="233"/>
        <v>0</v>
      </c>
      <c r="DO263" s="30"/>
      <c r="DP263" s="30"/>
    </row>
    <row r="264" spans="1:120" x14ac:dyDescent="0.2">
      <c r="A264" s="5"/>
      <c r="B264" s="6">
        <f>+Risultati!B263</f>
        <v>0</v>
      </c>
      <c r="C264" s="6">
        <f>+Risultati!C263</f>
        <v>0</v>
      </c>
      <c r="D264" s="26" t="str">
        <f>IF(YEAR(Risultati!D263)=1900,(MID(Risultati!$AP$1,29,4)),YEAR(Risultati!D263))</f>
        <v/>
      </c>
      <c r="E264" s="6">
        <f>+Risultati!E263</f>
        <v>0</v>
      </c>
      <c r="F264" s="8" t="e">
        <f>(LEFT(Risultati!AN263,2)&amp;"-")&amp;VLOOKUP((LEFT(Risultati!AN263,2)),ateco!$B$4:$C$93,2,FALSE)</f>
        <v>#N/A</v>
      </c>
      <c r="G264" s="8" t="str">
        <f>SUBSTITUTE((Risultati!AN263&amp;"-"&amp;Risultati!AO263),",",";")</f>
        <v>-</v>
      </c>
      <c r="I264" s="10">
        <f>+Risultati!G263</f>
        <v>0</v>
      </c>
      <c r="J264" s="11" t="str">
        <f t="shared" si="236"/>
        <v>0</v>
      </c>
      <c r="K264" s="12"/>
      <c r="L264" s="10">
        <f>+Risultati!G263+Risultati!H263</f>
        <v>0</v>
      </c>
      <c r="M264" s="11" t="str">
        <f t="shared" si="237"/>
        <v>0</v>
      </c>
      <c r="N264" s="12"/>
      <c r="O264" s="10">
        <f>+Risultati!I263+Risultati!J263</f>
        <v>0</v>
      </c>
      <c r="P264" s="11" t="str">
        <f t="shared" si="238"/>
        <v>0</v>
      </c>
      <c r="Q264" s="12"/>
      <c r="R264" s="13">
        <f t="shared" si="204"/>
        <v>0</v>
      </c>
      <c r="S264" s="11" t="str">
        <f t="shared" si="239"/>
        <v>0</v>
      </c>
      <c r="T264" s="12"/>
      <c r="U264" s="10">
        <f>+Risultati!F263-(Risultati!G263+Risultati!H263)</f>
        <v>0</v>
      </c>
      <c r="V264" s="12" t="str">
        <f t="shared" si="240"/>
        <v>0</v>
      </c>
      <c r="W264" s="12"/>
      <c r="X264" s="10">
        <f t="shared" si="205"/>
        <v>0</v>
      </c>
      <c r="Y264" s="12" t="str">
        <f t="shared" si="241"/>
        <v>0</v>
      </c>
      <c r="Z264" s="12"/>
      <c r="AA264" s="10">
        <f>+Risultati!K263</f>
        <v>0</v>
      </c>
      <c r="AB264" s="12" t="str">
        <f t="shared" si="242"/>
        <v>0</v>
      </c>
      <c r="AC264" s="12"/>
      <c r="AD264" s="10">
        <f>+Risultati!L263</f>
        <v>0</v>
      </c>
      <c r="AE264" s="12" t="str">
        <f t="shared" si="243"/>
        <v>0</v>
      </c>
      <c r="AF264" s="12"/>
      <c r="AG264" s="10">
        <f>+Risultati!M263+Risultati!P263+Risultati!Q263</f>
        <v>0</v>
      </c>
      <c r="AH264" s="12" t="str">
        <f t="shared" si="244"/>
        <v>0</v>
      </c>
      <c r="AI264" s="12"/>
      <c r="AJ264" s="13">
        <f t="shared" si="206"/>
        <v>0</v>
      </c>
      <c r="AK264" s="11" t="str">
        <f t="shared" si="245"/>
        <v>0</v>
      </c>
      <c r="AL264" s="12"/>
      <c r="AM264" s="10">
        <f>+Risultati!N263</f>
        <v>0</v>
      </c>
      <c r="AN264" s="12" t="str">
        <f t="shared" si="246"/>
        <v>0</v>
      </c>
      <c r="AO264" s="12"/>
      <c r="AP264" s="10">
        <f t="shared" si="207"/>
        <v>0</v>
      </c>
      <c r="AQ264" s="41" t="str">
        <f t="shared" si="247"/>
        <v>0</v>
      </c>
      <c r="AR264" s="12"/>
      <c r="AS264" s="10">
        <f>+Risultati!O263</f>
        <v>0</v>
      </c>
      <c r="AT264" s="12" t="str">
        <f t="shared" si="248"/>
        <v>0</v>
      </c>
      <c r="AU264" s="12"/>
      <c r="AV264" s="10">
        <f t="shared" si="208"/>
        <v>0</v>
      </c>
      <c r="AW264" s="12" t="str">
        <f t="shared" si="249"/>
        <v>0</v>
      </c>
      <c r="AX264" s="12"/>
      <c r="AY264" s="10">
        <f>+Risultati!R263+Risultati!S263</f>
        <v>0</v>
      </c>
      <c r="AZ264" s="12" t="str">
        <f t="shared" si="250"/>
        <v>0</v>
      </c>
      <c r="BA264" s="12"/>
      <c r="BB264" s="10">
        <f>+Risultati!T263</f>
        <v>0</v>
      </c>
      <c r="BC264" s="12" t="str">
        <f t="shared" si="251"/>
        <v>0</v>
      </c>
      <c r="BD264" s="12"/>
      <c r="BE264" s="10">
        <f>+Risultati!U263</f>
        <v>0</v>
      </c>
      <c r="BF264" s="12" t="str">
        <f t="shared" si="252"/>
        <v>0</v>
      </c>
      <c r="BG264" s="12"/>
      <c r="BH264" s="10">
        <f t="shared" si="209"/>
        <v>0</v>
      </c>
      <c r="BI264" s="12" t="str">
        <f t="shared" si="253"/>
        <v>0</v>
      </c>
      <c r="BK264" s="16">
        <f>IF(ISNUMBER(Risultati!X263/100),(Risultati!X263/100))</f>
        <v>0</v>
      </c>
      <c r="BL264" s="16">
        <f>IF(ISNUMBER(Risultati!Y263/100),(Risultati!Y263/100))</f>
        <v>0</v>
      </c>
      <c r="BM264" s="16">
        <f>IF(ISNUMBER(Risultati!Z263/100),(Risultati!Z263/100))</f>
        <v>0</v>
      </c>
      <c r="BN264" s="16">
        <f>IF(AND(Risultati!AY263&lt;0,calcoli!AP264&lt;0),-IF(ISNUMBER(Risultati!AA263/100),(Risultati!AA263/100)),IF(ISNUMBER(Risultati!AA263/100),(Risultati!AA263/100)))</f>
        <v>0</v>
      </c>
      <c r="BO264" s="16" t="str">
        <f t="shared" si="234"/>
        <v>0</v>
      </c>
      <c r="BP264" s="16" t="str">
        <f>IF(Risultati!AB263&gt;0,(AV264/Risultati!AB263),"0")</f>
        <v>0</v>
      </c>
      <c r="BQ264" s="16" t="str">
        <f>IF(Risultati!AG263&lt;&gt;0,(BH264/Risultati!AG263),"0")</f>
        <v>0</v>
      </c>
      <c r="BR264" s="16" t="str">
        <f t="shared" si="235"/>
        <v>0</v>
      </c>
      <c r="BS264" s="14" t="str">
        <f>IF(Risultati!AB263&gt;0,(Risultati!G263/Risultati!AB263),"0")</f>
        <v>0</v>
      </c>
      <c r="BT264" s="15" t="str">
        <f>IF(Risultati!AG263&lt;&gt;0,(Risultati!AB263/Risultati!AG263),"0")</f>
        <v>0</v>
      </c>
      <c r="BU264" s="23" t="str">
        <f>IF(AND(Risultati!G263&gt;0,(Risultati!AE263-Risultati!AF263)&gt;=0),((Risultati!AE263-Risultati!AF263)/Risultati!G263*360),"0")</f>
        <v>0</v>
      </c>
      <c r="BV264" s="21" t="str">
        <f>IF(OR(E264="abbreviato",Risultati!G263=0),"0",((Risultati!AC263+Risultati!AD263)/Risultati!G263*360))</f>
        <v>0</v>
      </c>
      <c r="BW264" s="21" t="str">
        <f>IF(OR(E264="abbreviato",Risultati!G263=0,SUM(Risultati!I263+Risultati!K263+Risultati!M263)=0),"0",(((Risultati!AH263+Risultati!AI263)/(Risultati!I263+Risultati!K263+Risultati!N263)*360)))</f>
        <v>0</v>
      </c>
      <c r="BX264" s="16" t="str">
        <f>IF(Risultati!AB263&gt;0,(+Risultati!AG263/Risultati!AB263),"0")</f>
        <v>0</v>
      </c>
      <c r="BY264" s="22" t="str">
        <f>IF(OR(E264="abbreviato",Risultati!G263=0),"0",(((Risultati!AK263-(Risultati!AL263+Risultati!AM263))/Risultati!G263)))</f>
        <v>0</v>
      </c>
      <c r="BZ264" s="16" t="str">
        <f>IF(Risultati!G263&gt;0,(Risultati!AJ263/Risultati!G263),"0")</f>
        <v>0</v>
      </c>
      <c r="CA264" s="8"/>
      <c r="CB264" s="10">
        <f>+Risultati!AP263</f>
        <v>0</v>
      </c>
      <c r="CC264" s="31" t="str">
        <f t="shared" si="210"/>
        <v>0</v>
      </c>
      <c r="CD264" s="10">
        <f>+Risultati!AQ263</f>
        <v>0</v>
      </c>
      <c r="CE264" s="31" t="str">
        <f t="shared" si="211"/>
        <v>0</v>
      </c>
      <c r="CF264" s="10">
        <f>+Risultati!AR263</f>
        <v>0</v>
      </c>
      <c r="CG264" s="31" t="str">
        <f t="shared" si="212"/>
        <v>0</v>
      </c>
      <c r="CH264" s="10">
        <f>+Risultati!AS263</f>
        <v>0</v>
      </c>
      <c r="CI264" s="31" t="str">
        <f t="shared" si="213"/>
        <v>0</v>
      </c>
      <c r="CJ264" s="10">
        <f t="shared" si="214"/>
        <v>0</v>
      </c>
      <c r="CK264" s="31" t="str">
        <f t="shared" si="215"/>
        <v>0</v>
      </c>
      <c r="CL264" s="10">
        <f>+Risultati!AE263+Risultati!AF263</f>
        <v>0</v>
      </c>
      <c r="CM264" s="31" t="str">
        <f t="shared" si="216"/>
        <v>0</v>
      </c>
      <c r="CN264" s="10">
        <f>+Risultati!AT263</f>
        <v>0</v>
      </c>
      <c r="CO264" s="31" t="str">
        <f t="shared" si="217"/>
        <v>0</v>
      </c>
      <c r="CP264" s="10">
        <f>+Risultati!AU263</f>
        <v>0</v>
      </c>
      <c r="CQ264" s="31" t="str">
        <f t="shared" si="218"/>
        <v>0</v>
      </c>
      <c r="CR264" s="10">
        <f>+Risultati!AL263</f>
        <v>0</v>
      </c>
      <c r="CS264" s="31" t="str">
        <f t="shared" si="219"/>
        <v>0</v>
      </c>
      <c r="CT264" s="10">
        <f t="shared" si="220"/>
        <v>0</v>
      </c>
      <c r="CU264" s="31" t="str">
        <f t="shared" si="221"/>
        <v>0</v>
      </c>
      <c r="CV264" s="10">
        <f>+Risultati!AX263</f>
        <v>0</v>
      </c>
      <c r="CW264" s="31" t="str">
        <f t="shared" si="222"/>
        <v>0</v>
      </c>
      <c r="CX264" s="10">
        <f t="shared" si="223"/>
        <v>0</v>
      </c>
      <c r="CY264" s="31" t="str">
        <f t="shared" si="224"/>
        <v>0</v>
      </c>
      <c r="CZ264" s="10">
        <f>+Risultati!AG263</f>
        <v>0</v>
      </c>
      <c r="DA264" s="31" t="str">
        <f t="shared" si="225"/>
        <v>0</v>
      </c>
      <c r="DB264" s="10">
        <f t="shared" si="226"/>
        <v>0</v>
      </c>
      <c r="DC264" s="31" t="str">
        <f t="shared" si="227"/>
        <v>0</v>
      </c>
      <c r="DD264" s="10">
        <f>+Risultati!AV263</f>
        <v>0</v>
      </c>
      <c r="DE264" s="31" t="str">
        <f t="shared" si="228"/>
        <v>0</v>
      </c>
      <c r="DF264" s="10">
        <f>+Risultati!AJ263</f>
        <v>0</v>
      </c>
      <c r="DG264" s="31" t="str">
        <f t="shared" si="229"/>
        <v>0</v>
      </c>
      <c r="DH264" s="10">
        <f t="shared" si="230"/>
        <v>0</v>
      </c>
      <c r="DI264" s="31" t="str">
        <f t="shared" si="231"/>
        <v>0</v>
      </c>
      <c r="DJ264" s="10">
        <f>+Risultati!AW263</f>
        <v>0</v>
      </c>
      <c r="DK264" s="31" t="str">
        <f t="shared" si="232"/>
        <v>0</v>
      </c>
      <c r="DL264" s="10">
        <f t="shared" si="254"/>
        <v>0</v>
      </c>
      <c r="DM264" s="31" t="str">
        <f t="shared" si="233"/>
        <v>0</v>
      </c>
      <c r="DO264" s="30"/>
      <c r="DP264" s="30"/>
    </row>
    <row r="265" spans="1:120" x14ac:dyDescent="0.2">
      <c r="A265" s="5"/>
      <c r="B265" s="6">
        <f>+Risultati!B264</f>
        <v>0</v>
      </c>
      <c r="C265" s="6">
        <f>+Risultati!C264</f>
        <v>0</v>
      </c>
      <c r="D265" s="26" t="str">
        <f>IF(YEAR(Risultati!D264)=1900,(MID(Risultati!$AP$1,29,4)),YEAR(Risultati!D264))</f>
        <v/>
      </c>
      <c r="E265" s="6">
        <f>+Risultati!E264</f>
        <v>0</v>
      </c>
      <c r="F265" s="8" t="e">
        <f>(LEFT(Risultati!AN264,2)&amp;"-")&amp;VLOOKUP((LEFT(Risultati!AN264,2)),ateco!$B$4:$C$93,2,FALSE)</f>
        <v>#N/A</v>
      </c>
      <c r="G265" s="8" t="str">
        <f>SUBSTITUTE((Risultati!AN264&amp;"-"&amp;Risultati!AO264),",",";")</f>
        <v>-</v>
      </c>
      <c r="I265" s="10">
        <f>+Risultati!G264</f>
        <v>0</v>
      </c>
      <c r="J265" s="11" t="str">
        <f t="shared" si="236"/>
        <v>0</v>
      </c>
      <c r="K265" s="12"/>
      <c r="L265" s="10">
        <f>+Risultati!G264+Risultati!H264</f>
        <v>0</v>
      </c>
      <c r="M265" s="11" t="str">
        <f t="shared" si="237"/>
        <v>0</v>
      </c>
      <c r="N265" s="12"/>
      <c r="O265" s="10">
        <f>+Risultati!I264+Risultati!J264</f>
        <v>0</v>
      </c>
      <c r="P265" s="11" t="str">
        <f t="shared" si="238"/>
        <v>0</v>
      </c>
      <c r="Q265" s="12"/>
      <c r="R265" s="13">
        <f t="shared" si="204"/>
        <v>0</v>
      </c>
      <c r="S265" s="11" t="str">
        <f t="shared" si="239"/>
        <v>0</v>
      </c>
      <c r="T265" s="12"/>
      <c r="U265" s="10">
        <f>+Risultati!F264-(Risultati!G264+Risultati!H264)</f>
        <v>0</v>
      </c>
      <c r="V265" s="12" t="str">
        <f t="shared" si="240"/>
        <v>0</v>
      </c>
      <c r="W265" s="12"/>
      <c r="X265" s="10">
        <f t="shared" si="205"/>
        <v>0</v>
      </c>
      <c r="Y265" s="12" t="str">
        <f t="shared" si="241"/>
        <v>0</v>
      </c>
      <c r="Z265" s="12"/>
      <c r="AA265" s="10">
        <f>+Risultati!K264</f>
        <v>0</v>
      </c>
      <c r="AB265" s="12" t="str">
        <f t="shared" si="242"/>
        <v>0</v>
      </c>
      <c r="AC265" s="12"/>
      <c r="AD265" s="10">
        <f>+Risultati!L264</f>
        <v>0</v>
      </c>
      <c r="AE265" s="12" t="str">
        <f t="shared" si="243"/>
        <v>0</v>
      </c>
      <c r="AF265" s="12"/>
      <c r="AG265" s="10">
        <f>+Risultati!M264+Risultati!P264+Risultati!Q264</f>
        <v>0</v>
      </c>
      <c r="AH265" s="12" t="str">
        <f t="shared" si="244"/>
        <v>0</v>
      </c>
      <c r="AI265" s="12"/>
      <c r="AJ265" s="13">
        <f t="shared" si="206"/>
        <v>0</v>
      </c>
      <c r="AK265" s="11" t="str">
        <f t="shared" si="245"/>
        <v>0</v>
      </c>
      <c r="AL265" s="12"/>
      <c r="AM265" s="10">
        <f>+Risultati!N264</f>
        <v>0</v>
      </c>
      <c r="AN265" s="12" t="str">
        <f t="shared" si="246"/>
        <v>0</v>
      </c>
      <c r="AO265" s="12"/>
      <c r="AP265" s="10">
        <f t="shared" si="207"/>
        <v>0</v>
      </c>
      <c r="AQ265" s="41" t="str">
        <f t="shared" si="247"/>
        <v>0</v>
      </c>
      <c r="AR265" s="12"/>
      <c r="AS265" s="10">
        <f>+Risultati!O264</f>
        <v>0</v>
      </c>
      <c r="AT265" s="12" t="str">
        <f t="shared" si="248"/>
        <v>0</v>
      </c>
      <c r="AU265" s="12"/>
      <c r="AV265" s="10">
        <f t="shared" si="208"/>
        <v>0</v>
      </c>
      <c r="AW265" s="12" t="str">
        <f t="shared" si="249"/>
        <v>0</v>
      </c>
      <c r="AX265" s="12"/>
      <c r="AY265" s="10">
        <f>+Risultati!R264+Risultati!S264</f>
        <v>0</v>
      </c>
      <c r="AZ265" s="12" t="str">
        <f t="shared" si="250"/>
        <v>0</v>
      </c>
      <c r="BA265" s="12"/>
      <c r="BB265" s="10">
        <f>+Risultati!T264</f>
        <v>0</v>
      </c>
      <c r="BC265" s="12" t="str">
        <f t="shared" si="251"/>
        <v>0</v>
      </c>
      <c r="BD265" s="12"/>
      <c r="BE265" s="10">
        <f>+Risultati!U264</f>
        <v>0</v>
      </c>
      <c r="BF265" s="12" t="str">
        <f t="shared" si="252"/>
        <v>0</v>
      </c>
      <c r="BG265" s="12"/>
      <c r="BH265" s="10">
        <f t="shared" si="209"/>
        <v>0</v>
      </c>
      <c r="BI265" s="12" t="str">
        <f t="shared" si="253"/>
        <v>0</v>
      </c>
      <c r="BK265" s="16">
        <f>IF(ISNUMBER(Risultati!X264/100),(Risultati!X264/100))</f>
        <v>0</v>
      </c>
      <c r="BL265" s="16">
        <f>IF(ISNUMBER(Risultati!Y264/100),(Risultati!Y264/100))</f>
        <v>0</v>
      </c>
      <c r="BM265" s="16">
        <f>IF(ISNUMBER(Risultati!Z264/100),(Risultati!Z264/100))</f>
        <v>0</v>
      </c>
      <c r="BN265" s="16">
        <f>IF(AND(Risultati!AY264&lt;0,calcoli!AP265&lt;0),-IF(ISNUMBER(Risultati!AA264/100),(Risultati!AA264/100)),IF(ISNUMBER(Risultati!AA264/100),(Risultati!AA264/100)))</f>
        <v>0</v>
      </c>
      <c r="BO265" s="16" t="str">
        <f t="shared" si="234"/>
        <v>0</v>
      </c>
      <c r="BP265" s="16" t="str">
        <f>IF(Risultati!AB264&gt;0,(AV265/Risultati!AB264),"0")</f>
        <v>0</v>
      </c>
      <c r="BQ265" s="16" t="str">
        <f>IF(Risultati!AG264&lt;&gt;0,(BH265/Risultati!AG264),"0")</f>
        <v>0</v>
      </c>
      <c r="BR265" s="16" t="str">
        <f t="shared" si="235"/>
        <v>0</v>
      </c>
      <c r="BS265" s="14" t="str">
        <f>IF(Risultati!AB264&gt;0,(Risultati!G264/Risultati!AB264),"0")</f>
        <v>0</v>
      </c>
      <c r="BT265" s="15" t="str">
        <f>IF(Risultati!AG264&lt;&gt;0,(Risultati!AB264/Risultati!AG264),"0")</f>
        <v>0</v>
      </c>
      <c r="BU265" s="23" t="str">
        <f>IF(AND(Risultati!G264&gt;0,(Risultati!AE264-Risultati!AF264)&gt;=0),((Risultati!AE264-Risultati!AF264)/Risultati!G264*360),"0")</f>
        <v>0</v>
      </c>
      <c r="BV265" s="21" t="str">
        <f>IF(OR(E265="abbreviato",Risultati!G264=0),"0",((Risultati!AC264+Risultati!AD264)/Risultati!G264*360))</f>
        <v>0</v>
      </c>
      <c r="BW265" s="21" t="str">
        <f>IF(OR(E265="abbreviato",Risultati!G264=0,SUM(Risultati!I264+Risultati!K264+Risultati!M264)=0),"0",(((Risultati!AH264+Risultati!AI264)/(Risultati!I264+Risultati!K264+Risultati!N264)*360)))</f>
        <v>0</v>
      </c>
      <c r="BX265" s="16" t="str">
        <f>IF(Risultati!AB264&gt;0,(+Risultati!AG264/Risultati!AB264),"0")</f>
        <v>0</v>
      </c>
      <c r="BY265" s="22" t="str">
        <f>IF(OR(E265="abbreviato",Risultati!G264=0),"0",(((Risultati!AK264-(Risultati!AL264+Risultati!AM264))/Risultati!G264)))</f>
        <v>0</v>
      </c>
      <c r="BZ265" s="16" t="str">
        <f>IF(Risultati!G264&gt;0,(Risultati!AJ264/Risultati!G264),"0")</f>
        <v>0</v>
      </c>
      <c r="CA265" s="8"/>
      <c r="CB265" s="10">
        <f>+Risultati!AP264</f>
        <v>0</v>
      </c>
      <c r="CC265" s="31" t="str">
        <f t="shared" si="210"/>
        <v>0</v>
      </c>
      <c r="CD265" s="10">
        <f>+Risultati!AQ264</f>
        <v>0</v>
      </c>
      <c r="CE265" s="31" t="str">
        <f t="shared" si="211"/>
        <v>0</v>
      </c>
      <c r="CF265" s="10">
        <f>+Risultati!AR264</f>
        <v>0</v>
      </c>
      <c r="CG265" s="31" t="str">
        <f t="shared" si="212"/>
        <v>0</v>
      </c>
      <c r="CH265" s="10">
        <f>+Risultati!AS264</f>
        <v>0</v>
      </c>
      <c r="CI265" s="31" t="str">
        <f t="shared" si="213"/>
        <v>0</v>
      </c>
      <c r="CJ265" s="10">
        <f t="shared" si="214"/>
        <v>0</v>
      </c>
      <c r="CK265" s="31" t="str">
        <f t="shared" si="215"/>
        <v>0</v>
      </c>
      <c r="CL265" s="10">
        <f>+Risultati!AE264+Risultati!AF264</f>
        <v>0</v>
      </c>
      <c r="CM265" s="31" t="str">
        <f t="shared" si="216"/>
        <v>0</v>
      </c>
      <c r="CN265" s="10">
        <f>+Risultati!AT264</f>
        <v>0</v>
      </c>
      <c r="CO265" s="31" t="str">
        <f t="shared" si="217"/>
        <v>0</v>
      </c>
      <c r="CP265" s="10">
        <f>+Risultati!AU264</f>
        <v>0</v>
      </c>
      <c r="CQ265" s="31" t="str">
        <f t="shared" si="218"/>
        <v>0</v>
      </c>
      <c r="CR265" s="10">
        <f>+Risultati!AL264</f>
        <v>0</v>
      </c>
      <c r="CS265" s="31" t="str">
        <f t="shared" si="219"/>
        <v>0</v>
      </c>
      <c r="CT265" s="10">
        <f t="shared" si="220"/>
        <v>0</v>
      </c>
      <c r="CU265" s="31" t="str">
        <f t="shared" si="221"/>
        <v>0</v>
      </c>
      <c r="CV265" s="10">
        <f>+Risultati!AX264</f>
        <v>0</v>
      </c>
      <c r="CW265" s="31" t="str">
        <f t="shared" si="222"/>
        <v>0</v>
      </c>
      <c r="CX265" s="10">
        <f t="shared" si="223"/>
        <v>0</v>
      </c>
      <c r="CY265" s="31" t="str">
        <f t="shared" si="224"/>
        <v>0</v>
      </c>
      <c r="CZ265" s="10">
        <f>+Risultati!AG264</f>
        <v>0</v>
      </c>
      <c r="DA265" s="31" t="str">
        <f t="shared" si="225"/>
        <v>0</v>
      </c>
      <c r="DB265" s="10">
        <f t="shared" si="226"/>
        <v>0</v>
      </c>
      <c r="DC265" s="31" t="str">
        <f t="shared" si="227"/>
        <v>0</v>
      </c>
      <c r="DD265" s="10">
        <f>+Risultati!AV264</f>
        <v>0</v>
      </c>
      <c r="DE265" s="31" t="str">
        <f t="shared" si="228"/>
        <v>0</v>
      </c>
      <c r="DF265" s="10">
        <f>+Risultati!AJ264</f>
        <v>0</v>
      </c>
      <c r="DG265" s="31" t="str">
        <f t="shared" si="229"/>
        <v>0</v>
      </c>
      <c r="DH265" s="10">
        <f t="shared" si="230"/>
        <v>0</v>
      </c>
      <c r="DI265" s="31" t="str">
        <f t="shared" si="231"/>
        <v>0</v>
      </c>
      <c r="DJ265" s="10">
        <f>+Risultati!AW264</f>
        <v>0</v>
      </c>
      <c r="DK265" s="31" t="str">
        <f t="shared" si="232"/>
        <v>0</v>
      </c>
      <c r="DL265" s="10">
        <f t="shared" si="254"/>
        <v>0</v>
      </c>
      <c r="DM265" s="31" t="str">
        <f t="shared" si="233"/>
        <v>0</v>
      </c>
      <c r="DO265" s="30"/>
      <c r="DP265" s="30"/>
    </row>
    <row r="266" spans="1:120" x14ac:dyDescent="0.2">
      <c r="A266" s="5"/>
      <c r="B266" s="6">
        <f>+Risultati!B265</f>
        <v>0</v>
      </c>
      <c r="C266" s="6">
        <f>+Risultati!C265</f>
        <v>0</v>
      </c>
      <c r="D266" s="26" t="str">
        <f>IF(YEAR(Risultati!D265)=1900,(MID(Risultati!$AP$1,29,4)),YEAR(Risultati!D265))</f>
        <v/>
      </c>
      <c r="E266" s="6">
        <f>+Risultati!E265</f>
        <v>0</v>
      </c>
      <c r="F266" s="8" t="e">
        <f>(LEFT(Risultati!AN265,2)&amp;"-")&amp;VLOOKUP((LEFT(Risultati!AN265,2)),ateco!$B$4:$C$93,2,FALSE)</f>
        <v>#N/A</v>
      </c>
      <c r="G266" s="8" t="str">
        <f>SUBSTITUTE((Risultati!AN265&amp;"-"&amp;Risultati!AO265),",",";")</f>
        <v>-</v>
      </c>
      <c r="I266" s="10">
        <f>+Risultati!G265</f>
        <v>0</v>
      </c>
      <c r="J266" s="11" t="str">
        <f t="shared" si="236"/>
        <v>0</v>
      </c>
      <c r="K266" s="12"/>
      <c r="L266" s="10">
        <f>+Risultati!G265+Risultati!H265</f>
        <v>0</v>
      </c>
      <c r="M266" s="11" t="str">
        <f t="shared" si="237"/>
        <v>0</v>
      </c>
      <c r="N266" s="12"/>
      <c r="O266" s="10">
        <f>+Risultati!I265+Risultati!J265</f>
        <v>0</v>
      </c>
      <c r="P266" s="11" t="str">
        <f t="shared" si="238"/>
        <v>0</v>
      </c>
      <c r="Q266" s="12"/>
      <c r="R266" s="13">
        <f t="shared" si="204"/>
        <v>0</v>
      </c>
      <c r="S266" s="11" t="str">
        <f t="shared" si="239"/>
        <v>0</v>
      </c>
      <c r="T266" s="12"/>
      <c r="U266" s="10">
        <f>+Risultati!F265-(Risultati!G265+Risultati!H265)</f>
        <v>0</v>
      </c>
      <c r="V266" s="12" t="str">
        <f t="shared" si="240"/>
        <v>0</v>
      </c>
      <c r="W266" s="12"/>
      <c r="X266" s="10">
        <f t="shared" si="205"/>
        <v>0</v>
      </c>
      <c r="Y266" s="12" t="str">
        <f t="shared" si="241"/>
        <v>0</v>
      </c>
      <c r="Z266" s="12"/>
      <c r="AA266" s="10">
        <f>+Risultati!K265</f>
        <v>0</v>
      </c>
      <c r="AB266" s="12" t="str">
        <f t="shared" si="242"/>
        <v>0</v>
      </c>
      <c r="AC266" s="12"/>
      <c r="AD266" s="10">
        <f>+Risultati!L265</f>
        <v>0</v>
      </c>
      <c r="AE266" s="12" t="str">
        <f t="shared" si="243"/>
        <v>0</v>
      </c>
      <c r="AF266" s="12"/>
      <c r="AG266" s="10">
        <f>+Risultati!M265+Risultati!P265+Risultati!Q265</f>
        <v>0</v>
      </c>
      <c r="AH266" s="12" t="str">
        <f t="shared" si="244"/>
        <v>0</v>
      </c>
      <c r="AI266" s="12"/>
      <c r="AJ266" s="13">
        <f t="shared" si="206"/>
        <v>0</v>
      </c>
      <c r="AK266" s="11" t="str">
        <f t="shared" si="245"/>
        <v>0</v>
      </c>
      <c r="AL266" s="12"/>
      <c r="AM266" s="10">
        <f>+Risultati!N265</f>
        <v>0</v>
      </c>
      <c r="AN266" s="12" t="str">
        <f t="shared" si="246"/>
        <v>0</v>
      </c>
      <c r="AO266" s="12"/>
      <c r="AP266" s="10">
        <f t="shared" si="207"/>
        <v>0</v>
      </c>
      <c r="AQ266" s="41" t="str">
        <f t="shared" si="247"/>
        <v>0</v>
      </c>
      <c r="AR266" s="12"/>
      <c r="AS266" s="10">
        <f>+Risultati!O265</f>
        <v>0</v>
      </c>
      <c r="AT266" s="12" t="str">
        <f t="shared" si="248"/>
        <v>0</v>
      </c>
      <c r="AU266" s="12"/>
      <c r="AV266" s="10">
        <f t="shared" si="208"/>
        <v>0</v>
      </c>
      <c r="AW266" s="12" t="str">
        <f t="shared" si="249"/>
        <v>0</v>
      </c>
      <c r="AX266" s="12"/>
      <c r="AY266" s="10">
        <f>+Risultati!R265+Risultati!S265</f>
        <v>0</v>
      </c>
      <c r="AZ266" s="12" t="str">
        <f t="shared" si="250"/>
        <v>0</v>
      </c>
      <c r="BA266" s="12"/>
      <c r="BB266" s="10">
        <f>+Risultati!T265</f>
        <v>0</v>
      </c>
      <c r="BC266" s="12" t="str">
        <f t="shared" si="251"/>
        <v>0</v>
      </c>
      <c r="BD266" s="12"/>
      <c r="BE266" s="10">
        <f>+Risultati!U265</f>
        <v>0</v>
      </c>
      <c r="BF266" s="12" t="str">
        <f t="shared" si="252"/>
        <v>0</v>
      </c>
      <c r="BG266" s="12"/>
      <c r="BH266" s="10">
        <f t="shared" si="209"/>
        <v>0</v>
      </c>
      <c r="BI266" s="12" t="str">
        <f t="shared" si="253"/>
        <v>0</v>
      </c>
      <c r="BK266" s="16">
        <f>IF(ISNUMBER(Risultati!X265/100),(Risultati!X265/100))</f>
        <v>0</v>
      </c>
      <c r="BL266" s="16">
        <f>IF(ISNUMBER(Risultati!Y265/100),(Risultati!Y265/100))</f>
        <v>0</v>
      </c>
      <c r="BM266" s="16">
        <f>IF(ISNUMBER(Risultati!Z265/100),(Risultati!Z265/100))</f>
        <v>0</v>
      </c>
      <c r="BN266" s="16">
        <f>IF(AND(Risultati!AY265&lt;0,calcoli!AP266&lt;0),-IF(ISNUMBER(Risultati!AA265/100),(Risultati!AA265/100)),IF(ISNUMBER(Risultati!AA265/100),(Risultati!AA265/100)))</f>
        <v>0</v>
      </c>
      <c r="BO266" s="16" t="str">
        <f t="shared" si="234"/>
        <v>0</v>
      </c>
      <c r="BP266" s="16" t="str">
        <f>IF(Risultati!AB265&gt;0,(AV266/Risultati!AB265),"0")</f>
        <v>0</v>
      </c>
      <c r="BQ266" s="16" t="str">
        <f>IF(Risultati!AG265&lt;&gt;0,(BH266/Risultati!AG265),"0")</f>
        <v>0</v>
      </c>
      <c r="BR266" s="16" t="str">
        <f t="shared" si="235"/>
        <v>0</v>
      </c>
      <c r="BS266" s="14" t="str">
        <f>IF(Risultati!AB265&gt;0,(Risultati!G265/Risultati!AB265),"0")</f>
        <v>0</v>
      </c>
      <c r="BT266" s="15" t="str">
        <f>IF(Risultati!AG265&lt;&gt;0,(Risultati!AB265/Risultati!AG265),"0")</f>
        <v>0</v>
      </c>
      <c r="BU266" s="23" t="str">
        <f>IF(AND(Risultati!G265&gt;0,(Risultati!AE265-Risultati!AF265)&gt;=0),((Risultati!AE265-Risultati!AF265)/Risultati!G265*360),"0")</f>
        <v>0</v>
      </c>
      <c r="BV266" s="21" t="str">
        <f>IF(OR(E266="abbreviato",Risultati!G265=0),"0",((Risultati!AC265+Risultati!AD265)/Risultati!G265*360))</f>
        <v>0</v>
      </c>
      <c r="BW266" s="21" t="str">
        <f>IF(OR(E266="abbreviato",Risultati!G265=0,SUM(Risultati!I265+Risultati!K265+Risultati!M265)=0),"0",(((Risultati!AH265+Risultati!AI265)/(Risultati!I265+Risultati!K265+Risultati!N265)*360)))</f>
        <v>0</v>
      </c>
      <c r="BX266" s="16" t="str">
        <f>IF(Risultati!AB265&gt;0,(+Risultati!AG265/Risultati!AB265),"0")</f>
        <v>0</v>
      </c>
      <c r="BY266" s="22" t="str">
        <f>IF(OR(E266="abbreviato",Risultati!G265=0),"0",(((Risultati!AK265-(Risultati!AL265+Risultati!AM265))/Risultati!G265)))</f>
        <v>0</v>
      </c>
      <c r="BZ266" s="16" t="str">
        <f>IF(Risultati!G265&gt;0,(Risultati!AJ265/Risultati!G265),"0")</f>
        <v>0</v>
      </c>
      <c r="CA266" s="8"/>
      <c r="CB266" s="10">
        <f>+Risultati!AP265</f>
        <v>0</v>
      </c>
      <c r="CC266" s="31" t="str">
        <f t="shared" si="210"/>
        <v>0</v>
      </c>
      <c r="CD266" s="10">
        <f>+Risultati!AQ265</f>
        <v>0</v>
      </c>
      <c r="CE266" s="31" t="str">
        <f t="shared" si="211"/>
        <v>0</v>
      </c>
      <c r="CF266" s="10">
        <f>+Risultati!AR265</f>
        <v>0</v>
      </c>
      <c r="CG266" s="31" t="str">
        <f t="shared" si="212"/>
        <v>0</v>
      </c>
      <c r="CH266" s="10">
        <f>+Risultati!AS265</f>
        <v>0</v>
      </c>
      <c r="CI266" s="31" t="str">
        <f t="shared" si="213"/>
        <v>0</v>
      </c>
      <c r="CJ266" s="10">
        <f t="shared" si="214"/>
        <v>0</v>
      </c>
      <c r="CK266" s="31" t="str">
        <f t="shared" si="215"/>
        <v>0</v>
      </c>
      <c r="CL266" s="10">
        <f>+Risultati!AE265+Risultati!AF265</f>
        <v>0</v>
      </c>
      <c r="CM266" s="31" t="str">
        <f t="shared" si="216"/>
        <v>0</v>
      </c>
      <c r="CN266" s="10">
        <f>+Risultati!AT265</f>
        <v>0</v>
      </c>
      <c r="CO266" s="31" t="str">
        <f t="shared" si="217"/>
        <v>0</v>
      </c>
      <c r="CP266" s="10">
        <f>+Risultati!AU265</f>
        <v>0</v>
      </c>
      <c r="CQ266" s="31" t="str">
        <f t="shared" si="218"/>
        <v>0</v>
      </c>
      <c r="CR266" s="10">
        <f>+Risultati!AL265</f>
        <v>0</v>
      </c>
      <c r="CS266" s="31" t="str">
        <f t="shared" si="219"/>
        <v>0</v>
      </c>
      <c r="CT266" s="10">
        <f t="shared" si="220"/>
        <v>0</v>
      </c>
      <c r="CU266" s="31" t="str">
        <f t="shared" si="221"/>
        <v>0</v>
      </c>
      <c r="CV266" s="10">
        <f>+Risultati!AX265</f>
        <v>0</v>
      </c>
      <c r="CW266" s="31" t="str">
        <f t="shared" si="222"/>
        <v>0</v>
      </c>
      <c r="CX266" s="10">
        <f t="shared" si="223"/>
        <v>0</v>
      </c>
      <c r="CY266" s="31" t="str">
        <f t="shared" si="224"/>
        <v>0</v>
      </c>
      <c r="CZ266" s="10">
        <f>+Risultati!AG265</f>
        <v>0</v>
      </c>
      <c r="DA266" s="31" t="str">
        <f t="shared" si="225"/>
        <v>0</v>
      </c>
      <c r="DB266" s="10">
        <f t="shared" si="226"/>
        <v>0</v>
      </c>
      <c r="DC266" s="31" t="str">
        <f t="shared" si="227"/>
        <v>0</v>
      </c>
      <c r="DD266" s="10">
        <f>+Risultati!AV265</f>
        <v>0</v>
      </c>
      <c r="DE266" s="31" t="str">
        <f t="shared" si="228"/>
        <v>0</v>
      </c>
      <c r="DF266" s="10">
        <f>+Risultati!AJ265</f>
        <v>0</v>
      </c>
      <c r="DG266" s="31" t="str">
        <f t="shared" si="229"/>
        <v>0</v>
      </c>
      <c r="DH266" s="10">
        <f t="shared" si="230"/>
        <v>0</v>
      </c>
      <c r="DI266" s="31" t="str">
        <f t="shared" si="231"/>
        <v>0</v>
      </c>
      <c r="DJ266" s="10">
        <f>+Risultati!AW265</f>
        <v>0</v>
      </c>
      <c r="DK266" s="31" t="str">
        <f t="shared" si="232"/>
        <v>0</v>
      </c>
      <c r="DL266" s="10">
        <f t="shared" si="254"/>
        <v>0</v>
      </c>
      <c r="DM266" s="31" t="str">
        <f t="shared" si="233"/>
        <v>0</v>
      </c>
      <c r="DO266" s="30"/>
      <c r="DP266" s="30"/>
    </row>
    <row r="267" spans="1:120" x14ac:dyDescent="0.2">
      <c r="A267" s="5"/>
      <c r="B267" s="6">
        <f>+Risultati!B266</f>
        <v>0</v>
      </c>
      <c r="C267" s="6">
        <f>+Risultati!C266</f>
        <v>0</v>
      </c>
      <c r="D267" s="26" t="str">
        <f>IF(YEAR(Risultati!D266)=1900,(MID(Risultati!$AP$1,29,4)),YEAR(Risultati!D266))</f>
        <v/>
      </c>
      <c r="E267" s="6">
        <f>+Risultati!E266</f>
        <v>0</v>
      </c>
      <c r="F267" s="8" t="e">
        <f>(LEFT(Risultati!AN266,2)&amp;"-")&amp;VLOOKUP((LEFT(Risultati!AN266,2)),ateco!$B$4:$C$93,2,FALSE)</f>
        <v>#N/A</v>
      </c>
      <c r="G267" s="8" t="str">
        <f>SUBSTITUTE((Risultati!AN266&amp;"-"&amp;Risultati!AO266),",",";")</f>
        <v>-</v>
      </c>
      <c r="I267" s="10">
        <f>+Risultati!G266</f>
        <v>0</v>
      </c>
      <c r="J267" s="11" t="str">
        <f t="shared" si="236"/>
        <v>0</v>
      </c>
      <c r="K267" s="12"/>
      <c r="L267" s="10">
        <f>+Risultati!G266+Risultati!H266</f>
        <v>0</v>
      </c>
      <c r="M267" s="11" t="str">
        <f t="shared" si="237"/>
        <v>0</v>
      </c>
      <c r="N267" s="12"/>
      <c r="O267" s="10">
        <f>+Risultati!I266+Risultati!J266</f>
        <v>0</v>
      </c>
      <c r="P267" s="11" t="str">
        <f t="shared" si="238"/>
        <v>0</v>
      </c>
      <c r="Q267" s="12"/>
      <c r="R267" s="13">
        <f t="shared" si="204"/>
        <v>0</v>
      </c>
      <c r="S267" s="11" t="str">
        <f t="shared" si="239"/>
        <v>0</v>
      </c>
      <c r="T267" s="12"/>
      <c r="U267" s="10">
        <f>+Risultati!F266-(Risultati!G266+Risultati!H266)</f>
        <v>0</v>
      </c>
      <c r="V267" s="12" t="str">
        <f t="shared" si="240"/>
        <v>0</v>
      </c>
      <c r="W267" s="12"/>
      <c r="X267" s="10">
        <f t="shared" si="205"/>
        <v>0</v>
      </c>
      <c r="Y267" s="12" t="str">
        <f t="shared" si="241"/>
        <v>0</v>
      </c>
      <c r="Z267" s="12"/>
      <c r="AA267" s="10">
        <f>+Risultati!K266</f>
        <v>0</v>
      </c>
      <c r="AB267" s="12" t="str">
        <f t="shared" si="242"/>
        <v>0</v>
      </c>
      <c r="AC267" s="12"/>
      <c r="AD267" s="10">
        <f>+Risultati!L266</f>
        <v>0</v>
      </c>
      <c r="AE267" s="12" t="str">
        <f t="shared" si="243"/>
        <v>0</v>
      </c>
      <c r="AF267" s="12"/>
      <c r="AG267" s="10">
        <f>+Risultati!M266+Risultati!P266+Risultati!Q266</f>
        <v>0</v>
      </c>
      <c r="AH267" s="12" t="str">
        <f t="shared" si="244"/>
        <v>0</v>
      </c>
      <c r="AI267" s="12"/>
      <c r="AJ267" s="13">
        <f t="shared" si="206"/>
        <v>0</v>
      </c>
      <c r="AK267" s="11" t="str">
        <f t="shared" si="245"/>
        <v>0</v>
      </c>
      <c r="AL267" s="12"/>
      <c r="AM267" s="10">
        <f>+Risultati!N266</f>
        <v>0</v>
      </c>
      <c r="AN267" s="12" t="str">
        <f t="shared" si="246"/>
        <v>0</v>
      </c>
      <c r="AO267" s="12"/>
      <c r="AP267" s="10">
        <f t="shared" si="207"/>
        <v>0</v>
      </c>
      <c r="AQ267" s="41" t="str">
        <f t="shared" si="247"/>
        <v>0</v>
      </c>
      <c r="AR267" s="12"/>
      <c r="AS267" s="10">
        <f>+Risultati!O266</f>
        <v>0</v>
      </c>
      <c r="AT267" s="12" t="str">
        <f t="shared" si="248"/>
        <v>0</v>
      </c>
      <c r="AU267" s="12"/>
      <c r="AV267" s="10">
        <f t="shared" si="208"/>
        <v>0</v>
      </c>
      <c r="AW267" s="12" t="str">
        <f t="shared" si="249"/>
        <v>0</v>
      </c>
      <c r="AX267" s="12"/>
      <c r="AY267" s="10">
        <f>+Risultati!R266+Risultati!S266</f>
        <v>0</v>
      </c>
      <c r="AZ267" s="12" t="str">
        <f t="shared" si="250"/>
        <v>0</v>
      </c>
      <c r="BA267" s="12"/>
      <c r="BB267" s="10">
        <f>+Risultati!T266</f>
        <v>0</v>
      </c>
      <c r="BC267" s="12" t="str">
        <f t="shared" si="251"/>
        <v>0</v>
      </c>
      <c r="BD267" s="12"/>
      <c r="BE267" s="10">
        <f>+Risultati!U266</f>
        <v>0</v>
      </c>
      <c r="BF267" s="12" t="str">
        <f t="shared" si="252"/>
        <v>0</v>
      </c>
      <c r="BG267" s="12"/>
      <c r="BH267" s="10">
        <f t="shared" si="209"/>
        <v>0</v>
      </c>
      <c r="BI267" s="12" t="str">
        <f t="shared" si="253"/>
        <v>0</v>
      </c>
      <c r="BK267" s="16">
        <f>IF(ISNUMBER(Risultati!X266/100),(Risultati!X266/100))</f>
        <v>0</v>
      </c>
      <c r="BL267" s="16">
        <f>IF(ISNUMBER(Risultati!Y266/100),(Risultati!Y266/100))</f>
        <v>0</v>
      </c>
      <c r="BM267" s="16">
        <f>IF(ISNUMBER(Risultati!Z266/100),(Risultati!Z266/100))</f>
        <v>0</v>
      </c>
      <c r="BN267" s="16">
        <f>IF(AND(Risultati!AY266&lt;0,calcoli!AP267&lt;0),-IF(ISNUMBER(Risultati!AA266/100),(Risultati!AA266/100)),IF(ISNUMBER(Risultati!AA266/100),(Risultati!AA266/100)))</f>
        <v>0</v>
      </c>
      <c r="BO267" s="16" t="str">
        <f t="shared" si="234"/>
        <v>0</v>
      </c>
      <c r="BP267" s="16" t="str">
        <f>IF(Risultati!AB266&gt;0,(AV267/Risultati!AB266),"0")</f>
        <v>0</v>
      </c>
      <c r="BQ267" s="16" t="str">
        <f>IF(Risultati!AG266&lt;&gt;0,(BH267/Risultati!AG266),"0")</f>
        <v>0</v>
      </c>
      <c r="BR267" s="16" t="str">
        <f t="shared" si="235"/>
        <v>0</v>
      </c>
      <c r="BS267" s="14" t="str">
        <f>IF(Risultati!AB266&gt;0,(Risultati!G266/Risultati!AB266),"0")</f>
        <v>0</v>
      </c>
      <c r="BT267" s="15" t="str">
        <f>IF(Risultati!AG266&lt;&gt;0,(Risultati!AB266/Risultati!AG266),"0")</f>
        <v>0</v>
      </c>
      <c r="BU267" s="23" t="str">
        <f>IF(AND(Risultati!G266&gt;0,(Risultati!AE266-Risultati!AF266)&gt;=0),((Risultati!AE266-Risultati!AF266)/Risultati!G266*360),"0")</f>
        <v>0</v>
      </c>
      <c r="BV267" s="21" t="str">
        <f>IF(OR(E267="abbreviato",Risultati!G266=0),"0",((Risultati!AC266+Risultati!AD266)/Risultati!G266*360))</f>
        <v>0</v>
      </c>
      <c r="BW267" s="21" t="str">
        <f>IF(OR(E267="abbreviato",Risultati!G266=0,SUM(Risultati!I266+Risultati!K266+Risultati!M266)=0),"0",(((Risultati!AH266+Risultati!AI266)/(Risultati!I266+Risultati!K266+Risultati!N266)*360)))</f>
        <v>0</v>
      </c>
      <c r="BX267" s="16" t="str">
        <f>IF(Risultati!AB266&gt;0,(+Risultati!AG266/Risultati!AB266),"0")</f>
        <v>0</v>
      </c>
      <c r="BY267" s="22" t="str">
        <f>IF(OR(E267="abbreviato",Risultati!G266=0),"0",(((Risultati!AK266-(Risultati!AL266+Risultati!AM266))/Risultati!G266)))</f>
        <v>0</v>
      </c>
      <c r="BZ267" s="16" t="str">
        <f>IF(Risultati!G266&gt;0,(Risultati!AJ266/Risultati!G266),"0")</f>
        <v>0</v>
      </c>
      <c r="CA267" s="8"/>
      <c r="CB267" s="10">
        <f>+Risultati!AP266</f>
        <v>0</v>
      </c>
      <c r="CC267" s="31" t="str">
        <f t="shared" si="210"/>
        <v>0</v>
      </c>
      <c r="CD267" s="10">
        <f>+Risultati!AQ266</f>
        <v>0</v>
      </c>
      <c r="CE267" s="31" t="str">
        <f t="shared" si="211"/>
        <v>0</v>
      </c>
      <c r="CF267" s="10">
        <f>+Risultati!AR266</f>
        <v>0</v>
      </c>
      <c r="CG267" s="31" t="str">
        <f t="shared" si="212"/>
        <v>0</v>
      </c>
      <c r="CH267" s="10">
        <f>+Risultati!AS266</f>
        <v>0</v>
      </c>
      <c r="CI267" s="31" t="str">
        <f t="shared" si="213"/>
        <v>0</v>
      </c>
      <c r="CJ267" s="10">
        <f t="shared" si="214"/>
        <v>0</v>
      </c>
      <c r="CK267" s="31" t="str">
        <f t="shared" si="215"/>
        <v>0</v>
      </c>
      <c r="CL267" s="10">
        <f>+Risultati!AE266+Risultati!AF266</f>
        <v>0</v>
      </c>
      <c r="CM267" s="31" t="str">
        <f t="shared" si="216"/>
        <v>0</v>
      </c>
      <c r="CN267" s="10">
        <f>+Risultati!AT266</f>
        <v>0</v>
      </c>
      <c r="CO267" s="31" t="str">
        <f t="shared" si="217"/>
        <v>0</v>
      </c>
      <c r="CP267" s="10">
        <f>+Risultati!AU266</f>
        <v>0</v>
      </c>
      <c r="CQ267" s="31" t="str">
        <f t="shared" si="218"/>
        <v>0</v>
      </c>
      <c r="CR267" s="10">
        <f>+Risultati!AL266</f>
        <v>0</v>
      </c>
      <c r="CS267" s="31" t="str">
        <f t="shared" si="219"/>
        <v>0</v>
      </c>
      <c r="CT267" s="10">
        <f t="shared" si="220"/>
        <v>0</v>
      </c>
      <c r="CU267" s="31" t="str">
        <f t="shared" si="221"/>
        <v>0</v>
      </c>
      <c r="CV267" s="10">
        <f>+Risultati!AX266</f>
        <v>0</v>
      </c>
      <c r="CW267" s="31" t="str">
        <f t="shared" si="222"/>
        <v>0</v>
      </c>
      <c r="CX267" s="10">
        <f t="shared" si="223"/>
        <v>0</v>
      </c>
      <c r="CY267" s="31" t="str">
        <f t="shared" si="224"/>
        <v>0</v>
      </c>
      <c r="CZ267" s="10">
        <f>+Risultati!AG266</f>
        <v>0</v>
      </c>
      <c r="DA267" s="31" t="str">
        <f t="shared" si="225"/>
        <v>0</v>
      </c>
      <c r="DB267" s="10">
        <f t="shared" si="226"/>
        <v>0</v>
      </c>
      <c r="DC267" s="31" t="str">
        <f t="shared" si="227"/>
        <v>0</v>
      </c>
      <c r="DD267" s="10">
        <f>+Risultati!AV266</f>
        <v>0</v>
      </c>
      <c r="DE267" s="31" t="str">
        <f t="shared" si="228"/>
        <v>0</v>
      </c>
      <c r="DF267" s="10">
        <f>+Risultati!AJ266</f>
        <v>0</v>
      </c>
      <c r="DG267" s="31" t="str">
        <f t="shared" si="229"/>
        <v>0</v>
      </c>
      <c r="DH267" s="10">
        <f t="shared" si="230"/>
        <v>0</v>
      </c>
      <c r="DI267" s="31" t="str">
        <f t="shared" si="231"/>
        <v>0</v>
      </c>
      <c r="DJ267" s="10">
        <f>+Risultati!AW266</f>
        <v>0</v>
      </c>
      <c r="DK267" s="31" t="str">
        <f t="shared" si="232"/>
        <v>0</v>
      </c>
      <c r="DL267" s="10">
        <f t="shared" si="254"/>
        <v>0</v>
      </c>
      <c r="DM267" s="31" t="str">
        <f t="shared" si="233"/>
        <v>0</v>
      </c>
      <c r="DO267" s="30"/>
      <c r="DP267" s="30"/>
    </row>
    <row r="268" spans="1:120" x14ac:dyDescent="0.2">
      <c r="A268" s="5"/>
      <c r="B268" s="6">
        <f>+Risultati!B267</f>
        <v>0</v>
      </c>
      <c r="C268" s="6">
        <f>+Risultati!C267</f>
        <v>0</v>
      </c>
      <c r="D268" s="26" t="str">
        <f>IF(YEAR(Risultati!D267)=1900,(MID(Risultati!$AP$1,29,4)),YEAR(Risultati!D267))</f>
        <v/>
      </c>
      <c r="E268" s="6">
        <f>+Risultati!E267</f>
        <v>0</v>
      </c>
      <c r="F268" s="8" t="e">
        <f>(LEFT(Risultati!AN267,2)&amp;"-")&amp;VLOOKUP((LEFT(Risultati!AN267,2)),ateco!$B$4:$C$93,2,FALSE)</f>
        <v>#N/A</v>
      </c>
      <c r="G268" s="8" t="str">
        <f>SUBSTITUTE((Risultati!AN267&amp;"-"&amp;Risultati!AO267),",",";")</f>
        <v>-</v>
      </c>
      <c r="I268" s="10">
        <f>+Risultati!G267</f>
        <v>0</v>
      </c>
      <c r="J268" s="11" t="str">
        <f t="shared" si="236"/>
        <v>0</v>
      </c>
      <c r="K268" s="12"/>
      <c r="L268" s="10">
        <f>+Risultati!G267+Risultati!H267</f>
        <v>0</v>
      </c>
      <c r="M268" s="11" t="str">
        <f t="shared" si="237"/>
        <v>0</v>
      </c>
      <c r="N268" s="12"/>
      <c r="O268" s="10">
        <f>+Risultati!I267+Risultati!J267</f>
        <v>0</v>
      </c>
      <c r="P268" s="11" t="str">
        <f t="shared" si="238"/>
        <v>0</v>
      </c>
      <c r="Q268" s="12"/>
      <c r="R268" s="13">
        <f t="shared" si="204"/>
        <v>0</v>
      </c>
      <c r="S268" s="11" t="str">
        <f t="shared" si="239"/>
        <v>0</v>
      </c>
      <c r="T268" s="12"/>
      <c r="U268" s="10">
        <f>+Risultati!F267-(Risultati!G267+Risultati!H267)</f>
        <v>0</v>
      </c>
      <c r="V268" s="12" t="str">
        <f t="shared" si="240"/>
        <v>0</v>
      </c>
      <c r="W268" s="12"/>
      <c r="X268" s="10">
        <f t="shared" si="205"/>
        <v>0</v>
      </c>
      <c r="Y268" s="12" t="str">
        <f t="shared" si="241"/>
        <v>0</v>
      </c>
      <c r="Z268" s="12"/>
      <c r="AA268" s="10">
        <f>+Risultati!K267</f>
        <v>0</v>
      </c>
      <c r="AB268" s="12" t="str">
        <f t="shared" si="242"/>
        <v>0</v>
      </c>
      <c r="AC268" s="12"/>
      <c r="AD268" s="10">
        <f>+Risultati!L267</f>
        <v>0</v>
      </c>
      <c r="AE268" s="12" t="str">
        <f t="shared" si="243"/>
        <v>0</v>
      </c>
      <c r="AF268" s="12"/>
      <c r="AG268" s="10">
        <f>+Risultati!M267+Risultati!P267+Risultati!Q267</f>
        <v>0</v>
      </c>
      <c r="AH268" s="12" t="str">
        <f t="shared" si="244"/>
        <v>0</v>
      </c>
      <c r="AI268" s="12"/>
      <c r="AJ268" s="13">
        <f t="shared" si="206"/>
        <v>0</v>
      </c>
      <c r="AK268" s="11" t="str">
        <f t="shared" si="245"/>
        <v>0</v>
      </c>
      <c r="AL268" s="12"/>
      <c r="AM268" s="10">
        <f>+Risultati!N267</f>
        <v>0</v>
      </c>
      <c r="AN268" s="12" t="str">
        <f t="shared" si="246"/>
        <v>0</v>
      </c>
      <c r="AO268" s="12"/>
      <c r="AP268" s="10">
        <f t="shared" si="207"/>
        <v>0</v>
      </c>
      <c r="AQ268" s="41" t="str">
        <f t="shared" si="247"/>
        <v>0</v>
      </c>
      <c r="AR268" s="12"/>
      <c r="AS268" s="10">
        <f>+Risultati!O267</f>
        <v>0</v>
      </c>
      <c r="AT268" s="12" t="str">
        <f t="shared" si="248"/>
        <v>0</v>
      </c>
      <c r="AU268" s="12"/>
      <c r="AV268" s="10">
        <f t="shared" si="208"/>
        <v>0</v>
      </c>
      <c r="AW268" s="12" t="str">
        <f t="shared" si="249"/>
        <v>0</v>
      </c>
      <c r="AX268" s="12"/>
      <c r="AY268" s="10">
        <f>+Risultati!R267+Risultati!S267</f>
        <v>0</v>
      </c>
      <c r="AZ268" s="12" t="str">
        <f t="shared" si="250"/>
        <v>0</v>
      </c>
      <c r="BA268" s="12"/>
      <c r="BB268" s="10">
        <f>+Risultati!T267</f>
        <v>0</v>
      </c>
      <c r="BC268" s="12" t="str">
        <f t="shared" si="251"/>
        <v>0</v>
      </c>
      <c r="BD268" s="12"/>
      <c r="BE268" s="10">
        <f>+Risultati!U267</f>
        <v>0</v>
      </c>
      <c r="BF268" s="12" t="str">
        <f t="shared" si="252"/>
        <v>0</v>
      </c>
      <c r="BG268" s="12"/>
      <c r="BH268" s="10">
        <f t="shared" si="209"/>
        <v>0</v>
      </c>
      <c r="BI268" s="12" t="str">
        <f t="shared" si="253"/>
        <v>0</v>
      </c>
      <c r="BK268" s="16">
        <f>IF(ISNUMBER(Risultati!X267/100),(Risultati!X267/100))</f>
        <v>0</v>
      </c>
      <c r="BL268" s="16">
        <f>IF(ISNUMBER(Risultati!Y267/100),(Risultati!Y267/100))</f>
        <v>0</v>
      </c>
      <c r="BM268" s="16">
        <f>IF(ISNUMBER(Risultati!Z267/100),(Risultati!Z267/100))</f>
        <v>0</v>
      </c>
      <c r="BN268" s="16">
        <f>IF(AND(Risultati!AY267&lt;0,calcoli!AP268&lt;0),-IF(ISNUMBER(Risultati!AA267/100),(Risultati!AA267/100)),IF(ISNUMBER(Risultati!AA267/100),(Risultati!AA267/100)))</f>
        <v>0</v>
      </c>
      <c r="BO268" s="16" t="str">
        <f t="shared" si="234"/>
        <v>0</v>
      </c>
      <c r="BP268" s="16" t="str">
        <f>IF(Risultati!AB267&gt;0,(AV268/Risultati!AB267),"0")</f>
        <v>0</v>
      </c>
      <c r="BQ268" s="16" t="str">
        <f>IF(Risultati!AG267&lt;&gt;0,(BH268/Risultati!AG267),"0")</f>
        <v>0</v>
      </c>
      <c r="BR268" s="16" t="str">
        <f t="shared" si="235"/>
        <v>0</v>
      </c>
      <c r="BS268" s="14" t="str">
        <f>IF(Risultati!AB267&gt;0,(Risultati!G267/Risultati!AB267),"0")</f>
        <v>0</v>
      </c>
      <c r="BT268" s="15" t="str">
        <f>IF(Risultati!AG267&lt;&gt;0,(Risultati!AB267/Risultati!AG267),"0")</f>
        <v>0</v>
      </c>
      <c r="BU268" s="23" t="str">
        <f>IF(AND(Risultati!G267&gt;0,(Risultati!AE267-Risultati!AF267)&gt;=0),((Risultati!AE267-Risultati!AF267)/Risultati!G267*360),"0")</f>
        <v>0</v>
      </c>
      <c r="BV268" s="21" t="str">
        <f>IF(OR(E268="abbreviato",Risultati!G267=0),"0",((Risultati!AC267+Risultati!AD267)/Risultati!G267*360))</f>
        <v>0</v>
      </c>
      <c r="BW268" s="21" t="str">
        <f>IF(OR(E268="abbreviato",Risultati!G267=0,SUM(Risultati!I267+Risultati!K267+Risultati!M267)=0),"0",(((Risultati!AH267+Risultati!AI267)/(Risultati!I267+Risultati!K267+Risultati!N267)*360)))</f>
        <v>0</v>
      </c>
      <c r="BX268" s="16" t="str">
        <f>IF(Risultati!AB267&gt;0,(+Risultati!AG267/Risultati!AB267),"0")</f>
        <v>0</v>
      </c>
      <c r="BY268" s="22" t="str">
        <f>IF(OR(E268="abbreviato",Risultati!G267=0),"0",(((Risultati!AK267-(Risultati!AL267+Risultati!AM267))/Risultati!G267)))</f>
        <v>0</v>
      </c>
      <c r="BZ268" s="16" t="str">
        <f>IF(Risultati!G267&gt;0,(Risultati!AJ267/Risultati!G267),"0")</f>
        <v>0</v>
      </c>
      <c r="CA268" s="8"/>
      <c r="CB268" s="10">
        <f>+Risultati!AP267</f>
        <v>0</v>
      </c>
      <c r="CC268" s="31" t="str">
        <f t="shared" si="210"/>
        <v>0</v>
      </c>
      <c r="CD268" s="10">
        <f>+Risultati!AQ267</f>
        <v>0</v>
      </c>
      <c r="CE268" s="31" t="str">
        <f t="shared" si="211"/>
        <v>0</v>
      </c>
      <c r="CF268" s="10">
        <f>+Risultati!AR267</f>
        <v>0</v>
      </c>
      <c r="CG268" s="31" t="str">
        <f t="shared" si="212"/>
        <v>0</v>
      </c>
      <c r="CH268" s="10">
        <f>+Risultati!AS267</f>
        <v>0</v>
      </c>
      <c r="CI268" s="31" t="str">
        <f t="shared" si="213"/>
        <v>0</v>
      </c>
      <c r="CJ268" s="10">
        <f t="shared" si="214"/>
        <v>0</v>
      </c>
      <c r="CK268" s="31" t="str">
        <f t="shared" si="215"/>
        <v>0</v>
      </c>
      <c r="CL268" s="10">
        <f>+Risultati!AE267+Risultati!AF267</f>
        <v>0</v>
      </c>
      <c r="CM268" s="31" t="str">
        <f t="shared" si="216"/>
        <v>0</v>
      </c>
      <c r="CN268" s="10">
        <f>+Risultati!AT267</f>
        <v>0</v>
      </c>
      <c r="CO268" s="31" t="str">
        <f t="shared" si="217"/>
        <v>0</v>
      </c>
      <c r="CP268" s="10">
        <f>+Risultati!AU267</f>
        <v>0</v>
      </c>
      <c r="CQ268" s="31" t="str">
        <f t="shared" si="218"/>
        <v>0</v>
      </c>
      <c r="CR268" s="10">
        <f>+Risultati!AL267</f>
        <v>0</v>
      </c>
      <c r="CS268" s="31" t="str">
        <f t="shared" si="219"/>
        <v>0</v>
      </c>
      <c r="CT268" s="10">
        <f t="shared" si="220"/>
        <v>0</v>
      </c>
      <c r="CU268" s="31" t="str">
        <f t="shared" si="221"/>
        <v>0</v>
      </c>
      <c r="CV268" s="10">
        <f>+Risultati!AX267</f>
        <v>0</v>
      </c>
      <c r="CW268" s="31" t="str">
        <f t="shared" si="222"/>
        <v>0</v>
      </c>
      <c r="CX268" s="10">
        <f t="shared" si="223"/>
        <v>0</v>
      </c>
      <c r="CY268" s="31" t="str">
        <f t="shared" si="224"/>
        <v>0</v>
      </c>
      <c r="CZ268" s="10">
        <f>+Risultati!AG267</f>
        <v>0</v>
      </c>
      <c r="DA268" s="31" t="str">
        <f t="shared" si="225"/>
        <v>0</v>
      </c>
      <c r="DB268" s="10">
        <f t="shared" si="226"/>
        <v>0</v>
      </c>
      <c r="DC268" s="31" t="str">
        <f t="shared" si="227"/>
        <v>0</v>
      </c>
      <c r="DD268" s="10">
        <f>+Risultati!AV267</f>
        <v>0</v>
      </c>
      <c r="DE268" s="31" t="str">
        <f t="shared" si="228"/>
        <v>0</v>
      </c>
      <c r="DF268" s="10">
        <f>+Risultati!AJ267</f>
        <v>0</v>
      </c>
      <c r="DG268" s="31" t="str">
        <f t="shared" si="229"/>
        <v>0</v>
      </c>
      <c r="DH268" s="10">
        <f t="shared" si="230"/>
        <v>0</v>
      </c>
      <c r="DI268" s="31" t="str">
        <f t="shared" si="231"/>
        <v>0</v>
      </c>
      <c r="DJ268" s="10">
        <f>+Risultati!AW267</f>
        <v>0</v>
      </c>
      <c r="DK268" s="31" t="str">
        <f t="shared" si="232"/>
        <v>0</v>
      </c>
      <c r="DL268" s="10">
        <f t="shared" si="254"/>
        <v>0</v>
      </c>
      <c r="DM268" s="31" t="str">
        <f t="shared" si="233"/>
        <v>0</v>
      </c>
      <c r="DO268" s="30"/>
      <c r="DP268" s="30"/>
    </row>
    <row r="269" spans="1:120" x14ac:dyDescent="0.2">
      <c r="A269" s="5"/>
      <c r="B269" s="6">
        <f>+Risultati!B268</f>
        <v>0</v>
      </c>
      <c r="C269" s="6">
        <f>+Risultati!C268</f>
        <v>0</v>
      </c>
      <c r="D269" s="26" t="str">
        <f>IF(YEAR(Risultati!D268)=1900,(MID(Risultati!$AP$1,29,4)),YEAR(Risultati!D268))</f>
        <v/>
      </c>
      <c r="E269" s="6">
        <f>+Risultati!E268</f>
        <v>0</v>
      </c>
      <c r="F269" s="8" t="e">
        <f>(LEFT(Risultati!AN268,2)&amp;"-")&amp;VLOOKUP((LEFT(Risultati!AN268,2)),ateco!$B$4:$C$93,2,FALSE)</f>
        <v>#N/A</v>
      </c>
      <c r="G269" s="8" t="str">
        <f>SUBSTITUTE((Risultati!AN268&amp;"-"&amp;Risultati!AO268),",",";")</f>
        <v>-</v>
      </c>
      <c r="I269" s="10">
        <f>+Risultati!G268</f>
        <v>0</v>
      </c>
      <c r="J269" s="11" t="str">
        <f t="shared" si="236"/>
        <v>0</v>
      </c>
      <c r="K269" s="12"/>
      <c r="L269" s="10">
        <f>+Risultati!G268+Risultati!H268</f>
        <v>0</v>
      </c>
      <c r="M269" s="11" t="str">
        <f t="shared" si="237"/>
        <v>0</v>
      </c>
      <c r="N269" s="12"/>
      <c r="O269" s="10">
        <f>+Risultati!I268+Risultati!J268</f>
        <v>0</v>
      </c>
      <c r="P269" s="11" t="str">
        <f t="shared" si="238"/>
        <v>0</v>
      </c>
      <c r="Q269" s="12"/>
      <c r="R269" s="13">
        <f t="shared" si="204"/>
        <v>0</v>
      </c>
      <c r="S269" s="11" t="str">
        <f t="shared" si="239"/>
        <v>0</v>
      </c>
      <c r="T269" s="12"/>
      <c r="U269" s="10">
        <f>+Risultati!F268-(Risultati!G268+Risultati!H268)</f>
        <v>0</v>
      </c>
      <c r="V269" s="12" t="str">
        <f t="shared" si="240"/>
        <v>0</v>
      </c>
      <c r="W269" s="12"/>
      <c r="X269" s="10">
        <f t="shared" si="205"/>
        <v>0</v>
      </c>
      <c r="Y269" s="12" t="str">
        <f t="shared" si="241"/>
        <v>0</v>
      </c>
      <c r="Z269" s="12"/>
      <c r="AA269" s="10">
        <f>+Risultati!K268</f>
        <v>0</v>
      </c>
      <c r="AB269" s="12" t="str">
        <f t="shared" si="242"/>
        <v>0</v>
      </c>
      <c r="AC269" s="12"/>
      <c r="AD269" s="10">
        <f>+Risultati!L268</f>
        <v>0</v>
      </c>
      <c r="AE269" s="12" t="str">
        <f t="shared" si="243"/>
        <v>0</v>
      </c>
      <c r="AF269" s="12"/>
      <c r="AG269" s="10">
        <f>+Risultati!M268+Risultati!P268+Risultati!Q268</f>
        <v>0</v>
      </c>
      <c r="AH269" s="12" t="str">
        <f t="shared" si="244"/>
        <v>0</v>
      </c>
      <c r="AI269" s="12"/>
      <c r="AJ269" s="13">
        <f t="shared" si="206"/>
        <v>0</v>
      </c>
      <c r="AK269" s="11" t="str">
        <f t="shared" si="245"/>
        <v>0</v>
      </c>
      <c r="AL269" s="12"/>
      <c r="AM269" s="10">
        <f>+Risultati!N268</f>
        <v>0</v>
      </c>
      <c r="AN269" s="12" t="str">
        <f t="shared" si="246"/>
        <v>0</v>
      </c>
      <c r="AO269" s="12"/>
      <c r="AP269" s="10">
        <f t="shared" si="207"/>
        <v>0</v>
      </c>
      <c r="AQ269" s="41" t="str">
        <f t="shared" si="247"/>
        <v>0</v>
      </c>
      <c r="AR269" s="12"/>
      <c r="AS269" s="10">
        <f>+Risultati!O268</f>
        <v>0</v>
      </c>
      <c r="AT269" s="12" t="str">
        <f t="shared" si="248"/>
        <v>0</v>
      </c>
      <c r="AU269" s="12"/>
      <c r="AV269" s="10">
        <f t="shared" si="208"/>
        <v>0</v>
      </c>
      <c r="AW269" s="12" t="str">
        <f t="shared" si="249"/>
        <v>0</v>
      </c>
      <c r="AX269" s="12"/>
      <c r="AY269" s="10">
        <f>+Risultati!R268+Risultati!S268</f>
        <v>0</v>
      </c>
      <c r="AZ269" s="12" t="str">
        <f t="shared" si="250"/>
        <v>0</v>
      </c>
      <c r="BA269" s="12"/>
      <c r="BB269" s="10">
        <f>+Risultati!T268</f>
        <v>0</v>
      </c>
      <c r="BC269" s="12" t="str">
        <f t="shared" si="251"/>
        <v>0</v>
      </c>
      <c r="BD269" s="12"/>
      <c r="BE269" s="10">
        <f>+Risultati!U268</f>
        <v>0</v>
      </c>
      <c r="BF269" s="12" t="str">
        <f t="shared" si="252"/>
        <v>0</v>
      </c>
      <c r="BG269" s="12"/>
      <c r="BH269" s="10">
        <f t="shared" si="209"/>
        <v>0</v>
      </c>
      <c r="BI269" s="12" t="str">
        <f t="shared" si="253"/>
        <v>0</v>
      </c>
      <c r="BK269" s="16">
        <f>IF(ISNUMBER(Risultati!X268/100),(Risultati!X268/100))</f>
        <v>0</v>
      </c>
      <c r="BL269" s="16">
        <f>IF(ISNUMBER(Risultati!Y268/100),(Risultati!Y268/100))</f>
        <v>0</v>
      </c>
      <c r="BM269" s="16">
        <f>IF(ISNUMBER(Risultati!Z268/100),(Risultati!Z268/100))</f>
        <v>0</v>
      </c>
      <c r="BN269" s="16">
        <f>IF(AND(Risultati!AY268&lt;0,calcoli!AP269&lt;0),-IF(ISNUMBER(Risultati!AA268/100),(Risultati!AA268/100)),IF(ISNUMBER(Risultati!AA268/100),(Risultati!AA268/100)))</f>
        <v>0</v>
      </c>
      <c r="BO269" s="16" t="str">
        <f t="shared" si="234"/>
        <v>0</v>
      </c>
      <c r="BP269" s="16" t="str">
        <f>IF(Risultati!AB268&gt;0,(AV269/Risultati!AB268),"0")</f>
        <v>0</v>
      </c>
      <c r="BQ269" s="16" t="str">
        <f>IF(Risultati!AG268&lt;&gt;0,(BH269/Risultati!AG268),"0")</f>
        <v>0</v>
      </c>
      <c r="BR269" s="16" t="str">
        <f t="shared" si="235"/>
        <v>0</v>
      </c>
      <c r="BS269" s="14" t="str">
        <f>IF(Risultati!AB268&gt;0,(Risultati!G268/Risultati!AB268),"0")</f>
        <v>0</v>
      </c>
      <c r="BT269" s="15" t="str">
        <f>IF(Risultati!AG268&lt;&gt;0,(Risultati!AB268/Risultati!AG268),"0")</f>
        <v>0</v>
      </c>
      <c r="BU269" s="23" t="str">
        <f>IF(AND(Risultati!G268&gt;0,(Risultati!AE268-Risultati!AF268)&gt;=0),((Risultati!AE268-Risultati!AF268)/Risultati!G268*360),"0")</f>
        <v>0</v>
      </c>
      <c r="BV269" s="21" t="str">
        <f>IF(OR(E269="abbreviato",Risultati!G268=0),"0",((Risultati!AC268+Risultati!AD268)/Risultati!G268*360))</f>
        <v>0</v>
      </c>
      <c r="BW269" s="21" t="str">
        <f>IF(OR(E269="abbreviato",Risultati!G268=0,SUM(Risultati!I268+Risultati!K268+Risultati!M268)=0),"0",(((Risultati!AH268+Risultati!AI268)/(Risultati!I268+Risultati!K268+Risultati!N268)*360)))</f>
        <v>0</v>
      </c>
      <c r="BX269" s="16" t="str">
        <f>IF(Risultati!AB268&gt;0,(+Risultati!AG268/Risultati!AB268),"0")</f>
        <v>0</v>
      </c>
      <c r="BY269" s="22" t="str">
        <f>IF(OR(E269="abbreviato",Risultati!G268=0),"0",(((Risultati!AK268-(Risultati!AL268+Risultati!AM268))/Risultati!G268)))</f>
        <v>0</v>
      </c>
      <c r="BZ269" s="16" t="str">
        <f>IF(Risultati!G268&gt;0,(Risultati!AJ268/Risultati!G268),"0")</f>
        <v>0</v>
      </c>
      <c r="CA269" s="8"/>
      <c r="CB269" s="10">
        <f>+Risultati!AP268</f>
        <v>0</v>
      </c>
      <c r="CC269" s="31" t="str">
        <f t="shared" si="210"/>
        <v>0</v>
      </c>
      <c r="CD269" s="10">
        <f>+Risultati!AQ268</f>
        <v>0</v>
      </c>
      <c r="CE269" s="31" t="str">
        <f t="shared" si="211"/>
        <v>0</v>
      </c>
      <c r="CF269" s="10">
        <f>+Risultati!AR268</f>
        <v>0</v>
      </c>
      <c r="CG269" s="31" t="str">
        <f t="shared" si="212"/>
        <v>0</v>
      </c>
      <c r="CH269" s="10">
        <f>+Risultati!AS268</f>
        <v>0</v>
      </c>
      <c r="CI269" s="31" t="str">
        <f t="shared" si="213"/>
        <v>0</v>
      </c>
      <c r="CJ269" s="10">
        <f t="shared" si="214"/>
        <v>0</v>
      </c>
      <c r="CK269" s="31" t="str">
        <f t="shared" si="215"/>
        <v>0</v>
      </c>
      <c r="CL269" s="10">
        <f>+Risultati!AE268+Risultati!AF268</f>
        <v>0</v>
      </c>
      <c r="CM269" s="31" t="str">
        <f t="shared" si="216"/>
        <v>0</v>
      </c>
      <c r="CN269" s="10">
        <f>+Risultati!AT268</f>
        <v>0</v>
      </c>
      <c r="CO269" s="31" t="str">
        <f t="shared" si="217"/>
        <v>0</v>
      </c>
      <c r="CP269" s="10">
        <f>+Risultati!AU268</f>
        <v>0</v>
      </c>
      <c r="CQ269" s="31" t="str">
        <f t="shared" si="218"/>
        <v>0</v>
      </c>
      <c r="CR269" s="10">
        <f>+Risultati!AL268</f>
        <v>0</v>
      </c>
      <c r="CS269" s="31" t="str">
        <f t="shared" si="219"/>
        <v>0</v>
      </c>
      <c r="CT269" s="10">
        <f t="shared" si="220"/>
        <v>0</v>
      </c>
      <c r="CU269" s="31" t="str">
        <f t="shared" si="221"/>
        <v>0</v>
      </c>
      <c r="CV269" s="10">
        <f>+Risultati!AX268</f>
        <v>0</v>
      </c>
      <c r="CW269" s="31" t="str">
        <f t="shared" si="222"/>
        <v>0</v>
      </c>
      <c r="CX269" s="10">
        <f t="shared" si="223"/>
        <v>0</v>
      </c>
      <c r="CY269" s="31" t="str">
        <f t="shared" si="224"/>
        <v>0</v>
      </c>
      <c r="CZ269" s="10">
        <f>+Risultati!AG268</f>
        <v>0</v>
      </c>
      <c r="DA269" s="31" t="str">
        <f t="shared" si="225"/>
        <v>0</v>
      </c>
      <c r="DB269" s="10">
        <f t="shared" si="226"/>
        <v>0</v>
      </c>
      <c r="DC269" s="31" t="str">
        <f t="shared" si="227"/>
        <v>0</v>
      </c>
      <c r="DD269" s="10">
        <f>+Risultati!AV268</f>
        <v>0</v>
      </c>
      <c r="DE269" s="31" t="str">
        <f t="shared" si="228"/>
        <v>0</v>
      </c>
      <c r="DF269" s="10">
        <f>+Risultati!AJ268</f>
        <v>0</v>
      </c>
      <c r="DG269" s="31" t="str">
        <f t="shared" si="229"/>
        <v>0</v>
      </c>
      <c r="DH269" s="10">
        <f t="shared" si="230"/>
        <v>0</v>
      </c>
      <c r="DI269" s="31" t="str">
        <f t="shared" si="231"/>
        <v>0</v>
      </c>
      <c r="DJ269" s="10">
        <f>+Risultati!AW268</f>
        <v>0</v>
      </c>
      <c r="DK269" s="31" t="str">
        <f t="shared" si="232"/>
        <v>0</v>
      </c>
      <c r="DL269" s="10">
        <f t="shared" si="254"/>
        <v>0</v>
      </c>
      <c r="DM269" s="31" t="str">
        <f t="shared" si="233"/>
        <v>0</v>
      </c>
      <c r="DO269" s="30"/>
      <c r="DP269" s="30"/>
    </row>
    <row r="270" spans="1:120" x14ac:dyDescent="0.2">
      <c r="A270" s="5"/>
      <c r="B270" s="6">
        <f>+Risultati!B269</f>
        <v>0</v>
      </c>
      <c r="C270" s="6">
        <f>+Risultati!C269</f>
        <v>0</v>
      </c>
      <c r="D270" s="26" t="str">
        <f>IF(YEAR(Risultati!D269)=1900,(MID(Risultati!$AP$1,29,4)),YEAR(Risultati!D269))</f>
        <v/>
      </c>
      <c r="E270" s="6">
        <f>+Risultati!E269</f>
        <v>0</v>
      </c>
      <c r="F270" s="8" t="e">
        <f>(LEFT(Risultati!AN269,2)&amp;"-")&amp;VLOOKUP((LEFT(Risultati!AN269,2)),ateco!$B$4:$C$93,2,FALSE)</f>
        <v>#N/A</v>
      </c>
      <c r="G270" s="8" t="str">
        <f>SUBSTITUTE((Risultati!AN269&amp;"-"&amp;Risultati!AO269),",",";")</f>
        <v>-</v>
      </c>
      <c r="I270" s="10">
        <f>+Risultati!G269</f>
        <v>0</v>
      </c>
      <c r="J270" s="11" t="str">
        <f t="shared" si="236"/>
        <v>0</v>
      </c>
      <c r="K270" s="12"/>
      <c r="L270" s="10">
        <f>+Risultati!G269+Risultati!H269</f>
        <v>0</v>
      </c>
      <c r="M270" s="11" t="str">
        <f t="shared" si="237"/>
        <v>0</v>
      </c>
      <c r="N270" s="12"/>
      <c r="O270" s="10">
        <f>+Risultati!I269+Risultati!J269</f>
        <v>0</v>
      </c>
      <c r="P270" s="11" t="str">
        <f t="shared" si="238"/>
        <v>0</v>
      </c>
      <c r="Q270" s="12"/>
      <c r="R270" s="13">
        <f t="shared" si="204"/>
        <v>0</v>
      </c>
      <c r="S270" s="11" t="str">
        <f t="shared" si="239"/>
        <v>0</v>
      </c>
      <c r="T270" s="12"/>
      <c r="U270" s="10">
        <f>+Risultati!F269-(Risultati!G269+Risultati!H269)</f>
        <v>0</v>
      </c>
      <c r="V270" s="12" t="str">
        <f t="shared" si="240"/>
        <v>0</v>
      </c>
      <c r="W270" s="12"/>
      <c r="X270" s="10">
        <f t="shared" si="205"/>
        <v>0</v>
      </c>
      <c r="Y270" s="12" t="str">
        <f t="shared" si="241"/>
        <v>0</v>
      </c>
      <c r="Z270" s="12"/>
      <c r="AA270" s="10">
        <f>+Risultati!K269</f>
        <v>0</v>
      </c>
      <c r="AB270" s="12" t="str">
        <f t="shared" si="242"/>
        <v>0</v>
      </c>
      <c r="AC270" s="12"/>
      <c r="AD270" s="10">
        <f>+Risultati!L269</f>
        <v>0</v>
      </c>
      <c r="AE270" s="12" t="str">
        <f t="shared" si="243"/>
        <v>0</v>
      </c>
      <c r="AF270" s="12"/>
      <c r="AG270" s="10">
        <f>+Risultati!M269+Risultati!P269+Risultati!Q269</f>
        <v>0</v>
      </c>
      <c r="AH270" s="12" t="str">
        <f t="shared" si="244"/>
        <v>0</v>
      </c>
      <c r="AI270" s="12"/>
      <c r="AJ270" s="13">
        <f t="shared" si="206"/>
        <v>0</v>
      </c>
      <c r="AK270" s="11" t="str">
        <f t="shared" si="245"/>
        <v>0</v>
      </c>
      <c r="AL270" s="12"/>
      <c r="AM270" s="10">
        <f>+Risultati!N269</f>
        <v>0</v>
      </c>
      <c r="AN270" s="12" t="str">
        <f t="shared" si="246"/>
        <v>0</v>
      </c>
      <c r="AO270" s="12"/>
      <c r="AP270" s="10">
        <f t="shared" si="207"/>
        <v>0</v>
      </c>
      <c r="AQ270" s="41" t="str">
        <f t="shared" si="247"/>
        <v>0</v>
      </c>
      <c r="AR270" s="12"/>
      <c r="AS270" s="10">
        <f>+Risultati!O269</f>
        <v>0</v>
      </c>
      <c r="AT270" s="12" t="str">
        <f t="shared" si="248"/>
        <v>0</v>
      </c>
      <c r="AU270" s="12"/>
      <c r="AV270" s="10">
        <f t="shared" si="208"/>
        <v>0</v>
      </c>
      <c r="AW270" s="12" t="str">
        <f t="shared" si="249"/>
        <v>0</v>
      </c>
      <c r="AX270" s="12"/>
      <c r="AY270" s="10">
        <f>+Risultati!R269+Risultati!S269</f>
        <v>0</v>
      </c>
      <c r="AZ270" s="12" t="str">
        <f t="shared" si="250"/>
        <v>0</v>
      </c>
      <c r="BA270" s="12"/>
      <c r="BB270" s="10">
        <f>+Risultati!T269</f>
        <v>0</v>
      </c>
      <c r="BC270" s="12" t="str">
        <f t="shared" si="251"/>
        <v>0</v>
      </c>
      <c r="BD270" s="12"/>
      <c r="BE270" s="10">
        <f>+Risultati!U269</f>
        <v>0</v>
      </c>
      <c r="BF270" s="12" t="str">
        <f t="shared" si="252"/>
        <v>0</v>
      </c>
      <c r="BG270" s="12"/>
      <c r="BH270" s="10">
        <f t="shared" si="209"/>
        <v>0</v>
      </c>
      <c r="BI270" s="12" t="str">
        <f t="shared" si="253"/>
        <v>0</v>
      </c>
      <c r="BK270" s="16">
        <f>IF(ISNUMBER(Risultati!X269/100),(Risultati!X269/100))</f>
        <v>0</v>
      </c>
      <c r="BL270" s="16">
        <f>IF(ISNUMBER(Risultati!Y269/100),(Risultati!Y269/100))</f>
        <v>0</v>
      </c>
      <c r="BM270" s="16">
        <f>IF(ISNUMBER(Risultati!Z269/100),(Risultati!Z269/100))</f>
        <v>0</v>
      </c>
      <c r="BN270" s="16">
        <f>IF(AND(Risultati!AY269&lt;0,calcoli!AP270&lt;0),-IF(ISNUMBER(Risultati!AA269/100),(Risultati!AA269/100)),IF(ISNUMBER(Risultati!AA269/100),(Risultati!AA269/100)))</f>
        <v>0</v>
      </c>
      <c r="BO270" s="16" t="str">
        <f t="shared" si="234"/>
        <v>0</v>
      </c>
      <c r="BP270" s="16" t="str">
        <f>IF(Risultati!AB269&gt;0,(AV270/Risultati!AB269),"0")</f>
        <v>0</v>
      </c>
      <c r="BQ270" s="16" t="str">
        <f>IF(Risultati!AG269&lt;&gt;0,(BH270/Risultati!AG269),"0")</f>
        <v>0</v>
      </c>
      <c r="BR270" s="16" t="str">
        <f t="shared" si="235"/>
        <v>0</v>
      </c>
      <c r="BS270" s="14" t="str">
        <f>IF(Risultati!AB269&gt;0,(Risultati!G269/Risultati!AB269),"0")</f>
        <v>0</v>
      </c>
      <c r="BT270" s="15" t="str">
        <f>IF(Risultati!AG269&lt;&gt;0,(Risultati!AB269/Risultati!AG269),"0")</f>
        <v>0</v>
      </c>
      <c r="BU270" s="23" t="str">
        <f>IF(AND(Risultati!G269&gt;0,(Risultati!AE269-Risultati!AF269)&gt;=0),((Risultati!AE269-Risultati!AF269)/Risultati!G269*360),"0")</f>
        <v>0</v>
      </c>
      <c r="BV270" s="21" t="str">
        <f>IF(OR(E270="abbreviato",Risultati!G269=0),"0",((Risultati!AC269+Risultati!AD269)/Risultati!G269*360))</f>
        <v>0</v>
      </c>
      <c r="BW270" s="21" t="str">
        <f>IF(OR(E270="abbreviato",Risultati!G269=0,SUM(Risultati!I269+Risultati!K269+Risultati!M269)=0),"0",(((Risultati!AH269+Risultati!AI269)/(Risultati!I269+Risultati!K269+Risultati!N269)*360)))</f>
        <v>0</v>
      </c>
      <c r="BX270" s="16" t="str">
        <f>IF(Risultati!AB269&gt;0,(+Risultati!AG269/Risultati!AB269),"0")</f>
        <v>0</v>
      </c>
      <c r="BY270" s="22" t="str">
        <f>IF(OR(E270="abbreviato",Risultati!G269=0),"0",(((Risultati!AK269-(Risultati!AL269+Risultati!AM269))/Risultati!G269)))</f>
        <v>0</v>
      </c>
      <c r="BZ270" s="16" t="str">
        <f>IF(Risultati!G269&gt;0,(Risultati!AJ269/Risultati!G269),"0")</f>
        <v>0</v>
      </c>
      <c r="CA270" s="8"/>
      <c r="CB270" s="10">
        <f>+Risultati!AP269</f>
        <v>0</v>
      </c>
      <c r="CC270" s="31" t="str">
        <f t="shared" si="210"/>
        <v>0</v>
      </c>
      <c r="CD270" s="10">
        <f>+Risultati!AQ269</f>
        <v>0</v>
      </c>
      <c r="CE270" s="31" t="str">
        <f t="shared" si="211"/>
        <v>0</v>
      </c>
      <c r="CF270" s="10">
        <f>+Risultati!AR269</f>
        <v>0</v>
      </c>
      <c r="CG270" s="31" t="str">
        <f t="shared" si="212"/>
        <v>0</v>
      </c>
      <c r="CH270" s="10">
        <f>+Risultati!AS269</f>
        <v>0</v>
      </c>
      <c r="CI270" s="31" t="str">
        <f t="shared" si="213"/>
        <v>0</v>
      </c>
      <c r="CJ270" s="10">
        <f t="shared" si="214"/>
        <v>0</v>
      </c>
      <c r="CK270" s="31" t="str">
        <f t="shared" si="215"/>
        <v>0</v>
      </c>
      <c r="CL270" s="10">
        <f>+Risultati!AE269+Risultati!AF269</f>
        <v>0</v>
      </c>
      <c r="CM270" s="31" t="str">
        <f t="shared" si="216"/>
        <v>0</v>
      </c>
      <c r="CN270" s="10">
        <f>+Risultati!AT269</f>
        <v>0</v>
      </c>
      <c r="CO270" s="31" t="str">
        <f t="shared" si="217"/>
        <v>0</v>
      </c>
      <c r="CP270" s="10">
        <f>+Risultati!AU269</f>
        <v>0</v>
      </c>
      <c r="CQ270" s="31" t="str">
        <f t="shared" si="218"/>
        <v>0</v>
      </c>
      <c r="CR270" s="10">
        <f>+Risultati!AL269</f>
        <v>0</v>
      </c>
      <c r="CS270" s="31" t="str">
        <f t="shared" si="219"/>
        <v>0</v>
      </c>
      <c r="CT270" s="10">
        <f t="shared" si="220"/>
        <v>0</v>
      </c>
      <c r="CU270" s="31" t="str">
        <f t="shared" si="221"/>
        <v>0</v>
      </c>
      <c r="CV270" s="10">
        <f>+Risultati!AX269</f>
        <v>0</v>
      </c>
      <c r="CW270" s="31" t="str">
        <f t="shared" si="222"/>
        <v>0</v>
      </c>
      <c r="CX270" s="10">
        <f t="shared" si="223"/>
        <v>0</v>
      </c>
      <c r="CY270" s="31" t="str">
        <f t="shared" si="224"/>
        <v>0</v>
      </c>
      <c r="CZ270" s="10">
        <f>+Risultati!AG269</f>
        <v>0</v>
      </c>
      <c r="DA270" s="31" t="str">
        <f t="shared" si="225"/>
        <v>0</v>
      </c>
      <c r="DB270" s="10">
        <f t="shared" si="226"/>
        <v>0</v>
      </c>
      <c r="DC270" s="31" t="str">
        <f t="shared" si="227"/>
        <v>0</v>
      </c>
      <c r="DD270" s="10">
        <f>+Risultati!AV269</f>
        <v>0</v>
      </c>
      <c r="DE270" s="31" t="str">
        <f t="shared" si="228"/>
        <v>0</v>
      </c>
      <c r="DF270" s="10">
        <f>+Risultati!AJ269</f>
        <v>0</v>
      </c>
      <c r="DG270" s="31" t="str">
        <f t="shared" si="229"/>
        <v>0</v>
      </c>
      <c r="DH270" s="10">
        <f t="shared" si="230"/>
        <v>0</v>
      </c>
      <c r="DI270" s="31" t="str">
        <f t="shared" si="231"/>
        <v>0</v>
      </c>
      <c r="DJ270" s="10">
        <f>+Risultati!AW269</f>
        <v>0</v>
      </c>
      <c r="DK270" s="31" t="str">
        <f t="shared" si="232"/>
        <v>0</v>
      </c>
      <c r="DL270" s="10">
        <f t="shared" si="254"/>
        <v>0</v>
      </c>
      <c r="DM270" s="31" t="str">
        <f t="shared" si="233"/>
        <v>0</v>
      </c>
      <c r="DO270" s="30"/>
      <c r="DP270" s="30"/>
    </row>
    <row r="271" spans="1:120" x14ac:dyDescent="0.2">
      <c r="A271" s="5"/>
      <c r="B271" s="6">
        <f>+Risultati!B270</f>
        <v>0</v>
      </c>
      <c r="C271" s="6">
        <f>+Risultati!C270</f>
        <v>0</v>
      </c>
      <c r="D271" s="26" t="str">
        <f>IF(YEAR(Risultati!D270)=1900,(MID(Risultati!$AP$1,29,4)),YEAR(Risultati!D270))</f>
        <v/>
      </c>
      <c r="E271" s="6">
        <f>+Risultati!E270</f>
        <v>0</v>
      </c>
      <c r="F271" s="8" t="e">
        <f>(LEFT(Risultati!AN270,2)&amp;"-")&amp;VLOOKUP((LEFT(Risultati!AN270,2)),ateco!$B$4:$C$93,2,FALSE)</f>
        <v>#N/A</v>
      </c>
      <c r="G271" s="8" t="str">
        <f>SUBSTITUTE((Risultati!AN270&amp;"-"&amp;Risultati!AO270),",",";")</f>
        <v>-</v>
      </c>
      <c r="I271" s="10">
        <f>+Risultati!G270</f>
        <v>0</v>
      </c>
      <c r="J271" s="11" t="str">
        <f t="shared" si="236"/>
        <v>0</v>
      </c>
      <c r="K271" s="12"/>
      <c r="L271" s="10">
        <f>+Risultati!G270+Risultati!H270</f>
        <v>0</v>
      </c>
      <c r="M271" s="11" t="str">
        <f t="shared" si="237"/>
        <v>0</v>
      </c>
      <c r="N271" s="12"/>
      <c r="O271" s="10">
        <f>+Risultati!I270+Risultati!J270</f>
        <v>0</v>
      </c>
      <c r="P271" s="11" t="str">
        <f t="shared" si="238"/>
        <v>0</v>
      </c>
      <c r="Q271" s="12"/>
      <c r="R271" s="13">
        <f t="shared" si="204"/>
        <v>0</v>
      </c>
      <c r="S271" s="11" t="str">
        <f t="shared" si="239"/>
        <v>0</v>
      </c>
      <c r="T271" s="12"/>
      <c r="U271" s="10">
        <f>+Risultati!F270-(Risultati!G270+Risultati!H270)</f>
        <v>0</v>
      </c>
      <c r="V271" s="12" t="str">
        <f t="shared" si="240"/>
        <v>0</v>
      </c>
      <c r="W271" s="12"/>
      <c r="X271" s="10">
        <f t="shared" si="205"/>
        <v>0</v>
      </c>
      <c r="Y271" s="12" t="str">
        <f t="shared" si="241"/>
        <v>0</v>
      </c>
      <c r="Z271" s="12"/>
      <c r="AA271" s="10">
        <f>+Risultati!K270</f>
        <v>0</v>
      </c>
      <c r="AB271" s="12" t="str">
        <f t="shared" si="242"/>
        <v>0</v>
      </c>
      <c r="AC271" s="12"/>
      <c r="AD271" s="10">
        <f>+Risultati!L270</f>
        <v>0</v>
      </c>
      <c r="AE271" s="12" t="str">
        <f t="shared" si="243"/>
        <v>0</v>
      </c>
      <c r="AF271" s="12"/>
      <c r="AG271" s="10">
        <f>+Risultati!M270+Risultati!P270+Risultati!Q270</f>
        <v>0</v>
      </c>
      <c r="AH271" s="12" t="str">
        <f t="shared" si="244"/>
        <v>0</v>
      </c>
      <c r="AI271" s="12"/>
      <c r="AJ271" s="13">
        <f t="shared" si="206"/>
        <v>0</v>
      </c>
      <c r="AK271" s="11" t="str">
        <f t="shared" si="245"/>
        <v>0</v>
      </c>
      <c r="AL271" s="12"/>
      <c r="AM271" s="10">
        <f>+Risultati!N270</f>
        <v>0</v>
      </c>
      <c r="AN271" s="12" t="str">
        <f t="shared" si="246"/>
        <v>0</v>
      </c>
      <c r="AO271" s="12"/>
      <c r="AP271" s="10">
        <f t="shared" si="207"/>
        <v>0</v>
      </c>
      <c r="AQ271" s="41" t="str">
        <f t="shared" si="247"/>
        <v>0</v>
      </c>
      <c r="AR271" s="12"/>
      <c r="AS271" s="10">
        <f>+Risultati!O270</f>
        <v>0</v>
      </c>
      <c r="AT271" s="12" t="str">
        <f t="shared" si="248"/>
        <v>0</v>
      </c>
      <c r="AU271" s="12"/>
      <c r="AV271" s="10">
        <f t="shared" si="208"/>
        <v>0</v>
      </c>
      <c r="AW271" s="12" t="str">
        <f t="shared" si="249"/>
        <v>0</v>
      </c>
      <c r="AX271" s="12"/>
      <c r="AY271" s="10">
        <f>+Risultati!R270+Risultati!S270</f>
        <v>0</v>
      </c>
      <c r="AZ271" s="12" t="str">
        <f t="shared" si="250"/>
        <v>0</v>
      </c>
      <c r="BA271" s="12"/>
      <c r="BB271" s="10">
        <f>+Risultati!T270</f>
        <v>0</v>
      </c>
      <c r="BC271" s="12" t="str">
        <f t="shared" si="251"/>
        <v>0</v>
      </c>
      <c r="BD271" s="12"/>
      <c r="BE271" s="10">
        <f>+Risultati!U270</f>
        <v>0</v>
      </c>
      <c r="BF271" s="12" t="str">
        <f t="shared" si="252"/>
        <v>0</v>
      </c>
      <c r="BG271" s="12"/>
      <c r="BH271" s="10">
        <f t="shared" si="209"/>
        <v>0</v>
      </c>
      <c r="BI271" s="12" t="str">
        <f t="shared" si="253"/>
        <v>0</v>
      </c>
      <c r="BK271" s="16">
        <f>IF(ISNUMBER(Risultati!X270/100),(Risultati!X270/100))</f>
        <v>0</v>
      </c>
      <c r="BL271" s="16">
        <f>IF(ISNUMBER(Risultati!Y270/100),(Risultati!Y270/100))</f>
        <v>0</v>
      </c>
      <c r="BM271" s="16">
        <f>IF(ISNUMBER(Risultati!Z270/100),(Risultati!Z270/100))</f>
        <v>0</v>
      </c>
      <c r="BN271" s="16">
        <f>IF(AND(Risultati!AY270&lt;0,calcoli!AP271&lt;0),-IF(ISNUMBER(Risultati!AA270/100),(Risultati!AA270/100)),IF(ISNUMBER(Risultati!AA270/100),(Risultati!AA270/100)))</f>
        <v>0</v>
      </c>
      <c r="BO271" s="16" t="str">
        <f t="shared" si="234"/>
        <v>0</v>
      </c>
      <c r="BP271" s="16" t="str">
        <f>IF(Risultati!AB270&gt;0,(AV271/Risultati!AB270),"0")</f>
        <v>0</v>
      </c>
      <c r="BQ271" s="16" t="str">
        <f>IF(Risultati!AG270&lt;&gt;0,(BH271/Risultati!AG270),"0")</f>
        <v>0</v>
      </c>
      <c r="BR271" s="16" t="str">
        <f t="shared" si="235"/>
        <v>0</v>
      </c>
      <c r="BS271" s="14" t="str">
        <f>IF(Risultati!AB270&gt;0,(Risultati!G270/Risultati!AB270),"0")</f>
        <v>0</v>
      </c>
      <c r="BT271" s="15" t="str">
        <f>IF(Risultati!AG270&lt;&gt;0,(Risultati!AB270/Risultati!AG270),"0")</f>
        <v>0</v>
      </c>
      <c r="BU271" s="23" t="str">
        <f>IF(AND(Risultati!G270&gt;0,(Risultati!AE270-Risultati!AF270)&gt;=0),((Risultati!AE270-Risultati!AF270)/Risultati!G270*360),"0")</f>
        <v>0</v>
      </c>
      <c r="BV271" s="21" t="str">
        <f>IF(OR(E271="abbreviato",Risultati!G270=0),"0",((Risultati!AC270+Risultati!AD270)/Risultati!G270*360))</f>
        <v>0</v>
      </c>
      <c r="BW271" s="21" t="str">
        <f>IF(OR(E271="abbreviato",Risultati!G270=0,SUM(Risultati!I270+Risultati!K270+Risultati!M270)=0),"0",(((Risultati!AH270+Risultati!AI270)/(Risultati!I270+Risultati!K270+Risultati!N270)*360)))</f>
        <v>0</v>
      </c>
      <c r="BX271" s="16" t="str">
        <f>IF(Risultati!AB270&gt;0,(+Risultati!AG270/Risultati!AB270),"0")</f>
        <v>0</v>
      </c>
      <c r="BY271" s="22" t="str">
        <f>IF(OR(E271="abbreviato",Risultati!G270=0),"0",(((Risultati!AK270-(Risultati!AL270+Risultati!AM270))/Risultati!G270)))</f>
        <v>0</v>
      </c>
      <c r="BZ271" s="16" t="str">
        <f>IF(Risultati!G270&gt;0,(Risultati!AJ270/Risultati!G270),"0")</f>
        <v>0</v>
      </c>
      <c r="CA271" s="8"/>
      <c r="CB271" s="10">
        <f>+Risultati!AP270</f>
        <v>0</v>
      </c>
      <c r="CC271" s="31" t="str">
        <f t="shared" si="210"/>
        <v>0</v>
      </c>
      <c r="CD271" s="10">
        <f>+Risultati!AQ270</f>
        <v>0</v>
      </c>
      <c r="CE271" s="31" t="str">
        <f t="shared" si="211"/>
        <v>0</v>
      </c>
      <c r="CF271" s="10">
        <f>+Risultati!AR270</f>
        <v>0</v>
      </c>
      <c r="CG271" s="31" t="str">
        <f t="shared" si="212"/>
        <v>0</v>
      </c>
      <c r="CH271" s="10">
        <f>+Risultati!AS270</f>
        <v>0</v>
      </c>
      <c r="CI271" s="31" t="str">
        <f t="shared" si="213"/>
        <v>0</v>
      </c>
      <c r="CJ271" s="10">
        <f t="shared" si="214"/>
        <v>0</v>
      </c>
      <c r="CK271" s="31" t="str">
        <f t="shared" si="215"/>
        <v>0</v>
      </c>
      <c r="CL271" s="10">
        <f>+Risultati!AE270+Risultati!AF270</f>
        <v>0</v>
      </c>
      <c r="CM271" s="31" t="str">
        <f t="shared" si="216"/>
        <v>0</v>
      </c>
      <c r="CN271" s="10">
        <f>+Risultati!AT270</f>
        <v>0</v>
      </c>
      <c r="CO271" s="31" t="str">
        <f t="shared" si="217"/>
        <v>0</v>
      </c>
      <c r="CP271" s="10">
        <f>+Risultati!AU270</f>
        <v>0</v>
      </c>
      <c r="CQ271" s="31" t="str">
        <f t="shared" si="218"/>
        <v>0</v>
      </c>
      <c r="CR271" s="10">
        <f>+Risultati!AL270</f>
        <v>0</v>
      </c>
      <c r="CS271" s="31" t="str">
        <f t="shared" si="219"/>
        <v>0</v>
      </c>
      <c r="CT271" s="10">
        <f t="shared" si="220"/>
        <v>0</v>
      </c>
      <c r="CU271" s="31" t="str">
        <f t="shared" si="221"/>
        <v>0</v>
      </c>
      <c r="CV271" s="10">
        <f>+Risultati!AX270</f>
        <v>0</v>
      </c>
      <c r="CW271" s="31" t="str">
        <f t="shared" si="222"/>
        <v>0</v>
      </c>
      <c r="CX271" s="10">
        <f t="shared" si="223"/>
        <v>0</v>
      </c>
      <c r="CY271" s="31" t="str">
        <f t="shared" si="224"/>
        <v>0</v>
      </c>
      <c r="CZ271" s="10">
        <f>+Risultati!AG270</f>
        <v>0</v>
      </c>
      <c r="DA271" s="31" t="str">
        <f t="shared" si="225"/>
        <v>0</v>
      </c>
      <c r="DB271" s="10">
        <f t="shared" si="226"/>
        <v>0</v>
      </c>
      <c r="DC271" s="31" t="str">
        <f t="shared" si="227"/>
        <v>0</v>
      </c>
      <c r="DD271" s="10">
        <f>+Risultati!AV270</f>
        <v>0</v>
      </c>
      <c r="DE271" s="31" t="str">
        <f t="shared" si="228"/>
        <v>0</v>
      </c>
      <c r="DF271" s="10">
        <f>+Risultati!AJ270</f>
        <v>0</v>
      </c>
      <c r="DG271" s="31" t="str">
        <f t="shared" si="229"/>
        <v>0</v>
      </c>
      <c r="DH271" s="10">
        <f t="shared" si="230"/>
        <v>0</v>
      </c>
      <c r="DI271" s="31" t="str">
        <f t="shared" si="231"/>
        <v>0</v>
      </c>
      <c r="DJ271" s="10">
        <f>+Risultati!AW270</f>
        <v>0</v>
      </c>
      <c r="DK271" s="31" t="str">
        <f t="shared" si="232"/>
        <v>0</v>
      </c>
      <c r="DL271" s="10">
        <f t="shared" si="254"/>
        <v>0</v>
      </c>
      <c r="DM271" s="31" t="str">
        <f t="shared" si="233"/>
        <v>0</v>
      </c>
      <c r="DO271" s="30"/>
      <c r="DP271" s="30"/>
    </row>
    <row r="272" spans="1:120" x14ac:dyDescent="0.2">
      <c r="A272" s="5"/>
      <c r="B272" s="6">
        <f>+Risultati!B271</f>
        <v>0</v>
      </c>
      <c r="C272" s="6">
        <f>+Risultati!C271</f>
        <v>0</v>
      </c>
      <c r="D272" s="26" t="str">
        <f>IF(YEAR(Risultati!D271)=1900,(MID(Risultati!$AP$1,29,4)),YEAR(Risultati!D271))</f>
        <v/>
      </c>
      <c r="E272" s="6">
        <f>+Risultati!E271</f>
        <v>0</v>
      </c>
      <c r="F272" s="8" t="e">
        <f>(LEFT(Risultati!AN271,2)&amp;"-")&amp;VLOOKUP((LEFT(Risultati!AN271,2)),ateco!$B$4:$C$93,2,FALSE)</f>
        <v>#N/A</v>
      </c>
      <c r="G272" s="8" t="str">
        <f>SUBSTITUTE((Risultati!AN271&amp;"-"&amp;Risultati!AO271),",",";")</f>
        <v>-</v>
      </c>
      <c r="I272" s="10">
        <f>+Risultati!G271</f>
        <v>0</v>
      </c>
      <c r="J272" s="11" t="str">
        <f t="shared" si="236"/>
        <v>0</v>
      </c>
      <c r="K272" s="12"/>
      <c r="L272" s="10">
        <f>+Risultati!G271+Risultati!H271</f>
        <v>0</v>
      </c>
      <c r="M272" s="11" t="str">
        <f t="shared" si="237"/>
        <v>0</v>
      </c>
      <c r="N272" s="12"/>
      <c r="O272" s="10">
        <f>+Risultati!I271+Risultati!J271</f>
        <v>0</v>
      </c>
      <c r="P272" s="11" t="str">
        <f t="shared" si="238"/>
        <v>0</v>
      </c>
      <c r="Q272" s="12"/>
      <c r="R272" s="13">
        <f t="shared" si="204"/>
        <v>0</v>
      </c>
      <c r="S272" s="11" t="str">
        <f t="shared" si="239"/>
        <v>0</v>
      </c>
      <c r="T272" s="12"/>
      <c r="U272" s="10">
        <f>+Risultati!F271-(Risultati!G271+Risultati!H271)</f>
        <v>0</v>
      </c>
      <c r="V272" s="12" t="str">
        <f t="shared" si="240"/>
        <v>0</v>
      </c>
      <c r="W272" s="12"/>
      <c r="X272" s="10">
        <f t="shared" si="205"/>
        <v>0</v>
      </c>
      <c r="Y272" s="12" t="str">
        <f t="shared" si="241"/>
        <v>0</v>
      </c>
      <c r="Z272" s="12"/>
      <c r="AA272" s="10">
        <f>+Risultati!K271</f>
        <v>0</v>
      </c>
      <c r="AB272" s="12" t="str">
        <f t="shared" si="242"/>
        <v>0</v>
      </c>
      <c r="AC272" s="12"/>
      <c r="AD272" s="10">
        <f>+Risultati!L271</f>
        <v>0</v>
      </c>
      <c r="AE272" s="12" t="str">
        <f t="shared" si="243"/>
        <v>0</v>
      </c>
      <c r="AF272" s="12"/>
      <c r="AG272" s="10">
        <f>+Risultati!M271+Risultati!P271+Risultati!Q271</f>
        <v>0</v>
      </c>
      <c r="AH272" s="12" t="str">
        <f t="shared" si="244"/>
        <v>0</v>
      </c>
      <c r="AI272" s="12"/>
      <c r="AJ272" s="13">
        <f t="shared" si="206"/>
        <v>0</v>
      </c>
      <c r="AK272" s="11" t="str">
        <f t="shared" si="245"/>
        <v>0</v>
      </c>
      <c r="AL272" s="12"/>
      <c r="AM272" s="10">
        <f>+Risultati!N271</f>
        <v>0</v>
      </c>
      <c r="AN272" s="12" t="str">
        <f t="shared" si="246"/>
        <v>0</v>
      </c>
      <c r="AO272" s="12"/>
      <c r="AP272" s="10">
        <f t="shared" si="207"/>
        <v>0</v>
      </c>
      <c r="AQ272" s="41" t="str">
        <f t="shared" si="247"/>
        <v>0</v>
      </c>
      <c r="AR272" s="12"/>
      <c r="AS272" s="10">
        <f>+Risultati!O271</f>
        <v>0</v>
      </c>
      <c r="AT272" s="12" t="str">
        <f t="shared" si="248"/>
        <v>0</v>
      </c>
      <c r="AU272" s="12"/>
      <c r="AV272" s="10">
        <f t="shared" si="208"/>
        <v>0</v>
      </c>
      <c r="AW272" s="12" t="str">
        <f t="shared" si="249"/>
        <v>0</v>
      </c>
      <c r="AX272" s="12"/>
      <c r="AY272" s="10">
        <f>+Risultati!R271+Risultati!S271</f>
        <v>0</v>
      </c>
      <c r="AZ272" s="12" t="str">
        <f t="shared" si="250"/>
        <v>0</v>
      </c>
      <c r="BA272" s="12"/>
      <c r="BB272" s="10">
        <f>+Risultati!T271</f>
        <v>0</v>
      </c>
      <c r="BC272" s="12" t="str">
        <f t="shared" si="251"/>
        <v>0</v>
      </c>
      <c r="BD272" s="12"/>
      <c r="BE272" s="10">
        <f>+Risultati!U271</f>
        <v>0</v>
      </c>
      <c r="BF272" s="12" t="str">
        <f t="shared" si="252"/>
        <v>0</v>
      </c>
      <c r="BG272" s="12"/>
      <c r="BH272" s="10">
        <f t="shared" si="209"/>
        <v>0</v>
      </c>
      <c r="BI272" s="12" t="str">
        <f t="shared" si="253"/>
        <v>0</v>
      </c>
      <c r="BK272" s="16">
        <f>IF(ISNUMBER(Risultati!X271/100),(Risultati!X271/100))</f>
        <v>0</v>
      </c>
      <c r="BL272" s="16">
        <f>IF(ISNUMBER(Risultati!Y271/100),(Risultati!Y271/100))</f>
        <v>0</v>
      </c>
      <c r="BM272" s="16">
        <f>IF(ISNUMBER(Risultati!Z271/100),(Risultati!Z271/100))</f>
        <v>0</v>
      </c>
      <c r="BN272" s="16">
        <f>IF(AND(Risultati!AY271&lt;0,calcoli!AP272&lt;0),-IF(ISNUMBER(Risultati!AA271/100),(Risultati!AA271/100)),IF(ISNUMBER(Risultati!AA271/100),(Risultati!AA271/100)))</f>
        <v>0</v>
      </c>
      <c r="BO272" s="16" t="str">
        <f t="shared" si="234"/>
        <v>0</v>
      </c>
      <c r="BP272" s="16" t="str">
        <f>IF(Risultati!AB271&gt;0,(AV272/Risultati!AB271),"0")</f>
        <v>0</v>
      </c>
      <c r="BQ272" s="16" t="str">
        <f>IF(Risultati!AG271&lt;&gt;0,(BH272/Risultati!AG271),"0")</f>
        <v>0</v>
      </c>
      <c r="BR272" s="16" t="str">
        <f t="shared" si="235"/>
        <v>0</v>
      </c>
      <c r="BS272" s="14" t="str">
        <f>IF(Risultati!AB271&gt;0,(Risultati!G271/Risultati!AB271),"0")</f>
        <v>0</v>
      </c>
      <c r="BT272" s="15" t="str">
        <f>IF(Risultati!AG271&lt;&gt;0,(Risultati!AB271/Risultati!AG271),"0")</f>
        <v>0</v>
      </c>
      <c r="BU272" s="23" t="str">
        <f>IF(AND(Risultati!G271&gt;0,(Risultati!AE271-Risultati!AF271)&gt;=0),((Risultati!AE271-Risultati!AF271)/Risultati!G271*360),"0")</f>
        <v>0</v>
      </c>
      <c r="BV272" s="21" t="str">
        <f>IF(OR(E272="abbreviato",Risultati!G271=0),"0",((Risultati!AC271+Risultati!AD271)/Risultati!G271*360))</f>
        <v>0</v>
      </c>
      <c r="BW272" s="21" t="str">
        <f>IF(OR(E272="abbreviato",Risultati!G271=0,SUM(Risultati!I271+Risultati!K271+Risultati!M271)=0),"0",(((Risultati!AH271+Risultati!AI271)/(Risultati!I271+Risultati!K271+Risultati!N271)*360)))</f>
        <v>0</v>
      </c>
      <c r="BX272" s="16" t="str">
        <f>IF(Risultati!AB271&gt;0,(+Risultati!AG271/Risultati!AB271),"0")</f>
        <v>0</v>
      </c>
      <c r="BY272" s="22" t="str">
        <f>IF(OR(E272="abbreviato",Risultati!G271=0),"0",(((Risultati!AK271-(Risultati!AL271+Risultati!AM271))/Risultati!G271)))</f>
        <v>0</v>
      </c>
      <c r="BZ272" s="16" t="str">
        <f>IF(Risultati!G271&gt;0,(Risultati!AJ271/Risultati!G271),"0")</f>
        <v>0</v>
      </c>
      <c r="CA272" s="8"/>
      <c r="CB272" s="10">
        <f>+Risultati!AP271</f>
        <v>0</v>
      </c>
      <c r="CC272" s="31" t="str">
        <f t="shared" si="210"/>
        <v>0</v>
      </c>
      <c r="CD272" s="10">
        <f>+Risultati!AQ271</f>
        <v>0</v>
      </c>
      <c r="CE272" s="31" t="str">
        <f t="shared" si="211"/>
        <v>0</v>
      </c>
      <c r="CF272" s="10">
        <f>+Risultati!AR271</f>
        <v>0</v>
      </c>
      <c r="CG272" s="31" t="str">
        <f t="shared" si="212"/>
        <v>0</v>
      </c>
      <c r="CH272" s="10">
        <f>+Risultati!AS271</f>
        <v>0</v>
      </c>
      <c r="CI272" s="31" t="str">
        <f t="shared" si="213"/>
        <v>0</v>
      </c>
      <c r="CJ272" s="10">
        <f t="shared" si="214"/>
        <v>0</v>
      </c>
      <c r="CK272" s="31" t="str">
        <f t="shared" si="215"/>
        <v>0</v>
      </c>
      <c r="CL272" s="10">
        <f>+Risultati!AE271+Risultati!AF271</f>
        <v>0</v>
      </c>
      <c r="CM272" s="31" t="str">
        <f t="shared" si="216"/>
        <v>0</v>
      </c>
      <c r="CN272" s="10">
        <f>+Risultati!AT271</f>
        <v>0</v>
      </c>
      <c r="CO272" s="31" t="str">
        <f t="shared" si="217"/>
        <v>0</v>
      </c>
      <c r="CP272" s="10">
        <f>+Risultati!AU271</f>
        <v>0</v>
      </c>
      <c r="CQ272" s="31" t="str">
        <f t="shared" si="218"/>
        <v>0</v>
      </c>
      <c r="CR272" s="10">
        <f>+Risultati!AL271</f>
        <v>0</v>
      </c>
      <c r="CS272" s="31" t="str">
        <f t="shared" si="219"/>
        <v>0</v>
      </c>
      <c r="CT272" s="10">
        <f t="shared" si="220"/>
        <v>0</v>
      </c>
      <c r="CU272" s="31" t="str">
        <f t="shared" si="221"/>
        <v>0</v>
      </c>
      <c r="CV272" s="10">
        <f>+Risultati!AX271</f>
        <v>0</v>
      </c>
      <c r="CW272" s="31" t="str">
        <f t="shared" si="222"/>
        <v>0</v>
      </c>
      <c r="CX272" s="10">
        <f t="shared" si="223"/>
        <v>0</v>
      </c>
      <c r="CY272" s="31" t="str">
        <f t="shared" si="224"/>
        <v>0</v>
      </c>
      <c r="CZ272" s="10">
        <f>+Risultati!AG271</f>
        <v>0</v>
      </c>
      <c r="DA272" s="31" t="str">
        <f t="shared" si="225"/>
        <v>0</v>
      </c>
      <c r="DB272" s="10">
        <f t="shared" si="226"/>
        <v>0</v>
      </c>
      <c r="DC272" s="31" t="str">
        <f t="shared" si="227"/>
        <v>0</v>
      </c>
      <c r="DD272" s="10">
        <f>+Risultati!AV271</f>
        <v>0</v>
      </c>
      <c r="DE272" s="31" t="str">
        <f t="shared" si="228"/>
        <v>0</v>
      </c>
      <c r="DF272" s="10">
        <f>+Risultati!AJ271</f>
        <v>0</v>
      </c>
      <c r="DG272" s="31" t="str">
        <f t="shared" si="229"/>
        <v>0</v>
      </c>
      <c r="DH272" s="10">
        <f t="shared" si="230"/>
        <v>0</v>
      </c>
      <c r="DI272" s="31" t="str">
        <f t="shared" si="231"/>
        <v>0</v>
      </c>
      <c r="DJ272" s="10">
        <f>+Risultati!AW271</f>
        <v>0</v>
      </c>
      <c r="DK272" s="31" t="str">
        <f t="shared" si="232"/>
        <v>0</v>
      </c>
      <c r="DL272" s="10">
        <f t="shared" si="254"/>
        <v>0</v>
      </c>
      <c r="DM272" s="31" t="str">
        <f t="shared" si="233"/>
        <v>0</v>
      </c>
      <c r="DO272" s="30"/>
      <c r="DP272" s="30"/>
    </row>
    <row r="273" spans="1:120" x14ac:dyDescent="0.2">
      <c r="A273" s="5"/>
      <c r="B273" s="6">
        <f>+Risultati!B272</f>
        <v>0</v>
      </c>
      <c r="C273" s="6">
        <f>+Risultati!C272</f>
        <v>0</v>
      </c>
      <c r="D273" s="26" t="str">
        <f>IF(YEAR(Risultati!D272)=1900,(MID(Risultati!$AP$1,29,4)),YEAR(Risultati!D272))</f>
        <v/>
      </c>
      <c r="E273" s="6">
        <f>+Risultati!E272</f>
        <v>0</v>
      </c>
      <c r="F273" s="8" t="e">
        <f>(LEFT(Risultati!AN272,2)&amp;"-")&amp;VLOOKUP((LEFT(Risultati!AN272,2)),ateco!$B$4:$C$93,2,FALSE)</f>
        <v>#N/A</v>
      </c>
      <c r="G273" s="8" t="str">
        <f>SUBSTITUTE((Risultati!AN272&amp;"-"&amp;Risultati!AO272),",",";")</f>
        <v>-</v>
      </c>
      <c r="I273" s="10">
        <f>+Risultati!G272</f>
        <v>0</v>
      </c>
      <c r="J273" s="11" t="str">
        <f t="shared" si="236"/>
        <v>0</v>
      </c>
      <c r="K273" s="12"/>
      <c r="L273" s="10">
        <f>+Risultati!G272+Risultati!H272</f>
        <v>0</v>
      </c>
      <c r="M273" s="11" t="str">
        <f t="shared" si="237"/>
        <v>0</v>
      </c>
      <c r="N273" s="12"/>
      <c r="O273" s="10">
        <f>+Risultati!I272+Risultati!J272</f>
        <v>0</v>
      </c>
      <c r="P273" s="11" t="str">
        <f t="shared" si="238"/>
        <v>0</v>
      </c>
      <c r="Q273" s="12"/>
      <c r="R273" s="13">
        <f t="shared" si="204"/>
        <v>0</v>
      </c>
      <c r="S273" s="11" t="str">
        <f t="shared" si="239"/>
        <v>0</v>
      </c>
      <c r="T273" s="12"/>
      <c r="U273" s="10">
        <f>+Risultati!F272-(Risultati!G272+Risultati!H272)</f>
        <v>0</v>
      </c>
      <c r="V273" s="12" t="str">
        <f t="shared" si="240"/>
        <v>0</v>
      </c>
      <c r="W273" s="12"/>
      <c r="X273" s="10">
        <f t="shared" si="205"/>
        <v>0</v>
      </c>
      <c r="Y273" s="12" t="str">
        <f t="shared" si="241"/>
        <v>0</v>
      </c>
      <c r="Z273" s="12"/>
      <c r="AA273" s="10">
        <f>+Risultati!K272</f>
        <v>0</v>
      </c>
      <c r="AB273" s="12" t="str">
        <f t="shared" si="242"/>
        <v>0</v>
      </c>
      <c r="AC273" s="12"/>
      <c r="AD273" s="10">
        <f>+Risultati!L272</f>
        <v>0</v>
      </c>
      <c r="AE273" s="12" t="str">
        <f t="shared" si="243"/>
        <v>0</v>
      </c>
      <c r="AF273" s="12"/>
      <c r="AG273" s="10">
        <f>+Risultati!M272+Risultati!P272+Risultati!Q272</f>
        <v>0</v>
      </c>
      <c r="AH273" s="12" t="str">
        <f t="shared" si="244"/>
        <v>0</v>
      </c>
      <c r="AI273" s="12"/>
      <c r="AJ273" s="13">
        <f t="shared" si="206"/>
        <v>0</v>
      </c>
      <c r="AK273" s="11" t="str">
        <f t="shared" si="245"/>
        <v>0</v>
      </c>
      <c r="AL273" s="12"/>
      <c r="AM273" s="10">
        <f>+Risultati!N272</f>
        <v>0</v>
      </c>
      <c r="AN273" s="12" t="str">
        <f t="shared" si="246"/>
        <v>0</v>
      </c>
      <c r="AO273" s="12"/>
      <c r="AP273" s="10">
        <f t="shared" si="207"/>
        <v>0</v>
      </c>
      <c r="AQ273" s="41" t="str">
        <f t="shared" si="247"/>
        <v>0</v>
      </c>
      <c r="AR273" s="12"/>
      <c r="AS273" s="10">
        <f>+Risultati!O272</f>
        <v>0</v>
      </c>
      <c r="AT273" s="12" t="str">
        <f t="shared" si="248"/>
        <v>0</v>
      </c>
      <c r="AU273" s="12"/>
      <c r="AV273" s="10">
        <f t="shared" si="208"/>
        <v>0</v>
      </c>
      <c r="AW273" s="12" t="str">
        <f t="shared" si="249"/>
        <v>0</v>
      </c>
      <c r="AX273" s="12"/>
      <c r="AY273" s="10">
        <f>+Risultati!R272+Risultati!S272</f>
        <v>0</v>
      </c>
      <c r="AZ273" s="12" t="str">
        <f t="shared" si="250"/>
        <v>0</v>
      </c>
      <c r="BA273" s="12"/>
      <c r="BB273" s="10">
        <f>+Risultati!T272</f>
        <v>0</v>
      </c>
      <c r="BC273" s="12" t="str">
        <f t="shared" si="251"/>
        <v>0</v>
      </c>
      <c r="BD273" s="12"/>
      <c r="BE273" s="10">
        <f>+Risultati!U272</f>
        <v>0</v>
      </c>
      <c r="BF273" s="12" t="str">
        <f t="shared" si="252"/>
        <v>0</v>
      </c>
      <c r="BG273" s="12"/>
      <c r="BH273" s="10">
        <f t="shared" si="209"/>
        <v>0</v>
      </c>
      <c r="BI273" s="12" t="str">
        <f t="shared" si="253"/>
        <v>0</v>
      </c>
      <c r="BK273" s="16">
        <f>IF(ISNUMBER(Risultati!X272/100),(Risultati!X272/100))</f>
        <v>0</v>
      </c>
      <c r="BL273" s="16">
        <f>IF(ISNUMBER(Risultati!Y272/100),(Risultati!Y272/100))</f>
        <v>0</v>
      </c>
      <c r="BM273" s="16">
        <f>IF(ISNUMBER(Risultati!Z272/100),(Risultati!Z272/100))</f>
        <v>0</v>
      </c>
      <c r="BN273" s="16">
        <f>IF(AND(Risultati!AY272&lt;0,calcoli!AP273&lt;0),-IF(ISNUMBER(Risultati!AA272/100),(Risultati!AA272/100)),IF(ISNUMBER(Risultati!AA272/100),(Risultati!AA272/100)))</f>
        <v>0</v>
      </c>
      <c r="BO273" s="16" t="str">
        <f t="shared" si="234"/>
        <v>0</v>
      </c>
      <c r="BP273" s="16" t="str">
        <f>IF(Risultati!AB272&gt;0,(AV273/Risultati!AB272),"0")</f>
        <v>0</v>
      </c>
      <c r="BQ273" s="16" t="str">
        <f>IF(Risultati!AG272&lt;&gt;0,(BH273/Risultati!AG272),"0")</f>
        <v>0</v>
      </c>
      <c r="BR273" s="16" t="str">
        <f t="shared" si="235"/>
        <v>0</v>
      </c>
      <c r="BS273" s="14" t="str">
        <f>IF(Risultati!AB272&gt;0,(Risultati!G272/Risultati!AB272),"0")</f>
        <v>0</v>
      </c>
      <c r="BT273" s="15" t="str">
        <f>IF(Risultati!AG272&lt;&gt;0,(Risultati!AB272/Risultati!AG272),"0")</f>
        <v>0</v>
      </c>
      <c r="BU273" s="23" t="str">
        <f>IF(AND(Risultati!G272&gt;0,(Risultati!AE272-Risultati!AF272)&gt;=0),((Risultati!AE272-Risultati!AF272)/Risultati!G272*360),"0")</f>
        <v>0</v>
      </c>
      <c r="BV273" s="21" t="str">
        <f>IF(OR(E273="abbreviato",Risultati!G272=0),"0",((Risultati!AC272+Risultati!AD272)/Risultati!G272*360))</f>
        <v>0</v>
      </c>
      <c r="BW273" s="21" t="str">
        <f>IF(OR(E273="abbreviato",Risultati!G272=0,SUM(Risultati!I272+Risultati!K272+Risultati!M272)=0),"0",(((Risultati!AH272+Risultati!AI272)/(Risultati!I272+Risultati!K272+Risultati!N272)*360)))</f>
        <v>0</v>
      </c>
      <c r="BX273" s="16" t="str">
        <f>IF(Risultati!AB272&gt;0,(+Risultati!AG272/Risultati!AB272),"0")</f>
        <v>0</v>
      </c>
      <c r="BY273" s="22" t="str">
        <f>IF(OR(E273="abbreviato",Risultati!G272=0),"0",(((Risultati!AK272-(Risultati!AL272+Risultati!AM272))/Risultati!G272)))</f>
        <v>0</v>
      </c>
      <c r="BZ273" s="16" t="str">
        <f>IF(Risultati!G272&gt;0,(Risultati!AJ272/Risultati!G272),"0")</f>
        <v>0</v>
      </c>
      <c r="CA273" s="8"/>
      <c r="CB273" s="10">
        <f>+Risultati!AP272</f>
        <v>0</v>
      </c>
      <c r="CC273" s="31" t="str">
        <f t="shared" si="210"/>
        <v>0</v>
      </c>
      <c r="CD273" s="10">
        <f>+Risultati!AQ272</f>
        <v>0</v>
      </c>
      <c r="CE273" s="31" t="str">
        <f t="shared" si="211"/>
        <v>0</v>
      </c>
      <c r="CF273" s="10">
        <f>+Risultati!AR272</f>
        <v>0</v>
      </c>
      <c r="CG273" s="31" t="str">
        <f t="shared" si="212"/>
        <v>0</v>
      </c>
      <c r="CH273" s="10">
        <f>+Risultati!AS272</f>
        <v>0</v>
      </c>
      <c r="CI273" s="31" t="str">
        <f t="shared" si="213"/>
        <v>0</v>
      </c>
      <c r="CJ273" s="10">
        <f t="shared" si="214"/>
        <v>0</v>
      </c>
      <c r="CK273" s="31" t="str">
        <f t="shared" si="215"/>
        <v>0</v>
      </c>
      <c r="CL273" s="10">
        <f>+Risultati!AE272+Risultati!AF272</f>
        <v>0</v>
      </c>
      <c r="CM273" s="31" t="str">
        <f t="shared" si="216"/>
        <v>0</v>
      </c>
      <c r="CN273" s="10">
        <f>+Risultati!AT272</f>
        <v>0</v>
      </c>
      <c r="CO273" s="31" t="str">
        <f t="shared" si="217"/>
        <v>0</v>
      </c>
      <c r="CP273" s="10">
        <f>+Risultati!AU272</f>
        <v>0</v>
      </c>
      <c r="CQ273" s="31" t="str">
        <f t="shared" si="218"/>
        <v>0</v>
      </c>
      <c r="CR273" s="10">
        <f>+Risultati!AL272</f>
        <v>0</v>
      </c>
      <c r="CS273" s="31" t="str">
        <f t="shared" si="219"/>
        <v>0</v>
      </c>
      <c r="CT273" s="10">
        <f t="shared" si="220"/>
        <v>0</v>
      </c>
      <c r="CU273" s="31" t="str">
        <f t="shared" si="221"/>
        <v>0</v>
      </c>
      <c r="CV273" s="10">
        <f>+Risultati!AX272</f>
        <v>0</v>
      </c>
      <c r="CW273" s="31" t="str">
        <f t="shared" si="222"/>
        <v>0</v>
      </c>
      <c r="CX273" s="10">
        <f t="shared" si="223"/>
        <v>0</v>
      </c>
      <c r="CY273" s="31" t="str">
        <f t="shared" si="224"/>
        <v>0</v>
      </c>
      <c r="CZ273" s="10">
        <f>+Risultati!AG272</f>
        <v>0</v>
      </c>
      <c r="DA273" s="31" t="str">
        <f t="shared" si="225"/>
        <v>0</v>
      </c>
      <c r="DB273" s="10">
        <f t="shared" si="226"/>
        <v>0</v>
      </c>
      <c r="DC273" s="31" t="str">
        <f t="shared" si="227"/>
        <v>0</v>
      </c>
      <c r="DD273" s="10">
        <f>+Risultati!AV272</f>
        <v>0</v>
      </c>
      <c r="DE273" s="31" t="str">
        <f t="shared" si="228"/>
        <v>0</v>
      </c>
      <c r="DF273" s="10">
        <f>+Risultati!AJ272</f>
        <v>0</v>
      </c>
      <c r="DG273" s="31" t="str">
        <f t="shared" si="229"/>
        <v>0</v>
      </c>
      <c r="DH273" s="10">
        <f t="shared" si="230"/>
        <v>0</v>
      </c>
      <c r="DI273" s="31" t="str">
        <f t="shared" si="231"/>
        <v>0</v>
      </c>
      <c r="DJ273" s="10">
        <f>+Risultati!AW272</f>
        <v>0</v>
      </c>
      <c r="DK273" s="31" t="str">
        <f t="shared" si="232"/>
        <v>0</v>
      </c>
      <c r="DL273" s="10">
        <f t="shared" si="254"/>
        <v>0</v>
      </c>
      <c r="DM273" s="31" t="str">
        <f t="shared" si="233"/>
        <v>0</v>
      </c>
      <c r="DO273" s="30"/>
      <c r="DP273" s="30"/>
    </row>
    <row r="274" spans="1:120" x14ac:dyDescent="0.2">
      <c r="A274" s="5"/>
      <c r="B274" s="6">
        <f>+Risultati!B273</f>
        <v>0</v>
      </c>
      <c r="C274" s="6">
        <f>+Risultati!C273</f>
        <v>0</v>
      </c>
      <c r="D274" s="26" t="str">
        <f>IF(YEAR(Risultati!D273)=1900,(MID(Risultati!$AP$1,29,4)),YEAR(Risultati!D273))</f>
        <v/>
      </c>
      <c r="E274" s="6">
        <f>+Risultati!E273</f>
        <v>0</v>
      </c>
      <c r="F274" s="8" t="e">
        <f>(LEFT(Risultati!AN273,2)&amp;"-")&amp;VLOOKUP((LEFT(Risultati!AN273,2)),ateco!$B$4:$C$93,2,FALSE)</f>
        <v>#N/A</v>
      </c>
      <c r="G274" s="8" t="str">
        <f>SUBSTITUTE((Risultati!AN273&amp;"-"&amp;Risultati!AO273),",",";")</f>
        <v>-</v>
      </c>
      <c r="I274" s="10">
        <f>+Risultati!G273</f>
        <v>0</v>
      </c>
      <c r="J274" s="11" t="str">
        <f t="shared" si="236"/>
        <v>0</v>
      </c>
      <c r="K274" s="12"/>
      <c r="L274" s="10">
        <f>+Risultati!G273+Risultati!H273</f>
        <v>0</v>
      </c>
      <c r="M274" s="11" t="str">
        <f t="shared" si="237"/>
        <v>0</v>
      </c>
      <c r="N274" s="12"/>
      <c r="O274" s="10">
        <f>+Risultati!I273+Risultati!J273</f>
        <v>0</v>
      </c>
      <c r="P274" s="11" t="str">
        <f t="shared" si="238"/>
        <v>0</v>
      </c>
      <c r="Q274" s="12"/>
      <c r="R274" s="13">
        <f t="shared" si="204"/>
        <v>0</v>
      </c>
      <c r="S274" s="11" t="str">
        <f t="shared" si="239"/>
        <v>0</v>
      </c>
      <c r="T274" s="12"/>
      <c r="U274" s="10">
        <f>+Risultati!F273-(Risultati!G273+Risultati!H273)</f>
        <v>0</v>
      </c>
      <c r="V274" s="12" t="str">
        <f t="shared" si="240"/>
        <v>0</v>
      </c>
      <c r="W274" s="12"/>
      <c r="X274" s="10">
        <f t="shared" si="205"/>
        <v>0</v>
      </c>
      <c r="Y274" s="12" t="str">
        <f t="shared" si="241"/>
        <v>0</v>
      </c>
      <c r="Z274" s="12"/>
      <c r="AA274" s="10">
        <f>+Risultati!K273</f>
        <v>0</v>
      </c>
      <c r="AB274" s="12" t="str">
        <f t="shared" si="242"/>
        <v>0</v>
      </c>
      <c r="AC274" s="12"/>
      <c r="AD274" s="10">
        <f>+Risultati!L273</f>
        <v>0</v>
      </c>
      <c r="AE274" s="12" t="str">
        <f t="shared" si="243"/>
        <v>0</v>
      </c>
      <c r="AF274" s="12"/>
      <c r="AG274" s="10">
        <f>+Risultati!M273+Risultati!P273+Risultati!Q273</f>
        <v>0</v>
      </c>
      <c r="AH274" s="12" t="str">
        <f t="shared" si="244"/>
        <v>0</v>
      </c>
      <c r="AI274" s="12"/>
      <c r="AJ274" s="13">
        <f t="shared" si="206"/>
        <v>0</v>
      </c>
      <c r="AK274" s="11" t="str">
        <f t="shared" si="245"/>
        <v>0</v>
      </c>
      <c r="AL274" s="12"/>
      <c r="AM274" s="10">
        <f>+Risultati!N273</f>
        <v>0</v>
      </c>
      <c r="AN274" s="12" t="str">
        <f t="shared" si="246"/>
        <v>0</v>
      </c>
      <c r="AO274" s="12"/>
      <c r="AP274" s="10">
        <f t="shared" si="207"/>
        <v>0</v>
      </c>
      <c r="AQ274" s="41" t="str">
        <f t="shared" si="247"/>
        <v>0</v>
      </c>
      <c r="AR274" s="12"/>
      <c r="AS274" s="10">
        <f>+Risultati!O273</f>
        <v>0</v>
      </c>
      <c r="AT274" s="12" t="str">
        <f t="shared" si="248"/>
        <v>0</v>
      </c>
      <c r="AU274" s="12"/>
      <c r="AV274" s="10">
        <f t="shared" si="208"/>
        <v>0</v>
      </c>
      <c r="AW274" s="12" t="str">
        <f t="shared" si="249"/>
        <v>0</v>
      </c>
      <c r="AX274" s="12"/>
      <c r="AY274" s="10">
        <f>+Risultati!R273+Risultati!S273</f>
        <v>0</v>
      </c>
      <c r="AZ274" s="12" t="str">
        <f t="shared" si="250"/>
        <v>0</v>
      </c>
      <c r="BA274" s="12"/>
      <c r="BB274" s="10">
        <f>+Risultati!T273</f>
        <v>0</v>
      </c>
      <c r="BC274" s="12" t="str">
        <f t="shared" si="251"/>
        <v>0</v>
      </c>
      <c r="BD274" s="12"/>
      <c r="BE274" s="10">
        <f>+Risultati!U273</f>
        <v>0</v>
      </c>
      <c r="BF274" s="12" t="str">
        <f t="shared" si="252"/>
        <v>0</v>
      </c>
      <c r="BG274" s="12"/>
      <c r="BH274" s="10">
        <f t="shared" si="209"/>
        <v>0</v>
      </c>
      <c r="BI274" s="12" t="str">
        <f t="shared" si="253"/>
        <v>0</v>
      </c>
      <c r="BK274" s="16">
        <f>IF(ISNUMBER(Risultati!X273/100),(Risultati!X273/100))</f>
        <v>0</v>
      </c>
      <c r="BL274" s="16">
        <f>IF(ISNUMBER(Risultati!Y273/100),(Risultati!Y273/100))</f>
        <v>0</v>
      </c>
      <c r="BM274" s="16">
        <f>IF(ISNUMBER(Risultati!Z273/100),(Risultati!Z273/100))</f>
        <v>0</v>
      </c>
      <c r="BN274" s="16">
        <f>IF(AND(Risultati!AY273&lt;0,calcoli!AP274&lt;0),-IF(ISNUMBER(Risultati!AA273/100),(Risultati!AA273/100)),IF(ISNUMBER(Risultati!AA273/100),(Risultati!AA273/100)))</f>
        <v>0</v>
      </c>
      <c r="BO274" s="16" t="str">
        <f t="shared" si="234"/>
        <v>0</v>
      </c>
      <c r="BP274" s="16" t="str">
        <f>IF(Risultati!AB273&gt;0,(AV274/Risultati!AB273),"0")</f>
        <v>0</v>
      </c>
      <c r="BQ274" s="16" t="str">
        <f>IF(Risultati!AG273&lt;&gt;0,(BH274/Risultati!AG273),"0")</f>
        <v>0</v>
      </c>
      <c r="BR274" s="16" t="str">
        <f t="shared" si="235"/>
        <v>0</v>
      </c>
      <c r="BS274" s="14" t="str">
        <f>IF(Risultati!AB273&gt;0,(Risultati!G273/Risultati!AB273),"0")</f>
        <v>0</v>
      </c>
      <c r="BT274" s="15" t="str">
        <f>IF(Risultati!AG273&lt;&gt;0,(Risultati!AB273/Risultati!AG273),"0")</f>
        <v>0</v>
      </c>
      <c r="BU274" s="23" t="str">
        <f>IF(AND(Risultati!G273&gt;0,(Risultati!AE273-Risultati!AF273)&gt;=0),((Risultati!AE273-Risultati!AF273)/Risultati!G273*360),"0")</f>
        <v>0</v>
      </c>
      <c r="BV274" s="21" t="str">
        <f>IF(OR(E274="abbreviato",Risultati!G273=0),"0",((Risultati!AC273+Risultati!AD273)/Risultati!G273*360))</f>
        <v>0</v>
      </c>
      <c r="BW274" s="21" t="str">
        <f>IF(OR(E274="abbreviato",Risultati!G273=0,SUM(Risultati!I273+Risultati!K273+Risultati!M273)=0),"0",(((Risultati!AH273+Risultati!AI273)/(Risultati!I273+Risultati!K273+Risultati!N273)*360)))</f>
        <v>0</v>
      </c>
      <c r="BX274" s="16" t="str">
        <f>IF(Risultati!AB273&gt;0,(+Risultati!AG273/Risultati!AB273),"0")</f>
        <v>0</v>
      </c>
      <c r="BY274" s="22" t="str">
        <f>IF(OR(E274="abbreviato",Risultati!G273=0),"0",(((Risultati!AK273-(Risultati!AL273+Risultati!AM273))/Risultati!G273)))</f>
        <v>0</v>
      </c>
      <c r="BZ274" s="16" t="str">
        <f>IF(Risultati!G273&gt;0,(Risultati!AJ273/Risultati!G273),"0")</f>
        <v>0</v>
      </c>
      <c r="CA274" s="8"/>
      <c r="CB274" s="10">
        <f>+Risultati!AP273</f>
        <v>0</v>
      </c>
      <c r="CC274" s="31" t="str">
        <f t="shared" si="210"/>
        <v>0</v>
      </c>
      <c r="CD274" s="10">
        <f>+Risultati!AQ273</f>
        <v>0</v>
      </c>
      <c r="CE274" s="31" t="str">
        <f t="shared" si="211"/>
        <v>0</v>
      </c>
      <c r="CF274" s="10">
        <f>+Risultati!AR273</f>
        <v>0</v>
      </c>
      <c r="CG274" s="31" t="str">
        <f t="shared" si="212"/>
        <v>0</v>
      </c>
      <c r="CH274" s="10">
        <f>+Risultati!AS273</f>
        <v>0</v>
      </c>
      <c r="CI274" s="31" t="str">
        <f t="shared" si="213"/>
        <v>0</v>
      </c>
      <c r="CJ274" s="10">
        <f t="shared" si="214"/>
        <v>0</v>
      </c>
      <c r="CK274" s="31" t="str">
        <f t="shared" si="215"/>
        <v>0</v>
      </c>
      <c r="CL274" s="10">
        <f>+Risultati!AE273+Risultati!AF273</f>
        <v>0</v>
      </c>
      <c r="CM274" s="31" t="str">
        <f t="shared" si="216"/>
        <v>0</v>
      </c>
      <c r="CN274" s="10">
        <f>+Risultati!AT273</f>
        <v>0</v>
      </c>
      <c r="CO274" s="31" t="str">
        <f t="shared" si="217"/>
        <v>0</v>
      </c>
      <c r="CP274" s="10">
        <f>+Risultati!AU273</f>
        <v>0</v>
      </c>
      <c r="CQ274" s="31" t="str">
        <f t="shared" si="218"/>
        <v>0</v>
      </c>
      <c r="CR274" s="10">
        <f>+Risultati!AL273</f>
        <v>0</v>
      </c>
      <c r="CS274" s="31" t="str">
        <f t="shared" si="219"/>
        <v>0</v>
      </c>
      <c r="CT274" s="10">
        <f t="shared" si="220"/>
        <v>0</v>
      </c>
      <c r="CU274" s="31" t="str">
        <f t="shared" si="221"/>
        <v>0</v>
      </c>
      <c r="CV274" s="10">
        <f>+Risultati!AX273</f>
        <v>0</v>
      </c>
      <c r="CW274" s="31" t="str">
        <f t="shared" si="222"/>
        <v>0</v>
      </c>
      <c r="CX274" s="10">
        <f t="shared" si="223"/>
        <v>0</v>
      </c>
      <c r="CY274" s="31" t="str">
        <f t="shared" si="224"/>
        <v>0</v>
      </c>
      <c r="CZ274" s="10">
        <f>+Risultati!AG273</f>
        <v>0</v>
      </c>
      <c r="DA274" s="31" t="str">
        <f t="shared" si="225"/>
        <v>0</v>
      </c>
      <c r="DB274" s="10">
        <f t="shared" si="226"/>
        <v>0</v>
      </c>
      <c r="DC274" s="31" t="str">
        <f t="shared" si="227"/>
        <v>0</v>
      </c>
      <c r="DD274" s="10">
        <f>+Risultati!AV273</f>
        <v>0</v>
      </c>
      <c r="DE274" s="31" t="str">
        <f t="shared" si="228"/>
        <v>0</v>
      </c>
      <c r="DF274" s="10">
        <f>+Risultati!AJ273</f>
        <v>0</v>
      </c>
      <c r="DG274" s="31" t="str">
        <f t="shared" si="229"/>
        <v>0</v>
      </c>
      <c r="DH274" s="10">
        <f t="shared" si="230"/>
        <v>0</v>
      </c>
      <c r="DI274" s="31" t="str">
        <f t="shared" si="231"/>
        <v>0</v>
      </c>
      <c r="DJ274" s="10">
        <f>+Risultati!AW273</f>
        <v>0</v>
      </c>
      <c r="DK274" s="31" t="str">
        <f t="shared" si="232"/>
        <v>0</v>
      </c>
      <c r="DL274" s="10">
        <f t="shared" si="254"/>
        <v>0</v>
      </c>
      <c r="DM274" s="31" t="str">
        <f t="shared" si="233"/>
        <v>0</v>
      </c>
      <c r="DO274" s="30"/>
      <c r="DP274" s="30"/>
    </row>
    <row r="275" spans="1:120" x14ac:dyDescent="0.2">
      <c r="A275" s="5"/>
      <c r="B275" s="6">
        <f>+Risultati!B274</f>
        <v>0</v>
      </c>
      <c r="C275" s="6">
        <f>+Risultati!C274</f>
        <v>0</v>
      </c>
      <c r="D275" s="26" t="str">
        <f>IF(YEAR(Risultati!D274)=1900,(MID(Risultati!$AP$1,29,4)),YEAR(Risultati!D274))</f>
        <v/>
      </c>
      <c r="E275" s="6">
        <f>+Risultati!E274</f>
        <v>0</v>
      </c>
      <c r="F275" s="8" t="e">
        <f>(LEFT(Risultati!AN274,2)&amp;"-")&amp;VLOOKUP((LEFT(Risultati!AN274,2)),ateco!$B$4:$C$93,2,FALSE)</f>
        <v>#N/A</v>
      </c>
      <c r="G275" s="8" t="str">
        <f>SUBSTITUTE((Risultati!AN274&amp;"-"&amp;Risultati!AO274),",",";")</f>
        <v>-</v>
      </c>
      <c r="I275" s="10">
        <f>+Risultati!G274</f>
        <v>0</v>
      </c>
      <c r="J275" s="11" t="str">
        <f t="shared" si="236"/>
        <v>0</v>
      </c>
      <c r="K275" s="12"/>
      <c r="L275" s="10">
        <f>+Risultati!G274+Risultati!H274</f>
        <v>0</v>
      </c>
      <c r="M275" s="11" t="str">
        <f t="shared" si="237"/>
        <v>0</v>
      </c>
      <c r="N275" s="12"/>
      <c r="O275" s="10">
        <f>+Risultati!I274+Risultati!J274</f>
        <v>0</v>
      </c>
      <c r="P275" s="11" t="str">
        <f t="shared" si="238"/>
        <v>0</v>
      </c>
      <c r="Q275" s="12"/>
      <c r="R275" s="13">
        <f t="shared" si="204"/>
        <v>0</v>
      </c>
      <c r="S275" s="11" t="str">
        <f t="shared" si="239"/>
        <v>0</v>
      </c>
      <c r="T275" s="12"/>
      <c r="U275" s="10">
        <f>+Risultati!F274-(Risultati!G274+Risultati!H274)</f>
        <v>0</v>
      </c>
      <c r="V275" s="12" t="str">
        <f t="shared" si="240"/>
        <v>0</v>
      </c>
      <c r="W275" s="12"/>
      <c r="X275" s="10">
        <f t="shared" si="205"/>
        <v>0</v>
      </c>
      <c r="Y275" s="12" t="str">
        <f t="shared" si="241"/>
        <v>0</v>
      </c>
      <c r="Z275" s="12"/>
      <c r="AA275" s="10">
        <f>+Risultati!K274</f>
        <v>0</v>
      </c>
      <c r="AB275" s="12" t="str">
        <f t="shared" si="242"/>
        <v>0</v>
      </c>
      <c r="AC275" s="12"/>
      <c r="AD275" s="10">
        <f>+Risultati!L274</f>
        <v>0</v>
      </c>
      <c r="AE275" s="12" t="str">
        <f t="shared" si="243"/>
        <v>0</v>
      </c>
      <c r="AF275" s="12"/>
      <c r="AG275" s="10">
        <f>+Risultati!M274+Risultati!P274+Risultati!Q274</f>
        <v>0</v>
      </c>
      <c r="AH275" s="12" t="str">
        <f t="shared" si="244"/>
        <v>0</v>
      </c>
      <c r="AI275" s="12"/>
      <c r="AJ275" s="13">
        <f t="shared" si="206"/>
        <v>0</v>
      </c>
      <c r="AK275" s="11" t="str">
        <f t="shared" si="245"/>
        <v>0</v>
      </c>
      <c r="AL275" s="12"/>
      <c r="AM275" s="10">
        <f>+Risultati!N274</f>
        <v>0</v>
      </c>
      <c r="AN275" s="12" t="str">
        <f t="shared" si="246"/>
        <v>0</v>
      </c>
      <c r="AO275" s="12"/>
      <c r="AP275" s="10">
        <f t="shared" si="207"/>
        <v>0</v>
      </c>
      <c r="AQ275" s="41" t="str">
        <f t="shared" si="247"/>
        <v>0</v>
      </c>
      <c r="AR275" s="12"/>
      <c r="AS275" s="10">
        <f>+Risultati!O274</f>
        <v>0</v>
      </c>
      <c r="AT275" s="12" t="str">
        <f t="shared" si="248"/>
        <v>0</v>
      </c>
      <c r="AU275" s="12"/>
      <c r="AV275" s="10">
        <f t="shared" si="208"/>
        <v>0</v>
      </c>
      <c r="AW275" s="12" t="str">
        <f t="shared" si="249"/>
        <v>0</v>
      </c>
      <c r="AX275" s="12"/>
      <c r="AY275" s="10">
        <f>+Risultati!R274+Risultati!S274</f>
        <v>0</v>
      </c>
      <c r="AZ275" s="12" t="str">
        <f t="shared" si="250"/>
        <v>0</v>
      </c>
      <c r="BA275" s="12"/>
      <c r="BB275" s="10">
        <f>+Risultati!T274</f>
        <v>0</v>
      </c>
      <c r="BC275" s="12" t="str">
        <f t="shared" si="251"/>
        <v>0</v>
      </c>
      <c r="BD275" s="12"/>
      <c r="BE275" s="10">
        <f>+Risultati!U274</f>
        <v>0</v>
      </c>
      <c r="BF275" s="12" t="str">
        <f t="shared" si="252"/>
        <v>0</v>
      </c>
      <c r="BG275" s="12"/>
      <c r="BH275" s="10">
        <f t="shared" si="209"/>
        <v>0</v>
      </c>
      <c r="BI275" s="12" t="str">
        <f t="shared" si="253"/>
        <v>0</v>
      </c>
      <c r="BK275" s="16">
        <f>IF(ISNUMBER(Risultati!X274/100),(Risultati!X274/100))</f>
        <v>0</v>
      </c>
      <c r="BL275" s="16">
        <f>IF(ISNUMBER(Risultati!Y274/100),(Risultati!Y274/100))</f>
        <v>0</v>
      </c>
      <c r="BM275" s="16">
        <f>IF(ISNUMBER(Risultati!Z274/100),(Risultati!Z274/100))</f>
        <v>0</v>
      </c>
      <c r="BN275" s="16">
        <f>IF(AND(Risultati!AY274&lt;0,calcoli!AP275&lt;0),-IF(ISNUMBER(Risultati!AA274/100),(Risultati!AA274/100)),IF(ISNUMBER(Risultati!AA274/100),(Risultati!AA274/100)))</f>
        <v>0</v>
      </c>
      <c r="BO275" s="16" t="str">
        <f t="shared" si="234"/>
        <v>0</v>
      </c>
      <c r="BP275" s="16" t="str">
        <f>IF(Risultati!AB274&gt;0,(AV275/Risultati!AB274),"0")</f>
        <v>0</v>
      </c>
      <c r="BQ275" s="16" t="str">
        <f>IF(Risultati!AG274&lt;&gt;0,(BH275/Risultati!AG274),"0")</f>
        <v>0</v>
      </c>
      <c r="BR275" s="16" t="str">
        <f t="shared" si="235"/>
        <v>0</v>
      </c>
      <c r="BS275" s="14" t="str">
        <f>IF(Risultati!AB274&gt;0,(Risultati!G274/Risultati!AB274),"0")</f>
        <v>0</v>
      </c>
      <c r="BT275" s="15" t="str">
        <f>IF(Risultati!AG274&lt;&gt;0,(Risultati!AB274/Risultati!AG274),"0")</f>
        <v>0</v>
      </c>
      <c r="BU275" s="23" t="str">
        <f>IF(AND(Risultati!G274&gt;0,(Risultati!AE274-Risultati!AF274)&gt;=0),((Risultati!AE274-Risultati!AF274)/Risultati!G274*360),"0")</f>
        <v>0</v>
      </c>
      <c r="BV275" s="21" t="str">
        <f>IF(OR(E275="abbreviato",Risultati!G274=0),"0",((Risultati!AC274+Risultati!AD274)/Risultati!G274*360))</f>
        <v>0</v>
      </c>
      <c r="BW275" s="21" t="str">
        <f>IF(OR(E275="abbreviato",Risultati!G274=0,SUM(Risultati!I274+Risultati!K274+Risultati!M274)=0),"0",(((Risultati!AH274+Risultati!AI274)/(Risultati!I274+Risultati!K274+Risultati!N274)*360)))</f>
        <v>0</v>
      </c>
      <c r="BX275" s="16" t="str">
        <f>IF(Risultati!AB274&gt;0,(+Risultati!AG274/Risultati!AB274),"0")</f>
        <v>0</v>
      </c>
      <c r="BY275" s="22" t="str">
        <f>IF(OR(E275="abbreviato",Risultati!G274=0),"0",(((Risultati!AK274-(Risultati!AL274+Risultati!AM274))/Risultati!G274)))</f>
        <v>0</v>
      </c>
      <c r="BZ275" s="16" t="str">
        <f>IF(Risultati!G274&gt;0,(Risultati!AJ274/Risultati!G274),"0")</f>
        <v>0</v>
      </c>
      <c r="CA275" s="8"/>
      <c r="CB275" s="10">
        <f>+Risultati!AP274</f>
        <v>0</v>
      </c>
      <c r="CC275" s="31" t="str">
        <f t="shared" si="210"/>
        <v>0</v>
      </c>
      <c r="CD275" s="10">
        <f>+Risultati!AQ274</f>
        <v>0</v>
      </c>
      <c r="CE275" s="31" t="str">
        <f t="shared" si="211"/>
        <v>0</v>
      </c>
      <c r="CF275" s="10">
        <f>+Risultati!AR274</f>
        <v>0</v>
      </c>
      <c r="CG275" s="31" t="str">
        <f t="shared" si="212"/>
        <v>0</v>
      </c>
      <c r="CH275" s="10">
        <f>+Risultati!AS274</f>
        <v>0</v>
      </c>
      <c r="CI275" s="31" t="str">
        <f t="shared" si="213"/>
        <v>0</v>
      </c>
      <c r="CJ275" s="10">
        <f t="shared" si="214"/>
        <v>0</v>
      </c>
      <c r="CK275" s="31" t="str">
        <f t="shared" si="215"/>
        <v>0</v>
      </c>
      <c r="CL275" s="10">
        <f>+Risultati!AE274+Risultati!AF274</f>
        <v>0</v>
      </c>
      <c r="CM275" s="31" t="str">
        <f t="shared" si="216"/>
        <v>0</v>
      </c>
      <c r="CN275" s="10">
        <f>+Risultati!AT274</f>
        <v>0</v>
      </c>
      <c r="CO275" s="31" t="str">
        <f t="shared" si="217"/>
        <v>0</v>
      </c>
      <c r="CP275" s="10">
        <f>+Risultati!AU274</f>
        <v>0</v>
      </c>
      <c r="CQ275" s="31" t="str">
        <f t="shared" si="218"/>
        <v>0</v>
      </c>
      <c r="CR275" s="10">
        <f>+Risultati!AL274</f>
        <v>0</v>
      </c>
      <c r="CS275" s="31" t="str">
        <f t="shared" si="219"/>
        <v>0</v>
      </c>
      <c r="CT275" s="10">
        <f t="shared" si="220"/>
        <v>0</v>
      </c>
      <c r="CU275" s="31" t="str">
        <f t="shared" si="221"/>
        <v>0</v>
      </c>
      <c r="CV275" s="10">
        <f>+Risultati!AX274</f>
        <v>0</v>
      </c>
      <c r="CW275" s="31" t="str">
        <f t="shared" si="222"/>
        <v>0</v>
      </c>
      <c r="CX275" s="10">
        <f t="shared" si="223"/>
        <v>0</v>
      </c>
      <c r="CY275" s="31" t="str">
        <f t="shared" si="224"/>
        <v>0</v>
      </c>
      <c r="CZ275" s="10">
        <f>+Risultati!AG274</f>
        <v>0</v>
      </c>
      <c r="DA275" s="31" t="str">
        <f t="shared" si="225"/>
        <v>0</v>
      </c>
      <c r="DB275" s="10">
        <f t="shared" si="226"/>
        <v>0</v>
      </c>
      <c r="DC275" s="31" t="str">
        <f t="shared" si="227"/>
        <v>0</v>
      </c>
      <c r="DD275" s="10">
        <f>+Risultati!AV274</f>
        <v>0</v>
      </c>
      <c r="DE275" s="31" t="str">
        <f t="shared" si="228"/>
        <v>0</v>
      </c>
      <c r="DF275" s="10">
        <f>+Risultati!AJ274</f>
        <v>0</v>
      </c>
      <c r="DG275" s="31" t="str">
        <f t="shared" si="229"/>
        <v>0</v>
      </c>
      <c r="DH275" s="10">
        <f t="shared" si="230"/>
        <v>0</v>
      </c>
      <c r="DI275" s="31" t="str">
        <f t="shared" si="231"/>
        <v>0</v>
      </c>
      <c r="DJ275" s="10">
        <f>+Risultati!AW274</f>
        <v>0</v>
      </c>
      <c r="DK275" s="31" t="str">
        <f t="shared" si="232"/>
        <v>0</v>
      </c>
      <c r="DL275" s="10">
        <f t="shared" si="254"/>
        <v>0</v>
      </c>
      <c r="DM275" s="31" t="str">
        <f t="shared" si="233"/>
        <v>0</v>
      </c>
      <c r="DO275" s="30"/>
      <c r="DP275" s="30"/>
    </row>
    <row r="276" spans="1:120" x14ac:dyDescent="0.2">
      <c r="A276" s="5"/>
      <c r="B276" s="6">
        <f>+Risultati!B275</f>
        <v>0</v>
      </c>
      <c r="C276" s="6">
        <f>+Risultati!C275</f>
        <v>0</v>
      </c>
      <c r="D276" s="26" t="str">
        <f>IF(YEAR(Risultati!D275)=1900,(MID(Risultati!$AP$1,29,4)),YEAR(Risultati!D275))</f>
        <v/>
      </c>
      <c r="E276" s="6">
        <f>+Risultati!E275</f>
        <v>0</v>
      </c>
      <c r="F276" s="8" t="e">
        <f>(LEFT(Risultati!AN275,2)&amp;"-")&amp;VLOOKUP((LEFT(Risultati!AN275,2)),ateco!$B$4:$C$93,2,FALSE)</f>
        <v>#N/A</v>
      </c>
      <c r="G276" s="8" t="str">
        <f>SUBSTITUTE((Risultati!AN275&amp;"-"&amp;Risultati!AO275),",",";")</f>
        <v>-</v>
      </c>
      <c r="I276" s="10">
        <f>+Risultati!G275</f>
        <v>0</v>
      </c>
      <c r="J276" s="11" t="str">
        <f t="shared" si="236"/>
        <v>0</v>
      </c>
      <c r="K276" s="12"/>
      <c r="L276" s="10">
        <f>+Risultati!G275+Risultati!H275</f>
        <v>0</v>
      </c>
      <c r="M276" s="11" t="str">
        <f t="shared" si="237"/>
        <v>0</v>
      </c>
      <c r="N276" s="12"/>
      <c r="O276" s="10">
        <f>+Risultati!I275+Risultati!J275</f>
        <v>0</v>
      </c>
      <c r="P276" s="11" t="str">
        <f t="shared" si="238"/>
        <v>0</v>
      </c>
      <c r="Q276" s="12"/>
      <c r="R276" s="13">
        <f t="shared" si="204"/>
        <v>0</v>
      </c>
      <c r="S276" s="11" t="str">
        <f t="shared" si="239"/>
        <v>0</v>
      </c>
      <c r="T276" s="12"/>
      <c r="U276" s="10">
        <f>+Risultati!F275-(Risultati!G275+Risultati!H275)</f>
        <v>0</v>
      </c>
      <c r="V276" s="12" t="str">
        <f t="shared" si="240"/>
        <v>0</v>
      </c>
      <c r="W276" s="12"/>
      <c r="X276" s="10">
        <f t="shared" si="205"/>
        <v>0</v>
      </c>
      <c r="Y276" s="12" t="str">
        <f t="shared" si="241"/>
        <v>0</v>
      </c>
      <c r="Z276" s="12"/>
      <c r="AA276" s="10">
        <f>+Risultati!K275</f>
        <v>0</v>
      </c>
      <c r="AB276" s="12" t="str">
        <f t="shared" si="242"/>
        <v>0</v>
      </c>
      <c r="AC276" s="12"/>
      <c r="AD276" s="10">
        <f>+Risultati!L275</f>
        <v>0</v>
      </c>
      <c r="AE276" s="12" t="str">
        <f t="shared" si="243"/>
        <v>0</v>
      </c>
      <c r="AF276" s="12"/>
      <c r="AG276" s="10">
        <f>+Risultati!M275+Risultati!P275+Risultati!Q275</f>
        <v>0</v>
      </c>
      <c r="AH276" s="12" t="str">
        <f t="shared" si="244"/>
        <v>0</v>
      </c>
      <c r="AI276" s="12"/>
      <c r="AJ276" s="13">
        <f t="shared" si="206"/>
        <v>0</v>
      </c>
      <c r="AK276" s="11" t="str">
        <f t="shared" si="245"/>
        <v>0</v>
      </c>
      <c r="AL276" s="12"/>
      <c r="AM276" s="10">
        <f>+Risultati!N275</f>
        <v>0</v>
      </c>
      <c r="AN276" s="12" t="str">
        <f t="shared" si="246"/>
        <v>0</v>
      </c>
      <c r="AO276" s="12"/>
      <c r="AP276" s="10">
        <f t="shared" si="207"/>
        <v>0</v>
      </c>
      <c r="AQ276" s="41" t="str">
        <f t="shared" si="247"/>
        <v>0</v>
      </c>
      <c r="AR276" s="12"/>
      <c r="AS276" s="10">
        <f>+Risultati!O275</f>
        <v>0</v>
      </c>
      <c r="AT276" s="12" t="str">
        <f t="shared" si="248"/>
        <v>0</v>
      </c>
      <c r="AU276" s="12"/>
      <c r="AV276" s="10">
        <f t="shared" si="208"/>
        <v>0</v>
      </c>
      <c r="AW276" s="12" t="str">
        <f t="shared" si="249"/>
        <v>0</v>
      </c>
      <c r="AX276" s="12"/>
      <c r="AY276" s="10">
        <f>+Risultati!R275+Risultati!S275</f>
        <v>0</v>
      </c>
      <c r="AZ276" s="12" t="str">
        <f t="shared" si="250"/>
        <v>0</v>
      </c>
      <c r="BA276" s="12"/>
      <c r="BB276" s="10">
        <f>+Risultati!T275</f>
        <v>0</v>
      </c>
      <c r="BC276" s="12" t="str">
        <f t="shared" si="251"/>
        <v>0</v>
      </c>
      <c r="BD276" s="12"/>
      <c r="BE276" s="10">
        <f>+Risultati!U275</f>
        <v>0</v>
      </c>
      <c r="BF276" s="12" t="str">
        <f t="shared" si="252"/>
        <v>0</v>
      </c>
      <c r="BG276" s="12"/>
      <c r="BH276" s="10">
        <f t="shared" si="209"/>
        <v>0</v>
      </c>
      <c r="BI276" s="12" t="str">
        <f t="shared" si="253"/>
        <v>0</v>
      </c>
      <c r="BK276" s="16">
        <f>IF(ISNUMBER(Risultati!X275/100),(Risultati!X275/100))</f>
        <v>0</v>
      </c>
      <c r="BL276" s="16">
        <f>IF(ISNUMBER(Risultati!Y275/100),(Risultati!Y275/100))</f>
        <v>0</v>
      </c>
      <c r="BM276" s="16">
        <f>IF(ISNUMBER(Risultati!Z275/100),(Risultati!Z275/100))</f>
        <v>0</v>
      </c>
      <c r="BN276" s="16">
        <f>IF(AND(Risultati!AY275&lt;0,calcoli!AP276&lt;0),-IF(ISNUMBER(Risultati!AA275/100),(Risultati!AA275/100)),IF(ISNUMBER(Risultati!AA275/100),(Risultati!AA275/100)))</f>
        <v>0</v>
      </c>
      <c r="BO276" s="16" t="str">
        <f t="shared" si="234"/>
        <v>0</v>
      </c>
      <c r="BP276" s="16" t="str">
        <f>IF(Risultati!AB275&gt;0,(AV276/Risultati!AB275),"0")</f>
        <v>0</v>
      </c>
      <c r="BQ276" s="16" t="str">
        <f>IF(Risultati!AG275&lt;&gt;0,(BH276/Risultati!AG275),"0")</f>
        <v>0</v>
      </c>
      <c r="BR276" s="16" t="str">
        <f t="shared" si="235"/>
        <v>0</v>
      </c>
      <c r="BS276" s="14" t="str">
        <f>IF(Risultati!AB275&gt;0,(Risultati!G275/Risultati!AB275),"0")</f>
        <v>0</v>
      </c>
      <c r="BT276" s="15" t="str">
        <f>IF(Risultati!AG275&lt;&gt;0,(Risultati!AB275/Risultati!AG275),"0")</f>
        <v>0</v>
      </c>
      <c r="BU276" s="23" t="str">
        <f>IF(AND(Risultati!G275&gt;0,(Risultati!AE275-Risultati!AF275)&gt;=0),((Risultati!AE275-Risultati!AF275)/Risultati!G275*360),"0")</f>
        <v>0</v>
      </c>
      <c r="BV276" s="21" t="str">
        <f>IF(OR(E276="abbreviato",Risultati!G275=0),"0",((Risultati!AC275+Risultati!AD275)/Risultati!G275*360))</f>
        <v>0</v>
      </c>
      <c r="BW276" s="21" t="str">
        <f>IF(OR(E276="abbreviato",Risultati!G275=0,SUM(Risultati!I275+Risultati!K275+Risultati!M275)=0),"0",(((Risultati!AH275+Risultati!AI275)/(Risultati!I275+Risultati!K275+Risultati!N275)*360)))</f>
        <v>0</v>
      </c>
      <c r="BX276" s="16" t="str">
        <f>IF(Risultati!AB275&gt;0,(+Risultati!AG275/Risultati!AB275),"0")</f>
        <v>0</v>
      </c>
      <c r="BY276" s="22" t="str">
        <f>IF(OR(E276="abbreviato",Risultati!G275=0),"0",(((Risultati!AK275-(Risultati!AL275+Risultati!AM275))/Risultati!G275)))</f>
        <v>0</v>
      </c>
      <c r="BZ276" s="16" t="str">
        <f>IF(Risultati!G275&gt;0,(Risultati!AJ275/Risultati!G275),"0")</f>
        <v>0</v>
      </c>
      <c r="CA276" s="8"/>
      <c r="CB276" s="10">
        <f>+Risultati!AP275</f>
        <v>0</v>
      </c>
      <c r="CC276" s="31" t="str">
        <f t="shared" si="210"/>
        <v>0</v>
      </c>
      <c r="CD276" s="10">
        <f>+Risultati!AQ275</f>
        <v>0</v>
      </c>
      <c r="CE276" s="31" t="str">
        <f t="shared" si="211"/>
        <v>0</v>
      </c>
      <c r="CF276" s="10">
        <f>+Risultati!AR275</f>
        <v>0</v>
      </c>
      <c r="CG276" s="31" t="str">
        <f t="shared" si="212"/>
        <v>0</v>
      </c>
      <c r="CH276" s="10">
        <f>+Risultati!AS275</f>
        <v>0</v>
      </c>
      <c r="CI276" s="31" t="str">
        <f t="shared" si="213"/>
        <v>0</v>
      </c>
      <c r="CJ276" s="10">
        <f t="shared" si="214"/>
        <v>0</v>
      </c>
      <c r="CK276" s="31" t="str">
        <f t="shared" si="215"/>
        <v>0</v>
      </c>
      <c r="CL276" s="10">
        <f>+Risultati!AE275+Risultati!AF275</f>
        <v>0</v>
      </c>
      <c r="CM276" s="31" t="str">
        <f t="shared" si="216"/>
        <v>0</v>
      </c>
      <c r="CN276" s="10">
        <f>+Risultati!AT275</f>
        <v>0</v>
      </c>
      <c r="CO276" s="31" t="str">
        <f t="shared" si="217"/>
        <v>0</v>
      </c>
      <c r="CP276" s="10">
        <f>+Risultati!AU275</f>
        <v>0</v>
      </c>
      <c r="CQ276" s="31" t="str">
        <f t="shared" si="218"/>
        <v>0</v>
      </c>
      <c r="CR276" s="10">
        <f>+Risultati!AL275</f>
        <v>0</v>
      </c>
      <c r="CS276" s="31" t="str">
        <f t="shared" si="219"/>
        <v>0</v>
      </c>
      <c r="CT276" s="10">
        <f t="shared" si="220"/>
        <v>0</v>
      </c>
      <c r="CU276" s="31" t="str">
        <f t="shared" si="221"/>
        <v>0</v>
      </c>
      <c r="CV276" s="10">
        <f>+Risultati!AX275</f>
        <v>0</v>
      </c>
      <c r="CW276" s="31" t="str">
        <f t="shared" si="222"/>
        <v>0</v>
      </c>
      <c r="CX276" s="10">
        <f t="shared" si="223"/>
        <v>0</v>
      </c>
      <c r="CY276" s="31" t="str">
        <f t="shared" si="224"/>
        <v>0</v>
      </c>
      <c r="CZ276" s="10">
        <f>+Risultati!AG275</f>
        <v>0</v>
      </c>
      <c r="DA276" s="31" t="str">
        <f t="shared" si="225"/>
        <v>0</v>
      </c>
      <c r="DB276" s="10">
        <f t="shared" si="226"/>
        <v>0</v>
      </c>
      <c r="DC276" s="31" t="str">
        <f t="shared" si="227"/>
        <v>0</v>
      </c>
      <c r="DD276" s="10">
        <f>+Risultati!AV275</f>
        <v>0</v>
      </c>
      <c r="DE276" s="31" t="str">
        <f t="shared" si="228"/>
        <v>0</v>
      </c>
      <c r="DF276" s="10">
        <f>+Risultati!AJ275</f>
        <v>0</v>
      </c>
      <c r="DG276" s="31" t="str">
        <f t="shared" si="229"/>
        <v>0</v>
      </c>
      <c r="DH276" s="10">
        <f t="shared" si="230"/>
        <v>0</v>
      </c>
      <c r="DI276" s="31" t="str">
        <f t="shared" si="231"/>
        <v>0</v>
      </c>
      <c r="DJ276" s="10">
        <f>+Risultati!AW275</f>
        <v>0</v>
      </c>
      <c r="DK276" s="31" t="str">
        <f t="shared" si="232"/>
        <v>0</v>
      </c>
      <c r="DL276" s="10">
        <f t="shared" si="254"/>
        <v>0</v>
      </c>
      <c r="DM276" s="31" t="str">
        <f t="shared" si="233"/>
        <v>0</v>
      </c>
      <c r="DO276" s="30"/>
      <c r="DP276" s="30"/>
    </row>
    <row r="277" spans="1:120" x14ac:dyDescent="0.2">
      <c r="A277" s="5"/>
      <c r="B277" s="6">
        <f>+Risultati!B276</f>
        <v>0</v>
      </c>
      <c r="C277" s="6">
        <f>+Risultati!C276</f>
        <v>0</v>
      </c>
      <c r="D277" s="26" t="str">
        <f>IF(YEAR(Risultati!D276)=1900,(MID(Risultati!$AP$1,29,4)),YEAR(Risultati!D276))</f>
        <v/>
      </c>
      <c r="E277" s="6">
        <f>+Risultati!E276</f>
        <v>0</v>
      </c>
      <c r="F277" s="8" t="e">
        <f>(LEFT(Risultati!AN276,2)&amp;"-")&amp;VLOOKUP((LEFT(Risultati!AN276,2)),ateco!$B$4:$C$93,2,FALSE)</f>
        <v>#N/A</v>
      </c>
      <c r="G277" s="8" t="str">
        <f>SUBSTITUTE((Risultati!AN276&amp;"-"&amp;Risultati!AO276),",",";")</f>
        <v>-</v>
      </c>
      <c r="I277" s="10">
        <f>+Risultati!G276</f>
        <v>0</v>
      </c>
      <c r="J277" s="11" t="str">
        <f t="shared" si="236"/>
        <v>0</v>
      </c>
      <c r="K277" s="12"/>
      <c r="L277" s="10">
        <f>+Risultati!G276+Risultati!H276</f>
        <v>0</v>
      </c>
      <c r="M277" s="11" t="str">
        <f t="shared" si="237"/>
        <v>0</v>
      </c>
      <c r="N277" s="12"/>
      <c r="O277" s="10">
        <f>+Risultati!I276+Risultati!J276</f>
        <v>0</v>
      </c>
      <c r="P277" s="11" t="str">
        <f t="shared" si="238"/>
        <v>0</v>
      </c>
      <c r="Q277" s="12"/>
      <c r="R277" s="13">
        <f t="shared" si="204"/>
        <v>0</v>
      </c>
      <c r="S277" s="11" t="str">
        <f t="shared" si="239"/>
        <v>0</v>
      </c>
      <c r="T277" s="12"/>
      <c r="U277" s="10">
        <f>+Risultati!F276-(Risultati!G276+Risultati!H276)</f>
        <v>0</v>
      </c>
      <c r="V277" s="12" t="str">
        <f t="shared" si="240"/>
        <v>0</v>
      </c>
      <c r="W277" s="12"/>
      <c r="X277" s="10">
        <f t="shared" si="205"/>
        <v>0</v>
      </c>
      <c r="Y277" s="12" t="str">
        <f t="shared" si="241"/>
        <v>0</v>
      </c>
      <c r="Z277" s="12"/>
      <c r="AA277" s="10">
        <f>+Risultati!K276</f>
        <v>0</v>
      </c>
      <c r="AB277" s="12" t="str">
        <f t="shared" si="242"/>
        <v>0</v>
      </c>
      <c r="AC277" s="12"/>
      <c r="AD277" s="10">
        <f>+Risultati!L276</f>
        <v>0</v>
      </c>
      <c r="AE277" s="12" t="str">
        <f t="shared" si="243"/>
        <v>0</v>
      </c>
      <c r="AF277" s="12"/>
      <c r="AG277" s="10">
        <f>+Risultati!M276+Risultati!P276+Risultati!Q276</f>
        <v>0</v>
      </c>
      <c r="AH277" s="12" t="str">
        <f t="shared" si="244"/>
        <v>0</v>
      </c>
      <c r="AI277" s="12"/>
      <c r="AJ277" s="13">
        <f t="shared" si="206"/>
        <v>0</v>
      </c>
      <c r="AK277" s="11" t="str">
        <f t="shared" si="245"/>
        <v>0</v>
      </c>
      <c r="AL277" s="12"/>
      <c r="AM277" s="10">
        <f>+Risultati!N276</f>
        <v>0</v>
      </c>
      <c r="AN277" s="12" t="str">
        <f t="shared" si="246"/>
        <v>0</v>
      </c>
      <c r="AO277" s="12"/>
      <c r="AP277" s="10">
        <f t="shared" si="207"/>
        <v>0</v>
      </c>
      <c r="AQ277" s="41" t="str">
        <f t="shared" si="247"/>
        <v>0</v>
      </c>
      <c r="AR277" s="12"/>
      <c r="AS277" s="10">
        <f>+Risultati!O276</f>
        <v>0</v>
      </c>
      <c r="AT277" s="12" t="str">
        <f t="shared" si="248"/>
        <v>0</v>
      </c>
      <c r="AU277" s="12"/>
      <c r="AV277" s="10">
        <f t="shared" si="208"/>
        <v>0</v>
      </c>
      <c r="AW277" s="12" t="str">
        <f t="shared" si="249"/>
        <v>0</v>
      </c>
      <c r="AX277" s="12"/>
      <c r="AY277" s="10">
        <f>+Risultati!R276+Risultati!S276</f>
        <v>0</v>
      </c>
      <c r="AZ277" s="12" t="str">
        <f t="shared" si="250"/>
        <v>0</v>
      </c>
      <c r="BA277" s="12"/>
      <c r="BB277" s="10">
        <f>+Risultati!T276</f>
        <v>0</v>
      </c>
      <c r="BC277" s="12" t="str">
        <f t="shared" si="251"/>
        <v>0</v>
      </c>
      <c r="BD277" s="12"/>
      <c r="BE277" s="10">
        <f>+Risultati!U276</f>
        <v>0</v>
      </c>
      <c r="BF277" s="12" t="str">
        <f t="shared" si="252"/>
        <v>0</v>
      </c>
      <c r="BG277" s="12"/>
      <c r="BH277" s="10">
        <f t="shared" si="209"/>
        <v>0</v>
      </c>
      <c r="BI277" s="12" t="str">
        <f t="shared" si="253"/>
        <v>0</v>
      </c>
      <c r="BK277" s="16">
        <f>IF(ISNUMBER(Risultati!X276/100),(Risultati!X276/100))</f>
        <v>0</v>
      </c>
      <c r="BL277" s="16">
        <f>IF(ISNUMBER(Risultati!Y276/100),(Risultati!Y276/100))</f>
        <v>0</v>
      </c>
      <c r="BM277" s="16">
        <f>IF(ISNUMBER(Risultati!Z276/100),(Risultati!Z276/100))</f>
        <v>0</v>
      </c>
      <c r="BN277" s="16">
        <f>IF(AND(Risultati!AY276&lt;0,calcoli!AP277&lt;0),-IF(ISNUMBER(Risultati!AA276/100),(Risultati!AA276/100)),IF(ISNUMBER(Risultati!AA276/100),(Risultati!AA276/100)))</f>
        <v>0</v>
      </c>
      <c r="BO277" s="16" t="str">
        <f t="shared" si="234"/>
        <v>0</v>
      </c>
      <c r="BP277" s="16" t="str">
        <f>IF(Risultati!AB276&gt;0,(AV277/Risultati!AB276),"0")</f>
        <v>0</v>
      </c>
      <c r="BQ277" s="16" t="str">
        <f>IF(Risultati!AG276&lt;&gt;0,(BH277/Risultati!AG276),"0")</f>
        <v>0</v>
      </c>
      <c r="BR277" s="16" t="str">
        <f t="shared" si="235"/>
        <v>0</v>
      </c>
      <c r="BS277" s="14" t="str">
        <f>IF(Risultati!AB276&gt;0,(Risultati!G276/Risultati!AB276),"0")</f>
        <v>0</v>
      </c>
      <c r="BT277" s="15" t="str">
        <f>IF(Risultati!AG276&lt;&gt;0,(Risultati!AB276/Risultati!AG276),"0")</f>
        <v>0</v>
      </c>
      <c r="BU277" s="23" t="str">
        <f>IF(AND(Risultati!G276&gt;0,(Risultati!AE276-Risultati!AF276)&gt;=0),((Risultati!AE276-Risultati!AF276)/Risultati!G276*360),"0")</f>
        <v>0</v>
      </c>
      <c r="BV277" s="21" t="str">
        <f>IF(OR(E277="abbreviato",Risultati!G276=0),"0",((Risultati!AC276+Risultati!AD276)/Risultati!G276*360))</f>
        <v>0</v>
      </c>
      <c r="BW277" s="21" t="str">
        <f>IF(OR(E277="abbreviato",Risultati!G276=0,SUM(Risultati!I276+Risultati!K276+Risultati!M276)=0),"0",(((Risultati!AH276+Risultati!AI276)/(Risultati!I276+Risultati!K276+Risultati!N276)*360)))</f>
        <v>0</v>
      </c>
      <c r="BX277" s="16" t="str">
        <f>IF(Risultati!AB276&gt;0,(+Risultati!AG276/Risultati!AB276),"0")</f>
        <v>0</v>
      </c>
      <c r="BY277" s="22" t="str">
        <f>IF(OR(E277="abbreviato",Risultati!G276=0),"0",(((Risultati!AK276-(Risultati!AL276+Risultati!AM276))/Risultati!G276)))</f>
        <v>0</v>
      </c>
      <c r="BZ277" s="16" t="str">
        <f>IF(Risultati!G276&gt;0,(Risultati!AJ276/Risultati!G276),"0")</f>
        <v>0</v>
      </c>
      <c r="CA277" s="8"/>
      <c r="CB277" s="10">
        <f>+Risultati!AP276</f>
        <v>0</v>
      </c>
      <c r="CC277" s="31" t="str">
        <f t="shared" si="210"/>
        <v>0</v>
      </c>
      <c r="CD277" s="10">
        <f>+Risultati!AQ276</f>
        <v>0</v>
      </c>
      <c r="CE277" s="31" t="str">
        <f t="shared" si="211"/>
        <v>0</v>
      </c>
      <c r="CF277" s="10">
        <f>+Risultati!AR276</f>
        <v>0</v>
      </c>
      <c r="CG277" s="31" t="str">
        <f t="shared" si="212"/>
        <v>0</v>
      </c>
      <c r="CH277" s="10">
        <f>+Risultati!AS276</f>
        <v>0</v>
      </c>
      <c r="CI277" s="31" t="str">
        <f t="shared" si="213"/>
        <v>0</v>
      </c>
      <c r="CJ277" s="10">
        <f t="shared" si="214"/>
        <v>0</v>
      </c>
      <c r="CK277" s="31" t="str">
        <f t="shared" si="215"/>
        <v>0</v>
      </c>
      <c r="CL277" s="10">
        <f>+Risultati!AE276+Risultati!AF276</f>
        <v>0</v>
      </c>
      <c r="CM277" s="31" t="str">
        <f t="shared" si="216"/>
        <v>0</v>
      </c>
      <c r="CN277" s="10">
        <f>+Risultati!AT276</f>
        <v>0</v>
      </c>
      <c r="CO277" s="31" t="str">
        <f t="shared" si="217"/>
        <v>0</v>
      </c>
      <c r="CP277" s="10">
        <f>+Risultati!AU276</f>
        <v>0</v>
      </c>
      <c r="CQ277" s="31" t="str">
        <f t="shared" si="218"/>
        <v>0</v>
      </c>
      <c r="CR277" s="10">
        <f>+Risultati!AL276</f>
        <v>0</v>
      </c>
      <c r="CS277" s="31" t="str">
        <f t="shared" si="219"/>
        <v>0</v>
      </c>
      <c r="CT277" s="10">
        <f t="shared" si="220"/>
        <v>0</v>
      </c>
      <c r="CU277" s="31" t="str">
        <f t="shared" si="221"/>
        <v>0</v>
      </c>
      <c r="CV277" s="10">
        <f>+Risultati!AX276</f>
        <v>0</v>
      </c>
      <c r="CW277" s="31" t="str">
        <f t="shared" si="222"/>
        <v>0</v>
      </c>
      <c r="CX277" s="10">
        <f t="shared" si="223"/>
        <v>0</v>
      </c>
      <c r="CY277" s="31" t="str">
        <f t="shared" si="224"/>
        <v>0</v>
      </c>
      <c r="CZ277" s="10">
        <f>+Risultati!AG276</f>
        <v>0</v>
      </c>
      <c r="DA277" s="31" t="str">
        <f t="shared" si="225"/>
        <v>0</v>
      </c>
      <c r="DB277" s="10">
        <f t="shared" si="226"/>
        <v>0</v>
      </c>
      <c r="DC277" s="31" t="str">
        <f t="shared" si="227"/>
        <v>0</v>
      </c>
      <c r="DD277" s="10">
        <f>+Risultati!AV276</f>
        <v>0</v>
      </c>
      <c r="DE277" s="31" t="str">
        <f t="shared" si="228"/>
        <v>0</v>
      </c>
      <c r="DF277" s="10">
        <f>+Risultati!AJ276</f>
        <v>0</v>
      </c>
      <c r="DG277" s="31" t="str">
        <f t="shared" si="229"/>
        <v>0</v>
      </c>
      <c r="DH277" s="10">
        <f t="shared" si="230"/>
        <v>0</v>
      </c>
      <c r="DI277" s="31" t="str">
        <f t="shared" si="231"/>
        <v>0</v>
      </c>
      <c r="DJ277" s="10">
        <f>+Risultati!AW276</f>
        <v>0</v>
      </c>
      <c r="DK277" s="31" t="str">
        <f t="shared" si="232"/>
        <v>0</v>
      </c>
      <c r="DL277" s="10">
        <f t="shared" si="254"/>
        <v>0</v>
      </c>
      <c r="DM277" s="31" t="str">
        <f t="shared" si="233"/>
        <v>0</v>
      </c>
      <c r="DO277" s="30"/>
      <c r="DP277" s="30"/>
    </row>
    <row r="278" spans="1:120" x14ac:dyDescent="0.2">
      <c r="A278" s="5"/>
      <c r="B278" s="6">
        <f>+Risultati!B277</f>
        <v>0</v>
      </c>
      <c r="C278" s="6">
        <f>+Risultati!C277</f>
        <v>0</v>
      </c>
      <c r="D278" s="26" t="str">
        <f>IF(YEAR(Risultati!D277)=1900,(MID(Risultati!$AP$1,29,4)),YEAR(Risultati!D277))</f>
        <v/>
      </c>
      <c r="E278" s="6">
        <f>+Risultati!E277</f>
        <v>0</v>
      </c>
      <c r="F278" s="8" t="e">
        <f>(LEFT(Risultati!AN277,2)&amp;"-")&amp;VLOOKUP((LEFT(Risultati!AN277,2)),ateco!$B$4:$C$93,2,FALSE)</f>
        <v>#N/A</v>
      </c>
      <c r="G278" s="8" t="str">
        <f>SUBSTITUTE((Risultati!AN277&amp;"-"&amp;Risultati!AO277),",",";")</f>
        <v>-</v>
      </c>
      <c r="I278" s="10">
        <f>+Risultati!G277</f>
        <v>0</v>
      </c>
      <c r="J278" s="11" t="str">
        <f t="shared" si="236"/>
        <v>0</v>
      </c>
      <c r="K278" s="12"/>
      <c r="L278" s="10">
        <f>+Risultati!G277+Risultati!H277</f>
        <v>0</v>
      </c>
      <c r="M278" s="11" t="str">
        <f t="shared" si="237"/>
        <v>0</v>
      </c>
      <c r="N278" s="12"/>
      <c r="O278" s="10">
        <f>+Risultati!I277+Risultati!J277</f>
        <v>0</v>
      </c>
      <c r="P278" s="11" t="str">
        <f t="shared" si="238"/>
        <v>0</v>
      </c>
      <c r="Q278" s="12"/>
      <c r="R278" s="13">
        <f t="shared" si="204"/>
        <v>0</v>
      </c>
      <c r="S278" s="11" t="str">
        <f t="shared" si="239"/>
        <v>0</v>
      </c>
      <c r="T278" s="12"/>
      <c r="U278" s="10">
        <f>+Risultati!F277-(Risultati!G277+Risultati!H277)</f>
        <v>0</v>
      </c>
      <c r="V278" s="12" t="str">
        <f t="shared" si="240"/>
        <v>0</v>
      </c>
      <c r="W278" s="12"/>
      <c r="X278" s="10">
        <f t="shared" si="205"/>
        <v>0</v>
      </c>
      <c r="Y278" s="12" t="str">
        <f t="shared" si="241"/>
        <v>0</v>
      </c>
      <c r="Z278" s="12"/>
      <c r="AA278" s="10">
        <f>+Risultati!K277</f>
        <v>0</v>
      </c>
      <c r="AB278" s="12" t="str">
        <f t="shared" si="242"/>
        <v>0</v>
      </c>
      <c r="AC278" s="12"/>
      <c r="AD278" s="10">
        <f>+Risultati!L277</f>
        <v>0</v>
      </c>
      <c r="AE278" s="12" t="str">
        <f t="shared" si="243"/>
        <v>0</v>
      </c>
      <c r="AF278" s="12"/>
      <c r="AG278" s="10">
        <f>+Risultati!M277+Risultati!P277+Risultati!Q277</f>
        <v>0</v>
      </c>
      <c r="AH278" s="12" t="str">
        <f t="shared" si="244"/>
        <v>0</v>
      </c>
      <c r="AI278" s="12"/>
      <c r="AJ278" s="13">
        <f t="shared" si="206"/>
        <v>0</v>
      </c>
      <c r="AK278" s="11" t="str">
        <f t="shared" si="245"/>
        <v>0</v>
      </c>
      <c r="AL278" s="12"/>
      <c r="AM278" s="10">
        <f>+Risultati!N277</f>
        <v>0</v>
      </c>
      <c r="AN278" s="12" t="str">
        <f t="shared" si="246"/>
        <v>0</v>
      </c>
      <c r="AO278" s="12"/>
      <c r="AP278" s="10">
        <f t="shared" si="207"/>
        <v>0</v>
      </c>
      <c r="AQ278" s="41" t="str">
        <f t="shared" si="247"/>
        <v>0</v>
      </c>
      <c r="AR278" s="12"/>
      <c r="AS278" s="10">
        <f>+Risultati!O277</f>
        <v>0</v>
      </c>
      <c r="AT278" s="12" t="str">
        <f t="shared" si="248"/>
        <v>0</v>
      </c>
      <c r="AU278" s="12"/>
      <c r="AV278" s="10">
        <f t="shared" si="208"/>
        <v>0</v>
      </c>
      <c r="AW278" s="12" t="str">
        <f t="shared" si="249"/>
        <v>0</v>
      </c>
      <c r="AX278" s="12"/>
      <c r="AY278" s="10">
        <f>+Risultati!R277+Risultati!S277</f>
        <v>0</v>
      </c>
      <c r="AZ278" s="12" t="str">
        <f t="shared" si="250"/>
        <v>0</v>
      </c>
      <c r="BA278" s="12"/>
      <c r="BB278" s="10">
        <f>+Risultati!T277</f>
        <v>0</v>
      </c>
      <c r="BC278" s="12" t="str">
        <f t="shared" si="251"/>
        <v>0</v>
      </c>
      <c r="BD278" s="12"/>
      <c r="BE278" s="10">
        <f>+Risultati!U277</f>
        <v>0</v>
      </c>
      <c r="BF278" s="12" t="str">
        <f t="shared" si="252"/>
        <v>0</v>
      </c>
      <c r="BG278" s="12"/>
      <c r="BH278" s="10">
        <f t="shared" si="209"/>
        <v>0</v>
      </c>
      <c r="BI278" s="12" t="str">
        <f t="shared" si="253"/>
        <v>0</v>
      </c>
      <c r="BK278" s="16">
        <f>IF(ISNUMBER(Risultati!X277/100),(Risultati!X277/100))</f>
        <v>0</v>
      </c>
      <c r="BL278" s="16">
        <f>IF(ISNUMBER(Risultati!Y277/100),(Risultati!Y277/100))</f>
        <v>0</v>
      </c>
      <c r="BM278" s="16">
        <f>IF(ISNUMBER(Risultati!Z277/100),(Risultati!Z277/100))</f>
        <v>0</v>
      </c>
      <c r="BN278" s="16">
        <f>IF(AND(Risultati!AY277&lt;0,calcoli!AP278&lt;0),-IF(ISNUMBER(Risultati!AA277/100),(Risultati!AA277/100)),IF(ISNUMBER(Risultati!AA277/100),(Risultati!AA277/100)))</f>
        <v>0</v>
      </c>
      <c r="BO278" s="16" t="str">
        <f t="shared" si="234"/>
        <v>0</v>
      </c>
      <c r="BP278" s="16" t="str">
        <f>IF(Risultati!AB277&gt;0,(AV278/Risultati!AB277),"0")</f>
        <v>0</v>
      </c>
      <c r="BQ278" s="16" t="str">
        <f>IF(Risultati!AG277&lt;&gt;0,(BH278/Risultati!AG277),"0")</f>
        <v>0</v>
      </c>
      <c r="BR278" s="16" t="str">
        <f t="shared" si="235"/>
        <v>0</v>
      </c>
      <c r="BS278" s="14" t="str">
        <f>IF(Risultati!AB277&gt;0,(Risultati!G277/Risultati!AB277),"0")</f>
        <v>0</v>
      </c>
      <c r="BT278" s="15" t="str">
        <f>IF(Risultati!AG277&lt;&gt;0,(Risultati!AB277/Risultati!AG277),"0")</f>
        <v>0</v>
      </c>
      <c r="BU278" s="23" t="str">
        <f>IF(AND(Risultati!G277&gt;0,(Risultati!AE277-Risultati!AF277)&gt;=0),((Risultati!AE277-Risultati!AF277)/Risultati!G277*360),"0")</f>
        <v>0</v>
      </c>
      <c r="BV278" s="21" t="str">
        <f>IF(OR(E278="abbreviato",Risultati!G277=0),"0",((Risultati!AC277+Risultati!AD277)/Risultati!G277*360))</f>
        <v>0</v>
      </c>
      <c r="BW278" s="21" t="str">
        <f>IF(OR(E278="abbreviato",Risultati!G277=0,SUM(Risultati!I277+Risultati!K277+Risultati!M277)=0),"0",(((Risultati!AH277+Risultati!AI277)/(Risultati!I277+Risultati!K277+Risultati!N277)*360)))</f>
        <v>0</v>
      </c>
      <c r="BX278" s="16" t="str">
        <f>IF(Risultati!AB277&gt;0,(+Risultati!AG277/Risultati!AB277),"0")</f>
        <v>0</v>
      </c>
      <c r="BY278" s="22" t="str">
        <f>IF(OR(E278="abbreviato",Risultati!G277=0),"0",(((Risultati!AK277-(Risultati!AL277+Risultati!AM277))/Risultati!G277)))</f>
        <v>0</v>
      </c>
      <c r="BZ278" s="16" t="str">
        <f>IF(Risultati!G277&gt;0,(Risultati!AJ277/Risultati!G277),"0")</f>
        <v>0</v>
      </c>
      <c r="CA278" s="8"/>
      <c r="CB278" s="10">
        <f>+Risultati!AP277</f>
        <v>0</v>
      </c>
      <c r="CC278" s="31" t="str">
        <f t="shared" si="210"/>
        <v>0</v>
      </c>
      <c r="CD278" s="10">
        <f>+Risultati!AQ277</f>
        <v>0</v>
      </c>
      <c r="CE278" s="31" t="str">
        <f t="shared" si="211"/>
        <v>0</v>
      </c>
      <c r="CF278" s="10">
        <f>+Risultati!AR277</f>
        <v>0</v>
      </c>
      <c r="CG278" s="31" t="str">
        <f t="shared" si="212"/>
        <v>0</v>
      </c>
      <c r="CH278" s="10">
        <f>+Risultati!AS277</f>
        <v>0</v>
      </c>
      <c r="CI278" s="31" t="str">
        <f t="shared" si="213"/>
        <v>0</v>
      </c>
      <c r="CJ278" s="10">
        <f t="shared" si="214"/>
        <v>0</v>
      </c>
      <c r="CK278" s="31" t="str">
        <f t="shared" si="215"/>
        <v>0</v>
      </c>
      <c r="CL278" s="10">
        <f>+Risultati!AE277+Risultati!AF277</f>
        <v>0</v>
      </c>
      <c r="CM278" s="31" t="str">
        <f t="shared" si="216"/>
        <v>0</v>
      </c>
      <c r="CN278" s="10">
        <f>+Risultati!AT277</f>
        <v>0</v>
      </c>
      <c r="CO278" s="31" t="str">
        <f t="shared" si="217"/>
        <v>0</v>
      </c>
      <c r="CP278" s="10">
        <f>+Risultati!AU277</f>
        <v>0</v>
      </c>
      <c r="CQ278" s="31" t="str">
        <f t="shared" si="218"/>
        <v>0</v>
      </c>
      <c r="CR278" s="10">
        <f>+Risultati!AL277</f>
        <v>0</v>
      </c>
      <c r="CS278" s="31" t="str">
        <f t="shared" si="219"/>
        <v>0</v>
      </c>
      <c r="CT278" s="10">
        <f t="shared" si="220"/>
        <v>0</v>
      </c>
      <c r="CU278" s="31" t="str">
        <f t="shared" si="221"/>
        <v>0</v>
      </c>
      <c r="CV278" s="10">
        <f>+Risultati!AX277</f>
        <v>0</v>
      </c>
      <c r="CW278" s="31" t="str">
        <f t="shared" si="222"/>
        <v>0</v>
      </c>
      <c r="CX278" s="10">
        <f t="shared" si="223"/>
        <v>0</v>
      </c>
      <c r="CY278" s="31" t="str">
        <f t="shared" si="224"/>
        <v>0</v>
      </c>
      <c r="CZ278" s="10">
        <f>+Risultati!AG277</f>
        <v>0</v>
      </c>
      <c r="DA278" s="31" t="str">
        <f t="shared" si="225"/>
        <v>0</v>
      </c>
      <c r="DB278" s="10">
        <f t="shared" si="226"/>
        <v>0</v>
      </c>
      <c r="DC278" s="31" t="str">
        <f t="shared" si="227"/>
        <v>0</v>
      </c>
      <c r="DD278" s="10">
        <f>+Risultati!AV277</f>
        <v>0</v>
      </c>
      <c r="DE278" s="31" t="str">
        <f t="shared" si="228"/>
        <v>0</v>
      </c>
      <c r="DF278" s="10">
        <f>+Risultati!AJ277</f>
        <v>0</v>
      </c>
      <c r="DG278" s="31" t="str">
        <f t="shared" si="229"/>
        <v>0</v>
      </c>
      <c r="DH278" s="10">
        <f t="shared" si="230"/>
        <v>0</v>
      </c>
      <c r="DI278" s="31" t="str">
        <f t="shared" si="231"/>
        <v>0</v>
      </c>
      <c r="DJ278" s="10">
        <f>+Risultati!AW277</f>
        <v>0</v>
      </c>
      <c r="DK278" s="31" t="str">
        <f t="shared" si="232"/>
        <v>0</v>
      </c>
      <c r="DL278" s="10">
        <f t="shared" si="254"/>
        <v>0</v>
      </c>
      <c r="DM278" s="31" t="str">
        <f t="shared" si="233"/>
        <v>0</v>
      </c>
      <c r="DO278" s="30"/>
      <c r="DP278" s="30"/>
    </row>
    <row r="279" spans="1:120" x14ac:dyDescent="0.2">
      <c r="A279" s="5"/>
      <c r="B279" s="6">
        <f>+Risultati!B278</f>
        <v>0</v>
      </c>
      <c r="C279" s="6">
        <f>+Risultati!C278</f>
        <v>0</v>
      </c>
      <c r="D279" s="26" t="str">
        <f>IF(YEAR(Risultati!D278)=1900,(MID(Risultati!$AP$1,29,4)),YEAR(Risultati!D278))</f>
        <v/>
      </c>
      <c r="E279" s="6">
        <f>+Risultati!E278</f>
        <v>0</v>
      </c>
      <c r="F279" s="8" t="e">
        <f>(LEFT(Risultati!AN278,2)&amp;"-")&amp;VLOOKUP((LEFT(Risultati!AN278,2)),ateco!$B$4:$C$93,2,FALSE)</f>
        <v>#N/A</v>
      </c>
      <c r="G279" s="8" t="str">
        <f>SUBSTITUTE((Risultati!AN278&amp;"-"&amp;Risultati!AO278),",",";")</f>
        <v>-</v>
      </c>
      <c r="I279" s="10">
        <f>+Risultati!G278</f>
        <v>0</v>
      </c>
      <c r="J279" s="11" t="str">
        <f t="shared" si="236"/>
        <v>0</v>
      </c>
      <c r="K279" s="12"/>
      <c r="L279" s="10">
        <f>+Risultati!G278+Risultati!H278</f>
        <v>0</v>
      </c>
      <c r="M279" s="11" t="str">
        <f t="shared" si="237"/>
        <v>0</v>
      </c>
      <c r="N279" s="12"/>
      <c r="O279" s="10">
        <f>+Risultati!I278+Risultati!J278</f>
        <v>0</v>
      </c>
      <c r="P279" s="11" t="str">
        <f t="shared" si="238"/>
        <v>0</v>
      </c>
      <c r="Q279" s="12"/>
      <c r="R279" s="13">
        <f t="shared" si="204"/>
        <v>0</v>
      </c>
      <c r="S279" s="11" t="str">
        <f t="shared" si="239"/>
        <v>0</v>
      </c>
      <c r="T279" s="12"/>
      <c r="U279" s="10">
        <f>+Risultati!F278-(Risultati!G278+Risultati!H278)</f>
        <v>0</v>
      </c>
      <c r="V279" s="12" t="str">
        <f t="shared" si="240"/>
        <v>0</v>
      </c>
      <c r="W279" s="12"/>
      <c r="X279" s="10">
        <f t="shared" si="205"/>
        <v>0</v>
      </c>
      <c r="Y279" s="12" t="str">
        <f t="shared" si="241"/>
        <v>0</v>
      </c>
      <c r="Z279" s="12"/>
      <c r="AA279" s="10">
        <f>+Risultati!K278</f>
        <v>0</v>
      </c>
      <c r="AB279" s="12" t="str">
        <f t="shared" si="242"/>
        <v>0</v>
      </c>
      <c r="AC279" s="12"/>
      <c r="AD279" s="10">
        <f>+Risultati!L278</f>
        <v>0</v>
      </c>
      <c r="AE279" s="12" t="str">
        <f t="shared" si="243"/>
        <v>0</v>
      </c>
      <c r="AF279" s="12"/>
      <c r="AG279" s="10">
        <f>+Risultati!M278+Risultati!P278+Risultati!Q278</f>
        <v>0</v>
      </c>
      <c r="AH279" s="12" t="str">
        <f t="shared" si="244"/>
        <v>0</v>
      </c>
      <c r="AI279" s="12"/>
      <c r="AJ279" s="13">
        <f t="shared" si="206"/>
        <v>0</v>
      </c>
      <c r="AK279" s="11" t="str">
        <f t="shared" si="245"/>
        <v>0</v>
      </c>
      <c r="AL279" s="12"/>
      <c r="AM279" s="10">
        <f>+Risultati!N278</f>
        <v>0</v>
      </c>
      <c r="AN279" s="12" t="str">
        <f t="shared" si="246"/>
        <v>0</v>
      </c>
      <c r="AO279" s="12"/>
      <c r="AP279" s="10">
        <f t="shared" si="207"/>
        <v>0</v>
      </c>
      <c r="AQ279" s="41" t="str">
        <f t="shared" si="247"/>
        <v>0</v>
      </c>
      <c r="AR279" s="12"/>
      <c r="AS279" s="10">
        <f>+Risultati!O278</f>
        <v>0</v>
      </c>
      <c r="AT279" s="12" t="str">
        <f t="shared" si="248"/>
        <v>0</v>
      </c>
      <c r="AU279" s="12"/>
      <c r="AV279" s="10">
        <f t="shared" si="208"/>
        <v>0</v>
      </c>
      <c r="AW279" s="12" t="str">
        <f t="shared" si="249"/>
        <v>0</v>
      </c>
      <c r="AX279" s="12"/>
      <c r="AY279" s="10">
        <f>+Risultati!R278+Risultati!S278</f>
        <v>0</v>
      </c>
      <c r="AZ279" s="12" t="str">
        <f t="shared" si="250"/>
        <v>0</v>
      </c>
      <c r="BA279" s="12"/>
      <c r="BB279" s="10">
        <f>+Risultati!T278</f>
        <v>0</v>
      </c>
      <c r="BC279" s="12" t="str">
        <f t="shared" si="251"/>
        <v>0</v>
      </c>
      <c r="BD279" s="12"/>
      <c r="BE279" s="10">
        <f>+Risultati!U278</f>
        <v>0</v>
      </c>
      <c r="BF279" s="12" t="str">
        <f t="shared" si="252"/>
        <v>0</v>
      </c>
      <c r="BG279" s="12"/>
      <c r="BH279" s="10">
        <f t="shared" si="209"/>
        <v>0</v>
      </c>
      <c r="BI279" s="12" t="str">
        <f t="shared" si="253"/>
        <v>0</v>
      </c>
      <c r="BK279" s="16">
        <f>IF(ISNUMBER(Risultati!X278/100),(Risultati!X278/100))</f>
        <v>0</v>
      </c>
      <c r="BL279" s="16">
        <f>IF(ISNUMBER(Risultati!Y278/100),(Risultati!Y278/100))</f>
        <v>0</v>
      </c>
      <c r="BM279" s="16">
        <f>IF(ISNUMBER(Risultati!Z278/100),(Risultati!Z278/100))</f>
        <v>0</v>
      </c>
      <c r="BN279" s="16">
        <f>IF(AND(Risultati!AY278&lt;0,calcoli!AP279&lt;0),-IF(ISNUMBER(Risultati!AA278/100),(Risultati!AA278/100)),IF(ISNUMBER(Risultati!AA278/100),(Risultati!AA278/100)))</f>
        <v>0</v>
      </c>
      <c r="BO279" s="16" t="str">
        <f t="shared" si="234"/>
        <v>0</v>
      </c>
      <c r="BP279" s="16" t="str">
        <f>IF(Risultati!AB278&gt;0,(AV279/Risultati!AB278),"0")</f>
        <v>0</v>
      </c>
      <c r="BQ279" s="16" t="str">
        <f>IF(Risultati!AG278&lt;&gt;0,(BH279/Risultati!AG278),"0")</f>
        <v>0</v>
      </c>
      <c r="BR279" s="16" t="str">
        <f t="shared" si="235"/>
        <v>0</v>
      </c>
      <c r="BS279" s="14" t="str">
        <f>IF(Risultati!AB278&gt;0,(Risultati!G278/Risultati!AB278),"0")</f>
        <v>0</v>
      </c>
      <c r="BT279" s="15" t="str">
        <f>IF(Risultati!AG278&lt;&gt;0,(Risultati!AB278/Risultati!AG278),"0")</f>
        <v>0</v>
      </c>
      <c r="BU279" s="23" t="str">
        <f>IF(AND(Risultati!G278&gt;0,(Risultati!AE278-Risultati!AF278)&gt;=0),((Risultati!AE278-Risultati!AF278)/Risultati!G278*360),"0")</f>
        <v>0</v>
      </c>
      <c r="BV279" s="21" t="str">
        <f>IF(OR(E279="abbreviato",Risultati!G278=0),"0",((Risultati!AC278+Risultati!AD278)/Risultati!G278*360))</f>
        <v>0</v>
      </c>
      <c r="BW279" s="21" t="str">
        <f>IF(OR(E279="abbreviato",Risultati!G278=0,SUM(Risultati!I278+Risultati!K278+Risultati!M278)=0),"0",(((Risultati!AH278+Risultati!AI278)/(Risultati!I278+Risultati!K278+Risultati!N278)*360)))</f>
        <v>0</v>
      </c>
      <c r="BX279" s="16" t="str">
        <f>IF(Risultati!AB278&gt;0,(+Risultati!AG278/Risultati!AB278),"0")</f>
        <v>0</v>
      </c>
      <c r="BY279" s="22" t="str">
        <f>IF(OR(E279="abbreviato",Risultati!G278=0),"0",(((Risultati!AK278-(Risultati!AL278+Risultati!AM278))/Risultati!G278)))</f>
        <v>0</v>
      </c>
      <c r="BZ279" s="16" t="str">
        <f>IF(Risultati!G278&gt;0,(Risultati!AJ278/Risultati!G278),"0")</f>
        <v>0</v>
      </c>
      <c r="CA279" s="8"/>
      <c r="CB279" s="10">
        <f>+Risultati!AP278</f>
        <v>0</v>
      </c>
      <c r="CC279" s="31" t="str">
        <f t="shared" si="210"/>
        <v>0</v>
      </c>
      <c r="CD279" s="10">
        <f>+Risultati!AQ278</f>
        <v>0</v>
      </c>
      <c r="CE279" s="31" t="str">
        <f t="shared" si="211"/>
        <v>0</v>
      </c>
      <c r="CF279" s="10">
        <f>+Risultati!AR278</f>
        <v>0</v>
      </c>
      <c r="CG279" s="31" t="str">
        <f t="shared" si="212"/>
        <v>0</v>
      </c>
      <c r="CH279" s="10">
        <f>+Risultati!AS278</f>
        <v>0</v>
      </c>
      <c r="CI279" s="31" t="str">
        <f t="shared" si="213"/>
        <v>0</v>
      </c>
      <c r="CJ279" s="10">
        <f t="shared" si="214"/>
        <v>0</v>
      </c>
      <c r="CK279" s="31" t="str">
        <f t="shared" si="215"/>
        <v>0</v>
      </c>
      <c r="CL279" s="10">
        <f>+Risultati!AE278+Risultati!AF278</f>
        <v>0</v>
      </c>
      <c r="CM279" s="31" t="str">
        <f t="shared" si="216"/>
        <v>0</v>
      </c>
      <c r="CN279" s="10">
        <f>+Risultati!AT278</f>
        <v>0</v>
      </c>
      <c r="CO279" s="31" t="str">
        <f t="shared" si="217"/>
        <v>0</v>
      </c>
      <c r="CP279" s="10">
        <f>+Risultati!AU278</f>
        <v>0</v>
      </c>
      <c r="CQ279" s="31" t="str">
        <f t="shared" si="218"/>
        <v>0</v>
      </c>
      <c r="CR279" s="10">
        <f>+Risultati!AL278</f>
        <v>0</v>
      </c>
      <c r="CS279" s="31" t="str">
        <f t="shared" si="219"/>
        <v>0</v>
      </c>
      <c r="CT279" s="10">
        <f t="shared" si="220"/>
        <v>0</v>
      </c>
      <c r="CU279" s="31" t="str">
        <f t="shared" si="221"/>
        <v>0</v>
      </c>
      <c r="CV279" s="10">
        <f>+Risultati!AX278</f>
        <v>0</v>
      </c>
      <c r="CW279" s="31" t="str">
        <f t="shared" si="222"/>
        <v>0</v>
      </c>
      <c r="CX279" s="10">
        <f t="shared" si="223"/>
        <v>0</v>
      </c>
      <c r="CY279" s="31" t="str">
        <f t="shared" si="224"/>
        <v>0</v>
      </c>
      <c r="CZ279" s="10">
        <f>+Risultati!AG278</f>
        <v>0</v>
      </c>
      <c r="DA279" s="31" t="str">
        <f t="shared" si="225"/>
        <v>0</v>
      </c>
      <c r="DB279" s="10">
        <f t="shared" si="226"/>
        <v>0</v>
      </c>
      <c r="DC279" s="31" t="str">
        <f t="shared" si="227"/>
        <v>0</v>
      </c>
      <c r="DD279" s="10">
        <f>+Risultati!AV278</f>
        <v>0</v>
      </c>
      <c r="DE279" s="31" t="str">
        <f t="shared" si="228"/>
        <v>0</v>
      </c>
      <c r="DF279" s="10">
        <f>+Risultati!AJ278</f>
        <v>0</v>
      </c>
      <c r="DG279" s="31" t="str">
        <f t="shared" si="229"/>
        <v>0</v>
      </c>
      <c r="DH279" s="10">
        <f t="shared" si="230"/>
        <v>0</v>
      </c>
      <c r="DI279" s="31" t="str">
        <f t="shared" si="231"/>
        <v>0</v>
      </c>
      <c r="DJ279" s="10">
        <f>+Risultati!AW278</f>
        <v>0</v>
      </c>
      <c r="DK279" s="31" t="str">
        <f t="shared" si="232"/>
        <v>0</v>
      </c>
      <c r="DL279" s="10">
        <f t="shared" si="254"/>
        <v>0</v>
      </c>
      <c r="DM279" s="31" t="str">
        <f t="shared" si="233"/>
        <v>0</v>
      </c>
      <c r="DO279" s="30"/>
      <c r="DP279" s="30"/>
    </row>
    <row r="280" spans="1:120" x14ac:dyDescent="0.2">
      <c r="A280" s="5"/>
      <c r="B280" s="6">
        <f>+Risultati!B279</f>
        <v>0</v>
      </c>
      <c r="C280" s="6">
        <f>+Risultati!C279</f>
        <v>0</v>
      </c>
      <c r="D280" s="26" t="str">
        <f>IF(YEAR(Risultati!D279)=1900,(MID(Risultati!$AP$1,29,4)),YEAR(Risultati!D279))</f>
        <v/>
      </c>
      <c r="E280" s="6">
        <f>+Risultati!E279</f>
        <v>0</v>
      </c>
      <c r="F280" s="8" t="e">
        <f>(LEFT(Risultati!AN279,2)&amp;"-")&amp;VLOOKUP((LEFT(Risultati!AN279,2)),ateco!$B$4:$C$93,2,FALSE)</f>
        <v>#N/A</v>
      </c>
      <c r="G280" s="8" t="str">
        <f>SUBSTITUTE((Risultati!AN279&amp;"-"&amp;Risultati!AO279),",",";")</f>
        <v>-</v>
      </c>
      <c r="I280" s="10">
        <f>+Risultati!G279</f>
        <v>0</v>
      </c>
      <c r="J280" s="11" t="str">
        <f t="shared" si="236"/>
        <v>0</v>
      </c>
      <c r="K280" s="12"/>
      <c r="L280" s="10">
        <f>+Risultati!G279+Risultati!H279</f>
        <v>0</v>
      </c>
      <c r="M280" s="11" t="str">
        <f t="shared" si="237"/>
        <v>0</v>
      </c>
      <c r="N280" s="12"/>
      <c r="O280" s="10">
        <f>+Risultati!I279+Risultati!J279</f>
        <v>0</v>
      </c>
      <c r="P280" s="11" t="str">
        <f t="shared" si="238"/>
        <v>0</v>
      </c>
      <c r="Q280" s="12"/>
      <c r="R280" s="13">
        <f t="shared" si="204"/>
        <v>0</v>
      </c>
      <c r="S280" s="11" t="str">
        <f t="shared" si="239"/>
        <v>0</v>
      </c>
      <c r="T280" s="12"/>
      <c r="U280" s="10">
        <f>+Risultati!F279-(Risultati!G279+Risultati!H279)</f>
        <v>0</v>
      </c>
      <c r="V280" s="12" t="str">
        <f t="shared" si="240"/>
        <v>0</v>
      </c>
      <c r="W280" s="12"/>
      <c r="X280" s="10">
        <f t="shared" si="205"/>
        <v>0</v>
      </c>
      <c r="Y280" s="12" t="str">
        <f t="shared" si="241"/>
        <v>0</v>
      </c>
      <c r="Z280" s="12"/>
      <c r="AA280" s="10">
        <f>+Risultati!K279</f>
        <v>0</v>
      </c>
      <c r="AB280" s="12" t="str">
        <f t="shared" si="242"/>
        <v>0</v>
      </c>
      <c r="AC280" s="12"/>
      <c r="AD280" s="10">
        <f>+Risultati!L279</f>
        <v>0</v>
      </c>
      <c r="AE280" s="12" t="str">
        <f t="shared" si="243"/>
        <v>0</v>
      </c>
      <c r="AF280" s="12"/>
      <c r="AG280" s="10">
        <f>+Risultati!M279+Risultati!P279+Risultati!Q279</f>
        <v>0</v>
      </c>
      <c r="AH280" s="12" t="str">
        <f t="shared" si="244"/>
        <v>0</v>
      </c>
      <c r="AI280" s="12"/>
      <c r="AJ280" s="13">
        <f t="shared" si="206"/>
        <v>0</v>
      </c>
      <c r="AK280" s="11" t="str">
        <f t="shared" si="245"/>
        <v>0</v>
      </c>
      <c r="AL280" s="12"/>
      <c r="AM280" s="10">
        <f>+Risultati!N279</f>
        <v>0</v>
      </c>
      <c r="AN280" s="12" t="str">
        <f t="shared" si="246"/>
        <v>0</v>
      </c>
      <c r="AO280" s="12"/>
      <c r="AP280" s="10">
        <f t="shared" si="207"/>
        <v>0</v>
      </c>
      <c r="AQ280" s="41" t="str">
        <f t="shared" si="247"/>
        <v>0</v>
      </c>
      <c r="AR280" s="12"/>
      <c r="AS280" s="10">
        <f>+Risultati!O279</f>
        <v>0</v>
      </c>
      <c r="AT280" s="12" t="str">
        <f t="shared" si="248"/>
        <v>0</v>
      </c>
      <c r="AU280" s="12"/>
      <c r="AV280" s="10">
        <f t="shared" si="208"/>
        <v>0</v>
      </c>
      <c r="AW280" s="12" t="str">
        <f t="shared" si="249"/>
        <v>0</v>
      </c>
      <c r="AX280" s="12"/>
      <c r="AY280" s="10">
        <f>+Risultati!R279+Risultati!S279</f>
        <v>0</v>
      </c>
      <c r="AZ280" s="12" t="str">
        <f t="shared" si="250"/>
        <v>0</v>
      </c>
      <c r="BA280" s="12"/>
      <c r="BB280" s="10">
        <f>+Risultati!T279</f>
        <v>0</v>
      </c>
      <c r="BC280" s="12" t="str">
        <f t="shared" si="251"/>
        <v>0</v>
      </c>
      <c r="BD280" s="12"/>
      <c r="BE280" s="10">
        <f>+Risultati!U279</f>
        <v>0</v>
      </c>
      <c r="BF280" s="12" t="str">
        <f t="shared" si="252"/>
        <v>0</v>
      </c>
      <c r="BG280" s="12"/>
      <c r="BH280" s="10">
        <f t="shared" si="209"/>
        <v>0</v>
      </c>
      <c r="BI280" s="12" t="str">
        <f t="shared" si="253"/>
        <v>0</v>
      </c>
      <c r="BK280" s="16">
        <f>IF(ISNUMBER(Risultati!X279/100),(Risultati!X279/100))</f>
        <v>0</v>
      </c>
      <c r="BL280" s="16">
        <f>IF(ISNUMBER(Risultati!Y279/100),(Risultati!Y279/100))</f>
        <v>0</v>
      </c>
      <c r="BM280" s="16">
        <f>IF(ISNUMBER(Risultati!Z279/100),(Risultati!Z279/100))</f>
        <v>0</v>
      </c>
      <c r="BN280" s="16">
        <f>IF(AND(Risultati!AY279&lt;0,calcoli!AP280&lt;0),-IF(ISNUMBER(Risultati!AA279/100),(Risultati!AA279/100)),IF(ISNUMBER(Risultati!AA279/100),(Risultati!AA279/100)))</f>
        <v>0</v>
      </c>
      <c r="BO280" s="16" t="str">
        <f t="shared" si="234"/>
        <v>0</v>
      </c>
      <c r="BP280" s="16" t="str">
        <f>IF(Risultati!AB279&gt;0,(AV280/Risultati!AB279),"0")</f>
        <v>0</v>
      </c>
      <c r="BQ280" s="16" t="str">
        <f>IF(Risultati!AG279&lt;&gt;0,(BH280/Risultati!AG279),"0")</f>
        <v>0</v>
      </c>
      <c r="BR280" s="16" t="str">
        <f t="shared" si="235"/>
        <v>0</v>
      </c>
      <c r="BS280" s="14" t="str">
        <f>IF(Risultati!AB279&gt;0,(Risultati!G279/Risultati!AB279),"0")</f>
        <v>0</v>
      </c>
      <c r="BT280" s="15" t="str">
        <f>IF(Risultati!AG279&lt;&gt;0,(Risultati!AB279/Risultati!AG279),"0")</f>
        <v>0</v>
      </c>
      <c r="BU280" s="23" t="str">
        <f>IF(AND(Risultati!G279&gt;0,(Risultati!AE279-Risultati!AF279)&gt;=0),((Risultati!AE279-Risultati!AF279)/Risultati!G279*360),"0")</f>
        <v>0</v>
      </c>
      <c r="BV280" s="21" t="str">
        <f>IF(OR(E280="abbreviato",Risultati!G279=0),"0",((Risultati!AC279+Risultati!AD279)/Risultati!G279*360))</f>
        <v>0</v>
      </c>
      <c r="BW280" s="21" t="str">
        <f>IF(OR(E280="abbreviato",Risultati!G279=0,SUM(Risultati!I279+Risultati!K279+Risultati!M279)=0),"0",(((Risultati!AH279+Risultati!AI279)/(Risultati!I279+Risultati!K279+Risultati!N279)*360)))</f>
        <v>0</v>
      </c>
      <c r="BX280" s="16" t="str">
        <f>IF(Risultati!AB279&gt;0,(+Risultati!AG279/Risultati!AB279),"0")</f>
        <v>0</v>
      </c>
      <c r="BY280" s="22" t="str">
        <f>IF(OR(E280="abbreviato",Risultati!G279=0),"0",(((Risultati!AK279-(Risultati!AL279+Risultati!AM279))/Risultati!G279)))</f>
        <v>0</v>
      </c>
      <c r="BZ280" s="16" t="str">
        <f>IF(Risultati!G279&gt;0,(Risultati!AJ279/Risultati!G279),"0")</f>
        <v>0</v>
      </c>
      <c r="CA280" s="8"/>
      <c r="CB280" s="10">
        <f>+Risultati!AP279</f>
        <v>0</v>
      </c>
      <c r="CC280" s="31" t="str">
        <f t="shared" si="210"/>
        <v>0</v>
      </c>
      <c r="CD280" s="10">
        <f>+Risultati!AQ279</f>
        <v>0</v>
      </c>
      <c r="CE280" s="31" t="str">
        <f t="shared" si="211"/>
        <v>0</v>
      </c>
      <c r="CF280" s="10">
        <f>+Risultati!AR279</f>
        <v>0</v>
      </c>
      <c r="CG280" s="31" t="str">
        <f t="shared" si="212"/>
        <v>0</v>
      </c>
      <c r="CH280" s="10">
        <f>+Risultati!AS279</f>
        <v>0</v>
      </c>
      <c r="CI280" s="31" t="str">
        <f t="shared" si="213"/>
        <v>0</v>
      </c>
      <c r="CJ280" s="10">
        <f t="shared" si="214"/>
        <v>0</v>
      </c>
      <c r="CK280" s="31" t="str">
        <f t="shared" si="215"/>
        <v>0</v>
      </c>
      <c r="CL280" s="10">
        <f>+Risultati!AE279+Risultati!AF279</f>
        <v>0</v>
      </c>
      <c r="CM280" s="31" t="str">
        <f t="shared" si="216"/>
        <v>0</v>
      </c>
      <c r="CN280" s="10">
        <f>+Risultati!AT279</f>
        <v>0</v>
      </c>
      <c r="CO280" s="31" t="str">
        <f t="shared" si="217"/>
        <v>0</v>
      </c>
      <c r="CP280" s="10">
        <f>+Risultati!AU279</f>
        <v>0</v>
      </c>
      <c r="CQ280" s="31" t="str">
        <f t="shared" si="218"/>
        <v>0</v>
      </c>
      <c r="CR280" s="10">
        <f>+Risultati!AL279</f>
        <v>0</v>
      </c>
      <c r="CS280" s="31" t="str">
        <f t="shared" si="219"/>
        <v>0</v>
      </c>
      <c r="CT280" s="10">
        <f t="shared" si="220"/>
        <v>0</v>
      </c>
      <c r="CU280" s="31" t="str">
        <f t="shared" si="221"/>
        <v>0</v>
      </c>
      <c r="CV280" s="10">
        <f>+Risultati!AX279</f>
        <v>0</v>
      </c>
      <c r="CW280" s="31" t="str">
        <f t="shared" si="222"/>
        <v>0</v>
      </c>
      <c r="CX280" s="10">
        <f t="shared" si="223"/>
        <v>0</v>
      </c>
      <c r="CY280" s="31" t="str">
        <f t="shared" si="224"/>
        <v>0</v>
      </c>
      <c r="CZ280" s="10">
        <f>+Risultati!AG279</f>
        <v>0</v>
      </c>
      <c r="DA280" s="31" t="str">
        <f t="shared" si="225"/>
        <v>0</v>
      </c>
      <c r="DB280" s="10">
        <f t="shared" si="226"/>
        <v>0</v>
      </c>
      <c r="DC280" s="31" t="str">
        <f t="shared" si="227"/>
        <v>0</v>
      </c>
      <c r="DD280" s="10">
        <f>+Risultati!AV279</f>
        <v>0</v>
      </c>
      <c r="DE280" s="31" t="str">
        <f t="shared" si="228"/>
        <v>0</v>
      </c>
      <c r="DF280" s="10">
        <f>+Risultati!AJ279</f>
        <v>0</v>
      </c>
      <c r="DG280" s="31" t="str">
        <f t="shared" si="229"/>
        <v>0</v>
      </c>
      <c r="DH280" s="10">
        <f t="shared" si="230"/>
        <v>0</v>
      </c>
      <c r="DI280" s="31" t="str">
        <f t="shared" si="231"/>
        <v>0</v>
      </c>
      <c r="DJ280" s="10">
        <f>+Risultati!AW279</f>
        <v>0</v>
      </c>
      <c r="DK280" s="31" t="str">
        <f t="shared" si="232"/>
        <v>0</v>
      </c>
      <c r="DL280" s="10">
        <f t="shared" si="254"/>
        <v>0</v>
      </c>
      <c r="DM280" s="31" t="str">
        <f t="shared" si="233"/>
        <v>0</v>
      </c>
      <c r="DO280" s="30"/>
      <c r="DP280" s="30"/>
    </row>
    <row r="281" spans="1:120" x14ac:dyDescent="0.2">
      <c r="A281" s="5"/>
      <c r="B281" s="6">
        <f>+Risultati!B280</f>
        <v>0</v>
      </c>
      <c r="C281" s="6">
        <f>+Risultati!C280</f>
        <v>0</v>
      </c>
      <c r="D281" s="26" t="str">
        <f>IF(YEAR(Risultati!D280)=1900,(MID(Risultati!$AP$1,29,4)),YEAR(Risultati!D280))</f>
        <v/>
      </c>
      <c r="E281" s="6">
        <f>+Risultati!E280</f>
        <v>0</v>
      </c>
      <c r="F281" s="8" t="e">
        <f>(LEFT(Risultati!AN280,2)&amp;"-")&amp;VLOOKUP((LEFT(Risultati!AN280,2)),ateco!$B$4:$C$93,2,FALSE)</f>
        <v>#N/A</v>
      </c>
      <c r="G281" s="8" t="str">
        <f>SUBSTITUTE((Risultati!AN280&amp;"-"&amp;Risultati!AO280),",",";")</f>
        <v>-</v>
      </c>
      <c r="I281" s="10">
        <f>+Risultati!G280</f>
        <v>0</v>
      </c>
      <c r="J281" s="11" t="str">
        <f t="shared" si="236"/>
        <v>0</v>
      </c>
      <c r="K281" s="12"/>
      <c r="L281" s="10">
        <f>+Risultati!G280+Risultati!H280</f>
        <v>0</v>
      </c>
      <c r="M281" s="11" t="str">
        <f t="shared" si="237"/>
        <v>0</v>
      </c>
      <c r="N281" s="12"/>
      <c r="O281" s="10">
        <f>+Risultati!I280+Risultati!J280</f>
        <v>0</v>
      </c>
      <c r="P281" s="11" t="str">
        <f t="shared" si="238"/>
        <v>0</v>
      </c>
      <c r="Q281" s="12"/>
      <c r="R281" s="13">
        <f t="shared" si="204"/>
        <v>0</v>
      </c>
      <c r="S281" s="11" t="str">
        <f t="shared" si="239"/>
        <v>0</v>
      </c>
      <c r="T281" s="12"/>
      <c r="U281" s="10">
        <f>+Risultati!F280-(Risultati!G280+Risultati!H280)</f>
        <v>0</v>
      </c>
      <c r="V281" s="12" t="str">
        <f t="shared" si="240"/>
        <v>0</v>
      </c>
      <c r="W281" s="12"/>
      <c r="X281" s="10">
        <f t="shared" si="205"/>
        <v>0</v>
      </c>
      <c r="Y281" s="12" t="str">
        <f t="shared" si="241"/>
        <v>0</v>
      </c>
      <c r="Z281" s="12"/>
      <c r="AA281" s="10">
        <f>+Risultati!K280</f>
        <v>0</v>
      </c>
      <c r="AB281" s="12" t="str">
        <f t="shared" si="242"/>
        <v>0</v>
      </c>
      <c r="AC281" s="12"/>
      <c r="AD281" s="10">
        <f>+Risultati!L280</f>
        <v>0</v>
      </c>
      <c r="AE281" s="12" t="str">
        <f t="shared" si="243"/>
        <v>0</v>
      </c>
      <c r="AF281" s="12"/>
      <c r="AG281" s="10">
        <f>+Risultati!M280+Risultati!P280+Risultati!Q280</f>
        <v>0</v>
      </c>
      <c r="AH281" s="12" t="str">
        <f t="shared" si="244"/>
        <v>0</v>
      </c>
      <c r="AI281" s="12"/>
      <c r="AJ281" s="13">
        <f t="shared" si="206"/>
        <v>0</v>
      </c>
      <c r="AK281" s="11" t="str">
        <f t="shared" si="245"/>
        <v>0</v>
      </c>
      <c r="AL281" s="12"/>
      <c r="AM281" s="10">
        <f>+Risultati!N280</f>
        <v>0</v>
      </c>
      <c r="AN281" s="12" t="str">
        <f t="shared" si="246"/>
        <v>0</v>
      </c>
      <c r="AO281" s="12"/>
      <c r="AP281" s="10">
        <f t="shared" si="207"/>
        <v>0</v>
      </c>
      <c r="AQ281" s="41" t="str">
        <f t="shared" si="247"/>
        <v>0</v>
      </c>
      <c r="AR281" s="12"/>
      <c r="AS281" s="10">
        <f>+Risultati!O280</f>
        <v>0</v>
      </c>
      <c r="AT281" s="12" t="str">
        <f t="shared" si="248"/>
        <v>0</v>
      </c>
      <c r="AU281" s="12"/>
      <c r="AV281" s="10">
        <f t="shared" si="208"/>
        <v>0</v>
      </c>
      <c r="AW281" s="12" t="str">
        <f t="shared" si="249"/>
        <v>0</v>
      </c>
      <c r="AX281" s="12"/>
      <c r="AY281" s="10">
        <f>+Risultati!R280+Risultati!S280</f>
        <v>0</v>
      </c>
      <c r="AZ281" s="12" t="str">
        <f t="shared" si="250"/>
        <v>0</v>
      </c>
      <c r="BA281" s="12"/>
      <c r="BB281" s="10">
        <f>+Risultati!T280</f>
        <v>0</v>
      </c>
      <c r="BC281" s="12" t="str">
        <f t="shared" si="251"/>
        <v>0</v>
      </c>
      <c r="BD281" s="12"/>
      <c r="BE281" s="10">
        <f>+Risultati!U280</f>
        <v>0</v>
      </c>
      <c r="BF281" s="12" t="str">
        <f t="shared" si="252"/>
        <v>0</v>
      </c>
      <c r="BG281" s="12"/>
      <c r="BH281" s="10">
        <f t="shared" si="209"/>
        <v>0</v>
      </c>
      <c r="BI281" s="12" t="str">
        <f t="shared" si="253"/>
        <v>0</v>
      </c>
      <c r="BK281" s="16">
        <f>IF(ISNUMBER(Risultati!X280/100),(Risultati!X280/100))</f>
        <v>0</v>
      </c>
      <c r="BL281" s="16">
        <f>IF(ISNUMBER(Risultati!Y280/100),(Risultati!Y280/100))</f>
        <v>0</v>
      </c>
      <c r="BM281" s="16">
        <f>IF(ISNUMBER(Risultati!Z280/100),(Risultati!Z280/100))</f>
        <v>0</v>
      </c>
      <c r="BN281" s="16">
        <f>IF(AND(Risultati!AY280&lt;0,calcoli!AP281&lt;0),-IF(ISNUMBER(Risultati!AA280/100),(Risultati!AA280/100)),IF(ISNUMBER(Risultati!AA280/100),(Risultati!AA280/100)))</f>
        <v>0</v>
      </c>
      <c r="BO281" s="16" t="str">
        <f t="shared" si="234"/>
        <v>0</v>
      </c>
      <c r="BP281" s="16" t="str">
        <f>IF(Risultati!AB280&gt;0,(AV281/Risultati!AB280),"0")</f>
        <v>0</v>
      </c>
      <c r="BQ281" s="16" t="str">
        <f>IF(Risultati!AG280&lt;&gt;0,(BH281/Risultati!AG280),"0")</f>
        <v>0</v>
      </c>
      <c r="BR281" s="16" t="str">
        <f t="shared" si="235"/>
        <v>0</v>
      </c>
      <c r="BS281" s="14" t="str">
        <f>IF(Risultati!AB280&gt;0,(Risultati!G280/Risultati!AB280),"0")</f>
        <v>0</v>
      </c>
      <c r="BT281" s="15" t="str">
        <f>IF(Risultati!AG280&lt;&gt;0,(Risultati!AB280/Risultati!AG280),"0")</f>
        <v>0</v>
      </c>
      <c r="BU281" s="23" t="str">
        <f>IF(AND(Risultati!G280&gt;0,(Risultati!AE280-Risultati!AF280)&gt;=0),((Risultati!AE280-Risultati!AF280)/Risultati!G280*360),"0")</f>
        <v>0</v>
      </c>
      <c r="BV281" s="21" t="str">
        <f>IF(OR(E281="abbreviato",Risultati!G280=0),"0",((Risultati!AC280+Risultati!AD280)/Risultati!G280*360))</f>
        <v>0</v>
      </c>
      <c r="BW281" s="21" t="str">
        <f>IF(OR(E281="abbreviato",Risultati!G280=0,SUM(Risultati!I280+Risultati!K280+Risultati!M280)=0),"0",(((Risultati!AH280+Risultati!AI280)/(Risultati!I280+Risultati!K280+Risultati!N280)*360)))</f>
        <v>0</v>
      </c>
      <c r="BX281" s="16" t="str">
        <f>IF(Risultati!AB280&gt;0,(+Risultati!AG280/Risultati!AB280),"0")</f>
        <v>0</v>
      </c>
      <c r="BY281" s="22" t="str">
        <f>IF(OR(E281="abbreviato",Risultati!G280=0),"0",(((Risultati!AK280-(Risultati!AL280+Risultati!AM280))/Risultati!G280)))</f>
        <v>0</v>
      </c>
      <c r="BZ281" s="16" t="str">
        <f>IF(Risultati!G280&gt;0,(Risultati!AJ280/Risultati!G280),"0")</f>
        <v>0</v>
      </c>
      <c r="CA281" s="8"/>
      <c r="CB281" s="10">
        <f>+Risultati!AP280</f>
        <v>0</v>
      </c>
      <c r="CC281" s="31" t="str">
        <f t="shared" si="210"/>
        <v>0</v>
      </c>
      <c r="CD281" s="10">
        <f>+Risultati!AQ280</f>
        <v>0</v>
      </c>
      <c r="CE281" s="31" t="str">
        <f t="shared" si="211"/>
        <v>0</v>
      </c>
      <c r="CF281" s="10">
        <f>+Risultati!AR280</f>
        <v>0</v>
      </c>
      <c r="CG281" s="31" t="str">
        <f t="shared" si="212"/>
        <v>0</v>
      </c>
      <c r="CH281" s="10">
        <f>+Risultati!AS280</f>
        <v>0</v>
      </c>
      <c r="CI281" s="31" t="str">
        <f t="shared" si="213"/>
        <v>0</v>
      </c>
      <c r="CJ281" s="10">
        <f t="shared" si="214"/>
        <v>0</v>
      </c>
      <c r="CK281" s="31" t="str">
        <f t="shared" si="215"/>
        <v>0</v>
      </c>
      <c r="CL281" s="10">
        <f>+Risultati!AE280+Risultati!AF280</f>
        <v>0</v>
      </c>
      <c r="CM281" s="31" t="str">
        <f t="shared" si="216"/>
        <v>0</v>
      </c>
      <c r="CN281" s="10">
        <f>+Risultati!AT280</f>
        <v>0</v>
      </c>
      <c r="CO281" s="31" t="str">
        <f t="shared" si="217"/>
        <v>0</v>
      </c>
      <c r="CP281" s="10">
        <f>+Risultati!AU280</f>
        <v>0</v>
      </c>
      <c r="CQ281" s="31" t="str">
        <f t="shared" si="218"/>
        <v>0</v>
      </c>
      <c r="CR281" s="10">
        <f>+Risultati!AL280</f>
        <v>0</v>
      </c>
      <c r="CS281" s="31" t="str">
        <f t="shared" si="219"/>
        <v>0</v>
      </c>
      <c r="CT281" s="10">
        <f t="shared" si="220"/>
        <v>0</v>
      </c>
      <c r="CU281" s="31" t="str">
        <f t="shared" si="221"/>
        <v>0</v>
      </c>
      <c r="CV281" s="10">
        <f>+Risultati!AX280</f>
        <v>0</v>
      </c>
      <c r="CW281" s="31" t="str">
        <f t="shared" si="222"/>
        <v>0</v>
      </c>
      <c r="CX281" s="10">
        <f t="shared" si="223"/>
        <v>0</v>
      </c>
      <c r="CY281" s="31" t="str">
        <f t="shared" si="224"/>
        <v>0</v>
      </c>
      <c r="CZ281" s="10">
        <f>+Risultati!AG280</f>
        <v>0</v>
      </c>
      <c r="DA281" s="31" t="str">
        <f t="shared" si="225"/>
        <v>0</v>
      </c>
      <c r="DB281" s="10">
        <f t="shared" si="226"/>
        <v>0</v>
      </c>
      <c r="DC281" s="31" t="str">
        <f t="shared" si="227"/>
        <v>0</v>
      </c>
      <c r="DD281" s="10">
        <f>+Risultati!AV280</f>
        <v>0</v>
      </c>
      <c r="DE281" s="31" t="str">
        <f t="shared" si="228"/>
        <v>0</v>
      </c>
      <c r="DF281" s="10">
        <f>+Risultati!AJ280</f>
        <v>0</v>
      </c>
      <c r="DG281" s="31" t="str">
        <f t="shared" si="229"/>
        <v>0</v>
      </c>
      <c r="DH281" s="10">
        <f t="shared" si="230"/>
        <v>0</v>
      </c>
      <c r="DI281" s="31" t="str">
        <f t="shared" si="231"/>
        <v>0</v>
      </c>
      <c r="DJ281" s="10">
        <f>+Risultati!AW280</f>
        <v>0</v>
      </c>
      <c r="DK281" s="31" t="str">
        <f t="shared" si="232"/>
        <v>0</v>
      </c>
      <c r="DL281" s="10">
        <f t="shared" si="254"/>
        <v>0</v>
      </c>
      <c r="DM281" s="31" t="str">
        <f t="shared" si="233"/>
        <v>0</v>
      </c>
      <c r="DO281" s="30"/>
      <c r="DP281" s="30"/>
    </row>
    <row r="282" spans="1:120" x14ac:dyDescent="0.2">
      <c r="A282" s="5"/>
      <c r="B282" s="6">
        <f>+Risultati!B281</f>
        <v>0</v>
      </c>
      <c r="C282" s="6">
        <f>+Risultati!C281</f>
        <v>0</v>
      </c>
      <c r="D282" s="26" t="str">
        <f>IF(YEAR(Risultati!D281)=1900,(MID(Risultati!$AP$1,29,4)),YEAR(Risultati!D281))</f>
        <v/>
      </c>
      <c r="E282" s="6">
        <f>+Risultati!E281</f>
        <v>0</v>
      </c>
      <c r="F282" s="8" t="e">
        <f>(LEFT(Risultati!AN281,2)&amp;"-")&amp;VLOOKUP((LEFT(Risultati!AN281,2)),ateco!$B$4:$C$93,2,FALSE)</f>
        <v>#N/A</v>
      </c>
      <c r="G282" s="8" t="str">
        <f>SUBSTITUTE((Risultati!AN281&amp;"-"&amp;Risultati!AO281),",",";")</f>
        <v>-</v>
      </c>
      <c r="I282" s="10">
        <f>+Risultati!G281</f>
        <v>0</v>
      </c>
      <c r="J282" s="11" t="str">
        <f t="shared" si="236"/>
        <v>0</v>
      </c>
      <c r="K282" s="12"/>
      <c r="L282" s="10">
        <f>+Risultati!G281+Risultati!H281</f>
        <v>0</v>
      </c>
      <c r="M282" s="11" t="str">
        <f t="shared" si="237"/>
        <v>0</v>
      </c>
      <c r="N282" s="12"/>
      <c r="O282" s="10">
        <f>+Risultati!I281+Risultati!J281</f>
        <v>0</v>
      </c>
      <c r="P282" s="11" t="str">
        <f t="shared" si="238"/>
        <v>0</v>
      </c>
      <c r="Q282" s="12"/>
      <c r="R282" s="13">
        <f t="shared" ref="R282:R345" si="255">+L282-O282</f>
        <v>0</v>
      </c>
      <c r="S282" s="11" t="str">
        <f t="shared" si="239"/>
        <v>0</v>
      </c>
      <c r="T282" s="12"/>
      <c r="U282" s="10">
        <f>+Risultati!F281-(Risultati!G281+Risultati!H281)</f>
        <v>0</v>
      </c>
      <c r="V282" s="12" t="str">
        <f t="shared" si="240"/>
        <v>0</v>
      </c>
      <c r="W282" s="12"/>
      <c r="X282" s="10">
        <f t="shared" ref="X282:X345" si="256">+U282+R282</f>
        <v>0</v>
      </c>
      <c r="Y282" s="12" t="str">
        <f t="shared" si="241"/>
        <v>0</v>
      </c>
      <c r="Z282" s="12"/>
      <c r="AA282" s="10">
        <f>+Risultati!K281</f>
        <v>0</v>
      </c>
      <c r="AB282" s="12" t="str">
        <f t="shared" si="242"/>
        <v>0</v>
      </c>
      <c r="AC282" s="12"/>
      <c r="AD282" s="10">
        <f>+Risultati!L281</f>
        <v>0</v>
      </c>
      <c r="AE282" s="12" t="str">
        <f t="shared" si="243"/>
        <v>0</v>
      </c>
      <c r="AF282" s="12"/>
      <c r="AG282" s="10">
        <f>+Risultati!M281+Risultati!P281+Risultati!Q281</f>
        <v>0</v>
      </c>
      <c r="AH282" s="12" t="str">
        <f t="shared" si="244"/>
        <v>0</v>
      </c>
      <c r="AI282" s="12"/>
      <c r="AJ282" s="13">
        <f t="shared" ref="AJ282:AJ345" si="257">+X282-AA282-AD282-AG282</f>
        <v>0</v>
      </c>
      <c r="AK282" s="11" t="str">
        <f t="shared" si="245"/>
        <v>0</v>
      </c>
      <c r="AL282" s="12"/>
      <c r="AM282" s="10">
        <f>+Risultati!N281</f>
        <v>0</v>
      </c>
      <c r="AN282" s="12" t="str">
        <f t="shared" si="246"/>
        <v>0</v>
      </c>
      <c r="AO282" s="12"/>
      <c r="AP282" s="10">
        <f t="shared" ref="AP282:AP345" si="258">+AJ282-AM282</f>
        <v>0</v>
      </c>
      <c r="AQ282" s="41" t="str">
        <f t="shared" si="247"/>
        <v>0</v>
      </c>
      <c r="AR282" s="12"/>
      <c r="AS282" s="10">
        <f>+Risultati!O281</f>
        <v>0</v>
      </c>
      <c r="AT282" s="12" t="str">
        <f t="shared" si="248"/>
        <v>0</v>
      </c>
      <c r="AU282" s="12"/>
      <c r="AV282" s="10">
        <f t="shared" ref="AV282:AV345" si="259">+AP282-AS282</f>
        <v>0</v>
      </c>
      <c r="AW282" s="12" t="str">
        <f t="shared" si="249"/>
        <v>0</v>
      </c>
      <c r="AX282" s="12"/>
      <c r="AY282" s="10">
        <f>+Risultati!R281+Risultati!S281</f>
        <v>0</v>
      </c>
      <c r="AZ282" s="12" t="str">
        <f t="shared" si="250"/>
        <v>0</v>
      </c>
      <c r="BA282" s="12"/>
      <c r="BB282" s="10">
        <f>+Risultati!T281</f>
        <v>0</v>
      </c>
      <c r="BC282" s="12" t="str">
        <f t="shared" si="251"/>
        <v>0</v>
      </c>
      <c r="BD282" s="12"/>
      <c r="BE282" s="10">
        <f>+Risultati!U281</f>
        <v>0</v>
      </c>
      <c r="BF282" s="12" t="str">
        <f t="shared" si="252"/>
        <v>0</v>
      </c>
      <c r="BG282" s="12"/>
      <c r="BH282" s="10">
        <f t="shared" ref="BH282:BH345" si="260">+AV282+AY282+BB282-BE282</f>
        <v>0</v>
      </c>
      <c r="BI282" s="12" t="str">
        <f t="shared" si="253"/>
        <v>0</v>
      </c>
      <c r="BK282" s="16">
        <f>IF(ISNUMBER(Risultati!X281/100),(Risultati!X281/100))</f>
        <v>0</v>
      </c>
      <c r="BL282" s="16">
        <f>IF(ISNUMBER(Risultati!Y281/100),(Risultati!Y281/100))</f>
        <v>0</v>
      </c>
      <c r="BM282" s="16">
        <f>IF(ISNUMBER(Risultati!Z281/100),(Risultati!Z281/100))</f>
        <v>0</v>
      </c>
      <c r="BN282" s="16">
        <f>IF(AND(Risultati!AY281&lt;0,calcoli!AP282&lt;0),-IF(ISNUMBER(Risultati!AA281/100),(Risultati!AA281/100)),IF(ISNUMBER(Risultati!AA281/100),(Risultati!AA281/100)))</f>
        <v>0</v>
      </c>
      <c r="BO282" s="16" t="str">
        <f t="shared" si="234"/>
        <v>0</v>
      </c>
      <c r="BP282" s="16" t="str">
        <f>IF(Risultati!AB281&gt;0,(AV282/Risultati!AB281),"0")</f>
        <v>0</v>
      </c>
      <c r="BQ282" s="16" t="str">
        <f>IF(Risultati!AG281&lt;&gt;0,(BH282/Risultati!AG281),"0")</f>
        <v>0</v>
      </c>
      <c r="BR282" s="16" t="str">
        <f t="shared" si="235"/>
        <v>0</v>
      </c>
      <c r="BS282" s="14" t="str">
        <f>IF(Risultati!AB281&gt;0,(Risultati!G281/Risultati!AB281),"0")</f>
        <v>0</v>
      </c>
      <c r="BT282" s="15" t="str">
        <f>IF(Risultati!AG281&lt;&gt;0,(Risultati!AB281/Risultati!AG281),"0")</f>
        <v>0</v>
      </c>
      <c r="BU282" s="23" t="str">
        <f>IF(AND(Risultati!G281&gt;0,(Risultati!AE281-Risultati!AF281)&gt;=0),((Risultati!AE281-Risultati!AF281)/Risultati!G281*360),"0")</f>
        <v>0</v>
      </c>
      <c r="BV282" s="21" t="str">
        <f>IF(OR(E282="abbreviato",Risultati!G281=0),"0",((Risultati!AC281+Risultati!AD281)/Risultati!G281*360))</f>
        <v>0</v>
      </c>
      <c r="BW282" s="21" t="str">
        <f>IF(OR(E282="abbreviato",Risultati!G281=0,SUM(Risultati!I281+Risultati!K281+Risultati!M281)=0),"0",(((Risultati!AH281+Risultati!AI281)/(Risultati!I281+Risultati!K281+Risultati!N281)*360)))</f>
        <v>0</v>
      </c>
      <c r="BX282" s="16" t="str">
        <f>IF(Risultati!AB281&gt;0,(+Risultati!AG281/Risultati!AB281),"0")</f>
        <v>0</v>
      </c>
      <c r="BY282" s="22" t="str">
        <f>IF(OR(E282="abbreviato",Risultati!G281=0),"0",(((Risultati!AK281-(Risultati!AL281+Risultati!AM281))/Risultati!G281)))</f>
        <v>0</v>
      </c>
      <c r="BZ282" s="16" t="str">
        <f>IF(Risultati!G281&gt;0,(Risultati!AJ281/Risultati!G281),"0")</f>
        <v>0</v>
      </c>
      <c r="CA282" s="8"/>
      <c r="CB282" s="10">
        <f>+Risultati!AP281</f>
        <v>0</v>
      </c>
      <c r="CC282" s="31" t="str">
        <f t="shared" ref="CC282:CC345" si="261">IF($CX282&gt;0,(CB282/$CX282),"0")</f>
        <v>0</v>
      </c>
      <c r="CD282" s="10">
        <f>+Risultati!AQ281</f>
        <v>0</v>
      </c>
      <c r="CE282" s="31" t="str">
        <f t="shared" ref="CE282:CE345" si="262">IF($CX282&gt;0,(CD282/$CX282),"0")</f>
        <v>0</v>
      </c>
      <c r="CF282" s="10">
        <f>+Risultati!AR281</f>
        <v>0</v>
      </c>
      <c r="CG282" s="31" t="str">
        <f t="shared" ref="CG282:CG345" si="263">IF($CX282&gt;0,(CF282/$CX282),"0")</f>
        <v>0</v>
      </c>
      <c r="CH282" s="10">
        <f>+Risultati!AS281</f>
        <v>0</v>
      </c>
      <c r="CI282" s="31" t="str">
        <f t="shared" ref="CI282:CI345" si="264">IF($CX282&gt;0,(CH282/$CX282),"0")</f>
        <v>0</v>
      </c>
      <c r="CJ282" s="10">
        <f t="shared" ref="CJ282:CJ345" si="265">+CH282+CF282+CD282</f>
        <v>0</v>
      </c>
      <c r="CK282" s="31" t="str">
        <f t="shared" ref="CK282:CK345" si="266">IF($CX282&gt;0,(CJ282/$CX282),"0")</f>
        <v>0</v>
      </c>
      <c r="CL282" s="10">
        <f>+Risultati!AE281+Risultati!AF281</f>
        <v>0</v>
      </c>
      <c r="CM282" s="31" t="str">
        <f t="shared" ref="CM282:CM345" si="267">IF($CX282&gt;0,(CL282/$CX282),"0")</f>
        <v>0</v>
      </c>
      <c r="CN282" s="10">
        <f>+Risultati!AT281</f>
        <v>0</v>
      </c>
      <c r="CO282" s="31" t="str">
        <f t="shared" ref="CO282:CO345" si="268">IF($CX282&gt;0,(CN282/$CX282),"0")</f>
        <v>0</v>
      </c>
      <c r="CP282" s="10">
        <f>+Risultati!AU281</f>
        <v>0</v>
      </c>
      <c r="CQ282" s="31" t="str">
        <f t="shared" ref="CQ282:CQ345" si="269">IF($CX282&gt;0,(CP282/$CX282),"0")</f>
        <v>0</v>
      </c>
      <c r="CR282" s="10">
        <f>+Risultati!AL281</f>
        <v>0</v>
      </c>
      <c r="CS282" s="31" t="str">
        <f t="shared" ref="CS282:CS345" si="270">IF($CX282&gt;0,(CR282/$CX282),"0")</f>
        <v>0</v>
      </c>
      <c r="CT282" s="10">
        <f t="shared" ref="CT282:CT345" si="271">+CR282+CP282+CN282+CL282</f>
        <v>0</v>
      </c>
      <c r="CU282" s="31" t="str">
        <f t="shared" ref="CU282:CU345" si="272">IF($CX282&gt;0,(CT282/$CX282),"0")</f>
        <v>0</v>
      </c>
      <c r="CV282" s="10">
        <f>+Risultati!AX281</f>
        <v>0</v>
      </c>
      <c r="CW282" s="31" t="str">
        <f t="shared" ref="CW282:CW345" si="273">IF($CX282&gt;0,(CV282/$CX282),"0")</f>
        <v>0</v>
      </c>
      <c r="CX282" s="10">
        <f t="shared" ref="CX282:CX345" si="274">+CV282+CT282+CJ282</f>
        <v>0</v>
      </c>
      <c r="CY282" s="31" t="str">
        <f t="shared" ref="CY282:CY345" si="275">IF($CX282&gt;0,(CX282/$CX282),"0")</f>
        <v>0</v>
      </c>
      <c r="CZ282" s="10">
        <f>+Risultati!AG281</f>
        <v>0</v>
      </c>
      <c r="DA282" s="31" t="str">
        <f t="shared" ref="DA282:DA345" si="276">IF($CX282&gt;0,(CZ282/$CX282),"0")</f>
        <v>0</v>
      </c>
      <c r="DB282" s="10">
        <f t="shared" ref="DB282:DB345" si="277">+DL282-CZ282-DD282-DJ282</f>
        <v>0</v>
      </c>
      <c r="DC282" s="31" t="str">
        <f t="shared" ref="DC282:DC345" si="278">IF($CX282&gt;0,(DB282/$CX282),"0")</f>
        <v>0</v>
      </c>
      <c r="DD282" s="10">
        <f>+Risultati!AV281</f>
        <v>0</v>
      </c>
      <c r="DE282" s="31" t="str">
        <f t="shared" ref="DE282:DE345" si="279">IF($CX282&gt;0,(DD282/$CX282),"0")</f>
        <v>0</v>
      </c>
      <c r="DF282" s="10">
        <f>+Risultati!AJ281</f>
        <v>0</v>
      </c>
      <c r="DG282" s="31" t="str">
        <f t="shared" ref="DG282:DG345" si="280">IF($CX282&gt;0,(DF282/$CX282),"0")</f>
        <v>0</v>
      </c>
      <c r="DH282" s="10">
        <f t="shared" ref="DH282:DH345" si="281">+DD282-DF282</f>
        <v>0</v>
      </c>
      <c r="DI282" s="31" t="str">
        <f t="shared" ref="DI282:DI345" si="282">IF($CX282&gt;0,(DH282/$CX282),"0")</f>
        <v>0</v>
      </c>
      <c r="DJ282" s="10">
        <f>+Risultati!AW281</f>
        <v>0</v>
      </c>
      <c r="DK282" s="31" t="str">
        <f t="shared" ref="DK282:DK345" si="283">IF($CX282&gt;0,(DJ282/$CX282),"0")</f>
        <v>0</v>
      </c>
      <c r="DL282" s="10">
        <f t="shared" si="254"/>
        <v>0</v>
      </c>
      <c r="DM282" s="31" t="str">
        <f t="shared" ref="DM282:DM345" si="284">IF($CX282&gt;0,(DL282/$CX282),"0")</f>
        <v>0</v>
      </c>
      <c r="DO282" s="30"/>
      <c r="DP282" s="30"/>
    </row>
    <row r="283" spans="1:120" x14ac:dyDescent="0.2">
      <c r="A283" s="5"/>
      <c r="B283" s="6">
        <f>+Risultati!B282</f>
        <v>0</v>
      </c>
      <c r="C283" s="6">
        <f>+Risultati!C282</f>
        <v>0</v>
      </c>
      <c r="D283" s="26" t="str">
        <f>IF(YEAR(Risultati!D282)=1900,(MID(Risultati!$AP$1,29,4)),YEAR(Risultati!D282))</f>
        <v/>
      </c>
      <c r="E283" s="6">
        <f>+Risultati!E282</f>
        <v>0</v>
      </c>
      <c r="F283" s="8" t="e">
        <f>(LEFT(Risultati!AN282,2)&amp;"-")&amp;VLOOKUP((LEFT(Risultati!AN282,2)),ateco!$B$4:$C$93,2,FALSE)</f>
        <v>#N/A</v>
      </c>
      <c r="G283" s="8" t="str">
        <f>SUBSTITUTE((Risultati!AN282&amp;"-"&amp;Risultati!AO282),",",";")</f>
        <v>-</v>
      </c>
      <c r="I283" s="10">
        <f>+Risultati!G282</f>
        <v>0</v>
      </c>
      <c r="J283" s="11" t="str">
        <f t="shared" si="236"/>
        <v>0</v>
      </c>
      <c r="K283" s="12"/>
      <c r="L283" s="10">
        <f>+Risultati!G282+Risultati!H282</f>
        <v>0</v>
      </c>
      <c r="M283" s="11" t="str">
        <f t="shared" si="237"/>
        <v>0</v>
      </c>
      <c r="N283" s="12"/>
      <c r="O283" s="10">
        <f>+Risultati!I282+Risultati!J282</f>
        <v>0</v>
      </c>
      <c r="P283" s="11" t="str">
        <f t="shared" si="238"/>
        <v>0</v>
      </c>
      <c r="Q283" s="12"/>
      <c r="R283" s="13">
        <f t="shared" si="255"/>
        <v>0</v>
      </c>
      <c r="S283" s="11" t="str">
        <f t="shared" si="239"/>
        <v>0</v>
      </c>
      <c r="T283" s="12"/>
      <c r="U283" s="10">
        <f>+Risultati!F282-(Risultati!G282+Risultati!H282)</f>
        <v>0</v>
      </c>
      <c r="V283" s="12" t="str">
        <f t="shared" si="240"/>
        <v>0</v>
      </c>
      <c r="W283" s="12"/>
      <c r="X283" s="10">
        <f t="shared" si="256"/>
        <v>0</v>
      </c>
      <c r="Y283" s="12" t="str">
        <f t="shared" si="241"/>
        <v>0</v>
      </c>
      <c r="Z283" s="12"/>
      <c r="AA283" s="10">
        <f>+Risultati!K282</f>
        <v>0</v>
      </c>
      <c r="AB283" s="12" t="str">
        <f t="shared" si="242"/>
        <v>0</v>
      </c>
      <c r="AC283" s="12"/>
      <c r="AD283" s="10">
        <f>+Risultati!L282</f>
        <v>0</v>
      </c>
      <c r="AE283" s="12" t="str">
        <f t="shared" si="243"/>
        <v>0</v>
      </c>
      <c r="AF283" s="12"/>
      <c r="AG283" s="10">
        <f>+Risultati!M282+Risultati!P282+Risultati!Q282</f>
        <v>0</v>
      </c>
      <c r="AH283" s="12" t="str">
        <f t="shared" si="244"/>
        <v>0</v>
      </c>
      <c r="AI283" s="12"/>
      <c r="AJ283" s="13">
        <f t="shared" si="257"/>
        <v>0</v>
      </c>
      <c r="AK283" s="11" t="str">
        <f t="shared" si="245"/>
        <v>0</v>
      </c>
      <c r="AL283" s="12"/>
      <c r="AM283" s="10">
        <f>+Risultati!N282</f>
        <v>0</v>
      </c>
      <c r="AN283" s="12" t="str">
        <f t="shared" si="246"/>
        <v>0</v>
      </c>
      <c r="AO283" s="12"/>
      <c r="AP283" s="10">
        <f t="shared" si="258"/>
        <v>0</v>
      </c>
      <c r="AQ283" s="41" t="str">
        <f t="shared" si="247"/>
        <v>0</v>
      </c>
      <c r="AR283" s="12"/>
      <c r="AS283" s="10">
        <f>+Risultati!O282</f>
        <v>0</v>
      </c>
      <c r="AT283" s="12" t="str">
        <f t="shared" si="248"/>
        <v>0</v>
      </c>
      <c r="AU283" s="12"/>
      <c r="AV283" s="10">
        <f t="shared" si="259"/>
        <v>0</v>
      </c>
      <c r="AW283" s="12" t="str">
        <f t="shared" si="249"/>
        <v>0</v>
      </c>
      <c r="AX283" s="12"/>
      <c r="AY283" s="10">
        <f>+Risultati!R282+Risultati!S282</f>
        <v>0</v>
      </c>
      <c r="AZ283" s="12" t="str">
        <f t="shared" si="250"/>
        <v>0</v>
      </c>
      <c r="BA283" s="12"/>
      <c r="BB283" s="10">
        <f>+Risultati!T282</f>
        <v>0</v>
      </c>
      <c r="BC283" s="12" t="str">
        <f t="shared" si="251"/>
        <v>0</v>
      </c>
      <c r="BD283" s="12"/>
      <c r="BE283" s="10">
        <f>+Risultati!U282</f>
        <v>0</v>
      </c>
      <c r="BF283" s="12" t="str">
        <f t="shared" si="252"/>
        <v>0</v>
      </c>
      <c r="BG283" s="12"/>
      <c r="BH283" s="10">
        <f t="shared" si="260"/>
        <v>0</v>
      </c>
      <c r="BI283" s="12" t="str">
        <f t="shared" si="253"/>
        <v>0</v>
      </c>
      <c r="BK283" s="16">
        <f>IF(ISNUMBER(Risultati!X282/100),(Risultati!X282/100))</f>
        <v>0</v>
      </c>
      <c r="BL283" s="16">
        <f>IF(ISNUMBER(Risultati!Y282/100),(Risultati!Y282/100))</f>
        <v>0</v>
      </c>
      <c r="BM283" s="16">
        <f>IF(ISNUMBER(Risultati!Z282/100),(Risultati!Z282/100))</f>
        <v>0</v>
      </c>
      <c r="BN283" s="16">
        <f>IF(AND(Risultati!AY282&lt;0,calcoli!AP283&lt;0),-IF(ISNUMBER(Risultati!AA282/100),(Risultati!AA282/100)),IF(ISNUMBER(Risultati!AA282/100),(Risultati!AA282/100)))</f>
        <v>0</v>
      </c>
      <c r="BO283" s="16" t="str">
        <f t="shared" si="234"/>
        <v>0</v>
      </c>
      <c r="BP283" s="16" t="str">
        <f>IF(Risultati!AB282&gt;0,(AV283/Risultati!AB282),"0")</f>
        <v>0</v>
      </c>
      <c r="BQ283" s="16" t="str">
        <f>IF(Risultati!AG282&lt;&gt;0,(BH283/Risultati!AG282),"0")</f>
        <v>0</v>
      </c>
      <c r="BR283" s="16" t="str">
        <f t="shared" si="235"/>
        <v>0</v>
      </c>
      <c r="BS283" s="14" t="str">
        <f>IF(Risultati!AB282&gt;0,(Risultati!G282/Risultati!AB282),"0")</f>
        <v>0</v>
      </c>
      <c r="BT283" s="15" t="str">
        <f>IF(Risultati!AG282&lt;&gt;0,(Risultati!AB282/Risultati!AG282),"0")</f>
        <v>0</v>
      </c>
      <c r="BU283" s="23" t="str">
        <f>IF(AND(Risultati!G282&gt;0,(Risultati!AE282-Risultati!AF282)&gt;=0),((Risultati!AE282-Risultati!AF282)/Risultati!G282*360),"0")</f>
        <v>0</v>
      </c>
      <c r="BV283" s="21" t="str">
        <f>IF(OR(E283="abbreviato",Risultati!G282=0),"0",((Risultati!AC282+Risultati!AD282)/Risultati!G282*360))</f>
        <v>0</v>
      </c>
      <c r="BW283" s="21" t="str">
        <f>IF(OR(E283="abbreviato",Risultati!G282=0,SUM(Risultati!I282+Risultati!K282+Risultati!M282)=0),"0",(((Risultati!AH282+Risultati!AI282)/(Risultati!I282+Risultati!K282+Risultati!N282)*360)))</f>
        <v>0</v>
      </c>
      <c r="BX283" s="16" t="str">
        <f>IF(Risultati!AB282&gt;0,(+Risultati!AG282/Risultati!AB282),"0")</f>
        <v>0</v>
      </c>
      <c r="BY283" s="22" t="str">
        <f>IF(OR(E283="abbreviato",Risultati!G282=0),"0",(((Risultati!AK282-(Risultati!AL282+Risultati!AM282))/Risultati!G282)))</f>
        <v>0</v>
      </c>
      <c r="BZ283" s="16" t="str">
        <f>IF(Risultati!G282&gt;0,(Risultati!AJ282/Risultati!G282),"0")</f>
        <v>0</v>
      </c>
      <c r="CA283" s="8"/>
      <c r="CB283" s="10">
        <f>+Risultati!AP282</f>
        <v>0</v>
      </c>
      <c r="CC283" s="31" t="str">
        <f t="shared" si="261"/>
        <v>0</v>
      </c>
      <c r="CD283" s="10">
        <f>+Risultati!AQ282</f>
        <v>0</v>
      </c>
      <c r="CE283" s="31" t="str">
        <f t="shared" si="262"/>
        <v>0</v>
      </c>
      <c r="CF283" s="10">
        <f>+Risultati!AR282</f>
        <v>0</v>
      </c>
      <c r="CG283" s="31" t="str">
        <f t="shared" si="263"/>
        <v>0</v>
      </c>
      <c r="CH283" s="10">
        <f>+Risultati!AS282</f>
        <v>0</v>
      </c>
      <c r="CI283" s="31" t="str">
        <f t="shared" si="264"/>
        <v>0</v>
      </c>
      <c r="CJ283" s="10">
        <f t="shared" si="265"/>
        <v>0</v>
      </c>
      <c r="CK283" s="31" t="str">
        <f t="shared" si="266"/>
        <v>0</v>
      </c>
      <c r="CL283" s="10">
        <f>+Risultati!AE282+Risultati!AF282</f>
        <v>0</v>
      </c>
      <c r="CM283" s="31" t="str">
        <f t="shared" si="267"/>
        <v>0</v>
      </c>
      <c r="CN283" s="10">
        <f>+Risultati!AT282</f>
        <v>0</v>
      </c>
      <c r="CO283" s="31" t="str">
        <f t="shared" si="268"/>
        <v>0</v>
      </c>
      <c r="CP283" s="10">
        <f>+Risultati!AU282</f>
        <v>0</v>
      </c>
      <c r="CQ283" s="31" t="str">
        <f t="shared" si="269"/>
        <v>0</v>
      </c>
      <c r="CR283" s="10">
        <f>+Risultati!AL282</f>
        <v>0</v>
      </c>
      <c r="CS283" s="31" t="str">
        <f t="shared" si="270"/>
        <v>0</v>
      </c>
      <c r="CT283" s="10">
        <f t="shared" si="271"/>
        <v>0</v>
      </c>
      <c r="CU283" s="31" t="str">
        <f t="shared" si="272"/>
        <v>0</v>
      </c>
      <c r="CV283" s="10">
        <f>+Risultati!AX282</f>
        <v>0</v>
      </c>
      <c r="CW283" s="31" t="str">
        <f t="shared" si="273"/>
        <v>0</v>
      </c>
      <c r="CX283" s="10">
        <f t="shared" si="274"/>
        <v>0</v>
      </c>
      <c r="CY283" s="31" t="str">
        <f t="shared" si="275"/>
        <v>0</v>
      </c>
      <c r="CZ283" s="10">
        <f>+Risultati!AG282</f>
        <v>0</v>
      </c>
      <c r="DA283" s="31" t="str">
        <f t="shared" si="276"/>
        <v>0</v>
      </c>
      <c r="DB283" s="10">
        <f t="shared" si="277"/>
        <v>0</v>
      </c>
      <c r="DC283" s="31" t="str">
        <f t="shared" si="278"/>
        <v>0</v>
      </c>
      <c r="DD283" s="10">
        <f>+Risultati!AV282</f>
        <v>0</v>
      </c>
      <c r="DE283" s="31" t="str">
        <f t="shared" si="279"/>
        <v>0</v>
      </c>
      <c r="DF283" s="10">
        <f>+Risultati!AJ282</f>
        <v>0</v>
      </c>
      <c r="DG283" s="31" t="str">
        <f t="shared" si="280"/>
        <v>0</v>
      </c>
      <c r="DH283" s="10">
        <f t="shared" si="281"/>
        <v>0</v>
      </c>
      <c r="DI283" s="31" t="str">
        <f t="shared" si="282"/>
        <v>0</v>
      </c>
      <c r="DJ283" s="10">
        <f>+Risultati!AW282</f>
        <v>0</v>
      </c>
      <c r="DK283" s="31" t="str">
        <f t="shared" si="283"/>
        <v>0</v>
      </c>
      <c r="DL283" s="10">
        <f t="shared" si="254"/>
        <v>0</v>
      </c>
      <c r="DM283" s="31" t="str">
        <f t="shared" si="284"/>
        <v>0</v>
      </c>
      <c r="DO283" s="30"/>
      <c r="DP283" s="30"/>
    </row>
    <row r="284" spans="1:120" x14ac:dyDescent="0.2">
      <c r="A284" s="5"/>
      <c r="B284" s="6">
        <f>+Risultati!B283</f>
        <v>0</v>
      </c>
      <c r="C284" s="6">
        <f>+Risultati!C283</f>
        <v>0</v>
      </c>
      <c r="D284" s="26" t="str">
        <f>IF(YEAR(Risultati!D283)=1900,(MID(Risultati!$AP$1,29,4)),YEAR(Risultati!D283))</f>
        <v/>
      </c>
      <c r="E284" s="6">
        <f>+Risultati!E283</f>
        <v>0</v>
      </c>
      <c r="F284" s="8" t="e">
        <f>(LEFT(Risultati!AN283,2)&amp;"-")&amp;VLOOKUP((LEFT(Risultati!AN283,2)),ateco!$B$4:$C$93,2,FALSE)</f>
        <v>#N/A</v>
      </c>
      <c r="G284" s="8" t="str">
        <f>SUBSTITUTE((Risultati!AN283&amp;"-"&amp;Risultati!AO283),",",";")</f>
        <v>-</v>
      </c>
      <c r="I284" s="10">
        <f>+Risultati!G283</f>
        <v>0</v>
      </c>
      <c r="J284" s="11" t="str">
        <f t="shared" si="236"/>
        <v>0</v>
      </c>
      <c r="K284" s="12"/>
      <c r="L284" s="10">
        <f>+Risultati!G283+Risultati!H283</f>
        <v>0</v>
      </c>
      <c r="M284" s="11" t="str">
        <f t="shared" si="237"/>
        <v>0</v>
      </c>
      <c r="N284" s="12"/>
      <c r="O284" s="10">
        <f>+Risultati!I283+Risultati!J283</f>
        <v>0</v>
      </c>
      <c r="P284" s="11" t="str">
        <f t="shared" si="238"/>
        <v>0</v>
      </c>
      <c r="Q284" s="12"/>
      <c r="R284" s="13">
        <f t="shared" si="255"/>
        <v>0</v>
      </c>
      <c r="S284" s="11" t="str">
        <f t="shared" si="239"/>
        <v>0</v>
      </c>
      <c r="T284" s="12"/>
      <c r="U284" s="10">
        <f>+Risultati!F283-(Risultati!G283+Risultati!H283)</f>
        <v>0</v>
      </c>
      <c r="V284" s="12" t="str">
        <f t="shared" si="240"/>
        <v>0</v>
      </c>
      <c r="W284" s="12"/>
      <c r="X284" s="10">
        <f t="shared" si="256"/>
        <v>0</v>
      </c>
      <c r="Y284" s="12" t="str">
        <f t="shared" si="241"/>
        <v>0</v>
      </c>
      <c r="Z284" s="12"/>
      <c r="AA284" s="10">
        <f>+Risultati!K283</f>
        <v>0</v>
      </c>
      <c r="AB284" s="12" t="str">
        <f t="shared" si="242"/>
        <v>0</v>
      </c>
      <c r="AC284" s="12"/>
      <c r="AD284" s="10">
        <f>+Risultati!L283</f>
        <v>0</v>
      </c>
      <c r="AE284" s="12" t="str">
        <f t="shared" si="243"/>
        <v>0</v>
      </c>
      <c r="AF284" s="12"/>
      <c r="AG284" s="10">
        <f>+Risultati!M283+Risultati!P283+Risultati!Q283</f>
        <v>0</v>
      </c>
      <c r="AH284" s="12" t="str">
        <f t="shared" si="244"/>
        <v>0</v>
      </c>
      <c r="AI284" s="12"/>
      <c r="AJ284" s="13">
        <f t="shared" si="257"/>
        <v>0</v>
      </c>
      <c r="AK284" s="11" t="str">
        <f t="shared" si="245"/>
        <v>0</v>
      </c>
      <c r="AL284" s="12"/>
      <c r="AM284" s="10">
        <f>+Risultati!N283</f>
        <v>0</v>
      </c>
      <c r="AN284" s="12" t="str">
        <f t="shared" si="246"/>
        <v>0</v>
      </c>
      <c r="AO284" s="12"/>
      <c r="AP284" s="10">
        <f t="shared" si="258"/>
        <v>0</v>
      </c>
      <c r="AQ284" s="41" t="str">
        <f t="shared" si="247"/>
        <v>0</v>
      </c>
      <c r="AR284" s="12"/>
      <c r="AS284" s="10">
        <f>+Risultati!O283</f>
        <v>0</v>
      </c>
      <c r="AT284" s="12" t="str">
        <f t="shared" si="248"/>
        <v>0</v>
      </c>
      <c r="AU284" s="12"/>
      <c r="AV284" s="10">
        <f t="shared" si="259"/>
        <v>0</v>
      </c>
      <c r="AW284" s="12" t="str">
        <f t="shared" si="249"/>
        <v>0</v>
      </c>
      <c r="AX284" s="12"/>
      <c r="AY284" s="10">
        <f>+Risultati!R283+Risultati!S283</f>
        <v>0</v>
      </c>
      <c r="AZ284" s="12" t="str">
        <f t="shared" si="250"/>
        <v>0</v>
      </c>
      <c r="BA284" s="12"/>
      <c r="BB284" s="10">
        <f>+Risultati!T283</f>
        <v>0</v>
      </c>
      <c r="BC284" s="12" t="str">
        <f t="shared" si="251"/>
        <v>0</v>
      </c>
      <c r="BD284" s="12"/>
      <c r="BE284" s="10">
        <f>+Risultati!U283</f>
        <v>0</v>
      </c>
      <c r="BF284" s="12" t="str">
        <f t="shared" si="252"/>
        <v>0</v>
      </c>
      <c r="BG284" s="12"/>
      <c r="BH284" s="10">
        <f t="shared" si="260"/>
        <v>0</v>
      </c>
      <c r="BI284" s="12" t="str">
        <f t="shared" si="253"/>
        <v>0</v>
      </c>
      <c r="BK284" s="16">
        <f>IF(ISNUMBER(Risultati!X283/100),(Risultati!X283/100))</f>
        <v>0</v>
      </c>
      <c r="BL284" s="16">
        <f>IF(ISNUMBER(Risultati!Y283/100),(Risultati!Y283/100))</f>
        <v>0</v>
      </c>
      <c r="BM284" s="16">
        <f>IF(ISNUMBER(Risultati!Z283/100),(Risultati!Z283/100))</f>
        <v>0</v>
      </c>
      <c r="BN284" s="16">
        <f>IF(AND(Risultati!AY283&lt;0,calcoli!AP284&lt;0),-IF(ISNUMBER(Risultati!AA283/100),(Risultati!AA283/100)),IF(ISNUMBER(Risultati!AA283/100),(Risultati!AA283/100)))</f>
        <v>0</v>
      </c>
      <c r="BO284" s="16" t="str">
        <f t="shared" si="234"/>
        <v>0</v>
      </c>
      <c r="BP284" s="16" t="str">
        <f>IF(Risultati!AB283&gt;0,(AV284/Risultati!AB283),"0")</f>
        <v>0</v>
      </c>
      <c r="BQ284" s="16" t="str">
        <f>IF(Risultati!AG283&lt;&gt;0,(BH284/Risultati!AG283),"0")</f>
        <v>0</v>
      </c>
      <c r="BR284" s="16" t="str">
        <f t="shared" si="235"/>
        <v>0</v>
      </c>
      <c r="BS284" s="14" t="str">
        <f>IF(Risultati!AB283&gt;0,(Risultati!G283/Risultati!AB283),"0")</f>
        <v>0</v>
      </c>
      <c r="BT284" s="15" t="str">
        <f>IF(Risultati!AG283&lt;&gt;0,(Risultati!AB283/Risultati!AG283),"0")</f>
        <v>0</v>
      </c>
      <c r="BU284" s="23" t="str">
        <f>IF(AND(Risultati!G283&gt;0,(Risultati!AE283-Risultati!AF283)&gt;=0),((Risultati!AE283-Risultati!AF283)/Risultati!G283*360),"0")</f>
        <v>0</v>
      </c>
      <c r="BV284" s="21" t="str">
        <f>IF(OR(E284="abbreviato",Risultati!G283=0),"0",((Risultati!AC283+Risultati!AD283)/Risultati!G283*360))</f>
        <v>0</v>
      </c>
      <c r="BW284" s="21" t="str">
        <f>IF(OR(E284="abbreviato",Risultati!G283=0,SUM(Risultati!I283+Risultati!K283+Risultati!M283)=0),"0",(((Risultati!AH283+Risultati!AI283)/(Risultati!I283+Risultati!K283+Risultati!N283)*360)))</f>
        <v>0</v>
      </c>
      <c r="BX284" s="16" t="str">
        <f>IF(Risultati!AB283&gt;0,(+Risultati!AG283/Risultati!AB283),"0")</f>
        <v>0</v>
      </c>
      <c r="BY284" s="22" t="str">
        <f>IF(OR(E284="abbreviato",Risultati!G283=0),"0",(((Risultati!AK283-(Risultati!AL283+Risultati!AM283))/Risultati!G283)))</f>
        <v>0</v>
      </c>
      <c r="BZ284" s="16" t="str">
        <f>IF(Risultati!G283&gt;0,(Risultati!AJ283/Risultati!G283),"0")</f>
        <v>0</v>
      </c>
      <c r="CA284" s="8"/>
      <c r="CB284" s="10">
        <f>+Risultati!AP283</f>
        <v>0</v>
      </c>
      <c r="CC284" s="31" t="str">
        <f t="shared" si="261"/>
        <v>0</v>
      </c>
      <c r="CD284" s="10">
        <f>+Risultati!AQ283</f>
        <v>0</v>
      </c>
      <c r="CE284" s="31" t="str">
        <f t="shared" si="262"/>
        <v>0</v>
      </c>
      <c r="CF284" s="10">
        <f>+Risultati!AR283</f>
        <v>0</v>
      </c>
      <c r="CG284" s="31" t="str">
        <f t="shared" si="263"/>
        <v>0</v>
      </c>
      <c r="CH284" s="10">
        <f>+Risultati!AS283</f>
        <v>0</v>
      </c>
      <c r="CI284" s="31" t="str">
        <f t="shared" si="264"/>
        <v>0</v>
      </c>
      <c r="CJ284" s="10">
        <f t="shared" si="265"/>
        <v>0</v>
      </c>
      <c r="CK284" s="31" t="str">
        <f t="shared" si="266"/>
        <v>0</v>
      </c>
      <c r="CL284" s="10">
        <f>+Risultati!AE283+Risultati!AF283</f>
        <v>0</v>
      </c>
      <c r="CM284" s="31" t="str">
        <f t="shared" si="267"/>
        <v>0</v>
      </c>
      <c r="CN284" s="10">
        <f>+Risultati!AT283</f>
        <v>0</v>
      </c>
      <c r="CO284" s="31" t="str">
        <f t="shared" si="268"/>
        <v>0</v>
      </c>
      <c r="CP284" s="10">
        <f>+Risultati!AU283</f>
        <v>0</v>
      </c>
      <c r="CQ284" s="31" t="str">
        <f t="shared" si="269"/>
        <v>0</v>
      </c>
      <c r="CR284" s="10">
        <f>+Risultati!AL283</f>
        <v>0</v>
      </c>
      <c r="CS284" s="31" t="str">
        <f t="shared" si="270"/>
        <v>0</v>
      </c>
      <c r="CT284" s="10">
        <f t="shared" si="271"/>
        <v>0</v>
      </c>
      <c r="CU284" s="31" t="str">
        <f t="shared" si="272"/>
        <v>0</v>
      </c>
      <c r="CV284" s="10">
        <f>+Risultati!AX283</f>
        <v>0</v>
      </c>
      <c r="CW284" s="31" t="str">
        <f t="shared" si="273"/>
        <v>0</v>
      </c>
      <c r="CX284" s="10">
        <f t="shared" si="274"/>
        <v>0</v>
      </c>
      <c r="CY284" s="31" t="str">
        <f t="shared" si="275"/>
        <v>0</v>
      </c>
      <c r="CZ284" s="10">
        <f>+Risultati!AG283</f>
        <v>0</v>
      </c>
      <c r="DA284" s="31" t="str">
        <f t="shared" si="276"/>
        <v>0</v>
      </c>
      <c r="DB284" s="10">
        <f t="shared" si="277"/>
        <v>0</v>
      </c>
      <c r="DC284" s="31" t="str">
        <f t="shared" si="278"/>
        <v>0</v>
      </c>
      <c r="DD284" s="10">
        <f>+Risultati!AV283</f>
        <v>0</v>
      </c>
      <c r="DE284" s="31" t="str">
        <f t="shared" si="279"/>
        <v>0</v>
      </c>
      <c r="DF284" s="10">
        <f>+Risultati!AJ283</f>
        <v>0</v>
      </c>
      <c r="DG284" s="31" t="str">
        <f t="shared" si="280"/>
        <v>0</v>
      </c>
      <c r="DH284" s="10">
        <f t="shared" si="281"/>
        <v>0</v>
      </c>
      <c r="DI284" s="31" t="str">
        <f t="shared" si="282"/>
        <v>0</v>
      </c>
      <c r="DJ284" s="10">
        <f>+Risultati!AW283</f>
        <v>0</v>
      </c>
      <c r="DK284" s="31" t="str">
        <f t="shared" si="283"/>
        <v>0</v>
      </c>
      <c r="DL284" s="10">
        <f t="shared" si="254"/>
        <v>0</v>
      </c>
      <c r="DM284" s="31" t="str">
        <f t="shared" si="284"/>
        <v>0</v>
      </c>
      <c r="DO284" s="30"/>
      <c r="DP284" s="30"/>
    </row>
    <row r="285" spans="1:120" x14ac:dyDescent="0.2">
      <c r="A285" s="5"/>
      <c r="B285" s="6">
        <f>+Risultati!B284</f>
        <v>0</v>
      </c>
      <c r="C285" s="6">
        <f>+Risultati!C284</f>
        <v>0</v>
      </c>
      <c r="D285" s="26" t="str">
        <f>IF(YEAR(Risultati!D284)=1900,(MID(Risultati!$AP$1,29,4)),YEAR(Risultati!D284))</f>
        <v/>
      </c>
      <c r="E285" s="6">
        <f>+Risultati!E284</f>
        <v>0</v>
      </c>
      <c r="F285" s="8" t="e">
        <f>(LEFT(Risultati!AN284,2)&amp;"-")&amp;VLOOKUP((LEFT(Risultati!AN284,2)),ateco!$B$4:$C$93,2,FALSE)</f>
        <v>#N/A</v>
      </c>
      <c r="G285" s="8" t="str">
        <f>SUBSTITUTE((Risultati!AN284&amp;"-"&amp;Risultati!AO284),",",";")</f>
        <v>-</v>
      </c>
      <c r="I285" s="10">
        <f>+Risultati!G284</f>
        <v>0</v>
      </c>
      <c r="J285" s="11" t="str">
        <f t="shared" si="236"/>
        <v>0</v>
      </c>
      <c r="K285" s="12"/>
      <c r="L285" s="10">
        <f>+Risultati!G284+Risultati!H284</f>
        <v>0</v>
      </c>
      <c r="M285" s="11" t="str">
        <f t="shared" si="237"/>
        <v>0</v>
      </c>
      <c r="N285" s="12"/>
      <c r="O285" s="10">
        <f>+Risultati!I284+Risultati!J284</f>
        <v>0</v>
      </c>
      <c r="P285" s="11" t="str">
        <f t="shared" si="238"/>
        <v>0</v>
      </c>
      <c r="Q285" s="12"/>
      <c r="R285" s="13">
        <f t="shared" si="255"/>
        <v>0</v>
      </c>
      <c r="S285" s="11" t="str">
        <f t="shared" si="239"/>
        <v>0</v>
      </c>
      <c r="T285" s="12"/>
      <c r="U285" s="10">
        <f>+Risultati!F284-(Risultati!G284+Risultati!H284)</f>
        <v>0</v>
      </c>
      <c r="V285" s="12" t="str">
        <f t="shared" si="240"/>
        <v>0</v>
      </c>
      <c r="W285" s="12"/>
      <c r="X285" s="10">
        <f t="shared" si="256"/>
        <v>0</v>
      </c>
      <c r="Y285" s="12" t="str">
        <f t="shared" si="241"/>
        <v>0</v>
      </c>
      <c r="Z285" s="12"/>
      <c r="AA285" s="10">
        <f>+Risultati!K284</f>
        <v>0</v>
      </c>
      <c r="AB285" s="12" t="str">
        <f t="shared" si="242"/>
        <v>0</v>
      </c>
      <c r="AC285" s="12"/>
      <c r="AD285" s="10">
        <f>+Risultati!L284</f>
        <v>0</v>
      </c>
      <c r="AE285" s="12" t="str">
        <f t="shared" si="243"/>
        <v>0</v>
      </c>
      <c r="AF285" s="12"/>
      <c r="AG285" s="10">
        <f>+Risultati!M284+Risultati!P284+Risultati!Q284</f>
        <v>0</v>
      </c>
      <c r="AH285" s="12" t="str">
        <f t="shared" si="244"/>
        <v>0</v>
      </c>
      <c r="AI285" s="12"/>
      <c r="AJ285" s="13">
        <f t="shared" si="257"/>
        <v>0</v>
      </c>
      <c r="AK285" s="11" t="str">
        <f t="shared" si="245"/>
        <v>0</v>
      </c>
      <c r="AL285" s="12"/>
      <c r="AM285" s="10">
        <f>+Risultati!N284</f>
        <v>0</v>
      </c>
      <c r="AN285" s="12" t="str">
        <f t="shared" si="246"/>
        <v>0</v>
      </c>
      <c r="AO285" s="12"/>
      <c r="AP285" s="10">
        <f t="shared" si="258"/>
        <v>0</v>
      </c>
      <c r="AQ285" s="41" t="str">
        <f t="shared" si="247"/>
        <v>0</v>
      </c>
      <c r="AR285" s="12"/>
      <c r="AS285" s="10">
        <f>+Risultati!O284</f>
        <v>0</v>
      </c>
      <c r="AT285" s="12" t="str">
        <f t="shared" si="248"/>
        <v>0</v>
      </c>
      <c r="AU285" s="12"/>
      <c r="AV285" s="10">
        <f t="shared" si="259"/>
        <v>0</v>
      </c>
      <c r="AW285" s="12" t="str">
        <f t="shared" si="249"/>
        <v>0</v>
      </c>
      <c r="AX285" s="12"/>
      <c r="AY285" s="10">
        <f>+Risultati!R284+Risultati!S284</f>
        <v>0</v>
      </c>
      <c r="AZ285" s="12" t="str">
        <f t="shared" si="250"/>
        <v>0</v>
      </c>
      <c r="BA285" s="12"/>
      <c r="BB285" s="10">
        <f>+Risultati!T284</f>
        <v>0</v>
      </c>
      <c r="BC285" s="12" t="str">
        <f t="shared" si="251"/>
        <v>0</v>
      </c>
      <c r="BD285" s="12"/>
      <c r="BE285" s="10">
        <f>+Risultati!U284</f>
        <v>0</v>
      </c>
      <c r="BF285" s="12" t="str">
        <f t="shared" si="252"/>
        <v>0</v>
      </c>
      <c r="BG285" s="12"/>
      <c r="BH285" s="10">
        <f t="shared" si="260"/>
        <v>0</v>
      </c>
      <c r="BI285" s="12" t="str">
        <f t="shared" si="253"/>
        <v>0</v>
      </c>
      <c r="BK285" s="16">
        <f>IF(ISNUMBER(Risultati!X284/100),(Risultati!X284/100))</f>
        <v>0</v>
      </c>
      <c r="BL285" s="16">
        <f>IF(ISNUMBER(Risultati!Y284/100),(Risultati!Y284/100))</f>
        <v>0</v>
      </c>
      <c r="BM285" s="16">
        <f>IF(ISNUMBER(Risultati!Z284/100),(Risultati!Z284/100))</f>
        <v>0</v>
      </c>
      <c r="BN285" s="16">
        <f>IF(AND(Risultati!AY284&lt;0,calcoli!AP285&lt;0),-IF(ISNUMBER(Risultati!AA284/100),(Risultati!AA284/100)),IF(ISNUMBER(Risultati!AA284/100),(Risultati!AA284/100)))</f>
        <v>0</v>
      </c>
      <c r="BO285" s="16" t="str">
        <f t="shared" si="234"/>
        <v>0</v>
      </c>
      <c r="BP285" s="16" t="str">
        <f>IF(Risultati!AB284&gt;0,(AV285/Risultati!AB284),"0")</f>
        <v>0</v>
      </c>
      <c r="BQ285" s="16" t="str">
        <f>IF(Risultati!AG284&lt;&gt;0,(BH285/Risultati!AG284),"0")</f>
        <v>0</v>
      </c>
      <c r="BR285" s="16" t="str">
        <f t="shared" si="235"/>
        <v>0</v>
      </c>
      <c r="BS285" s="14" t="str">
        <f>IF(Risultati!AB284&gt;0,(Risultati!G284/Risultati!AB284),"0")</f>
        <v>0</v>
      </c>
      <c r="BT285" s="15" t="str">
        <f>IF(Risultati!AG284&lt;&gt;0,(Risultati!AB284/Risultati!AG284),"0")</f>
        <v>0</v>
      </c>
      <c r="BU285" s="23" t="str">
        <f>IF(AND(Risultati!G284&gt;0,(Risultati!AE284-Risultati!AF284)&gt;=0),((Risultati!AE284-Risultati!AF284)/Risultati!G284*360),"0")</f>
        <v>0</v>
      </c>
      <c r="BV285" s="21" t="str">
        <f>IF(OR(E285="abbreviato",Risultati!G284=0),"0",((Risultati!AC284+Risultati!AD284)/Risultati!G284*360))</f>
        <v>0</v>
      </c>
      <c r="BW285" s="21" t="str">
        <f>IF(OR(E285="abbreviato",Risultati!G284=0,SUM(Risultati!I284+Risultati!K284+Risultati!M284)=0),"0",(((Risultati!AH284+Risultati!AI284)/(Risultati!I284+Risultati!K284+Risultati!N284)*360)))</f>
        <v>0</v>
      </c>
      <c r="BX285" s="16" t="str">
        <f>IF(Risultati!AB284&gt;0,(+Risultati!AG284/Risultati!AB284),"0")</f>
        <v>0</v>
      </c>
      <c r="BY285" s="22" t="str">
        <f>IF(OR(E285="abbreviato",Risultati!G284=0),"0",(((Risultati!AK284-(Risultati!AL284+Risultati!AM284))/Risultati!G284)))</f>
        <v>0</v>
      </c>
      <c r="BZ285" s="16" t="str">
        <f>IF(Risultati!G284&gt;0,(Risultati!AJ284/Risultati!G284),"0")</f>
        <v>0</v>
      </c>
      <c r="CA285" s="8"/>
      <c r="CB285" s="10">
        <f>+Risultati!AP284</f>
        <v>0</v>
      </c>
      <c r="CC285" s="31" t="str">
        <f t="shared" si="261"/>
        <v>0</v>
      </c>
      <c r="CD285" s="10">
        <f>+Risultati!AQ284</f>
        <v>0</v>
      </c>
      <c r="CE285" s="31" t="str">
        <f t="shared" si="262"/>
        <v>0</v>
      </c>
      <c r="CF285" s="10">
        <f>+Risultati!AR284</f>
        <v>0</v>
      </c>
      <c r="CG285" s="31" t="str">
        <f t="shared" si="263"/>
        <v>0</v>
      </c>
      <c r="CH285" s="10">
        <f>+Risultati!AS284</f>
        <v>0</v>
      </c>
      <c r="CI285" s="31" t="str">
        <f t="shared" si="264"/>
        <v>0</v>
      </c>
      <c r="CJ285" s="10">
        <f t="shared" si="265"/>
        <v>0</v>
      </c>
      <c r="CK285" s="31" t="str">
        <f t="shared" si="266"/>
        <v>0</v>
      </c>
      <c r="CL285" s="10">
        <f>+Risultati!AE284+Risultati!AF284</f>
        <v>0</v>
      </c>
      <c r="CM285" s="31" t="str">
        <f t="shared" si="267"/>
        <v>0</v>
      </c>
      <c r="CN285" s="10">
        <f>+Risultati!AT284</f>
        <v>0</v>
      </c>
      <c r="CO285" s="31" t="str">
        <f t="shared" si="268"/>
        <v>0</v>
      </c>
      <c r="CP285" s="10">
        <f>+Risultati!AU284</f>
        <v>0</v>
      </c>
      <c r="CQ285" s="31" t="str">
        <f t="shared" si="269"/>
        <v>0</v>
      </c>
      <c r="CR285" s="10">
        <f>+Risultati!AL284</f>
        <v>0</v>
      </c>
      <c r="CS285" s="31" t="str">
        <f t="shared" si="270"/>
        <v>0</v>
      </c>
      <c r="CT285" s="10">
        <f t="shared" si="271"/>
        <v>0</v>
      </c>
      <c r="CU285" s="31" t="str">
        <f t="shared" si="272"/>
        <v>0</v>
      </c>
      <c r="CV285" s="10">
        <f>+Risultati!AX284</f>
        <v>0</v>
      </c>
      <c r="CW285" s="31" t="str">
        <f t="shared" si="273"/>
        <v>0</v>
      </c>
      <c r="CX285" s="10">
        <f t="shared" si="274"/>
        <v>0</v>
      </c>
      <c r="CY285" s="31" t="str">
        <f t="shared" si="275"/>
        <v>0</v>
      </c>
      <c r="CZ285" s="10">
        <f>+Risultati!AG284</f>
        <v>0</v>
      </c>
      <c r="DA285" s="31" t="str">
        <f t="shared" si="276"/>
        <v>0</v>
      </c>
      <c r="DB285" s="10">
        <f t="shared" si="277"/>
        <v>0</v>
      </c>
      <c r="DC285" s="31" t="str">
        <f t="shared" si="278"/>
        <v>0</v>
      </c>
      <c r="DD285" s="10">
        <f>+Risultati!AV284</f>
        <v>0</v>
      </c>
      <c r="DE285" s="31" t="str">
        <f t="shared" si="279"/>
        <v>0</v>
      </c>
      <c r="DF285" s="10">
        <f>+Risultati!AJ284</f>
        <v>0</v>
      </c>
      <c r="DG285" s="31" t="str">
        <f t="shared" si="280"/>
        <v>0</v>
      </c>
      <c r="DH285" s="10">
        <f t="shared" si="281"/>
        <v>0</v>
      </c>
      <c r="DI285" s="31" t="str">
        <f t="shared" si="282"/>
        <v>0</v>
      </c>
      <c r="DJ285" s="10">
        <f>+Risultati!AW284</f>
        <v>0</v>
      </c>
      <c r="DK285" s="31" t="str">
        <f t="shared" si="283"/>
        <v>0</v>
      </c>
      <c r="DL285" s="10">
        <f t="shared" si="254"/>
        <v>0</v>
      </c>
      <c r="DM285" s="31" t="str">
        <f t="shared" si="284"/>
        <v>0</v>
      </c>
      <c r="DO285" s="30"/>
      <c r="DP285" s="30"/>
    </row>
    <row r="286" spans="1:120" x14ac:dyDescent="0.2">
      <c r="A286" s="5"/>
      <c r="B286" s="6">
        <f>+Risultati!B285</f>
        <v>0</v>
      </c>
      <c r="C286" s="6">
        <f>+Risultati!C285</f>
        <v>0</v>
      </c>
      <c r="D286" s="26" t="str">
        <f>IF(YEAR(Risultati!D285)=1900,(MID(Risultati!$AP$1,29,4)),YEAR(Risultati!D285))</f>
        <v/>
      </c>
      <c r="E286" s="6">
        <f>+Risultati!E285</f>
        <v>0</v>
      </c>
      <c r="F286" s="8" t="e">
        <f>(LEFT(Risultati!AN285,2)&amp;"-")&amp;VLOOKUP((LEFT(Risultati!AN285,2)),ateco!$B$4:$C$93,2,FALSE)</f>
        <v>#N/A</v>
      </c>
      <c r="G286" s="8" t="str">
        <f>SUBSTITUTE((Risultati!AN285&amp;"-"&amp;Risultati!AO285),",",";")</f>
        <v>-</v>
      </c>
      <c r="I286" s="10">
        <f>+Risultati!G285</f>
        <v>0</v>
      </c>
      <c r="J286" s="11" t="str">
        <f t="shared" si="236"/>
        <v>0</v>
      </c>
      <c r="K286" s="12"/>
      <c r="L286" s="10">
        <f>+Risultati!G285+Risultati!H285</f>
        <v>0</v>
      </c>
      <c r="M286" s="11" t="str">
        <f t="shared" si="237"/>
        <v>0</v>
      </c>
      <c r="N286" s="12"/>
      <c r="O286" s="10">
        <f>+Risultati!I285+Risultati!J285</f>
        <v>0</v>
      </c>
      <c r="P286" s="11" t="str">
        <f t="shared" si="238"/>
        <v>0</v>
      </c>
      <c r="Q286" s="12"/>
      <c r="R286" s="13">
        <f t="shared" si="255"/>
        <v>0</v>
      </c>
      <c r="S286" s="11" t="str">
        <f t="shared" si="239"/>
        <v>0</v>
      </c>
      <c r="T286" s="12"/>
      <c r="U286" s="10">
        <f>+Risultati!F285-(Risultati!G285+Risultati!H285)</f>
        <v>0</v>
      </c>
      <c r="V286" s="12" t="str">
        <f t="shared" si="240"/>
        <v>0</v>
      </c>
      <c r="W286" s="12"/>
      <c r="X286" s="10">
        <f t="shared" si="256"/>
        <v>0</v>
      </c>
      <c r="Y286" s="12" t="str">
        <f t="shared" si="241"/>
        <v>0</v>
      </c>
      <c r="Z286" s="12"/>
      <c r="AA286" s="10">
        <f>+Risultati!K285</f>
        <v>0</v>
      </c>
      <c r="AB286" s="12" t="str">
        <f t="shared" si="242"/>
        <v>0</v>
      </c>
      <c r="AC286" s="12"/>
      <c r="AD286" s="10">
        <f>+Risultati!L285</f>
        <v>0</v>
      </c>
      <c r="AE286" s="12" t="str">
        <f t="shared" si="243"/>
        <v>0</v>
      </c>
      <c r="AF286" s="12"/>
      <c r="AG286" s="10">
        <f>+Risultati!M285+Risultati!P285+Risultati!Q285</f>
        <v>0</v>
      </c>
      <c r="AH286" s="12" t="str">
        <f t="shared" si="244"/>
        <v>0</v>
      </c>
      <c r="AI286" s="12"/>
      <c r="AJ286" s="13">
        <f t="shared" si="257"/>
        <v>0</v>
      </c>
      <c r="AK286" s="11" t="str">
        <f t="shared" si="245"/>
        <v>0</v>
      </c>
      <c r="AL286" s="12"/>
      <c r="AM286" s="10">
        <f>+Risultati!N285</f>
        <v>0</v>
      </c>
      <c r="AN286" s="12" t="str">
        <f t="shared" si="246"/>
        <v>0</v>
      </c>
      <c r="AO286" s="12"/>
      <c r="AP286" s="10">
        <f t="shared" si="258"/>
        <v>0</v>
      </c>
      <c r="AQ286" s="41" t="str">
        <f t="shared" si="247"/>
        <v>0</v>
      </c>
      <c r="AR286" s="12"/>
      <c r="AS286" s="10">
        <f>+Risultati!O285</f>
        <v>0</v>
      </c>
      <c r="AT286" s="12" t="str">
        <f t="shared" si="248"/>
        <v>0</v>
      </c>
      <c r="AU286" s="12"/>
      <c r="AV286" s="10">
        <f t="shared" si="259"/>
        <v>0</v>
      </c>
      <c r="AW286" s="12" t="str">
        <f t="shared" si="249"/>
        <v>0</v>
      </c>
      <c r="AX286" s="12"/>
      <c r="AY286" s="10">
        <f>+Risultati!R285+Risultati!S285</f>
        <v>0</v>
      </c>
      <c r="AZ286" s="12" t="str">
        <f t="shared" si="250"/>
        <v>0</v>
      </c>
      <c r="BA286" s="12"/>
      <c r="BB286" s="10">
        <f>+Risultati!T285</f>
        <v>0</v>
      </c>
      <c r="BC286" s="12" t="str">
        <f t="shared" si="251"/>
        <v>0</v>
      </c>
      <c r="BD286" s="12"/>
      <c r="BE286" s="10">
        <f>+Risultati!U285</f>
        <v>0</v>
      </c>
      <c r="BF286" s="12" t="str">
        <f t="shared" si="252"/>
        <v>0</v>
      </c>
      <c r="BG286" s="12"/>
      <c r="BH286" s="10">
        <f t="shared" si="260"/>
        <v>0</v>
      </c>
      <c r="BI286" s="12" t="str">
        <f t="shared" si="253"/>
        <v>0</v>
      </c>
      <c r="BK286" s="16">
        <f>IF(ISNUMBER(Risultati!X285/100),(Risultati!X285/100))</f>
        <v>0</v>
      </c>
      <c r="BL286" s="16">
        <f>IF(ISNUMBER(Risultati!Y285/100),(Risultati!Y285/100))</f>
        <v>0</v>
      </c>
      <c r="BM286" s="16">
        <f>IF(ISNUMBER(Risultati!Z285/100),(Risultati!Z285/100))</f>
        <v>0</v>
      </c>
      <c r="BN286" s="16">
        <f>IF(AND(Risultati!AY285&lt;0,calcoli!AP286&lt;0),-IF(ISNUMBER(Risultati!AA285/100),(Risultati!AA285/100)),IF(ISNUMBER(Risultati!AA285/100),(Risultati!AA285/100)))</f>
        <v>0</v>
      </c>
      <c r="BO286" s="16" t="str">
        <f t="shared" si="234"/>
        <v>0</v>
      </c>
      <c r="BP286" s="16" t="str">
        <f>IF(Risultati!AB285&gt;0,(AV286/Risultati!AB285),"0")</f>
        <v>0</v>
      </c>
      <c r="BQ286" s="16" t="str">
        <f>IF(Risultati!AG285&lt;&gt;0,(BH286/Risultati!AG285),"0")</f>
        <v>0</v>
      </c>
      <c r="BR286" s="16" t="str">
        <f t="shared" si="235"/>
        <v>0</v>
      </c>
      <c r="BS286" s="14" t="str">
        <f>IF(Risultati!AB285&gt;0,(Risultati!G285/Risultati!AB285),"0")</f>
        <v>0</v>
      </c>
      <c r="BT286" s="15" t="str">
        <f>IF(Risultati!AG285&lt;&gt;0,(Risultati!AB285/Risultati!AG285),"0")</f>
        <v>0</v>
      </c>
      <c r="BU286" s="23" t="str">
        <f>IF(AND(Risultati!G285&gt;0,(Risultati!AE285-Risultati!AF285)&gt;=0),((Risultati!AE285-Risultati!AF285)/Risultati!G285*360),"0")</f>
        <v>0</v>
      </c>
      <c r="BV286" s="21" t="str">
        <f>IF(OR(E286="abbreviato",Risultati!G285=0),"0",((Risultati!AC285+Risultati!AD285)/Risultati!G285*360))</f>
        <v>0</v>
      </c>
      <c r="BW286" s="21" t="str">
        <f>IF(OR(E286="abbreviato",Risultati!G285=0,SUM(Risultati!I285+Risultati!K285+Risultati!M285)=0),"0",(((Risultati!AH285+Risultati!AI285)/(Risultati!I285+Risultati!K285+Risultati!N285)*360)))</f>
        <v>0</v>
      </c>
      <c r="BX286" s="16" t="str">
        <f>IF(Risultati!AB285&gt;0,(+Risultati!AG285/Risultati!AB285),"0")</f>
        <v>0</v>
      </c>
      <c r="BY286" s="22" t="str">
        <f>IF(OR(E286="abbreviato",Risultati!G285=0),"0",(((Risultati!AK285-(Risultati!AL285+Risultati!AM285))/Risultati!G285)))</f>
        <v>0</v>
      </c>
      <c r="BZ286" s="16" t="str">
        <f>IF(Risultati!G285&gt;0,(Risultati!AJ285/Risultati!G285),"0")</f>
        <v>0</v>
      </c>
      <c r="CA286" s="8"/>
      <c r="CB286" s="10">
        <f>+Risultati!AP285</f>
        <v>0</v>
      </c>
      <c r="CC286" s="31" t="str">
        <f t="shared" si="261"/>
        <v>0</v>
      </c>
      <c r="CD286" s="10">
        <f>+Risultati!AQ285</f>
        <v>0</v>
      </c>
      <c r="CE286" s="31" t="str">
        <f t="shared" si="262"/>
        <v>0</v>
      </c>
      <c r="CF286" s="10">
        <f>+Risultati!AR285</f>
        <v>0</v>
      </c>
      <c r="CG286" s="31" t="str">
        <f t="shared" si="263"/>
        <v>0</v>
      </c>
      <c r="CH286" s="10">
        <f>+Risultati!AS285</f>
        <v>0</v>
      </c>
      <c r="CI286" s="31" t="str">
        <f t="shared" si="264"/>
        <v>0</v>
      </c>
      <c r="CJ286" s="10">
        <f t="shared" si="265"/>
        <v>0</v>
      </c>
      <c r="CK286" s="31" t="str">
        <f t="shared" si="266"/>
        <v>0</v>
      </c>
      <c r="CL286" s="10">
        <f>+Risultati!AE285+Risultati!AF285</f>
        <v>0</v>
      </c>
      <c r="CM286" s="31" t="str">
        <f t="shared" si="267"/>
        <v>0</v>
      </c>
      <c r="CN286" s="10">
        <f>+Risultati!AT285</f>
        <v>0</v>
      </c>
      <c r="CO286" s="31" t="str">
        <f t="shared" si="268"/>
        <v>0</v>
      </c>
      <c r="CP286" s="10">
        <f>+Risultati!AU285</f>
        <v>0</v>
      </c>
      <c r="CQ286" s="31" t="str">
        <f t="shared" si="269"/>
        <v>0</v>
      </c>
      <c r="CR286" s="10">
        <f>+Risultati!AL285</f>
        <v>0</v>
      </c>
      <c r="CS286" s="31" t="str">
        <f t="shared" si="270"/>
        <v>0</v>
      </c>
      <c r="CT286" s="10">
        <f t="shared" si="271"/>
        <v>0</v>
      </c>
      <c r="CU286" s="31" t="str">
        <f t="shared" si="272"/>
        <v>0</v>
      </c>
      <c r="CV286" s="10">
        <f>+Risultati!AX285</f>
        <v>0</v>
      </c>
      <c r="CW286" s="31" t="str">
        <f t="shared" si="273"/>
        <v>0</v>
      </c>
      <c r="CX286" s="10">
        <f t="shared" si="274"/>
        <v>0</v>
      </c>
      <c r="CY286" s="31" t="str">
        <f t="shared" si="275"/>
        <v>0</v>
      </c>
      <c r="CZ286" s="10">
        <f>+Risultati!AG285</f>
        <v>0</v>
      </c>
      <c r="DA286" s="31" t="str">
        <f t="shared" si="276"/>
        <v>0</v>
      </c>
      <c r="DB286" s="10">
        <f t="shared" si="277"/>
        <v>0</v>
      </c>
      <c r="DC286" s="31" t="str">
        <f t="shared" si="278"/>
        <v>0</v>
      </c>
      <c r="DD286" s="10">
        <f>+Risultati!AV285</f>
        <v>0</v>
      </c>
      <c r="DE286" s="31" t="str">
        <f t="shared" si="279"/>
        <v>0</v>
      </c>
      <c r="DF286" s="10">
        <f>+Risultati!AJ285</f>
        <v>0</v>
      </c>
      <c r="DG286" s="31" t="str">
        <f t="shared" si="280"/>
        <v>0</v>
      </c>
      <c r="DH286" s="10">
        <f t="shared" si="281"/>
        <v>0</v>
      </c>
      <c r="DI286" s="31" t="str">
        <f t="shared" si="282"/>
        <v>0</v>
      </c>
      <c r="DJ286" s="10">
        <f>+Risultati!AW285</f>
        <v>0</v>
      </c>
      <c r="DK286" s="31" t="str">
        <f t="shared" si="283"/>
        <v>0</v>
      </c>
      <c r="DL286" s="10">
        <f t="shared" si="254"/>
        <v>0</v>
      </c>
      <c r="DM286" s="31" t="str">
        <f t="shared" si="284"/>
        <v>0</v>
      </c>
      <c r="DO286" s="30"/>
      <c r="DP286" s="30"/>
    </row>
    <row r="287" spans="1:120" x14ac:dyDescent="0.2">
      <c r="A287" s="5"/>
      <c r="B287" s="6">
        <f>+Risultati!B286</f>
        <v>0</v>
      </c>
      <c r="C287" s="6">
        <f>+Risultati!C286</f>
        <v>0</v>
      </c>
      <c r="D287" s="26" t="str">
        <f>IF(YEAR(Risultati!D286)=1900,(MID(Risultati!$AP$1,29,4)),YEAR(Risultati!D286))</f>
        <v/>
      </c>
      <c r="E287" s="6">
        <f>+Risultati!E286</f>
        <v>0</v>
      </c>
      <c r="F287" s="8" t="e">
        <f>(LEFT(Risultati!AN286,2)&amp;"-")&amp;VLOOKUP((LEFT(Risultati!AN286,2)),ateco!$B$4:$C$93,2,FALSE)</f>
        <v>#N/A</v>
      </c>
      <c r="G287" s="8" t="str">
        <f>SUBSTITUTE((Risultati!AN286&amp;"-"&amp;Risultati!AO286),",",";")</f>
        <v>-</v>
      </c>
      <c r="I287" s="10">
        <f>+Risultati!G286</f>
        <v>0</v>
      </c>
      <c r="J287" s="11" t="str">
        <f t="shared" si="236"/>
        <v>0</v>
      </c>
      <c r="K287" s="12"/>
      <c r="L287" s="10">
        <f>+Risultati!G286+Risultati!H286</f>
        <v>0</v>
      </c>
      <c r="M287" s="11" t="str">
        <f t="shared" si="237"/>
        <v>0</v>
      </c>
      <c r="N287" s="12"/>
      <c r="O287" s="10">
        <f>+Risultati!I286+Risultati!J286</f>
        <v>0</v>
      </c>
      <c r="P287" s="11" t="str">
        <f t="shared" si="238"/>
        <v>0</v>
      </c>
      <c r="Q287" s="12"/>
      <c r="R287" s="13">
        <f t="shared" si="255"/>
        <v>0</v>
      </c>
      <c r="S287" s="11" t="str">
        <f t="shared" si="239"/>
        <v>0</v>
      </c>
      <c r="T287" s="12"/>
      <c r="U287" s="10">
        <f>+Risultati!F286-(Risultati!G286+Risultati!H286)</f>
        <v>0</v>
      </c>
      <c r="V287" s="12" t="str">
        <f t="shared" si="240"/>
        <v>0</v>
      </c>
      <c r="W287" s="12"/>
      <c r="X287" s="10">
        <f t="shared" si="256"/>
        <v>0</v>
      </c>
      <c r="Y287" s="12" t="str">
        <f t="shared" si="241"/>
        <v>0</v>
      </c>
      <c r="Z287" s="12"/>
      <c r="AA287" s="10">
        <f>+Risultati!K286</f>
        <v>0</v>
      </c>
      <c r="AB287" s="12" t="str">
        <f t="shared" si="242"/>
        <v>0</v>
      </c>
      <c r="AC287" s="12"/>
      <c r="AD287" s="10">
        <f>+Risultati!L286</f>
        <v>0</v>
      </c>
      <c r="AE287" s="12" t="str">
        <f t="shared" si="243"/>
        <v>0</v>
      </c>
      <c r="AF287" s="12"/>
      <c r="AG287" s="10">
        <f>+Risultati!M286+Risultati!P286+Risultati!Q286</f>
        <v>0</v>
      </c>
      <c r="AH287" s="12" t="str">
        <f t="shared" si="244"/>
        <v>0</v>
      </c>
      <c r="AI287" s="12"/>
      <c r="AJ287" s="13">
        <f t="shared" si="257"/>
        <v>0</v>
      </c>
      <c r="AK287" s="11" t="str">
        <f t="shared" si="245"/>
        <v>0</v>
      </c>
      <c r="AL287" s="12"/>
      <c r="AM287" s="10">
        <f>+Risultati!N286</f>
        <v>0</v>
      </c>
      <c r="AN287" s="12" t="str">
        <f t="shared" si="246"/>
        <v>0</v>
      </c>
      <c r="AO287" s="12"/>
      <c r="AP287" s="10">
        <f t="shared" si="258"/>
        <v>0</v>
      </c>
      <c r="AQ287" s="41" t="str">
        <f t="shared" si="247"/>
        <v>0</v>
      </c>
      <c r="AR287" s="12"/>
      <c r="AS287" s="10">
        <f>+Risultati!O286</f>
        <v>0</v>
      </c>
      <c r="AT287" s="12" t="str">
        <f t="shared" si="248"/>
        <v>0</v>
      </c>
      <c r="AU287" s="12"/>
      <c r="AV287" s="10">
        <f t="shared" si="259"/>
        <v>0</v>
      </c>
      <c r="AW287" s="12" t="str">
        <f t="shared" si="249"/>
        <v>0</v>
      </c>
      <c r="AX287" s="12"/>
      <c r="AY287" s="10">
        <f>+Risultati!R286+Risultati!S286</f>
        <v>0</v>
      </c>
      <c r="AZ287" s="12" t="str">
        <f t="shared" si="250"/>
        <v>0</v>
      </c>
      <c r="BA287" s="12"/>
      <c r="BB287" s="10">
        <f>+Risultati!T286</f>
        <v>0</v>
      </c>
      <c r="BC287" s="12" t="str">
        <f t="shared" si="251"/>
        <v>0</v>
      </c>
      <c r="BD287" s="12"/>
      <c r="BE287" s="10">
        <f>+Risultati!U286</f>
        <v>0</v>
      </c>
      <c r="BF287" s="12" t="str">
        <f t="shared" si="252"/>
        <v>0</v>
      </c>
      <c r="BG287" s="12"/>
      <c r="BH287" s="10">
        <f t="shared" si="260"/>
        <v>0</v>
      </c>
      <c r="BI287" s="12" t="str">
        <f t="shared" si="253"/>
        <v>0</v>
      </c>
      <c r="BK287" s="16">
        <f>IF(ISNUMBER(Risultati!X286/100),(Risultati!X286/100))</f>
        <v>0</v>
      </c>
      <c r="BL287" s="16">
        <f>IF(ISNUMBER(Risultati!Y286/100),(Risultati!Y286/100))</f>
        <v>0</v>
      </c>
      <c r="BM287" s="16">
        <f>IF(ISNUMBER(Risultati!Z286/100),(Risultati!Z286/100))</f>
        <v>0</v>
      </c>
      <c r="BN287" s="16">
        <f>IF(AND(Risultati!AY286&lt;0,calcoli!AP287&lt;0),-IF(ISNUMBER(Risultati!AA286/100),(Risultati!AA286/100)),IF(ISNUMBER(Risultati!AA286/100),(Risultati!AA286/100)))</f>
        <v>0</v>
      </c>
      <c r="BO287" s="16" t="str">
        <f t="shared" si="234"/>
        <v>0</v>
      </c>
      <c r="BP287" s="16" t="str">
        <f>IF(Risultati!AB286&gt;0,(AV287/Risultati!AB286),"0")</f>
        <v>0</v>
      </c>
      <c r="BQ287" s="16" t="str">
        <f>IF(Risultati!AG286&lt;&gt;0,(BH287/Risultati!AG286),"0")</f>
        <v>0</v>
      </c>
      <c r="BR287" s="16" t="str">
        <f t="shared" si="235"/>
        <v>0</v>
      </c>
      <c r="BS287" s="14" t="str">
        <f>IF(Risultati!AB286&gt;0,(Risultati!G286/Risultati!AB286),"0")</f>
        <v>0</v>
      </c>
      <c r="BT287" s="15" t="str">
        <f>IF(Risultati!AG286&lt;&gt;0,(Risultati!AB286/Risultati!AG286),"0")</f>
        <v>0</v>
      </c>
      <c r="BU287" s="23" t="str">
        <f>IF(AND(Risultati!G286&gt;0,(Risultati!AE286-Risultati!AF286)&gt;=0),((Risultati!AE286-Risultati!AF286)/Risultati!G286*360),"0")</f>
        <v>0</v>
      </c>
      <c r="BV287" s="21" t="str">
        <f>IF(OR(E287="abbreviato",Risultati!G286=0),"0",((Risultati!AC286+Risultati!AD286)/Risultati!G286*360))</f>
        <v>0</v>
      </c>
      <c r="BW287" s="21" t="str">
        <f>IF(OR(E287="abbreviato",Risultati!G286=0,SUM(Risultati!I286+Risultati!K286+Risultati!M286)=0),"0",(((Risultati!AH286+Risultati!AI286)/(Risultati!I286+Risultati!K286+Risultati!N286)*360)))</f>
        <v>0</v>
      </c>
      <c r="BX287" s="16" t="str">
        <f>IF(Risultati!AB286&gt;0,(+Risultati!AG286/Risultati!AB286),"0")</f>
        <v>0</v>
      </c>
      <c r="BY287" s="22" t="str">
        <f>IF(OR(E287="abbreviato",Risultati!G286=0),"0",(((Risultati!AK286-(Risultati!AL286+Risultati!AM286))/Risultati!G286)))</f>
        <v>0</v>
      </c>
      <c r="BZ287" s="16" t="str">
        <f>IF(Risultati!G286&gt;0,(Risultati!AJ286/Risultati!G286),"0")</f>
        <v>0</v>
      </c>
      <c r="CA287" s="8"/>
      <c r="CB287" s="10">
        <f>+Risultati!AP286</f>
        <v>0</v>
      </c>
      <c r="CC287" s="31" t="str">
        <f t="shared" si="261"/>
        <v>0</v>
      </c>
      <c r="CD287" s="10">
        <f>+Risultati!AQ286</f>
        <v>0</v>
      </c>
      <c r="CE287" s="31" t="str">
        <f t="shared" si="262"/>
        <v>0</v>
      </c>
      <c r="CF287" s="10">
        <f>+Risultati!AR286</f>
        <v>0</v>
      </c>
      <c r="CG287" s="31" t="str">
        <f t="shared" si="263"/>
        <v>0</v>
      </c>
      <c r="CH287" s="10">
        <f>+Risultati!AS286</f>
        <v>0</v>
      </c>
      <c r="CI287" s="31" t="str">
        <f t="shared" si="264"/>
        <v>0</v>
      </c>
      <c r="CJ287" s="10">
        <f t="shared" si="265"/>
        <v>0</v>
      </c>
      <c r="CK287" s="31" t="str">
        <f t="shared" si="266"/>
        <v>0</v>
      </c>
      <c r="CL287" s="10">
        <f>+Risultati!AE286+Risultati!AF286</f>
        <v>0</v>
      </c>
      <c r="CM287" s="31" t="str">
        <f t="shared" si="267"/>
        <v>0</v>
      </c>
      <c r="CN287" s="10">
        <f>+Risultati!AT286</f>
        <v>0</v>
      </c>
      <c r="CO287" s="31" t="str">
        <f t="shared" si="268"/>
        <v>0</v>
      </c>
      <c r="CP287" s="10">
        <f>+Risultati!AU286</f>
        <v>0</v>
      </c>
      <c r="CQ287" s="31" t="str">
        <f t="shared" si="269"/>
        <v>0</v>
      </c>
      <c r="CR287" s="10">
        <f>+Risultati!AL286</f>
        <v>0</v>
      </c>
      <c r="CS287" s="31" t="str">
        <f t="shared" si="270"/>
        <v>0</v>
      </c>
      <c r="CT287" s="10">
        <f t="shared" si="271"/>
        <v>0</v>
      </c>
      <c r="CU287" s="31" t="str">
        <f t="shared" si="272"/>
        <v>0</v>
      </c>
      <c r="CV287" s="10">
        <f>+Risultati!AX286</f>
        <v>0</v>
      </c>
      <c r="CW287" s="31" t="str">
        <f t="shared" si="273"/>
        <v>0</v>
      </c>
      <c r="CX287" s="10">
        <f t="shared" si="274"/>
        <v>0</v>
      </c>
      <c r="CY287" s="31" t="str">
        <f t="shared" si="275"/>
        <v>0</v>
      </c>
      <c r="CZ287" s="10">
        <f>+Risultati!AG286</f>
        <v>0</v>
      </c>
      <c r="DA287" s="31" t="str">
        <f t="shared" si="276"/>
        <v>0</v>
      </c>
      <c r="DB287" s="10">
        <f t="shared" si="277"/>
        <v>0</v>
      </c>
      <c r="DC287" s="31" t="str">
        <f t="shared" si="278"/>
        <v>0</v>
      </c>
      <c r="DD287" s="10">
        <f>+Risultati!AV286</f>
        <v>0</v>
      </c>
      <c r="DE287" s="31" t="str">
        <f t="shared" si="279"/>
        <v>0</v>
      </c>
      <c r="DF287" s="10">
        <f>+Risultati!AJ286</f>
        <v>0</v>
      </c>
      <c r="DG287" s="31" t="str">
        <f t="shared" si="280"/>
        <v>0</v>
      </c>
      <c r="DH287" s="10">
        <f t="shared" si="281"/>
        <v>0</v>
      </c>
      <c r="DI287" s="31" t="str">
        <f t="shared" si="282"/>
        <v>0</v>
      </c>
      <c r="DJ287" s="10">
        <f>+Risultati!AW286</f>
        <v>0</v>
      </c>
      <c r="DK287" s="31" t="str">
        <f t="shared" si="283"/>
        <v>0</v>
      </c>
      <c r="DL287" s="10">
        <f t="shared" si="254"/>
        <v>0</v>
      </c>
      <c r="DM287" s="31" t="str">
        <f t="shared" si="284"/>
        <v>0</v>
      </c>
      <c r="DO287" s="30"/>
      <c r="DP287" s="30"/>
    </row>
    <row r="288" spans="1:120" x14ac:dyDescent="0.2">
      <c r="A288" s="5"/>
      <c r="B288" s="6">
        <f>+Risultati!B287</f>
        <v>0</v>
      </c>
      <c r="C288" s="6">
        <f>+Risultati!C287</f>
        <v>0</v>
      </c>
      <c r="D288" s="26" t="str">
        <f>IF(YEAR(Risultati!D287)=1900,(MID(Risultati!$AP$1,29,4)),YEAR(Risultati!D287))</f>
        <v/>
      </c>
      <c r="E288" s="6">
        <f>+Risultati!E287</f>
        <v>0</v>
      </c>
      <c r="F288" s="8" t="e">
        <f>(LEFT(Risultati!AN287,2)&amp;"-")&amp;VLOOKUP((LEFT(Risultati!AN287,2)),ateco!$B$4:$C$93,2,FALSE)</f>
        <v>#N/A</v>
      </c>
      <c r="G288" s="8" t="str">
        <f>SUBSTITUTE((Risultati!AN287&amp;"-"&amp;Risultati!AO287),",",";")</f>
        <v>-</v>
      </c>
      <c r="I288" s="10">
        <f>+Risultati!G287</f>
        <v>0</v>
      </c>
      <c r="J288" s="11" t="str">
        <f t="shared" si="236"/>
        <v>0</v>
      </c>
      <c r="K288" s="12"/>
      <c r="L288" s="10">
        <f>+Risultati!G287+Risultati!H287</f>
        <v>0</v>
      </c>
      <c r="M288" s="11" t="str">
        <f t="shared" si="237"/>
        <v>0</v>
      </c>
      <c r="N288" s="12"/>
      <c r="O288" s="10">
        <f>+Risultati!I287+Risultati!J287</f>
        <v>0</v>
      </c>
      <c r="P288" s="11" t="str">
        <f t="shared" si="238"/>
        <v>0</v>
      </c>
      <c r="Q288" s="12"/>
      <c r="R288" s="13">
        <f t="shared" si="255"/>
        <v>0</v>
      </c>
      <c r="S288" s="11" t="str">
        <f t="shared" si="239"/>
        <v>0</v>
      </c>
      <c r="T288" s="12"/>
      <c r="U288" s="10">
        <f>+Risultati!F287-(Risultati!G287+Risultati!H287)</f>
        <v>0</v>
      </c>
      <c r="V288" s="12" t="str">
        <f t="shared" si="240"/>
        <v>0</v>
      </c>
      <c r="W288" s="12"/>
      <c r="X288" s="10">
        <f t="shared" si="256"/>
        <v>0</v>
      </c>
      <c r="Y288" s="12" t="str">
        <f t="shared" si="241"/>
        <v>0</v>
      </c>
      <c r="Z288" s="12"/>
      <c r="AA288" s="10">
        <f>+Risultati!K287</f>
        <v>0</v>
      </c>
      <c r="AB288" s="12" t="str">
        <f t="shared" si="242"/>
        <v>0</v>
      </c>
      <c r="AC288" s="12"/>
      <c r="AD288" s="10">
        <f>+Risultati!L287</f>
        <v>0</v>
      </c>
      <c r="AE288" s="12" t="str">
        <f t="shared" si="243"/>
        <v>0</v>
      </c>
      <c r="AF288" s="12"/>
      <c r="AG288" s="10">
        <f>+Risultati!M287+Risultati!P287+Risultati!Q287</f>
        <v>0</v>
      </c>
      <c r="AH288" s="12" t="str">
        <f t="shared" si="244"/>
        <v>0</v>
      </c>
      <c r="AI288" s="12"/>
      <c r="AJ288" s="13">
        <f t="shared" si="257"/>
        <v>0</v>
      </c>
      <c r="AK288" s="11" t="str">
        <f t="shared" si="245"/>
        <v>0</v>
      </c>
      <c r="AL288" s="12"/>
      <c r="AM288" s="10">
        <f>+Risultati!N287</f>
        <v>0</v>
      </c>
      <c r="AN288" s="12" t="str">
        <f t="shared" si="246"/>
        <v>0</v>
      </c>
      <c r="AO288" s="12"/>
      <c r="AP288" s="10">
        <f t="shared" si="258"/>
        <v>0</v>
      </c>
      <c r="AQ288" s="41" t="str">
        <f t="shared" si="247"/>
        <v>0</v>
      </c>
      <c r="AR288" s="12"/>
      <c r="AS288" s="10">
        <f>+Risultati!O287</f>
        <v>0</v>
      </c>
      <c r="AT288" s="12" t="str">
        <f t="shared" si="248"/>
        <v>0</v>
      </c>
      <c r="AU288" s="12"/>
      <c r="AV288" s="10">
        <f t="shared" si="259"/>
        <v>0</v>
      </c>
      <c r="AW288" s="12" t="str">
        <f t="shared" si="249"/>
        <v>0</v>
      </c>
      <c r="AX288" s="12"/>
      <c r="AY288" s="10">
        <f>+Risultati!R287+Risultati!S287</f>
        <v>0</v>
      </c>
      <c r="AZ288" s="12" t="str">
        <f t="shared" si="250"/>
        <v>0</v>
      </c>
      <c r="BA288" s="12"/>
      <c r="BB288" s="10">
        <f>+Risultati!T287</f>
        <v>0</v>
      </c>
      <c r="BC288" s="12" t="str">
        <f t="shared" si="251"/>
        <v>0</v>
      </c>
      <c r="BD288" s="12"/>
      <c r="BE288" s="10">
        <f>+Risultati!U287</f>
        <v>0</v>
      </c>
      <c r="BF288" s="12" t="str">
        <f t="shared" si="252"/>
        <v>0</v>
      </c>
      <c r="BG288" s="12"/>
      <c r="BH288" s="10">
        <f t="shared" si="260"/>
        <v>0</v>
      </c>
      <c r="BI288" s="12" t="str">
        <f t="shared" si="253"/>
        <v>0</v>
      </c>
      <c r="BK288" s="16">
        <f>IF(ISNUMBER(Risultati!X287/100),(Risultati!X287/100))</f>
        <v>0</v>
      </c>
      <c r="BL288" s="16">
        <f>IF(ISNUMBER(Risultati!Y287/100),(Risultati!Y287/100))</f>
        <v>0</v>
      </c>
      <c r="BM288" s="16">
        <f>IF(ISNUMBER(Risultati!Z287/100),(Risultati!Z287/100))</f>
        <v>0</v>
      </c>
      <c r="BN288" s="16">
        <f>IF(AND(Risultati!AY287&lt;0,calcoli!AP288&lt;0),-IF(ISNUMBER(Risultati!AA287/100),(Risultati!AA287/100)),IF(ISNUMBER(Risultati!AA287/100),(Risultati!AA287/100)))</f>
        <v>0</v>
      </c>
      <c r="BO288" s="16" t="str">
        <f t="shared" si="234"/>
        <v>0</v>
      </c>
      <c r="BP288" s="16" t="str">
        <f>IF(Risultati!AB287&gt;0,(AV288/Risultati!AB287),"0")</f>
        <v>0</v>
      </c>
      <c r="BQ288" s="16" t="str">
        <f>IF(Risultati!AG287&lt;&gt;0,(BH288/Risultati!AG287),"0")</f>
        <v>0</v>
      </c>
      <c r="BR288" s="16" t="str">
        <f t="shared" si="235"/>
        <v>0</v>
      </c>
      <c r="BS288" s="14" t="str">
        <f>IF(Risultati!AB287&gt;0,(Risultati!G287/Risultati!AB287),"0")</f>
        <v>0</v>
      </c>
      <c r="BT288" s="15" t="str">
        <f>IF(Risultati!AG287&lt;&gt;0,(Risultati!AB287/Risultati!AG287),"0")</f>
        <v>0</v>
      </c>
      <c r="BU288" s="23" t="str">
        <f>IF(AND(Risultati!G287&gt;0,(Risultati!AE287-Risultati!AF287)&gt;=0),((Risultati!AE287-Risultati!AF287)/Risultati!G287*360),"0")</f>
        <v>0</v>
      </c>
      <c r="BV288" s="21" t="str">
        <f>IF(OR(E288="abbreviato",Risultati!G287=0),"0",((Risultati!AC287+Risultati!AD287)/Risultati!G287*360))</f>
        <v>0</v>
      </c>
      <c r="BW288" s="21" t="str">
        <f>IF(OR(E288="abbreviato",Risultati!G287=0,SUM(Risultati!I287+Risultati!K287+Risultati!M287)=0),"0",(((Risultati!AH287+Risultati!AI287)/(Risultati!I287+Risultati!K287+Risultati!N287)*360)))</f>
        <v>0</v>
      </c>
      <c r="BX288" s="16" t="str">
        <f>IF(Risultati!AB287&gt;0,(+Risultati!AG287/Risultati!AB287),"0")</f>
        <v>0</v>
      </c>
      <c r="BY288" s="22" t="str">
        <f>IF(OR(E288="abbreviato",Risultati!G287=0),"0",(((Risultati!AK287-(Risultati!AL287+Risultati!AM287))/Risultati!G287)))</f>
        <v>0</v>
      </c>
      <c r="BZ288" s="16" t="str">
        <f>IF(Risultati!G287&gt;0,(Risultati!AJ287/Risultati!G287),"0")</f>
        <v>0</v>
      </c>
      <c r="CA288" s="8"/>
      <c r="CB288" s="9">
        <f>+Risultati!AP287</f>
        <v>0</v>
      </c>
      <c r="CC288" s="31" t="str">
        <f t="shared" si="261"/>
        <v>0</v>
      </c>
      <c r="CD288" s="9">
        <f>+Risultati!AQ287</f>
        <v>0</v>
      </c>
      <c r="CE288" s="31" t="str">
        <f t="shared" si="262"/>
        <v>0</v>
      </c>
      <c r="CF288" s="9">
        <f>+Risultati!AR287</f>
        <v>0</v>
      </c>
      <c r="CG288" s="31" t="str">
        <f t="shared" si="263"/>
        <v>0</v>
      </c>
      <c r="CH288" s="9">
        <f>+Risultati!AS287</f>
        <v>0</v>
      </c>
      <c r="CI288" s="31" t="str">
        <f t="shared" si="264"/>
        <v>0</v>
      </c>
      <c r="CJ288" s="9">
        <f t="shared" si="265"/>
        <v>0</v>
      </c>
      <c r="CK288" s="31" t="str">
        <f t="shared" si="266"/>
        <v>0</v>
      </c>
      <c r="CL288" s="10">
        <f>+Risultati!AE287+Risultati!AF287</f>
        <v>0</v>
      </c>
      <c r="CM288" s="31" t="str">
        <f t="shared" si="267"/>
        <v>0</v>
      </c>
      <c r="CN288" s="9">
        <f>+Risultati!AT287</f>
        <v>0</v>
      </c>
      <c r="CO288" s="31" t="str">
        <f t="shared" si="268"/>
        <v>0</v>
      </c>
      <c r="CP288" s="9">
        <f>+Risultati!AU287</f>
        <v>0</v>
      </c>
      <c r="CQ288" s="31" t="str">
        <f t="shared" si="269"/>
        <v>0</v>
      </c>
      <c r="CR288" s="9">
        <f>+Risultati!AL287</f>
        <v>0</v>
      </c>
      <c r="CS288" s="31" t="str">
        <f t="shared" si="270"/>
        <v>0</v>
      </c>
      <c r="CT288" s="9">
        <f t="shared" si="271"/>
        <v>0</v>
      </c>
      <c r="CU288" s="31" t="str">
        <f t="shared" si="272"/>
        <v>0</v>
      </c>
      <c r="CV288" s="9">
        <f>+Risultati!AX287</f>
        <v>0</v>
      </c>
      <c r="CW288" s="31" t="str">
        <f t="shared" si="273"/>
        <v>0</v>
      </c>
      <c r="CX288" s="9">
        <f t="shared" si="274"/>
        <v>0</v>
      </c>
      <c r="CY288" s="31" t="str">
        <f t="shared" si="275"/>
        <v>0</v>
      </c>
      <c r="CZ288" s="9">
        <f>+Risultati!AG287</f>
        <v>0</v>
      </c>
      <c r="DA288" s="31" t="str">
        <f t="shared" si="276"/>
        <v>0</v>
      </c>
      <c r="DB288" s="9">
        <f t="shared" si="277"/>
        <v>0</v>
      </c>
      <c r="DC288" s="31" t="str">
        <f t="shared" si="278"/>
        <v>0</v>
      </c>
      <c r="DD288" s="9">
        <f>+Risultati!AV287</f>
        <v>0</v>
      </c>
      <c r="DE288" s="31" t="str">
        <f t="shared" si="279"/>
        <v>0</v>
      </c>
      <c r="DF288" s="9">
        <f>+Risultati!AJ287</f>
        <v>0</v>
      </c>
      <c r="DG288" s="31" t="str">
        <f t="shared" si="280"/>
        <v>0</v>
      </c>
      <c r="DH288" s="9">
        <f t="shared" si="281"/>
        <v>0</v>
      </c>
      <c r="DI288" s="31" t="str">
        <f t="shared" si="282"/>
        <v>0</v>
      </c>
      <c r="DJ288" s="9">
        <f>+Risultati!AW287</f>
        <v>0</v>
      </c>
      <c r="DK288" s="31" t="str">
        <f t="shared" si="283"/>
        <v>0</v>
      </c>
      <c r="DL288" s="10">
        <f t="shared" si="254"/>
        <v>0</v>
      </c>
      <c r="DM288" s="31" t="str">
        <f t="shared" si="284"/>
        <v>0</v>
      </c>
      <c r="DO288" s="30"/>
      <c r="DP288" s="30"/>
    </row>
    <row r="289" spans="1:120" x14ac:dyDescent="0.2">
      <c r="A289" s="5"/>
      <c r="B289" s="6">
        <f>+Risultati!B288</f>
        <v>0</v>
      </c>
      <c r="C289" s="6">
        <f>+Risultati!C288</f>
        <v>0</v>
      </c>
      <c r="D289" s="26" t="str">
        <f>IF(YEAR(Risultati!D288)=1900,(MID(Risultati!$AP$1,29,4)),YEAR(Risultati!D288))</f>
        <v/>
      </c>
      <c r="E289" s="6">
        <f>+Risultati!E288</f>
        <v>0</v>
      </c>
      <c r="F289" s="8" t="e">
        <f>(LEFT(Risultati!AN288,2)&amp;"-")&amp;VLOOKUP((LEFT(Risultati!AN288,2)),ateco!$B$4:$C$93,2,FALSE)</f>
        <v>#N/A</v>
      </c>
      <c r="G289" s="8" t="str">
        <f>SUBSTITUTE((Risultati!AN288&amp;"-"&amp;Risultati!AO288),",",";")</f>
        <v>-</v>
      </c>
      <c r="I289" s="10">
        <f>+Risultati!G288</f>
        <v>0</v>
      </c>
      <c r="J289" s="11" t="str">
        <f t="shared" si="236"/>
        <v>0</v>
      </c>
      <c r="K289" s="12"/>
      <c r="L289" s="10">
        <f>+Risultati!G288+Risultati!H288</f>
        <v>0</v>
      </c>
      <c r="M289" s="11" t="str">
        <f t="shared" si="237"/>
        <v>0</v>
      </c>
      <c r="N289" s="12"/>
      <c r="O289" s="10">
        <f>+Risultati!I288+Risultati!J288</f>
        <v>0</v>
      </c>
      <c r="P289" s="11" t="str">
        <f t="shared" si="238"/>
        <v>0</v>
      </c>
      <c r="Q289" s="12"/>
      <c r="R289" s="13">
        <f t="shared" si="255"/>
        <v>0</v>
      </c>
      <c r="S289" s="11" t="str">
        <f t="shared" si="239"/>
        <v>0</v>
      </c>
      <c r="T289" s="12"/>
      <c r="U289" s="10">
        <f>+Risultati!F288-(Risultati!G288+Risultati!H288)</f>
        <v>0</v>
      </c>
      <c r="V289" s="12" t="str">
        <f t="shared" si="240"/>
        <v>0</v>
      </c>
      <c r="W289" s="12"/>
      <c r="X289" s="10">
        <f t="shared" si="256"/>
        <v>0</v>
      </c>
      <c r="Y289" s="12" t="str">
        <f t="shared" si="241"/>
        <v>0</v>
      </c>
      <c r="Z289" s="12"/>
      <c r="AA289" s="10">
        <f>+Risultati!K288</f>
        <v>0</v>
      </c>
      <c r="AB289" s="12" t="str">
        <f t="shared" si="242"/>
        <v>0</v>
      </c>
      <c r="AC289" s="12"/>
      <c r="AD289" s="10">
        <f>+Risultati!L288</f>
        <v>0</v>
      </c>
      <c r="AE289" s="12" t="str">
        <f t="shared" si="243"/>
        <v>0</v>
      </c>
      <c r="AF289" s="12"/>
      <c r="AG289" s="10">
        <f>+Risultati!M288+Risultati!P288+Risultati!Q288</f>
        <v>0</v>
      </c>
      <c r="AH289" s="12" t="str">
        <f t="shared" si="244"/>
        <v>0</v>
      </c>
      <c r="AI289" s="12"/>
      <c r="AJ289" s="13">
        <f t="shared" si="257"/>
        <v>0</v>
      </c>
      <c r="AK289" s="11" t="str">
        <f t="shared" si="245"/>
        <v>0</v>
      </c>
      <c r="AL289" s="12"/>
      <c r="AM289" s="10">
        <f>+Risultati!N288</f>
        <v>0</v>
      </c>
      <c r="AN289" s="12" t="str">
        <f t="shared" si="246"/>
        <v>0</v>
      </c>
      <c r="AO289" s="12"/>
      <c r="AP289" s="10">
        <f t="shared" si="258"/>
        <v>0</v>
      </c>
      <c r="AQ289" s="41" t="str">
        <f t="shared" si="247"/>
        <v>0</v>
      </c>
      <c r="AR289" s="12"/>
      <c r="AS289" s="10">
        <f>+Risultati!O288</f>
        <v>0</v>
      </c>
      <c r="AT289" s="12" t="str">
        <f t="shared" si="248"/>
        <v>0</v>
      </c>
      <c r="AU289" s="12"/>
      <c r="AV289" s="10">
        <f t="shared" si="259"/>
        <v>0</v>
      </c>
      <c r="AW289" s="12" t="str">
        <f t="shared" si="249"/>
        <v>0</v>
      </c>
      <c r="AX289" s="12"/>
      <c r="AY289" s="10">
        <f>+Risultati!R288+Risultati!S288</f>
        <v>0</v>
      </c>
      <c r="AZ289" s="12" t="str">
        <f t="shared" si="250"/>
        <v>0</v>
      </c>
      <c r="BA289" s="12"/>
      <c r="BB289" s="10">
        <f>+Risultati!T288</f>
        <v>0</v>
      </c>
      <c r="BC289" s="12" t="str">
        <f t="shared" si="251"/>
        <v>0</v>
      </c>
      <c r="BD289" s="12"/>
      <c r="BE289" s="10">
        <f>+Risultati!U288</f>
        <v>0</v>
      </c>
      <c r="BF289" s="12" t="str">
        <f t="shared" si="252"/>
        <v>0</v>
      </c>
      <c r="BG289" s="12"/>
      <c r="BH289" s="10">
        <f t="shared" si="260"/>
        <v>0</v>
      </c>
      <c r="BI289" s="12" t="str">
        <f t="shared" si="253"/>
        <v>0</v>
      </c>
      <c r="BK289" s="16">
        <f>IF(ISNUMBER(Risultati!X288/100),(Risultati!X288/100))</f>
        <v>0</v>
      </c>
      <c r="BL289" s="16">
        <f>IF(ISNUMBER(Risultati!Y288/100),(Risultati!Y288/100))</f>
        <v>0</v>
      </c>
      <c r="BM289" s="16">
        <f>IF(ISNUMBER(Risultati!Z288/100),(Risultati!Z288/100))</f>
        <v>0</v>
      </c>
      <c r="BN289" s="16">
        <f>IF(AND(Risultati!AY288&lt;0,calcoli!AP289&lt;0),-IF(ISNUMBER(Risultati!AA288/100),(Risultati!AA288/100)),IF(ISNUMBER(Risultati!AA288/100),(Risultati!AA288/100)))</f>
        <v>0</v>
      </c>
      <c r="BO289" s="16" t="str">
        <f t="shared" si="234"/>
        <v>0</v>
      </c>
      <c r="BP289" s="16" t="str">
        <f>IF(Risultati!AB288&gt;0,(AV289/Risultati!AB288),"0")</f>
        <v>0</v>
      </c>
      <c r="BQ289" s="16" t="str">
        <f>IF(Risultati!AG288&lt;&gt;0,(BH289/Risultati!AG288),"0")</f>
        <v>0</v>
      </c>
      <c r="BR289" s="16" t="str">
        <f t="shared" si="235"/>
        <v>0</v>
      </c>
      <c r="BS289" s="14" t="str">
        <f>IF(Risultati!AB288&gt;0,(Risultati!G288/Risultati!AB288),"0")</f>
        <v>0</v>
      </c>
      <c r="BT289" s="15" t="str">
        <f>IF(Risultati!AG288&lt;&gt;0,(Risultati!AB288/Risultati!AG288),"0")</f>
        <v>0</v>
      </c>
      <c r="BU289" s="23" t="str">
        <f>IF(AND(Risultati!G288&gt;0,(Risultati!AE288-Risultati!AF288)&gt;=0),((Risultati!AE288-Risultati!AF288)/Risultati!G288*360),"0")</f>
        <v>0</v>
      </c>
      <c r="BV289" s="21" t="str">
        <f>IF(OR(E289="abbreviato",Risultati!G288=0),"0",((Risultati!AC288+Risultati!AD288)/Risultati!G288*360))</f>
        <v>0</v>
      </c>
      <c r="BW289" s="21" t="str">
        <f>IF(OR(E289="abbreviato",Risultati!G288=0,SUM(Risultati!I288+Risultati!K288+Risultati!M288)=0),"0",(((Risultati!AH288+Risultati!AI288)/(Risultati!I288+Risultati!K288+Risultati!N288)*360)))</f>
        <v>0</v>
      </c>
      <c r="BX289" s="16" t="str">
        <f>IF(Risultati!AB288&gt;0,(+Risultati!AG288/Risultati!AB288),"0")</f>
        <v>0</v>
      </c>
      <c r="BY289" s="22" t="str">
        <f>IF(OR(E289="abbreviato",Risultati!G288=0),"0",(((Risultati!AK288-(Risultati!AL288+Risultati!AM288))/Risultati!G288)))</f>
        <v>0</v>
      </c>
      <c r="BZ289" s="16" t="str">
        <f>IF(Risultati!G288&gt;0,(Risultati!AJ288/Risultati!G288),"0")</f>
        <v>0</v>
      </c>
      <c r="CA289" s="8"/>
      <c r="CB289" s="9">
        <f>+Risultati!AP288</f>
        <v>0</v>
      </c>
      <c r="CC289" s="31" t="str">
        <f t="shared" si="261"/>
        <v>0</v>
      </c>
      <c r="CD289" s="9">
        <f>+Risultati!AQ288</f>
        <v>0</v>
      </c>
      <c r="CE289" s="31" t="str">
        <f t="shared" si="262"/>
        <v>0</v>
      </c>
      <c r="CF289" s="9">
        <f>+Risultati!AR288</f>
        <v>0</v>
      </c>
      <c r="CG289" s="31" t="str">
        <f t="shared" si="263"/>
        <v>0</v>
      </c>
      <c r="CH289" s="9">
        <f>+Risultati!AS288</f>
        <v>0</v>
      </c>
      <c r="CI289" s="31" t="str">
        <f t="shared" si="264"/>
        <v>0</v>
      </c>
      <c r="CJ289" s="9">
        <f t="shared" si="265"/>
        <v>0</v>
      </c>
      <c r="CK289" s="31" t="str">
        <f t="shared" si="266"/>
        <v>0</v>
      </c>
      <c r="CL289" s="10">
        <f>+Risultati!AE288+Risultati!AF288</f>
        <v>0</v>
      </c>
      <c r="CM289" s="31" t="str">
        <f t="shared" si="267"/>
        <v>0</v>
      </c>
      <c r="CN289" s="9">
        <f>+Risultati!AT288</f>
        <v>0</v>
      </c>
      <c r="CO289" s="31" t="str">
        <f t="shared" si="268"/>
        <v>0</v>
      </c>
      <c r="CP289" s="9">
        <f>+Risultati!AU288</f>
        <v>0</v>
      </c>
      <c r="CQ289" s="31" t="str">
        <f t="shared" si="269"/>
        <v>0</v>
      </c>
      <c r="CR289" s="9">
        <f>+Risultati!AL288</f>
        <v>0</v>
      </c>
      <c r="CS289" s="31" t="str">
        <f t="shared" si="270"/>
        <v>0</v>
      </c>
      <c r="CT289" s="9">
        <f t="shared" si="271"/>
        <v>0</v>
      </c>
      <c r="CU289" s="31" t="str">
        <f t="shared" si="272"/>
        <v>0</v>
      </c>
      <c r="CV289" s="9">
        <f>+Risultati!AX288</f>
        <v>0</v>
      </c>
      <c r="CW289" s="31" t="str">
        <f t="shared" si="273"/>
        <v>0</v>
      </c>
      <c r="CX289" s="9">
        <f t="shared" si="274"/>
        <v>0</v>
      </c>
      <c r="CY289" s="31" t="str">
        <f t="shared" si="275"/>
        <v>0</v>
      </c>
      <c r="CZ289" s="9">
        <f>+Risultati!AG288</f>
        <v>0</v>
      </c>
      <c r="DA289" s="31" t="str">
        <f t="shared" si="276"/>
        <v>0</v>
      </c>
      <c r="DB289" s="9">
        <f t="shared" si="277"/>
        <v>0</v>
      </c>
      <c r="DC289" s="31" t="str">
        <f t="shared" si="278"/>
        <v>0</v>
      </c>
      <c r="DD289" s="9">
        <f>+Risultati!AV288</f>
        <v>0</v>
      </c>
      <c r="DE289" s="31" t="str">
        <f t="shared" si="279"/>
        <v>0</v>
      </c>
      <c r="DF289" s="9">
        <f>+Risultati!AJ288</f>
        <v>0</v>
      </c>
      <c r="DG289" s="31" t="str">
        <f t="shared" si="280"/>
        <v>0</v>
      </c>
      <c r="DH289" s="9">
        <f t="shared" si="281"/>
        <v>0</v>
      </c>
      <c r="DI289" s="31" t="str">
        <f t="shared" si="282"/>
        <v>0</v>
      </c>
      <c r="DJ289" s="9">
        <f>+Risultati!AW288</f>
        <v>0</v>
      </c>
      <c r="DK289" s="31" t="str">
        <f t="shared" si="283"/>
        <v>0</v>
      </c>
      <c r="DL289" s="10">
        <f t="shared" si="254"/>
        <v>0</v>
      </c>
      <c r="DM289" s="31" t="str">
        <f t="shared" si="284"/>
        <v>0</v>
      </c>
      <c r="DO289" s="30"/>
      <c r="DP289" s="30"/>
    </row>
    <row r="290" spans="1:120" x14ac:dyDescent="0.2">
      <c r="A290" s="5"/>
      <c r="B290" s="6">
        <f>+Risultati!B289</f>
        <v>0</v>
      </c>
      <c r="C290" s="6">
        <f>+Risultati!C289</f>
        <v>0</v>
      </c>
      <c r="D290" s="26" t="str">
        <f>IF(YEAR(Risultati!D289)=1900,(MID(Risultati!$AP$1,29,4)),YEAR(Risultati!D289))</f>
        <v/>
      </c>
      <c r="E290" s="6">
        <f>+Risultati!E289</f>
        <v>0</v>
      </c>
      <c r="F290" s="8" t="e">
        <f>(LEFT(Risultati!AN289,2)&amp;"-")&amp;VLOOKUP((LEFT(Risultati!AN289,2)),ateco!$B$4:$C$93,2,FALSE)</f>
        <v>#N/A</v>
      </c>
      <c r="G290" s="8" t="str">
        <f>SUBSTITUTE((Risultati!AN289&amp;"-"&amp;Risultati!AO289),",",";")</f>
        <v>-</v>
      </c>
      <c r="I290" s="10">
        <f>+Risultati!G289</f>
        <v>0</v>
      </c>
      <c r="J290" s="11" t="str">
        <f t="shared" si="236"/>
        <v>0</v>
      </c>
      <c r="K290" s="12"/>
      <c r="L290" s="10">
        <f>+Risultati!G289+Risultati!H289</f>
        <v>0</v>
      </c>
      <c r="M290" s="11" t="str">
        <f t="shared" si="237"/>
        <v>0</v>
      </c>
      <c r="N290" s="12"/>
      <c r="O290" s="10">
        <f>+Risultati!I289+Risultati!J289</f>
        <v>0</v>
      </c>
      <c r="P290" s="11" t="str">
        <f t="shared" si="238"/>
        <v>0</v>
      </c>
      <c r="Q290" s="12"/>
      <c r="R290" s="13">
        <f t="shared" si="255"/>
        <v>0</v>
      </c>
      <c r="S290" s="11" t="str">
        <f t="shared" si="239"/>
        <v>0</v>
      </c>
      <c r="T290" s="12"/>
      <c r="U290" s="10">
        <f>+Risultati!F289-(Risultati!G289+Risultati!H289)</f>
        <v>0</v>
      </c>
      <c r="V290" s="12" t="str">
        <f t="shared" si="240"/>
        <v>0</v>
      </c>
      <c r="W290" s="12"/>
      <c r="X290" s="10">
        <f t="shared" si="256"/>
        <v>0</v>
      </c>
      <c r="Y290" s="12" t="str">
        <f t="shared" si="241"/>
        <v>0</v>
      </c>
      <c r="Z290" s="12"/>
      <c r="AA290" s="10">
        <f>+Risultati!K289</f>
        <v>0</v>
      </c>
      <c r="AB290" s="12" t="str">
        <f t="shared" si="242"/>
        <v>0</v>
      </c>
      <c r="AC290" s="12"/>
      <c r="AD290" s="10">
        <f>+Risultati!L289</f>
        <v>0</v>
      </c>
      <c r="AE290" s="12" t="str">
        <f t="shared" si="243"/>
        <v>0</v>
      </c>
      <c r="AF290" s="12"/>
      <c r="AG290" s="10">
        <f>+Risultati!M289+Risultati!P289+Risultati!Q289</f>
        <v>0</v>
      </c>
      <c r="AH290" s="12" t="str">
        <f t="shared" si="244"/>
        <v>0</v>
      </c>
      <c r="AI290" s="12"/>
      <c r="AJ290" s="13">
        <f t="shared" si="257"/>
        <v>0</v>
      </c>
      <c r="AK290" s="11" t="str">
        <f t="shared" si="245"/>
        <v>0</v>
      </c>
      <c r="AL290" s="12"/>
      <c r="AM290" s="10">
        <f>+Risultati!N289</f>
        <v>0</v>
      </c>
      <c r="AN290" s="12" t="str">
        <f t="shared" si="246"/>
        <v>0</v>
      </c>
      <c r="AO290" s="12"/>
      <c r="AP290" s="10">
        <f t="shared" si="258"/>
        <v>0</v>
      </c>
      <c r="AQ290" s="41" t="str">
        <f t="shared" si="247"/>
        <v>0</v>
      </c>
      <c r="AR290" s="12"/>
      <c r="AS290" s="10">
        <f>+Risultati!O289</f>
        <v>0</v>
      </c>
      <c r="AT290" s="12" t="str">
        <f t="shared" si="248"/>
        <v>0</v>
      </c>
      <c r="AU290" s="12"/>
      <c r="AV290" s="10">
        <f t="shared" si="259"/>
        <v>0</v>
      </c>
      <c r="AW290" s="12" t="str">
        <f t="shared" si="249"/>
        <v>0</v>
      </c>
      <c r="AX290" s="12"/>
      <c r="AY290" s="10">
        <f>+Risultati!R289+Risultati!S289</f>
        <v>0</v>
      </c>
      <c r="AZ290" s="12" t="str">
        <f t="shared" si="250"/>
        <v>0</v>
      </c>
      <c r="BA290" s="12"/>
      <c r="BB290" s="10">
        <f>+Risultati!T289</f>
        <v>0</v>
      </c>
      <c r="BC290" s="12" t="str">
        <f t="shared" si="251"/>
        <v>0</v>
      </c>
      <c r="BD290" s="12"/>
      <c r="BE290" s="10">
        <f>+Risultati!U289</f>
        <v>0</v>
      </c>
      <c r="BF290" s="12" t="str">
        <f t="shared" si="252"/>
        <v>0</v>
      </c>
      <c r="BG290" s="12"/>
      <c r="BH290" s="10">
        <f t="shared" si="260"/>
        <v>0</v>
      </c>
      <c r="BI290" s="12" t="str">
        <f t="shared" si="253"/>
        <v>0</v>
      </c>
      <c r="BK290" s="16">
        <f>IF(ISNUMBER(Risultati!X289/100),(Risultati!X289/100))</f>
        <v>0</v>
      </c>
      <c r="BL290" s="16">
        <f>IF(ISNUMBER(Risultati!Y289/100),(Risultati!Y289/100))</f>
        <v>0</v>
      </c>
      <c r="BM290" s="16">
        <f>IF(ISNUMBER(Risultati!Z289/100),(Risultati!Z289/100))</f>
        <v>0</v>
      </c>
      <c r="BN290" s="16">
        <f>IF(AND(Risultati!AY289&lt;0,calcoli!AP290&lt;0),-IF(ISNUMBER(Risultati!AA289/100),(Risultati!AA289/100)),IF(ISNUMBER(Risultati!AA289/100),(Risultati!AA289/100)))</f>
        <v>0</v>
      </c>
      <c r="BO290" s="16" t="str">
        <f t="shared" si="234"/>
        <v>0</v>
      </c>
      <c r="BP290" s="16" t="str">
        <f>IF(Risultati!AB289&gt;0,(AV290/Risultati!AB289),"0")</f>
        <v>0</v>
      </c>
      <c r="BQ290" s="16" t="str">
        <f>IF(Risultati!AG289&lt;&gt;0,(BH290/Risultati!AG289),"0")</f>
        <v>0</v>
      </c>
      <c r="BR290" s="16" t="str">
        <f t="shared" si="235"/>
        <v>0</v>
      </c>
      <c r="BS290" s="14" t="str">
        <f>IF(Risultati!AB289&gt;0,(Risultati!G289/Risultati!AB289),"0")</f>
        <v>0</v>
      </c>
      <c r="BT290" s="15" t="str">
        <f>IF(Risultati!AG289&lt;&gt;0,(Risultati!AB289/Risultati!AG289),"0")</f>
        <v>0</v>
      </c>
      <c r="BU290" s="23" t="str">
        <f>IF(AND(Risultati!G289&gt;0,(Risultati!AE289-Risultati!AF289)&gt;=0),((Risultati!AE289-Risultati!AF289)/Risultati!G289*360),"0")</f>
        <v>0</v>
      </c>
      <c r="BV290" s="21" t="str">
        <f>IF(OR(E290="abbreviato",Risultati!G289=0),"0",((Risultati!AC289+Risultati!AD289)/Risultati!G289*360))</f>
        <v>0</v>
      </c>
      <c r="BW290" s="21" t="str">
        <f>IF(OR(E290="abbreviato",Risultati!G289=0,SUM(Risultati!I289+Risultati!K289+Risultati!M289)=0),"0",(((Risultati!AH289+Risultati!AI289)/(Risultati!I289+Risultati!K289+Risultati!N289)*360)))</f>
        <v>0</v>
      </c>
      <c r="BX290" s="16" t="str">
        <f>IF(Risultati!AB289&gt;0,(+Risultati!AG289/Risultati!AB289),"0")</f>
        <v>0</v>
      </c>
      <c r="BY290" s="22" t="str">
        <f>IF(OR(E290="abbreviato",Risultati!G289=0),"0",(((Risultati!AK289-(Risultati!AL289+Risultati!AM289))/Risultati!G289)))</f>
        <v>0</v>
      </c>
      <c r="BZ290" s="16" t="str">
        <f>IF(Risultati!G289&gt;0,(Risultati!AJ289/Risultati!G289),"0")</f>
        <v>0</v>
      </c>
      <c r="CA290" s="8"/>
      <c r="CB290" s="9">
        <f>+Risultati!AP289</f>
        <v>0</v>
      </c>
      <c r="CC290" s="31" t="str">
        <f t="shared" si="261"/>
        <v>0</v>
      </c>
      <c r="CD290" s="9">
        <f>+Risultati!AQ289</f>
        <v>0</v>
      </c>
      <c r="CE290" s="31" t="str">
        <f t="shared" si="262"/>
        <v>0</v>
      </c>
      <c r="CF290" s="9">
        <f>+Risultati!AR289</f>
        <v>0</v>
      </c>
      <c r="CG290" s="31" t="str">
        <f t="shared" si="263"/>
        <v>0</v>
      </c>
      <c r="CH290" s="9">
        <f>+Risultati!AS289</f>
        <v>0</v>
      </c>
      <c r="CI290" s="31" t="str">
        <f t="shared" si="264"/>
        <v>0</v>
      </c>
      <c r="CJ290" s="9">
        <f t="shared" si="265"/>
        <v>0</v>
      </c>
      <c r="CK290" s="31" t="str">
        <f t="shared" si="266"/>
        <v>0</v>
      </c>
      <c r="CL290" s="10">
        <f>+Risultati!AE289+Risultati!AF289</f>
        <v>0</v>
      </c>
      <c r="CM290" s="31" t="str">
        <f t="shared" si="267"/>
        <v>0</v>
      </c>
      <c r="CN290" s="9">
        <f>+Risultati!AT289</f>
        <v>0</v>
      </c>
      <c r="CO290" s="31" t="str">
        <f t="shared" si="268"/>
        <v>0</v>
      </c>
      <c r="CP290" s="9">
        <f>+Risultati!AU289</f>
        <v>0</v>
      </c>
      <c r="CQ290" s="31" t="str">
        <f t="shared" si="269"/>
        <v>0</v>
      </c>
      <c r="CR290" s="9">
        <f>+Risultati!AL289</f>
        <v>0</v>
      </c>
      <c r="CS290" s="31" t="str">
        <f t="shared" si="270"/>
        <v>0</v>
      </c>
      <c r="CT290" s="9">
        <f t="shared" si="271"/>
        <v>0</v>
      </c>
      <c r="CU290" s="31" t="str">
        <f t="shared" si="272"/>
        <v>0</v>
      </c>
      <c r="CV290" s="9">
        <f>+Risultati!AX289</f>
        <v>0</v>
      </c>
      <c r="CW290" s="31" t="str">
        <f t="shared" si="273"/>
        <v>0</v>
      </c>
      <c r="CX290" s="9">
        <f t="shared" si="274"/>
        <v>0</v>
      </c>
      <c r="CY290" s="31" t="str">
        <f t="shared" si="275"/>
        <v>0</v>
      </c>
      <c r="CZ290" s="9">
        <f>+Risultati!AG289</f>
        <v>0</v>
      </c>
      <c r="DA290" s="31" t="str">
        <f t="shared" si="276"/>
        <v>0</v>
      </c>
      <c r="DB290" s="9">
        <f t="shared" si="277"/>
        <v>0</v>
      </c>
      <c r="DC290" s="31" t="str">
        <f t="shared" si="278"/>
        <v>0</v>
      </c>
      <c r="DD290" s="9">
        <f>+Risultati!AV289</f>
        <v>0</v>
      </c>
      <c r="DE290" s="31" t="str">
        <f t="shared" si="279"/>
        <v>0</v>
      </c>
      <c r="DF290" s="9">
        <f>+Risultati!AJ289</f>
        <v>0</v>
      </c>
      <c r="DG290" s="31" t="str">
        <f t="shared" si="280"/>
        <v>0</v>
      </c>
      <c r="DH290" s="9">
        <f t="shared" si="281"/>
        <v>0</v>
      </c>
      <c r="DI290" s="31" t="str">
        <f t="shared" si="282"/>
        <v>0</v>
      </c>
      <c r="DJ290" s="9">
        <f>+Risultati!AW289</f>
        <v>0</v>
      </c>
      <c r="DK290" s="31" t="str">
        <f t="shared" si="283"/>
        <v>0</v>
      </c>
      <c r="DL290" s="10">
        <f t="shared" si="254"/>
        <v>0</v>
      </c>
      <c r="DM290" s="31" t="str">
        <f t="shared" si="284"/>
        <v>0</v>
      </c>
      <c r="DO290" s="30"/>
      <c r="DP290" s="30"/>
    </row>
    <row r="291" spans="1:120" x14ac:dyDescent="0.2">
      <c r="A291" s="5"/>
      <c r="B291" s="6">
        <f>+Risultati!B290</f>
        <v>0</v>
      </c>
      <c r="C291" s="6">
        <f>+Risultati!C290</f>
        <v>0</v>
      </c>
      <c r="D291" s="26" t="str">
        <f>IF(YEAR(Risultati!D290)=1900,(MID(Risultati!$AP$1,29,4)),YEAR(Risultati!D290))</f>
        <v/>
      </c>
      <c r="E291" s="6">
        <f>+Risultati!E290</f>
        <v>0</v>
      </c>
      <c r="F291" s="8" t="e">
        <f>(LEFT(Risultati!AN290,2)&amp;"-")&amp;VLOOKUP((LEFT(Risultati!AN290,2)),ateco!$B$4:$C$93,2,FALSE)</f>
        <v>#N/A</v>
      </c>
      <c r="G291" s="8" t="str">
        <f>SUBSTITUTE((Risultati!AN290&amp;"-"&amp;Risultati!AO290),",",";")</f>
        <v>-</v>
      </c>
      <c r="I291" s="10">
        <f>+Risultati!G290</f>
        <v>0</v>
      </c>
      <c r="J291" s="11" t="str">
        <f t="shared" si="236"/>
        <v>0</v>
      </c>
      <c r="K291" s="12"/>
      <c r="L291" s="10">
        <f>+Risultati!G290+Risultati!H290</f>
        <v>0</v>
      </c>
      <c r="M291" s="11" t="str">
        <f t="shared" si="237"/>
        <v>0</v>
      </c>
      <c r="N291" s="12"/>
      <c r="O291" s="10">
        <f>+Risultati!I290+Risultati!J290</f>
        <v>0</v>
      </c>
      <c r="P291" s="11" t="str">
        <f t="shared" si="238"/>
        <v>0</v>
      </c>
      <c r="Q291" s="12"/>
      <c r="R291" s="13">
        <f t="shared" si="255"/>
        <v>0</v>
      </c>
      <c r="S291" s="11" t="str">
        <f t="shared" si="239"/>
        <v>0</v>
      </c>
      <c r="T291" s="12"/>
      <c r="U291" s="10">
        <f>+Risultati!F290-(Risultati!G290+Risultati!H290)</f>
        <v>0</v>
      </c>
      <c r="V291" s="12" t="str">
        <f t="shared" si="240"/>
        <v>0</v>
      </c>
      <c r="W291" s="12"/>
      <c r="X291" s="10">
        <f t="shared" si="256"/>
        <v>0</v>
      </c>
      <c r="Y291" s="12" t="str">
        <f t="shared" si="241"/>
        <v>0</v>
      </c>
      <c r="Z291" s="12"/>
      <c r="AA291" s="10">
        <f>+Risultati!K290</f>
        <v>0</v>
      </c>
      <c r="AB291" s="12" t="str">
        <f t="shared" si="242"/>
        <v>0</v>
      </c>
      <c r="AC291" s="12"/>
      <c r="AD291" s="10">
        <f>+Risultati!L290</f>
        <v>0</v>
      </c>
      <c r="AE291" s="12" t="str">
        <f t="shared" si="243"/>
        <v>0</v>
      </c>
      <c r="AF291" s="12"/>
      <c r="AG291" s="10">
        <f>+Risultati!M290+Risultati!P290+Risultati!Q290</f>
        <v>0</v>
      </c>
      <c r="AH291" s="12" t="str">
        <f t="shared" si="244"/>
        <v>0</v>
      </c>
      <c r="AI291" s="12"/>
      <c r="AJ291" s="13">
        <f t="shared" si="257"/>
        <v>0</v>
      </c>
      <c r="AK291" s="11" t="str">
        <f t="shared" si="245"/>
        <v>0</v>
      </c>
      <c r="AL291" s="12"/>
      <c r="AM291" s="10">
        <f>+Risultati!N290</f>
        <v>0</v>
      </c>
      <c r="AN291" s="12" t="str">
        <f t="shared" si="246"/>
        <v>0</v>
      </c>
      <c r="AO291" s="12"/>
      <c r="AP291" s="10">
        <f t="shared" si="258"/>
        <v>0</v>
      </c>
      <c r="AQ291" s="41" t="str">
        <f t="shared" si="247"/>
        <v>0</v>
      </c>
      <c r="AR291" s="12"/>
      <c r="AS291" s="10">
        <f>+Risultati!O290</f>
        <v>0</v>
      </c>
      <c r="AT291" s="12" t="str">
        <f t="shared" si="248"/>
        <v>0</v>
      </c>
      <c r="AU291" s="12"/>
      <c r="AV291" s="10">
        <f t="shared" si="259"/>
        <v>0</v>
      </c>
      <c r="AW291" s="12" t="str">
        <f t="shared" si="249"/>
        <v>0</v>
      </c>
      <c r="AX291" s="12"/>
      <c r="AY291" s="10">
        <f>+Risultati!R290+Risultati!S290</f>
        <v>0</v>
      </c>
      <c r="AZ291" s="12" t="str">
        <f t="shared" si="250"/>
        <v>0</v>
      </c>
      <c r="BA291" s="12"/>
      <c r="BB291" s="10">
        <f>+Risultati!T290</f>
        <v>0</v>
      </c>
      <c r="BC291" s="12" t="str">
        <f t="shared" si="251"/>
        <v>0</v>
      </c>
      <c r="BD291" s="12"/>
      <c r="BE291" s="10">
        <f>+Risultati!U290</f>
        <v>0</v>
      </c>
      <c r="BF291" s="12" t="str">
        <f t="shared" si="252"/>
        <v>0</v>
      </c>
      <c r="BG291" s="12"/>
      <c r="BH291" s="10">
        <f t="shared" si="260"/>
        <v>0</v>
      </c>
      <c r="BI291" s="12" t="str">
        <f t="shared" si="253"/>
        <v>0</v>
      </c>
      <c r="BK291" s="16">
        <f>IF(ISNUMBER(Risultati!X290/100),(Risultati!X290/100))</f>
        <v>0</v>
      </c>
      <c r="BL291" s="16">
        <f>IF(ISNUMBER(Risultati!Y290/100),(Risultati!Y290/100))</f>
        <v>0</v>
      </c>
      <c r="BM291" s="16">
        <f>IF(ISNUMBER(Risultati!Z290/100),(Risultati!Z290/100))</f>
        <v>0</v>
      </c>
      <c r="BN291" s="16">
        <f>IF(AND(Risultati!AY290&lt;0,calcoli!AP291&lt;0),-IF(ISNUMBER(Risultati!AA290/100),(Risultati!AA290/100)),IF(ISNUMBER(Risultati!AA290/100),(Risultati!AA290/100)))</f>
        <v>0</v>
      </c>
      <c r="BO291" s="16" t="str">
        <f t="shared" si="234"/>
        <v>0</v>
      </c>
      <c r="BP291" s="16" t="str">
        <f>IF(Risultati!AB290&gt;0,(AV291/Risultati!AB290),"0")</f>
        <v>0</v>
      </c>
      <c r="BQ291" s="16" t="str">
        <f>IF(Risultati!AG290&lt;&gt;0,(BH291/Risultati!AG290),"0")</f>
        <v>0</v>
      </c>
      <c r="BR291" s="16" t="str">
        <f t="shared" si="235"/>
        <v>0</v>
      </c>
      <c r="BS291" s="14" t="str">
        <f>IF(Risultati!AB290&gt;0,(Risultati!G290/Risultati!AB290),"0")</f>
        <v>0</v>
      </c>
      <c r="BT291" s="15" t="str">
        <f>IF(Risultati!AG290&lt;&gt;0,(Risultati!AB290/Risultati!AG290),"0")</f>
        <v>0</v>
      </c>
      <c r="BU291" s="23" t="str">
        <f>IF(AND(Risultati!G290&gt;0,(Risultati!AE290-Risultati!AF290)&gt;=0),((Risultati!AE290-Risultati!AF290)/Risultati!G290*360),"0")</f>
        <v>0</v>
      </c>
      <c r="BV291" s="21" t="str">
        <f>IF(OR(E291="abbreviato",Risultati!G290=0),"0",((Risultati!AC290+Risultati!AD290)/Risultati!G290*360))</f>
        <v>0</v>
      </c>
      <c r="BW291" s="21" t="str">
        <f>IF(OR(E291="abbreviato",Risultati!G290=0,SUM(Risultati!I290+Risultati!K290+Risultati!M290)=0),"0",(((Risultati!AH290+Risultati!AI290)/(Risultati!I290+Risultati!K290+Risultati!N290)*360)))</f>
        <v>0</v>
      </c>
      <c r="BX291" s="16" t="str">
        <f>IF(Risultati!AB290&gt;0,(+Risultati!AG290/Risultati!AB290),"0")</f>
        <v>0</v>
      </c>
      <c r="BY291" s="22" t="str">
        <f>IF(OR(E291="abbreviato",Risultati!G290=0),"0",(((Risultati!AK290-(Risultati!AL290+Risultati!AM290))/Risultati!G290)))</f>
        <v>0</v>
      </c>
      <c r="BZ291" s="16" t="str">
        <f>IF(Risultati!G290&gt;0,(Risultati!AJ290/Risultati!G290),"0")</f>
        <v>0</v>
      </c>
      <c r="CA291" s="8"/>
      <c r="CB291" s="9">
        <f>+Risultati!AP290</f>
        <v>0</v>
      </c>
      <c r="CC291" s="31" t="str">
        <f t="shared" si="261"/>
        <v>0</v>
      </c>
      <c r="CD291" s="9">
        <f>+Risultati!AQ290</f>
        <v>0</v>
      </c>
      <c r="CE291" s="31" t="str">
        <f t="shared" si="262"/>
        <v>0</v>
      </c>
      <c r="CF291" s="9">
        <f>+Risultati!AR290</f>
        <v>0</v>
      </c>
      <c r="CG291" s="31" t="str">
        <f t="shared" si="263"/>
        <v>0</v>
      </c>
      <c r="CH291" s="9">
        <f>+Risultati!AS290</f>
        <v>0</v>
      </c>
      <c r="CI291" s="31" t="str">
        <f t="shared" si="264"/>
        <v>0</v>
      </c>
      <c r="CJ291" s="9">
        <f t="shared" si="265"/>
        <v>0</v>
      </c>
      <c r="CK291" s="31" t="str">
        <f t="shared" si="266"/>
        <v>0</v>
      </c>
      <c r="CL291" s="10">
        <f>+Risultati!AE290+Risultati!AF290</f>
        <v>0</v>
      </c>
      <c r="CM291" s="31" t="str">
        <f t="shared" si="267"/>
        <v>0</v>
      </c>
      <c r="CN291" s="9">
        <f>+Risultati!AT290</f>
        <v>0</v>
      </c>
      <c r="CO291" s="31" t="str">
        <f t="shared" si="268"/>
        <v>0</v>
      </c>
      <c r="CP291" s="9">
        <f>+Risultati!AU290</f>
        <v>0</v>
      </c>
      <c r="CQ291" s="31" t="str">
        <f t="shared" si="269"/>
        <v>0</v>
      </c>
      <c r="CR291" s="9">
        <f>+Risultati!AL290</f>
        <v>0</v>
      </c>
      <c r="CS291" s="31" t="str">
        <f t="shared" si="270"/>
        <v>0</v>
      </c>
      <c r="CT291" s="9">
        <f t="shared" si="271"/>
        <v>0</v>
      </c>
      <c r="CU291" s="31" t="str">
        <f t="shared" si="272"/>
        <v>0</v>
      </c>
      <c r="CV291" s="9">
        <f>+Risultati!AX290</f>
        <v>0</v>
      </c>
      <c r="CW291" s="31" t="str">
        <f t="shared" si="273"/>
        <v>0</v>
      </c>
      <c r="CX291" s="9">
        <f t="shared" si="274"/>
        <v>0</v>
      </c>
      <c r="CY291" s="31" t="str">
        <f t="shared" si="275"/>
        <v>0</v>
      </c>
      <c r="CZ291" s="9">
        <f>+Risultati!AG290</f>
        <v>0</v>
      </c>
      <c r="DA291" s="31" t="str">
        <f t="shared" si="276"/>
        <v>0</v>
      </c>
      <c r="DB291" s="9">
        <f t="shared" si="277"/>
        <v>0</v>
      </c>
      <c r="DC291" s="31" t="str">
        <f t="shared" si="278"/>
        <v>0</v>
      </c>
      <c r="DD291" s="9">
        <f>+Risultati!AV290</f>
        <v>0</v>
      </c>
      <c r="DE291" s="31" t="str">
        <f t="shared" si="279"/>
        <v>0</v>
      </c>
      <c r="DF291" s="9">
        <f>+Risultati!AJ290</f>
        <v>0</v>
      </c>
      <c r="DG291" s="31" t="str">
        <f t="shared" si="280"/>
        <v>0</v>
      </c>
      <c r="DH291" s="9">
        <f t="shared" si="281"/>
        <v>0</v>
      </c>
      <c r="DI291" s="31" t="str">
        <f t="shared" si="282"/>
        <v>0</v>
      </c>
      <c r="DJ291" s="9">
        <f>+Risultati!AW290</f>
        <v>0</v>
      </c>
      <c r="DK291" s="31" t="str">
        <f t="shared" si="283"/>
        <v>0</v>
      </c>
      <c r="DL291" s="10">
        <f t="shared" si="254"/>
        <v>0</v>
      </c>
      <c r="DM291" s="31" t="str">
        <f t="shared" si="284"/>
        <v>0</v>
      </c>
      <c r="DO291" s="30"/>
      <c r="DP291" s="30"/>
    </row>
    <row r="292" spans="1:120" x14ac:dyDescent="0.2">
      <c r="A292" s="5"/>
      <c r="B292" s="6">
        <f>+Risultati!B291</f>
        <v>0</v>
      </c>
      <c r="C292" s="6">
        <f>+Risultati!C291</f>
        <v>0</v>
      </c>
      <c r="D292" s="26" t="str">
        <f>IF(YEAR(Risultati!D291)=1900,(MID(Risultati!$AP$1,29,4)),YEAR(Risultati!D291))</f>
        <v/>
      </c>
      <c r="E292" s="6">
        <f>+Risultati!E291</f>
        <v>0</v>
      </c>
      <c r="F292" s="8" t="e">
        <f>(LEFT(Risultati!AN291,2)&amp;"-")&amp;VLOOKUP((LEFT(Risultati!AN291,2)),ateco!$B$4:$C$93,2,FALSE)</f>
        <v>#N/A</v>
      </c>
      <c r="G292" s="8" t="str">
        <f>SUBSTITUTE((Risultati!AN291&amp;"-"&amp;Risultati!AO291),",",";")</f>
        <v>-</v>
      </c>
      <c r="I292" s="10">
        <f>+Risultati!G291</f>
        <v>0</v>
      </c>
      <c r="J292" s="11" t="str">
        <f t="shared" si="236"/>
        <v>0</v>
      </c>
      <c r="K292" s="12"/>
      <c r="L292" s="10">
        <f>+Risultati!G291+Risultati!H291</f>
        <v>0</v>
      </c>
      <c r="M292" s="11" t="str">
        <f t="shared" si="237"/>
        <v>0</v>
      </c>
      <c r="N292" s="12"/>
      <c r="O292" s="10">
        <f>+Risultati!I291+Risultati!J291</f>
        <v>0</v>
      </c>
      <c r="P292" s="11" t="str">
        <f t="shared" si="238"/>
        <v>0</v>
      </c>
      <c r="Q292" s="12"/>
      <c r="R292" s="13">
        <f t="shared" si="255"/>
        <v>0</v>
      </c>
      <c r="S292" s="11" t="str">
        <f t="shared" si="239"/>
        <v>0</v>
      </c>
      <c r="T292" s="12"/>
      <c r="U292" s="10">
        <f>+Risultati!F291-(Risultati!G291+Risultati!H291)</f>
        <v>0</v>
      </c>
      <c r="V292" s="12" t="str">
        <f t="shared" si="240"/>
        <v>0</v>
      </c>
      <c r="W292" s="12"/>
      <c r="X292" s="10">
        <f t="shared" si="256"/>
        <v>0</v>
      </c>
      <c r="Y292" s="12" t="str">
        <f t="shared" si="241"/>
        <v>0</v>
      </c>
      <c r="Z292" s="12"/>
      <c r="AA292" s="10">
        <f>+Risultati!K291</f>
        <v>0</v>
      </c>
      <c r="AB292" s="12" t="str">
        <f t="shared" si="242"/>
        <v>0</v>
      </c>
      <c r="AC292" s="12"/>
      <c r="AD292" s="10">
        <f>+Risultati!L291</f>
        <v>0</v>
      </c>
      <c r="AE292" s="12" t="str">
        <f t="shared" si="243"/>
        <v>0</v>
      </c>
      <c r="AF292" s="12"/>
      <c r="AG292" s="10">
        <f>+Risultati!M291+Risultati!P291+Risultati!Q291</f>
        <v>0</v>
      </c>
      <c r="AH292" s="12" t="str">
        <f t="shared" si="244"/>
        <v>0</v>
      </c>
      <c r="AI292" s="12"/>
      <c r="AJ292" s="13">
        <f t="shared" si="257"/>
        <v>0</v>
      </c>
      <c r="AK292" s="11" t="str">
        <f t="shared" si="245"/>
        <v>0</v>
      </c>
      <c r="AL292" s="12"/>
      <c r="AM292" s="10">
        <f>+Risultati!N291</f>
        <v>0</v>
      </c>
      <c r="AN292" s="12" t="str">
        <f t="shared" si="246"/>
        <v>0</v>
      </c>
      <c r="AO292" s="12"/>
      <c r="AP292" s="10">
        <f t="shared" si="258"/>
        <v>0</v>
      </c>
      <c r="AQ292" s="41" t="str">
        <f t="shared" si="247"/>
        <v>0</v>
      </c>
      <c r="AR292" s="12"/>
      <c r="AS292" s="10">
        <f>+Risultati!O291</f>
        <v>0</v>
      </c>
      <c r="AT292" s="12" t="str">
        <f t="shared" si="248"/>
        <v>0</v>
      </c>
      <c r="AU292" s="12"/>
      <c r="AV292" s="10">
        <f t="shared" si="259"/>
        <v>0</v>
      </c>
      <c r="AW292" s="12" t="str">
        <f t="shared" si="249"/>
        <v>0</v>
      </c>
      <c r="AX292" s="12"/>
      <c r="AY292" s="10">
        <f>+Risultati!R291+Risultati!S291</f>
        <v>0</v>
      </c>
      <c r="AZ292" s="12" t="str">
        <f t="shared" si="250"/>
        <v>0</v>
      </c>
      <c r="BA292" s="12"/>
      <c r="BB292" s="10">
        <f>+Risultati!T291</f>
        <v>0</v>
      </c>
      <c r="BC292" s="12" t="str">
        <f t="shared" si="251"/>
        <v>0</v>
      </c>
      <c r="BD292" s="12"/>
      <c r="BE292" s="10">
        <f>+Risultati!U291</f>
        <v>0</v>
      </c>
      <c r="BF292" s="12" t="str">
        <f t="shared" si="252"/>
        <v>0</v>
      </c>
      <c r="BG292" s="12"/>
      <c r="BH292" s="10">
        <f t="shared" si="260"/>
        <v>0</v>
      </c>
      <c r="BI292" s="12" t="str">
        <f t="shared" si="253"/>
        <v>0</v>
      </c>
      <c r="BK292" s="16">
        <f>IF(ISNUMBER(Risultati!X291/100),(Risultati!X291/100))</f>
        <v>0</v>
      </c>
      <c r="BL292" s="16">
        <f>IF(ISNUMBER(Risultati!Y291/100),(Risultati!Y291/100))</f>
        <v>0</v>
      </c>
      <c r="BM292" s="16">
        <f>IF(ISNUMBER(Risultati!Z291/100),(Risultati!Z291/100))</f>
        <v>0</v>
      </c>
      <c r="BN292" s="16">
        <f>IF(AND(Risultati!AY291&lt;0,calcoli!AP292&lt;0),-IF(ISNUMBER(Risultati!AA291/100),(Risultati!AA291/100)),IF(ISNUMBER(Risultati!AA291/100),(Risultati!AA291/100)))</f>
        <v>0</v>
      </c>
      <c r="BO292" s="16" t="str">
        <f t="shared" si="234"/>
        <v>0</v>
      </c>
      <c r="BP292" s="16" t="str">
        <f>IF(Risultati!AB291&gt;0,(AV292/Risultati!AB291),"0")</f>
        <v>0</v>
      </c>
      <c r="BQ292" s="16" t="str">
        <f>IF(Risultati!AG291&lt;&gt;0,(BH292/Risultati!AG291),"0")</f>
        <v>0</v>
      </c>
      <c r="BR292" s="16" t="str">
        <f t="shared" si="235"/>
        <v>0</v>
      </c>
      <c r="BS292" s="14" t="str">
        <f>IF(Risultati!AB291&gt;0,(Risultati!G291/Risultati!AB291),"0")</f>
        <v>0</v>
      </c>
      <c r="BT292" s="15" t="str">
        <f>IF(Risultati!AG291&lt;&gt;0,(Risultati!AB291/Risultati!AG291),"0")</f>
        <v>0</v>
      </c>
      <c r="BU292" s="23" t="str">
        <f>IF(AND(Risultati!G291&gt;0,(Risultati!AE291-Risultati!AF291)&gt;=0),((Risultati!AE291-Risultati!AF291)/Risultati!G291*360),"0")</f>
        <v>0</v>
      </c>
      <c r="BV292" s="21" t="str">
        <f>IF(OR(E292="abbreviato",Risultati!G291=0),"0",((Risultati!AC291+Risultati!AD291)/Risultati!G291*360))</f>
        <v>0</v>
      </c>
      <c r="BW292" s="21" t="str">
        <f>IF(OR(E292="abbreviato",Risultati!G291=0,SUM(Risultati!I291+Risultati!K291+Risultati!M291)=0),"0",(((Risultati!AH291+Risultati!AI291)/(Risultati!I291+Risultati!K291+Risultati!N291)*360)))</f>
        <v>0</v>
      </c>
      <c r="BX292" s="16" t="str">
        <f>IF(Risultati!AB291&gt;0,(+Risultati!AG291/Risultati!AB291),"0")</f>
        <v>0</v>
      </c>
      <c r="BY292" s="22" t="str">
        <f>IF(OR(E292="abbreviato",Risultati!G291=0),"0",(((Risultati!AK291-(Risultati!AL291+Risultati!AM291))/Risultati!G291)))</f>
        <v>0</v>
      </c>
      <c r="BZ292" s="16" t="str">
        <f>IF(Risultati!G291&gt;0,(Risultati!AJ291/Risultati!G291),"0")</f>
        <v>0</v>
      </c>
      <c r="CA292" s="8"/>
      <c r="CB292" s="9">
        <f>+Risultati!AP291</f>
        <v>0</v>
      </c>
      <c r="CC292" s="31" t="str">
        <f t="shared" si="261"/>
        <v>0</v>
      </c>
      <c r="CD292" s="9">
        <f>+Risultati!AQ291</f>
        <v>0</v>
      </c>
      <c r="CE292" s="31" t="str">
        <f t="shared" si="262"/>
        <v>0</v>
      </c>
      <c r="CF292" s="9">
        <f>+Risultati!AR291</f>
        <v>0</v>
      </c>
      <c r="CG292" s="31" t="str">
        <f t="shared" si="263"/>
        <v>0</v>
      </c>
      <c r="CH292" s="9">
        <f>+Risultati!AS291</f>
        <v>0</v>
      </c>
      <c r="CI292" s="31" t="str">
        <f t="shared" si="264"/>
        <v>0</v>
      </c>
      <c r="CJ292" s="9">
        <f t="shared" si="265"/>
        <v>0</v>
      </c>
      <c r="CK292" s="31" t="str">
        <f t="shared" si="266"/>
        <v>0</v>
      </c>
      <c r="CL292" s="10">
        <f>+Risultati!AE291+Risultati!AF291</f>
        <v>0</v>
      </c>
      <c r="CM292" s="31" t="str">
        <f t="shared" si="267"/>
        <v>0</v>
      </c>
      <c r="CN292" s="9">
        <f>+Risultati!AT291</f>
        <v>0</v>
      </c>
      <c r="CO292" s="31" t="str">
        <f t="shared" si="268"/>
        <v>0</v>
      </c>
      <c r="CP292" s="9">
        <f>+Risultati!AU291</f>
        <v>0</v>
      </c>
      <c r="CQ292" s="31" t="str">
        <f t="shared" si="269"/>
        <v>0</v>
      </c>
      <c r="CR292" s="9">
        <f>+Risultati!AL291</f>
        <v>0</v>
      </c>
      <c r="CS292" s="31" t="str">
        <f t="shared" si="270"/>
        <v>0</v>
      </c>
      <c r="CT292" s="9">
        <f t="shared" si="271"/>
        <v>0</v>
      </c>
      <c r="CU292" s="31" t="str">
        <f t="shared" si="272"/>
        <v>0</v>
      </c>
      <c r="CV292" s="9">
        <f>+Risultati!AX291</f>
        <v>0</v>
      </c>
      <c r="CW292" s="31" t="str">
        <f t="shared" si="273"/>
        <v>0</v>
      </c>
      <c r="CX292" s="9">
        <f t="shared" si="274"/>
        <v>0</v>
      </c>
      <c r="CY292" s="31" t="str">
        <f t="shared" si="275"/>
        <v>0</v>
      </c>
      <c r="CZ292" s="9">
        <f>+Risultati!AG291</f>
        <v>0</v>
      </c>
      <c r="DA292" s="31" t="str">
        <f t="shared" si="276"/>
        <v>0</v>
      </c>
      <c r="DB292" s="9">
        <f t="shared" si="277"/>
        <v>0</v>
      </c>
      <c r="DC292" s="31" t="str">
        <f t="shared" si="278"/>
        <v>0</v>
      </c>
      <c r="DD292" s="9">
        <f>+Risultati!AV291</f>
        <v>0</v>
      </c>
      <c r="DE292" s="31" t="str">
        <f t="shared" si="279"/>
        <v>0</v>
      </c>
      <c r="DF292" s="9">
        <f>+Risultati!AJ291</f>
        <v>0</v>
      </c>
      <c r="DG292" s="31" t="str">
        <f t="shared" si="280"/>
        <v>0</v>
      </c>
      <c r="DH292" s="9">
        <f t="shared" si="281"/>
        <v>0</v>
      </c>
      <c r="DI292" s="31" t="str">
        <f t="shared" si="282"/>
        <v>0</v>
      </c>
      <c r="DJ292" s="9">
        <f>+Risultati!AW291</f>
        <v>0</v>
      </c>
      <c r="DK292" s="31" t="str">
        <f t="shared" si="283"/>
        <v>0</v>
      </c>
      <c r="DL292" s="10">
        <f t="shared" si="254"/>
        <v>0</v>
      </c>
      <c r="DM292" s="31" t="str">
        <f t="shared" si="284"/>
        <v>0</v>
      </c>
      <c r="DO292" s="30"/>
      <c r="DP292" s="30"/>
    </row>
    <row r="293" spans="1:120" x14ac:dyDescent="0.2">
      <c r="A293" s="5"/>
      <c r="B293" s="6">
        <f>+Risultati!B292</f>
        <v>0</v>
      </c>
      <c r="C293" s="6">
        <f>+Risultati!C292</f>
        <v>0</v>
      </c>
      <c r="D293" s="26" t="str">
        <f>IF(YEAR(Risultati!D292)=1900,(MID(Risultati!$AP$1,29,4)),YEAR(Risultati!D292))</f>
        <v/>
      </c>
      <c r="E293" s="6">
        <f>+Risultati!E292</f>
        <v>0</v>
      </c>
      <c r="F293" s="8" t="e">
        <f>(LEFT(Risultati!AN292,2)&amp;"-")&amp;VLOOKUP((LEFT(Risultati!AN292,2)),ateco!$B$4:$C$93,2,FALSE)</f>
        <v>#N/A</v>
      </c>
      <c r="G293" s="8" t="str">
        <f>SUBSTITUTE((Risultati!AN292&amp;"-"&amp;Risultati!AO292),",",";")</f>
        <v>-</v>
      </c>
      <c r="I293" s="10">
        <f>+Risultati!G292</f>
        <v>0</v>
      </c>
      <c r="J293" s="11" t="str">
        <f t="shared" si="236"/>
        <v>0</v>
      </c>
      <c r="K293" s="12"/>
      <c r="L293" s="10">
        <f>+Risultati!G292+Risultati!H292</f>
        <v>0</v>
      </c>
      <c r="M293" s="11" t="str">
        <f t="shared" si="237"/>
        <v>0</v>
      </c>
      <c r="N293" s="12"/>
      <c r="O293" s="10">
        <f>+Risultati!I292+Risultati!J292</f>
        <v>0</v>
      </c>
      <c r="P293" s="11" t="str">
        <f t="shared" si="238"/>
        <v>0</v>
      </c>
      <c r="Q293" s="12"/>
      <c r="R293" s="13">
        <f t="shared" si="255"/>
        <v>0</v>
      </c>
      <c r="S293" s="11" t="str">
        <f t="shared" si="239"/>
        <v>0</v>
      </c>
      <c r="T293" s="12"/>
      <c r="U293" s="10">
        <f>+Risultati!F292-(Risultati!G292+Risultati!H292)</f>
        <v>0</v>
      </c>
      <c r="V293" s="12" t="str">
        <f t="shared" si="240"/>
        <v>0</v>
      </c>
      <c r="W293" s="12"/>
      <c r="X293" s="10">
        <f t="shared" si="256"/>
        <v>0</v>
      </c>
      <c r="Y293" s="12" t="str">
        <f t="shared" si="241"/>
        <v>0</v>
      </c>
      <c r="Z293" s="12"/>
      <c r="AA293" s="10">
        <f>+Risultati!K292</f>
        <v>0</v>
      </c>
      <c r="AB293" s="12" t="str">
        <f t="shared" si="242"/>
        <v>0</v>
      </c>
      <c r="AC293" s="12"/>
      <c r="AD293" s="10">
        <f>+Risultati!L292</f>
        <v>0</v>
      </c>
      <c r="AE293" s="12" t="str">
        <f t="shared" si="243"/>
        <v>0</v>
      </c>
      <c r="AF293" s="12"/>
      <c r="AG293" s="10">
        <f>+Risultati!M292+Risultati!P292+Risultati!Q292</f>
        <v>0</v>
      </c>
      <c r="AH293" s="12" t="str">
        <f t="shared" si="244"/>
        <v>0</v>
      </c>
      <c r="AI293" s="12"/>
      <c r="AJ293" s="13">
        <f t="shared" si="257"/>
        <v>0</v>
      </c>
      <c r="AK293" s="11" t="str">
        <f t="shared" si="245"/>
        <v>0</v>
      </c>
      <c r="AL293" s="12"/>
      <c r="AM293" s="10">
        <f>+Risultati!N292</f>
        <v>0</v>
      </c>
      <c r="AN293" s="12" t="str">
        <f t="shared" si="246"/>
        <v>0</v>
      </c>
      <c r="AO293" s="12"/>
      <c r="AP293" s="10">
        <f t="shared" si="258"/>
        <v>0</v>
      </c>
      <c r="AQ293" s="41" t="str">
        <f t="shared" si="247"/>
        <v>0</v>
      </c>
      <c r="AR293" s="12"/>
      <c r="AS293" s="10">
        <f>+Risultati!O292</f>
        <v>0</v>
      </c>
      <c r="AT293" s="12" t="str">
        <f t="shared" si="248"/>
        <v>0</v>
      </c>
      <c r="AU293" s="12"/>
      <c r="AV293" s="10">
        <f t="shared" si="259"/>
        <v>0</v>
      </c>
      <c r="AW293" s="12" t="str">
        <f t="shared" si="249"/>
        <v>0</v>
      </c>
      <c r="AX293" s="12"/>
      <c r="AY293" s="10">
        <f>+Risultati!R292+Risultati!S292</f>
        <v>0</v>
      </c>
      <c r="AZ293" s="12" t="str">
        <f t="shared" si="250"/>
        <v>0</v>
      </c>
      <c r="BA293" s="12"/>
      <c r="BB293" s="10">
        <f>+Risultati!T292</f>
        <v>0</v>
      </c>
      <c r="BC293" s="12" t="str">
        <f t="shared" si="251"/>
        <v>0</v>
      </c>
      <c r="BD293" s="12"/>
      <c r="BE293" s="10">
        <f>+Risultati!U292</f>
        <v>0</v>
      </c>
      <c r="BF293" s="12" t="str">
        <f t="shared" si="252"/>
        <v>0</v>
      </c>
      <c r="BG293" s="12"/>
      <c r="BH293" s="10">
        <f t="shared" si="260"/>
        <v>0</v>
      </c>
      <c r="BI293" s="12" t="str">
        <f t="shared" si="253"/>
        <v>0</v>
      </c>
      <c r="BK293" s="16">
        <f>IF(ISNUMBER(Risultati!X292/100),(Risultati!X292/100))</f>
        <v>0</v>
      </c>
      <c r="BL293" s="16">
        <f>IF(ISNUMBER(Risultati!Y292/100),(Risultati!Y292/100))</f>
        <v>0</v>
      </c>
      <c r="BM293" s="16">
        <f>IF(ISNUMBER(Risultati!Z292/100),(Risultati!Z292/100))</f>
        <v>0</v>
      </c>
      <c r="BN293" s="16">
        <f>IF(AND(Risultati!AY292&lt;0,calcoli!AP293&lt;0),-IF(ISNUMBER(Risultati!AA292/100),(Risultati!AA292/100)),IF(ISNUMBER(Risultati!AA292/100),(Risultati!AA292/100)))</f>
        <v>0</v>
      </c>
      <c r="BO293" s="16" t="str">
        <f t="shared" si="234"/>
        <v>0</v>
      </c>
      <c r="BP293" s="16" t="str">
        <f>IF(Risultati!AB292&gt;0,(AV293/Risultati!AB292),"0")</f>
        <v>0</v>
      </c>
      <c r="BQ293" s="16" t="str">
        <f>IF(Risultati!AG292&lt;&gt;0,(BH293/Risultati!AG292),"0")</f>
        <v>0</v>
      </c>
      <c r="BR293" s="16" t="str">
        <f t="shared" si="235"/>
        <v>0</v>
      </c>
      <c r="BS293" s="14" t="str">
        <f>IF(Risultati!AB292&gt;0,(Risultati!G292/Risultati!AB292),"0")</f>
        <v>0</v>
      </c>
      <c r="BT293" s="15" t="str">
        <f>IF(Risultati!AG292&lt;&gt;0,(Risultati!AB292/Risultati!AG292),"0")</f>
        <v>0</v>
      </c>
      <c r="BU293" s="23" t="str">
        <f>IF(AND(Risultati!G292&gt;0,(Risultati!AE292-Risultati!AF292)&gt;=0),((Risultati!AE292-Risultati!AF292)/Risultati!G292*360),"0")</f>
        <v>0</v>
      </c>
      <c r="BV293" s="21" t="str">
        <f>IF(OR(E293="abbreviato",Risultati!G292=0),"0",((Risultati!AC292+Risultati!AD292)/Risultati!G292*360))</f>
        <v>0</v>
      </c>
      <c r="BW293" s="21" t="str">
        <f>IF(OR(E293="abbreviato",Risultati!G292=0,SUM(Risultati!I292+Risultati!K292+Risultati!M292)=0),"0",(((Risultati!AH292+Risultati!AI292)/(Risultati!I292+Risultati!K292+Risultati!N292)*360)))</f>
        <v>0</v>
      </c>
      <c r="BX293" s="16" t="str">
        <f>IF(Risultati!AB292&gt;0,(+Risultati!AG292/Risultati!AB292),"0")</f>
        <v>0</v>
      </c>
      <c r="BY293" s="22" t="str">
        <f>IF(OR(E293="abbreviato",Risultati!G292=0),"0",(((Risultati!AK292-(Risultati!AL292+Risultati!AM292))/Risultati!G292)))</f>
        <v>0</v>
      </c>
      <c r="BZ293" s="16" t="str">
        <f>IF(Risultati!G292&gt;0,(Risultati!AJ292/Risultati!G292),"0")</f>
        <v>0</v>
      </c>
      <c r="CA293" s="8"/>
      <c r="CB293" s="9">
        <f>+Risultati!AP292</f>
        <v>0</v>
      </c>
      <c r="CC293" s="31" t="str">
        <f t="shared" si="261"/>
        <v>0</v>
      </c>
      <c r="CD293" s="9">
        <f>+Risultati!AQ292</f>
        <v>0</v>
      </c>
      <c r="CE293" s="31" t="str">
        <f t="shared" si="262"/>
        <v>0</v>
      </c>
      <c r="CF293" s="9">
        <f>+Risultati!AR292</f>
        <v>0</v>
      </c>
      <c r="CG293" s="31" t="str">
        <f t="shared" si="263"/>
        <v>0</v>
      </c>
      <c r="CH293" s="9">
        <f>+Risultati!AS292</f>
        <v>0</v>
      </c>
      <c r="CI293" s="31" t="str">
        <f t="shared" si="264"/>
        <v>0</v>
      </c>
      <c r="CJ293" s="9">
        <f t="shared" si="265"/>
        <v>0</v>
      </c>
      <c r="CK293" s="31" t="str">
        <f t="shared" si="266"/>
        <v>0</v>
      </c>
      <c r="CL293" s="10">
        <f>+Risultati!AE292+Risultati!AF292</f>
        <v>0</v>
      </c>
      <c r="CM293" s="31" t="str">
        <f t="shared" si="267"/>
        <v>0</v>
      </c>
      <c r="CN293" s="9">
        <f>+Risultati!AT292</f>
        <v>0</v>
      </c>
      <c r="CO293" s="31" t="str">
        <f t="shared" si="268"/>
        <v>0</v>
      </c>
      <c r="CP293" s="9">
        <f>+Risultati!AU292</f>
        <v>0</v>
      </c>
      <c r="CQ293" s="31" t="str">
        <f t="shared" si="269"/>
        <v>0</v>
      </c>
      <c r="CR293" s="9">
        <f>+Risultati!AL292</f>
        <v>0</v>
      </c>
      <c r="CS293" s="31" t="str">
        <f t="shared" si="270"/>
        <v>0</v>
      </c>
      <c r="CT293" s="9">
        <f t="shared" si="271"/>
        <v>0</v>
      </c>
      <c r="CU293" s="31" t="str">
        <f t="shared" si="272"/>
        <v>0</v>
      </c>
      <c r="CV293" s="9">
        <f>+Risultati!AX292</f>
        <v>0</v>
      </c>
      <c r="CW293" s="31" t="str">
        <f t="shared" si="273"/>
        <v>0</v>
      </c>
      <c r="CX293" s="9">
        <f t="shared" si="274"/>
        <v>0</v>
      </c>
      <c r="CY293" s="31" t="str">
        <f t="shared" si="275"/>
        <v>0</v>
      </c>
      <c r="CZ293" s="9">
        <f>+Risultati!AG292</f>
        <v>0</v>
      </c>
      <c r="DA293" s="31" t="str">
        <f t="shared" si="276"/>
        <v>0</v>
      </c>
      <c r="DB293" s="9">
        <f t="shared" si="277"/>
        <v>0</v>
      </c>
      <c r="DC293" s="31" t="str">
        <f t="shared" si="278"/>
        <v>0</v>
      </c>
      <c r="DD293" s="9">
        <f>+Risultati!AV292</f>
        <v>0</v>
      </c>
      <c r="DE293" s="31" t="str">
        <f t="shared" si="279"/>
        <v>0</v>
      </c>
      <c r="DF293" s="9">
        <f>+Risultati!AJ292</f>
        <v>0</v>
      </c>
      <c r="DG293" s="31" t="str">
        <f t="shared" si="280"/>
        <v>0</v>
      </c>
      <c r="DH293" s="9">
        <f t="shared" si="281"/>
        <v>0</v>
      </c>
      <c r="DI293" s="31" t="str">
        <f t="shared" si="282"/>
        <v>0</v>
      </c>
      <c r="DJ293" s="9">
        <f>+Risultati!AW292</f>
        <v>0</v>
      </c>
      <c r="DK293" s="31" t="str">
        <f t="shared" si="283"/>
        <v>0</v>
      </c>
      <c r="DL293" s="10">
        <f t="shared" si="254"/>
        <v>0</v>
      </c>
      <c r="DM293" s="31" t="str">
        <f t="shared" si="284"/>
        <v>0</v>
      </c>
      <c r="DO293" s="30"/>
      <c r="DP293" s="30"/>
    </row>
    <row r="294" spans="1:120" x14ac:dyDescent="0.2">
      <c r="A294" s="5"/>
      <c r="B294" s="6">
        <f>+Risultati!B293</f>
        <v>0</v>
      </c>
      <c r="C294" s="6">
        <f>+Risultati!C293</f>
        <v>0</v>
      </c>
      <c r="D294" s="26" t="str">
        <f>IF(YEAR(Risultati!D293)=1900,(MID(Risultati!$AP$1,29,4)),YEAR(Risultati!D293))</f>
        <v/>
      </c>
      <c r="E294" s="6">
        <f>+Risultati!E293</f>
        <v>0</v>
      </c>
      <c r="F294" s="8" t="e">
        <f>(LEFT(Risultati!AN293,2)&amp;"-")&amp;VLOOKUP((LEFT(Risultati!AN293,2)),ateco!$B$4:$C$93,2,FALSE)</f>
        <v>#N/A</v>
      </c>
      <c r="G294" s="8" t="str">
        <f>SUBSTITUTE((Risultati!AN293&amp;"-"&amp;Risultati!AO293),",",";")</f>
        <v>-</v>
      </c>
      <c r="I294" s="10">
        <f>+Risultati!G293</f>
        <v>0</v>
      </c>
      <c r="J294" s="11" t="str">
        <f t="shared" si="236"/>
        <v>0</v>
      </c>
      <c r="K294" s="12"/>
      <c r="L294" s="10">
        <f>+Risultati!G293+Risultati!H293</f>
        <v>0</v>
      </c>
      <c r="M294" s="11" t="str">
        <f t="shared" si="237"/>
        <v>0</v>
      </c>
      <c r="N294" s="12"/>
      <c r="O294" s="10">
        <f>+Risultati!I293+Risultati!J293</f>
        <v>0</v>
      </c>
      <c r="P294" s="11" t="str">
        <f t="shared" si="238"/>
        <v>0</v>
      </c>
      <c r="Q294" s="12"/>
      <c r="R294" s="13">
        <f t="shared" si="255"/>
        <v>0</v>
      </c>
      <c r="S294" s="11" t="str">
        <f t="shared" si="239"/>
        <v>0</v>
      </c>
      <c r="T294" s="12"/>
      <c r="U294" s="10">
        <f>+Risultati!F293-(Risultati!G293+Risultati!H293)</f>
        <v>0</v>
      </c>
      <c r="V294" s="12" t="str">
        <f t="shared" si="240"/>
        <v>0</v>
      </c>
      <c r="W294" s="12"/>
      <c r="X294" s="10">
        <f t="shared" si="256"/>
        <v>0</v>
      </c>
      <c r="Y294" s="12" t="str">
        <f t="shared" si="241"/>
        <v>0</v>
      </c>
      <c r="Z294" s="12"/>
      <c r="AA294" s="10">
        <f>+Risultati!K293</f>
        <v>0</v>
      </c>
      <c r="AB294" s="12" t="str">
        <f t="shared" si="242"/>
        <v>0</v>
      </c>
      <c r="AC294" s="12"/>
      <c r="AD294" s="10">
        <f>+Risultati!L293</f>
        <v>0</v>
      </c>
      <c r="AE294" s="12" t="str">
        <f t="shared" si="243"/>
        <v>0</v>
      </c>
      <c r="AF294" s="12"/>
      <c r="AG294" s="10">
        <f>+Risultati!M293+Risultati!P293+Risultati!Q293</f>
        <v>0</v>
      </c>
      <c r="AH294" s="12" t="str">
        <f t="shared" si="244"/>
        <v>0</v>
      </c>
      <c r="AI294" s="12"/>
      <c r="AJ294" s="13">
        <f t="shared" si="257"/>
        <v>0</v>
      </c>
      <c r="AK294" s="11" t="str">
        <f t="shared" si="245"/>
        <v>0</v>
      </c>
      <c r="AL294" s="12"/>
      <c r="AM294" s="10">
        <f>+Risultati!N293</f>
        <v>0</v>
      </c>
      <c r="AN294" s="12" t="str">
        <f t="shared" si="246"/>
        <v>0</v>
      </c>
      <c r="AO294" s="12"/>
      <c r="AP294" s="10">
        <f t="shared" si="258"/>
        <v>0</v>
      </c>
      <c r="AQ294" s="41" t="str">
        <f t="shared" si="247"/>
        <v>0</v>
      </c>
      <c r="AR294" s="12"/>
      <c r="AS294" s="10">
        <f>+Risultati!O293</f>
        <v>0</v>
      </c>
      <c r="AT294" s="12" t="str">
        <f t="shared" si="248"/>
        <v>0</v>
      </c>
      <c r="AU294" s="12"/>
      <c r="AV294" s="10">
        <f t="shared" si="259"/>
        <v>0</v>
      </c>
      <c r="AW294" s="12" t="str">
        <f t="shared" si="249"/>
        <v>0</v>
      </c>
      <c r="AX294" s="12"/>
      <c r="AY294" s="10">
        <f>+Risultati!R293+Risultati!S293</f>
        <v>0</v>
      </c>
      <c r="AZ294" s="12" t="str">
        <f t="shared" si="250"/>
        <v>0</v>
      </c>
      <c r="BA294" s="12"/>
      <c r="BB294" s="10">
        <f>+Risultati!T293</f>
        <v>0</v>
      </c>
      <c r="BC294" s="12" t="str">
        <f t="shared" si="251"/>
        <v>0</v>
      </c>
      <c r="BD294" s="12"/>
      <c r="BE294" s="10">
        <f>+Risultati!U293</f>
        <v>0</v>
      </c>
      <c r="BF294" s="12" t="str">
        <f t="shared" si="252"/>
        <v>0</v>
      </c>
      <c r="BG294" s="12"/>
      <c r="BH294" s="10">
        <f t="shared" si="260"/>
        <v>0</v>
      </c>
      <c r="BI294" s="12" t="str">
        <f t="shared" si="253"/>
        <v>0</v>
      </c>
      <c r="BK294" s="16">
        <f>IF(ISNUMBER(Risultati!X293/100),(Risultati!X293/100))</f>
        <v>0</v>
      </c>
      <c r="BL294" s="16">
        <f>IF(ISNUMBER(Risultati!Y293/100),(Risultati!Y293/100))</f>
        <v>0</v>
      </c>
      <c r="BM294" s="16">
        <f>IF(ISNUMBER(Risultati!Z293/100),(Risultati!Z293/100))</f>
        <v>0</v>
      </c>
      <c r="BN294" s="16">
        <f>IF(AND(Risultati!AY293&lt;0,calcoli!AP294&lt;0),-IF(ISNUMBER(Risultati!AA293/100),(Risultati!AA293/100)),IF(ISNUMBER(Risultati!AA293/100),(Risultati!AA293/100)))</f>
        <v>0</v>
      </c>
      <c r="BO294" s="16" t="str">
        <f t="shared" si="234"/>
        <v>0</v>
      </c>
      <c r="BP294" s="16" t="str">
        <f>IF(Risultati!AB293&gt;0,(AV294/Risultati!AB293),"0")</f>
        <v>0</v>
      </c>
      <c r="BQ294" s="16" t="str">
        <f>IF(Risultati!AG293&lt;&gt;0,(BH294/Risultati!AG293),"0")</f>
        <v>0</v>
      </c>
      <c r="BR294" s="16" t="str">
        <f t="shared" si="235"/>
        <v>0</v>
      </c>
      <c r="BS294" s="14" t="str">
        <f>IF(Risultati!AB293&gt;0,(Risultati!G293/Risultati!AB293),"0")</f>
        <v>0</v>
      </c>
      <c r="BT294" s="15" t="str">
        <f>IF(Risultati!AG293&lt;&gt;0,(Risultati!AB293/Risultati!AG293),"0")</f>
        <v>0</v>
      </c>
      <c r="BU294" s="23" t="str">
        <f>IF(AND(Risultati!G293&gt;0,(Risultati!AE293-Risultati!AF293)&gt;=0),((Risultati!AE293-Risultati!AF293)/Risultati!G293*360),"0")</f>
        <v>0</v>
      </c>
      <c r="BV294" s="21" t="str">
        <f>IF(OR(E294="abbreviato",Risultati!G293=0),"0",((Risultati!AC293+Risultati!AD293)/Risultati!G293*360))</f>
        <v>0</v>
      </c>
      <c r="BW294" s="21" t="str">
        <f>IF(OR(E294="abbreviato",Risultati!G293=0,SUM(Risultati!I293+Risultati!K293+Risultati!M293)=0),"0",(((Risultati!AH293+Risultati!AI293)/(Risultati!I293+Risultati!K293+Risultati!N293)*360)))</f>
        <v>0</v>
      </c>
      <c r="BX294" s="16" t="str">
        <f>IF(Risultati!AB293&gt;0,(+Risultati!AG293/Risultati!AB293),"0")</f>
        <v>0</v>
      </c>
      <c r="BY294" s="22" t="str">
        <f>IF(OR(E294="abbreviato",Risultati!G293=0),"0",(((Risultati!AK293-(Risultati!AL293+Risultati!AM293))/Risultati!G293)))</f>
        <v>0</v>
      </c>
      <c r="BZ294" s="16" t="str">
        <f>IF(Risultati!G293&gt;0,(Risultati!AJ293/Risultati!G293),"0")</f>
        <v>0</v>
      </c>
      <c r="CA294" s="8"/>
      <c r="CB294" s="9">
        <f>+Risultati!AP293</f>
        <v>0</v>
      </c>
      <c r="CC294" s="31" t="str">
        <f t="shared" si="261"/>
        <v>0</v>
      </c>
      <c r="CD294" s="9">
        <f>+Risultati!AQ293</f>
        <v>0</v>
      </c>
      <c r="CE294" s="31" t="str">
        <f t="shared" si="262"/>
        <v>0</v>
      </c>
      <c r="CF294" s="9">
        <f>+Risultati!AR293</f>
        <v>0</v>
      </c>
      <c r="CG294" s="31" t="str">
        <f t="shared" si="263"/>
        <v>0</v>
      </c>
      <c r="CH294" s="9">
        <f>+Risultati!AS293</f>
        <v>0</v>
      </c>
      <c r="CI294" s="31" t="str">
        <f t="shared" si="264"/>
        <v>0</v>
      </c>
      <c r="CJ294" s="9">
        <f t="shared" si="265"/>
        <v>0</v>
      </c>
      <c r="CK294" s="31" t="str">
        <f t="shared" si="266"/>
        <v>0</v>
      </c>
      <c r="CL294" s="10">
        <f>+Risultati!AE293+Risultati!AF293</f>
        <v>0</v>
      </c>
      <c r="CM294" s="31" t="str">
        <f t="shared" si="267"/>
        <v>0</v>
      </c>
      <c r="CN294" s="9">
        <f>+Risultati!AT293</f>
        <v>0</v>
      </c>
      <c r="CO294" s="31" t="str">
        <f t="shared" si="268"/>
        <v>0</v>
      </c>
      <c r="CP294" s="9">
        <f>+Risultati!AU293</f>
        <v>0</v>
      </c>
      <c r="CQ294" s="31" t="str">
        <f t="shared" si="269"/>
        <v>0</v>
      </c>
      <c r="CR294" s="9">
        <f>+Risultati!AL293</f>
        <v>0</v>
      </c>
      <c r="CS294" s="31" t="str">
        <f t="shared" si="270"/>
        <v>0</v>
      </c>
      <c r="CT294" s="9">
        <f t="shared" si="271"/>
        <v>0</v>
      </c>
      <c r="CU294" s="31" t="str">
        <f t="shared" si="272"/>
        <v>0</v>
      </c>
      <c r="CV294" s="9">
        <f>+Risultati!AX293</f>
        <v>0</v>
      </c>
      <c r="CW294" s="31" t="str">
        <f t="shared" si="273"/>
        <v>0</v>
      </c>
      <c r="CX294" s="9">
        <f t="shared" si="274"/>
        <v>0</v>
      </c>
      <c r="CY294" s="31" t="str">
        <f t="shared" si="275"/>
        <v>0</v>
      </c>
      <c r="CZ294" s="9">
        <f>+Risultati!AG293</f>
        <v>0</v>
      </c>
      <c r="DA294" s="31" t="str">
        <f t="shared" si="276"/>
        <v>0</v>
      </c>
      <c r="DB294" s="9">
        <f t="shared" si="277"/>
        <v>0</v>
      </c>
      <c r="DC294" s="31" t="str">
        <f t="shared" si="278"/>
        <v>0</v>
      </c>
      <c r="DD294" s="9">
        <f>+Risultati!AV293</f>
        <v>0</v>
      </c>
      <c r="DE294" s="31" t="str">
        <f t="shared" si="279"/>
        <v>0</v>
      </c>
      <c r="DF294" s="9">
        <f>+Risultati!AJ293</f>
        <v>0</v>
      </c>
      <c r="DG294" s="31" t="str">
        <f t="shared" si="280"/>
        <v>0</v>
      </c>
      <c r="DH294" s="9">
        <f t="shared" si="281"/>
        <v>0</v>
      </c>
      <c r="DI294" s="31" t="str">
        <f t="shared" si="282"/>
        <v>0</v>
      </c>
      <c r="DJ294" s="9">
        <f>+Risultati!AW293</f>
        <v>0</v>
      </c>
      <c r="DK294" s="31" t="str">
        <f t="shared" si="283"/>
        <v>0</v>
      </c>
      <c r="DL294" s="10">
        <f t="shared" si="254"/>
        <v>0</v>
      </c>
      <c r="DM294" s="31" t="str">
        <f t="shared" si="284"/>
        <v>0</v>
      </c>
      <c r="DO294" s="30"/>
      <c r="DP294" s="30"/>
    </row>
    <row r="295" spans="1:120" x14ac:dyDescent="0.2">
      <c r="A295" s="5"/>
      <c r="B295" s="6">
        <f>+Risultati!B294</f>
        <v>0</v>
      </c>
      <c r="C295" s="6">
        <f>+Risultati!C294</f>
        <v>0</v>
      </c>
      <c r="D295" s="26" t="str">
        <f>IF(YEAR(Risultati!D294)=1900,(MID(Risultati!$AP$1,29,4)),YEAR(Risultati!D294))</f>
        <v/>
      </c>
      <c r="E295" s="6">
        <f>+Risultati!E294</f>
        <v>0</v>
      </c>
      <c r="F295" s="8" t="e">
        <f>(LEFT(Risultati!AN294,2)&amp;"-")&amp;VLOOKUP((LEFT(Risultati!AN294,2)),ateco!$B$4:$C$93,2,FALSE)</f>
        <v>#N/A</v>
      </c>
      <c r="G295" s="8" t="str">
        <f>SUBSTITUTE((Risultati!AN294&amp;"-"&amp;Risultati!AO294),",",";")</f>
        <v>-</v>
      </c>
      <c r="I295" s="10">
        <f>+Risultati!G294</f>
        <v>0</v>
      </c>
      <c r="J295" s="11" t="str">
        <f t="shared" si="236"/>
        <v>0</v>
      </c>
      <c r="K295" s="12"/>
      <c r="L295" s="10">
        <f>+Risultati!G294+Risultati!H294</f>
        <v>0</v>
      </c>
      <c r="M295" s="11" t="str">
        <f t="shared" si="237"/>
        <v>0</v>
      </c>
      <c r="N295" s="12"/>
      <c r="O295" s="10">
        <f>+Risultati!I294+Risultati!J294</f>
        <v>0</v>
      </c>
      <c r="P295" s="11" t="str">
        <f t="shared" si="238"/>
        <v>0</v>
      </c>
      <c r="Q295" s="12"/>
      <c r="R295" s="13">
        <f t="shared" si="255"/>
        <v>0</v>
      </c>
      <c r="S295" s="11" t="str">
        <f t="shared" si="239"/>
        <v>0</v>
      </c>
      <c r="T295" s="12"/>
      <c r="U295" s="10">
        <f>+Risultati!F294-(Risultati!G294+Risultati!H294)</f>
        <v>0</v>
      </c>
      <c r="V295" s="12" t="str">
        <f t="shared" si="240"/>
        <v>0</v>
      </c>
      <c r="W295" s="12"/>
      <c r="X295" s="10">
        <f t="shared" si="256"/>
        <v>0</v>
      </c>
      <c r="Y295" s="12" t="str">
        <f t="shared" si="241"/>
        <v>0</v>
      </c>
      <c r="Z295" s="12"/>
      <c r="AA295" s="10">
        <f>+Risultati!K294</f>
        <v>0</v>
      </c>
      <c r="AB295" s="12" t="str">
        <f t="shared" si="242"/>
        <v>0</v>
      </c>
      <c r="AC295" s="12"/>
      <c r="AD295" s="10">
        <f>+Risultati!L294</f>
        <v>0</v>
      </c>
      <c r="AE295" s="12" t="str">
        <f t="shared" si="243"/>
        <v>0</v>
      </c>
      <c r="AF295" s="12"/>
      <c r="AG295" s="10">
        <f>+Risultati!M294+Risultati!P294+Risultati!Q294</f>
        <v>0</v>
      </c>
      <c r="AH295" s="12" t="str">
        <f t="shared" si="244"/>
        <v>0</v>
      </c>
      <c r="AI295" s="12"/>
      <c r="AJ295" s="13">
        <f t="shared" si="257"/>
        <v>0</v>
      </c>
      <c r="AK295" s="11" t="str">
        <f t="shared" si="245"/>
        <v>0</v>
      </c>
      <c r="AL295" s="12"/>
      <c r="AM295" s="10">
        <f>+Risultati!N294</f>
        <v>0</v>
      </c>
      <c r="AN295" s="12" t="str">
        <f t="shared" si="246"/>
        <v>0</v>
      </c>
      <c r="AO295" s="12"/>
      <c r="AP295" s="10">
        <f t="shared" si="258"/>
        <v>0</v>
      </c>
      <c r="AQ295" s="41" t="str">
        <f t="shared" si="247"/>
        <v>0</v>
      </c>
      <c r="AR295" s="12"/>
      <c r="AS295" s="10">
        <f>+Risultati!O294</f>
        <v>0</v>
      </c>
      <c r="AT295" s="12" t="str">
        <f t="shared" si="248"/>
        <v>0</v>
      </c>
      <c r="AU295" s="12"/>
      <c r="AV295" s="10">
        <f t="shared" si="259"/>
        <v>0</v>
      </c>
      <c r="AW295" s="12" t="str">
        <f t="shared" si="249"/>
        <v>0</v>
      </c>
      <c r="AX295" s="12"/>
      <c r="AY295" s="10">
        <f>+Risultati!R294+Risultati!S294</f>
        <v>0</v>
      </c>
      <c r="AZ295" s="12" t="str">
        <f t="shared" si="250"/>
        <v>0</v>
      </c>
      <c r="BA295" s="12"/>
      <c r="BB295" s="10">
        <f>+Risultati!T294</f>
        <v>0</v>
      </c>
      <c r="BC295" s="12" t="str">
        <f t="shared" si="251"/>
        <v>0</v>
      </c>
      <c r="BD295" s="12"/>
      <c r="BE295" s="10">
        <f>+Risultati!U294</f>
        <v>0</v>
      </c>
      <c r="BF295" s="12" t="str">
        <f t="shared" si="252"/>
        <v>0</v>
      </c>
      <c r="BG295" s="12"/>
      <c r="BH295" s="10">
        <f t="shared" si="260"/>
        <v>0</v>
      </c>
      <c r="BI295" s="12" t="str">
        <f t="shared" si="253"/>
        <v>0</v>
      </c>
      <c r="BK295" s="16">
        <f>IF(ISNUMBER(Risultati!X294/100),(Risultati!X294/100))</f>
        <v>0</v>
      </c>
      <c r="BL295" s="16">
        <f>IF(ISNUMBER(Risultati!Y294/100),(Risultati!Y294/100))</f>
        <v>0</v>
      </c>
      <c r="BM295" s="16">
        <f>IF(ISNUMBER(Risultati!Z294/100),(Risultati!Z294/100))</f>
        <v>0</v>
      </c>
      <c r="BN295" s="16">
        <f>IF(AND(Risultati!AY294&lt;0,calcoli!AP295&lt;0),-IF(ISNUMBER(Risultati!AA294/100),(Risultati!AA294/100)),IF(ISNUMBER(Risultati!AA294/100),(Risultati!AA294/100)))</f>
        <v>0</v>
      </c>
      <c r="BO295" s="16" t="str">
        <f t="shared" si="234"/>
        <v>0</v>
      </c>
      <c r="BP295" s="16" t="str">
        <f>IF(Risultati!AB294&gt;0,(AV295/Risultati!AB294),"0")</f>
        <v>0</v>
      </c>
      <c r="BQ295" s="16" t="str">
        <f>IF(Risultati!AG294&lt;&gt;0,(BH295/Risultati!AG294),"0")</f>
        <v>0</v>
      </c>
      <c r="BR295" s="16" t="str">
        <f t="shared" si="235"/>
        <v>0</v>
      </c>
      <c r="BS295" s="14" t="str">
        <f>IF(Risultati!AB294&gt;0,(Risultati!G294/Risultati!AB294),"0")</f>
        <v>0</v>
      </c>
      <c r="BT295" s="15" t="str">
        <f>IF(Risultati!AG294&lt;&gt;0,(Risultati!AB294/Risultati!AG294),"0")</f>
        <v>0</v>
      </c>
      <c r="BU295" s="23" t="str">
        <f>IF(AND(Risultati!G294&gt;0,(Risultati!AE294-Risultati!AF294)&gt;=0),((Risultati!AE294-Risultati!AF294)/Risultati!G294*360),"0")</f>
        <v>0</v>
      </c>
      <c r="BV295" s="21" t="str">
        <f>IF(OR(E295="abbreviato",Risultati!G294=0),"0",((Risultati!AC294+Risultati!AD294)/Risultati!G294*360))</f>
        <v>0</v>
      </c>
      <c r="BW295" s="21" t="str">
        <f>IF(OR(E295="abbreviato",Risultati!G294=0,SUM(Risultati!I294+Risultati!K294+Risultati!M294)=0),"0",(((Risultati!AH294+Risultati!AI294)/(Risultati!I294+Risultati!K294+Risultati!N294)*360)))</f>
        <v>0</v>
      </c>
      <c r="BX295" s="16" t="str">
        <f>IF(Risultati!AB294&gt;0,(+Risultati!AG294/Risultati!AB294),"0")</f>
        <v>0</v>
      </c>
      <c r="BY295" s="22" t="str">
        <f>IF(OR(E295="abbreviato",Risultati!G294=0),"0",(((Risultati!AK294-(Risultati!AL294+Risultati!AM294))/Risultati!G294)))</f>
        <v>0</v>
      </c>
      <c r="BZ295" s="16" t="str">
        <f>IF(Risultati!G294&gt;0,(Risultati!AJ294/Risultati!G294),"0")</f>
        <v>0</v>
      </c>
      <c r="CA295" s="8"/>
      <c r="CB295" s="9">
        <f>+Risultati!AP294</f>
        <v>0</v>
      </c>
      <c r="CC295" s="31" t="str">
        <f t="shared" si="261"/>
        <v>0</v>
      </c>
      <c r="CD295" s="9">
        <f>+Risultati!AQ294</f>
        <v>0</v>
      </c>
      <c r="CE295" s="31" t="str">
        <f t="shared" si="262"/>
        <v>0</v>
      </c>
      <c r="CF295" s="9">
        <f>+Risultati!AR294</f>
        <v>0</v>
      </c>
      <c r="CG295" s="31" t="str">
        <f t="shared" si="263"/>
        <v>0</v>
      </c>
      <c r="CH295" s="9">
        <f>+Risultati!AS294</f>
        <v>0</v>
      </c>
      <c r="CI295" s="31" t="str">
        <f t="shared" si="264"/>
        <v>0</v>
      </c>
      <c r="CJ295" s="9">
        <f t="shared" si="265"/>
        <v>0</v>
      </c>
      <c r="CK295" s="31" t="str">
        <f t="shared" si="266"/>
        <v>0</v>
      </c>
      <c r="CL295" s="10">
        <f>+Risultati!AE294+Risultati!AF294</f>
        <v>0</v>
      </c>
      <c r="CM295" s="31" t="str">
        <f t="shared" si="267"/>
        <v>0</v>
      </c>
      <c r="CN295" s="9">
        <f>+Risultati!AT294</f>
        <v>0</v>
      </c>
      <c r="CO295" s="31" t="str">
        <f t="shared" si="268"/>
        <v>0</v>
      </c>
      <c r="CP295" s="9">
        <f>+Risultati!AU294</f>
        <v>0</v>
      </c>
      <c r="CQ295" s="31" t="str">
        <f t="shared" si="269"/>
        <v>0</v>
      </c>
      <c r="CR295" s="9">
        <f>+Risultati!AL294</f>
        <v>0</v>
      </c>
      <c r="CS295" s="31" t="str">
        <f t="shared" si="270"/>
        <v>0</v>
      </c>
      <c r="CT295" s="9">
        <f t="shared" si="271"/>
        <v>0</v>
      </c>
      <c r="CU295" s="31" t="str">
        <f t="shared" si="272"/>
        <v>0</v>
      </c>
      <c r="CV295" s="9">
        <f>+Risultati!AX294</f>
        <v>0</v>
      </c>
      <c r="CW295" s="31" t="str">
        <f t="shared" si="273"/>
        <v>0</v>
      </c>
      <c r="CX295" s="9">
        <f t="shared" si="274"/>
        <v>0</v>
      </c>
      <c r="CY295" s="31" t="str">
        <f t="shared" si="275"/>
        <v>0</v>
      </c>
      <c r="CZ295" s="9">
        <f>+Risultati!AG294</f>
        <v>0</v>
      </c>
      <c r="DA295" s="31" t="str">
        <f t="shared" si="276"/>
        <v>0</v>
      </c>
      <c r="DB295" s="9">
        <f t="shared" si="277"/>
        <v>0</v>
      </c>
      <c r="DC295" s="31" t="str">
        <f t="shared" si="278"/>
        <v>0</v>
      </c>
      <c r="DD295" s="9">
        <f>+Risultati!AV294</f>
        <v>0</v>
      </c>
      <c r="DE295" s="31" t="str">
        <f t="shared" si="279"/>
        <v>0</v>
      </c>
      <c r="DF295" s="9">
        <f>+Risultati!AJ294</f>
        <v>0</v>
      </c>
      <c r="DG295" s="31" t="str">
        <f t="shared" si="280"/>
        <v>0</v>
      </c>
      <c r="DH295" s="9">
        <f t="shared" si="281"/>
        <v>0</v>
      </c>
      <c r="DI295" s="31" t="str">
        <f t="shared" si="282"/>
        <v>0</v>
      </c>
      <c r="DJ295" s="9">
        <f>+Risultati!AW294</f>
        <v>0</v>
      </c>
      <c r="DK295" s="31" t="str">
        <f t="shared" si="283"/>
        <v>0</v>
      </c>
      <c r="DL295" s="10">
        <f t="shared" si="254"/>
        <v>0</v>
      </c>
      <c r="DM295" s="31" t="str">
        <f t="shared" si="284"/>
        <v>0</v>
      </c>
      <c r="DO295" s="30"/>
      <c r="DP295" s="30"/>
    </row>
    <row r="296" spans="1:120" x14ac:dyDescent="0.2">
      <c r="A296" s="5"/>
      <c r="B296" s="6">
        <f>+Risultati!B295</f>
        <v>0</v>
      </c>
      <c r="C296" s="6">
        <f>+Risultati!C295</f>
        <v>0</v>
      </c>
      <c r="D296" s="26" t="str">
        <f>IF(YEAR(Risultati!D295)=1900,(MID(Risultati!$AP$1,29,4)),YEAR(Risultati!D295))</f>
        <v/>
      </c>
      <c r="E296" s="6">
        <f>+Risultati!E295</f>
        <v>0</v>
      </c>
      <c r="F296" s="8" t="e">
        <f>(LEFT(Risultati!AN295,2)&amp;"-")&amp;VLOOKUP((LEFT(Risultati!AN295,2)),ateco!$B$4:$C$93,2,FALSE)</f>
        <v>#N/A</v>
      </c>
      <c r="G296" s="8" t="str">
        <f>SUBSTITUTE((Risultati!AN295&amp;"-"&amp;Risultati!AO295),",",";")</f>
        <v>-</v>
      </c>
      <c r="I296" s="10">
        <f>+Risultati!G295</f>
        <v>0</v>
      </c>
      <c r="J296" s="11" t="str">
        <f t="shared" si="236"/>
        <v>0</v>
      </c>
      <c r="K296" s="12"/>
      <c r="L296" s="10">
        <f>+Risultati!G295+Risultati!H295</f>
        <v>0</v>
      </c>
      <c r="M296" s="11" t="str">
        <f t="shared" si="237"/>
        <v>0</v>
      </c>
      <c r="N296" s="12"/>
      <c r="O296" s="10">
        <f>+Risultati!I295+Risultati!J295</f>
        <v>0</v>
      </c>
      <c r="P296" s="11" t="str">
        <f t="shared" si="238"/>
        <v>0</v>
      </c>
      <c r="Q296" s="12"/>
      <c r="R296" s="13">
        <f t="shared" si="255"/>
        <v>0</v>
      </c>
      <c r="S296" s="11" t="str">
        <f t="shared" si="239"/>
        <v>0</v>
      </c>
      <c r="T296" s="12"/>
      <c r="U296" s="10">
        <f>+Risultati!F295-(Risultati!G295+Risultati!H295)</f>
        <v>0</v>
      </c>
      <c r="V296" s="12" t="str">
        <f t="shared" si="240"/>
        <v>0</v>
      </c>
      <c r="W296" s="12"/>
      <c r="X296" s="10">
        <f t="shared" si="256"/>
        <v>0</v>
      </c>
      <c r="Y296" s="12" t="str">
        <f t="shared" si="241"/>
        <v>0</v>
      </c>
      <c r="Z296" s="12"/>
      <c r="AA296" s="10">
        <f>+Risultati!K295</f>
        <v>0</v>
      </c>
      <c r="AB296" s="12" t="str">
        <f t="shared" si="242"/>
        <v>0</v>
      </c>
      <c r="AC296" s="12"/>
      <c r="AD296" s="10">
        <f>+Risultati!L295</f>
        <v>0</v>
      </c>
      <c r="AE296" s="12" t="str">
        <f t="shared" si="243"/>
        <v>0</v>
      </c>
      <c r="AF296" s="12"/>
      <c r="AG296" s="10">
        <f>+Risultati!M295+Risultati!P295+Risultati!Q295</f>
        <v>0</v>
      </c>
      <c r="AH296" s="12" t="str">
        <f t="shared" si="244"/>
        <v>0</v>
      </c>
      <c r="AI296" s="12"/>
      <c r="AJ296" s="13">
        <f t="shared" si="257"/>
        <v>0</v>
      </c>
      <c r="AK296" s="11" t="str">
        <f t="shared" si="245"/>
        <v>0</v>
      </c>
      <c r="AL296" s="12"/>
      <c r="AM296" s="10">
        <f>+Risultati!N295</f>
        <v>0</v>
      </c>
      <c r="AN296" s="12" t="str">
        <f t="shared" si="246"/>
        <v>0</v>
      </c>
      <c r="AO296" s="12"/>
      <c r="AP296" s="10">
        <f t="shared" si="258"/>
        <v>0</v>
      </c>
      <c r="AQ296" s="41" t="str">
        <f t="shared" si="247"/>
        <v>0</v>
      </c>
      <c r="AR296" s="12"/>
      <c r="AS296" s="10">
        <f>+Risultati!O295</f>
        <v>0</v>
      </c>
      <c r="AT296" s="12" t="str">
        <f t="shared" si="248"/>
        <v>0</v>
      </c>
      <c r="AU296" s="12"/>
      <c r="AV296" s="10">
        <f t="shared" si="259"/>
        <v>0</v>
      </c>
      <c r="AW296" s="12" t="str">
        <f t="shared" si="249"/>
        <v>0</v>
      </c>
      <c r="AX296" s="12"/>
      <c r="AY296" s="10">
        <f>+Risultati!R295+Risultati!S295</f>
        <v>0</v>
      </c>
      <c r="AZ296" s="12" t="str">
        <f t="shared" si="250"/>
        <v>0</v>
      </c>
      <c r="BA296" s="12"/>
      <c r="BB296" s="10">
        <f>+Risultati!T295</f>
        <v>0</v>
      </c>
      <c r="BC296" s="12" t="str">
        <f t="shared" si="251"/>
        <v>0</v>
      </c>
      <c r="BD296" s="12"/>
      <c r="BE296" s="10">
        <f>+Risultati!U295</f>
        <v>0</v>
      </c>
      <c r="BF296" s="12" t="str">
        <f t="shared" si="252"/>
        <v>0</v>
      </c>
      <c r="BG296" s="12"/>
      <c r="BH296" s="10">
        <f t="shared" si="260"/>
        <v>0</v>
      </c>
      <c r="BI296" s="12" t="str">
        <f t="shared" si="253"/>
        <v>0</v>
      </c>
      <c r="BK296" s="16">
        <f>IF(ISNUMBER(Risultati!X295/100),(Risultati!X295/100))</f>
        <v>0</v>
      </c>
      <c r="BL296" s="16">
        <f>IF(ISNUMBER(Risultati!Y295/100),(Risultati!Y295/100))</f>
        <v>0</v>
      </c>
      <c r="BM296" s="16">
        <f>IF(ISNUMBER(Risultati!Z295/100),(Risultati!Z295/100))</f>
        <v>0</v>
      </c>
      <c r="BN296" s="16">
        <f>IF(AND(Risultati!AY295&lt;0,calcoli!AP296&lt;0),-IF(ISNUMBER(Risultati!AA295/100),(Risultati!AA295/100)),IF(ISNUMBER(Risultati!AA295/100),(Risultati!AA295/100)))</f>
        <v>0</v>
      </c>
      <c r="BO296" s="16" t="str">
        <f t="shared" si="234"/>
        <v>0</v>
      </c>
      <c r="BP296" s="16" t="str">
        <f>IF(Risultati!AB295&gt;0,(AV296/Risultati!AB295),"0")</f>
        <v>0</v>
      </c>
      <c r="BQ296" s="16" t="str">
        <f>IF(Risultati!AG295&lt;&gt;0,(BH296/Risultati!AG295),"0")</f>
        <v>0</v>
      </c>
      <c r="BR296" s="16" t="str">
        <f t="shared" si="235"/>
        <v>0</v>
      </c>
      <c r="BS296" s="14" t="str">
        <f>IF(Risultati!AB295&gt;0,(Risultati!G295/Risultati!AB295),"0")</f>
        <v>0</v>
      </c>
      <c r="BT296" s="15" t="str">
        <f>IF(Risultati!AG295&lt;&gt;0,(Risultati!AB295/Risultati!AG295),"0")</f>
        <v>0</v>
      </c>
      <c r="BU296" s="23" t="str">
        <f>IF(AND(Risultati!G295&gt;0,(Risultati!AE295-Risultati!AF295)&gt;=0),((Risultati!AE295-Risultati!AF295)/Risultati!G295*360),"0")</f>
        <v>0</v>
      </c>
      <c r="BV296" s="21" t="str">
        <f>IF(OR(E296="abbreviato",Risultati!G295=0),"0",((Risultati!AC295+Risultati!AD295)/Risultati!G295*360))</f>
        <v>0</v>
      </c>
      <c r="BW296" s="21" t="str">
        <f>IF(OR(E296="abbreviato",Risultati!G295=0,SUM(Risultati!I295+Risultati!K295+Risultati!M295)=0),"0",(((Risultati!AH295+Risultati!AI295)/(Risultati!I295+Risultati!K295+Risultati!N295)*360)))</f>
        <v>0</v>
      </c>
      <c r="BX296" s="16" t="str">
        <f>IF(Risultati!AB295&gt;0,(+Risultati!AG295/Risultati!AB295),"0")</f>
        <v>0</v>
      </c>
      <c r="BY296" s="22" t="str">
        <f>IF(OR(E296="abbreviato",Risultati!G295=0),"0",(((Risultati!AK295-(Risultati!AL295+Risultati!AM295))/Risultati!G295)))</f>
        <v>0</v>
      </c>
      <c r="BZ296" s="16" t="str">
        <f>IF(Risultati!G295&gt;0,(Risultati!AJ295/Risultati!G295),"0")</f>
        <v>0</v>
      </c>
      <c r="CA296" s="8"/>
      <c r="CB296" s="9">
        <f>+Risultati!AP295</f>
        <v>0</v>
      </c>
      <c r="CC296" s="31" t="str">
        <f t="shared" si="261"/>
        <v>0</v>
      </c>
      <c r="CD296" s="9">
        <f>+Risultati!AQ295</f>
        <v>0</v>
      </c>
      <c r="CE296" s="31" t="str">
        <f t="shared" si="262"/>
        <v>0</v>
      </c>
      <c r="CF296" s="9">
        <f>+Risultati!AR295</f>
        <v>0</v>
      </c>
      <c r="CG296" s="31" t="str">
        <f t="shared" si="263"/>
        <v>0</v>
      </c>
      <c r="CH296" s="9">
        <f>+Risultati!AS295</f>
        <v>0</v>
      </c>
      <c r="CI296" s="31" t="str">
        <f t="shared" si="264"/>
        <v>0</v>
      </c>
      <c r="CJ296" s="9">
        <f t="shared" si="265"/>
        <v>0</v>
      </c>
      <c r="CK296" s="31" t="str">
        <f t="shared" si="266"/>
        <v>0</v>
      </c>
      <c r="CL296" s="10">
        <f>+Risultati!AE295+Risultati!AF295</f>
        <v>0</v>
      </c>
      <c r="CM296" s="31" t="str">
        <f t="shared" si="267"/>
        <v>0</v>
      </c>
      <c r="CN296" s="9">
        <f>+Risultati!AT295</f>
        <v>0</v>
      </c>
      <c r="CO296" s="31" t="str">
        <f t="shared" si="268"/>
        <v>0</v>
      </c>
      <c r="CP296" s="9">
        <f>+Risultati!AU295</f>
        <v>0</v>
      </c>
      <c r="CQ296" s="31" t="str">
        <f t="shared" si="269"/>
        <v>0</v>
      </c>
      <c r="CR296" s="9">
        <f>+Risultati!AL295</f>
        <v>0</v>
      </c>
      <c r="CS296" s="31" t="str">
        <f t="shared" si="270"/>
        <v>0</v>
      </c>
      <c r="CT296" s="9">
        <f t="shared" si="271"/>
        <v>0</v>
      </c>
      <c r="CU296" s="31" t="str">
        <f t="shared" si="272"/>
        <v>0</v>
      </c>
      <c r="CV296" s="9">
        <f>+Risultati!AX295</f>
        <v>0</v>
      </c>
      <c r="CW296" s="31" t="str">
        <f t="shared" si="273"/>
        <v>0</v>
      </c>
      <c r="CX296" s="9">
        <f t="shared" si="274"/>
        <v>0</v>
      </c>
      <c r="CY296" s="31" t="str">
        <f t="shared" si="275"/>
        <v>0</v>
      </c>
      <c r="CZ296" s="9">
        <f>+Risultati!AG295</f>
        <v>0</v>
      </c>
      <c r="DA296" s="31" t="str">
        <f t="shared" si="276"/>
        <v>0</v>
      </c>
      <c r="DB296" s="9">
        <f t="shared" si="277"/>
        <v>0</v>
      </c>
      <c r="DC296" s="31" t="str">
        <f t="shared" si="278"/>
        <v>0</v>
      </c>
      <c r="DD296" s="9">
        <f>+Risultati!AV295</f>
        <v>0</v>
      </c>
      <c r="DE296" s="31" t="str">
        <f t="shared" si="279"/>
        <v>0</v>
      </c>
      <c r="DF296" s="9">
        <f>+Risultati!AJ295</f>
        <v>0</v>
      </c>
      <c r="DG296" s="31" t="str">
        <f t="shared" si="280"/>
        <v>0</v>
      </c>
      <c r="DH296" s="9">
        <f t="shared" si="281"/>
        <v>0</v>
      </c>
      <c r="DI296" s="31" t="str">
        <f t="shared" si="282"/>
        <v>0</v>
      </c>
      <c r="DJ296" s="9">
        <f>+Risultati!AW295</f>
        <v>0</v>
      </c>
      <c r="DK296" s="31" t="str">
        <f t="shared" si="283"/>
        <v>0</v>
      </c>
      <c r="DL296" s="10">
        <f t="shared" si="254"/>
        <v>0</v>
      </c>
      <c r="DM296" s="31" t="str">
        <f t="shared" si="284"/>
        <v>0</v>
      </c>
      <c r="DO296" s="30"/>
      <c r="DP296" s="30"/>
    </row>
    <row r="297" spans="1:120" x14ac:dyDescent="0.2">
      <c r="A297" s="5"/>
      <c r="B297" s="6">
        <f>+Risultati!B296</f>
        <v>0</v>
      </c>
      <c r="C297" s="6">
        <f>+Risultati!C296</f>
        <v>0</v>
      </c>
      <c r="D297" s="26" t="str">
        <f>IF(YEAR(Risultati!D296)=1900,(MID(Risultati!$AP$1,29,4)),YEAR(Risultati!D296))</f>
        <v/>
      </c>
      <c r="E297" s="6">
        <f>+Risultati!E296</f>
        <v>0</v>
      </c>
      <c r="F297" s="8" t="e">
        <f>(LEFT(Risultati!AN296,2)&amp;"-")&amp;VLOOKUP((LEFT(Risultati!AN296,2)),ateco!$B$4:$C$93,2,FALSE)</f>
        <v>#N/A</v>
      </c>
      <c r="G297" s="8" t="str">
        <f>SUBSTITUTE((Risultati!AN296&amp;"-"&amp;Risultati!AO296),",",";")</f>
        <v>-</v>
      </c>
      <c r="I297" s="10">
        <f>+Risultati!G296</f>
        <v>0</v>
      </c>
      <c r="J297" s="11" t="str">
        <f t="shared" si="236"/>
        <v>0</v>
      </c>
      <c r="K297" s="12"/>
      <c r="L297" s="10">
        <f>+Risultati!G296+Risultati!H296</f>
        <v>0</v>
      </c>
      <c r="M297" s="11" t="str">
        <f t="shared" si="237"/>
        <v>0</v>
      </c>
      <c r="N297" s="12"/>
      <c r="O297" s="10">
        <f>+Risultati!I296+Risultati!J296</f>
        <v>0</v>
      </c>
      <c r="P297" s="11" t="str">
        <f t="shared" si="238"/>
        <v>0</v>
      </c>
      <c r="Q297" s="12"/>
      <c r="R297" s="13">
        <f t="shared" si="255"/>
        <v>0</v>
      </c>
      <c r="S297" s="11" t="str">
        <f t="shared" si="239"/>
        <v>0</v>
      </c>
      <c r="T297" s="12"/>
      <c r="U297" s="10">
        <f>+Risultati!F296-(Risultati!G296+Risultati!H296)</f>
        <v>0</v>
      </c>
      <c r="V297" s="12" t="str">
        <f t="shared" si="240"/>
        <v>0</v>
      </c>
      <c r="W297" s="12"/>
      <c r="X297" s="10">
        <f t="shared" si="256"/>
        <v>0</v>
      </c>
      <c r="Y297" s="12" t="str">
        <f t="shared" si="241"/>
        <v>0</v>
      </c>
      <c r="Z297" s="12"/>
      <c r="AA297" s="10">
        <f>+Risultati!K296</f>
        <v>0</v>
      </c>
      <c r="AB297" s="12" t="str">
        <f t="shared" si="242"/>
        <v>0</v>
      </c>
      <c r="AC297" s="12"/>
      <c r="AD297" s="10">
        <f>+Risultati!L296</f>
        <v>0</v>
      </c>
      <c r="AE297" s="12" t="str">
        <f t="shared" si="243"/>
        <v>0</v>
      </c>
      <c r="AF297" s="12"/>
      <c r="AG297" s="10">
        <f>+Risultati!M296+Risultati!P296+Risultati!Q296</f>
        <v>0</v>
      </c>
      <c r="AH297" s="12" t="str">
        <f t="shared" si="244"/>
        <v>0</v>
      </c>
      <c r="AI297" s="12"/>
      <c r="AJ297" s="13">
        <f t="shared" si="257"/>
        <v>0</v>
      </c>
      <c r="AK297" s="11" t="str">
        <f t="shared" si="245"/>
        <v>0</v>
      </c>
      <c r="AL297" s="12"/>
      <c r="AM297" s="10">
        <f>+Risultati!N296</f>
        <v>0</v>
      </c>
      <c r="AN297" s="12" t="str">
        <f t="shared" si="246"/>
        <v>0</v>
      </c>
      <c r="AO297" s="12"/>
      <c r="AP297" s="10">
        <f t="shared" si="258"/>
        <v>0</v>
      </c>
      <c r="AQ297" s="41" t="str">
        <f t="shared" si="247"/>
        <v>0</v>
      </c>
      <c r="AR297" s="12"/>
      <c r="AS297" s="10">
        <f>+Risultati!O296</f>
        <v>0</v>
      </c>
      <c r="AT297" s="12" t="str">
        <f t="shared" si="248"/>
        <v>0</v>
      </c>
      <c r="AU297" s="12"/>
      <c r="AV297" s="10">
        <f t="shared" si="259"/>
        <v>0</v>
      </c>
      <c r="AW297" s="12" t="str">
        <f t="shared" si="249"/>
        <v>0</v>
      </c>
      <c r="AX297" s="12"/>
      <c r="AY297" s="10">
        <f>+Risultati!R296+Risultati!S296</f>
        <v>0</v>
      </c>
      <c r="AZ297" s="12" t="str">
        <f t="shared" si="250"/>
        <v>0</v>
      </c>
      <c r="BA297" s="12"/>
      <c r="BB297" s="10">
        <f>+Risultati!T296</f>
        <v>0</v>
      </c>
      <c r="BC297" s="12" t="str">
        <f t="shared" si="251"/>
        <v>0</v>
      </c>
      <c r="BD297" s="12"/>
      <c r="BE297" s="10">
        <f>+Risultati!U296</f>
        <v>0</v>
      </c>
      <c r="BF297" s="12" t="str">
        <f t="shared" si="252"/>
        <v>0</v>
      </c>
      <c r="BG297" s="12"/>
      <c r="BH297" s="10">
        <f t="shared" si="260"/>
        <v>0</v>
      </c>
      <c r="BI297" s="12" t="str">
        <f t="shared" si="253"/>
        <v>0</v>
      </c>
      <c r="BK297" s="16">
        <f>IF(ISNUMBER(Risultati!X296/100),(Risultati!X296/100))</f>
        <v>0</v>
      </c>
      <c r="BL297" s="16">
        <f>IF(ISNUMBER(Risultati!Y296/100),(Risultati!Y296/100))</f>
        <v>0</v>
      </c>
      <c r="BM297" s="16">
        <f>IF(ISNUMBER(Risultati!Z296/100),(Risultati!Z296/100))</f>
        <v>0</v>
      </c>
      <c r="BN297" s="16">
        <f>IF(AND(Risultati!AY296&lt;0,calcoli!AP297&lt;0),-IF(ISNUMBER(Risultati!AA296/100),(Risultati!AA296/100)),IF(ISNUMBER(Risultati!AA296/100),(Risultati!AA296/100)))</f>
        <v>0</v>
      </c>
      <c r="BO297" s="16" t="str">
        <f t="shared" si="234"/>
        <v>0</v>
      </c>
      <c r="BP297" s="16" t="str">
        <f>IF(Risultati!AB296&gt;0,(AV297/Risultati!AB296),"0")</f>
        <v>0</v>
      </c>
      <c r="BQ297" s="16" t="str">
        <f>IF(Risultati!AG296&lt;&gt;0,(BH297/Risultati!AG296),"0")</f>
        <v>0</v>
      </c>
      <c r="BR297" s="16" t="str">
        <f t="shared" si="235"/>
        <v>0</v>
      </c>
      <c r="BS297" s="14" t="str">
        <f>IF(Risultati!AB296&gt;0,(Risultati!G296/Risultati!AB296),"0")</f>
        <v>0</v>
      </c>
      <c r="BT297" s="15" t="str">
        <f>IF(Risultati!AG296&lt;&gt;0,(Risultati!AB296/Risultati!AG296),"0")</f>
        <v>0</v>
      </c>
      <c r="BU297" s="23" t="str">
        <f>IF(AND(Risultati!G296&gt;0,(Risultati!AE296-Risultati!AF296)&gt;=0),((Risultati!AE296-Risultati!AF296)/Risultati!G296*360),"0")</f>
        <v>0</v>
      </c>
      <c r="BV297" s="21" t="str">
        <f>IF(OR(E297="abbreviato",Risultati!G296=0),"0",((Risultati!AC296+Risultati!AD296)/Risultati!G296*360))</f>
        <v>0</v>
      </c>
      <c r="BW297" s="21" t="str">
        <f>IF(OR(E297="abbreviato",Risultati!G296=0,SUM(Risultati!I296+Risultati!K296+Risultati!M296)=0),"0",(((Risultati!AH296+Risultati!AI296)/(Risultati!I296+Risultati!K296+Risultati!N296)*360)))</f>
        <v>0</v>
      </c>
      <c r="BX297" s="16" t="str">
        <f>IF(Risultati!AB296&gt;0,(+Risultati!AG296/Risultati!AB296),"0")</f>
        <v>0</v>
      </c>
      <c r="BY297" s="22" t="str">
        <f>IF(OR(E297="abbreviato",Risultati!G296=0),"0",(((Risultati!AK296-(Risultati!AL296+Risultati!AM296))/Risultati!G296)))</f>
        <v>0</v>
      </c>
      <c r="BZ297" s="16" t="str">
        <f>IF(Risultati!G296&gt;0,(Risultati!AJ296/Risultati!G296),"0")</f>
        <v>0</v>
      </c>
      <c r="CA297" s="8"/>
      <c r="CB297" s="9">
        <f>+Risultati!AP296</f>
        <v>0</v>
      </c>
      <c r="CC297" s="31" t="str">
        <f t="shared" si="261"/>
        <v>0</v>
      </c>
      <c r="CD297" s="9">
        <f>+Risultati!AQ296</f>
        <v>0</v>
      </c>
      <c r="CE297" s="31" t="str">
        <f t="shared" si="262"/>
        <v>0</v>
      </c>
      <c r="CF297" s="9">
        <f>+Risultati!AR296</f>
        <v>0</v>
      </c>
      <c r="CG297" s="31" t="str">
        <f t="shared" si="263"/>
        <v>0</v>
      </c>
      <c r="CH297" s="9">
        <f>+Risultati!AS296</f>
        <v>0</v>
      </c>
      <c r="CI297" s="31" t="str">
        <f t="shared" si="264"/>
        <v>0</v>
      </c>
      <c r="CJ297" s="9">
        <f t="shared" si="265"/>
        <v>0</v>
      </c>
      <c r="CK297" s="31" t="str">
        <f t="shared" si="266"/>
        <v>0</v>
      </c>
      <c r="CL297" s="10">
        <f>+Risultati!AE296+Risultati!AF296</f>
        <v>0</v>
      </c>
      <c r="CM297" s="31" t="str">
        <f t="shared" si="267"/>
        <v>0</v>
      </c>
      <c r="CN297" s="9">
        <f>+Risultati!AT296</f>
        <v>0</v>
      </c>
      <c r="CO297" s="31" t="str">
        <f t="shared" si="268"/>
        <v>0</v>
      </c>
      <c r="CP297" s="9">
        <f>+Risultati!AU296</f>
        <v>0</v>
      </c>
      <c r="CQ297" s="31" t="str">
        <f t="shared" si="269"/>
        <v>0</v>
      </c>
      <c r="CR297" s="9">
        <f>+Risultati!AL296</f>
        <v>0</v>
      </c>
      <c r="CS297" s="31" t="str">
        <f t="shared" si="270"/>
        <v>0</v>
      </c>
      <c r="CT297" s="9">
        <f t="shared" si="271"/>
        <v>0</v>
      </c>
      <c r="CU297" s="31" t="str">
        <f t="shared" si="272"/>
        <v>0</v>
      </c>
      <c r="CV297" s="9">
        <f>+Risultati!AX296</f>
        <v>0</v>
      </c>
      <c r="CW297" s="31" t="str">
        <f t="shared" si="273"/>
        <v>0</v>
      </c>
      <c r="CX297" s="9">
        <f t="shared" si="274"/>
        <v>0</v>
      </c>
      <c r="CY297" s="31" t="str">
        <f t="shared" si="275"/>
        <v>0</v>
      </c>
      <c r="CZ297" s="9">
        <f>+Risultati!AG296</f>
        <v>0</v>
      </c>
      <c r="DA297" s="31" t="str">
        <f t="shared" si="276"/>
        <v>0</v>
      </c>
      <c r="DB297" s="9">
        <f t="shared" si="277"/>
        <v>0</v>
      </c>
      <c r="DC297" s="31" t="str">
        <f t="shared" si="278"/>
        <v>0</v>
      </c>
      <c r="DD297" s="9">
        <f>+Risultati!AV296</f>
        <v>0</v>
      </c>
      <c r="DE297" s="31" t="str">
        <f t="shared" si="279"/>
        <v>0</v>
      </c>
      <c r="DF297" s="9">
        <f>+Risultati!AJ296</f>
        <v>0</v>
      </c>
      <c r="DG297" s="31" t="str">
        <f t="shared" si="280"/>
        <v>0</v>
      </c>
      <c r="DH297" s="9">
        <f t="shared" si="281"/>
        <v>0</v>
      </c>
      <c r="DI297" s="31" t="str">
        <f t="shared" si="282"/>
        <v>0</v>
      </c>
      <c r="DJ297" s="9">
        <f>+Risultati!AW296</f>
        <v>0</v>
      </c>
      <c r="DK297" s="31" t="str">
        <f t="shared" si="283"/>
        <v>0</v>
      </c>
      <c r="DL297" s="10">
        <f t="shared" si="254"/>
        <v>0</v>
      </c>
      <c r="DM297" s="31" t="str">
        <f t="shared" si="284"/>
        <v>0</v>
      </c>
      <c r="DO297" s="30"/>
      <c r="DP297" s="30"/>
    </row>
    <row r="298" spans="1:120" x14ac:dyDescent="0.2">
      <c r="A298" s="5"/>
      <c r="B298" s="6">
        <f>+Risultati!B297</f>
        <v>0</v>
      </c>
      <c r="C298" s="6">
        <f>+Risultati!C297</f>
        <v>0</v>
      </c>
      <c r="D298" s="26" t="str">
        <f>IF(YEAR(Risultati!D297)=1900,(MID(Risultati!$AP$1,29,4)),YEAR(Risultati!D297))</f>
        <v/>
      </c>
      <c r="E298" s="6">
        <f>+Risultati!E297</f>
        <v>0</v>
      </c>
      <c r="F298" s="8" t="e">
        <f>(LEFT(Risultati!AN297,2)&amp;"-")&amp;VLOOKUP((LEFT(Risultati!AN297,2)),ateco!$B$4:$C$93,2,FALSE)</f>
        <v>#N/A</v>
      </c>
      <c r="G298" s="8" t="str">
        <f>SUBSTITUTE((Risultati!AN297&amp;"-"&amp;Risultati!AO297),",",";")</f>
        <v>-</v>
      </c>
      <c r="I298" s="10">
        <f>+Risultati!G297</f>
        <v>0</v>
      </c>
      <c r="J298" s="11" t="str">
        <f t="shared" si="236"/>
        <v>0</v>
      </c>
      <c r="K298" s="12"/>
      <c r="L298" s="10">
        <f>+Risultati!G297+Risultati!H297</f>
        <v>0</v>
      </c>
      <c r="M298" s="11" t="str">
        <f t="shared" si="237"/>
        <v>0</v>
      </c>
      <c r="N298" s="12"/>
      <c r="O298" s="10">
        <f>+Risultati!I297+Risultati!J297</f>
        <v>0</v>
      </c>
      <c r="P298" s="11" t="str">
        <f t="shared" si="238"/>
        <v>0</v>
      </c>
      <c r="Q298" s="12"/>
      <c r="R298" s="13">
        <f t="shared" si="255"/>
        <v>0</v>
      </c>
      <c r="S298" s="11" t="str">
        <f t="shared" si="239"/>
        <v>0</v>
      </c>
      <c r="T298" s="12"/>
      <c r="U298" s="10">
        <f>+Risultati!F297-(Risultati!G297+Risultati!H297)</f>
        <v>0</v>
      </c>
      <c r="V298" s="12" t="str">
        <f t="shared" si="240"/>
        <v>0</v>
      </c>
      <c r="W298" s="12"/>
      <c r="X298" s="10">
        <f t="shared" si="256"/>
        <v>0</v>
      </c>
      <c r="Y298" s="12" t="str">
        <f t="shared" si="241"/>
        <v>0</v>
      </c>
      <c r="Z298" s="12"/>
      <c r="AA298" s="10">
        <f>+Risultati!K297</f>
        <v>0</v>
      </c>
      <c r="AB298" s="12" t="str">
        <f t="shared" si="242"/>
        <v>0</v>
      </c>
      <c r="AC298" s="12"/>
      <c r="AD298" s="10">
        <f>+Risultati!L297</f>
        <v>0</v>
      </c>
      <c r="AE298" s="12" t="str">
        <f t="shared" si="243"/>
        <v>0</v>
      </c>
      <c r="AF298" s="12"/>
      <c r="AG298" s="10">
        <f>+Risultati!M297+Risultati!P297+Risultati!Q297</f>
        <v>0</v>
      </c>
      <c r="AH298" s="12" t="str">
        <f t="shared" si="244"/>
        <v>0</v>
      </c>
      <c r="AI298" s="12"/>
      <c r="AJ298" s="13">
        <f t="shared" si="257"/>
        <v>0</v>
      </c>
      <c r="AK298" s="11" t="str">
        <f t="shared" si="245"/>
        <v>0</v>
      </c>
      <c r="AL298" s="12"/>
      <c r="AM298" s="10">
        <f>+Risultati!N297</f>
        <v>0</v>
      </c>
      <c r="AN298" s="12" t="str">
        <f t="shared" si="246"/>
        <v>0</v>
      </c>
      <c r="AO298" s="12"/>
      <c r="AP298" s="10">
        <f t="shared" si="258"/>
        <v>0</v>
      </c>
      <c r="AQ298" s="41" t="str">
        <f t="shared" si="247"/>
        <v>0</v>
      </c>
      <c r="AR298" s="12"/>
      <c r="AS298" s="10">
        <f>+Risultati!O297</f>
        <v>0</v>
      </c>
      <c r="AT298" s="12" t="str">
        <f t="shared" si="248"/>
        <v>0</v>
      </c>
      <c r="AU298" s="12"/>
      <c r="AV298" s="10">
        <f t="shared" si="259"/>
        <v>0</v>
      </c>
      <c r="AW298" s="12" t="str">
        <f t="shared" si="249"/>
        <v>0</v>
      </c>
      <c r="AX298" s="12"/>
      <c r="AY298" s="10">
        <f>+Risultati!R297+Risultati!S297</f>
        <v>0</v>
      </c>
      <c r="AZ298" s="12" t="str">
        <f t="shared" si="250"/>
        <v>0</v>
      </c>
      <c r="BA298" s="12"/>
      <c r="BB298" s="10">
        <f>+Risultati!T297</f>
        <v>0</v>
      </c>
      <c r="BC298" s="12" t="str">
        <f t="shared" si="251"/>
        <v>0</v>
      </c>
      <c r="BD298" s="12"/>
      <c r="BE298" s="10">
        <f>+Risultati!U297</f>
        <v>0</v>
      </c>
      <c r="BF298" s="12" t="str">
        <f t="shared" si="252"/>
        <v>0</v>
      </c>
      <c r="BG298" s="12"/>
      <c r="BH298" s="10">
        <f t="shared" si="260"/>
        <v>0</v>
      </c>
      <c r="BI298" s="12" t="str">
        <f t="shared" si="253"/>
        <v>0</v>
      </c>
      <c r="BK298" s="16">
        <f>IF(ISNUMBER(Risultati!X297/100),(Risultati!X297/100))</f>
        <v>0</v>
      </c>
      <c r="BL298" s="16">
        <f>IF(ISNUMBER(Risultati!Y297/100),(Risultati!Y297/100))</f>
        <v>0</v>
      </c>
      <c r="BM298" s="16">
        <f>IF(ISNUMBER(Risultati!Z297/100),(Risultati!Z297/100))</f>
        <v>0</v>
      </c>
      <c r="BN298" s="16">
        <f>IF(AND(Risultati!AY297&lt;0,calcoli!AP298&lt;0),-IF(ISNUMBER(Risultati!AA297/100),(Risultati!AA297/100)),IF(ISNUMBER(Risultati!AA297/100),(Risultati!AA297/100)))</f>
        <v>0</v>
      </c>
      <c r="BO298" s="16" t="str">
        <f t="shared" si="234"/>
        <v>0</v>
      </c>
      <c r="BP298" s="16" t="str">
        <f>IF(Risultati!AB297&gt;0,(AV298/Risultati!AB297),"0")</f>
        <v>0</v>
      </c>
      <c r="BQ298" s="16" t="str">
        <f>IF(Risultati!AG297&lt;&gt;0,(BH298/Risultati!AG297),"0")</f>
        <v>0</v>
      </c>
      <c r="BR298" s="16" t="str">
        <f t="shared" si="235"/>
        <v>0</v>
      </c>
      <c r="BS298" s="14" t="str">
        <f>IF(Risultati!AB297&gt;0,(Risultati!G297/Risultati!AB297),"0")</f>
        <v>0</v>
      </c>
      <c r="BT298" s="15" t="str">
        <f>IF(Risultati!AG297&lt;&gt;0,(Risultati!AB297/Risultati!AG297),"0")</f>
        <v>0</v>
      </c>
      <c r="BU298" s="23" t="str">
        <f>IF(AND(Risultati!G297&gt;0,(Risultati!AE297-Risultati!AF297)&gt;=0),((Risultati!AE297-Risultati!AF297)/Risultati!G297*360),"0")</f>
        <v>0</v>
      </c>
      <c r="BV298" s="21" t="str">
        <f>IF(OR(E298="abbreviato",Risultati!G297=0),"0",((Risultati!AC297+Risultati!AD297)/Risultati!G297*360))</f>
        <v>0</v>
      </c>
      <c r="BW298" s="21" t="str">
        <f>IF(OR(E298="abbreviato",Risultati!G297=0,SUM(Risultati!I297+Risultati!K297+Risultati!M297)=0),"0",(((Risultati!AH297+Risultati!AI297)/(Risultati!I297+Risultati!K297+Risultati!N297)*360)))</f>
        <v>0</v>
      </c>
      <c r="BX298" s="16" t="str">
        <f>IF(Risultati!AB297&gt;0,(+Risultati!AG297/Risultati!AB297),"0")</f>
        <v>0</v>
      </c>
      <c r="BY298" s="22" t="str">
        <f>IF(OR(E298="abbreviato",Risultati!G297=0),"0",(((Risultati!AK297-(Risultati!AL297+Risultati!AM297))/Risultati!G297)))</f>
        <v>0</v>
      </c>
      <c r="BZ298" s="16" t="str">
        <f>IF(Risultati!G297&gt;0,(Risultati!AJ297/Risultati!G297),"0")</f>
        <v>0</v>
      </c>
      <c r="CA298" s="8"/>
      <c r="CB298" s="9">
        <f>+Risultati!AP297</f>
        <v>0</v>
      </c>
      <c r="CC298" s="31" t="str">
        <f t="shared" si="261"/>
        <v>0</v>
      </c>
      <c r="CD298" s="9">
        <f>+Risultati!AQ297</f>
        <v>0</v>
      </c>
      <c r="CE298" s="31" t="str">
        <f t="shared" si="262"/>
        <v>0</v>
      </c>
      <c r="CF298" s="9">
        <f>+Risultati!AR297</f>
        <v>0</v>
      </c>
      <c r="CG298" s="31" t="str">
        <f t="shared" si="263"/>
        <v>0</v>
      </c>
      <c r="CH298" s="9">
        <f>+Risultati!AS297</f>
        <v>0</v>
      </c>
      <c r="CI298" s="31" t="str">
        <f t="shared" si="264"/>
        <v>0</v>
      </c>
      <c r="CJ298" s="9">
        <f t="shared" si="265"/>
        <v>0</v>
      </c>
      <c r="CK298" s="31" t="str">
        <f t="shared" si="266"/>
        <v>0</v>
      </c>
      <c r="CL298" s="10">
        <f>+Risultati!AE297+Risultati!AF297</f>
        <v>0</v>
      </c>
      <c r="CM298" s="31" t="str">
        <f t="shared" si="267"/>
        <v>0</v>
      </c>
      <c r="CN298" s="9">
        <f>+Risultati!AT297</f>
        <v>0</v>
      </c>
      <c r="CO298" s="31" t="str">
        <f t="shared" si="268"/>
        <v>0</v>
      </c>
      <c r="CP298" s="9">
        <f>+Risultati!AU297</f>
        <v>0</v>
      </c>
      <c r="CQ298" s="31" t="str">
        <f t="shared" si="269"/>
        <v>0</v>
      </c>
      <c r="CR298" s="9">
        <f>+Risultati!AL297</f>
        <v>0</v>
      </c>
      <c r="CS298" s="31" t="str">
        <f t="shared" si="270"/>
        <v>0</v>
      </c>
      <c r="CT298" s="9">
        <f t="shared" si="271"/>
        <v>0</v>
      </c>
      <c r="CU298" s="31" t="str">
        <f t="shared" si="272"/>
        <v>0</v>
      </c>
      <c r="CV298" s="9">
        <f>+Risultati!AX297</f>
        <v>0</v>
      </c>
      <c r="CW298" s="31" t="str">
        <f t="shared" si="273"/>
        <v>0</v>
      </c>
      <c r="CX298" s="9">
        <f t="shared" si="274"/>
        <v>0</v>
      </c>
      <c r="CY298" s="31" t="str">
        <f t="shared" si="275"/>
        <v>0</v>
      </c>
      <c r="CZ298" s="9">
        <f>+Risultati!AG297</f>
        <v>0</v>
      </c>
      <c r="DA298" s="31" t="str">
        <f t="shared" si="276"/>
        <v>0</v>
      </c>
      <c r="DB298" s="9">
        <f t="shared" si="277"/>
        <v>0</v>
      </c>
      <c r="DC298" s="31" t="str">
        <f t="shared" si="278"/>
        <v>0</v>
      </c>
      <c r="DD298" s="9">
        <f>+Risultati!AV297</f>
        <v>0</v>
      </c>
      <c r="DE298" s="31" t="str">
        <f t="shared" si="279"/>
        <v>0</v>
      </c>
      <c r="DF298" s="9">
        <f>+Risultati!AJ297</f>
        <v>0</v>
      </c>
      <c r="DG298" s="31" t="str">
        <f t="shared" si="280"/>
        <v>0</v>
      </c>
      <c r="DH298" s="9">
        <f t="shared" si="281"/>
        <v>0</v>
      </c>
      <c r="DI298" s="31" t="str">
        <f t="shared" si="282"/>
        <v>0</v>
      </c>
      <c r="DJ298" s="9">
        <f>+Risultati!AW297</f>
        <v>0</v>
      </c>
      <c r="DK298" s="31" t="str">
        <f t="shared" si="283"/>
        <v>0</v>
      </c>
      <c r="DL298" s="10">
        <f t="shared" si="254"/>
        <v>0</v>
      </c>
      <c r="DM298" s="31" t="str">
        <f t="shared" si="284"/>
        <v>0</v>
      </c>
      <c r="DO298" s="30"/>
      <c r="DP298" s="30"/>
    </row>
    <row r="299" spans="1:120" x14ac:dyDescent="0.2">
      <c r="A299" s="5"/>
      <c r="B299" s="6">
        <f>+Risultati!B298</f>
        <v>0</v>
      </c>
      <c r="C299" s="6">
        <f>+Risultati!C298</f>
        <v>0</v>
      </c>
      <c r="D299" s="26" t="str">
        <f>IF(YEAR(Risultati!D298)=1900,(MID(Risultati!$AP$1,29,4)),YEAR(Risultati!D298))</f>
        <v/>
      </c>
      <c r="E299" s="6">
        <f>+Risultati!E298</f>
        <v>0</v>
      </c>
      <c r="F299" s="8" t="e">
        <f>(LEFT(Risultati!AN298,2)&amp;"-")&amp;VLOOKUP((LEFT(Risultati!AN298,2)),ateco!$B$4:$C$93,2,FALSE)</f>
        <v>#N/A</v>
      </c>
      <c r="G299" s="8" t="str">
        <f>SUBSTITUTE((Risultati!AN298&amp;"-"&amp;Risultati!AO298),",",";")</f>
        <v>-</v>
      </c>
      <c r="I299" s="10">
        <f>+Risultati!G298</f>
        <v>0</v>
      </c>
      <c r="J299" s="11" t="str">
        <f t="shared" si="236"/>
        <v>0</v>
      </c>
      <c r="K299" s="12"/>
      <c r="L299" s="10">
        <f>+Risultati!G298+Risultati!H298</f>
        <v>0</v>
      </c>
      <c r="M299" s="11" t="str">
        <f t="shared" si="237"/>
        <v>0</v>
      </c>
      <c r="N299" s="12"/>
      <c r="O299" s="10">
        <f>+Risultati!I298+Risultati!J298</f>
        <v>0</v>
      </c>
      <c r="P299" s="11" t="str">
        <f t="shared" si="238"/>
        <v>0</v>
      </c>
      <c r="Q299" s="12"/>
      <c r="R299" s="13">
        <f t="shared" si="255"/>
        <v>0</v>
      </c>
      <c r="S299" s="11" t="str">
        <f t="shared" si="239"/>
        <v>0</v>
      </c>
      <c r="T299" s="12"/>
      <c r="U299" s="10">
        <f>+Risultati!F298-(Risultati!G298+Risultati!H298)</f>
        <v>0</v>
      </c>
      <c r="V299" s="12" t="str">
        <f t="shared" si="240"/>
        <v>0</v>
      </c>
      <c r="W299" s="12"/>
      <c r="X299" s="10">
        <f t="shared" si="256"/>
        <v>0</v>
      </c>
      <c r="Y299" s="12" t="str">
        <f t="shared" si="241"/>
        <v>0</v>
      </c>
      <c r="Z299" s="12"/>
      <c r="AA299" s="10">
        <f>+Risultati!K298</f>
        <v>0</v>
      </c>
      <c r="AB299" s="12" t="str">
        <f t="shared" si="242"/>
        <v>0</v>
      </c>
      <c r="AC299" s="12"/>
      <c r="AD299" s="10">
        <f>+Risultati!L298</f>
        <v>0</v>
      </c>
      <c r="AE299" s="12" t="str">
        <f t="shared" si="243"/>
        <v>0</v>
      </c>
      <c r="AF299" s="12"/>
      <c r="AG299" s="10">
        <f>+Risultati!M298+Risultati!P298+Risultati!Q298</f>
        <v>0</v>
      </c>
      <c r="AH299" s="12" t="str">
        <f t="shared" si="244"/>
        <v>0</v>
      </c>
      <c r="AI299" s="12"/>
      <c r="AJ299" s="13">
        <f t="shared" si="257"/>
        <v>0</v>
      </c>
      <c r="AK299" s="11" t="str">
        <f t="shared" si="245"/>
        <v>0</v>
      </c>
      <c r="AL299" s="12"/>
      <c r="AM299" s="10">
        <f>+Risultati!N298</f>
        <v>0</v>
      </c>
      <c r="AN299" s="12" t="str">
        <f t="shared" si="246"/>
        <v>0</v>
      </c>
      <c r="AO299" s="12"/>
      <c r="AP299" s="10">
        <f t="shared" si="258"/>
        <v>0</v>
      </c>
      <c r="AQ299" s="41" t="str">
        <f t="shared" si="247"/>
        <v>0</v>
      </c>
      <c r="AR299" s="12"/>
      <c r="AS299" s="10">
        <f>+Risultati!O298</f>
        <v>0</v>
      </c>
      <c r="AT299" s="12" t="str">
        <f t="shared" si="248"/>
        <v>0</v>
      </c>
      <c r="AU299" s="12"/>
      <c r="AV299" s="10">
        <f t="shared" si="259"/>
        <v>0</v>
      </c>
      <c r="AW299" s="12" t="str">
        <f t="shared" si="249"/>
        <v>0</v>
      </c>
      <c r="AX299" s="12"/>
      <c r="AY299" s="10">
        <f>+Risultati!R298+Risultati!S298</f>
        <v>0</v>
      </c>
      <c r="AZ299" s="12" t="str">
        <f t="shared" si="250"/>
        <v>0</v>
      </c>
      <c r="BA299" s="12"/>
      <c r="BB299" s="10">
        <f>+Risultati!T298</f>
        <v>0</v>
      </c>
      <c r="BC299" s="12" t="str">
        <f t="shared" si="251"/>
        <v>0</v>
      </c>
      <c r="BD299" s="12"/>
      <c r="BE299" s="10">
        <f>+Risultati!U298</f>
        <v>0</v>
      </c>
      <c r="BF299" s="12" t="str">
        <f t="shared" si="252"/>
        <v>0</v>
      </c>
      <c r="BG299" s="12"/>
      <c r="BH299" s="10">
        <f t="shared" si="260"/>
        <v>0</v>
      </c>
      <c r="BI299" s="12" t="str">
        <f t="shared" si="253"/>
        <v>0</v>
      </c>
      <c r="BK299" s="16">
        <f>IF(ISNUMBER(Risultati!X298/100),(Risultati!X298/100))</f>
        <v>0</v>
      </c>
      <c r="BL299" s="16">
        <f>IF(ISNUMBER(Risultati!Y298/100),(Risultati!Y298/100))</f>
        <v>0</v>
      </c>
      <c r="BM299" s="16">
        <f>IF(ISNUMBER(Risultati!Z298/100),(Risultati!Z298/100))</f>
        <v>0</v>
      </c>
      <c r="BN299" s="16">
        <f>IF(AND(Risultati!AY298&lt;0,calcoli!AP299&lt;0),-IF(ISNUMBER(Risultati!AA298/100),(Risultati!AA298/100)),IF(ISNUMBER(Risultati!AA298/100),(Risultati!AA298/100)))</f>
        <v>0</v>
      </c>
      <c r="BO299" s="16" t="str">
        <f t="shared" si="234"/>
        <v>0</v>
      </c>
      <c r="BP299" s="16" t="str">
        <f>IF(Risultati!AB298&gt;0,(AV299/Risultati!AB298),"0")</f>
        <v>0</v>
      </c>
      <c r="BQ299" s="16" t="str">
        <f>IF(Risultati!AG298&lt;&gt;0,(BH299/Risultati!AG298),"0")</f>
        <v>0</v>
      </c>
      <c r="BR299" s="16" t="str">
        <f t="shared" si="235"/>
        <v>0</v>
      </c>
      <c r="BS299" s="14" t="str">
        <f>IF(Risultati!AB298&gt;0,(Risultati!G298/Risultati!AB298),"0")</f>
        <v>0</v>
      </c>
      <c r="BT299" s="15" t="str">
        <f>IF(Risultati!AG298&lt;&gt;0,(Risultati!AB298/Risultati!AG298),"0")</f>
        <v>0</v>
      </c>
      <c r="BU299" s="23" t="str">
        <f>IF(AND(Risultati!G298&gt;0,(Risultati!AE298-Risultati!AF298)&gt;=0),((Risultati!AE298-Risultati!AF298)/Risultati!G298*360),"0")</f>
        <v>0</v>
      </c>
      <c r="BV299" s="21" t="str">
        <f>IF(OR(E299="abbreviato",Risultati!G298=0),"0",((Risultati!AC298+Risultati!AD298)/Risultati!G298*360))</f>
        <v>0</v>
      </c>
      <c r="BW299" s="21" t="str">
        <f>IF(OR(E299="abbreviato",Risultati!G298=0,SUM(Risultati!I298+Risultati!K298+Risultati!M298)=0),"0",(((Risultati!AH298+Risultati!AI298)/(Risultati!I298+Risultati!K298+Risultati!N298)*360)))</f>
        <v>0</v>
      </c>
      <c r="BX299" s="16" t="str">
        <f>IF(Risultati!AB298&gt;0,(+Risultati!AG298/Risultati!AB298),"0")</f>
        <v>0</v>
      </c>
      <c r="BY299" s="22" t="str">
        <f>IF(OR(E299="abbreviato",Risultati!G298=0),"0",(((Risultati!AK298-(Risultati!AL298+Risultati!AM298))/Risultati!G298)))</f>
        <v>0</v>
      </c>
      <c r="BZ299" s="16" t="str">
        <f>IF(Risultati!G298&gt;0,(Risultati!AJ298/Risultati!G298),"0")</f>
        <v>0</v>
      </c>
      <c r="CA299" s="8"/>
      <c r="CB299" s="9">
        <f>+Risultati!AP298</f>
        <v>0</v>
      </c>
      <c r="CC299" s="31" t="str">
        <f t="shared" si="261"/>
        <v>0</v>
      </c>
      <c r="CD299" s="9">
        <f>+Risultati!AQ298</f>
        <v>0</v>
      </c>
      <c r="CE299" s="31" t="str">
        <f t="shared" si="262"/>
        <v>0</v>
      </c>
      <c r="CF299" s="9">
        <f>+Risultati!AR298</f>
        <v>0</v>
      </c>
      <c r="CG299" s="31" t="str">
        <f t="shared" si="263"/>
        <v>0</v>
      </c>
      <c r="CH299" s="9">
        <f>+Risultati!AS298</f>
        <v>0</v>
      </c>
      <c r="CI299" s="31" t="str">
        <f t="shared" si="264"/>
        <v>0</v>
      </c>
      <c r="CJ299" s="9">
        <f t="shared" si="265"/>
        <v>0</v>
      </c>
      <c r="CK299" s="31" t="str">
        <f t="shared" si="266"/>
        <v>0</v>
      </c>
      <c r="CL299" s="10">
        <f>+Risultati!AE298+Risultati!AF298</f>
        <v>0</v>
      </c>
      <c r="CM299" s="31" t="str">
        <f t="shared" si="267"/>
        <v>0</v>
      </c>
      <c r="CN299" s="9">
        <f>+Risultati!AT298</f>
        <v>0</v>
      </c>
      <c r="CO299" s="31" t="str">
        <f t="shared" si="268"/>
        <v>0</v>
      </c>
      <c r="CP299" s="9">
        <f>+Risultati!AU298</f>
        <v>0</v>
      </c>
      <c r="CQ299" s="31" t="str">
        <f t="shared" si="269"/>
        <v>0</v>
      </c>
      <c r="CR299" s="9">
        <f>+Risultati!AL298</f>
        <v>0</v>
      </c>
      <c r="CS299" s="31" t="str">
        <f t="shared" si="270"/>
        <v>0</v>
      </c>
      <c r="CT299" s="9">
        <f t="shared" si="271"/>
        <v>0</v>
      </c>
      <c r="CU299" s="31" t="str">
        <f t="shared" si="272"/>
        <v>0</v>
      </c>
      <c r="CV299" s="9">
        <f>+Risultati!AX298</f>
        <v>0</v>
      </c>
      <c r="CW299" s="31" t="str">
        <f t="shared" si="273"/>
        <v>0</v>
      </c>
      <c r="CX299" s="9">
        <f t="shared" si="274"/>
        <v>0</v>
      </c>
      <c r="CY299" s="31" t="str">
        <f t="shared" si="275"/>
        <v>0</v>
      </c>
      <c r="CZ299" s="9">
        <f>+Risultati!AG298</f>
        <v>0</v>
      </c>
      <c r="DA299" s="31" t="str">
        <f t="shared" si="276"/>
        <v>0</v>
      </c>
      <c r="DB299" s="9">
        <f t="shared" si="277"/>
        <v>0</v>
      </c>
      <c r="DC299" s="31" t="str">
        <f t="shared" si="278"/>
        <v>0</v>
      </c>
      <c r="DD299" s="9">
        <f>+Risultati!AV298</f>
        <v>0</v>
      </c>
      <c r="DE299" s="31" t="str">
        <f t="shared" si="279"/>
        <v>0</v>
      </c>
      <c r="DF299" s="9">
        <f>+Risultati!AJ298</f>
        <v>0</v>
      </c>
      <c r="DG299" s="31" t="str">
        <f t="shared" si="280"/>
        <v>0</v>
      </c>
      <c r="DH299" s="9">
        <f t="shared" si="281"/>
        <v>0</v>
      </c>
      <c r="DI299" s="31" t="str">
        <f t="shared" si="282"/>
        <v>0</v>
      </c>
      <c r="DJ299" s="9">
        <f>+Risultati!AW298</f>
        <v>0</v>
      </c>
      <c r="DK299" s="31" t="str">
        <f t="shared" si="283"/>
        <v>0</v>
      </c>
      <c r="DL299" s="10">
        <f t="shared" si="254"/>
        <v>0</v>
      </c>
      <c r="DM299" s="31" t="str">
        <f t="shared" si="284"/>
        <v>0</v>
      </c>
      <c r="DO299" s="30"/>
      <c r="DP299" s="30"/>
    </row>
    <row r="300" spans="1:120" x14ac:dyDescent="0.2">
      <c r="A300" s="5"/>
      <c r="B300" s="6">
        <f>+Risultati!B299</f>
        <v>0</v>
      </c>
      <c r="C300" s="6">
        <f>+Risultati!C299</f>
        <v>0</v>
      </c>
      <c r="D300" s="26" t="str">
        <f>IF(YEAR(Risultati!D299)=1900,(MID(Risultati!$AP$1,29,4)),YEAR(Risultati!D299))</f>
        <v/>
      </c>
      <c r="E300" s="6">
        <f>+Risultati!E299</f>
        <v>0</v>
      </c>
      <c r="F300" s="8" t="e">
        <f>(LEFT(Risultati!AN299,2)&amp;"-")&amp;VLOOKUP((LEFT(Risultati!AN299,2)),ateco!$B$4:$C$93,2,FALSE)</f>
        <v>#N/A</v>
      </c>
      <c r="G300" s="8" t="str">
        <f>SUBSTITUTE((Risultati!AN299&amp;"-"&amp;Risultati!AO299),",",";")</f>
        <v>-</v>
      </c>
      <c r="I300" s="10">
        <f>+Risultati!G299</f>
        <v>0</v>
      </c>
      <c r="J300" s="11" t="str">
        <f t="shared" si="236"/>
        <v>0</v>
      </c>
      <c r="K300" s="12"/>
      <c r="L300" s="10">
        <f>+Risultati!G299+Risultati!H299</f>
        <v>0</v>
      </c>
      <c r="M300" s="11" t="str">
        <f t="shared" si="237"/>
        <v>0</v>
      </c>
      <c r="N300" s="12"/>
      <c r="O300" s="10">
        <f>+Risultati!I299+Risultati!J299</f>
        <v>0</v>
      </c>
      <c r="P300" s="11" t="str">
        <f t="shared" si="238"/>
        <v>0</v>
      </c>
      <c r="Q300" s="12"/>
      <c r="R300" s="13">
        <f t="shared" si="255"/>
        <v>0</v>
      </c>
      <c r="S300" s="11" t="str">
        <f t="shared" si="239"/>
        <v>0</v>
      </c>
      <c r="T300" s="12"/>
      <c r="U300" s="10">
        <f>+Risultati!F299-(Risultati!G299+Risultati!H299)</f>
        <v>0</v>
      </c>
      <c r="V300" s="12" t="str">
        <f t="shared" si="240"/>
        <v>0</v>
      </c>
      <c r="W300" s="12"/>
      <c r="X300" s="10">
        <f t="shared" si="256"/>
        <v>0</v>
      </c>
      <c r="Y300" s="12" t="str">
        <f t="shared" si="241"/>
        <v>0</v>
      </c>
      <c r="Z300" s="12"/>
      <c r="AA300" s="10">
        <f>+Risultati!K299</f>
        <v>0</v>
      </c>
      <c r="AB300" s="12" t="str">
        <f t="shared" si="242"/>
        <v>0</v>
      </c>
      <c r="AC300" s="12"/>
      <c r="AD300" s="10">
        <f>+Risultati!L299</f>
        <v>0</v>
      </c>
      <c r="AE300" s="12" t="str">
        <f t="shared" si="243"/>
        <v>0</v>
      </c>
      <c r="AF300" s="12"/>
      <c r="AG300" s="10">
        <f>+Risultati!M299+Risultati!P299+Risultati!Q299</f>
        <v>0</v>
      </c>
      <c r="AH300" s="12" t="str">
        <f t="shared" si="244"/>
        <v>0</v>
      </c>
      <c r="AI300" s="12"/>
      <c r="AJ300" s="13">
        <f t="shared" si="257"/>
        <v>0</v>
      </c>
      <c r="AK300" s="11" t="str">
        <f t="shared" si="245"/>
        <v>0</v>
      </c>
      <c r="AL300" s="12"/>
      <c r="AM300" s="10">
        <f>+Risultati!N299</f>
        <v>0</v>
      </c>
      <c r="AN300" s="12" t="str">
        <f t="shared" si="246"/>
        <v>0</v>
      </c>
      <c r="AO300" s="12"/>
      <c r="AP300" s="10">
        <f t="shared" si="258"/>
        <v>0</v>
      </c>
      <c r="AQ300" s="41" t="str">
        <f t="shared" si="247"/>
        <v>0</v>
      </c>
      <c r="AR300" s="12"/>
      <c r="AS300" s="10">
        <f>+Risultati!O299</f>
        <v>0</v>
      </c>
      <c r="AT300" s="12" t="str">
        <f t="shared" si="248"/>
        <v>0</v>
      </c>
      <c r="AU300" s="12"/>
      <c r="AV300" s="10">
        <f t="shared" si="259"/>
        <v>0</v>
      </c>
      <c r="AW300" s="12" t="str">
        <f t="shared" si="249"/>
        <v>0</v>
      </c>
      <c r="AX300" s="12"/>
      <c r="AY300" s="10">
        <f>+Risultati!R299+Risultati!S299</f>
        <v>0</v>
      </c>
      <c r="AZ300" s="12" t="str">
        <f t="shared" si="250"/>
        <v>0</v>
      </c>
      <c r="BA300" s="12"/>
      <c r="BB300" s="10">
        <f>+Risultati!T299</f>
        <v>0</v>
      </c>
      <c r="BC300" s="12" t="str">
        <f t="shared" si="251"/>
        <v>0</v>
      </c>
      <c r="BD300" s="12"/>
      <c r="BE300" s="10">
        <f>+Risultati!U299</f>
        <v>0</v>
      </c>
      <c r="BF300" s="12" t="str">
        <f t="shared" si="252"/>
        <v>0</v>
      </c>
      <c r="BG300" s="12"/>
      <c r="BH300" s="10">
        <f t="shared" si="260"/>
        <v>0</v>
      </c>
      <c r="BI300" s="12" t="str">
        <f t="shared" si="253"/>
        <v>0</v>
      </c>
      <c r="BK300" s="16">
        <f>IF(ISNUMBER(Risultati!X299/100),(Risultati!X299/100))</f>
        <v>0</v>
      </c>
      <c r="BL300" s="16">
        <f>IF(ISNUMBER(Risultati!Y299/100),(Risultati!Y299/100))</f>
        <v>0</v>
      </c>
      <c r="BM300" s="16">
        <f>IF(ISNUMBER(Risultati!Z299/100),(Risultati!Z299/100))</f>
        <v>0</v>
      </c>
      <c r="BN300" s="16">
        <f>IF(AND(Risultati!AY299&lt;0,calcoli!AP300&lt;0),-IF(ISNUMBER(Risultati!AA299/100),(Risultati!AA299/100)),IF(ISNUMBER(Risultati!AA299/100),(Risultati!AA299/100)))</f>
        <v>0</v>
      </c>
      <c r="BO300" s="16" t="str">
        <f t="shared" si="234"/>
        <v>0</v>
      </c>
      <c r="BP300" s="16" t="str">
        <f>IF(Risultati!AB299&gt;0,(AV300/Risultati!AB299),"0")</f>
        <v>0</v>
      </c>
      <c r="BQ300" s="16" t="str">
        <f>IF(Risultati!AG299&lt;&gt;0,(BH300/Risultati!AG299),"0")</f>
        <v>0</v>
      </c>
      <c r="BR300" s="16" t="str">
        <f t="shared" si="235"/>
        <v>0</v>
      </c>
      <c r="BS300" s="14" t="str">
        <f>IF(Risultati!AB299&gt;0,(Risultati!G299/Risultati!AB299),"0")</f>
        <v>0</v>
      </c>
      <c r="BT300" s="15" t="str">
        <f>IF(Risultati!AG299&lt;&gt;0,(Risultati!AB299/Risultati!AG299),"0")</f>
        <v>0</v>
      </c>
      <c r="BU300" s="23" t="str">
        <f>IF(AND(Risultati!G299&gt;0,(Risultati!AE299-Risultati!AF299)&gt;=0),((Risultati!AE299-Risultati!AF299)/Risultati!G299*360),"0")</f>
        <v>0</v>
      </c>
      <c r="BV300" s="21" t="str">
        <f>IF(OR(E300="abbreviato",Risultati!G299=0),"0",((Risultati!AC299+Risultati!AD299)/Risultati!G299*360))</f>
        <v>0</v>
      </c>
      <c r="BW300" s="21" t="str">
        <f>IF(OR(E300="abbreviato",Risultati!G299=0,SUM(Risultati!I299+Risultati!K299+Risultati!M299)=0),"0",(((Risultati!AH299+Risultati!AI299)/(Risultati!I299+Risultati!K299+Risultati!N299)*360)))</f>
        <v>0</v>
      </c>
      <c r="BX300" s="16" t="str">
        <f>IF(Risultati!AB299&gt;0,(+Risultati!AG299/Risultati!AB299),"0")</f>
        <v>0</v>
      </c>
      <c r="BY300" s="22" t="str">
        <f>IF(OR(E300="abbreviato",Risultati!G299=0),"0",(((Risultati!AK299-(Risultati!AL299+Risultati!AM299))/Risultati!G299)))</f>
        <v>0</v>
      </c>
      <c r="BZ300" s="16" t="str">
        <f>IF(Risultati!G299&gt;0,(Risultati!AJ299/Risultati!G299),"0")</f>
        <v>0</v>
      </c>
      <c r="CA300" s="8"/>
      <c r="CB300" s="9">
        <f>+Risultati!AP299</f>
        <v>0</v>
      </c>
      <c r="CC300" s="31" t="str">
        <f t="shared" si="261"/>
        <v>0</v>
      </c>
      <c r="CD300" s="9">
        <f>+Risultati!AQ299</f>
        <v>0</v>
      </c>
      <c r="CE300" s="31" t="str">
        <f t="shared" si="262"/>
        <v>0</v>
      </c>
      <c r="CF300" s="9">
        <f>+Risultati!AR299</f>
        <v>0</v>
      </c>
      <c r="CG300" s="31" t="str">
        <f t="shared" si="263"/>
        <v>0</v>
      </c>
      <c r="CH300" s="9">
        <f>+Risultati!AS299</f>
        <v>0</v>
      </c>
      <c r="CI300" s="31" t="str">
        <f t="shared" si="264"/>
        <v>0</v>
      </c>
      <c r="CJ300" s="9">
        <f t="shared" si="265"/>
        <v>0</v>
      </c>
      <c r="CK300" s="31" t="str">
        <f t="shared" si="266"/>
        <v>0</v>
      </c>
      <c r="CL300" s="10">
        <f>+Risultati!AE299+Risultati!AF299</f>
        <v>0</v>
      </c>
      <c r="CM300" s="31" t="str">
        <f t="shared" si="267"/>
        <v>0</v>
      </c>
      <c r="CN300" s="9">
        <f>+Risultati!AT299</f>
        <v>0</v>
      </c>
      <c r="CO300" s="31" t="str">
        <f t="shared" si="268"/>
        <v>0</v>
      </c>
      <c r="CP300" s="9">
        <f>+Risultati!AU299</f>
        <v>0</v>
      </c>
      <c r="CQ300" s="31" t="str">
        <f t="shared" si="269"/>
        <v>0</v>
      </c>
      <c r="CR300" s="9">
        <f>+Risultati!AL299</f>
        <v>0</v>
      </c>
      <c r="CS300" s="31" t="str">
        <f t="shared" si="270"/>
        <v>0</v>
      </c>
      <c r="CT300" s="9">
        <f t="shared" si="271"/>
        <v>0</v>
      </c>
      <c r="CU300" s="31" t="str">
        <f t="shared" si="272"/>
        <v>0</v>
      </c>
      <c r="CV300" s="9">
        <f>+Risultati!AX299</f>
        <v>0</v>
      </c>
      <c r="CW300" s="31" t="str">
        <f t="shared" si="273"/>
        <v>0</v>
      </c>
      <c r="CX300" s="9">
        <f t="shared" si="274"/>
        <v>0</v>
      </c>
      <c r="CY300" s="31" t="str">
        <f t="shared" si="275"/>
        <v>0</v>
      </c>
      <c r="CZ300" s="9">
        <f>+Risultati!AG299</f>
        <v>0</v>
      </c>
      <c r="DA300" s="31" t="str">
        <f t="shared" si="276"/>
        <v>0</v>
      </c>
      <c r="DB300" s="9">
        <f t="shared" si="277"/>
        <v>0</v>
      </c>
      <c r="DC300" s="31" t="str">
        <f t="shared" si="278"/>
        <v>0</v>
      </c>
      <c r="DD300" s="9">
        <f>+Risultati!AV299</f>
        <v>0</v>
      </c>
      <c r="DE300" s="31" t="str">
        <f t="shared" si="279"/>
        <v>0</v>
      </c>
      <c r="DF300" s="9">
        <f>+Risultati!AJ299</f>
        <v>0</v>
      </c>
      <c r="DG300" s="31" t="str">
        <f t="shared" si="280"/>
        <v>0</v>
      </c>
      <c r="DH300" s="9">
        <f t="shared" si="281"/>
        <v>0</v>
      </c>
      <c r="DI300" s="31" t="str">
        <f t="shared" si="282"/>
        <v>0</v>
      </c>
      <c r="DJ300" s="9">
        <f>+Risultati!AW299</f>
        <v>0</v>
      </c>
      <c r="DK300" s="31" t="str">
        <f t="shared" si="283"/>
        <v>0</v>
      </c>
      <c r="DL300" s="10">
        <f t="shared" si="254"/>
        <v>0</v>
      </c>
      <c r="DM300" s="31" t="str">
        <f t="shared" si="284"/>
        <v>0</v>
      </c>
      <c r="DO300" s="30"/>
      <c r="DP300" s="30"/>
    </row>
    <row r="301" spans="1:120" x14ac:dyDescent="0.2">
      <c r="A301" s="5"/>
      <c r="B301" s="6">
        <f>+Risultati!B300</f>
        <v>0</v>
      </c>
      <c r="C301" s="6">
        <f>+Risultati!C300</f>
        <v>0</v>
      </c>
      <c r="D301" s="26" t="str">
        <f>IF(YEAR(Risultati!D300)=1900,(MID(Risultati!$AP$1,29,4)),YEAR(Risultati!D300))</f>
        <v/>
      </c>
      <c r="E301" s="6">
        <f>+Risultati!E300</f>
        <v>0</v>
      </c>
      <c r="F301" s="8" t="e">
        <f>(LEFT(Risultati!AN300,2)&amp;"-")&amp;VLOOKUP((LEFT(Risultati!AN300,2)),ateco!$B$4:$C$93,2,FALSE)</f>
        <v>#N/A</v>
      </c>
      <c r="G301" s="8" t="str">
        <f>SUBSTITUTE((Risultati!AN300&amp;"-"&amp;Risultati!AO300),",",";")</f>
        <v>-</v>
      </c>
      <c r="I301" s="10">
        <f>+Risultati!G300</f>
        <v>0</v>
      </c>
      <c r="J301" s="11" t="str">
        <f t="shared" si="236"/>
        <v>0</v>
      </c>
      <c r="K301" s="12"/>
      <c r="L301" s="10">
        <f>+Risultati!G300+Risultati!H300</f>
        <v>0</v>
      </c>
      <c r="M301" s="11" t="str">
        <f t="shared" si="237"/>
        <v>0</v>
      </c>
      <c r="N301" s="12"/>
      <c r="O301" s="10">
        <f>+Risultati!I300+Risultati!J300</f>
        <v>0</v>
      </c>
      <c r="P301" s="11" t="str">
        <f t="shared" si="238"/>
        <v>0</v>
      </c>
      <c r="Q301" s="12"/>
      <c r="R301" s="13">
        <f t="shared" si="255"/>
        <v>0</v>
      </c>
      <c r="S301" s="11" t="str">
        <f t="shared" si="239"/>
        <v>0</v>
      </c>
      <c r="T301" s="12"/>
      <c r="U301" s="10">
        <f>+Risultati!F300-(Risultati!G300+Risultati!H300)</f>
        <v>0</v>
      </c>
      <c r="V301" s="12" t="str">
        <f t="shared" si="240"/>
        <v>0</v>
      </c>
      <c r="W301" s="12"/>
      <c r="X301" s="10">
        <f t="shared" si="256"/>
        <v>0</v>
      </c>
      <c r="Y301" s="12" t="str">
        <f t="shared" si="241"/>
        <v>0</v>
      </c>
      <c r="Z301" s="12"/>
      <c r="AA301" s="10">
        <f>+Risultati!K300</f>
        <v>0</v>
      </c>
      <c r="AB301" s="12" t="str">
        <f t="shared" si="242"/>
        <v>0</v>
      </c>
      <c r="AC301" s="12"/>
      <c r="AD301" s="10">
        <f>+Risultati!L300</f>
        <v>0</v>
      </c>
      <c r="AE301" s="12" t="str">
        <f t="shared" si="243"/>
        <v>0</v>
      </c>
      <c r="AF301" s="12"/>
      <c r="AG301" s="10">
        <f>+Risultati!M300+Risultati!P300+Risultati!Q300</f>
        <v>0</v>
      </c>
      <c r="AH301" s="12" t="str">
        <f t="shared" si="244"/>
        <v>0</v>
      </c>
      <c r="AI301" s="12"/>
      <c r="AJ301" s="13">
        <f t="shared" si="257"/>
        <v>0</v>
      </c>
      <c r="AK301" s="11" t="str">
        <f t="shared" si="245"/>
        <v>0</v>
      </c>
      <c r="AL301" s="12"/>
      <c r="AM301" s="10">
        <f>+Risultati!N300</f>
        <v>0</v>
      </c>
      <c r="AN301" s="12" t="str">
        <f t="shared" si="246"/>
        <v>0</v>
      </c>
      <c r="AO301" s="12"/>
      <c r="AP301" s="10">
        <f t="shared" si="258"/>
        <v>0</v>
      </c>
      <c r="AQ301" s="41" t="str">
        <f t="shared" si="247"/>
        <v>0</v>
      </c>
      <c r="AR301" s="12"/>
      <c r="AS301" s="10">
        <f>+Risultati!O300</f>
        <v>0</v>
      </c>
      <c r="AT301" s="12" t="str">
        <f t="shared" si="248"/>
        <v>0</v>
      </c>
      <c r="AU301" s="12"/>
      <c r="AV301" s="10">
        <f t="shared" si="259"/>
        <v>0</v>
      </c>
      <c r="AW301" s="12" t="str">
        <f t="shared" si="249"/>
        <v>0</v>
      </c>
      <c r="AX301" s="12"/>
      <c r="AY301" s="10">
        <f>+Risultati!R300+Risultati!S300</f>
        <v>0</v>
      </c>
      <c r="AZ301" s="12" t="str">
        <f t="shared" si="250"/>
        <v>0</v>
      </c>
      <c r="BA301" s="12"/>
      <c r="BB301" s="10">
        <f>+Risultati!T300</f>
        <v>0</v>
      </c>
      <c r="BC301" s="12" t="str">
        <f t="shared" si="251"/>
        <v>0</v>
      </c>
      <c r="BD301" s="12"/>
      <c r="BE301" s="10">
        <f>+Risultati!U300</f>
        <v>0</v>
      </c>
      <c r="BF301" s="12" t="str">
        <f t="shared" si="252"/>
        <v>0</v>
      </c>
      <c r="BG301" s="12"/>
      <c r="BH301" s="10">
        <f t="shared" si="260"/>
        <v>0</v>
      </c>
      <c r="BI301" s="12" t="str">
        <f t="shared" si="253"/>
        <v>0</v>
      </c>
      <c r="BK301" s="16">
        <f>IF(ISNUMBER(Risultati!X300/100),(Risultati!X300/100))</f>
        <v>0</v>
      </c>
      <c r="BL301" s="16">
        <f>IF(ISNUMBER(Risultati!Y300/100),(Risultati!Y300/100))</f>
        <v>0</v>
      </c>
      <c r="BM301" s="16">
        <f>IF(ISNUMBER(Risultati!Z300/100),(Risultati!Z300/100))</f>
        <v>0</v>
      </c>
      <c r="BN301" s="16">
        <f>IF(AND(Risultati!AY300&lt;0,calcoli!AP301&lt;0),-IF(ISNUMBER(Risultati!AA300/100),(Risultati!AA300/100)),IF(ISNUMBER(Risultati!AA300/100),(Risultati!AA300/100)))</f>
        <v>0</v>
      </c>
      <c r="BO301" s="16" t="str">
        <f t="shared" si="234"/>
        <v>0</v>
      </c>
      <c r="BP301" s="16" t="str">
        <f>IF(Risultati!AB300&gt;0,(AV301/Risultati!AB300),"0")</f>
        <v>0</v>
      </c>
      <c r="BQ301" s="16" t="str">
        <f>IF(Risultati!AG300&lt;&gt;0,(BH301/Risultati!AG300),"0")</f>
        <v>0</v>
      </c>
      <c r="BR301" s="16" t="str">
        <f t="shared" si="235"/>
        <v>0</v>
      </c>
      <c r="BS301" s="14" t="str">
        <f>IF(Risultati!AB300&gt;0,(Risultati!G300/Risultati!AB300),"0")</f>
        <v>0</v>
      </c>
      <c r="BT301" s="15" t="str">
        <f>IF(Risultati!AG300&lt;&gt;0,(Risultati!AB300/Risultati!AG300),"0")</f>
        <v>0</v>
      </c>
      <c r="BU301" s="23" t="str">
        <f>IF(AND(Risultati!G300&gt;0,(Risultati!AE300-Risultati!AF300)&gt;=0),((Risultati!AE300-Risultati!AF300)/Risultati!G300*360),"0")</f>
        <v>0</v>
      </c>
      <c r="BV301" s="21" t="str">
        <f>IF(OR(E301="abbreviato",Risultati!G300=0),"0",((Risultati!AC300+Risultati!AD300)/Risultati!G300*360))</f>
        <v>0</v>
      </c>
      <c r="BW301" s="21" t="str">
        <f>IF(OR(E301="abbreviato",Risultati!G300=0,SUM(Risultati!I300+Risultati!K300+Risultati!M300)=0),"0",(((Risultati!AH300+Risultati!AI300)/(Risultati!I300+Risultati!K300+Risultati!N300)*360)))</f>
        <v>0</v>
      </c>
      <c r="BX301" s="16" t="str">
        <f>IF(Risultati!AB300&gt;0,(+Risultati!AG300/Risultati!AB300),"0")</f>
        <v>0</v>
      </c>
      <c r="BY301" s="22" t="str">
        <f>IF(OR(E301="abbreviato",Risultati!G300=0),"0",(((Risultati!AK300-(Risultati!AL300+Risultati!AM300))/Risultati!G300)))</f>
        <v>0</v>
      </c>
      <c r="BZ301" s="16" t="str">
        <f>IF(Risultati!G300&gt;0,(Risultati!AJ300/Risultati!G300),"0")</f>
        <v>0</v>
      </c>
      <c r="CA301" s="8"/>
      <c r="CB301" s="9">
        <f>+Risultati!AP300</f>
        <v>0</v>
      </c>
      <c r="CC301" s="31" t="str">
        <f t="shared" si="261"/>
        <v>0</v>
      </c>
      <c r="CD301" s="9">
        <f>+Risultati!AQ300</f>
        <v>0</v>
      </c>
      <c r="CE301" s="31" t="str">
        <f t="shared" si="262"/>
        <v>0</v>
      </c>
      <c r="CF301" s="9">
        <f>+Risultati!AR300</f>
        <v>0</v>
      </c>
      <c r="CG301" s="31" t="str">
        <f t="shared" si="263"/>
        <v>0</v>
      </c>
      <c r="CH301" s="9">
        <f>+Risultati!AS300</f>
        <v>0</v>
      </c>
      <c r="CI301" s="31" t="str">
        <f t="shared" si="264"/>
        <v>0</v>
      </c>
      <c r="CJ301" s="9">
        <f t="shared" si="265"/>
        <v>0</v>
      </c>
      <c r="CK301" s="31" t="str">
        <f t="shared" si="266"/>
        <v>0</v>
      </c>
      <c r="CL301" s="10">
        <f>+Risultati!AE300+Risultati!AF300</f>
        <v>0</v>
      </c>
      <c r="CM301" s="31" t="str">
        <f t="shared" si="267"/>
        <v>0</v>
      </c>
      <c r="CN301" s="9">
        <f>+Risultati!AT300</f>
        <v>0</v>
      </c>
      <c r="CO301" s="31" t="str">
        <f t="shared" si="268"/>
        <v>0</v>
      </c>
      <c r="CP301" s="9">
        <f>+Risultati!AU300</f>
        <v>0</v>
      </c>
      <c r="CQ301" s="31" t="str">
        <f t="shared" si="269"/>
        <v>0</v>
      </c>
      <c r="CR301" s="9">
        <f>+Risultati!AL300</f>
        <v>0</v>
      </c>
      <c r="CS301" s="31" t="str">
        <f t="shared" si="270"/>
        <v>0</v>
      </c>
      <c r="CT301" s="9">
        <f t="shared" si="271"/>
        <v>0</v>
      </c>
      <c r="CU301" s="31" t="str">
        <f t="shared" si="272"/>
        <v>0</v>
      </c>
      <c r="CV301" s="9">
        <f>+Risultati!AX300</f>
        <v>0</v>
      </c>
      <c r="CW301" s="31" t="str">
        <f t="shared" si="273"/>
        <v>0</v>
      </c>
      <c r="CX301" s="9">
        <f t="shared" si="274"/>
        <v>0</v>
      </c>
      <c r="CY301" s="31" t="str">
        <f t="shared" si="275"/>
        <v>0</v>
      </c>
      <c r="CZ301" s="9">
        <f>+Risultati!AG300</f>
        <v>0</v>
      </c>
      <c r="DA301" s="31" t="str">
        <f t="shared" si="276"/>
        <v>0</v>
      </c>
      <c r="DB301" s="9">
        <f t="shared" si="277"/>
        <v>0</v>
      </c>
      <c r="DC301" s="31" t="str">
        <f t="shared" si="278"/>
        <v>0</v>
      </c>
      <c r="DD301" s="9">
        <f>+Risultati!AV300</f>
        <v>0</v>
      </c>
      <c r="DE301" s="31" t="str">
        <f t="shared" si="279"/>
        <v>0</v>
      </c>
      <c r="DF301" s="9">
        <f>+Risultati!AJ300</f>
        <v>0</v>
      </c>
      <c r="DG301" s="31" t="str">
        <f t="shared" si="280"/>
        <v>0</v>
      </c>
      <c r="DH301" s="9">
        <f t="shared" si="281"/>
        <v>0</v>
      </c>
      <c r="DI301" s="31" t="str">
        <f t="shared" si="282"/>
        <v>0</v>
      </c>
      <c r="DJ301" s="9">
        <f>+Risultati!AW300</f>
        <v>0</v>
      </c>
      <c r="DK301" s="31" t="str">
        <f t="shared" si="283"/>
        <v>0</v>
      </c>
      <c r="DL301" s="10">
        <f t="shared" si="254"/>
        <v>0</v>
      </c>
      <c r="DM301" s="31" t="str">
        <f t="shared" si="284"/>
        <v>0</v>
      </c>
      <c r="DO301" s="30"/>
      <c r="DP301" s="30"/>
    </row>
    <row r="302" spans="1:120" x14ac:dyDescent="0.2">
      <c r="A302" s="5"/>
      <c r="B302" s="6">
        <f>+Risultati!B301</f>
        <v>0</v>
      </c>
      <c r="C302" s="6">
        <f>+Risultati!C301</f>
        <v>0</v>
      </c>
      <c r="D302" s="26" t="str">
        <f>IF(YEAR(Risultati!D301)=1900,(MID(Risultati!$AP$1,29,4)),YEAR(Risultati!D301))</f>
        <v/>
      </c>
      <c r="E302" s="6">
        <f>+Risultati!E301</f>
        <v>0</v>
      </c>
      <c r="F302" s="8" t="e">
        <f>(LEFT(Risultati!AN301,2)&amp;"-")&amp;VLOOKUP((LEFT(Risultati!AN301,2)),ateco!$B$4:$C$93,2,FALSE)</f>
        <v>#N/A</v>
      </c>
      <c r="G302" s="8" t="str">
        <f>SUBSTITUTE((Risultati!AN301&amp;"-"&amp;Risultati!AO301),",",";")</f>
        <v>-</v>
      </c>
      <c r="I302" s="10">
        <f>+Risultati!G301</f>
        <v>0</v>
      </c>
      <c r="J302" s="11" t="str">
        <f t="shared" si="236"/>
        <v>0</v>
      </c>
      <c r="K302" s="12"/>
      <c r="L302" s="10">
        <f>+Risultati!G301+Risultati!H301</f>
        <v>0</v>
      </c>
      <c r="M302" s="11" t="str">
        <f t="shared" si="237"/>
        <v>0</v>
      </c>
      <c r="N302" s="12"/>
      <c r="O302" s="10">
        <f>+Risultati!I301+Risultati!J301</f>
        <v>0</v>
      </c>
      <c r="P302" s="11" t="str">
        <f t="shared" si="238"/>
        <v>0</v>
      </c>
      <c r="Q302" s="12"/>
      <c r="R302" s="13">
        <f t="shared" si="255"/>
        <v>0</v>
      </c>
      <c r="S302" s="11" t="str">
        <f t="shared" si="239"/>
        <v>0</v>
      </c>
      <c r="T302" s="12"/>
      <c r="U302" s="10">
        <f>+Risultati!F301-(Risultati!G301+Risultati!H301)</f>
        <v>0</v>
      </c>
      <c r="V302" s="12" t="str">
        <f t="shared" si="240"/>
        <v>0</v>
      </c>
      <c r="W302" s="12"/>
      <c r="X302" s="10">
        <f t="shared" si="256"/>
        <v>0</v>
      </c>
      <c r="Y302" s="12" t="str">
        <f t="shared" si="241"/>
        <v>0</v>
      </c>
      <c r="Z302" s="12"/>
      <c r="AA302" s="10">
        <f>+Risultati!K301</f>
        <v>0</v>
      </c>
      <c r="AB302" s="12" t="str">
        <f t="shared" si="242"/>
        <v>0</v>
      </c>
      <c r="AC302" s="12"/>
      <c r="AD302" s="10">
        <f>+Risultati!L301</f>
        <v>0</v>
      </c>
      <c r="AE302" s="12" t="str">
        <f t="shared" si="243"/>
        <v>0</v>
      </c>
      <c r="AF302" s="12"/>
      <c r="AG302" s="10">
        <f>+Risultati!M301+Risultati!P301+Risultati!Q301</f>
        <v>0</v>
      </c>
      <c r="AH302" s="12" t="str">
        <f t="shared" si="244"/>
        <v>0</v>
      </c>
      <c r="AI302" s="12"/>
      <c r="AJ302" s="13">
        <f t="shared" si="257"/>
        <v>0</v>
      </c>
      <c r="AK302" s="11" t="str">
        <f t="shared" si="245"/>
        <v>0</v>
      </c>
      <c r="AL302" s="12"/>
      <c r="AM302" s="10">
        <f>+Risultati!N301</f>
        <v>0</v>
      </c>
      <c r="AN302" s="12" t="str">
        <f t="shared" si="246"/>
        <v>0</v>
      </c>
      <c r="AO302" s="12"/>
      <c r="AP302" s="10">
        <f t="shared" si="258"/>
        <v>0</v>
      </c>
      <c r="AQ302" s="41" t="str">
        <f t="shared" si="247"/>
        <v>0</v>
      </c>
      <c r="AR302" s="12"/>
      <c r="AS302" s="10">
        <f>+Risultati!O301</f>
        <v>0</v>
      </c>
      <c r="AT302" s="12" t="str">
        <f t="shared" si="248"/>
        <v>0</v>
      </c>
      <c r="AU302" s="12"/>
      <c r="AV302" s="10">
        <f t="shared" si="259"/>
        <v>0</v>
      </c>
      <c r="AW302" s="12" t="str">
        <f t="shared" si="249"/>
        <v>0</v>
      </c>
      <c r="AX302" s="12"/>
      <c r="AY302" s="10">
        <f>+Risultati!R301+Risultati!S301</f>
        <v>0</v>
      </c>
      <c r="AZ302" s="12" t="str">
        <f t="shared" si="250"/>
        <v>0</v>
      </c>
      <c r="BA302" s="12"/>
      <c r="BB302" s="10">
        <f>+Risultati!T301</f>
        <v>0</v>
      </c>
      <c r="BC302" s="12" t="str">
        <f t="shared" si="251"/>
        <v>0</v>
      </c>
      <c r="BD302" s="12"/>
      <c r="BE302" s="10">
        <f>+Risultati!U301</f>
        <v>0</v>
      </c>
      <c r="BF302" s="12" t="str">
        <f t="shared" si="252"/>
        <v>0</v>
      </c>
      <c r="BG302" s="12"/>
      <c r="BH302" s="10">
        <f t="shared" si="260"/>
        <v>0</v>
      </c>
      <c r="BI302" s="12" t="str">
        <f t="shared" si="253"/>
        <v>0</v>
      </c>
      <c r="BK302" s="16">
        <f>IF(ISNUMBER(Risultati!X301/100),(Risultati!X301/100))</f>
        <v>0</v>
      </c>
      <c r="BL302" s="16">
        <f>IF(ISNUMBER(Risultati!Y301/100),(Risultati!Y301/100))</f>
        <v>0</v>
      </c>
      <c r="BM302" s="16">
        <f>IF(ISNUMBER(Risultati!Z301/100),(Risultati!Z301/100))</f>
        <v>0</v>
      </c>
      <c r="BN302" s="16">
        <f>IF(AND(Risultati!AY301&lt;0,calcoli!AP302&lt;0),-IF(ISNUMBER(Risultati!AA301/100),(Risultati!AA301/100)),IF(ISNUMBER(Risultati!AA301/100),(Risultati!AA301/100)))</f>
        <v>0</v>
      </c>
      <c r="BO302" s="16" t="str">
        <f t="shared" si="234"/>
        <v>0</v>
      </c>
      <c r="BP302" s="16" t="str">
        <f>IF(Risultati!AB301&gt;0,(AV302/Risultati!AB301),"0")</f>
        <v>0</v>
      </c>
      <c r="BQ302" s="16" t="str">
        <f>IF(Risultati!AG301&lt;&gt;0,(BH302/Risultati!AG301),"0")</f>
        <v>0</v>
      </c>
      <c r="BR302" s="16" t="str">
        <f t="shared" si="235"/>
        <v>0</v>
      </c>
      <c r="BS302" s="14" t="str">
        <f>IF(Risultati!AB301&gt;0,(Risultati!G301/Risultati!AB301),"0")</f>
        <v>0</v>
      </c>
      <c r="BT302" s="15" t="str">
        <f>IF(Risultati!AG301&lt;&gt;0,(Risultati!AB301/Risultati!AG301),"0")</f>
        <v>0</v>
      </c>
      <c r="BU302" s="23" t="str">
        <f>IF(AND(Risultati!G301&gt;0,(Risultati!AE301-Risultati!AF301)&gt;=0),((Risultati!AE301-Risultati!AF301)/Risultati!G301*360),"0")</f>
        <v>0</v>
      </c>
      <c r="BV302" s="21" t="str">
        <f>IF(OR(E302="abbreviato",Risultati!G301=0),"0",((Risultati!AC301+Risultati!AD301)/Risultati!G301*360))</f>
        <v>0</v>
      </c>
      <c r="BW302" s="21" t="str">
        <f>IF(OR(E302="abbreviato",Risultati!G301=0,SUM(Risultati!I301+Risultati!K301+Risultati!M301)=0),"0",(((Risultati!AH301+Risultati!AI301)/(Risultati!I301+Risultati!K301+Risultati!N301)*360)))</f>
        <v>0</v>
      </c>
      <c r="BX302" s="16" t="str">
        <f>IF(Risultati!AB301&gt;0,(+Risultati!AG301/Risultati!AB301),"0")</f>
        <v>0</v>
      </c>
      <c r="BY302" s="22" t="str">
        <f>IF(OR(E302="abbreviato",Risultati!G301=0),"0",(((Risultati!AK301-(Risultati!AL301+Risultati!AM301))/Risultati!G301)))</f>
        <v>0</v>
      </c>
      <c r="BZ302" s="16" t="str">
        <f>IF(Risultati!G301&gt;0,(Risultati!AJ301/Risultati!G301),"0")</f>
        <v>0</v>
      </c>
      <c r="CA302" s="8"/>
      <c r="CB302" s="9">
        <f>+Risultati!AP301</f>
        <v>0</v>
      </c>
      <c r="CC302" s="31" t="str">
        <f t="shared" si="261"/>
        <v>0</v>
      </c>
      <c r="CD302" s="9">
        <f>+Risultati!AQ301</f>
        <v>0</v>
      </c>
      <c r="CE302" s="31" t="str">
        <f t="shared" si="262"/>
        <v>0</v>
      </c>
      <c r="CF302" s="9">
        <f>+Risultati!AR301</f>
        <v>0</v>
      </c>
      <c r="CG302" s="31" t="str">
        <f t="shared" si="263"/>
        <v>0</v>
      </c>
      <c r="CH302" s="9">
        <f>+Risultati!AS301</f>
        <v>0</v>
      </c>
      <c r="CI302" s="31" t="str">
        <f t="shared" si="264"/>
        <v>0</v>
      </c>
      <c r="CJ302" s="9">
        <f t="shared" si="265"/>
        <v>0</v>
      </c>
      <c r="CK302" s="31" t="str">
        <f t="shared" si="266"/>
        <v>0</v>
      </c>
      <c r="CL302" s="10">
        <f>+Risultati!AE301+Risultati!AF301</f>
        <v>0</v>
      </c>
      <c r="CM302" s="31" t="str">
        <f t="shared" si="267"/>
        <v>0</v>
      </c>
      <c r="CN302" s="9">
        <f>+Risultati!AT301</f>
        <v>0</v>
      </c>
      <c r="CO302" s="31" t="str">
        <f t="shared" si="268"/>
        <v>0</v>
      </c>
      <c r="CP302" s="9">
        <f>+Risultati!AU301</f>
        <v>0</v>
      </c>
      <c r="CQ302" s="31" t="str">
        <f t="shared" si="269"/>
        <v>0</v>
      </c>
      <c r="CR302" s="9">
        <f>+Risultati!AL301</f>
        <v>0</v>
      </c>
      <c r="CS302" s="31" t="str">
        <f t="shared" si="270"/>
        <v>0</v>
      </c>
      <c r="CT302" s="9">
        <f t="shared" si="271"/>
        <v>0</v>
      </c>
      <c r="CU302" s="31" t="str">
        <f t="shared" si="272"/>
        <v>0</v>
      </c>
      <c r="CV302" s="9">
        <f>+Risultati!AX301</f>
        <v>0</v>
      </c>
      <c r="CW302" s="31" t="str">
        <f t="shared" si="273"/>
        <v>0</v>
      </c>
      <c r="CX302" s="9">
        <f t="shared" si="274"/>
        <v>0</v>
      </c>
      <c r="CY302" s="31" t="str">
        <f t="shared" si="275"/>
        <v>0</v>
      </c>
      <c r="CZ302" s="9">
        <f>+Risultati!AG301</f>
        <v>0</v>
      </c>
      <c r="DA302" s="31" t="str">
        <f t="shared" si="276"/>
        <v>0</v>
      </c>
      <c r="DB302" s="9">
        <f t="shared" si="277"/>
        <v>0</v>
      </c>
      <c r="DC302" s="31" t="str">
        <f t="shared" si="278"/>
        <v>0</v>
      </c>
      <c r="DD302" s="9">
        <f>+Risultati!AV301</f>
        <v>0</v>
      </c>
      <c r="DE302" s="31" t="str">
        <f t="shared" si="279"/>
        <v>0</v>
      </c>
      <c r="DF302" s="9">
        <f>+Risultati!AJ301</f>
        <v>0</v>
      </c>
      <c r="DG302" s="31" t="str">
        <f t="shared" si="280"/>
        <v>0</v>
      </c>
      <c r="DH302" s="9">
        <f t="shared" si="281"/>
        <v>0</v>
      </c>
      <c r="DI302" s="31" t="str">
        <f t="shared" si="282"/>
        <v>0</v>
      </c>
      <c r="DJ302" s="9">
        <f>+Risultati!AW301</f>
        <v>0</v>
      </c>
      <c r="DK302" s="31" t="str">
        <f t="shared" si="283"/>
        <v>0</v>
      </c>
      <c r="DL302" s="10">
        <f t="shared" si="254"/>
        <v>0</v>
      </c>
      <c r="DM302" s="31" t="str">
        <f t="shared" si="284"/>
        <v>0</v>
      </c>
      <c r="DO302" s="30"/>
      <c r="DP302" s="30"/>
    </row>
    <row r="303" spans="1:120" x14ac:dyDescent="0.2">
      <c r="A303" s="5"/>
      <c r="B303" s="6">
        <f>+Risultati!B302</f>
        <v>0</v>
      </c>
      <c r="C303" s="6">
        <f>+Risultati!C302</f>
        <v>0</v>
      </c>
      <c r="D303" s="26" t="str">
        <f>IF(YEAR(Risultati!D302)=1900,(MID(Risultati!$AP$1,29,4)),YEAR(Risultati!D302))</f>
        <v/>
      </c>
      <c r="E303" s="6">
        <f>+Risultati!E302</f>
        <v>0</v>
      </c>
      <c r="F303" s="8" t="e">
        <f>(LEFT(Risultati!AN302,2)&amp;"-")&amp;VLOOKUP((LEFT(Risultati!AN302,2)),ateco!$B$4:$C$93,2,FALSE)</f>
        <v>#N/A</v>
      </c>
      <c r="G303" s="8" t="str">
        <f>SUBSTITUTE((Risultati!AN302&amp;"-"&amp;Risultati!AO302),",",";")</f>
        <v>-</v>
      </c>
      <c r="I303" s="10">
        <f>+Risultati!G302</f>
        <v>0</v>
      </c>
      <c r="J303" s="11" t="str">
        <f t="shared" si="236"/>
        <v>0</v>
      </c>
      <c r="K303" s="12"/>
      <c r="L303" s="10">
        <f>+Risultati!G302+Risultati!H302</f>
        <v>0</v>
      </c>
      <c r="M303" s="11" t="str">
        <f t="shared" si="237"/>
        <v>0</v>
      </c>
      <c r="N303" s="12"/>
      <c r="O303" s="10">
        <f>+Risultati!I302+Risultati!J302</f>
        <v>0</v>
      </c>
      <c r="P303" s="11" t="str">
        <f t="shared" si="238"/>
        <v>0</v>
      </c>
      <c r="Q303" s="12"/>
      <c r="R303" s="13">
        <f t="shared" si="255"/>
        <v>0</v>
      </c>
      <c r="S303" s="11" t="str">
        <f t="shared" si="239"/>
        <v>0</v>
      </c>
      <c r="T303" s="12"/>
      <c r="U303" s="10">
        <f>+Risultati!F302-(Risultati!G302+Risultati!H302)</f>
        <v>0</v>
      </c>
      <c r="V303" s="12" t="str">
        <f t="shared" si="240"/>
        <v>0</v>
      </c>
      <c r="W303" s="12"/>
      <c r="X303" s="10">
        <f t="shared" si="256"/>
        <v>0</v>
      </c>
      <c r="Y303" s="12" t="str">
        <f t="shared" si="241"/>
        <v>0</v>
      </c>
      <c r="Z303" s="12"/>
      <c r="AA303" s="10">
        <f>+Risultati!K302</f>
        <v>0</v>
      </c>
      <c r="AB303" s="12" t="str">
        <f t="shared" si="242"/>
        <v>0</v>
      </c>
      <c r="AC303" s="12"/>
      <c r="AD303" s="10">
        <f>+Risultati!L302</f>
        <v>0</v>
      </c>
      <c r="AE303" s="12" t="str">
        <f t="shared" si="243"/>
        <v>0</v>
      </c>
      <c r="AF303" s="12"/>
      <c r="AG303" s="10">
        <f>+Risultati!M302+Risultati!P302+Risultati!Q302</f>
        <v>0</v>
      </c>
      <c r="AH303" s="12" t="str">
        <f t="shared" si="244"/>
        <v>0</v>
      </c>
      <c r="AI303" s="12"/>
      <c r="AJ303" s="13">
        <f t="shared" si="257"/>
        <v>0</v>
      </c>
      <c r="AK303" s="11" t="str">
        <f t="shared" si="245"/>
        <v>0</v>
      </c>
      <c r="AL303" s="12"/>
      <c r="AM303" s="10">
        <f>+Risultati!N302</f>
        <v>0</v>
      </c>
      <c r="AN303" s="12" t="str">
        <f t="shared" si="246"/>
        <v>0</v>
      </c>
      <c r="AO303" s="12"/>
      <c r="AP303" s="10">
        <f t="shared" si="258"/>
        <v>0</v>
      </c>
      <c r="AQ303" s="41" t="str">
        <f t="shared" si="247"/>
        <v>0</v>
      </c>
      <c r="AR303" s="12"/>
      <c r="AS303" s="10">
        <f>+Risultati!O302</f>
        <v>0</v>
      </c>
      <c r="AT303" s="12" t="str">
        <f t="shared" si="248"/>
        <v>0</v>
      </c>
      <c r="AU303" s="12"/>
      <c r="AV303" s="10">
        <f t="shared" si="259"/>
        <v>0</v>
      </c>
      <c r="AW303" s="12" t="str">
        <f t="shared" si="249"/>
        <v>0</v>
      </c>
      <c r="AX303" s="12"/>
      <c r="AY303" s="10">
        <f>+Risultati!R302+Risultati!S302</f>
        <v>0</v>
      </c>
      <c r="AZ303" s="12" t="str">
        <f t="shared" si="250"/>
        <v>0</v>
      </c>
      <c r="BA303" s="12"/>
      <c r="BB303" s="10">
        <f>+Risultati!T302</f>
        <v>0</v>
      </c>
      <c r="BC303" s="12" t="str">
        <f t="shared" si="251"/>
        <v>0</v>
      </c>
      <c r="BD303" s="12"/>
      <c r="BE303" s="10">
        <f>+Risultati!U302</f>
        <v>0</v>
      </c>
      <c r="BF303" s="12" t="str">
        <f t="shared" si="252"/>
        <v>0</v>
      </c>
      <c r="BG303" s="12"/>
      <c r="BH303" s="10">
        <f t="shared" si="260"/>
        <v>0</v>
      </c>
      <c r="BI303" s="12" t="str">
        <f t="shared" si="253"/>
        <v>0</v>
      </c>
      <c r="BK303" s="16">
        <f>IF(ISNUMBER(Risultati!X302/100),(Risultati!X302/100))</f>
        <v>0</v>
      </c>
      <c r="BL303" s="16">
        <f>IF(ISNUMBER(Risultati!Y302/100),(Risultati!Y302/100))</f>
        <v>0</v>
      </c>
      <c r="BM303" s="16">
        <f>IF(ISNUMBER(Risultati!Z302/100),(Risultati!Z302/100))</f>
        <v>0</v>
      </c>
      <c r="BN303" s="16">
        <f>IF(AND(Risultati!AY302&lt;0,calcoli!AP303&lt;0),-IF(ISNUMBER(Risultati!AA302/100),(Risultati!AA302/100)),IF(ISNUMBER(Risultati!AA302/100),(Risultati!AA302/100)))</f>
        <v>0</v>
      </c>
      <c r="BO303" s="16" t="str">
        <f t="shared" si="234"/>
        <v>0</v>
      </c>
      <c r="BP303" s="16" t="str">
        <f>IF(Risultati!AB302&gt;0,(AV303/Risultati!AB302),"0")</f>
        <v>0</v>
      </c>
      <c r="BQ303" s="16" t="str">
        <f>IF(Risultati!AG302&lt;&gt;0,(BH303/Risultati!AG302),"0")</f>
        <v>0</v>
      </c>
      <c r="BR303" s="16" t="str">
        <f t="shared" si="235"/>
        <v>0</v>
      </c>
      <c r="BS303" s="14" t="str">
        <f>IF(Risultati!AB302&gt;0,(Risultati!G302/Risultati!AB302),"0")</f>
        <v>0</v>
      </c>
      <c r="BT303" s="15" t="str">
        <f>IF(Risultati!AG302&lt;&gt;0,(Risultati!AB302/Risultati!AG302),"0")</f>
        <v>0</v>
      </c>
      <c r="BU303" s="23" t="str">
        <f>IF(AND(Risultati!G302&gt;0,(Risultati!AE302-Risultati!AF302)&gt;=0),((Risultati!AE302-Risultati!AF302)/Risultati!G302*360),"0")</f>
        <v>0</v>
      </c>
      <c r="BV303" s="21" t="str">
        <f>IF(OR(E303="abbreviato",Risultati!G302=0),"0",((Risultati!AC302+Risultati!AD302)/Risultati!G302*360))</f>
        <v>0</v>
      </c>
      <c r="BW303" s="21" t="str">
        <f>IF(OR(E303="abbreviato",Risultati!G302=0,SUM(Risultati!I302+Risultati!K302+Risultati!M302)=0),"0",(((Risultati!AH302+Risultati!AI302)/(Risultati!I302+Risultati!K302+Risultati!N302)*360)))</f>
        <v>0</v>
      </c>
      <c r="BX303" s="16" t="str">
        <f>IF(Risultati!AB302&gt;0,(+Risultati!AG302/Risultati!AB302),"0")</f>
        <v>0</v>
      </c>
      <c r="BY303" s="22" t="str">
        <f>IF(OR(E303="abbreviato",Risultati!G302=0),"0",(((Risultati!AK302-(Risultati!AL302+Risultati!AM302))/Risultati!G302)))</f>
        <v>0</v>
      </c>
      <c r="BZ303" s="16" t="str">
        <f>IF(Risultati!G302&gt;0,(Risultati!AJ302/Risultati!G302),"0")</f>
        <v>0</v>
      </c>
      <c r="CA303" s="8"/>
      <c r="CB303" s="9">
        <f>+Risultati!AP302</f>
        <v>0</v>
      </c>
      <c r="CC303" s="31" t="str">
        <f t="shared" si="261"/>
        <v>0</v>
      </c>
      <c r="CD303" s="9">
        <f>+Risultati!AQ302</f>
        <v>0</v>
      </c>
      <c r="CE303" s="31" t="str">
        <f t="shared" si="262"/>
        <v>0</v>
      </c>
      <c r="CF303" s="9">
        <f>+Risultati!AR302</f>
        <v>0</v>
      </c>
      <c r="CG303" s="31" t="str">
        <f t="shared" si="263"/>
        <v>0</v>
      </c>
      <c r="CH303" s="9">
        <f>+Risultati!AS302</f>
        <v>0</v>
      </c>
      <c r="CI303" s="31" t="str">
        <f t="shared" si="264"/>
        <v>0</v>
      </c>
      <c r="CJ303" s="9">
        <f t="shared" si="265"/>
        <v>0</v>
      </c>
      <c r="CK303" s="31" t="str">
        <f t="shared" si="266"/>
        <v>0</v>
      </c>
      <c r="CL303" s="10">
        <f>+Risultati!AE302+Risultati!AF302</f>
        <v>0</v>
      </c>
      <c r="CM303" s="31" t="str">
        <f t="shared" si="267"/>
        <v>0</v>
      </c>
      <c r="CN303" s="9">
        <f>+Risultati!AT302</f>
        <v>0</v>
      </c>
      <c r="CO303" s="31" t="str">
        <f t="shared" si="268"/>
        <v>0</v>
      </c>
      <c r="CP303" s="9">
        <f>+Risultati!AU302</f>
        <v>0</v>
      </c>
      <c r="CQ303" s="31" t="str">
        <f t="shared" si="269"/>
        <v>0</v>
      </c>
      <c r="CR303" s="9">
        <f>+Risultati!AL302</f>
        <v>0</v>
      </c>
      <c r="CS303" s="31" t="str">
        <f t="shared" si="270"/>
        <v>0</v>
      </c>
      <c r="CT303" s="9">
        <f t="shared" si="271"/>
        <v>0</v>
      </c>
      <c r="CU303" s="31" t="str">
        <f t="shared" si="272"/>
        <v>0</v>
      </c>
      <c r="CV303" s="9">
        <f>+Risultati!AX302</f>
        <v>0</v>
      </c>
      <c r="CW303" s="31" t="str">
        <f t="shared" si="273"/>
        <v>0</v>
      </c>
      <c r="CX303" s="9">
        <f t="shared" si="274"/>
        <v>0</v>
      </c>
      <c r="CY303" s="31" t="str">
        <f t="shared" si="275"/>
        <v>0</v>
      </c>
      <c r="CZ303" s="9">
        <f>+Risultati!AG302</f>
        <v>0</v>
      </c>
      <c r="DA303" s="31" t="str">
        <f t="shared" si="276"/>
        <v>0</v>
      </c>
      <c r="DB303" s="9">
        <f t="shared" si="277"/>
        <v>0</v>
      </c>
      <c r="DC303" s="31" t="str">
        <f t="shared" si="278"/>
        <v>0</v>
      </c>
      <c r="DD303" s="9">
        <f>+Risultati!AV302</f>
        <v>0</v>
      </c>
      <c r="DE303" s="31" t="str">
        <f t="shared" si="279"/>
        <v>0</v>
      </c>
      <c r="DF303" s="9">
        <f>+Risultati!AJ302</f>
        <v>0</v>
      </c>
      <c r="DG303" s="31" t="str">
        <f t="shared" si="280"/>
        <v>0</v>
      </c>
      <c r="DH303" s="9">
        <f t="shared" si="281"/>
        <v>0</v>
      </c>
      <c r="DI303" s="31" t="str">
        <f t="shared" si="282"/>
        <v>0</v>
      </c>
      <c r="DJ303" s="9">
        <f>+Risultati!AW302</f>
        <v>0</v>
      </c>
      <c r="DK303" s="31" t="str">
        <f t="shared" si="283"/>
        <v>0</v>
      </c>
      <c r="DL303" s="10">
        <f t="shared" si="254"/>
        <v>0</v>
      </c>
      <c r="DM303" s="31" t="str">
        <f t="shared" si="284"/>
        <v>0</v>
      </c>
      <c r="DO303" s="30"/>
      <c r="DP303" s="30"/>
    </row>
    <row r="304" spans="1:120" x14ac:dyDescent="0.2">
      <c r="A304" s="5"/>
      <c r="B304" s="6">
        <f>+Risultati!B303</f>
        <v>0</v>
      </c>
      <c r="C304" s="6">
        <f>+Risultati!C303</f>
        <v>0</v>
      </c>
      <c r="D304" s="26" t="str">
        <f>IF(YEAR(Risultati!D303)=1900,(MID(Risultati!$AP$1,29,4)),YEAR(Risultati!D303))</f>
        <v/>
      </c>
      <c r="E304" s="6">
        <f>+Risultati!E303</f>
        <v>0</v>
      </c>
      <c r="F304" s="8" t="e">
        <f>(LEFT(Risultati!AN303,2)&amp;"-")&amp;VLOOKUP((LEFT(Risultati!AN303,2)),ateco!$B$4:$C$93,2,FALSE)</f>
        <v>#N/A</v>
      </c>
      <c r="G304" s="8" t="str">
        <f>SUBSTITUTE((Risultati!AN303&amp;"-"&amp;Risultati!AO303),",",";")</f>
        <v>-</v>
      </c>
      <c r="I304" s="10">
        <f>+Risultati!G303</f>
        <v>0</v>
      </c>
      <c r="J304" s="11" t="str">
        <f t="shared" si="236"/>
        <v>0</v>
      </c>
      <c r="K304" s="12"/>
      <c r="L304" s="10">
        <f>+Risultati!G303+Risultati!H303</f>
        <v>0</v>
      </c>
      <c r="M304" s="11" t="str">
        <f t="shared" si="237"/>
        <v>0</v>
      </c>
      <c r="N304" s="12"/>
      <c r="O304" s="10">
        <f>+Risultati!I303+Risultati!J303</f>
        <v>0</v>
      </c>
      <c r="P304" s="11" t="str">
        <f t="shared" si="238"/>
        <v>0</v>
      </c>
      <c r="Q304" s="12"/>
      <c r="R304" s="13">
        <f t="shared" si="255"/>
        <v>0</v>
      </c>
      <c r="S304" s="11" t="str">
        <f t="shared" si="239"/>
        <v>0</v>
      </c>
      <c r="T304" s="12"/>
      <c r="U304" s="10">
        <f>+Risultati!F303-(Risultati!G303+Risultati!H303)</f>
        <v>0</v>
      </c>
      <c r="V304" s="12" t="str">
        <f t="shared" si="240"/>
        <v>0</v>
      </c>
      <c r="W304" s="12"/>
      <c r="X304" s="10">
        <f t="shared" si="256"/>
        <v>0</v>
      </c>
      <c r="Y304" s="12" t="str">
        <f t="shared" si="241"/>
        <v>0</v>
      </c>
      <c r="Z304" s="12"/>
      <c r="AA304" s="10">
        <f>+Risultati!K303</f>
        <v>0</v>
      </c>
      <c r="AB304" s="12" t="str">
        <f t="shared" si="242"/>
        <v>0</v>
      </c>
      <c r="AC304" s="12"/>
      <c r="AD304" s="10">
        <f>+Risultati!L303</f>
        <v>0</v>
      </c>
      <c r="AE304" s="12" t="str">
        <f t="shared" si="243"/>
        <v>0</v>
      </c>
      <c r="AF304" s="12"/>
      <c r="AG304" s="10">
        <f>+Risultati!M303+Risultati!P303+Risultati!Q303</f>
        <v>0</v>
      </c>
      <c r="AH304" s="12" t="str">
        <f t="shared" si="244"/>
        <v>0</v>
      </c>
      <c r="AI304" s="12"/>
      <c r="AJ304" s="13">
        <f t="shared" si="257"/>
        <v>0</v>
      </c>
      <c r="AK304" s="11" t="str">
        <f t="shared" si="245"/>
        <v>0</v>
      </c>
      <c r="AL304" s="12"/>
      <c r="AM304" s="10">
        <f>+Risultati!N303</f>
        <v>0</v>
      </c>
      <c r="AN304" s="12" t="str">
        <f t="shared" si="246"/>
        <v>0</v>
      </c>
      <c r="AO304" s="12"/>
      <c r="AP304" s="10">
        <f t="shared" si="258"/>
        <v>0</v>
      </c>
      <c r="AQ304" s="41" t="str">
        <f t="shared" si="247"/>
        <v>0</v>
      </c>
      <c r="AR304" s="12"/>
      <c r="AS304" s="10">
        <f>+Risultati!O303</f>
        <v>0</v>
      </c>
      <c r="AT304" s="12" t="str">
        <f t="shared" si="248"/>
        <v>0</v>
      </c>
      <c r="AU304" s="12"/>
      <c r="AV304" s="10">
        <f t="shared" si="259"/>
        <v>0</v>
      </c>
      <c r="AW304" s="12" t="str">
        <f t="shared" si="249"/>
        <v>0</v>
      </c>
      <c r="AX304" s="12"/>
      <c r="AY304" s="10">
        <f>+Risultati!R303+Risultati!S303</f>
        <v>0</v>
      </c>
      <c r="AZ304" s="12" t="str">
        <f t="shared" si="250"/>
        <v>0</v>
      </c>
      <c r="BA304" s="12"/>
      <c r="BB304" s="10">
        <f>+Risultati!T303</f>
        <v>0</v>
      </c>
      <c r="BC304" s="12" t="str">
        <f t="shared" si="251"/>
        <v>0</v>
      </c>
      <c r="BD304" s="12"/>
      <c r="BE304" s="10">
        <f>+Risultati!U303</f>
        <v>0</v>
      </c>
      <c r="BF304" s="12" t="str">
        <f t="shared" si="252"/>
        <v>0</v>
      </c>
      <c r="BG304" s="12"/>
      <c r="BH304" s="10">
        <f t="shared" si="260"/>
        <v>0</v>
      </c>
      <c r="BI304" s="12" t="str">
        <f t="shared" si="253"/>
        <v>0</v>
      </c>
      <c r="BK304" s="16">
        <f>IF(ISNUMBER(Risultati!X303/100),(Risultati!X303/100))</f>
        <v>0</v>
      </c>
      <c r="BL304" s="16">
        <f>IF(ISNUMBER(Risultati!Y303/100),(Risultati!Y303/100))</f>
        <v>0</v>
      </c>
      <c r="BM304" s="16">
        <f>IF(ISNUMBER(Risultati!Z303/100),(Risultati!Z303/100))</f>
        <v>0</v>
      </c>
      <c r="BN304" s="16">
        <f>IF(AND(Risultati!AY303&lt;0,calcoli!AP304&lt;0),-IF(ISNUMBER(Risultati!AA303/100),(Risultati!AA303/100)),IF(ISNUMBER(Risultati!AA303/100),(Risultati!AA303/100)))</f>
        <v>0</v>
      </c>
      <c r="BO304" s="16" t="str">
        <f t="shared" si="234"/>
        <v>0</v>
      </c>
      <c r="BP304" s="16" t="str">
        <f>IF(Risultati!AB303&gt;0,(AV304/Risultati!AB303),"0")</f>
        <v>0</v>
      </c>
      <c r="BQ304" s="16" t="str">
        <f>IF(Risultati!AG303&lt;&gt;0,(BH304/Risultati!AG303),"0")</f>
        <v>0</v>
      </c>
      <c r="BR304" s="16" t="str">
        <f t="shared" si="235"/>
        <v>0</v>
      </c>
      <c r="BS304" s="14" t="str">
        <f>IF(Risultati!AB303&gt;0,(Risultati!G303/Risultati!AB303),"0")</f>
        <v>0</v>
      </c>
      <c r="BT304" s="15" t="str">
        <f>IF(Risultati!AG303&lt;&gt;0,(Risultati!AB303/Risultati!AG303),"0")</f>
        <v>0</v>
      </c>
      <c r="BU304" s="23" t="str">
        <f>IF(AND(Risultati!G303&gt;0,(Risultati!AE303-Risultati!AF303)&gt;=0),((Risultati!AE303-Risultati!AF303)/Risultati!G303*360),"0")</f>
        <v>0</v>
      </c>
      <c r="BV304" s="21" t="str">
        <f>IF(OR(E304="abbreviato",Risultati!G303=0),"0",((Risultati!AC303+Risultati!AD303)/Risultati!G303*360))</f>
        <v>0</v>
      </c>
      <c r="BW304" s="21" t="str">
        <f>IF(OR(E304="abbreviato",Risultati!G303=0,SUM(Risultati!I303+Risultati!K303+Risultati!M303)=0),"0",(((Risultati!AH303+Risultati!AI303)/(Risultati!I303+Risultati!K303+Risultati!N303)*360)))</f>
        <v>0</v>
      </c>
      <c r="BX304" s="16" t="str">
        <f>IF(Risultati!AB303&gt;0,(+Risultati!AG303/Risultati!AB303),"0")</f>
        <v>0</v>
      </c>
      <c r="BY304" s="22" t="str">
        <f>IF(OR(E304="abbreviato",Risultati!G303=0),"0",(((Risultati!AK303-(Risultati!AL303+Risultati!AM303))/Risultati!G303)))</f>
        <v>0</v>
      </c>
      <c r="BZ304" s="16" t="str">
        <f>IF(Risultati!G303&gt;0,(Risultati!AJ303/Risultati!G303),"0")</f>
        <v>0</v>
      </c>
      <c r="CA304" s="8"/>
      <c r="CB304" s="9">
        <f>+Risultati!AP303</f>
        <v>0</v>
      </c>
      <c r="CC304" s="31" t="str">
        <f t="shared" si="261"/>
        <v>0</v>
      </c>
      <c r="CD304" s="9">
        <f>+Risultati!AQ303</f>
        <v>0</v>
      </c>
      <c r="CE304" s="31" t="str">
        <f t="shared" si="262"/>
        <v>0</v>
      </c>
      <c r="CF304" s="9">
        <f>+Risultati!AR303</f>
        <v>0</v>
      </c>
      <c r="CG304" s="31" t="str">
        <f t="shared" si="263"/>
        <v>0</v>
      </c>
      <c r="CH304" s="9">
        <f>+Risultati!AS303</f>
        <v>0</v>
      </c>
      <c r="CI304" s="31" t="str">
        <f t="shared" si="264"/>
        <v>0</v>
      </c>
      <c r="CJ304" s="9">
        <f t="shared" si="265"/>
        <v>0</v>
      </c>
      <c r="CK304" s="31" t="str">
        <f t="shared" si="266"/>
        <v>0</v>
      </c>
      <c r="CL304" s="10">
        <f>+Risultati!AE303+Risultati!AF303</f>
        <v>0</v>
      </c>
      <c r="CM304" s="31" t="str">
        <f t="shared" si="267"/>
        <v>0</v>
      </c>
      <c r="CN304" s="9">
        <f>+Risultati!AT303</f>
        <v>0</v>
      </c>
      <c r="CO304" s="31" t="str">
        <f t="shared" si="268"/>
        <v>0</v>
      </c>
      <c r="CP304" s="9">
        <f>+Risultati!AU303</f>
        <v>0</v>
      </c>
      <c r="CQ304" s="31" t="str">
        <f t="shared" si="269"/>
        <v>0</v>
      </c>
      <c r="CR304" s="9">
        <f>+Risultati!AL303</f>
        <v>0</v>
      </c>
      <c r="CS304" s="31" t="str">
        <f t="shared" si="270"/>
        <v>0</v>
      </c>
      <c r="CT304" s="9">
        <f t="shared" si="271"/>
        <v>0</v>
      </c>
      <c r="CU304" s="31" t="str">
        <f t="shared" si="272"/>
        <v>0</v>
      </c>
      <c r="CV304" s="9">
        <f>+Risultati!AX303</f>
        <v>0</v>
      </c>
      <c r="CW304" s="31" t="str">
        <f t="shared" si="273"/>
        <v>0</v>
      </c>
      <c r="CX304" s="9">
        <f t="shared" si="274"/>
        <v>0</v>
      </c>
      <c r="CY304" s="31" t="str">
        <f t="shared" si="275"/>
        <v>0</v>
      </c>
      <c r="CZ304" s="9">
        <f>+Risultati!AG303</f>
        <v>0</v>
      </c>
      <c r="DA304" s="31" t="str">
        <f t="shared" si="276"/>
        <v>0</v>
      </c>
      <c r="DB304" s="9">
        <f t="shared" si="277"/>
        <v>0</v>
      </c>
      <c r="DC304" s="31" t="str">
        <f t="shared" si="278"/>
        <v>0</v>
      </c>
      <c r="DD304" s="9">
        <f>+Risultati!AV303</f>
        <v>0</v>
      </c>
      <c r="DE304" s="31" t="str">
        <f t="shared" si="279"/>
        <v>0</v>
      </c>
      <c r="DF304" s="9">
        <f>+Risultati!AJ303</f>
        <v>0</v>
      </c>
      <c r="DG304" s="31" t="str">
        <f t="shared" si="280"/>
        <v>0</v>
      </c>
      <c r="DH304" s="9">
        <f t="shared" si="281"/>
        <v>0</v>
      </c>
      <c r="DI304" s="31" t="str">
        <f t="shared" si="282"/>
        <v>0</v>
      </c>
      <c r="DJ304" s="9">
        <f>+Risultati!AW303</f>
        <v>0</v>
      </c>
      <c r="DK304" s="31" t="str">
        <f t="shared" si="283"/>
        <v>0</v>
      </c>
      <c r="DL304" s="10">
        <f t="shared" si="254"/>
        <v>0</v>
      </c>
      <c r="DM304" s="31" t="str">
        <f t="shared" si="284"/>
        <v>0</v>
      </c>
      <c r="DO304" s="30"/>
      <c r="DP304" s="30"/>
    </row>
    <row r="305" spans="1:120" x14ac:dyDescent="0.2">
      <c r="A305" s="5"/>
      <c r="B305" s="6">
        <f>+Risultati!B304</f>
        <v>0</v>
      </c>
      <c r="C305" s="6">
        <f>+Risultati!C304</f>
        <v>0</v>
      </c>
      <c r="D305" s="26" t="str">
        <f>IF(YEAR(Risultati!D304)=1900,(MID(Risultati!$AP$1,29,4)),YEAR(Risultati!D304))</f>
        <v/>
      </c>
      <c r="E305" s="6">
        <f>+Risultati!E304</f>
        <v>0</v>
      </c>
      <c r="F305" s="8" t="e">
        <f>(LEFT(Risultati!AN304,2)&amp;"-")&amp;VLOOKUP((LEFT(Risultati!AN304,2)),ateco!$B$4:$C$93,2,FALSE)</f>
        <v>#N/A</v>
      </c>
      <c r="G305" s="8" t="str">
        <f>SUBSTITUTE((Risultati!AN304&amp;"-"&amp;Risultati!AO304),",",";")</f>
        <v>-</v>
      </c>
      <c r="I305" s="10">
        <f>+Risultati!G304</f>
        <v>0</v>
      </c>
      <c r="J305" s="11" t="str">
        <f t="shared" si="236"/>
        <v>0</v>
      </c>
      <c r="K305" s="12"/>
      <c r="L305" s="10">
        <f>+Risultati!G304+Risultati!H304</f>
        <v>0</v>
      </c>
      <c r="M305" s="11" t="str">
        <f t="shared" si="237"/>
        <v>0</v>
      </c>
      <c r="N305" s="12"/>
      <c r="O305" s="10">
        <f>+Risultati!I304+Risultati!J304</f>
        <v>0</v>
      </c>
      <c r="P305" s="11" t="str">
        <f t="shared" si="238"/>
        <v>0</v>
      </c>
      <c r="Q305" s="12"/>
      <c r="R305" s="13">
        <f t="shared" si="255"/>
        <v>0</v>
      </c>
      <c r="S305" s="11" t="str">
        <f t="shared" si="239"/>
        <v>0</v>
      </c>
      <c r="T305" s="12"/>
      <c r="U305" s="10">
        <f>+Risultati!F304-(Risultati!G304+Risultati!H304)</f>
        <v>0</v>
      </c>
      <c r="V305" s="12" t="str">
        <f t="shared" si="240"/>
        <v>0</v>
      </c>
      <c r="W305" s="12"/>
      <c r="X305" s="10">
        <f t="shared" si="256"/>
        <v>0</v>
      </c>
      <c r="Y305" s="12" t="str">
        <f t="shared" si="241"/>
        <v>0</v>
      </c>
      <c r="Z305" s="12"/>
      <c r="AA305" s="10">
        <f>+Risultati!K304</f>
        <v>0</v>
      </c>
      <c r="AB305" s="12" t="str">
        <f t="shared" si="242"/>
        <v>0</v>
      </c>
      <c r="AC305" s="12"/>
      <c r="AD305" s="10">
        <f>+Risultati!L304</f>
        <v>0</v>
      </c>
      <c r="AE305" s="12" t="str">
        <f t="shared" si="243"/>
        <v>0</v>
      </c>
      <c r="AF305" s="12"/>
      <c r="AG305" s="10">
        <f>+Risultati!M304+Risultati!P304+Risultati!Q304</f>
        <v>0</v>
      </c>
      <c r="AH305" s="12" t="str">
        <f t="shared" si="244"/>
        <v>0</v>
      </c>
      <c r="AI305" s="12"/>
      <c r="AJ305" s="13">
        <f t="shared" si="257"/>
        <v>0</v>
      </c>
      <c r="AK305" s="11" t="str">
        <f t="shared" si="245"/>
        <v>0</v>
      </c>
      <c r="AL305" s="12"/>
      <c r="AM305" s="10">
        <f>+Risultati!N304</f>
        <v>0</v>
      </c>
      <c r="AN305" s="12" t="str">
        <f t="shared" si="246"/>
        <v>0</v>
      </c>
      <c r="AO305" s="12"/>
      <c r="AP305" s="10">
        <f t="shared" si="258"/>
        <v>0</v>
      </c>
      <c r="AQ305" s="41" t="str">
        <f t="shared" si="247"/>
        <v>0</v>
      </c>
      <c r="AR305" s="12"/>
      <c r="AS305" s="10">
        <f>+Risultati!O304</f>
        <v>0</v>
      </c>
      <c r="AT305" s="12" t="str">
        <f t="shared" si="248"/>
        <v>0</v>
      </c>
      <c r="AU305" s="12"/>
      <c r="AV305" s="10">
        <f t="shared" si="259"/>
        <v>0</v>
      </c>
      <c r="AW305" s="12" t="str">
        <f t="shared" si="249"/>
        <v>0</v>
      </c>
      <c r="AX305" s="12"/>
      <c r="AY305" s="10">
        <f>+Risultati!R304+Risultati!S304</f>
        <v>0</v>
      </c>
      <c r="AZ305" s="12" t="str">
        <f t="shared" si="250"/>
        <v>0</v>
      </c>
      <c r="BA305" s="12"/>
      <c r="BB305" s="10">
        <f>+Risultati!T304</f>
        <v>0</v>
      </c>
      <c r="BC305" s="12" t="str">
        <f t="shared" si="251"/>
        <v>0</v>
      </c>
      <c r="BD305" s="12"/>
      <c r="BE305" s="10">
        <f>+Risultati!U304</f>
        <v>0</v>
      </c>
      <c r="BF305" s="12" t="str">
        <f t="shared" si="252"/>
        <v>0</v>
      </c>
      <c r="BG305" s="12"/>
      <c r="BH305" s="10">
        <f t="shared" si="260"/>
        <v>0</v>
      </c>
      <c r="BI305" s="12" t="str">
        <f t="shared" si="253"/>
        <v>0</v>
      </c>
      <c r="BK305" s="16">
        <f>IF(ISNUMBER(Risultati!X304/100),(Risultati!X304/100))</f>
        <v>0</v>
      </c>
      <c r="BL305" s="16">
        <f>IF(ISNUMBER(Risultati!Y304/100),(Risultati!Y304/100))</f>
        <v>0</v>
      </c>
      <c r="BM305" s="16">
        <f>IF(ISNUMBER(Risultati!Z304/100),(Risultati!Z304/100))</f>
        <v>0</v>
      </c>
      <c r="BN305" s="16">
        <f>IF(AND(Risultati!AY304&lt;0,calcoli!AP305&lt;0),-IF(ISNUMBER(Risultati!AA304/100),(Risultati!AA304/100)),IF(ISNUMBER(Risultati!AA304/100),(Risultati!AA304/100)))</f>
        <v>0</v>
      </c>
      <c r="BO305" s="16" t="str">
        <f t="shared" si="234"/>
        <v>0</v>
      </c>
      <c r="BP305" s="16" t="str">
        <f>IF(Risultati!AB304&gt;0,(AV305/Risultati!AB304),"0")</f>
        <v>0</v>
      </c>
      <c r="BQ305" s="16" t="str">
        <f>IF(Risultati!AG304&lt;&gt;0,(BH305/Risultati!AG304),"0")</f>
        <v>0</v>
      </c>
      <c r="BR305" s="16" t="str">
        <f t="shared" si="235"/>
        <v>0</v>
      </c>
      <c r="BS305" s="14" t="str">
        <f>IF(Risultati!AB304&gt;0,(Risultati!G304/Risultati!AB304),"0")</f>
        <v>0</v>
      </c>
      <c r="BT305" s="15" t="str">
        <f>IF(Risultati!AG304&lt;&gt;0,(Risultati!AB304/Risultati!AG304),"0")</f>
        <v>0</v>
      </c>
      <c r="BU305" s="23" t="str">
        <f>IF(AND(Risultati!G304&gt;0,(Risultati!AE304-Risultati!AF304)&gt;=0),((Risultati!AE304-Risultati!AF304)/Risultati!G304*360),"0")</f>
        <v>0</v>
      </c>
      <c r="BV305" s="21" t="str">
        <f>IF(OR(E305="abbreviato",Risultati!G304=0),"0",((Risultati!AC304+Risultati!AD304)/Risultati!G304*360))</f>
        <v>0</v>
      </c>
      <c r="BW305" s="21" t="str">
        <f>IF(OR(E305="abbreviato",Risultati!G304=0,SUM(Risultati!I304+Risultati!K304+Risultati!M304)=0),"0",(((Risultati!AH304+Risultati!AI304)/(Risultati!I304+Risultati!K304+Risultati!N304)*360)))</f>
        <v>0</v>
      </c>
      <c r="BX305" s="16" t="str">
        <f>IF(Risultati!AB304&gt;0,(+Risultati!AG304/Risultati!AB304),"0")</f>
        <v>0</v>
      </c>
      <c r="BY305" s="22" t="str">
        <f>IF(OR(E305="abbreviato",Risultati!G304=0),"0",(((Risultati!AK304-(Risultati!AL304+Risultati!AM304))/Risultati!G304)))</f>
        <v>0</v>
      </c>
      <c r="BZ305" s="16" t="str">
        <f>IF(Risultati!G304&gt;0,(Risultati!AJ304/Risultati!G304),"0")</f>
        <v>0</v>
      </c>
      <c r="CA305" s="8"/>
      <c r="CB305" s="9">
        <f>+Risultati!AP304</f>
        <v>0</v>
      </c>
      <c r="CC305" s="31" t="str">
        <f t="shared" si="261"/>
        <v>0</v>
      </c>
      <c r="CD305" s="9">
        <f>+Risultati!AQ304</f>
        <v>0</v>
      </c>
      <c r="CE305" s="31" t="str">
        <f t="shared" si="262"/>
        <v>0</v>
      </c>
      <c r="CF305" s="9">
        <f>+Risultati!AR304</f>
        <v>0</v>
      </c>
      <c r="CG305" s="31" t="str">
        <f t="shared" si="263"/>
        <v>0</v>
      </c>
      <c r="CH305" s="9">
        <f>+Risultati!AS304</f>
        <v>0</v>
      </c>
      <c r="CI305" s="31" t="str">
        <f t="shared" si="264"/>
        <v>0</v>
      </c>
      <c r="CJ305" s="9">
        <f t="shared" si="265"/>
        <v>0</v>
      </c>
      <c r="CK305" s="31" t="str">
        <f t="shared" si="266"/>
        <v>0</v>
      </c>
      <c r="CL305" s="10">
        <f>+Risultati!AE304+Risultati!AF304</f>
        <v>0</v>
      </c>
      <c r="CM305" s="31" t="str">
        <f t="shared" si="267"/>
        <v>0</v>
      </c>
      <c r="CN305" s="9">
        <f>+Risultati!AT304</f>
        <v>0</v>
      </c>
      <c r="CO305" s="31" t="str">
        <f t="shared" si="268"/>
        <v>0</v>
      </c>
      <c r="CP305" s="9">
        <f>+Risultati!AU304</f>
        <v>0</v>
      </c>
      <c r="CQ305" s="31" t="str">
        <f t="shared" si="269"/>
        <v>0</v>
      </c>
      <c r="CR305" s="9">
        <f>+Risultati!AL304</f>
        <v>0</v>
      </c>
      <c r="CS305" s="31" t="str">
        <f t="shared" si="270"/>
        <v>0</v>
      </c>
      <c r="CT305" s="9">
        <f t="shared" si="271"/>
        <v>0</v>
      </c>
      <c r="CU305" s="31" t="str">
        <f t="shared" si="272"/>
        <v>0</v>
      </c>
      <c r="CV305" s="9">
        <f>+Risultati!AX304</f>
        <v>0</v>
      </c>
      <c r="CW305" s="31" t="str">
        <f t="shared" si="273"/>
        <v>0</v>
      </c>
      <c r="CX305" s="9">
        <f t="shared" si="274"/>
        <v>0</v>
      </c>
      <c r="CY305" s="31" t="str">
        <f t="shared" si="275"/>
        <v>0</v>
      </c>
      <c r="CZ305" s="9">
        <f>+Risultati!AG304</f>
        <v>0</v>
      </c>
      <c r="DA305" s="31" t="str">
        <f t="shared" si="276"/>
        <v>0</v>
      </c>
      <c r="DB305" s="9">
        <f t="shared" si="277"/>
        <v>0</v>
      </c>
      <c r="DC305" s="31" t="str">
        <f t="shared" si="278"/>
        <v>0</v>
      </c>
      <c r="DD305" s="9">
        <f>+Risultati!AV304</f>
        <v>0</v>
      </c>
      <c r="DE305" s="31" t="str">
        <f t="shared" si="279"/>
        <v>0</v>
      </c>
      <c r="DF305" s="9">
        <f>+Risultati!AJ304</f>
        <v>0</v>
      </c>
      <c r="DG305" s="31" t="str">
        <f t="shared" si="280"/>
        <v>0</v>
      </c>
      <c r="DH305" s="9">
        <f t="shared" si="281"/>
        <v>0</v>
      </c>
      <c r="DI305" s="31" t="str">
        <f t="shared" si="282"/>
        <v>0</v>
      </c>
      <c r="DJ305" s="9">
        <f>+Risultati!AW304</f>
        <v>0</v>
      </c>
      <c r="DK305" s="31" t="str">
        <f t="shared" si="283"/>
        <v>0</v>
      </c>
      <c r="DL305" s="10">
        <f t="shared" si="254"/>
        <v>0</v>
      </c>
      <c r="DM305" s="31" t="str">
        <f t="shared" si="284"/>
        <v>0</v>
      </c>
      <c r="DO305" s="30"/>
      <c r="DP305" s="30"/>
    </row>
    <row r="306" spans="1:120" x14ac:dyDescent="0.2">
      <c r="A306" s="5"/>
      <c r="B306" s="6">
        <f>+Risultati!B305</f>
        <v>0</v>
      </c>
      <c r="C306" s="6">
        <f>+Risultati!C305</f>
        <v>0</v>
      </c>
      <c r="D306" s="26" t="str">
        <f>IF(YEAR(Risultati!D305)=1900,(MID(Risultati!$AP$1,29,4)),YEAR(Risultati!D305))</f>
        <v/>
      </c>
      <c r="E306" s="6">
        <f>+Risultati!E305</f>
        <v>0</v>
      </c>
      <c r="F306" s="8" t="e">
        <f>(LEFT(Risultati!AN305,2)&amp;"-")&amp;VLOOKUP((LEFT(Risultati!AN305,2)),ateco!$B$4:$C$93,2,FALSE)</f>
        <v>#N/A</v>
      </c>
      <c r="G306" s="8" t="str">
        <f>SUBSTITUTE((Risultati!AN305&amp;"-"&amp;Risultati!AO305),",",";")</f>
        <v>-</v>
      </c>
      <c r="I306" s="10">
        <f>+Risultati!G305</f>
        <v>0</v>
      </c>
      <c r="J306" s="11" t="str">
        <f t="shared" si="236"/>
        <v>0</v>
      </c>
      <c r="K306" s="12"/>
      <c r="L306" s="10">
        <f>+Risultati!G305+Risultati!H305</f>
        <v>0</v>
      </c>
      <c r="M306" s="11" t="str">
        <f t="shared" si="237"/>
        <v>0</v>
      </c>
      <c r="N306" s="12"/>
      <c r="O306" s="10">
        <f>+Risultati!I305+Risultati!J305</f>
        <v>0</v>
      </c>
      <c r="P306" s="11" t="str">
        <f t="shared" si="238"/>
        <v>0</v>
      </c>
      <c r="Q306" s="12"/>
      <c r="R306" s="13">
        <f t="shared" si="255"/>
        <v>0</v>
      </c>
      <c r="S306" s="11" t="str">
        <f t="shared" si="239"/>
        <v>0</v>
      </c>
      <c r="T306" s="12"/>
      <c r="U306" s="10">
        <f>+Risultati!F305-(Risultati!G305+Risultati!H305)</f>
        <v>0</v>
      </c>
      <c r="V306" s="12" t="str">
        <f t="shared" si="240"/>
        <v>0</v>
      </c>
      <c r="W306" s="12"/>
      <c r="X306" s="10">
        <f t="shared" si="256"/>
        <v>0</v>
      </c>
      <c r="Y306" s="12" t="str">
        <f t="shared" si="241"/>
        <v>0</v>
      </c>
      <c r="Z306" s="12"/>
      <c r="AA306" s="10">
        <f>+Risultati!K305</f>
        <v>0</v>
      </c>
      <c r="AB306" s="12" t="str">
        <f t="shared" si="242"/>
        <v>0</v>
      </c>
      <c r="AC306" s="12"/>
      <c r="AD306" s="10">
        <f>+Risultati!L305</f>
        <v>0</v>
      </c>
      <c r="AE306" s="12" t="str">
        <f t="shared" si="243"/>
        <v>0</v>
      </c>
      <c r="AF306" s="12"/>
      <c r="AG306" s="10">
        <f>+Risultati!M305+Risultati!P305+Risultati!Q305</f>
        <v>0</v>
      </c>
      <c r="AH306" s="12" t="str">
        <f t="shared" si="244"/>
        <v>0</v>
      </c>
      <c r="AI306" s="12"/>
      <c r="AJ306" s="13">
        <f t="shared" si="257"/>
        <v>0</v>
      </c>
      <c r="AK306" s="11" t="str">
        <f t="shared" si="245"/>
        <v>0</v>
      </c>
      <c r="AL306" s="12"/>
      <c r="AM306" s="10">
        <f>+Risultati!N305</f>
        <v>0</v>
      </c>
      <c r="AN306" s="12" t="str">
        <f t="shared" si="246"/>
        <v>0</v>
      </c>
      <c r="AO306" s="12"/>
      <c r="AP306" s="10">
        <f t="shared" si="258"/>
        <v>0</v>
      </c>
      <c r="AQ306" s="41" t="str">
        <f t="shared" si="247"/>
        <v>0</v>
      </c>
      <c r="AR306" s="12"/>
      <c r="AS306" s="10">
        <f>+Risultati!O305</f>
        <v>0</v>
      </c>
      <c r="AT306" s="12" t="str">
        <f t="shared" si="248"/>
        <v>0</v>
      </c>
      <c r="AU306" s="12"/>
      <c r="AV306" s="10">
        <f t="shared" si="259"/>
        <v>0</v>
      </c>
      <c r="AW306" s="12" t="str">
        <f t="shared" si="249"/>
        <v>0</v>
      </c>
      <c r="AX306" s="12"/>
      <c r="AY306" s="10">
        <f>+Risultati!R305+Risultati!S305</f>
        <v>0</v>
      </c>
      <c r="AZ306" s="12" t="str">
        <f t="shared" si="250"/>
        <v>0</v>
      </c>
      <c r="BA306" s="12"/>
      <c r="BB306" s="10">
        <f>+Risultati!T305</f>
        <v>0</v>
      </c>
      <c r="BC306" s="12" t="str">
        <f t="shared" si="251"/>
        <v>0</v>
      </c>
      <c r="BD306" s="12"/>
      <c r="BE306" s="10">
        <f>+Risultati!U305</f>
        <v>0</v>
      </c>
      <c r="BF306" s="12" t="str">
        <f t="shared" si="252"/>
        <v>0</v>
      </c>
      <c r="BG306" s="12"/>
      <c r="BH306" s="10">
        <f t="shared" si="260"/>
        <v>0</v>
      </c>
      <c r="BI306" s="12" t="str">
        <f t="shared" si="253"/>
        <v>0</v>
      </c>
      <c r="BK306" s="16">
        <f>IF(ISNUMBER(Risultati!X305/100),(Risultati!X305/100))</f>
        <v>0</v>
      </c>
      <c r="BL306" s="16">
        <f>IF(ISNUMBER(Risultati!Y305/100),(Risultati!Y305/100))</f>
        <v>0</v>
      </c>
      <c r="BM306" s="16">
        <f>IF(ISNUMBER(Risultati!Z305/100),(Risultati!Z305/100))</f>
        <v>0</v>
      </c>
      <c r="BN306" s="16">
        <f>IF(AND(Risultati!AY305&lt;0,calcoli!AP306&lt;0),-IF(ISNUMBER(Risultati!AA305/100),(Risultati!AA305/100)),IF(ISNUMBER(Risultati!AA305/100),(Risultati!AA305/100)))</f>
        <v>0</v>
      </c>
      <c r="BO306" s="16" t="str">
        <f t="shared" si="234"/>
        <v>0</v>
      </c>
      <c r="BP306" s="16" t="str">
        <f>IF(Risultati!AB305&gt;0,(AV306/Risultati!AB305),"0")</f>
        <v>0</v>
      </c>
      <c r="BQ306" s="16" t="str">
        <f>IF(Risultati!AG305&lt;&gt;0,(BH306/Risultati!AG305),"0")</f>
        <v>0</v>
      </c>
      <c r="BR306" s="16" t="str">
        <f t="shared" si="235"/>
        <v>0</v>
      </c>
      <c r="BS306" s="14" t="str">
        <f>IF(Risultati!AB305&gt;0,(Risultati!G305/Risultati!AB305),"0")</f>
        <v>0</v>
      </c>
      <c r="BT306" s="15" t="str">
        <f>IF(Risultati!AG305&lt;&gt;0,(Risultati!AB305/Risultati!AG305),"0")</f>
        <v>0</v>
      </c>
      <c r="BU306" s="23" t="str">
        <f>IF(AND(Risultati!G305&gt;0,(Risultati!AE305-Risultati!AF305)&gt;=0),((Risultati!AE305-Risultati!AF305)/Risultati!G305*360),"0")</f>
        <v>0</v>
      </c>
      <c r="BV306" s="21" t="str">
        <f>IF(OR(E306="abbreviato",Risultati!G305=0),"0",((Risultati!AC305+Risultati!AD305)/Risultati!G305*360))</f>
        <v>0</v>
      </c>
      <c r="BW306" s="21" t="str">
        <f>IF(OR(E306="abbreviato",Risultati!G305=0,SUM(Risultati!I305+Risultati!K305+Risultati!M305)=0),"0",(((Risultati!AH305+Risultati!AI305)/(Risultati!I305+Risultati!K305+Risultati!N305)*360)))</f>
        <v>0</v>
      </c>
      <c r="BX306" s="16" t="str">
        <f>IF(Risultati!AB305&gt;0,(+Risultati!AG305/Risultati!AB305),"0")</f>
        <v>0</v>
      </c>
      <c r="BY306" s="22" t="str">
        <f>IF(OR(E306="abbreviato",Risultati!G305=0),"0",(((Risultati!AK305-(Risultati!AL305+Risultati!AM305))/Risultati!G305)))</f>
        <v>0</v>
      </c>
      <c r="BZ306" s="16" t="str">
        <f>IF(Risultati!G305&gt;0,(Risultati!AJ305/Risultati!G305),"0")</f>
        <v>0</v>
      </c>
      <c r="CA306" s="8"/>
      <c r="CB306" s="9">
        <f>+Risultati!AP305</f>
        <v>0</v>
      </c>
      <c r="CC306" s="31" t="str">
        <f t="shared" si="261"/>
        <v>0</v>
      </c>
      <c r="CD306" s="9">
        <f>+Risultati!AQ305</f>
        <v>0</v>
      </c>
      <c r="CE306" s="31" t="str">
        <f t="shared" si="262"/>
        <v>0</v>
      </c>
      <c r="CF306" s="9">
        <f>+Risultati!AR305</f>
        <v>0</v>
      </c>
      <c r="CG306" s="31" t="str">
        <f t="shared" si="263"/>
        <v>0</v>
      </c>
      <c r="CH306" s="9">
        <f>+Risultati!AS305</f>
        <v>0</v>
      </c>
      <c r="CI306" s="31" t="str">
        <f t="shared" si="264"/>
        <v>0</v>
      </c>
      <c r="CJ306" s="9">
        <f t="shared" si="265"/>
        <v>0</v>
      </c>
      <c r="CK306" s="31" t="str">
        <f t="shared" si="266"/>
        <v>0</v>
      </c>
      <c r="CL306" s="10">
        <f>+Risultati!AE305+Risultati!AF305</f>
        <v>0</v>
      </c>
      <c r="CM306" s="31" t="str">
        <f t="shared" si="267"/>
        <v>0</v>
      </c>
      <c r="CN306" s="9">
        <f>+Risultati!AT305</f>
        <v>0</v>
      </c>
      <c r="CO306" s="31" t="str">
        <f t="shared" si="268"/>
        <v>0</v>
      </c>
      <c r="CP306" s="9">
        <f>+Risultati!AU305</f>
        <v>0</v>
      </c>
      <c r="CQ306" s="31" t="str">
        <f t="shared" si="269"/>
        <v>0</v>
      </c>
      <c r="CR306" s="9">
        <f>+Risultati!AL305</f>
        <v>0</v>
      </c>
      <c r="CS306" s="31" t="str">
        <f t="shared" si="270"/>
        <v>0</v>
      </c>
      <c r="CT306" s="9">
        <f t="shared" si="271"/>
        <v>0</v>
      </c>
      <c r="CU306" s="31" t="str">
        <f t="shared" si="272"/>
        <v>0</v>
      </c>
      <c r="CV306" s="9">
        <f>+Risultati!AX305</f>
        <v>0</v>
      </c>
      <c r="CW306" s="31" t="str">
        <f t="shared" si="273"/>
        <v>0</v>
      </c>
      <c r="CX306" s="9">
        <f t="shared" si="274"/>
        <v>0</v>
      </c>
      <c r="CY306" s="31" t="str">
        <f t="shared" si="275"/>
        <v>0</v>
      </c>
      <c r="CZ306" s="9">
        <f>+Risultati!AG305</f>
        <v>0</v>
      </c>
      <c r="DA306" s="31" t="str">
        <f t="shared" si="276"/>
        <v>0</v>
      </c>
      <c r="DB306" s="9">
        <f t="shared" si="277"/>
        <v>0</v>
      </c>
      <c r="DC306" s="31" t="str">
        <f t="shared" si="278"/>
        <v>0</v>
      </c>
      <c r="DD306" s="9">
        <f>+Risultati!AV305</f>
        <v>0</v>
      </c>
      <c r="DE306" s="31" t="str">
        <f t="shared" si="279"/>
        <v>0</v>
      </c>
      <c r="DF306" s="9">
        <f>+Risultati!AJ305</f>
        <v>0</v>
      </c>
      <c r="DG306" s="31" t="str">
        <f t="shared" si="280"/>
        <v>0</v>
      </c>
      <c r="DH306" s="9">
        <f t="shared" si="281"/>
        <v>0</v>
      </c>
      <c r="DI306" s="31" t="str">
        <f t="shared" si="282"/>
        <v>0</v>
      </c>
      <c r="DJ306" s="9">
        <f>+Risultati!AW305</f>
        <v>0</v>
      </c>
      <c r="DK306" s="31" t="str">
        <f t="shared" si="283"/>
        <v>0</v>
      </c>
      <c r="DL306" s="10">
        <f t="shared" si="254"/>
        <v>0</v>
      </c>
      <c r="DM306" s="31" t="str">
        <f t="shared" si="284"/>
        <v>0</v>
      </c>
      <c r="DO306" s="30"/>
      <c r="DP306" s="30"/>
    </row>
    <row r="307" spans="1:120" x14ac:dyDescent="0.2">
      <c r="A307" s="5"/>
      <c r="B307" s="6">
        <f>+Risultati!B306</f>
        <v>0</v>
      </c>
      <c r="C307" s="6">
        <f>+Risultati!C306</f>
        <v>0</v>
      </c>
      <c r="D307" s="26" t="str">
        <f>IF(YEAR(Risultati!D306)=1900,(MID(Risultati!$AP$1,29,4)),YEAR(Risultati!D306))</f>
        <v/>
      </c>
      <c r="E307" s="6">
        <f>+Risultati!E306</f>
        <v>0</v>
      </c>
      <c r="F307" s="8" t="e">
        <f>(LEFT(Risultati!AN306,2)&amp;"-")&amp;VLOOKUP((LEFT(Risultati!AN306,2)),ateco!$B$4:$C$93,2,FALSE)</f>
        <v>#N/A</v>
      </c>
      <c r="G307" s="8" t="str">
        <f>SUBSTITUTE((Risultati!AN306&amp;"-"&amp;Risultati!AO306),",",";")</f>
        <v>-</v>
      </c>
      <c r="I307" s="10">
        <f>+Risultati!G306</f>
        <v>0</v>
      </c>
      <c r="J307" s="11" t="str">
        <f t="shared" si="236"/>
        <v>0</v>
      </c>
      <c r="K307" s="12"/>
      <c r="L307" s="10">
        <f>+Risultati!G306+Risultati!H306</f>
        <v>0</v>
      </c>
      <c r="M307" s="11" t="str">
        <f t="shared" si="237"/>
        <v>0</v>
      </c>
      <c r="N307" s="12"/>
      <c r="O307" s="10">
        <f>+Risultati!I306+Risultati!J306</f>
        <v>0</v>
      </c>
      <c r="P307" s="11" t="str">
        <f t="shared" si="238"/>
        <v>0</v>
      </c>
      <c r="Q307" s="12"/>
      <c r="R307" s="13">
        <f t="shared" si="255"/>
        <v>0</v>
      </c>
      <c r="S307" s="11" t="str">
        <f t="shared" si="239"/>
        <v>0</v>
      </c>
      <c r="T307" s="12"/>
      <c r="U307" s="10">
        <f>+Risultati!F306-(Risultati!G306+Risultati!H306)</f>
        <v>0</v>
      </c>
      <c r="V307" s="12" t="str">
        <f t="shared" si="240"/>
        <v>0</v>
      </c>
      <c r="W307" s="12"/>
      <c r="X307" s="10">
        <f t="shared" si="256"/>
        <v>0</v>
      </c>
      <c r="Y307" s="12" t="str">
        <f t="shared" si="241"/>
        <v>0</v>
      </c>
      <c r="Z307" s="12"/>
      <c r="AA307" s="10">
        <f>+Risultati!K306</f>
        <v>0</v>
      </c>
      <c r="AB307" s="12" t="str">
        <f t="shared" si="242"/>
        <v>0</v>
      </c>
      <c r="AC307" s="12"/>
      <c r="AD307" s="10">
        <f>+Risultati!L306</f>
        <v>0</v>
      </c>
      <c r="AE307" s="12" t="str">
        <f t="shared" si="243"/>
        <v>0</v>
      </c>
      <c r="AF307" s="12"/>
      <c r="AG307" s="10">
        <f>+Risultati!M306+Risultati!P306+Risultati!Q306</f>
        <v>0</v>
      </c>
      <c r="AH307" s="12" t="str">
        <f t="shared" si="244"/>
        <v>0</v>
      </c>
      <c r="AI307" s="12"/>
      <c r="AJ307" s="13">
        <f t="shared" si="257"/>
        <v>0</v>
      </c>
      <c r="AK307" s="11" t="str">
        <f t="shared" si="245"/>
        <v>0</v>
      </c>
      <c r="AL307" s="12"/>
      <c r="AM307" s="10">
        <f>+Risultati!N306</f>
        <v>0</v>
      </c>
      <c r="AN307" s="12" t="str">
        <f t="shared" si="246"/>
        <v>0</v>
      </c>
      <c r="AO307" s="12"/>
      <c r="AP307" s="10">
        <f t="shared" si="258"/>
        <v>0</v>
      </c>
      <c r="AQ307" s="41" t="str">
        <f t="shared" si="247"/>
        <v>0</v>
      </c>
      <c r="AR307" s="12"/>
      <c r="AS307" s="10">
        <f>+Risultati!O306</f>
        <v>0</v>
      </c>
      <c r="AT307" s="12" t="str">
        <f t="shared" si="248"/>
        <v>0</v>
      </c>
      <c r="AU307" s="12"/>
      <c r="AV307" s="10">
        <f t="shared" si="259"/>
        <v>0</v>
      </c>
      <c r="AW307" s="12" t="str">
        <f t="shared" si="249"/>
        <v>0</v>
      </c>
      <c r="AX307" s="12"/>
      <c r="AY307" s="10">
        <f>+Risultati!R306+Risultati!S306</f>
        <v>0</v>
      </c>
      <c r="AZ307" s="12" t="str">
        <f t="shared" si="250"/>
        <v>0</v>
      </c>
      <c r="BA307" s="12"/>
      <c r="BB307" s="10">
        <f>+Risultati!T306</f>
        <v>0</v>
      </c>
      <c r="BC307" s="12" t="str">
        <f t="shared" si="251"/>
        <v>0</v>
      </c>
      <c r="BD307" s="12"/>
      <c r="BE307" s="10">
        <f>+Risultati!U306</f>
        <v>0</v>
      </c>
      <c r="BF307" s="12" t="str">
        <f t="shared" si="252"/>
        <v>0</v>
      </c>
      <c r="BG307" s="12"/>
      <c r="BH307" s="10">
        <f t="shared" si="260"/>
        <v>0</v>
      </c>
      <c r="BI307" s="12" t="str">
        <f t="shared" si="253"/>
        <v>0</v>
      </c>
      <c r="BK307" s="16">
        <f>IF(ISNUMBER(Risultati!X306/100),(Risultati!X306/100))</f>
        <v>0</v>
      </c>
      <c r="BL307" s="16">
        <f>IF(ISNUMBER(Risultati!Y306/100),(Risultati!Y306/100))</f>
        <v>0</v>
      </c>
      <c r="BM307" s="16">
        <f>IF(ISNUMBER(Risultati!Z306/100),(Risultati!Z306/100))</f>
        <v>0</v>
      </c>
      <c r="BN307" s="16">
        <f>IF(AND(Risultati!AY306&lt;0,calcoli!AP307&lt;0),-IF(ISNUMBER(Risultati!AA306/100),(Risultati!AA306/100)),IF(ISNUMBER(Risultati!AA306/100),(Risultati!AA306/100)))</f>
        <v>0</v>
      </c>
      <c r="BO307" s="16" t="str">
        <f t="shared" si="234"/>
        <v>0</v>
      </c>
      <c r="BP307" s="16" t="str">
        <f>IF(Risultati!AB306&gt;0,(AV307/Risultati!AB306),"0")</f>
        <v>0</v>
      </c>
      <c r="BQ307" s="16" t="str">
        <f>IF(Risultati!AG306&lt;&gt;0,(BH307/Risultati!AG306),"0")</f>
        <v>0</v>
      </c>
      <c r="BR307" s="16" t="str">
        <f t="shared" si="235"/>
        <v>0</v>
      </c>
      <c r="BS307" s="14" t="str">
        <f>IF(Risultati!AB306&gt;0,(Risultati!G306/Risultati!AB306),"0")</f>
        <v>0</v>
      </c>
      <c r="BT307" s="15" t="str">
        <f>IF(Risultati!AG306&lt;&gt;0,(Risultati!AB306/Risultati!AG306),"0")</f>
        <v>0</v>
      </c>
      <c r="BU307" s="23" t="str">
        <f>IF(AND(Risultati!G306&gt;0,(Risultati!AE306-Risultati!AF306)&gt;=0),((Risultati!AE306-Risultati!AF306)/Risultati!G306*360),"0")</f>
        <v>0</v>
      </c>
      <c r="BV307" s="21" t="str">
        <f>IF(OR(E307="abbreviato",Risultati!G306=0),"0",((Risultati!AC306+Risultati!AD306)/Risultati!G306*360))</f>
        <v>0</v>
      </c>
      <c r="BW307" s="21" t="str">
        <f>IF(OR(E307="abbreviato",Risultati!G306=0,SUM(Risultati!I306+Risultati!K306+Risultati!M306)=0),"0",(((Risultati!AH306+Risultati!AI306)/(Risultati!I306+Risultati!K306+Risultati!N306)*360)))</f>
        <v>0</v>
      </c>
      <c r="BX307" s="16" t="str">
        <f>IF(Risultati!AB306&gt;0,(+Risultati!AG306/Risultati!AB306),"0")</f>
        <v>0</v>
      </c>
      <c r="BY307" s="22" t="str">
        <f>IF(OR(E307="abbreviato",Risultati!G306=0),"0",(((Risultati!AK306-(Risultati!AL306+Risultati!AM306))/Risultati!G306)))</f>
        <v>0</v>
      </c>
      <c r="BZ307" s="16" t="str">
        <f>IF(Risultati!G306&gt;0,(Risultati!AJ306/Risultati!G306),"0")</f>
        <v>0</v>
      </c>
      <c r="CA307" s="8"/>
      <c r="CB307" s="9">
        <f>+Risultati!AP306</f>
        <v>0</v>
      </c>
      <c r="CC307" s="31" t="str">
        <f t="shared" si="261"/>
        <v>0</v>
      </c>
      <c r="CD307" s="9">
        <f>+Risultati!AQ306</f>
        <v>0</v>
      </c>
      <c r="CE307" s="31" t="str">
        <f t="shared" si="262"/>
        <v>0</v>
      </c>
      <c r="CF307" s="9">
        <f>+Risultati!AR306</f>
        <v>0</v>
      </c>
      <c r="CG307" s="31" t="str">
        <f t="shared" si="263"/>
        <v>0</v>
      </c>
      <c r="CH307" s="9">
        <f>+Risultati!AS306</f>
        <v>0</v>
      </c>
      <c r="CI307" s="31" t="str">
        <f t="shared" si="264"/>
        <v>0</v>
      </c>
      <c r="CJ307" s="9">
        <f t="shared" si="265"/>
        <v>0</v>
      </c>
      <c r="CK307" s="31" t="str">
        <f t="shared" si="266"/>
        <v>0</v>
      </c>
      <c r="CL307" s="10">
        <f>+Risultati!AE306+Risultati!AF306</f>
        <v>0</v>
      </c>
      <c r="CM307" s="31" t="str">
        <f t="shared" si="267"/>
        <v>0</v>
      </c>
      <c r="CN307" s="9">
        <f>+Risultati!AT306</f>
        <v>0</v>
      </c>
      <c r="CO307" s="31" t="str">
        <f t="shared" si="268"/>
        <v>0</v>
      </c>
      <c r="CP307" s="9">
        <f>+Risultati!AU306</f>
        <v>0</v>
      </c>
      <c r="CQ307" s="31" t="str">
        <f t="shared" si="269"/>
        <v>0</v>
      </c>
      <c r="CR307" s="9">
        <f>+Risultati!AL306</f>
        <v>0</v>
      </c>
      <c r="CS307" s="31" t="str">
        <f t="shared" si="270"/>
        <v>0</v>
      </c>
      <c r="CT307" s="9">
        <f t="shared" si="271"/>
        <v>0</v>
      </c>
      <c r="CU307" s="31" t="str">
        <f t="shared" si="272"/>
        <v>0</v>
      </c>
      <c r="CV307" s="9">
        <f>+Risultati!AX306</f>
        <v>0</v>
      </c>
      <c r="CW307" s="31" t="str">
        <f t="shared" si="273"/>
        <v>0</v>
      </c>
      <c r="CX307" s="9">
        <f t="shared" si="274"/>
        <v>0</v>
      </c>
      <c r="CY307" s="31" t="str">
        <f t="shared" si="275"/>
        <v>0</v>
      </c>
      <c r="CZ307" s="9">
        <f>+Risultati!AG306</f>
        <v>0</v>
      </c>
      <c r="DA307" s="31" t="str">
        <f t="shared" si="276"/>
        <v>0</v>
      </c>
      <c r="DB307" s="9">
        <f t="shared" si="277"/>
        <v>0</v>
      </c>
      <c r="DC307" s="31" t="str">
        <f t="shared" si="278"/>
        <v>0</v>
      </c>
      <c r="DD307" s="9">
        <f>+Risultati!AV306</f>
        <v>0</v>
      </c>
      <c r="DE307" s="31" t="str">
        <f t="shared" si="279"/>
        <v>0</v>
      </c>
      <c r="DF307" s="9">
        <f>+Risultati!AJ306</f>
        <v>0</v>
      </c>
      <c r="DG307" s="31" t="str">
        <f t="shared" si="280"/>
        <v>0</v>
      </c>
      <c r="DH307" s="9">
        <f t="shared" si="281"/>
        <v>0</v>
      </c>
      <c r="DI307" s="31" t="str">
        <f t="shared" si="282"/>
        <v>0</v>
      </c>
      <c r="DJ307" s="9">
        <f>+Risultati!AW306</f>
        <v>0</v>
      </c>
      <c r="DK307" s="31" t="str">
        <f t="shared" si="283"/>
        <v>0</v>
      </c>
      <c r="DL307" s="10">
        <f t="shared" si="254"/>
        <v>0</v>
      </c>
      <c r="DM307" s="31" t="str">
        <f t="shared" si="284"/>
        <v>0</v>
      </c>
      <c r="DO307" s="30"/>
      <c r="DP307" s="30"/>
    </row>
    <row r="308" spans="1:120" x14ac:dyDescent="0.2">
      <c r="A308" s="5"/>
      <c r="B308" s="6">
        <f>+Risultati!B307</f>
        <v>0</v>
      </c>
      <c r="C308" s="6">
        <f>+Risultati!C307</f>
        <v>0</v>
      </c>
      <c r="D308" s="26" t="str">
        <f>IF(YEAR(Risultati!D307)=1900,(MID(Risultati!$AP$1,29,4)),YEAR(Risultati!D307))</f>
        <v/>
      </c>
      <c r="E308" s="6">
        <f>+Risultati!E307</f>
        <v>0</v>
      </c>
      <c r="F308" s="8" t="e">
        <f>(LEFT(Risultati!AN307,2)&amp;"-")&amp;VLOOKUP((LEFT(Risultati!AN307,2)),ateco!$B$4:$C$93,2,FALSE)</f>
        <v>#N/A</v>
      </c>
      <c r="G308" s="8" t="str">
        <f>SUBSTITUTE((Risultati!AN307&amp;"-"&amp;Risultati!AO307),",",";")</f>
        <v>-</v>
      </c>
      <c r="I308" s="10">
        <f>+Risultati!G307</f>
        <v>0</v>
      </c>
      <c r="J308" s="11" t="str">
        <f t="shared" si="236"/>
        <v>0</v>
      </c>
      <c r="K308" s="12"/>
      <c r="L308" s="10">
        <f>+Risultati!G307+Risultati!H307</f>
        <v>0</v>
      </c>
      <c r="M308" s="11" t="str">
        <f t="shared" si="237"/>
        <v>0</v>
      </c>
      <c r="N308" s="12"/>
      <c r="O308" s="10">
        <f>+Risultati!I307+Risultati!J307</f>
        <v>0</v>
      </c>
      <c r="P308" s="11" t="str">
        <f t="shared" si="238"/>
        <v>0</v>
      </c>
      <c r="Q308" s="12"/>
      <c r="R308" s="13">
        <f t="shared" si="255"/>
        <v>0</v>
      </c>
      <c r="S308" s="11" t="str">
        <f t="shared" si="239"/>
        <v>0</v>
      </c>
      <c r="T308" s="12"/>
      <c r="U308" s="10">
        <f>+Risultati!F307-(Risultati!G307+Risultati!H307)</f>
        <v>0</v>
      </c>
      <c r="V308" s="12" t="str">
        <f t="shared" si="240"/>
        <v>0</v>
      </c>
      <c r="W308" s="12"/>
      <c r="X308" s="10">
        <f t="shared" si="256"/>
        <v>0</v>
      </c>
      <c r="Y308" s="12" t="str">
        <f t="shared" si="241"/>
        <v>0</v>
      </c>
      <c r="Z308" s="12"/>
      <c r="AA308" s="10">
        <f>+Risultati!K307</f>
        <v>0</v>
      </c>
      <c r="AB308" s="12" t="str">
        <f t="shared" si="242"/>
        <v>0</v>
      </c>
      <c r="AC308" s="12"/>
      <c r="AD308" s="10">
        <f>+Risultati!L307</f>
        <v>0</v>
      </c>
      <c r="AE308" s="12" t="str">
        <f t="shared" si="243"/>
        <v>0</v>
      </c>
      <c r="AF308" s="12"/>
      <c r="AG308" s="10">
        <f>+Risultati!M307+Risultati!P307+Risultati!Q307</f>
        <v>0</v>
      </c>
      <c r="AH308" s="12" t="str">
        <f t="shared" si="244"/>
        <v>0</v>
      </c>
      <c r="AI308" s="12"/>
      <c r="AJ308" s="13">
        <f t="shared" si="257"/>
        <v>0</v>
      </c>
      <c r="AK308" s="11" t="str">
        <f t="shared" si="245"/>
        <v>0</v>
      </c>
      <c r="AL308" s="12"/>
      <c r="AM308" s="10">
        <f>+Risultati!N307</f>
        <v>0</v>
      </c>
      <c r="AN308" s="12" t="str">
        <f t="shared" si="246"/>
        <v>0</v>
      </c>
      <c r="AO308" s="12"/>
      <c r="AP308" s="10">
        <f t="shared" si="258"/>
        <v>0</v>
      </c>
      <c r="AQ308" s="41" t="str">
        <f t="shared" si="247"/>
        <v>0</v>
      </c>
      <c r="AR308" s="12"/>
      <c r="AS308" s="10">
        <f>+Risultati!O307</f>
        <v>0</v>
      </c>
      <c r="AT308" s="12" t="str">
        <f t="shared" si="248"/>
        <v>0</v>
      </c>
      <c r="AU308" s="12"/>
      <c r="AV308" s="10">
        <f t="shared" si="259"/>
        <v>0</v>
      </c>
      <c r="AW308" s="12" t="str">
        <f t="shared" si="249"/>
        <v>0</v>
      </c>
      <c r="AX308" s="12"/>
      <c r="AY308" s="10">
        <f>+Risultati!R307+Risultati!S307</f>
        <v>0</v>
      </c>
      <c r="AZ308" s="12" t="str">
        <f t="shared" si="250"/>
        <v>0</v>
      </c>
      <c r="BA308" s="12"/>
      <c r="BB308" s="10">
        <f>+Risultati!T307</f>
        <v>0</v>
      </c>
      <c r="BC308" s="12" t="str">
        <f t="shared" si="251"/>
        <v>0</v>
      </c>
      <c r="BD308" s="12"/>
      <c r="BE308" s="10">
        <f>+Risultati!U307</f>
        <v>0</v>
      </c>
      <c r="BF308" s="12" t="str">
        <f t="shared" si="252"/>
        <v>0</v>
      </c>
      <c r="BG308" s="12"/>
      <c r="BH308" s="10">
        <f t="shared" si="260"/>
        <v>0</v>
      </c>
      <c r="BI308" s="12" t="str">
        <f t="shared" si="253"/>
        <v>0</v>
      </c>
      <c r="BK308" s="16">
        <f>IF(ISNUMBER(Risultati!X307/100),(Risultati!X307/100))</f>
        <v>0</v>
      </c>
      <c r="BL308" s="16">
        <f>IF(ISNUMBER(Risultati!Y307/100),(Risultati!Y307/100))</f>
        <v>0</v>
      </c>
      <c r="BM308" s="16">
        <f>IF(ISNUMBER(Risultati!Z307/100),(Risultati!Z307/100))</f>
        <v>0</v>
      </c>
      <c r="BN308" s="16">
        <f>IF(AND(Risultati!AY307&lt;0,calcoli!AP308&lt;0),-IF(ISNUMBER(Risultati!AA307/100),(Risultati!AA307/100)),IF(ISNUMBER(Risultati!AA307/100),(Risultati!AA307/100)))</f>
        <v>0</v>
      </c>
      <c r="BO308" s="16" t="str">
        <f t="shared" si="234"/>
        <v>0</v>
      </c>
      <c r="BP308" s="16" t="str">
        <f>IF(Risultati!AB307&gt;0,(AV308/Risultati!AB307),"0")</f>
        <v>0</v>
      </c>
      <c r="BQ308" s="16" t="str">
        <f>IF(Risultati!AG307&lt;&gt;0,(BH308/Risultati!AG307),"0")</f>
        <v>0</v>
      </c>
      <c r="BR308" s="16" t="str">
        <f t="shared" si="235"/>
        <v>0</v>
      </c>
      <c r="BS308" s="14" t="str">
        <f>IF(Risultati!AB307&gt;0,(Risultati!G307/Risultati!AB307),"0")</f>
        <v>0</v>
      </c>
      <c r="BT308" s="15" t="str">
        <f>IF(Risultati!AG307&lt;&gt;0,(Risultati!AB307/Risultati!AG307),"0")</f>
        <v>0</v>
      </c>
      <c r="BU308" s="23" t="str">
        <f>IF(AND(Risultati!G307&gt;0,(Risultati!AE307-Risultati!AF307)&gt;=0),((Risultati!AE307-Risultati!AF307)/Risultati!G307*360),"0")</f>
        <v>0</v>
      </c>
      <c r="BV308" s="21" t="str">
        <f>IF(OR(E308="abbreviato",Risultati!G307=0),"0",((Risultati!AC307+Risultati!AD307)/Risultati!G307*360))</f>
        <v>0</v>
      </c>
      <c r="BW308" s="21" t="str">
        <f>IF(OR(E308="abbreviato",Risultati!G307=0,SUM(Risultati!I307+Risultati!K307+Risultati!M307)=0),"0",(((Risultati!AH307+Risultati!AI307)/(Risultati!I307+Risultati!K307+Risultati!N307)*360)))</f>
        <v>0</v>
      </c>
      <c r="BX308" s="16" t="str">
        <f>IF(Risultati!AB307&gt;0,(+Risultati!AG307/Risultati!AB307),"0")</f>
        <v>0</v>
      </c>
      <c r="BY308" s="22" t="str">
        <f>IF(OR(E308="abbreviato",Risultati!G307=0),"0",(((Risultati!AK307-(Risultati!AL307+Risultati!AM307))/Risultati!G307)))</f>
        <v>0</v>
      </c>
      <c r="BZ308" s="16" t="str">
        <f>IF(Risultati!G307&gt;0,(Risultati!AJ307/Risultati!G307),"0")</f>
        <v>0</v>
      </c>
      <c r="CA308" s="8"/>
      <c r="CB308" s="9">
        <f>+Risultati!AP307</f>
        <v>0</v>
      </c>
      <c r="CC308" s="31" t="str">
        <f t="shared" si="261"/>
        <v>0</v>
      </c>
      <c r="CD308" s="9">
        <f>+Risultati!AQ307</f>
        <v>0</v>
      </c>
      <c r="CE308" s="31" t="str">
        <f t="shared" si="262"/>
        <v>0</v>
      </c>
      <c r="CF308" s="9">
        <f>+Risultati!AR307</f>
        <v>0</v>
      </c>
      <c r="CG308" s="31" t="str">
        <f t="shared" si="263"/>
        <v>0</v>
      </c>
      <c r="CH308" s="9">
        <f>+Risultati!AS307</f>
        <v>0</v>
      </c>
      <c r="CI308" s="31" t="str">
        <f t="shared" si="264"/>
        <v>0</v>
      </c>
      <c r="CJ308" s="9">
        <f t="shared" si="265"/>
        <v>0</v>
      </c>
      <c r="CK308" s="31" t="str">
        <f t="shared" si="266"/>
        <v>0</v>
      </c>
      <c r="CL308" s="10">
        <f>+Risultati!AE307+Risultati!AF307</f>
        <v>0</v>
      </c>
      <c r="CM308" s="31" t="str">
        <f t="shared" si="267"/>
        <v>0</v>
      </c>
      <c r="CN308" s="9">
        <f>+Risultati!AT307</f>
        <v>0</v>
      </c>
      <c r="CO308" s="31" t="str">
        <f t="shared" si="268"/>
        <v>0</v>
      </c>
      <c r="CP308" s="9">
        <f>+Risultati!AU307</f>
        <v>0</v>
      </c>
      <c r="CQ308" s="31" t="str">
        <f t="shared" si="269"/>
        <v>0</v>
      </c>
      <c r="CR308" s="9">
        <f>+Risultati!AL307</f>
        <v>0</v>
      </c>
      <c r="CS308" s="31" t="str">
        <f t="shared" si="270"/>
        <v>0</v>
      </c>
      <c r="CT308" s="9">
        <f t="shared" si="271"/>
        <v>0</v>
      </c>
      <c r="CU308" s="31" t="str">
        <f t="shared" si="272"/>
        <v>0</v>
      </c>
      <c r="CV308" s="9">
        <f>+Risultati!AX307</f>
        <v>0</v>
      </c>
      <c r="CW308" s="31" t="str">
        <f t="shared" si="273"/>
        <v>0</v>
      </c>
      <c r="CX308" s="9">
        <f t="shared" si="274"/>
        <v>0</v>
      </c>
      <c r="CY308" s="31" t="str">
        <f t="shared" si="275"/>
        <v>0</v>
      </c>
      <c r="CZ308" s="9">
        <f>+Risultati!AG307</f>
        <v>0</v>
      </c>
      <c r="DA308" s="31" t="str">
        <f t="shared" si="276"/>
        <v>0</v>
      </c>
      <c r="DB308" s="9">
        <f t="shared" si="277"/>
        <v>0</v>
      </c>
      <c r="DC308" s="31" t="str">
        <f t="shared" si="278"/>
        <v>0</v>
      </c>
      <c r="DD308" s="9">
        <f>+Risultati!AV307</f>
        <v>0</v>
      </c>
      <c r="DE308" s="31" t="str">
        <f t="shared" si="279"/>
        <v>0</v>
      </c>
      <c r="DF308" s="9">
        <f>+Risultati!AJ307</f>
        <v>0</v>
      </c>
      <c r="DG308" s="31" t="str">
        <f t="shared" si="280"/>
        <v>0</v>
      </c>
      <c r="DH308" s="9">
        <f t="shared" si="281"/>
        <v>0</v>
      </c>
      <c r="DI308" s="31" t="str">
        <f t="shared" si="282"/>
        <v>0</v>
      </c>
      <c r="DJ308" s="9">
        <f>+Risultati!AW307</f>
        <v>0</v>
      </c>
      <c r="DK308" s="31" t="str">
        <f t="shared" si="283"/>
        <v>0</v>
      </c>
      <c r="DL308" s="10">
        <f t="shared" si="254"/>
        <v>0</v>
      </c>
      <c r="DM308" s="31" t="str">
        <f t="shared" si="284"/>
        <v>0</v>
      </c>
      <c r="DO308" s="30"/>
      <c r="DP308" s="30"/>
    </row>
    <row r="309" spans="1:120" x14ac:dyDescent="0.2">
      <c r="A309" s="5"/>
      <c r="B309" s="6">
        <f>+Risultati!B308</f>
        <v>0</v>
      </c>
      <c r="C309" s="6">
        <f>+Risultati!C308</f>
        <v>0</v>
      </c>
      <c r="D309" s="26" t="str">
        <f>IF(YEAR(Risultati!D308)=1900,(MID(Risultati!$AP$1,29,4)),YEAR(Risultati!D308))</f>
        <v/>
      </c>
      <c r="E309" s="6">
        <f>+Risultati!E308</f>
        <v>0</v>
      </c>
      <c r="F309" s="8" t="e">
        <f>(LEFT(Risultati!AN308,2)&amp;"-")&amp;VLOOKUP((LEFT(Risultati!AN308,2)),ateco!$B$4:$C$93,2,FALSE)</f>
        <v>#N/A</v>
      </c>
      <c r="G309" s="8" t="str">
        <f>SUBSTITUTE((Risultati!AN308&amp;"-"&amp;Risultati!AO308),",",";")</f>
        <v>-</v>
      </c>
      <c r="I309" s="10">
        <f>+Risultati!G308</f>
        <v>0</v>
      </c>
      <c r="J309" s="11" t="str">
        <f t="shared" si="236"/>
        <v>0</v>
      </c>
      <c r="K309" s="12"/>
      <c r="L309" s="10">
        <f>+Risultati!G308+Risultati!H308</f>
        <v>0</v>
      </c>
      <c r="M309" s="11" t="str">
        <f t="shared" si="237"/>
        <v>0</v>
      </c>
      <c r="N309" s="12"/>
      <c r="O309" s="10">
        <f>+Risultati!I308+Risultati!J308</f>
        <v>0</v>
      </c>
      <c r="P309" s="11" t="str">
        <f t="shared" si="238"/>
        <v>0</v>
      </c>
      <c r="Q309" s="12"/>
      <c r="R309" s="13">
        <f t="shared" si="255"/>
        <v>0</v>
      </c>
      <c r="S309" s="11" t="str">
        <f t="shared" si="239"/>
        <v>0</v>
      </c>
      <c r="T309" s="12"/>
      <c r="U309" s="10">
        <f>+Risultati!F308-(Risultati!G308+Risultati!H308)</f>
        <v>0</v>
      </c>
      <c r="V309" s="12" t="str">
        <f t="shared" si="240"/>
        <v>0</v>
      </c>
      <c r="W309" s="12"/>
      <c r="X309" s="10">
        <f t="shared" si="256"/>
        <v>0</v>
      </c>
      <c r="Y309" s="12" t="str">
        <f t="shared" si="241"/>
        <v>0</v>
      </c>
      <c r="Z309" s="12"/>
      <c r="AA309" s="10">
        <f>+Risultati!K308</f>
        <v>0</v>
      </c>
      <c r="AB309" s="12" t="str">
        <f t="shared" si="242"/>
        <v>0</v>
      </c>
      <c r="AC309" s="12"/>
      <c r="AD309" s="10">
        <f>+Risultati!L308</f>
        <v>0</v>
      </c>
      <c r="AE309" s="12" t="str">
        <f t="shared" si="243"/>
        <v>0</v>
      </c>
      <c r="AF309" s="12"/>
      <c r="AG309" s="10">
        <f>+Risultati!M308+Risultati!P308+Risultati!Q308</f>
        <v>0</v>
      </c>
      <c r="AH309" s="12" t="str">
        <f t="shared" si="244"/>
        <v>0</v>
      </c>
      <c r="AI309" s="12"/>
      <c r="AJ309" s="13">
        <f t="shared" si="257"/>
        <v>0</v>
      </c>
      <c r="AK309" s="11" t="str">
        <f t="shared" si="245"/>
        <v>0</v>
      </c>
      <c r="AL309" s="12"/>
      <c r="AM309" s="10">
        <f>+Risultati!N308</f>
        <v>0</v>
      </c>
      <c r="AN309" s="12" t="str">
        <f t="shared" si="246"/>
        <v>0</v>
      </c>
      <c r="AO309" s="12"/>
      <c r="AP309" s="10">
        <f t="shared" si="258"/>
        <v>0</v>
      </c>
      <c r="AQ309" s="41" t="str">
        <f t="shared" si="247"/>
        <v>0</v>
      </c>
      <c r="AR309" s="12"/>
      <c r="AS309" s="10">
        <f>+Risultati!O308</f>
        <v>0</v>
      </c>
      <c r="AT309" s="12" t="str">
        <f t="shared" si="248"/>
        <v>0</v>
      </c>
      <c r="AU309" s="12"/>
      <c r="AV309" s="10">
        <f t="shared" si="259"/>
        <v>0</v>
      </c>
      <c r="AW309" s="12" t="str">
        <f t="shared" si="249"/>
        <v>0</v>
      </c>
      <c r="AX309" s="12"/>
      <c r="AY309" s="10">
        <f>+Risultati!R308+Risultati!S308</f>
        <v>0</v>
      </c>
      <c r="AZ309" s="12" t="str">
        <f t="shared" si="250"/>
        <v>0</v>
      </c>
      <c r="BA309" s="12"/>
      <c r="BB309" s="10">
        <f>+Risultati!T308</f>
        <v>0</v>
      </c>
      <c r="BC309" s="12" t="str">
        <f t="shared" si="251"/>
        <v>0</v>
      </c>
      <c r="BD309" s="12"/>
      <c r="BE309" s="10">
        <f>+Risultati!U308</f>
        <v>0</v>
      </c>
      <c r="BF309" s="12" t="str">
        <f t="shared" si="252"/>
        <v>0</v>
      </c>
      <c r="BG309" s="12"/>
      <c r="BH309" s="10">
        <f t="shared" si="260"/>
        <v>0</v>
      </c>
      <c r="BI309" s="12" t="str">
        <f t="shared" si="253"/>
        <v>0</v>
      </c>
      <c r="BK309" s="16">
        <f>IF(ISNUMBER(Risultati!X308/100),(Risultati!X308/100))</f>
        <v>0</v>
      </c>
      <c r="BL309" s="16">
        <f>IF(ISNUMBER(Risultati!Y308/100),(Risultati!Y308/100))</f>
        <v>0</v>
      </c>
      <c r="BM309" s="16">
        <f>IF(ISNUMBER(Risultati!Z308/100),(Risultati!Z308/100))</f>
        <v>0</v>
      </c>
      <c r="BN309" s="16">
        <f>IF(AND(Risultati!AY308&lt;0,calcoli!AP309&lt;0),-IF(ISNUMBER(Risultati!AA308/100),(Risultati!AA308/100)),IF(ISNUMBER(Risultati!AA308/100),(Risultati!AA308/100)))</f>
        <v>0</v>
      </c>
      <c r="BO309" s="16" t="str">
        <f t="shared" si="234"/>
        <v>0</v>
      </c>
      <c r="BP309" s="16" t="str">
        <f>IF(Risultati!AB308&gt;0,(AV309/Risultati!AB308),"0")</f>
        <v>0</v>
      </c>
      <c r="BQ309" s="16" t="str">
        <f>IF(Risultati!AG308&lt;&gt;0,(BH309/Risultati!AG308),"0")</f>
        <v>0</v>
      </c>
      <c r="BR309" s="16" t="str">
        <f t="shared" si="235"/>
        <v>0</v>
      </c>
      <c r="BS309" s="14" t="str">
        <f>IF(Risultati!AB308&gt;0,(Risultati!G308/Risultati!AB308),"0")</f>
        <v>0</v>
      </c>
      <c r="BT309" s="15" t="str">
        <f>IF(Risultati!AG308&lt;&gt;0,(Risultati!AB308/Risultati!AG308),"0")</f>
        <v>0</v>
      </c>
      <c r="BU309" s="23" t="str">
        <f>IF(AND(Risultati!G308&gt;0,(Risultati!AE308-Risultati!AF308)&gt;=0),((Risultati!AE308-Risultati!AF308)/Risultati!G308*360),"0")</f>
        <v>0</v>
      </c>
      <c r="BV309" s="21" t="str">
        <f>IF(OR(E309="abbreviato",Risultati!G308=0),"0",((Risultati!AC308+Risultati!AD308)/Risultati!G308*360))</f>
        <v>0</v>
      </c>
      <c r="BW309" s="21" t="str">
        <f>IF(OR(E309="abbreviato",Risultati!G308=0,SUM(Risultati!I308+Risultati!K308+Risultati!M308)=0),"0",(((Risultati!AH308+Risultati!AI308)/(Risultati!I308+Risultati!K308+Risultati!N308)*360)))</f>
        <v>0</v>
      </c>
      <c r="BX309" s="16" t="str">
        <f>IF(Risultati!AB308&gt;0,(+Risultati!AG308/Risultati!AB308),"0")</f>
        <v>0</v>
      </c>
      <c r="BY309" s="22" t="str">
        <f>IF(OR(E309="abbreviato",Risultati!G308=0),"0",(((Risultati!AK308-(Risultati!AL308+Risultati!AM308))/Risultati!G308)))</f>
        <v>0</v>
      </c>
      <c r="BZ309" s="16" t="str">
        <f>IF(Risultati!G308&gt;0,(Risultati!AJ308/Risultati!G308),"0")</f>
        <v>0</v>
      </c>
      <c r="CA309" s="8"/>
      <c r="CB309" s="9">
        <f>+Risultati!AP308</f>
        <v>0</v>
      </c>
      <c r="CC309" s="31" t="str">
        <f t="shared" si="261"/>
        <v>0</v>
      </c>
      <c r="CD309" s="9">
        <f>+Risultati!AQ308</f>
        <v>0</v>
      </c>
      <c r="CE309" s="31" t="str">
        <f t="shared" si="262"/>
        <v>0</v>
      </c>
      <c r="CF309" s="9">
        <f>+Risultati!AR308</f>
        <v>0</v>
      </c>
      <c r="CG309" s="31" t="str">
        <f t="shared" si="263"/>
        <v>0</v>
      </c>
      <c r="CH309" s="9">
        <f>+Risultati!AS308</f>
        <v>0</v>
      </c>
      <c r="CI309" s="31" t="str">
        <f t="shared" si="264"/>
        <v>0</v>
      </c>
      <c r="CJ309" s="9">
        <f t="shared" si="265"/>
        <v>0</v>
      </c>
      <c r="CK309" s="31" t="str">
        <f t="shared" si="266"/>
        <v>0</v>
      </c>
      <c r="CL309" s="10">
        <f>+Risultati!AE308+Risultati!AF308</f>
        <v>0</v>
      </c>
      <c r="CM309" s="31" t="str">
        <f t="shared" si="267"/>
        <v>0</v>
      </c>
      <c r="CN309" s="9">
        <f>+Risultati!AT308</f>
        <v>0</v>
      </c>
      <c r="CO309" s="31" t="str">
        <f t="shared" si="268"/>
        <v>0</v>
      </c>
      <c r="CP309" s="9">
        <f>+Risultati!AU308</f>
        <v>0</v>
      </c>
      <c r="CQ309" s="31" t="str">
        <f t="shared" si="269"/>
        <v>0</v>
      </c>
      <c r="CR309" s="9">
        <f>+Risultati!AL308</f>
        <v>0</v>
      </c>
      <c r="CS309" s="31" t="str">
        <f t="shared" si="270"/>
        <v>0</v>
      </c>
      <c r="CT309" s="9">
        <f t="shared" si="271"/>
        <v>0</v>
      </c>
      <c r="CU309" s="31" t="str">
        <f t="shared" si="272"/>
        <v>0</v>
      </c>
      <c r="CV309" s="9">
        <f>+Risultati!AX308</f>
        <v>0</v>
      </c>
      <c r="CW309" s="31" t="str">
        <f t="shared" si="273"/>
        <v>0</v>
      </c>
      <c r="CX309" s="9">
        <f t="shared" si="274"/>
        <v>0</v>
      </c>
      <c r="CY309" s="31" t="str">
        <f t="shared" si="275"/>
        <v>0</v>
      </c>
      <c r="CZ309" s="9">
        <f>+Risultati!AG308</f>
        <v>0</v>
      </c>
      <c r="DA309" s="31" t="str">
        <f t="shared" si="276"/>
        <v>0</v>
      </c>
      <c r="DB309" s="9">
        <f t="shared" si="277"/>
        <v>0</v>
      </c>
      <c r="DC309" s="31" t="str">
        <f t="shared" si="278"/>
        <v>0</v>
      </c>
      <c r="DD309" s="9">
        <f>+Risultati!AV308</f>
        <v>0</v>
      </c>
      <c r="DE309" s="31" t="str">
        <f t="shared" si="279"/>
        <v>0</v>
      </c>
      <c r="DF309" s="9">
        <f>+Risultati!AJ308</f>
        <v>0</v>
      </c>
      <c r="DG309" s="31" t="str">
        <f t="shared" si="280"/>
        <v>0</v>
      </c>
      <c r="DH309" s="9">
        <f t="shared" si="281"/>
        <v>0</v>
      </c>
      <c r="DI309" s="31" t="str">
        <f t="shared" si="282"/>
        <v>0</v>
      </c>
      <c r="DJ309" s="9">
        <f>+Risultati!AW308</f>
        <v>0</v>
      </c>
      <c r="DK309" s="31" t="str">
        <f t="shared" si="283"/>
        <v>0</v>
      </c>
      <c r="DL309" s="10">
        <f t="shared" si="254"/>
        <v>0</v>
      </c>
      <c r="DM309" s="31" t="str">
        <f t="shared" si="284"/>
        <v>0</v>
      </c>
      <c r="DO309" s="30"/>
      <c r="DP309" s="30"/>
    </row>
    <row r="310" spans="1:120" x14ac:dyDescent="0.2">
      <c r="A310" s="5"/>
      <c r="B310" s="6">
        <f>+Risultati!B309</f>
        <v>0</v>
      </c>
      <c r="C310" s="6">
        <f>+Risultati!C309</f>
        <v>0</v>
      </c>
      <c r="D310" s="26" t="str">
        <f>IF(YEAR(Risultati!D309)=1900,(MID(Risultati!$AP$1,29,4)),YEAR(Risultati!D309))</f>
        <v/>
      </c>
      <c r="E310" s="6">
        <f>+Risultati!E309</f>
        <v>0</v>
      </c>
      <c r="F310" s="8" t="e">
        <f>(LEFT(Risultati!AN309,2)&amp;"-")&amp;VLOOKUP((LEFT(Risultati!AN309,2)),ateco!$B$4:$C$93,2,FALSE)</f>
        <v>#N/A</v>
      </c>
      <c r="G310" s="8" t="str">
        <f>SUBSTITUTE((Risultati!AN309&amp;"-"&amp;Risultati!AO309),",",";")</f>
        <v>-</v>
      </c>
      <c r="I310" s="10">
        <f>+Risultati!G309</f>
        <v>0</v>
      </c>
      <c r="J310" s="11" t="str">
        <f t="shared" si="236"/>
        <v>0</v>
      </c>
      <c r="K310" s="12"/>
      <c r="L310" s="10">
        <f>+Risultati!G309+Risultati!H309</f>
        <v>0</v>
      </c>
      <c r="M310" s="11" t="str">
        <f t="shared" si="237"/>
        <v>0</v>
      </c>
      <c r="N310" s="12"/>
      <c r="O310" s="10">
        <f>+Risultati!I309+Risultati!J309</f>
        <v>0</v>
      </c>
      <c r="P310" s="11" t="str">
        <f t="shared" si="238"/>
        <v>0</v>
      </c>
      <c r="Q310" s="12"/>
      <c r="R310" s="13">
        <f t="shared" si="255"/>
        <v>0</v>
      </c>
      <c r="S310" s="11" t="str">
        <f t="shared" si="239"/>
        <v>0</v>
      </c>
      <c r="T310" s="12"/>
      <c r="U310" s="10">
        <f>+Risultati!F309-(Risultati!G309+Risultati!H309)</f>
        <v>0</v>
      </c>
      <c r="V310" s="12" t="str">
        <f t="shared" si="240"/>
        <v>0</v>
      </c>
      <c r="W310" s="12"/>
      <c r="X310" s="10">
        <f t="shared" si="256"/>
        <v>0</v>
      </c>
      <c r="Y310" s="12" t="str">
        <f t="shared" si="241"/>
        <v>0</v>
      </c>
      <c r="Z310" s="12"/>
      <c r="AA310" s="10">
        <f>+Risultati!K309</f>
        <v>0</v>
      </c>
      <c r="AB310" s="12" t="str">
        <f t="shared" si="242"/>
        <v>0</v>
      </c>
      <c r="AC310" s="12"/>
      <c r="AD310" s="10">
        <f>+Risultati!L309</f>
        <v>0</v>
      </c>
      <c r="AE310" s="12" t="str">
        <f t="shared" si="243"/>
        <v>0</v>
      </c>
      <c r="AF310" s="12"/>
      <c r="AG310" s="10">
        <f>+Risultati!M309+Risultati!P309+Risultati!Q309</f>
        <v>0</v>
      </c>
      <c r="AH310" s="12" t="str">
        <f t="shared" si="244"/>
        <v>0</v>
      </c>
      <c r="AI310" s="12"/>
      <c r="AJ310" s="13">
        <f t="shared" si="257"/>
        <v>0</v>
      </c>
      <c r="AK310" s="11" t="str">
        <f t="shared" si="245"/>
        <v>0</v>
      </c>
      <c r="AL310" s="12"/>
      <c r="AM310" s="10">
        <f>+Risultati!N309</f>
        <v>0</v>
      </c>
      <c r="AN310" s="12" t="str">
        <f t="shared" si="246"/>
        <v>0</v>
      </c>
      <c r="AO310" s="12"/>
      <c r="AP310" s="10">
        <f t="shared" si="258"/>
        <v>0</v>
      </c>
      <c r="AQ310" s="41" t="str">
        <f t="shared" si="247"/>
        <v>0</v>
      </c>
      <c r="AR310" s="12"/>
      <c r="AS310" s="10">
        <f>+Risultati!O309</f>
        <v>0</v>
      </c>
      <c r="AT310" s="12" t="str">
        <f t="shared" si="248"/>
        <v>0</v>
      </c>
      <c r="AU310" s="12"/>
      <c r="AV310" s="10">
        <f t="shared" si="259"/>
        <v>0</v>
      </c>
      <c r="AW310" s="12" t="str">
        <f t="shared" si="249"/>
        <v>0</v>
      </c>
      <c r="AX310" s="12"/>
      <c r="AY310" s="10">
        <f>+Risultati!R309+Risultati!S309</f>
        <v>0</v>
      </c>
      <c r="AZ310" s="12" t="str">
        <f t="shared" si="250"/>
        <v>0</v>
      </c>
      <c r="BA310" s="12"/>
      <c r="BB310" s="10">
        <f>+Risultati!T309</f>
        <v>0</v>
      </c>
      <c r="BC310" s="12" t="str">
        <f t="shared" si="251"/>
        <v>0</v>
      </c>
      <c r="BD310" s="12"/>
      <c r="BE310" s="10">
        <f>+Risultati!U309</f>
        <v>0</v>
      </c>
      <c r="BF310" s="12" t="str">
        <f t="shared" si="252"/>
        <v>0</v>
      </c>
      <c r="BG310" s="12"/>
      <c r="BH310" s="10">
        <f t="shared" si="260"/>
        <v>0</v>
      </c>
      <c r="BI310" s="12" t="str">
        <f t="shared" si="253"/>
        <v>0</v>
      </c>
      <c r="BK310" s="16">
        <f>IF(ISNUMBER(Risultati!X309/100),(Risultati!X309/100))</f>
        <v>0</v>
      </c>
      <c r="BL310" s="16">
        <f>IF(ISNUMBER(Risultati!Y309/100),(Risultati!Y309/100))</f>
        <v>0</v>
      </c>
      <c r="BM310" s="16">
        <f>IF(ISNUMBER(Risultati!Z309/100),(Risultati!Z309/100))</f>
        <v>0</v>
      </c>
      <c r="BN310" s="16">
        <f>IF(AND(Risultati!AY309&lt;0,calcoli!AP310&lt;0),-IF(ISNUMBER(Risultati!AA309/100),(Risultati!AA309/100)),IF(ISNUMBER(Risultati!AA309/100),(Risultati!AA309/100)))</f>
        <v>0</v>
      </c>
      <c r="BO310" s="16" t="str">
        <f t="shared" si="234"/>
        <v>0</v>
      </c>
      <c r="BP310" s="16" t="str">
        <f>IF(Risultati!AB309&gt;0,(AV310/Risultati!AB309),"0")</f>
        <v>0</v>
      </c>
      <c r="BQ310" s="16" t="str">
        <f>IF(Risultati!AG309&lt;&gt;0,(BH310/Risultati!AG309),"0")</f>
        <v>0</v>
      </c>
      <c r="BR310" s="16" t="str">
        <f t="shared" si="235"/>
        <v>0</v>
      </c>
      <c r="BS310" s="14" t="str">
        <f>IF(Risultati!AB309&gt;0,(Risultati!G309/Risultati!AB309),"0")</f>
        <v>0</v>
      </c>
      <c r="BT310" s="15" t="str">
        <f>IF(Risultati!AG309&lt;&gt;0,(Risultati!AB309/Risultati!AG309),"0")</f>
        <v>0</v>
      </c>
      <c r="BU310" s="23" t="str">
        <f>IF(AND(Risultati!G309&gt;0,(Risultati!AE309-Risultati!AF309)&gt;=0),((Risultati!AE309-Risultati!AF309)/Risultati!G309*360),"0")</f>
        <v>0</v>
      </c>
      <c r="BV310" s="21" t="str">
        <f>IF(OR(E310="abbreviato",Risultati!G309=0),"0",((Risultati!AC309+Risultati!AD309)/Risultati!G309*360))</f>
        <v>0</v>
      </c>
      <c r="BW310" s="21" t="str">
        <f>IF(OR(E310="abbreviato",Risultati!G309=0,SUM(Risultati!I309+Risultati!K309+Risultati!M309)=0),"0",(((Risultati!AH309+Risultati!AI309)/(Risultati!I309+Risultati!K309+Risultati!N309)*360)))</f>
        <v>0</v>
      </c>
      <c r="BX310" s="16" t="str">
        <f>IF(Risultati!AB309&gt;0,(+Risultati!AG309/Risultati!AB309),"0")</f>
        <v>0</v>
      </c>
      <c r="BY310" s="22" t="str">
        <f>IF(OR(E310="abbreviato",Risultati!G309=0),"0",(((Risultati!AK309-(Risultati!AL309+Risultati!AM309))/Risultati!G309)))</f>
        <v>0</v>
      </c>
      <c r="BZ310" s="16" t="str">
        <f>IF(Risultati!G309&gt;0,(Risultati!AJ309/Risultati!G309),"0")</f>
        <v>0</v>
      </c>
      <c r="CA310" s="8"/>
      <c r="CB310" s="9">
        <f>+Risultati!AP309</f>
        <v>0</v>
      </c>
      <c r="CC310" s="31" t="str">
        <f t="shared" si="261"/>
        <v>0</v>
      </c>
      <c r="CD310" s="9">
        <f>+Risultati!AQ309</f>
        <v>0</v>
      </c>
      <c r="CE310" s="31" t="str">
        <f t="shared" si="262"/>
        <v>0</v>
      </c>
      <c r="CF310" s="9">
        <f>+Risultati!AR309</f>
        <v>0</v>
      </c>
      <c r="CG310" s="31" t="str">
        <f t="shared" si="263"/>
        <v>0</v>
      </c>
      <c r="CH310" s="9">
        <f>+Risultati!AS309</f>
        <v>0</v>
      </c>
      <c r="CI310" s="31" t="str">
        <f t="shared" si="264"/>
        <v>0</v>
      </c>
      <c r="CJ310" s="9">
        <f t="shared" si="265"/>
        <v>0</v>
      </c>
      <c r="CK310" s="31" t="str">
        <f t="shared" si="266"/>
        <v>0</v>
      </c>
      <c r="CL310" s="10">
        <f>+Risultati!AE309+Risultati!AF309</f>
        <v>0</v>
      </c>
      <c r="CM310" s="31" t="str">
        <f t="shared" si="267"/>
        <v>0</v>
      </c>
      <c r="CN310" s="9">
        <f>+Risultati!AT309</f>
        <v>0</v>
      </c>
      <c r="CO310" s="31" t="str">
        <f t="shared" si="268"/>
        <v>0</v>
      </c>
      <c r="CP310" s="9">
        <f>+Risultati!AU309</f>
        <v>0</v>
      </c>
      <c r="CQ310" s="31" t="str">
        <f t="shared" si="269"/>
        <v>0</v>
      </c>
      <c r="CR310" s="9">
        <f>+Risultati!AL309</f>
        <v>0</v>
      </c>
      <c r="CS310" s="31" t="str">
        <f t="shared" si="270"/>
        <v>0</v>
      </c>
      <c r="CT310" s="9">
        <f t="shared" si="271"/>
        <v>0</v>
      </c>
      <c r="CU310" s="31" t="str">
        <f t="shared" si="272"/>
        <v>0</v>
      </c>
      <c r="CV310" s="9">
        <f>+Risultati!AX309</f>
        <v>0</v>
      </c>
      <c r="CW310" s="31" t="str">
        <f t="shared" si="273"/>
        <v>0</v>
      </c>
      <c r="CX310" s="9">
        <f t="shared" si="274"/>
        <v>0</v>
      </c>
      <c r="CY310" s="31" t="str">
        <f t="shared" si="275"/>
        <v>0</v>
      </c>
      <c r="CZ310" s="9">
        <f>+Risultati!AG309</f>
        <v>0</v>
      </c>
      <c r="DA310" s="31" t="str">
        <f t="shared" si="276"/>
        <v>0</v>
      </c>
      <c r="DB310" s="9">
        <f t="shared" si="277"/>
        <v>0</v>
      </c>
      <c r="DC310" s="31" t="str">
        <f t="shared" si="278"/>
        <v>0</v>
      </c>
      <c r="DD310" s="9">
        <f>+Risultati!AV309</f>
        <v>0</v>
      </c>
      <c r="DE310" s="31" t="str">
        <f t="shared" si="279"/>
        <v>0</v>
      </c>
      <c r="DF310" s="9">
        <f>+Risultati!AJ309</f>
        <v>0</v>
      </c>
      <c r="DG310" s="31" t="str">
        <f t="shared" si="280"/>
        <v>0</v>
      </c>
      <c r="DH310" s="9">
        <f t="shared" si="281"/>
        <v>0</v>
      </c>
      <c r="DI310" s="31" t="str">
        <f t="shared" si="282"/>
        <v>0</v>
      </c>
      <c r="DJ310" s="9">
        <f>+Risultati!AW309</f>
        <v>0</v>
      </c>
      <c r="DK310" s="31" t="str">
        <f t="shared" si="283"/>
        <v>0</v>
      </c>
      <c r="DL310" s="10">
        <f t="shared" si="254"/>
        <v>0</v>
      </c>
      <c r="DM310" s="31" t="str">
        <f t="shared" si="284"/>
        <v>0</v>
      </c>
      <c r="DO310" s="30"/>
      <c r="DP310" s="30"/>
    </row>
    <row r="311" spans="1:120" x14ac:dyDescent="0.2">
      <c r="A311" s="5"/>
      <c r="B311" s="6">
        <f>+Risultati!B310</f>
        <v>0</v>
      </c>
      <c r="C311" s="6">
        <f>+Risultati!C310</f>
        <v>0</v>
      </c>
      <c r="D311" s="26" t="str">
        <f>IF(YEAR(Risultati!D310)=1900,(MID(Risultati!$AP$1,29,4)),YEAR(Risultati!D310))</f>
        <v/>
      </c>
      <c r="E311" s="6">
        <f>+Risultati!E310</f>
        <v>0</v>
      </c>
      <c r="F311" s="8" t="e">
        <f>(LEFT(Risultati!AN310,2)&amp;"-")&amp;VLOOKUP((LEFT(Risultati!AN310,2)),ateco!$B$4:$C$93,2,FALSE)</f>
        <v>#N/A</v>
      </c>
      <c r="G311" s="8" t="str">
        <f>SUBSTITUTE((Risultati!AN310&amp;"-"&amp;Risultati!AO310),",",";")</f>
        <v>-</v>
      </c>
      <c r="I311" s="10">
        <f>+Risultati!G310</f>
        <v>0</v>
      </c>
      <c r="J311" s="11" t="str">
        <f t="shared" si="236"/>
        <v>0</v>
      </c>
      <c r="K311" s="12"/>
      <c r="L311" s="10">
        <f>+Risultati!G310+Risultati!H310</f>
        <v>0</v>
      </c>
      <c r="M311" s="11" t="str">
        <f t="shared" si="237"/>
        <v>0</v>
      </c>
      <c r="N311" s="12"/>
      <c r="O311" s="10">
        <f>+Risultati!I310+Risultati!J310</f>
        <v>0</v>
      </c>
      <c r="P311" s="11" t="str">
        <f t="shared" si="238"/>
        <v>0</v>
      </c>
      <c r="Q311" s="12"/>
      <c r="R311" s="13">
        <f t="shared" si="255"/>
        <v>0</v>
      </c>
      <c r="S311" s="11" t="str">
        <f t="shared" si="239"/>
        <v>0</v>
      </c>
      <c r="T311" s="12"/>
      <c r="U311" s="10">
        <f>+Risultati!F310-(Risultati!G310+Risultati!H310)</f>
        <v>0</v>
      </c>
      <c r="V311" s="12" t="str">
        <f t="shared" si="240"/>
        <v>0</v>
      </c>
      <c r="W311" s="12"/>
      <c r="X311" s="10">
        <f t="shared" si="256"/>
        <v>0</v>
      </c>
      <c r="Y311" s="12" t="str">
        <f t="shared" si="241"/>
        <v>0</v>
      </c>
      <c r="Z311" s="12"/>
      <c r="AA311" s="10">
        <f>+Risultati!K310</f>
        <v>0</v>
      </c>
      <c r="AB311" s="12" t="str">
        <f t="shared" si="242"/>
        <v>0</v>
      </c>
      <c r="AC311" s="12"/>
      <c r="AD311" s="10">
        <f>+Risultati!L310</f>
        <v>0</v>
      </c>
      <c r="AE311" s="12" t="str">
        <f t="shared" si="243"/>
        <v>0</v>
      </c>
      <c r="AF311" s="12"/>
      <c r="AG311" s="10">
        <f>+Risultati!M310+Risultati!P310+Risultati!Q310</f>
        <v>0</v>
      </c>
      <c r="AH311" s="12" t="str">
        <f t="shared" si="244"/>
        <v>0</v>
      </c>
      <c r="AI311" s="12"/>
      <c r="AJ311" s="13">
        <f t="shared" si="257"/>
        <v>0</v>
      </c>
      <c r="AK311" s="11" t="str">
        <f t="shared" si="245"/>
        <v>0</v>
      </c>
      <c r="AL311" s="12"/>
      <c r="AM311" s="10">
        <f>+Risultati!N310</f>
        <v>0</v>
      </c>
      <c r="AN311" s="12" t="str">
        <f t="shared" si="246"/>
        <v>0</v>
      </c>
      <c r="AO311" s="12"/>
      <c r="AP311" s="10">
        <f t="shared" si="258"/>
        <v>0</v>
      </c>
      <c r="AQ311" s="41" t="str">
        <f t="shared" si="247"/>
        <v>0</v>
      </c>
      <c r="AR311" s="12"/>
      <c r="AS311" s="10">
        <f>+Risultati!O310</f>
        <v>0</v>
      </c>
      <c r="AT311" s="12" t="str">
        <f t="shared" si="248"/>
        <v>0</v>
      </c>
      <c r="AU311" s="12"/>
      <c r="AV311" s="10">
        <f t="shared" si="259"/>
        <v>0</v>
      </c>
      <c r="AW311" s="12" t="str">
        <f t="shared" si="249"/>
        <v>0</v>
      </c>
      <c r="AX311" s="12"/>
      <c r="AY311" s="10">
        <f>+Risultati!R310+Risultati!S310</f>
        <v>0</v>
      </c>
      <c r="AZ311" s="12" t="str">
        <f t="shared" si="250"/>
        <v>0</v>
      </c>
      <c r="BA311" s="12"/>
      <c r="BB311" s="10">
        <f>+Risultati!T310</f>
        <v>0</v>
      </c>
      <c r="BC311" s="12" t="str">
        <f t="shared" si="251"/>
        <v>0</v>
      </c>
      <c r="BD311" s="12"/>
      <c r="BE311" s="10">
        <f>+Risultati!U310</f>
        <v>0</v>
      </c>
      <c r="BF311" s="12" t="str">
        <f t="shared" si="252"/>
        <v>0</v>
      </c>
      <c r="BG311" s="12"/>
      <c r="BH311" s="10">
        <f t="shared" si="260"/>
        <v>0</v>
      </c>
      <c r="BI311" s="12" t="str">
        <f t="shared" si="253"/>
        <v>0</v>
      </c>
      <c r="BK311" s="16">
        <f>IF(ISNUMBER(Risultati!X310/100),(Risultati!X310/100))</f>
        <v>0</v>
      </c>
      <c r="BL311" s="16">
        <f>IF(ISNUMBER(Risultati!Y310/100),(Risultati!Y310/100))</f>
        <v>0</v>
      </c>
      <c r="BM311" s="16">
        <f>IF(ISNUMBER(Risultati!Z310/100),(Risultati!Z310/100))</f>
        <v>0</v>
      </c>
      <c r="BN311" s="16">
        <f>IF(AND(Risultati!AY310&lt;0,calcoli!AP311&lt;0),-IF(ISNUMBER(Risultati!AA310/100),(Risultati!AA310/100)),IF(ISNUMBER(Risultati!AA310/100),(Risultati!AA310/100)))</f>
        <v>0</v>
      </c>
      <c r="BO311" s="16" t="str">
        <f t="shared" si="234"/>
        <v>0</v>
      </c>
      <c r="BP311" s="16" t="str">
        <f>IF(Risultati!AB310&gt;0,(AV311/Risultati!AB310),"0")</f>
        <v>0</v>
      </c>
      <c r="BQ311" s="16" t="str">
        <f>IF(Risultati!AG310&lt;&gt;0,(BH311/Risultati!AG310),"0")</f>
        <v>0</v>
      </c>
      <c r="BR311" s="16" t="str">
        <f t="shared" si="235"/>
        <v>0</v>
      </c>
      <c r="BS311" s="14" t="str">
        <f>IF(Risultati!AB310&gt;0,(Risultati!G310/Risultati!AB310),"0")</f>
        <v>0</v>
      </c>
      <c r="BT311" s="15" t="str">
        <f>IF(Risultati!AG310&lt;&gt;0,(Risultati!AB310/Risultati!AG310),"0")</f>
        <v>0</v>
      </c>
      <c r="BU311" s="23" t="str">
        <f>IF(AND(Risultati!G310&gt;0,(Risultati!AE310-Risultati!AF310)&gt;=0),((Risultati!AE310-Risultati!AF310)/Risultati!G310*360),"0")</f>
        <v>0</v>
      </c>
      <c r="BV311" s="21" t="str">
        <f>IF(OR(E311="abbreviato",Risultati!G310=0),"0",((Risultati!AC310+Risultati!AD310)/Risultati!G310*360))</f>
        <v>0</v>
      </c>
      <c r="BW311" s="21" t="str">
        <f>IF(OR(E311="abbreviato",Risultati!G310=0,SUM(Risultati!I310+Risultati!K310+Risultati!M310)=0),"0",(((Risultati!AH310+Risultati!AI310)/(Risultati!I310+Risultati!K310+Risultati!N310)*360)))</f>
        <v>0</v>
      </c>
      <c r="BX311" s="16" t="str">
        <f>IF(Risultati!AB310&gt;0,(+Risultati!AG310/Risultati!AB310),"0")</f>
        <v>0</v>
      </c>
      <c r="BY311" s="22" t="str">
        <f>IF(OR(E311="abbreviato",Risultati!G310=0),"0",(((Risultati!AK310-(Risultati!AL310+Risultati!AM310))/Risultati!G310)))</f>
        <v>0</v>
      </c>
      <c r="BZ311" s="16" t="str">
        <f>IF(Risultati!G310&gt;0,(Risultati!AJ310/Risultati!G310),"0")</f>
        <v>0</v>
      </c>
      <c r="CA311" s="8"/>
      <c r="CB311" s="9">
        <f>+Risultati!AP310</f>
        <v>0</v>
      </c>
      <c r="CC311" s="31" t="str">
        <f t="shared" si="261"/>
        <v>0</v>
      </c>
      <c r="CD311" s="9">
        <f>+Risultati!AQ310</f>
        <v>0</v>
      </c>
      <c r="CE311" s="31" t="str">
        <f t="shared" si="262"/>
        <v>0</v>
      </c>
      <c r="CF311" s="9">
        <f>+Risultati!AR310</f>
        <v>0</v>
      </c>
      <c r="CG311" s="31" t="str">
        <f t="shared" si="263"/>
        <v>0</v>
      </c>
      <c r="CH311" s="9">
        <f>+Risultati!AS310</f>
        <v>0</v>
      </c>
      <c r="CI311" s="31" t="str">
        <f t="shared" si="264"/>
        <v>0</v>
      </c>
      <c r="CJ311" s="9">
        <f t="shared" si="265"/>
        <v>0</v>
      </c>
      <c r="CK311" s="31" t="str">
        <f t="shared" si="266"/>
        <v>0</v>
      </c>
      <c r="CL311" s="10">
        <f>+Risultati!AE310+Risultati!AF310</f>
        <v>0</v>
      </c>
      <c r="CM311" s="31" t="str">
        <f t="shared" si="267"/>
        <v>0</v>
      </c>
      <c r="CN311" s="9">
        <f>+Risultati!AT310</f>
        <v>0</v>
      </c>
      <c r="CO311" s="31" t="str">
        <f t="shared" si="268"/>
        <v>0</v>
      </c>
      <c r="CP311" s="9">
        <f>+Risultati!AU310</f>
        <v>0</v>
      </c>
      <c r="CQ311" s="31" t="str">
        <f t="shared" si="269"/>
        <v>0</v>
      </c>
      <c r="CR311" s="9">
        <f>+Risultati!AL310</f>
        <v>0</v>
      </c>
      <c r="CS311" s="31" t="str">
        <f t="shared" si="270"/>
        <v>0</v>
      </c>
      <c r="CT311" s="9">
        <f t="shared" si="271"/>
        <v>0</v>
      </c>
      <c r="CU311" s="31" t="str">
        <f t="shared" si="272"/>
        <v>0</v>
      </c>
      <c r="CV311" s="9">
        <f>+Risultati!AX310</f>
        <v>0</v>
      </c>
      <c r="CW311" s="31" t="str">
        <f t="shared" si="273"/>
        <v>0</v>
      </c>
      <c r="CX311" s="9">
        <f t="shared" si="274"/>
        <v>0</v>
      </c>
      <c r="CY311" s="31" t="str">
        <f t="shared" si="275"/>
        <v>0</v>
      </c>
      <c r="CZ311" s="9">
        <f>+Risultati!AG310</f>
        <v>0</v>
      </c>
      <c r="DA311" s="31" t="str">
        <f t="shared" si="276"/>
        <v>0</v>
      </c>
      <c r="DB311" s="9">
        <f t="shared" si="277"/>
        <v>0</v>
      </c>
      <c r="DC311" s="31" t="str">
        <f t="shared" si="278"/>
        <v>0</v>
      </c>
      <c r="DD311" s="9">
        <f>+Risultati!AV310</f>
        <v>0</v>
      </c>
      <c r="DE311" s="31" t="str">
        <f t="shared" si="279"/>
        <v>0</v>
      </c>
      <c r="DF311" s="9">
        <f>+Risultati!AJ310</f>
        <v>0</v>
      </c>
      <c r="DG311" s="31" t="str">
        <f t="shared" si="280"/>
        <v>0</v>
      </c>
      <c r="DH311" s="9">
        <f t="shared" si="281"/>
        <v>0</v>
      </c>
      <c r="DI311" s="31" t="str">
        <f t="shared" si="282"/>
        <v>0</v>
      </c>
      <c r="DJ311" s="9">
        <f>+Risultati!AW310</f>
        <v>0</v>
      </c>
      <c r="DK311" s="31" t="str">
        <f t="shared" si="283"/>
        <v>0</v>
      </c>
      <c r="DL311" s="10">
        <f t="shared" si="254"/>
        <v>0</v>
      </c>
      <c r="DM311" s="31" t="str">
        <f t="shared" si="284"/>
        <v>0</v>
      </c>
      <c r="DO311" s="30"/>
      <c r="DP311" s="30"/>
    </row>
    <row r="312" spans="1:120" x14ac:dyDescent="0.2">
      <c r="A312" s="5"/>
      <c r="B312" s="6">
        <f>+Risultati!B311</f>
        <v>0</v>
      </c>
      <c r="C312" s="6">
        <f>+Risultati!C311</f>
        <v>0</v>
      </c>
      <c r="D312" s="26" t="str">
        <f>IF(YEAR(Risultati!D311)=1900,(MID(Risultati!$AP$1,29,4)),YEAR(Risultati!D311))</f>
        <v/>
      </c>
      <c r="E312" s="6">
        <f>+Risultati!E311</f>
        <v>0</v>
      </c>
      <c r="F312" s="8" t="e">
        <f>(LEFT(Risultati!AN311,2)&amp;"-")&amp;VLOOKUP((LEFT(Risultati!AN311,2)),ateco!$B$4:$C$93,2,FALSE)</f>
        <v>#N/A</v>
      </c>
      <c r="G312" s="8" t="str">
        <f>SUBSTITUTE((Risultati!AN311&amp;"-"&amp;Risultati!AO311),",",";")</f>
        <v>-</v>
      </c>
      <c r="I312" s="10">
        <f>+Risultati!G311</f>
        <v>0</v>
      </c>
      <c r="J312" s="11" t="str">
        <f t="shared" si="236"/>
        <v>0</v>
      </c>
      <c r="K312" s="12"/>
      <c r="L312" s="10">
        <f>+Risultati!G311+Risultati!H311</f>
        <v>0</v>
      </c>
      <c r="M312" s="11" t="str">
        <f t="shared" si="237"/>
        <v>0</v>
      </c>
      <c r="N312" s="12"/>
      <c r="O312" s="10">
        <f>+Risultati!I311+Risultati!J311</f>
        <v>0</v>
      </c>
      <c r="P312" s="11" t="str">
        <f t="shared" si="238"/>
        <v>0</v>
      </c>
      <c r="Q312" s="12"/>
      <c r="R312" s="13">
        <f t="shared" si="255"/>
        <v>0</v>
      </c>
      <c r="S312" s="11" t="str">
        <f t="shared" si="239"/>
        <v>0</v>
      </c>
      <c r="T312" s="12"/>
      <c r="U312" s="10">
        <f>+Risultati!F311-(Risultati!G311+Risultati!H311)</f>
        <v>0</v>
      </c>
      <c r="V312" s="12" t="str">
        <f t="shared" si="240"/>
        <v>0</v>
      </c>
      <c r="W312" s="12"/>
      <c r="X312" s="10">
        <f t="shared" si="256"/>
        <v>0</v>
      </c>
      <c r="Y312" s="12" t="str">
        <f t="shared" si="241"/>
        <v>0</v>
      </c>
      <c r="Z312" s="12"/>
      <c r="AA312" s="10">
        <f>+Risultati!K311</f>
        <v>0</v>
      </c>
      <c r="AB312" s="12" t="str">
        <f t="shared" si="242"/>
        <v>0</v>
      </c>
      <c r="AC312" s="12"/>
      <c r="AD312" s="10">
        <f>+Risultati!L311</f>
        <v>0</v>
      </c>
      <c r="AE312" s="12" t="str">
        <f t="shared" si="243"/>
        <v>0</v>
      </c>
      <c r="AF312" s="12"/>
      <c r="AG312" s="10">
        <f>+Risultati!M311+Risultati!P311+Risultati!Q311</f>
        <v>0</v>
      </c>
      <c r="AH312" s="12" t="str">
        <f t="shared" si="244"/>
        <v>0</v>
      </c>
      <c r="AI312" s="12"/>
      <c r="AJ312" s="13">
        <f t="shared" si="257"/>
        <v>0</v>
      </c>
      <c r="AK312" s="11" t="str">
        <f t="shared" si="245"/>
        <v>0</v>
      </c>
      <c r="AL312" s="12"/>
      <c r="AM312" s="10">
        <f>+Risultati!N311</f>
        <v>0</v>
      </c>
      <c r="AN312" s="12" t="str">
        <f t="shared" si="246"/>
        <v>0</v>
      </c>
      <c r="AO312" s="12"/>
      <c r="AP312" s="10">
        <f t="shared" si="258"/>
        <v>0</v>
      </c>
      <c r="AQ312" s="41" t="str">
        <f t="shared" si="247"/>
        <v>0</v>
      </c>
      <c r="AR312" s="12"/>
      <c r="AS312" s="10">
        <f>+Risultati!O311</f>
        <v>0</v>
      </c>
      <c r="AT312" s="12" t="str">
        <f t="shared" si="248"/>
        <v>0</v>
      </c>
      <c r="AU312" s="12"/>
      <c r="AV312" s="10">
        <f t="shared" si="259"/>
        <v>0</v>
      </c>
      <c r="AW312" s="12" t="str">
        <f t="shared" si="249"/>
        <v>0</v>
      </c>
      <c r="AX312" s="12"/>
      <c r="AY312" s="10">
        <f>+Risultati!R311+Risultati!S311</f>
        <v>0</v>
      </c>
      <c r="AZ312" s="12" t="str">
        <f t="shared" si="250"/>
        <v>0</v>
      </c>
      <c r="BA312" s="12"/>
      <c r="BB312" s="10">
        <f>+Risultati!T311</f>
        <v>0</v>
      </c>
      <c r="BC312" s="12" t="str">
        <f t="shared" si="251"/>
        <v>0</v>
      </c>
      <c r="BD312" s="12"/>
      <c r="BE312" s="10">
        <f>+Risultati!U311</f>
        <v>0</v>
      </c>
      <c r="BF312" s="12" t="str">
        <f t="shared" si="252"/>
        <v>0</v>
      </c>
      <c r="BG312" s="12"/>
      <c r="BH312" s="10">
        <f t="shared" si="260"/>
        <v>0</v>
      </c>
      <c r="BI312" s="12" t="str">
        <f t="shared" si="253"/>
        <v>0</v>
      </c>
      <c r="BK312" s="16">
        <f>IF(ISNUMBER(Risultati!X311/100),(Risultati!X311/100))</f>
        <v>0</v>
      </c>
      <c r="BL312" s="16">
        <f>IF(ISNUMBER(Risultati!Y311/100),(Risultati!Y311/100))</f>
        <v>0</v>
      </c>
      <c r="BM312" s="16">
        <f>IF(ISNUMBER(Risultati!Z311/100),(Risultati!Z311/100))</f>
        <v>0</v>
      </c>
      <c r="BN312" s="16">
        <f>IF(AND(Risultati!AY311&lt;0,calcoli!AP312&lt;0),-IF(ISNUMBER(Risultati!AA311/100),(Risultati!AA311/100)),IF(ISNUMBER(Risultati!AA311/100),(Risultati!AA311/100)))</f>
        <v>0</v>
      </c>
      <c r="BO312" s="16" t="str">
        <f t="shared" si="234"/>
        <v>0</v>
      </c>
      <c r="BP312" s="16" t="str">
        <f>IF(Risultati!AB311&gt;0,(AV312/Risultati!AB311),"0")</f>
        <v>0</v>
      </c>
      <c r="BQ312" s="16" t="str">
        <f>IF(Risultati!AG311&lt;&gt;0,(BH312/Risultati!AG311),"0")</f>
        <v>0</v>
      </c>
      <c r="BR312" s="16" t="str">
        <f t="shared" si="235"/>
        <v>0</v>
      </c>
      <c r="BS312" s="14" t="str">
        <f>IF(Risultati!AB311&gt;0,(Risultati!G311/Risultati!AB311),"0")</f>
        <v>0</v>
      </c>
      <c r="BT312" s="15" t="str">
        <f>IF(Risultati!AG311&lt;&gt;0,(Risultati!AB311/Risultati!AG311),"0")</f>
        <v>0</v>
      </c>
      <c r="BU312" s="23" t="str">
        <f>IF(AND(Risultati!G311&gt;0,(Risultati!AE311-Risultati!AF311)&gt;=0),((Risultati!AE311-Risultati!AF311)/Risultati!G311*360),"0")</f>
        <v>0</v>
      </c>
      <c r="BV312" s="21" t="str">
        <f>IF(OR(E312="abbreviato",Risultati!G311=0),"0",((Risultati!AC311+Risultati!AD311)/Risultati!G311*360))</f>
        <v>0</v>
      </c>
      <c r="BW312" s="21" t="str">
        <f>IF(OR(E312="abbreviato",Risultati!G311=0,SUM(Risultati!I311+Risultati!K311+Risultati!M311)=0),"0",(((Risultati!AH311+Risultati!AI311)/(Risultati!I311+Risultati!K311+Risultati!N311)*360)))</f>
        <v>0</v>
      </c>
      <c r="BX312" s="16" t="str">
        <f>IF(Risultati!AB311&gt;0,(+Risultati!AG311/Risultati!AB311),"0")</f>
        <v>0</v>
      </c>
      <c r="BY312" s="22" t="str">
        <f>IF(OR(E312="abbreviato",Risultati!G311=0),"0",(((Risultati!AK311-(Risultati!AL311+Risultati!AM311))/Risultati!G311)))</f>
        <v>0</v>
      </c>
      <c r="BZ312" s="16" t="str">
        <f>IF(Risultati!G311&gt;0,(Risultati!AJ311/Risultati!G311),"0")</f>
        <v>0</v>
      </c>
      <c r="CA312" s="8"/>
      <c r="CB312" s="9">
        <f>+Risultati!AP311</f>
        <v>0</v>
      </c>
      <c r="CC312" s="31" t="str">
        <f t="shared" si="261"/>
        <v>0</v>
      </c>
      <c r="CD312" s="9">
        <f>+Risultati!AQ311</f>
        <v>0</v>
      </c>
      <c r="CE312" s="31" t="str">
        <f t="shared" si="262"/>
        <v>0</v>
      </c>
      <c r="CF312" s="9">
        <f>+Risultati!AR311</f>
        <v>0</v>
      </c>
      <c r="CG312" s="31" t="str">
        <f t="shared" si="263"/>
        <v>0</v>
      </c>
      <c r="CH312" s="9">
        <f>+Risultati!AS311</f>
        <v>0</v>
      </c>
      <c r="CI312" s="31" t="str">
        <f t="shared" si="264"/>
        <v>0</v>
      </c>
      <c r="CJ312" s="9">
        <f t="shared" si="265"/>
        <v>0</v>
      </c>
      <c r="CK312" s="31" t="str">
        <f t="shared" si="266"/>
        <v>0</v>
      </c>
      <c r="CL312" s="10">
        <f>+Risultati!AE311+Risultati!AF311</f>
        <v>0</v>
      </c>
      <c r="CM312" s="31" t="str">
        <f t="shared" si="267"/>
        <v>0</v>
      </c>
      <c r="CN312" s="9">
        <f>+Risultati!AT311</f>
        <v>0</v>
      </c>
      <c r="CO312" s="31" t="str">
        <f t="shared" si="268"/>
        <v>0</v>
      </c>
      <c r="CP312" s="9">
        <f>+Risultati!AU311</f>
        <v>0</v>
      </c>
      <c r="CQ312" s="31" t="str">
        <f t="shared" si="269"/>
        <v>0</v>
      </c>
      <c r="CR312" s="9">
        <f>+Risultati!AL311</f>
        <v>0</v>
      </c>
      <c r="CS312" s="31" t="str">
        <f t="shared" si="270"/>
        <v>0</v>
      </c>
      <c r="CT312" s="9">
        <f t="shared" si="271"/>
        <v>0</v>
      </c>
      <c r="CU312" s="31" t="str">
        <f t="shared" si="272"/>
        <v>0</v>
      </c>
      <c r="CV312" s="9">
        <f>+Risultati!AX311</f>
        <v>0</v>
      </c>
      <c r="CW312" s="31" t="str">
        <f t="shared" si="273"/>
        <v>0</v>
      </c>
      <c r="CX312" s="9">
        <f t="shared" si="274"/>
        <v>0</v>
      </c>
      <c r="CY312" s="31" t="str">
        <f t="shared" si="275"/>
        <v>0</v>
      </c>
      <c r="CZ312" s="9">
        <f>+Risultati!AG311</f>
        <v>0</v>
      </c>
      <c r="DA312" s="31" t="str">
        <f t="shared" si="276"/>
        <v>0</v>
      </c>
      <c r="DB312" s="9">
        <f t="shared" si="277"/>
        <v>0</v>
      </c>
      <c r="DC312" s="31" t="str">
        <f t="shared" si="278"/>
        <v>0</v>
      </c>
      <c r="DD312" s="9">
        <f>+Risultati!AV311</f>
        <v>0</v>
      </c>
      <c r="DE312" s="31" t="str">
        <f t="shared" si="279"/>
        <v>0</v>
      </c>
      <c r="DF312" s="9">
        <f>+Risultati!AJ311</f>
        <v>0</v>
      </c>
      <c r="DG312" s="31" t="str">
        <f t="shared" si="280"/>
        <v>0</v>
      </c>
      <c r="DH312" s="9">
        <f t="shared" si="281"/>
        <v>0</v>
      </c>
      <c r="DI312" s="31" t="str">
        <f t="shared" si="282"/>
        <v>0</v>
      </c>
      <c r="DJ312" s="9">
        <f>+Risultati!AW311</f>
        <v>0</v>
      </c>
      <c r="DK312" s="31" t="str">
        <f t="shared" si="283"/>
        <v>0</v>
      </c>
      <c r="DL312" s="10">
        <f t="shared" si="254"/>
        <v>0</v>
      </c>
      <c r="DM312" s="31" t="str">
        <f t="shared" si="284"/>
        <v>0</v>
      </c>
      <c r="DO312" s="30"/>
      <c r="DP312" s="30"/>
    </row>
    <row r="313" spans="1:120" x14ac:dyDescent="0.2">
      <c r="A313" s="5"/>
      <c r="B313" s="6">
        <f>+Risultati!B312</f>
        <v>0</v>
      </c>
      <c r="C313" s="6">
        <f>+Risultati!C312</f>
        <v>0</v>
      </c>
      <c r="D313" s="26" t="str">
        <f>IF(YEAR(Risultati!D312)=1900,(MID(Risultati!$AP$1,29,4)),YEAR(Risultati!D312))</f>
        <v/>
      </c>
      <c r="E313" s="6">
        <f>+Risultati!E312</f>
        <v>0</v>
      </c>
      <c r="F313" s="8" t="e">
        <f>(LEFT(Risultati!AN312,2)&amp;"-")&amp;VLOOKUP((LEFT(Risultati!AN312,2)),ateco!$B$4:$C$93,2,FALSE)</f>
        <v>#N/A</v>
      </c>
      <c r="G313" s="8" t="str">
        <f>SUBSTITUTE((Risultati!AN312&amp;"-"&amp;Risultati!AO312),",",";")</f>
        <v>-</v>
      </c>
      <c r="I313" s="10">
        <f>+Risultati!G312</f>
        <v>0</v>
      </c>
      <c r="J313" s="11" t="str">
        <f t="shared" si="236"/>
        <v>0</v>
      </c>
      <c r="K313" s="12"/>
      <c r="L313" s="10">
        <f>+Risultati!G312+Risultati!H312</f>
        <v>0</v>
      </c>
      <c r="M313" s="11" t="str">
        <f t="shared" si="237"/>
        <v>0</v>
      </c>
      <c r="N313" s="12"/>
      <c r="O313" s="10">
        <f>+Risultati!I312+Risultati!J312</f>
        <v>0</v>
      </c>
      <c r="P313" s="11" t="str">
        <f t="shared" si="238"/>
        <v>0</v>
      </c>
      <c r="Q313" s="12"/>
      <c r="R313" s="13">
        <f t="shared" si="255"/>
        <v>0</v>
      </c>
      <c r="S313" s="11" t="str">
        <f t="shared" si="239"/>
        <v>0</v>
      </c>
      <c r="T313" s="12"/>
      <c r="U313" s="10">
        <f>+Risultati!F312-(Risultati!G312+Risultati!H312)</f>
        <v>0</v>
      </c>
      <c r="V313" s="12" t="str">
        <f t="shared" si="240"/>
        <v>0</v>
      </c>
      <c r="W313" s="12"/>
      <c r="X313" s="10">
        <f t="shared" si="256"/>
        <v>0</v>
      </c>
      <c r="Y313" s="12" t="str">
        <f t="shared" si="241"/>
        <v>0</v>
      </c>
      <c r="Z313" s="12"/>
      <c r="AA313" s="10">
        <f>+Risultati!K312</f>
        <v>0</v>
      </c>
      <c r="AB313" s="12" t="str">
        <f t="shared" si="242"/>
        <v>0</v>
      </c>
      <c r="AC313" s="12"/>
      <c r="AD313" s="10">
        <f>+Risultati!L312</f>
        <v>0</v>
      </c>
      <c r="AE313" s="12" t="str">
        <f t="shared" si="243"/>
        <v>0</v>
      </c>
      <c r="AF313" s="12"/>
      <c r="AG313" s="10">
        <f>+Risultati!M312+Risultati!P312+Risultati!Q312</f>
        <v>0</v>
      </c>
      <c r="AH313" s="12" t="str">
        <f t="shared" si="244"/>
        <v>0</v>
      </c>
      <c r="AI313" s="12"/>
      <c r="AJ313" s="13">
        <f t="shared" si="257"/>
        <v>0</v>
      </c>
      <c r="AK313" s="11" t="str">
        <f t="shared" si="245"/>
        <v>0</v>
      </c>
      <c r="AL313" s="12"/>
      <c r="AM313" s="10">
        <f>+Risultati!N312</f>
        <v>0</v>
      </c>
      <c r="AN313" s="12" t="str">
        <f t="shared" si="246"/>
        <v>0</v>
      </c>
      <c r="AO313" s="12"/>
      <c r="AP313" s="10">
        <f t="shared" si="258"/>
        <v>0</v>
      </c>
      <c r="AQ313" s="41" t="str">
        <f t="shared" si="247"/>
        <v>0</v>
      </c>
      <c r="AR313" s="12"/>
      <c r="AS313" s="10">
        <f>+Risultati!O312</f>
        <v>0</v>
      </c>
      <c r="AT313" s="12" t="str">
        <f t="shared" si="248"/>
        <v>0</v>
      </c>
      <c r="AU313" s="12"/>
      <c r="AV313" s="10">
        <f t="shared" si="259"/>
        <v>0</v>
      </c>
      <c r="AW313" s="12" t="str">
        <f t="shared" si="249"/>
        <v>0</v>
      </c>
      <c r="AX313" s="12"/>
      <c r="AY313" s="10">
        <f>+Risultati!R312+Risultati!S312</f>
        <v>0</v>
      </c>
      <c r="AZ313" s="12" t="str">
        <f t="shared" si="250"/>
        <v>0</v>
      </c>
      <c r="BA313" s="12"/>
      <c r="BB313" s="10">
        <f>+Risultati!T312</f>
        <v>0</v>
      </c>
      <c r="BC313" s="12" t="str">
        <f t="shared" si="251"/>
        <v>0</v>
      </c>
      <c r="BD313" s="12"/>
      <c r="BE313" s="10">
        <f>+Risultati!U312</f>
        <v>0</v>
      </c>
      <c r="BF313" s="12" t="str">
        <f t="shared" si="252"/>
        <v>0</v>
      </c>
      <c r="BG313" s="12"/>
      <c r="BH313" s="10">
        <f t="shared" si="260"/>
        <v>0</v>
      </c>
      <c r="BI313" s="12" t="str">
        <f t="shared" si="253"/>
        <v>0</v>
      </c>
      <c r="BK313" s="16">
        <f>IF(ISNUMBER(Risultati!X312/100),(Risultati!X312/100))</f>
        <v>0</v>
      </c>
      <c r="BL313" s="16">
        <f>IF(ISNUMBER(Risultati!Y312/100),(Risultati!Y312/100))</f>
        <v>0</v>
      </c>
      <c r="BM313" s="16">
        <f>IF(ISNUMBER(Risultati!Z312/100),(Risultati!Z312/100))</f>
        <v>0</v>
      </c>
      <c r="BN313" s="16">
        <f>IF(AND(Risultati!AY312&lt;0,calcoli!AP313&lt;0),-IF(ISNUMBER(Risultati!AA312/100),(Risultati!AA312/100)),IF(ISNUMBER(Risultati!AA312/100),(Risultati!AA312/100)))</f>
        <v>0</v>
      </c>
      <c r="BO313" s="16" t="str">
        <f t="shared" si="234"/>
        <v>0</v>
      </c>
      <c r="BP313" s="16" t="str">
        <f>IF(Risultati!AB312&gt;0,(AV313/Risultati!AB312),"0")</f>
        <v>0</v>
      </c>
      <c r="BQ313" s="16" t="str">
        <f>IF(Risultati!AG312&lt;&gt;0,(BH313/Risultati!AG312),"0")</f>
        <v>0</v>
      </c>
      <c r="BR313" s="16" t="str">
        <f t="shared" si="235"/>
        <v>0</v>
      </c>
      <c r="BS313" s="14" t="str">
        <f>IF(Risultati!AB312&gt;0,(Risultati!G312/Risultati!AB312),"0")</f>
        <v>0</v>
      </c>
      <c r="BT313" s="15" t="str">
        <f>IF(Risultati!AG312&lt;&gt;0,(Risultati!AB312/Risultati!AG312),"0")</f>
        <v>0</v>
      </c>
      <c r="BU313" s="23" t="str">
        <f>IF(AND(Risultati!G312&gt;0,(Risultati!AE312-Risultati!AF312)&gt;=0),((Risultati!AE312-Risultati!AF312)/Risultati!G312*360),"0")</f>
        <v>0</v>
      </c>
      <c r="BV313" s="21" t="str">
        <f>IF(OR(E313="abbreviato",Risultati!G312=0),"0",((Risultati!AC312+Risultati!AD312)/Risultati!G312*360))</f>
        <v>0</v>
      </c>
      <c r="BW313" s="21" t="str">
        <f>IF(OR(E313="abbreviato",Risultati!G312=0,SUM(Risultati!I312+Risultati!K312+Risultati!M312)=0),"0",(((Risultati!AH312+Risultati!AI312)/(Risultati!I312+Risultati!K312+Risultati!N312)*360)))</f>
        <v>0</v>
      </c>
      <c r="BX313" s="16" t="str">
        <f>IF(Risultati!AB312&gt;0,(+Risultati!AG312/Risultati!AB312),"0")</f>
        <v>0</v>
      </c>
      <c r="BY313" s="22" t="str">
        <f>IF(OR(E313="abbreviato",Risultati!G312=0),"0",(((Risultati!AK312-(Risultati!AL312+Risultati!AM312))/Risultati!G312)))</f>
        <v>0</v>
      </c>
      <c r="BZ313" s="16" t="str">
        <f>IF(Risultati!G312&gt;0,(Risultati!AJ312/Risultati!G312),"0")</f>
        <v>0</v>
      </c>
      <c r="CA313" s="8"/>
      <c r="CB313" s="9">
        <f>+Risultati!AP312</f>
        <v>0</v>
      </c>
      <c r="CC313" s="31" t="str">
        <f t="shared" si="261"/>
        <v>0</v>
      </c>
      <c r="CD313" s="9">
        <f>+Risultati!AQ312</f>
        <v>0</v>
      </c>
      <c r="CE313" s="31" t="str">
        <f t="shared" si="262"/>
        <v>0</v>
      </c>
      <c r="CF313" s="9">
        <f>+Risultati!AR312</f>
        <v>0</v>
      </c>
      <c r="CG313" s="31" t="str">
        <f t="shared" si="263"/>
        <v>0</v>
      </c>
      <c r="CH313" s="9">
        <f>+Risultati!AS312</f>
        <v>0</v>
      </c>
      <c r="CI313" s="31" t="str">
        <f t="shared" si="264"/>
        <v>0</v>
      </c>
      <c r="CJ313" s="9">
        <f t="shared" si="265"/>
        <v>0</v>
      </c>
      <c r="CK313" s="31" t="str">
        <f t="shared" si="266"/>
        <v>0</v>
      </c>
      <c r="CL313" s="10">
        <f>+Risultati!AE312+Risultati!AF312</f>
        <v>0</v>
      </c>
      <c r="CM313" s="31" t="str">
        <f t="shared" si="267"/>
        <v>0</v>
      </c>
      <c r="CN313" s="9">
        <f>+Risultati!AT312</f>
        <v>0</v>
      </c>
      <c r="CO313" s="31" t="str">
        <f t="shared" si="268"/>
        <v>0</v>
      </c>
      <c r="CP313" s="9">
        <f>+Risultati!AU312</f>
        <v>0</v>
      </c>
      <c r="CQ313" s="31" t="str">
        <f t="shared" si="269"/>
        <v>0</v>
      </c>
      <c r="CR313" s="9">
        <f>+Risultati!AL312</f>
        <v>0</v>
      </c>
      <c r="CS313" s="31" t="str">
        <f t="shared" si="270"/>
        <v>0</v>
      </c>
      <c r="CT313" s="9">
        <f t="shared" si="271"/>
        <v>0</v>
      </c>
      <c r="CU313" s="31" t="str">
        <f t="shared" si="272"/>
        <v>0</v>
      </c>
      <c r="CV313" s="9">
        <f>+Risultati!AX312</f>
        <v>0</v>
      </c>
      <c r="CW313" s="31" t="str">
        <f t="shared" si="273"/>
        <v>0</v>
      </c>
      <c r="CX313" s="9">
        <f t="shared" si="274"/>
        <v>0</v>
      </c>
      <c r="CY313" s="31" t="str">
        <f t="shared" si="275"/>
        <v>0</v>
      </c>
      <c r="CZ313" s="9">
        <f>+Risultati!AG312</f>
        <v>0</v>
      </c>
      <c r="DA313" s="31" t="str">
        <f t="shared" si="276"/>
        <v>0</v>
      </c>
      <c r="DB313" s="9">
        <f t="shared" si="277"/>
        <v>0</v>
      </c>
      <c r="DC313" s="31" t="str">
        <f t="shared" si="278"/>
        <v>0</v>
      </c>
      <c r="DD313" s="9">
        <f>+Risultati!AV312</f>
        <v>0</v>
      </c>
      <c r="DE313" s="31" t="str">
        <f t="shared" si="279"/>
        <v>0</v>
      </c>
      <c r="DF313" s="9">
        <f>+Risultati!AJ312</f>
        <v>0</v>
      </c>
      <c r="DG313" s="31" t="str">
        <f t="shared" si="280"/>
        <v>0</v>
      </c>
      <c r="DH313" s="9">
        <f t="shared" si="281"/>
        <v>0</v>
      </c>
      <c r="DI313" s="31" t="str">
        <f t="shared" si="282"/>
        <v>0</v>
      </c>
      <c r="DJ313" s="9">
        <f>+Risultati!AW312</f>
        <v>0</v>
      </c>
      <c r="DK313" s="31" t="str">
        <f t="shared" si="283"/>
        <v>0</v>
      </c>
      <c r="DL313" s="10">
        <f t="shared" si="254"/>
        <v>0</v>
      </c>
      <c r="DM313" s="31" t="str">
        <f t="shared" si="284"/>
        <v>0</v>
      </c>
      <c r="DO313" s="30"/>
      <c r="DP313" s="30"/>
    </row>
    <row r="314" spans="1:120" x14ac:dyDescent="0.2">
      <c r="A314" s="5"/>
      <c r="B314" s="6">
        <f>+Risultati!B313</f>
        <v>0</v>
      </c>
      <c r="C314" s="6">
        <f>+Risultati!C313</f>
        <v>0</v>
      </c>
      <c r="D314" s="26" t="str">
        <f>IF(YEAR(Risultati!D313)=1900,(MID(Risultati!$AP$1,29,4)),YEAR(Risultati!D313))</f>
        <v/>
      </c>
      <c r="E314" s="6">
        <f>+Risultati!E313</f>
        <v>0</v>
      </c>
      <c r="F314" s="8" t="e">
        <f>(LEFT(Risultati!AN313,2)&amp;"-")&amp;VLOOKUP((LEFT(Risultati!AN313,2)),ateco!$B$4:$C$93,2,FALSE)</f>
        <v>#N/A</v>
      </c>
      <c r="G314" s="8" t="str">
        <f>SUBSTITUTE((Risultati!AN313&amp;"-"&amp;Risultati!AO313),",",";")</f>
        <v>-</v>
      </c>
      <c r="I314" s="10">
        <f>+Risultati!G313</f>
        <v>0</v>
      </c>
      <c r="J314" s="11" t="str">
        <f t="shared" si="236"/>
        <v>0</v>
      </c>
      <c r="K314" s="12"/>
      <c r="L314" s="10">
        <f>+Risultati!G313+Risultati!H313</f>
        <v>0</v>
      </c>
      <c r="M314" s="11" t="str">
        <f t="shared" si="237"/>
        <v>0</v>
      </c>
      <c r="N314" s="12"/>
      <c r="O314" s="10">
        <f>+Risultati!I313+Risultati!J313</f>
        <v>0</v>
      </c>
      <c r="P314" s="11" t="str">
        <f t="shared" si="238"/>
        <v>0</v>
      </c>
      <c r="Q314" s="12"/>
      <c r="R314" s="13">
        <f t="shared" si="255"/>
        <v>0</v>
      </c>
      <c r="S314" s="11" t="str">
        <f t="shared" si="239"/>
        <v>0</v>
      </c>
      <c r="T314" s="12"/>
      <c r="U314" s="10">
        <f>+Risultati!F313-(Risultati!G313+Risultati!H313)</f>
        <v>0</v>
      </c>
      <c r="V314" s="12" t="str">
        <f t="shared" si="240"/>
        <v>0</v>
      </c>
      <c r="W314" s="12"/>
      <c r="X314" s="10">
        <f t="shared" si="256"/>
        <v>0</v>
      </c>
      <c r="Y314" s="12" t="str">
        <f t="shared" si="241"/>
        <v>0</v>
      </c>
      <c r="Z314" s="12"/>
      <c r="AA314" s="10">
        <f>+Risultati!K313</f>
        <v>0</v>
      </c>
      <c r="AB314" s="12" t="str">
        <f t="shared" si="242"/>
        <v>0</v>
      </c>
      <c r="AC314" s="12"/>
      <c r="AD314" s="10">
        <f>+Risultati!L313</f>
        <v>0</v>
      </c>
      <c r="AE314" s="12" t="str">
        <f t="shared" si="243"/>
        <v>0</v>
      </c>
      <c r="AF314" s="12"/>
      <c r="AG314" s="10">
        <f>+Risultati!M313+Risultati!P313+Risultati!Q313</f>
        <v>0</v>
      </c>
      <c r="AH314" s="12" t="str">
        <f t="shared" si="244"/>
        <v>0</v>
      </c>
      <c r="AI314" s="12"/>
      <c r="AJ314" s="13">
        <f t="shared" si="257"/>
        <v>0</v>
      </c>
      <c r="AK314" s="11" t="str">
        <f t="shared" si="245"/>
        <v>0</v>
      </c>
      <c r="AL314" s="12"/>
      <c r="AM314" s="10">
        <f>+Risultati!N313</f>
        <v>0</v>
      </c>
      <c r="AN314" s="12" t="str">
        <f t="shared" si="246"/>
        <v>0</v>
      </c>
      <c r="AO314" s="12"/>
      <c r="AP314" s="10">
        <f t="shared" si="258"/>
        <v>0</v>
      </c>
      <c r="AQ314" s="41" t="str">
        <f t="shared" si="247"/>
        <v>0</v>
      </c>
      <c r="AR314" s="12"/>
      <c r="AS314" s="10">
        <f>+Risultati!O313</f>
        <v>0</v>
      </c>
      <c r="AT314" s="12" t="str">
        <f t="shared" si="248"/>
        <v>0</v>
      </c>
      <c r="AU314" s="12"/>
      <c r="AV314" s="10">
        <f t="shared" si="259"/>
        <v>0</v>
      </c>
      <c r="AW314" s="12" t="str">
        <f t="shared" si="249"/>
        <v>0</v>
      </c>
      <c r="AX314" s="12"/>
      <c r="AY314" s="10">
        <f>+Risultati!R313+Risultati!S313</f>
        <v>0</v>
      </c>
      <c r="AZ314" s="12" t="str">
        <f t="shared" si="250"/>
        <v>0</v>
      </c>
      <c r="BA314" s="12"/>
      <c r="BB314" s="10">
        <f>+Risultati!T313</f>
        <v>0</v>
      </c>
      <c r="BC314" s="12" t="str">
        <f t="shared" si="251"/>
        <v>0</v>
      </c>
      <c r="BD314" s="12"/>
      <c r="BE314" s="10">
        <f>+Risultati!U313</f>
        <v>0</v>
      </c>
      <c r="BF314" s="12" t="str">
        <f t="shared" si="252"/>
        <v>0</v>
      </c>
      <c r="BG314" s="12"/>
      <c r="BH314" s="10">
        <f t="shared" si="260"/>
        <v>0</v>
      </c>
      <c r="BI314" s="12" t="str">
        <f t="shared" si="253"/>
        <v>0</v>
      </c>
      <c r="BK314" s="16">
        <f>IF(ISNUMBER(Risultati!X313/100),(Risultati!X313/100))</f>
        <v>0</v>
      </c>
      <c r="BL314" s="16">
        <f>IF(ISNUMBER(Risultati!Y313/100),(Risultati!Y313/100))</f>
        <v>0</v>
      </c>
      <c r="BM314" s="16">
        <f>IF(ISNUMBER(Risultati!Z313/100),(Risultati!Z313/100))</f>
        <v>0</v>
      </c>
      <c r="BN314" s="16">
        <f>IF(AND(Risultati!AY313&lt;0,calcoli!AP314&lt;0),-IF(ISNUMBER(Risultati!AA313/100),(Risultati!AA313/100)),IF(ISNUMBER(Risultati!AA313/100),(Risultati!AA313/100)))</f>
        <v>0</v>
      </c>
      <c r="BO314" s="16" t="str">
        <f t="shared" si="234"/>
        <v>0</v>
      </c>
      <c r="BP314" s="16" t="str">
        <f>IF(Risultati!AB313&gt;0,(AV314/Risultati!AB313),"0")</f>
        <v>0</v>
      </c>
      <c r="BQ314" s="16" t="str">
        <f>IF(Risultati!AG313&lt;&gt;0,(BH314/Risultati!AG313),"0")</f>
        <v>0</v>
      </c>
      <c r="BR314" s="16" t="str">
        <f t="shared" si="235"/>
        <v>0</v>
      </c>
      <c r="BS314" s="14" t="str">
        <f>IF(Risultati!AB313&gt;0,(Risultati!G313/Risultati!AB313),"0")</f>
        <v>0</v>
      </c>
      <c r="BT314" s="15" t="str">
        <f>IF(Risultati!AG313&lt;&gt;0,(Risultati!AB313/Risultati!AG313),"0")</f>
        <v>0</v>
      </c>
      <c r="BU314" s="23" t="str">
        <f>IF(AND(Risultati!G313&gt;0,(Risultati!AE313-Risultati!AF313)&gt;=0),((Risultati!AE313-Risultati!AF313)/Risultati!G313*360),"0")</f>
        <v>0</v>
      </c>
      <c r="BV314" s="21" t="str">
        <f>IF(OR(E314="abbreviato",Risultati!G313=0),"0",((Risultati!AC313+Risultati!AD313)/Risultati!G313*360))</f>
        <v>0</v>
      </c>
      <c r="BW314" s="21" t="str">
        <f>IF(OR(E314="abbreviato",Risultati!G313=0,SUM(Risultati!I313+Risultati!K313+Risultati!M313)=0),"0",(((Risultati!AH313+Risultati!AI313)/(Risultati!I313+Risultati!K313+Risultati!N313)*360)))</f>
        <v>0</v>
      </c>
      <c r="BX314" s="16" t="str">
        <f>IF(Risultati!AB313&gt;0,(+Risultati!AG313/Risultati!AB313),"0")</f>
        <v>0</v>
      </c>
      <c r="BY314" s="22" t="str">
        <f>IF(OR(E314="abbreviato",Risultati!G313=0),"0",(((Risultati!AK313-(Risultati!AL313+Risultati!AM313))/Risultati!G313)))</f>
        <v>0</v>
      </c>
      <c r="BZ314" s="16" t="str">
        <f>IF(Risultati!G313&gt;0,(Risultati!AJ313/Risultati!G313),"0")</f>
        <v>0</v>
      </c>
      <c r="CA314" s="8"/>
      <c r="CB314" s="9">
        <f>+Risultati!AP313</f>
        <v>0</v>
      </c>
      <c r="CC314" s="31" t="str">
        <f t="shared" si="261"/>
        <v>0</v>
      </c>
      <c r="CD314" s="9">
        <f>+Risultati!AQ313</f>
        <v>0</v>
      </c>
      <c r="CE314" s="31" t="str">
        <f t="shared" si="262"/>
        <v>0</v>
      </c>
      <c r="CF314" s="9">
        <f>+Risultati!AR313</f>
        <v>0</v>
      </c>
      <c r="CG314" s="31" t="str">
        <f t="shared" si="263"/>
        <v>0</v>
      </c>
      <c r="CH314" s="9">
        <f>+Risultati!AS313</f>
        <v>0</v>
      </c>
      <c r="CI314" s="31" t="str">
        <f t="shared" si="264"/>
        <v>0</v>
      </c>
      <c r="CJ314" s="9">
        <f t="shared" si="265"/>
        <v>0</v>
      </c>
      <c r="CK314" s="31" t="str">
        <f t="shared" si="266"/>
        <v>0</v>
      </c>
      <c r="CL314" s="10">
        <f>+Risultati!AE313+Risultati!AF313</f>
        <v>0</v>
      </c>
      <c r="CM314" s="31" t="str">
        <f t="shared" si="267"/>
        <v>0</v>
      </c>
      <c r="CN314" s="9">
        <f>+Risultati!AT313</f>
        <v>0</v>
      </c>
      <c r="CO314" s="31" t="str">
        <f t="shared" si="268"/>
        <v>0</v>
      </c>
      <c r="CP314" s="9">
        <f>+Risultati!AU313</f>
        <v>0</v>
      </c>
      <c r="CQ314" s="31" t="str">
        <f t="shared" si="269"/>
        <v>0</v>
      </c>
      <c r="CR314" s="9">
        <f>+Risultati!AL313</f>
        <v>0</v>
      </c>
      <c r="CS314" s="31" t="str">
        <f t="shared" si="270"/>
        <v>0</v>
      </c>
      <c r="CT314" s="9">
        <f t="shared" si="271"/>
        <v>0</v>
      </c>
      <c r="CU314" s="31" t="str">
        <f t="shared" si="272"/>
        <v>0</v>
      </c>
      <c r="CV314" s="9">
        <f>+Risultati!AX313</f>
        <v>0</v>
      </c>
      <c r="CW314" s="31" t="str">
        <f t="shared" si="273"/>
        <v>0</v>
      </c>
      <c r="CX314" s="9">
        <f t="shared" si="274"/>
        <v>0</v>
      </c>
      <c r="CY314" s="31" t="str">
        <f t="shared" si="275"/>
        <v>0</v>
      </c>
      <c r="CZ314" s="9">
        <f>+Risultati!AG313</f>
        <v>0</v>
      </c>
      <c r="DA314" s="31" t="str">
        <f t="shared" si="276"/>
        <v>0</v>
      </c>
      <c r="DB314" s="9">
        <f t="shared" si="277"/>
        <v>0</v>
      </c>
      <c r="DC314" s="31" t="str">
        <f t="shared" si="278"/>
        <v>0</v>
      </c>
      <c r="DD314" s="9">
        <f>+Risultati!AV313</f>
        <v>0</v>
      </c>
      <c r="DE314" s="31" t="str">
        <f t="shared" si="279"/>
        <v>0</v>
      </c>
      <c r="DF314" s="9">
        <f>+Risultati!AJ313</f>
        <v>0</v>
      </c>
      <c r="DG314" s="31" t="str">
        <f t="shared" si="280"/>
        <v>0</v>
      </c>
      <c r="DH314" s="9">
        <f t="shared" si="281"/>
        <v>0</v>
      </c>
      <c r="DI314" s="31" t="str">
        <f t="shared" si="282"/>
        <v>0</v>
      </c>
      <c r="DJ314" s="9">
        <f>+Risultati!AW313</f>
        <v>0</v>
      </c>
      <c r="DK314" s="31" t="str">
        <f t="shared" si="283"/>
        <v>0</v>
      </c>
      <c r="DL314" s="10">
        <f t="shared" si="254"/>
        <v>0</v>
      </c>
      <c r="DM314" s="31" t="str">
        <f t="shared" si="284"/>
        <v>0</v>
      </c>
      <c r="DO314" s="30"/>
      <c r="DP314" s="30"/>
    </row>
    <row r="315" spans="1:120" x14ac:dyDescent="0.2">
      <c r="A315" s="5"/>
      <c r="B315" s="6">
        <f>+Risultati!B314</f>
        <v>0</v>
      </c>
      <c r="C315" s="6">
        <f>+Risultati!C314</f>
        <v>0</v>
      </c>
      <c r="D315" s="26" t="str">
        <f>IF(YEAR(Risultati!D314)=1900,(MID(Risultati!$AP$1,29,4)),YEAR(Risultati!D314))</f>
        <v/>
      </c>
      <c r="E315" s="6">
        <f>+Risultati!E314</f>
        <v>0</v>
      </c>
      <c r="F315" s="8" t="e">
        <f>(LEFT(Risultati!AN314,2)&amp;"-")&amp;VLOOKUP((LEFT(Risultati!AN314,2)),ateco!$B$4:$C$93,2,FALSE)</f>
        <v>#N/A</v>
      </c>
      <c r="G315" s="8" t="str">
        <f>SUBSTITUTE((Risultati!AN314&amp;"-"&amp;Risultati!AO314),",",";")</f>
        <v>-</v>
      </c>
      <c r="I315" s="10">
        <f>+Risultati!G314</f>
        <v>0</v>
      </c>
      <c r="J315" s="11" t="str">
        <f t="shared" si="236"/>
        <v>0</v>
      </c>
      <c r="K315" s="12"/>
      <c r="L315" s="10">
        <f>+Risultati!G314+Risultati!H314</f>
        <v>0</v>
      </c>
      <c r="M315" s="11" t="str">
        <f t="shared" si="237"/>
        <v>0</v>
      </c>
      <c r="N315" s="12"/>
      <c r="O315" s="10">
        <f>+Risultati!I314+Risultati!J314</f>
        <v>0</v>
      </c>
      <c r="P315" s="11" t="str">
        <f t="shared" si="238"/>
        <v>0</v>
      </c>
      <c r="Q315" s="12"/>
      <c r="R315" s="13">
        <f t="shared" si="255"/>
        <v>0</v>
      </c>
      <c r="S315" s="11" t="str">
        <f t="shared" si="239"/>
        <v>0</v>
      </c>
      <c r="T315" s="12"/>
      <c r="U315" s="10">
        <f>+Risultati!F314-(Risultati!G314+Risultati!H314)</f>
        <v>0</v>
      </c>
      <c r="V315" s="12" t="str">
        <f t="shared" si="240"/>
        <v>0</v>
      </c>
      <c r="W315" s="12"/>
      <c r="X315" s="10">
        <f t="shared" si="256"/>
        <v>0</v>
      </c>
      <c r="Y315" s="12" t="str">
        <f t="shared" si="241"/>
        <v>0</v>
      </c>
      <c r="Z315" s="12"/>
      <c r="AA315" s="10">
        <f>+Risultati!K314</f>
        <v>0</v>
      </c>
      <c r="AB315" s="12" t="str">
        <f t="shared" si="242"/>
        <v>0</v>
      </c>
      <c r="AC315" s="12"/>
      <c r="AD315" s="10">
        <f>+Risultati!L314</f>
        <v>0</v>
      </c>
      <c r="AE315" s="12" t="str">
        <f t="shared" si="243"/>
        <v>0</v>
      </c>
      <c r="AF315" s="12"/>
      <c r="AG315" s="10">
        <f>+Risultati!M314+Risultati!P314+Risultati!Q314</f>
        <v>0</v>
      </c>
      <c r="AH315" s="12" t="str">
        <f t="shared" si="244"/>
        <v>0</v>
      </c>
      <c r="AI315" s="12"/>
      <c r="AJ315" s="13">
        <f t="shared" si="257"/>
        <v>0</v>
      </c>
      <c r="AK315" s="11" t="str">
        <f t="shared" si="245"/>
        <v>0</v>
      </c>
      <c r="AL315" s="12"/>
      <c r="AM315" s="10">
        <f>+Risultati!N314</f>
        <v>0</v>
      </c>
      <c r="AN315" s="12" t="str">
        <f t="shared" si="246"/>
        <v>0</v>
      </c>
      <c r="AO315" s="12"/>
      <c r="AP315" s="10">
        <f t="shared" si="258"/>
        <v>0</v>
      </c>
      <c r="AQ315" s="41" t="str">
        <f t="shared" si="247"/>
        <v>0</v>
      </c>
      <c r="AR315" s="12"/>
      <c r="AS315" s="10">
        <f>+Risultati!O314</f>
        <v>0</v>
      </c>
      <c r="AT315" s="12" t="str">
        <f t="shared" si="248"/>
        <v>0</v>
      </c>
      <c r="AU315" s="12"/>
      <c r="AV315" s="10">
        <f t="shared" si="259"/>
        <v>0</v>
      </c>
      <c r="AW315" s="12" t="str">
        <f t="shared" si="249"/>
        <v>0</v>
      </c>
      <c r="AX315" s="12"/>
      <c r="AY315" s="10">
        <f>+Risultati!R314+Risultati!S314</f>
        <v>0</v>
      </c>
      <c r="AZ315" s="12" t="str">
        <f t="shared" si="250"/>
        <v>0</v>
      </c>
      <c r="BA315" s="12"/>
      <c r="BB315" s="10">
        <f>+Risultati!T314</f>
        <v>0</v>
      </c>
      <c r="BC315" s="12" t="str">
        <f t="shared" si="251"/>
        <v>0</v>
      </c>
      <c r="BD315" s="12"/>
      <c r="BE315" s="10">
        <f>+Risultati!U314</f>
        <v>0</v>
      </c>
      <c r="BF315" s="12" t="str">
        <f t="shared" si="252"/>
        <v>0</v>
      </c>
      <c r="BG315" s="12"/>
      <c r="BH315" s="10">
        <f t="shared" si="260"/>
        <v>0</v>
      </c>
      <c r="BI315" s="12" t="str">
        <f t="shared" si="253"/>
        <v>0</v>
      </c>
      <c r="BK315" s="16">
        <f>IF(ISNUMBER(Risultati!X314/100),(Risultati!X314/100))</f>
        <v>0</v>
      </c>
      <c r="BL315" s="16">
        <f>IF(ISNUMBER(Risultati!Y314/100),(Risultati!Y314/100))</f>
        <v>0</v>
      </c>
      <c r="BM315" s="16">
        <f>IF(ISNUMBER(Risultati!Z314/100),(Risultati!Z314/100))</f>
        <v>0</v>
      </c>
      <c r="BN315" s="16">
        <f>IF(AND(Risultati!AY314&lt;0,calcoli!AP315&lt;0),-IF(ISNUMBER(Risultati!AA314/100),(Risultati!AA314/100)),IF(ISNUMBER(Risultati!AA314/100),(Risultati!AA314/100)))</f>
        <v>0</v>
      </c>
      <c r="BO315" s="16" t="str">
        <f t="shared" si="234"/>
        <v>0</v>
      </c>
      <c r="BP315" s="16" t="str">
        <f>IF(Risultati!AB314&gt;0,(AV315/Risultati!AB314),"0")</f>
        <v>0</v>
      </c>
      <c r="BQ315" s="16" t="str">
        <f>IF(Risultati!AG314&lt;&gt;0,(BH315/Risultati!AG314),"0")</f>
        <v>0</v>
      </c>
      <c r="BR315" s="16" t="str">
        <f t="shared" si="235"/>
        <v>0</v>
      </c>
      <c r="BS315" s="14" t="str">
        <f>IF(Risultati!AB314&gt;0,(Risultati!G314/Risultati!AB314),"0")</f>
        <v>0</v>
      </c>
      <c r="BT315" s="15" t="str">
        <f>IF(Risultati!AG314&lt;&gt;0,(Risultati!AB314/Risultati!AG314),"0")</f>
        <v>0</v>
      </c>
      <c r="BU315" s="23" t="str">
        <f>IF(AND(Risultati!G314&gt;0,(Risultati!AE314-Risultati!AF314)&gt;=0),((Risultati!AE314-Risultati!AF314)/Risultati!G314*360),"0")</f>
        <v>0</v>
      </c>
      <c r="BV315" s="21" t="str">
        <f>IF(OR(E315="abbreviato",Risultati!G314=0),"0",((Risultati!AC314+Risultati!AD314)/Risultati!G314*360))</f>
        <v>0</v>
      </c>
      <c r="BW315" s="21" t="str">
        <f>IF(OR(E315="abbreviato",Risultati!G314=0,SUM(Risultati!I314+Risultati!K314+Risultati!M314)=0),"0",(((Risultati!AH314+Risultati!AI314)/(Risultati!I314+Risultati!K314+Risultati!N314)*360)))</f>
        <v>0</v>
      </c>
      <c r="BX315" s="16" t="str">
        <f>IF(Risultati!AB314&gt;0,(+Risultati!AG314/Risultati!AB314),"0")</f>
        <v>0</v>
      </c>
      <c r="BY315" s="22" t="str">
        <f>IF(OR(E315="abbreviato",Risultati!G314=0),"0",(((Risultati!AK314-(Risultati!AL314+Risultati!AM314))/Risultati!G314)))</f>
        <v>0</v>
      </c>
      <c r="BZ315" s="16" t="str">
        <f>IF(Risultati!G314&gt;0,(Risultati!AJ314/Risultati!G314),"0")</f>
        <v>0</v>
      </c>
      <c r="CA315" s="8"/>
      <c r="CB315" s="9">
        <f>+Risultati!AP314</f>
        <v>0</v>
      </c>
      <c r="CC315" s="31" t="str">
        <f t="shared" si="261"/>
        <v>0</v>
      </c>
      <c r="CD315" s="9">
        <f>+Risultati!AQ314</f>
        <v>0</v>
      </c>
      <c r="CE315" s="31" t="str">
        <f t="shared" si="262"/>
        <v>0</v>
      </c>
      <c r="CF315" s="9">
        <f>+Risultati!AR314</f>
        <v>0</v>
      </c>
      <c r="CG315" s="31" t="str">
        <f t="shared" si="263"/>
        <v>0</v>
      </c>
      <c r="CH315" s="9">
        <f>+Risultati!AS314</f>
        <v>0</v>
      </c>
      <c r="CI315" s="31" t="str">
        <f t="shared" si="264"/>
        <v>0</v>
      </c>
      <c r="CJ315" s="9">
        <f t="shared" si="265"/>
        <v>0</v>
      </c>
      <c r="CK315" s="31" t="str">
        <f t="shared" si="266"/>
        <v>0</v>
      </c>
      <c r="CL315" s="10">
        <f>+Risultati!AE314+Risultati!AF314</f>
        <v>0</v>
      </c>
      <c r="CM315" s="31" t="str">
        <f t="shared" si="267"/>
        <v>0</v>
      </c>
      <c r="CN315" s="9">
        <f>+Risultati!AT314</f>
        <v>0</v>
      </c>
      <c r="CO315" s="31" t="str">
        <f t="shared" si="268"/>
        <v>0</v>
      </c>
      <c r="CP315" s="9">
        <f>+Risultati!AU314</f>
        <v>0</v>
      </c>
      <c r="CQ315" s="31" t="str">
        <f t="shared" si="269"/>
        <v>0</v>
      </c>
      <c r="CR315" s="9">
        <f>+Risultati!AL314</f>
        <v>0</v>
      </c>
      <c r="CS315" s="31" t="str">
        <f t="shared" si="270"/>
        <v>0</v>
      </c>
      <c r="CT315" s="9">
        <f t="shared" si="271"/>
        <v>0</v>
      </c>
      <c r="CU315" s="31" t="str">
        <f t="shared" si="272"/>
        <v>0</v>
      </c>
      <c r="CV315" s="9">
        <f>+Risultati!AX314</f>
        <v>0</v>
      </c>
      <c r="CW315" s="31" t="str">
        <f t="shared" si="273"/>
        <v>0</v>
      </c>
      <c r="CX315" s="9">
        <f t="shared" si="274"/>
        <v>0</v>
      </c>
      <c r="CY315" s="31" t="str">
        <f t="shared" si="275"/>
        <v>0</v>
      </c>
      <c r="CZ315" s="9">
        <f>+Risultati!AG314</f>
        <v>0</v>
      </c>
      <c r="DA315" s="31" t="str">
        <f t="shared" si="276"/>
        <v>0</v>
      </c>
      <c r="DB315" s="9">
        <f t="shared" si="277"/>
        <v>0</v>
      </c>
      <c r="DC315" s="31" t="str">
        <f t="shared" si="278"/>
        <v>0</v>
      </c>
      <c r="DD315" s="9">
        <f>+Risultati!AV314</f>
        <v>0</v>
      </c>
      <c r="DE315" s="31" t="str">
        <f t="shared" si="279"/>
        <v>0</v>
      </c>
      <c r="DF315" s="9">
        <f>+Risultati!AJ314</f>
        <v>0</v>
      </c>
      <c r="DG315" s="31" t="str">
        <f t="shared" si="280"/>
        <v>0</v>
      </c>
      <c r="DH315" s="9">
        <f t="shared" si="281"/>
        <v>0</v>
      </c>
      <c r="DI315" s="31" t="str">
        <f t="shared" si="282"/>
        <v>0</v>
      </c>
      <c r="DJ315" s="9">
        <f>+Risultati!AW314</f>
        <v>0</v>
      </c>
      <c r="DK315" s="31" t="str">
        <f t="shared" si="283"/>
        <v>0</v>
      </c>
      <c r="DL315" s="10">
        <f t="shared" si="254"/>
        <v>0</v>
      </c>
      <c r="DM315" s="31" t="str">
        <f t="shared" si="284"/>
        <v>0</v>
      </c>
      <c r="DO315" s="30"/>
      <c r="DP315" s="30"/>
    </row>
    <row r="316" spans="1:120" x14ac:dyDescent="0.2">
      <c r="A316" s="5"/>
      <c r="B316" s="6">
        <f>+Risultati!B315</f>
        <v>0</v>
      </c>
      <c r="C316" s="6">
        <f>+Risultati!C315</f>
        <v>0</v>
      </c>
      <c r="D316" s="26" t="str">
        <f>IF(YEAR(Risultati!D315)=1900,(MID(Risultati!$AP$1,29,4)),YEAR(Risultati!D315))</f>
        <v/>
      </c>
      <c r="E316" s="6">
        <f>+Risultati!E315</f>
        <v>0</v>
      </c>
      <c r="F316" s="8" t="e">
        <f>(LEFT(Risultati!AN315,2)&amp;"-")&amp;VLOOKUP((LEFT(Risultati!AN315,2)),ateco!$B$4:$C$93,2,FALSE)</f>
        <v>#N/A</v>
      </c>
      <c r="G316" s="8" t="str">
        <f>SUBSTITUTE((Risultati!AN315&amp;"-"&amp;Risultati!AO315),",",";")</f>
        <v>-</v>
      </c>
      <c r="I316" s="10">
        <f>+Risultati!G315</f>
        <v>0</v>
      </c>
      <c r="J316" s="11" t="str">
        <f t="shared" si="236"/>
        <v>0</v>
      </c>
      <c r="K316" s="12"/>
      <c r="L316" s="10">
        <f>+Risultati!G315+Risultati!H315</f>
        <v>0</v>
      </c>
      <c r="M316" s="11" t="str">
        <f t="shared" si="237"/>
        <v>0</v>
      </c>
      <c r="N316" s="12"/>
      <c r="O316" s="10">
        <f>+Risultati!I315+Risultati!J315</f>
        <v>0</v>
      </c>
      <c r="P316" s="11" t="str">
        <f t="shared" si="238"/>
        <v>0</v>
      </c>
      <c r="Q316" s="12"/>
      <c r="R316" s="13">
        <f t="shared" si="255"/>
        <v>0</v>
      </c>
      <c r="S316" s="11" t="str">
        <f t="shared" si="239"/>
        <v>0</v>
      </c>
      <c r="T316" s="12"/>
      <c r="U316" s="10">
        <f>+Risultati!F315-(Risultati!G315+Risultati!H315)</f>
        <v>0</v>
      </c>
      <c r="V316" s="12" t="str">
        <f t="shared" si="240"/>
        <v>0</v>
      </c>
      <c r="W316" s="12"/>
      <c r="X316" s="10">
        <f t="shared" si="256"/>
        <v>0</v>
      </c>
      <c r="Y316" s="12" t="str">
        <f t="shared" si="241"/>
        <v>0</v>
      </c>
      <c r="Z316" s="12"/>
      <c r="AA316" s="10">
        <f>+Risultati!K315</f>
        <v>0</v>
      </c>
      <c r="AB316" s="12" t="str">
        <f t="shared" si="242"/>
        <v>0</v>
      </c>
      <c r="AC316" s="12"/>
      <c r="AD316" s="10">
        <f>+Risultati!L315</f>
        <v>0</v>
      </c>
      <c r="AE316" s="12" t="str">
        <f t="shared" si="243"/>
        <v>0</v>
      </c>
      <c r="AF316" s="12"/>
      <c r="AG316" s="10">
        <f>+Risultati!M315+Risultati!P315+Risultati!Q315</f>
        <v>0</v>
      </c>
      <c r="AH316" s="12" t="str">
        <f t="shared" si="244"/>
        <v>0</v>
      </c>
      <c r="AI316" s="12"/>
      <c r="AJ316" s="13">
        <f t="shared" si="257"/>
        <v>0</v>
      </c>
      <c r="AK316" s="11" t="str">
        <f t="shared" si="245"/>
        <v>0</v>
      </c>
      <c r="AL316" s="12"/>
      <c r="AM316" s="10">
        <f>+Risultati!N315</f>
        <v>0</v>
      </c>
      <c r="AN316" s="12" t="str">
        <f t="shared" si="246"/>
        <v>0</v>
      </c>
      <c r="AO316" s="12"/>
      <c r="AP316" s="10">
        <f t="shared" si="258"/>
        <v>0</v>
      </c>
      <c r="AQ316" s="41" t="str">
        <f t="shared" si="247"/>
        <v>0</v>
      </c>
      <c r="AR316" s="12"/>
      <c r="AS316" s="10">
        <f>+Risultati!O315</f>
        <v>0</v>
      </c>
      <c r="AT316" s="12" t="str">
        <f t="shared" si="248"/>
        <v>0</v>
      </c>
      <c r="AU316" s="12"/>
      <c r="AV316" s="10">
        <f t="shared" si="259"/>
        <v>0</v>
      </c>
      <c r="AW316" s="12" t="str">
        <f t="shared" si="249"/>
        <v>0</v>
      </c>
      <c r="AX316" s="12"/>
      <c r="AY316" s="10">
        <f>+Risultati!R315+Risultati!S315</f>
        <v>0</v>
      </c>
      <c r="AZ316" s="12" t="str">
        <f t="shared" si="250"/>
        <v>0</v>
      </c>
      <c r="BA316" s="12"/>
      <c r="BB316" s="10">
        <f>+Risultati!T315</f>
        <v>0</v>
      </c>
      <c r="BC316" s="12" t="str">
        <f t="shared" si="251"/>
        <v>0</v>
      </c>
      <c r="BD316" s="12"/>
      <c r="BE316" s="10">
        <f>+Risultati!U315</f>
        <v>0</v>
      </c>
      <c r="BF316" s="12" t="str">
        <f t="shared" si="252"/>
        <v>0</v>
      </c>
      <c r="BG316" s="12"/>
      <c r="BH316" s="10">
        <f t="shared" si="260"/>
        <v>0</v>
      </c>
      <c r="BI316" s="12" t="str">
        <f t="shared" si="253"/>
        <v>0</v>
      </c>
      <c r="BK316" s="16">
        <f>IF(ISNUMBER(Risultati!X315/100),(Risultati!X315/100))</f>
        <v>0</v>
      </c>
      <c r="BL316" s="16">
        <f>IF(ISNUMBER(Risultati!Y315/100),(Risultati!Y315/100))</f>
        <v>0</v>
      </c>
      <c r="BM316" s="16">
        <f>IF(ISNUMBER(Risultati!Z315/100),(Risultati!Z315/100))</f>
        <v>0</v>
      </c>
      <c r="BN316" s="16">
        <f>IF(AND(Risultati!AY315&lt;0,calcoli!AP316&lt;0),-IF(ISNUMBER(Risultati!AA315/100),(Risultati!AA315/100)),IF(ISNUMBER(Risultati!AA315/100),(Risultati!AA315/100)))</f>
        <v>0</v>
      </c>
      <c r="BO316" s="16" t="str">
        <f t="shared" si="234"/>
        <v>0</v>
      </c>
      <c r="BP316" s="16" t="str">
        <f>IF(Risultati!AB315&gt;0,(AV316/Risultati!AB315),"0")</f>
        <v>0</v>
      </c>
      <c r="BQ316" s="16" t="str">
        <f>IF(Risultati!AG315&lt;&gt;0,(BH316/Risultati!AG315),"0")</f>
        <v>0</v>
      </c>
      <c r="BR316" s="16" t="str">
        <f t="shared" si="235"/>
        <v>0</v>
      </c>
      <c r="BS316" s="14" t="str">
        <f>IF(Risultati!AB315&gt;0,(Risultati!G315/Risultati!AB315),"0")</f>
        <v>0</v>
      </c>
      <c r="BT316" s="15" t="str">
        <f>IF(Risultati!AG315&lt;&gt;0,(Risultati!AB315/Risultati!AG315),"0")</f>
        <v>0</v>
      </c>
      <c r="BU316" s="23" t="str">
        <f>IF(AND(Risultati!G315&gt;0,(Risultati!AE315-Risultati!AF315)&gt;=0),((Risultati!AE315-Risultati!AF315)/Risultati!G315*360),"0")</f>
        <v>0</v>
      </c>
      <c r="BV316" s="21" t="str">
        <f>IF(OR(E316="abbreviato",Risultati!G315=0),"0",((Risultati!AC315+Risultati!AD315)/Risultati!G315*360))</f>
        <v>0</v>
      </c>
      <c r="BW316" s="21" t="str">
        <f>IF(OR(E316="abbreviato",Risultati!G315=0,SUM(Risultati!I315+Risultati!K315+Risultati!M315)=0),"0",(((Risultati!AH315+Risultati!AI315)/(Risultati!I315+Risultati!K315+Risultati!N315)*360)))</f>
        <v>0</v>
      </c>
      <c r="BX316" s="16" t="str">
        <f>IF(Risultati!AB315&gt;0,(+Risultati!AG315/Risultati!AB315),"0")</f>
        <v>0</v>
      </c>
      <c r="BY316" s="22" t="str">
        <f>IF(OR(E316="abbreviato",Risultati!G315=0),"0",(((Risultati!AK315-(Risultati!AL315+Risultati!AM315))/Risultati!G315)))</f>
        <v>0</v>
      </c>
      <c r="BZ316" s="16" t="str">
        <f>IF(Risultati!G315&gt;0,(Risultati!AJ315/Risultati!G315),"0")</f>
        <v>0</v>
      </c>
      <c r="CA316" s="8"/>
      <c r="CB316" s="9">
        <f>+Risultati!AP315</f>
        <v>0</v>
      </c>
      <c r="CC316" s="31" t="str">
        <f t="shared" si="261"/>
        <v>0</v>
      </c>
      <c r="CD316" s="9">
        <f>+Risultati!AQ315</f>
        <v>0</v>
      </c>
      <c r="CE316" s="31" t="str">
        <f t="shared" si="262"/>
        <v>0</v>
      </c>
      <c r="CF316" s="9">
        <f>+Risultati!AR315</f>
        <v>0</v>
      </c>
      <c r="CG316" s="31" t="str">
        <f t="shared" si="263"/>
        <v>0</v>
      </c>
      <c r="CH316" s="9">
        <f>+Risultati!AS315</f>
        <v>0</v>
      </c>
      <c r="CI316" s="31" t="str">
        <f t="shared" si="264"/>
        <v>0</v>
      </c>
      <c r="CJ316" s="9">
        <f t="shared" si="265"/>
        <v>0</v>
      </c>
      <c r="CK316" s="31" t="str">
        <f t="shared" si="266"/>
        <v>0</v>
      </c>
      <c r="CL316" s="10">
        <f>+Risultati!AE315+Risultati!AF315</f>
        <v>0</v>
      </c>
      <c r="CM316" s="31" t="str">
        <f t="shared" si="267"/>
        <v>0</v>
      </c>
      <c r="CN316" s="9">
        <f>+Risultati!AT315</f>
        <v>0</v>
      </c>
      <c r="CO316" s="31" t="str">
        <f t="shared" si="268"/>
        <v>0</v>
      </c>
      <c r="CP316" s="9">
        <f>+Risultati!AU315</f>
        <v>0</v>
      </c>
      <c r="CQ316" s="31" t="str">
        <f t="shared" si="269"/>
        <v>0</v>
      </c>
      <c r="CR316" s="9">
        <f>+Risultati!AL315</f>
        <v>0</v>
      </c>
      <c r="CS316" s="31" t="str">
        <f t="shared" si="270"/>
        <v>0</v>
      </c>
      <c r="CT316" s="9">
        <f t="shared" si="271"/>
        <v>0</v>
      </c>
      <c r="CU316" s="31" t="str">
        <f t="shared" si="272"/>
        <v>0</v>
      </c>
      <c r="CV316" s="9">
        <f>+Risultati!AX315</f>
        <v>0</v>
      </c>
      <c r="CW316" s="31" t="str">
        <f t="shared" si="273"/>
        <v>0</v>
      </c>
      <c r="CX316" s="9">
        <f t="shared" si="274"/>
        <v>0</v>
      </c>
      <c r="CY316" s="31" t="str">
        <f t="shared" si="275"/>
        <v>0</v>
      </c>
      <c r="CZ316" s="9">
        <f>+Risultati!AG315</f>
        <v>0</v>
      </c>
      <c r="DA316" s="31" t="str">
        <f t="shared" si="276"/>
        <v>0</v>
      </c>
      <c r="DB316" s="9">
        <f t="shared" si="277"/>
        <v>0</v>
      </c>
      <c r="DC316" s="31" t="str">
        <f t="shared" si="278"/>
        <v>0</v>
      </c>
      <c r="DD316" s="9">
        <f>+Risultati!AV315</f>
        <v>0</v>
      </c>
      <c r="DE316" s="31" t="str">
        <f t="shared" si="279"/>
        <v>0</v>
      </c>
      <c r="DF316" s="9">
        <f>+Risultati!AJ315</f>
        <v>0</v>
      </c>
      <c r="DG316" s="31" t="str">
        <f t="shared" si="280"/>
        <v>0</v>
      </c>
      <c r="DH316" s="9">
        <f t="shared" si="281"/>
        <v>0</v>
      </c>
      <c r="DI316" s="31" t="str">
        <f t="shared" si="282"/>
        <v>0</v>
      </c>
      <c r="DJ316" s="9">
        <f>+Risultati!AW315</f>
        <v>0</v>
      </c>
      <c r="DK316" s="31" t="str">
        <f t="shared" si="283"/>
        <v>0</v>
      </c>
      <c r="DL316" s="10">
        <f t="shared" si="254"/>
        <v>0</v>
      </c>
      <c r="DM316" s="31" t="str">
        <f t="shared" si="284"/>
        <v>0</v>
      </c>
      <c r="DO316" s="30"/>
      <c r="DP316" s="30"/>
    </row>
    <row r="317" spans="1:120" x14ac:dyDescent="0.2">
      <c r="A317" s="5"/>
      <c r="B317" s="6">
        <f>+Risultati!B316</f>
        <v>0</v>
      </c>
      <c r="C317" s="6">
        <f>+Risultati!C316</f>
        <v>0</v>
      </c>
      <c r="D317" s="26" t="str">
        <f>IF(YEAR(Risultati!D316)=1900,(MID(Risultati!$AP$1,29,4)),YEAR(Risultati!D316))</f>
        <v/>
      </c>
      <c r="E317" s="6">
        <f>+Risultati!E316</f>
        <v>0</v>
      </c>
      <c r="F317" s="8" t="e">
        <f>(LEFT(Risultati!AN316,2)&amp;"-")&amp;VLOOKUP((LEFT(Risultati!AN316,2)),ateco!$B$4:$C$93,2,FALSE)</f>
        <v>#N/A</v>
      </c>
      <c r="G317" s="8" t="str">
        <f>SUBSTITUTE((Risultati!AN316&amp;"-"&amp;Risultati!AO316),",",";")</f>
        <v>-</v>
      </c>
      <c r="I317" s="10">
        <f>+Risultati!G316</f>
        <v>0</v>
      </c>
      <c r="J317" s="11" t="str">
        <f t="shared" si="236"/>
        <v>0</v>
      </c>
      <c r="K317" s="12"/>
      <c r="L317" s="10">
        <f>+Risultati!G316+Risultati!H316</f>
        <v>0</v>
      </c>
      <c r="M317" s="11" t="str">
        <f t="shared" si="237"/>
        <v>0</v>
      </c>
      <c r="N317" s="12"/>
      <c r="O317" s="10">
        <f>+Risultati!I316+Risultati!J316</f>
        <v>0</v>
      </c>
      <c r="P317" s="11" t="str">
        <f t="shared" si="238"/>
        <v>0</v>
      </c>
      <c r="Q317" s="12"/>
      <c r="R317" s="13">
        <f t="shared" si="255"/>
        <v>0</v>
      </c>
      <c r="S317" s="11" t="str">
        <f t="shared" si="239"/>
        <v>0</v>
      </c>
      <c r="T317" s="12"/>
      <c r="U317" s="10">
        <f>+Risultati!F316-(Risultati!G316+Risultati!H316)</f>
        <v>0</v>
      </c>
      <c r="V317" s="12" t="str">
        <f t="shared" si="240"/>
        <v>0</v>
      </c>
      <c r="W317" s="12"/>
      <c r="X317" s="10">
        <f t="shared" si="256"/>
        <v>0</v>
      </c>
      <c r="Y317" s="12" t="str">
        <f t="shared" si="241"/>
        <v>0</v>
      </c>
      <c r="Z317" s="12"/>
      <c r="AA317" s="10">
        <f>+Risultati!K316</f>
        <v>0</v>
      </c>
      <c r="AB317" s="12" t="str">
        <f t="shared" si="242"/>
        <v>0</v>
      </c>
      <c r="AC317" s="12"/>
      <c r="AD317" s="10">
        <f>+Risultati!L316</f>
        <v>0</v>
      </c>
      <c r="AE317" s="12" t="str">
        <f t="shared" si="243"/>
        <v>0</v>
      </c>
      <c r="AF317" s="12"/>
      <c r="AG317" s="10">
        <f>+Risultati!M316+Risultati!P316+Risultati!Q316</f>
        <v>0</v>
      </c>
      <c r="AH317" s="12" t="str">
        <f t="shared" si="244"/>
        <v>0</v>
      </c>
      <c r="AI317" s="12"/>
      <c r="AJ317" s="13">
        <f t="shared" si="257"/>
        <v>0</v>
      </c>
      <c r="AK317" s="11" t="str">
        <f t="shared" si="245"/>
        <v>0</v>
      </c>
      <c r="AL317" s="12"/>
      <c r="AM317" s="10">
        <f>+Risultati!N316</f>
        <v>0</v>
      </c>
      <c r="AN317" s="12" t="str">
        <f t="shared" si="246"/>
        <v>0</v>
      </c>
      <c r="AO317" s="12"/>
      <c r="AP317" s="10">
        <f t="shared" si="258"/>
        <v>0</v>
      </c>
      <c r="AQ317" s="41" t="str">
        <f t="shared" si="247"/>
        <v>0</v>
      </c>
      <c r="AR317" s="12"/>
      <c r="AS317" s="10">
        <f>+Risultati!O316</f>
        <v>0</v>
      </c>
      <c r="AT317" s="12" t="str">
        <f t="shared" si="248"/>
        <v>0</v>
      </c>
      <c r="AU317" s="12"/>
      <c r="AV317" s="10">
        <f t="shared" si="259"/>
        <v>0</v>
      </c>
      <c r="AW317" s="12" t="str">
        <f t="shared" si="249"/>
        <v>0</v>
      </c>
      <c r="AX317" s="12"/>
      <c r="AY317" s="10">
        <f>+Risultati!R316+Risultati!S316</f>
        <v>0</v>
      </c>
      <c r="AZ317" s="12" t="str">
        <f t="shared" si="250"/>
        <v>0</v>
      </c>
      <c r="BA317" s="12"/>
      <c r="BB317" s="10">
        <f>+Risultati!T316</f>
        <v>0</v>
      </c>
      <c r="BC317" s="12" t="str">
        <f t="shared" si="251"/>
        <v>0</v>
      </c>
      <c r="BD317" s="12"/>
      <c r="BE317" s="10">
        <f>+Risultati!U316</f>
        <v>0</v>
      </c>
      <c r="BF317" s="12" t="str">
        <f t="shared" si="252"/>
        <v>0</v>
      </c>
      <c r="BG317" s="12"/>
      <c r="BH317" s="10">
        <f t="shared" si="260"/>
        <v>0</v>
      </c>
      <c r="BI317" s="12" t="str">
        <f t="shared" si="253"/>
        <v>0</v>
      </c>
      <c r="BK317" s="16">
        <f>IF(ISNUMBER(Risultati!X316/100),(Risultati!X316/100))</f>
        <v>0</v>
      </c>
      <c r="BL317" s="16">
        <f>IF(ISNUMBER(Risultati!Y316/100),(Risultati!Y316/100))</f>
        <v>0</v>
      </c>
      <c r="BM317" s="16">
        <f>IF(ISNUMBER(Risultati!Z316/100),(Risultati!Z316/100))</f>
        <v>0</v>
      </c>
      <c r="BN317" s="16">
        <f>IF(AND(Risultati!AY316&lt;0,calcoli!AP317&lt;0),-IF(ISNUMBER(Risultati!AA316/100),(Risultati!AA316/100)),IF(ISNUMBER(Risultati!AA316/100),(Risultati!AA316/100)))</f>
        <v>0</v>
      </c>
      <c r="BO317" s="16" t="str">
        <f t="shared" si="234"/>
        <v>0</v>
      </c>
      <c r="BP317" s="16" t="str">
        <f>IF(Risultati!AB316&gt;0,(AV317/Risultati!AB316),"0")</f>
        <v>0</v>
      </c>
      <c r="BQ317" s="16" t="str">
        <f>IF(Risultati!AG316&lt;&gt;0,(BH317/Risultati!AG316),"0")</f>
        <v>0</v>
      </c>
      <c r="BR317" s="16" t="str">
        <f t="shared" si="235"/>
        <v>0</v>
      </c>
      <c r="BS317" s="14" t="str">
        <f>IF(Risultati!AB316&gt;0,(Risultati!G316/Risultati!AB316),"0")</f>
        <v>0</v>
      </c>
      <c r="BT317" s="15" t="str">
        <f>IF(Risultati!AG316&lt;&gt;0,(Risultati!AB316/Risultati!AG316),"0")</f>
        <v>0</v>
      </c>
      <c r="BU317" s="23" t="str">
        <f>IF(AND(Risultati!G316&gt;0,(Risultati!AE316-Risultati!AF316)&gt;=0),((Risultati!AE316-Risultati!AF316)/Risultati!G316*360),"0")</f>
        <v>0</v>
      </c>
      <c r="BV317" s="21" t="str">
        <f>IF(OR(E317="abbreviato",Risultati!G316=0),"0",((Risultati!AC316+Risultati!AD316)/Risultati!G316*360))</f>
        <v>0</v>
      </c>
      <c r="BW317" s="21" t="str">
        <f>IF(OR(E317="abbreviato",Risultati!G316=0,SUM(Risultati!I316+Risultati!K316+Risultati!M316)=0),"0",(((Risultati!AH316+Risultati!AI316)/(Risultati!I316+Risultati!K316+Risultati!N316)*360)))</f>
        <v>0</v>
      </c>
      <c r="BX317" s="16" t="str">
        <f>IF(Risultati!AB316&gt;0,(+Risultati!AG316/Risultati!AB316),"0")</f>
        <v>0</v>
      </c>
      <c r="BY317" s="22" t="str">
        <f>IF(OR(E317="abbreviato",Risultati!G316=0),"0",(((Risultati!AK316-(Risultati!AL316+Risultati!AM316))/Risultati!G316)))</f>
        <v>0</v>
      </c>
      <c r="BZ317" s="16" t="str">
        <f>IF(Risultati!G316&gt;0,(Risultati!AJ316/Risultati!G316),"0")</f>
        <v>0</v>
      </c>
      <c r="CA317" s="8"/>
      <c r="CB317" s="9">
        <f>+Risultati!AP316</f>
        <v>0</v>
      </c>
      <c r="CC317" s="31" t="str">
        <f t="shared" si="261"/>
        <v>0</v>
      </c>
      <c r="CD317" s="9">
        <f>+Risultati!AQ316</f>
        <v>0</v>
      </c>
      <c r="CE317" s="31" t="str">
        <f t="shared" si="262"/>
        <v>0</v>
      </c>
      <c r="CF317" s="9">
        <f>+Risultati!AR316</f>
        <v>0</v>
      </c>
      <c r="CG317" s="31" t="str">
        <f t="shared" si="263"/>
        <v>0</v>
      </c>
      <c r="CH317" s="9">
        <f>+Risultati!AS316</f>
        <v>0</v>
      </c>
      <c r="CI317" s="31" t="str">
        <f t="shared" si="264"/>
        <v>0</v>
      </c>
      <c r="CJ317" s="9">
        <f t="shared" si="265"/>
        <v>0</v>
      </c>
      <c r="CK317" s="31" t="str">
        <f t="shared" si="266"/>
        <v>0</v>
      </c>
      <c r="CL317" s="10">
        <f>+Risultati!AE316+Risultati!AF316</f>
        <v>0</v>
      </c>
      <c r="CM317" s="31" t="str">
        <f t="shared" si="267"/>
        <v>0</v>
      </c>
      <c r="CN317" s="9">
        <f>+Risultati!AT316</f>
        <v>0</v>
      </c>
      <c r="CO317" s="31" t="str">
        <f t="shared" si="268"/>
        <v>0</v>
      </c>
      <c r="CP317" s="9">
        <f>+Risultati!AU316</f>
        <v>0</v>
      </c>
      <c r="CQ317" s="31" t="str">
        <f t="shared" si="269"/>
        <v>0</v>
      </c>
      <c r="CR317" s="9">
        <f>+Risultati!AL316</f>
        <v>0</v>
      </c>
      <c r="CS317" s="31" t="str">
        <f t="shared" si="270"/>
        <v>0</v>
      </c>
      <c r="CT317" s="9">
        <f t="shared" si="271"/>
        <v>0</v>
      </c>
      <c r="CU317" s="31" t="str">
        <f t="shared" si="272"/>
        <v>0</v>
      </c>
      <c r="CV317" s="9">
        <f>+Risultati!AX316</f>
        <v>0</v>
      </c>
      <c r="CW317" s="31" t="str">
        <f t="shared" si="273"/>
        <v>0</v>
      </c>
      <c r="CX317" s="9">
        <f t="shared" si="274"/>
        <v>0</v>
      </c>
      <c r="CY317" s="31" t="str">
        <f t="shared" si="275"/>
        <v>0</v>
      </c>
      <c r="CZ317" s="9">
        <f>+Risultati!AG316</f>
        <v>0</v>
      </c>
      <c r="DA317" s="31" t="str">
        <f t="shared" si="276"/>
        <v>0</v>
      </c>
      <c r="DB317" s="9">
        <f t="shared" si="277"/>
        <v>0</v>
      </c>
      <c r="DC317" s="31" t="str">
        <f t="shared" si="278"/>
        <v>0</v>
      </c>
      <c r="DD317" s="9">
        <f>+Risultati!AV316</f>
        <v>0</v>
      </c>
      <c r="DE317" s="31" t="str">
        <f t="shared" si="279"/>
        <v>0</v>
      </c>
      <c r="DF317" s="9">
        <f>+Risultati!AJ316</f>
        <v>0</v>
      </c>
      <c r="DG317" s="31" t="str">
        <f t="shared" si="280"/>
        <v>0</v>
      </c>
      <c r="DH317" s="9">
        <f t="shared" si="281"/>
        <v>0</v>
      </c>
      <c r="DI317" s="31" t="str">
        <f t="shared" si="282"/>
        <v>0</v>
      </c>
      <c r="DJ317" s="9">
        <f>+Risultati!AW316</f>
        <v>0</v>
      </c>
      <c r="DK317" s="31" t="str">
        <f t="shared" si="283"/>
        <v>0</v>
      </c>
      <c r="DL317" s="10">
        <f t="shared" si="254"/>
        <v>0</v>
      </c>
      <c r="DM317" s="31" t="str">
        <f t="shared" si="284"/>
        <v>0</v>
      </c>
      <c r="DO317" s="30"/>
      <c r="DP317" s="30"/>
    </row>
    <row r="318" spans="1:120" x14ac:dyDescent="0.2">
      <c r="A318" s="5"/>
      <c r="B318" s="6">
        <f>+Risultati!B317</f>
        <v>0</v>
      </c>
      <c r="C318" s="6">
        <f>+Risultati!C317</f>
        <v>0</v>
      </c>
      <c r="D318" s="26" t="str">
        <f>IF(YEAR(Risultati!D317)=1900,(MID(Risultati!$AP$1,29,4)),YEAR(Risultati!D317))</f>
        <v/>
      </c>
      <c r="E318" s="6">
        <f>+Risultati!E317</f>
        <v>0</v>
      </c>
      <c r="F318" s="8" t="e">
        <f>(LEFT(Risultati!AN317,2)&amp;"-")&amp;VLOOKUP((LEFT(Risultati!AN317,2)),ateco!$B$4:$C$93,2,FALSE)</f>
        <v>#N/A</v>
      </c>
      <c r="G318" s="8" t="str">
        <f>SUBSTITUTE((Risultati!AN317&amp;"-"&amp;Risultati!AO317),",",";")</f>
        <v>-</v>
      </c>
      <c r="I318" s="10">
        <f>+Risultati!G317</f>
        <v>0</v>
      </c>
      <c r="J318" s="11" t="str">
        <f t="shared" si="236"/>
        <v>0</v>
      </c>
      <c r="K318" s="12"/>
      <c r="L318" s="10">
        <f>+Risultati!G317+Risultati!H317</f>
        <v>0</v>
      </c>
      <c r="M318" s="11" t="str">
        <f t="shared" si="237"/>
        <v>0</v>
      </c>
      <c r="N318" s="12"/>
      <c r="O318" s="10">
        <f>+Risultati!I317+Risultati!J317</f>
        <v>0</v>
      </c>
      <c r="P318" s="11" t="str">
        <f t="shared" si="238"/>
        <v>0</v>
      </c>
      <c r="Q318" s="12"/>
      <c r="R318" s="13">
        <f t="shared" si="255"/>
        <v>0</v>
      </c>
      <c r="S318" s="11" t="str">
        <f t="shared" si="239"/>
        <v>0</v>
      </c>
      <c r="T318" s="12"/>
      <c r="U318" s="10">
        <f>+Risultati!F317-(Risultati!G317+Risultati!H317)</f>
        <v>0</v>
      </c>
      <c r="V318" s="12" t="str">
        <f t="shared" si="240"/>
        <v>0</v>
      </c>
      <c r="W318" s="12"/>
      <c r="X318" s="10">
        <f t="shared" si="256"/>
        <v>0</v>
      </c>
      <c r="Y318" s="12" t="str">
        <f t="shared" si="241"/>
        <v>0</v>
      </c>
      <c r="Z318" s="12"/>
      <c r="AA318" s="10">
        <f>+Risultati!K317</f>
        <v>0</v>
      </c>
      <c r="AB318" s="12" t="str">
        <f t="shared" si="242"/>
        <v>0</v>
      </c>
      <c r="AC318" s="12"/>
      <c r="AD318" s="10">
        <f>+Risultati!L317</f>
        <v>0</v>
      </c>
      <c r="AE318" s="12" t="str">
        <f t="shared" si="243"/>
        <v>0</v>
      </c>
      <c r="AF318" s="12"/>
      <c r="AG318" s="10">
        <f>+Risultati!M317+Risultati!P317+Risultati!Q317</f>
        <v>0</v>
      </c>
      <c r="AH318" s="12" t="str">
        <f t="shared" si="244"/>
        <v>0</v>
      </c>
      <c r="AI318" s="12"/>
      <c r="AJ318" s="13">
        <f t="shared" si="257"/>
        <v>0</v>
      </c>
      <c r="AK318" s="11" t="str">
        <f t="shared" si="245"/>
        <v>0</v>
      </c>
      <c r="AL318" s="12"/>
      <c r="AM318" s="10">
        <f>+Risultati!N317</f>
        <v>0</v>
      </c>
      <c r="AN318" s="12" t="str">
        <f t="shared" si="246"/>
        <v>0</v>
      </c>
      <c r="AO318" s="12"/>
      <c r="AP318" s="10">
        <f t="shared" si="258"/>
        <v>0</v>
      </c>
      <c r="AQ318" s="41" t="str">
        <f t="shared" si="247"/>
        <v>0</v>
      </c>
      <c r="AR318" s="12"/>
      <c r="AS318" s="10">
        <f>+Risultati!O317</f>
        <v>0</v>
      </c>
      <c r="AT318" s="12" t="str">
        <f t="shared" si="248"/>
        <v>0</v>
      </c>
      <c r="AU318" s="12"/>
      <c r="AV318" s="10">
        <f t="shared" si="259"/>
        <v>0</v>
      </c>
      <c r="AW318" s="12" t="str">
        <f t="shared" si="249"/>
        <v>0</v>
      </c>
      <c r="AX318" s="12"/>
      <c r="AY318" s="10">
        <f>+Risultati!R317+Risultati!S317</f>
        <v>0</v>
      </c>
      <c r="AZ318" s="12" t="str">
        <f t="shared" si="250"/>
        <v>0</v>
      </c>
      <c r="BA318" s="12"/>
      <c r="BB318" s="10">
        <f>+Risultati!T317</f>
        <v>0</v>
      </c>
      <c r="BC318" s="12" t="str">
        <f t="shared" si="251"/>
        <v>0</v>
      </c>
      <c r="BD318" s="12"/>
      <c r="BE318" s="10">
        <f>+Risultati!U317</f>
        <v>0</v>
      </c>
      <c r="BF318" s="12" t="str">
        <f t="shared" si="252"/>
        <v>0</v>
      </c>
      <c r="BG318" s="12"/>
      <c r="BH318" s="10">
        <f t="shared" si="260"/>
        <v>0</v>
      </c>
      <c r="BI318" s="12" t="str">
        <f t="shared" si="253"/>
        <v>0</v>
      </c>
      <c r="BK318" s="16">
        <f>IF(ISNUMBER(Risultati!X317/100),(Risultati!X317/100))</f>
        <v>0</v>
      </c>
      <c r="BL318" s="16">
        <f>IF(ISNUMBER(Risultati!Y317/100),(Risultati!Y317/100))</f>
        <v>0</v>
      </c>
      <c r="BM318" s="16">
        <f>IF(ISNUMBER(Risultati!Z317/100),(Risultati!Z317/100))</f>
        <v>0</v>
      </c>
      <c r="BN318" s="16">
        <f>IF(AND(Risultati!AY317&lt;0,calcoli!AP318&lt;0),-IF(ISNUMBER(Risultati!AA317/100),(Risultati!AA317/100)),IF(ISNUMBER(Risultati!AA317/100),(Risultati!AA317/100)))</f>
        <v>0</v>
      </c>
      <c r="BO318" s="16" t="str">
        <f t="shared" si="234"/>
        <v>0</v>
      </c>
      <c r="BP318" s="16" t="str">
        <f>IF(Risultati!AB317&gt;0,(AV318/Risultati!AB317),"0")</f>
        <v>0</v>
      </c>
      <c r="BQ318" s="16" t="str">
        <f>IF(Risultati!AG317&lt;&gt;0,(BH318/Risultati!AG317),"0")</f>
        <v>0</v>
      </c>
      <c r="BR318" s="16" t="str">
        <f t="shared" si="235"/>
        <v>0</v>
      </c>
      <c r="BS318" s="14" t="str">
        <f>IF(Risultati!AB317&gt;0,(Risultati!G317/Risultati!AB317),"0")</f>
        <v>0</v>
      </c>
      <c r="BT318" s="15" t="str">
        <f>IF(Risultati!AG317&lt;&gt;0,(Risultati!AB317/Risultati!AG317),"0")</f>
        <v>0</v>
      </c>
      <c r="BU318" s="23" t="str">
        <f>IF(AND(Risultati!G317&gt;0,(Risultati!AE317-Risultati!AF317)&gt;=0),((Risultati!AE317-Risultati!AF317)/Risultati!G317*360),"0")</f>
        <v>0</v>
      </c>
      <c r="BV318" s="21" t="str">
        <f>IF(OR(E318="abbreviato",Risultati!G317=0),"0",((Risultati!AC317+Risultati!AD317)/Risultati!G317*360))</f>
        <v>0</v>
      </c>
      <c r="BW318" s="21" t="str">
        <f>IF(OR(E318="abbreviato",Risultati!G317=0,SUM(Risultati!I317+Risultati!K317+Risultati!M317)=0),"0",(((Risultati!AH317+Risultati!AI317)/(Risultati!I317+Risultati!K317+Risultati!N317)*360)))</f>
        <v>0</v>
      </c>
      <c r="BX318" s="16" t="str">
        <f>IF(Risultati!AB317&gt;0,(+Risultati!AG317/Risultati!AB317),"0")</f>
        <v>0</v>
      </c>
      <c r="BY318" s="22" t="str">
        <f>IF(OR(E318="abbreviato",Risultati!G317=0),"0",(((Risultati!AK317-(Risultati!AL317+Risultati!AM317))/Risultati!G317)))</f>
        <v>0</v>
      </c>
      <c r="BZ318" s="16" t="str">
        <f>IF(Risultati!G317&gt;0,(Risultati!AJ317/Risultati!G317),"0")</f>
        <v>0</v>
      </c>
      <c r="CA318" s="8"/>
      <c r="CB318" s="9">
        <f>+Risultati!AP317</f>
        <v>0</v>
      </c>
      <c r="CC318" s="31" t="str">
        <f t="shared" si="261"/>
        <v>0</v>
      </c>
      <c r="CD318" s="9">
        <f>+Risultati!AQ317</f>
        <v>0</v>
      </c>
      <c r="CE318" s="31" t="str">
        <f t="shared" si="262"/>
        <v>0</v>
      </c>
      <c r="CF318" s="9">
        <f>+Risultati!AR317</f>
        <v>0</v>
      </c>
      <c r="CG318" s="31" t="str">
        <f t="shared" si="263"/>
        <v>0</v>
      </c>
      <c r="CH318" s="9">
        <f>+Risultati!AS317</f>
        <v>0</v>
      </c>
      <c r="CI318" s="31" t="str">
        <f t="shared" si="264"/>
        <v>0</v>
      </c>
      <c r="CJ318" s="9">
        <f t="shared" si="265"/>
        <v>0</v>
      </c>
      <c r="CK318" s="31" t="str">
        <f t="shared" si="266"/>
        <v>0</v>
      </c>
      <c r="CL318" s="10">
        <f>+Risultati!AE317+Risultati!AF317</f>
        <v>0</v>
      </c>
      <c r="CM318" s="31" t="str">
        <f t="shared" si="267"/>
        <v>0</v>
      </c>
      <c r="CN318" s="9">
        <f>+Risultati!AT317</f>
        <v>0</v>
      </c>
      <c r="CO318" s="31" t="str">
        <f t="shared" si="268"/>
        <v>0</v>
      </c>
      <c r="CP318" s="9">
        <f>+Risultati!AU317</f>
        <v>0</v>
      </c>
      <c r="CQ318" s="31" t="str">
        <f t="shared" si="269"/>
        <v>0</v>
      </c>
      <c r="CR318" s="9">
        <f>+Risultati!AL317</f>
        <v>0</v>
      </c>
      <c r="CS318" s="31" t="str">
        <f t="shared" si="270"/>
        <v>0</v>
      </c>
      <c r="CT318" s="9">
        <f t="shared" si="271"/>
        <v>0</v>
      </c>
      <c r="CU318" s="31" t="str">
        <f t="shared" si="272"/>
        <v>0</v>
      </c>
      <c r="CV318" s="9">
        <f>+Risultati!AX317</f>
        <v>0</v>
      </c>
      <c r="CW318" s="31" t="str">
        <f t="shared" si="273"/>
        <v>0</v>
      </c>
      <c r="CX318" s="9">
        <f t="shared" si="274"/>
        <v>0</v>
      </c>
      <c r="CY318" s="31" t="str">
        <f t="shared" si="275"/>
        <v>0</v>
      </c>
      <c r="CZ318" s="9">
        <f>+Risultati!AG317</f>
        <v>0</v>
      </c>
      <c r="DA318" s="31" t="str">
        <f t="shared" si="276"/>
        <v>0</v>
      </c>
      <c r="DB318" s="9">
        <f t="shared" si="277"/>
        <v>0</v>
      </c>
      <c r="DC318" s="31" t="str">
        <f t="shared" si="278"/>
        <v>0</v>
      </c>
      <c r="DD318" s="9">
        <f>+Risultati!AV317</f>
        <v>0</v>
      </c>
      <c r="DE318" s="31" t="str">
        <f t="shared" si="279"/>
        <v>0</v>
      </c>
      <c r="DF318" s="9">
        <f>+Risultati!AJ317</f>
        <v>0</v>
      </c>
      <c r="DG318" s="31" t="str">
        <f t="shared" si="280"/>
        <v>0</v>
      </c>
      <c r="DH318" s="9">
        <f t="shared" si="281"/>
        <v>0</v>
      </c>
      <c r="DI318" s="31" t="str">
        <f t="shared" si="282"/>
        <v>0</v>
      </c>
      <c r="DJ318" s="9">
        <f>+Risultati!AW317</f>
        <v>0</v>
      </c>
      <c r="DK318" s="31" t="str">
        <f t="shared" si="283"/>
        <v>0</v>
      </c>
      <c r="DL318" s="10">
        <f t="shared" si="254"/>
        <v>0</v>
      </c>
      <c r="DM318" s="31" t="str">
        <f t="shared" si="284"/>
        <v>0</v>
      </c>
      <c r="DO318" s="30"/>
      <c r="DP318" s="30"/>
    </row>
    <row r="319" spans="1:120" x14ac:dyDescent="0.2">
      <c r="A319" s="5"/>
      <c r="B319" s="6">
        <f>+Risultati!B318</f>
        <v>0</v>
      </c>
      <c r="C319" s="6">
        <f>+Risultati!C318</f>
        <v>0</v>
      </c>
      <c r="D319" s="26" t="str">
        <f>IF(YEAR(Risultati!D318)=1900,(MID(Risultati!$AP$1,29,4)),YEAR(Risultati!D318))</f>
        <v/>
      </c>
      <c r="E319" s="6">
        <f>+Risultati!E318</f>
        <v>0</v>
      </c>
      <c r="F319" s="8" t="e">
        <f>(LEFT(Risultati!AN318,2)&amp;"-")&amp;VLOOKUP((LEFT(Risultati!AN318,2)),ateco!$B$4:$C$93,2,FALSE)</f>
        <v>#N/A</v>
      </c>
      <c r="G319" s="8" t="str">
        <f>SUBSTITUTE((Risultati!AN318&amp;"-"&amp;Risultati!AO318),",",";")</f>
        <v>-</v>
      </c>
      <c r="I319" s="10">
        <f>+Risultati!G318</f>
        <v>0</v>
      </c>
      <c r="J319" s="11" t="str">
        <f t="shared" si="236"/>
        <v>0</v>
      </c>
      <c r="K319" s="12"/>
      <c r="L319" s="10">
        <f>+Risultati!G318+Risultati!H318</f>
        <v>0</v>
      </c>
      <c r="M319" s="11" t="str">
        <f t="shared" si="237"/>
        <v>0</v>
      </c>
      <c r="N319" s="12"/>
      <c r="O319" s="10">
        <f>+Risultati!I318+Risultati!J318</f>
        <v>0</v>
      </c>
      <c r="P319" s="11" t="str">
        <f t="shared" si="238"/>
        <v>0</v>
      </c>
      <c r="Q319" s="12"/>
      <c r="R319" s="13">
        <f t="shared" si="255"/>
        <v>0</v>
      </c>
      <c r="S319" s="11" t="str">
        <f t="shared" si="239"/>
        <v>0</v>
      </c>
      <c r="T319" s="12"/>
      <c r="U319" s="10">
        <f>+Risultati!F318-(Risultati!G318+Risultati!H318)</f>
        <v>0</v>
      </c>
      <c r="V319" s="12" t="str">
        <f t="shared" si="240"/>
        <v>0</v>
      </c>
      <c r="W319" s="12"/>
      <c r="X319" s="10">
        <f t="shared" si="256"/>
        <v>0</v>
      </c>
      <c r="Y319" s="12" t="str">
        <f t="shared" si="241"/>
        <v>0</v>
      </c>
      <c r="Z319" s="12"/>
      <c r="AA319" s="10">
        <f>+Risultati!K318</f>
        <v>0</v>
      </c>
      <c r="AB319" s="12" t="str">
        <f t="shared" si="242"/>
        <v>0</v>
      </c>
      <c r="AC319" s="12"/>
      <c r="AD319" s="10">
        <f>+Risultati!L318</f>
        <v>0</v>
      </c>
      <c r="AE319" s="12" t="str">
        <f t="shared" si="243"/>
        <v>0</v>
      </c>
      <c r="AF319" s="12"/>
      <c r="AG319" s="10">
        <f>+Risultati!M318+Risultati!P318+Risultati!Q318</f>
        <v>0</v>
      </c>
      <c r="AH319" s="12" t="str">
        <f t="shared" si="244"/>
        <v>0</v>
      </c>
      <c r="AI319" s="12"/>
      <c r="AJ319" s="13">
        <f t="shared" si="257"/>
        <v>0</v>
      </c>
      <c r="AK319" s="11" t="str">
        <f t="shared" si="245"/>
        <v>0</v>
      </c>
      <c r="AL319" s="12"/>
      <c r="AM319" s="10">
        <f>+Risultati!N318</f>
        <v>0</v>
      </c>
      <c r="AN319" s="12" t="str">
        <f t="shared" si="246"/>
        <v>0</v>
      </c>
      <c r="AO319" s="12"/>
      <c r="AP319" s="10">
        <f t="shared" si="258"/>
        <v>0</v>
      </c>
      <c r="AQ319" s="41" t="str">
        <f t="shared" si="247"/>
        <v>0</v>
      </c>
      <c r="AR319" s="12"/>
      <c r="AS319" s="10">
        <f>+Risultati!O318</f>
        <v>0</v>
      </c>
      <c r="AT319" s="12" t="str">
        <f t="shared" si="248"/>
        <v>0</v>
      </c>
      <c r="AU319" s="12"/>
      <c r="AV319" s="10">
        <f t="shared" si="259"/>
        <v>0</v>
      </c>
      <c r="AW319" s="12" t="str">
        <f t="shared" si="249"/>
        <v>0</v>
      </c>
      <c r="AX319" s="12"/>
      <c r="AY319" s="10">
        <f>+Risultati!R318+Risultati!S318</f>
        <v>0</v>
      </c>
      <c r="AZ319" s="12" t="str">
        <f t="shared" si="250"/>
        <v>0</v>
      </c>
      <c r="BA319" s="12"/>
      <c r="BB319" s="10">
        <f>+Risultati!T318</f>
        <v>0</v>
      </c>
      <c r="BC319" s="12" t="str">
        <f t="shared" si="251"/>
        <v>0</v>
      </c>
      <c r="BD319" s="12"/>
      <c r="BE319" s="10">
        <f>+Risultati!U318</f>
        <v>0</v>
      </c>
      <c r="BF319" s="12" t="str">
        <f t="shared" si="252"/>
        <v>0</v>
      </c>
      <c r="BG319" s="12"/>
      <c r="BH319" s="10">
        <f t="shared" si="260"/>
        <v>0</v>
      </c>
      <c r="BI319" s="12" t="str">
        <f t="shared" si="253"/>
        <v>0</v>
      </c>
      <c r="BK319" s="16">
        <f>IF(ISNUMBER(Risultati!X318/100),(Risultati!X318/100))</f>
        <v>0</v>
      </c>
      <c r="BL319" s="16">
        <f>IF(ISNUMBER(Risultati!Y318/100),(Risultati!Y318/100))</f>
        <v>0</v>
      </c>
      <c r="BM319" s="16">
        <f>IF(ISNUMBER(Risultati!Z318/100),(Risultati!Z318/100))</f>
        <v>0</v>
      </c>
      <c r="BN319" s="16">
        <f>IF(AND(Risultati!AY318&lt;0,calcoli!AP319&lt;0),-IF(ISNUMBER(Risultati!AA318/100),(Risultati!AA318/100)),IF(ISNUMBER(Risultati!AA318/100),(Risultati!AA318/100)))</f>
        <v>0</v>
      </c>
      <c r="BO319" s="16" t="str">
        <f t="shared" si="234"/>
        <v>0</v>
      </c>
      <c r="BP319" s="16" t="str">
        <f>IF(Risultati!AB318&gt;0,(AV319/Risultati!AB318),"0")</f>
        <v>0</v>
      </c>
      <c r="BQ319" s="16" t="str">
        <f>IF(Risultati!AG318&lt;&gt;0,(BH319/Risultati!AG318),"0")</f>
        <v>0</v>
      </c>
      <c r="BR319" s="16" t="str">
        <f t="shared" si="235"/>
        <v>0</v>
      </c>
      <c r="BS319" s="14" t="str">
        <f>IF(Risultati!AB318&gt;0,(Risultati!G318/Risultati!AB318),"0")</f>
        <v>0</v>
      </c>
      <c r="BT319" s="15" t="str">
        <f>IF(Risultati!AG318&lt;&gt;0,(Risultati!AB318/Risultati!AG318),"0")</f>
        <v>0</v>
      </c>
      <c r="BU319" s="23" t="str">
        <f>IF(AND(Risultati!G318&gt;0,(Risultati!AE318-Risultati!AF318)&gt;=0),((Risultati!AE318-Risultati!AF318)/Risultati!G318*360),"0")</f>
        <v>0</v>
      </c>
      <c r="BV319" s="21" t="str">
        <f>IF(OR(E319="abbreviato",Risultati!G318=0),"0",((Risultati!AC318+Risultati!AD318)/Risultati!G318*360))</f>
        <v>0</v>
      </c>
      <c r="BW319" s="21" t="str">
        <f>IF(OR(E319="abbreviato",Risultati!G318=0,SUM(Risultati!I318+Risultati!K318+Risultati!M318)=0),"0",(((Risultati!AH318+Risultati!AI318)/(Risultati!I318+Risultati!K318+Risultati!N318)*360)))</f>
        <v>0</v>
      </c>
      <c r="BX319" s="16" t="str">
        <f>IF(Risultati!AB318&gt;0,(+Risultati!AG318/Risultati!AB318),"0")</f>
        <v>0</v>
      </c>
      <c r="BY319" s="22" t="str">
        <f>IF(OR(E319="abbreviato",Risultati!G318=0),"0",(((Risultati!AK318-(Risultati!AL318+Risultati!AM318))/Risultati!G318)))</f>
        <v>0</v>
      </c>
      <c r="BZ319" s="16" t="str">
        <f>IF(Risultati!G318&gt;0,(Risultati!AJ318/Risultati!G318),"0")</f>
        <v>0</v>
      </c>
      <c r="CA319" s="8"/>
      <c r="CB319" s="9">
        <f>+Risultati!AP318</f>
        <v>0</v>
      </c>
      <c r="CC319" s="31" t="str">
        <f t="shared" si="261"/>
        <v>0</v>
      </c>
      <c r="CD319" s="9">
        <f>+Risultati!AQ318</f>
        <v>0</v>
      </c>
      <c r="CE319" s="31" t="str">
        <f t="shared" si="262"/>
        <v>0</v>
      </c>
      <c r="CF319" s="9">
        <f>+Risultati!AR318</f>
        <v>0</v>
      </c>
      <c r="CG319" s="31" t="str">
        <f t="shared" si="263"/>
        <v>0</v>
      </c>
      <c r="CH319" s="9">
        <f>+Risultati!AS318</f>
        <v>0</v>
      </c>
      <c r="CI319" s="31" t="str">
        <f t="shared" si="264"/>
        <v>0</v>
      </c>
      <c r="CJ319" s="9">
        <f t="shared" si="265"/>
        <v>0</v>
      </c>
      <c r="CK319" s="31" t="str">
        <f t="shared" si="266"/>
        <v>0</v>
      </c>
      <c r="CL319" s="10">
        <f>+Risultati!AE318+Risultati!AF318</f>
        <v>0</v>
      </c>
      <c r="CM319" s="31" t="str">
        <f t="shared" si="267"/>
        <v>0</v>
      </c>
      <c r="CN319" s="9">
        <f>+Risultati!AT318</f>
        <v>0</v>
      </c>
      <c r="CO319" s="31" t="str">
        <f t="shared" si="268"/>
        <v>0</v>
      </c>
      <c r="CP319" s="9">
        <f>+Risultati!AU318</f>
        <v>0</v>
      </c>
      <c r="CQ319" s="31" t="str">
        <f t="shared" si="269"/>
        <v>0</v>
      </c>
      <c r="CR319" s="9">
        <f>+Risultati!AL318</f>
        <v>0</v>
      </c>
      <c r="CS319" s="31" t="str">
        <f t="shared" si="270"/>
        <v>0</v>
      </c>
      <c r="CT319" s="9">
        <f t="shared" si="271"/>
        <v>0</v>
      </c>
      <c r="CU319" s="31" t="str">
        <f t="shared" si="272"/>
        <v>0</v>
      </c>
      <c r="CV319" s="9">
        <f>+Risultati!AX318</f>
        <v>0</v>
      </c>
      <c r="CW319" s="31" t="str">
        <f t="shared" si="273"/>
        <v>0</v>
      </c>
      <c r="CX319" s="9">
        <f t="shared" si="274"/>
        <v>0</v>
      </c>
      <c r="CY319" s="31" t="str">
        <f t="shared" si="275"/>
        <v>0</v>
      </c>
      <c r="CZ319" s="9">
        <f>+Risultati!AG318</f>
        <v>0</v>
      </c>
      <c r="DA319" s="31" t="str">
        <f t="shared" si="276"/>
        <v>0</v>
      </c>
      <c r="DB319" s="9">
        <f t="shared" si="277"/>
        <v>0</v>
      </c>
      <c r="DC319" s="31" t="str">
        <f t="shared" si="278"/>
        <v>0</v>
      </c>
      <c r="DD319" s="9">
        <f>+Risultati!AV318</f>
        <v>0</v>
      </c>
      <c r="DE319" s="31" t="str">
        <f t="shared" si="279"/>
        <v>0</v>
      </c>
      <c r="DF319" s="9">
        <f>+Risultati!AJ318</f>
        <v>0</v>
      </c>
      <c r="DG319" s="31" t="str">
        <f t="shared" si="280"/>
        <v>0</v>
      </c>
      <c r="DH319" s="9">
        <f t="shared" si="281"/>
        <v>0</v>
      </c>
      <c r="DI319" s="31" t="str">
        <f t="shared" si="282"/>
        <v>0</v>
      </c>
      <c r="DJ319" s="9">
        <f>+Risultati!AW318</f>
        <v>0</v>
      </c>
      <c r="DK319" s="31" t="str">
        <f t="shared" si="283"/>
        <v>0</v>
      </c>
      <c r="DL319" s="10">
        <f t="shared" si="254"/>
        <v>0</v>
      </c>
      <c r="DM319" s="31" t="str">
        <f t="shared" si="284"/>
        <v>0</v>
      </c>
      <c r="DO319" s="30"/>
      <c r="DP319" s="30"/>
    </row>
    <row r="320" spans="1:120" x14ac:dyDescent="0.2">
      <c r="A320" s="5"/>
      <c r="B320" s="6">
        <f>+Risultati!B319</f>
        <v>0</v>
      </c>
      <c r="C320" s="6">
        <f>+Risultati!C319</f>
        <v>0</v>
      </c>
      <c r="D320" s="26" t="str">
        <f>IF(YEAR(Risultati!D319)=1900,(MID(Risultati!$AP$1,29,4)),YEAR(Risultati!D319))</f>
        <v/>
      </c>
      <c r="E320" s="6">
        <f>+Risultati!E319</f>
        <v>0</v>
      </c>
      <c r="F320" s="8" t="e">
        <f>(LEFT(Risultati!AN319,2)&amp;"-")&amp;VLOOKUP((LEFT(Risultati!AN319,2)),ateco!$B$4:$C$93,2,FALSE)</f>
        <v>#N/A</v>
      </c>
      <c r="G320" s="8" t="str">
        <f>SUBSTITUTE((Risultati!AN319&amp;"-"&amp;Risultati!AO319),",",";")</f>
        <v>-</v>
      </c>
      <c r="I320" s="10">
        <f>+Risultati!G319</f>
        <v>0</v>
      </c>
      <c r="J320" s="11" t="str">
        <f t="shared" si="236"/>
        <v>0</v>
      </c>
      <c r="K320" s="12"/>
      <c r="L320" s="10">
        <f>+Risultati!G319+Risultati!H319</f>
        <v>0</v>
      </c>
      <c r="M320" s="11" t="str">
        <f t="shared" si="237"/>
        <v>0</v>
      </c>
      <c r="N320" s="12"/>
      <c r="O320" s="10">
        <f>+Risultati!I319+Risultati!J319</f>
        <v>0</v>
      </c>
      <c r="P320" s="11" t="str">
        <f t="shared" si="238"/>
        <v>0</v>
      </c>
      <c r="Q320" s="12"/>
      <c r="R320" s="13">
        <f t="shared" si="255"/>
        <v>0</v>
      </c>
      <c r="S320" s="11" t="str">
        <f t="shared" si="239"/>
        <v>0</v>
      </c>
      <c r="T320" s="12"/>
      <c r="U320" s="10">
        <f>+Risultati!F319-(Risultati!G319+Risultati!H319)</f>
        <v>0</v>
      </c>
      <c r="V320" s="12" t="str">
        <f t="shared" si="240"/>
        <v>0</v>
      </c>
      <c r="W320" s="12"/>
      <c r="X320" s="10">
        <f t="shared" si="256"/>
        <v>0</v>
      </c>
      <c r="Y320" s="12" t="str">
        <f t="shared" si="241"/>
        <v>0</v>
      </c>
      <c r="Z320" s="12"/>
      <c r="AA320" s="10">
        <f>+Risultati!K319</f>
        <v>0</v>
      </c>
      <c r="AB320" s="12" t="str">
        <f t="shared" si="242"/>
        <v>0</v>
      </c>
      <c r="AC320" s="12"/>
      <c r="AD320" s="10">
        <f>+Risultati!L319</f>
        <v>0</v>
      </c>
      <c r="AE320" s="12" t="str">
        <f t="shared" si="243"/>
        <v>0</v>
      </c>
      <c r="AF320" s="12"/>
      <c r="AG320" s="10">
        <f>+Risultati!M319+Risultati!P319+Risultati!Q319</f>
        <v>0</v>
      </c>
      <c r="AH320" s="12" t="str">
        <f t="shared" si="244"/>
        <v>0</v>
      </c>
      <c r="AI320" s="12"/>
      <c r="AJ320" s="13">
        <f t="shared" si="257"/>
        <v>0</v>
      </c>
      <c r="AK320" s="11" t="str">
        <f t="shared" si="245"/>
        <v>0</v>
      </c>
      <c r="AL320" s="12"/>
      <c r="AM320" s="10">
        <f>+Risultati!N319</f>
        <v>0</v>
      </c>
      <c r="AN320" s="12" t="str">
        <f t="shared" si="246"/>
        <v>0</v>
      </c>
      <c r="AO320" s="12"/>
      <c r="AP320" s="10">
        <f t="shared" si="258"/>
        <v>0</v>
      </c>
      <c r="AQ320" s="41" t="str">
        <f t="shared" si="247"/>
        <v>0</v>
      </c>
      <c r="AR320" s="12"/>
      <c r="AS320" s="10">
        <f>+Risultati!O319</f>
        <v>0</v>
      </c>
      <c r="AT320" s="12" t="str">
        <f t="shared" si="248"/>
        <v>0</v>
      </c>
      <c r="AU320" s="12"/>
      <c r="AV320" s="10">
        <f t="shared" si="259"/>
        <v>0</v>
      </c>
      <c r="AW320" s="12" t="str">
        <f t="shared" si="249"/>
        <v>0</v>
      </c>
      <c r="AX320" s="12"/>
      <c r="AY320" s="10">
        <f>+Risultati!R319+Risultati!S319</f>
        <v>0</v>
      </c>
      <c r="AZ320" s="12" t="str">
        <f t="shared" si="250"/>
        <v>0</v>
      </c>
      <c r="BA320" s="12"/>
      <c r="BB320" s="10">
        <f>+Risultati!T319</f>
        <v>0</v>
      </c>
      <c r="BC320" s="12" t="str">
        <f t="shared" si="251"/>
        <v>0</v>
      </c>
      <c r="BD320" s="12"/>
      <c r="BE320" s="10">
        <f>+Risultati!U319</f>
        <v>0</v>
      </c>
      <c r="BF320" s="12" t="str">
        <f t="shared" si="252"/>
        <v>0</v>
      </c>
      <c r="BG320" s="12"/>
      <c r="BH320" s="10">
        <f t="shared" si="260"/>
        <v>0</v>
      </c>
      <c r="BI320" s="12" t="str">
        <f t="shared" si="253"/>
        <v>0</v>
      </c>
      <c r="BK320" s="16">
        <f>IF(ISNUMBER(Risultati!X319/100),(Risultati!X319/100))</f>
        <v>0</v>
      </c>
      <c r="BL320" s="16">
        <f>IF(ISNUMBER(Risultati!Y319/100),(Risultati!Y319/100))</f>
        <v>0</v>
      </c>
      <c r="BM320" s="16">
        <f>IF(ISNUMBER(Risultati!Z319/100),(Risultati!Z319/100))</f>
        <v>0</v>
      </c>
      <c r="BN320" s="16">
        <f>IF(AND(Risultati!AY319&lt;0,calcoli!AP320&lt;0),-IF(ISNUMBER(Risultati!AA319/100),(Risultati!AA319/100)),IF(ISNUMBER(Risultati!AA319/100),(Risultati!AA319/100)))</f>
        <v>0</v>
      </c>
      <c r="BO320" s="16" t="str">
        <f t="shared" si="234"/>
        <v>0</v>
      </c>
      <c r="BP320" s="16" t="str">
        <f>IF(Risultati!AB319&gt;0,(AV320/Risultati!AB319),"0")</f>
        <v>0</v>
      </c>
      <c r="BQ320" s="16" t="str">
        <f>IF(Risultati!AG319&lt;&gt;0,(BH320/Risultati!AG319),"0")</f>
        <v>0</v>
      </c>
      <c r="BR320" s="16" t="str">
        <f t="shared" si="235"/>
        <v>0</v>
      </c>
      <c r="BS320" s="14" t="str">
        <f>IF(Risultati!AB319&gt;0,(Risultati!G319/Risultati!AB319),"0")</f>
        <v>0</v>
      </c>
      <c r="BT320" s="15" t="str">
        <f>IF(Risultati!AG319&lt;&gt;0,(Risultati!AB319/Risultati!AG319),"0")</f>
        <v>0</v>
      </c>
      <c r="BU320" s="23" t="str">
        <f>IF(AND(Risultati!G319&gt;0,(Risultati!AE319-Risultati!AF319)&gt;=0),((Risultati!AE319-Risultati!AF319)/Risultati!G319*360),"0")</f>
        <v>0</v>
      </c>
      <c r="BV320" s="21" t="str">
        <f>IF(OR(E320="abbreviato",Risultati!G319=0),"0",((Risultati!AC319+Risultati!AD319)/Risultati!G319*360))</f>
        <v>0</v>
      </c>
      <c r="BW320" s="21" t="str">
        <f>IF(OR(E320="abbreviato",Risultati!G319=0,SUM(Risultati!I319+Risultati!K319+Risultati!M319)=0),"0",(((Risultati!AH319+Risultati!AI319)/(Risultati!I319+Risultati!K319+Risultati!N319)*360)))</f>
        <v>0</v>
      </c>
      <c r="BX320" s="16" t="str">
        <f>IF(Risultati!AB319&gt;0,(+Risultati!AG319/Risultati!AB319),"0")</f>
        <v>0</v>
      </c>
      <c r="BY320" s="22" t="str">
        <f>IF(OR(E320="abbreviato",Risultati!G319=0),"0",(((Risultati!AK319-(Risultati!AL319+Risultati!AM319))/Risultati!G319)))</f>
        <v>0</v>
      </c>
      <c r="BZ320" s="16" t="str">
        <f>IF(Risultati!G319&gt;0,(Risultati!AJ319/Risultati!G319),"0")</f>
        <v>0</v>
      </c>
      <c r="CA320" s="8"/>
      <c r="CB320" s="9">
        <f>+Risultati!AP319</f>
        <v>0</v>
      </c>
      <c r="CC320" s="31" t="str">
        <f t="shared" si="261"/>
        <v>0</v>
      </c>
      <c r="CD320" s="9">
        <f>+Risultati!AQ319</f>
        <v>0</v>
      </c>
      <c r="CE320" s="31" t="str">
        <f t="shared" si="262"/>
        <v>0</v>
      </c>
      <c r="CF320" s="9">
        <f>+Risultati!AR319</f>
        <v>0</v>
      </c>
      <c r="CG320" s="31" t="str">
        <f t="shared" si="263"/>
        <v>0</v>
      </c>
      <c r="CH320" s="9">
        <f>+Risultati!AS319</f>
        <v>0</v>
      </c>
      <c r="CI320" s="31" t="str">
        <f t="shared" si="264"/>
        <v>0</v>
      </c>
      <c r="CJ320" s="9">
        <f t="shared" si="265"/>
        <v>0</v>
      </c>
      <c r="CK320" s="31" t="str">
        <f t="shared" si="266"/>
        <v>0</v>
      </c>
      <c r="CL320" s="10">
        <f>+Risultati!AE319+Risultati!AF319</f>
        <v>0</v>
      </c>
      <c r="CM320" s="31" t="str">
        <f t="shared" si="267"/>
        <v>0</v>
      </c>
      <c r="CN320" s="9">
        <f>+Risultati!AT319</f>
        <v>0</v>
      </c>
      <c r="CO320" s="31" t="str">
        <f t="shared" si="268"/>
        <v>0</v>
      </c>
      <c r="CP320" s="9">
        <f>+Risultati!AU319</f>
        <v>0</v>
      </c>
      <c r="CQ320" s="31" t="str">
        <f t="shared" si="269"/>
        <v>0</v>
      </c>
      <c r="CR320" s="9">
        <f>+Risultati!AL319</f>
        <v>0</v>
      </c>
      <c r="CS320" s="31" t="str">
        <f t="shared" si="270"/>
        <v>0</v>
      </c>
      <c r="CT320" s="9">
        <f t="shared" si="271"/>
        <v>0</v>
      </c>
      <c r="CU320" s="31" t="str">
        <f t="shared" si="272"/>
        <v>0</v>
      </c>
      <c r="CV320" s="9">
        <f>+Risultati!AX319</f>
        <v>0</v>
      </c>
      <c r="CW320" s="31" t="str">
        <f t="shared" si="273"/>
        <v>0</v>
      </c>
      <c r="CX320" s="9">
        <f t="shared" si="274"/>
        <v>0</v>
      </c>
      <c r="CY320" s="31" t="str">
        <f t="shared" si="275"/>
        <v>0</v>
      </c>
      <c r="CZ320" s="9">
        <f>+Risultati!AG319</f>
        <v>0</v>
      </c>
      <c r="DA320" s="31" t="str">
        <f t="shared" si="276"/>
        <v>0</v>
      </c>
      <c r="DB320" s="9">
        <f t="shared" si="277"/>
        <v>0</v>
      </c>
      <c r="DC320" s="31" t="str">
        <f t="shared" si="278"/>
        <v>0</v>
      </c>
      <c r="DD320" s="9">
        <f>+Risultati!AV319</f>
        <v>0</v>
      </c>
      <c r="DE320" s="31" t="str">
        <f t="shared" si="279"/>
        <v>0</v>
      </c>
      <c r="DF320" s="9">
        <f>+Risultati!AJ319</f>
        <v>0</v>
      </c>
      <c r="DG320" s="31" t="str">
        <f t="shared" si="280"/>
        <v>0</v>
      </c>
      <c r="DH320" s="9">
        <f t="shared" si="281"/>
        <v>0</v>
      </c>
      <c r="DI320" s="31" t="str">
        <f t="shared" si="282"/>
        <v>0</v>
      </c>
      <c r="DJ320" s="9">
        <f>+Risultati!AW319</f>
        <v>0</v>
      </c>
      <c r="DK320" s="31" t="str">
        <f t="shared" si="283"/>
        <v>0</v>
      </c>
      <c r="DL320" s="10">
        <f t="shared" si="254"/>
        <v>0</v>
      </c>
      <c r="DM320" s="31" t="str">
        <f t="shared" si="284"/>
        <v>0</v>
      </c>
      <c r="DO320" s="30"/>
      <c r="DP320" s="30"/>
    </row>
    <row r="321" spans="1:120" x14ac:dyDescent="0.2">
      <c r="A321" s="5"/>
      <c r="B321" s="6">
        <f>+Risultati!B320</f>
        <v>0</v>
      </c>
      <c r="C321" s="6">
        <f>+Risultati!C320</f>
        <v>0</v>
      </c>
      <c r="D321" s="26" t="str">
        <f>IF(YEAR(Risultati!D320)=1900,(MID(Risultati!$AP$1,29,4)),YEAR(Risultati!D320))</f>
        <v/>
      </c>
      <c r="E321" s="6">
        <f>+Risultati!E320</f>
        <v>0</v>
      </c>
      <c r="F321" s="8" t="e">
        <f>(LEFT(Risultati!AN320,2)&amp;"-")&amp;VLOOKUP((LEFT(Risultati!AN320,2)),ateco!$B$4:$C$93,2,FALSE)</f>
        <v>#N/A</v>
      </c>
      <c r="G321" s="8" t="str">
        <f>SUBSTITUTE((Risultati!AN320&amp;"-"&amp;Risultati!AO320),",",";")</f>
        <v>-</v>
      </c>
      <c r="I321" s="10">
        <f>+Risultati!G320</f>
        <v>0</v>
      </c>
      <c r="J321" s="11" t="str">
        <f t="shared" si="236"/>
        <v>0</v>
      </c>
      <c r="K321" s="12"/>
      <c r="L321" s="10">
        <f>+Risultati!G320+Risultati!H320</f>
        <v>0</v>
      </c>
      <c r="M321" s="11" t="str">
        <f t="shared" si="237"/>
        <v>0</v>
      </c>
      <c r="N321" s="12"/>
      <c r="O321" s="10">
        <f>+Risultati!I320+Risultati!J320</f>
        <v>0</v>
      </c>
      <c r="P321" s="11" t="str">
        <f t="shared" si="238"/>
        <v>0</v>
      </c>
      <c r="Q321" s="12"/>
      <c r="R321" s="13">
        <f t="shared" si="255"/>
        <v>0</v>
      </c>
      <c r="S321" s="11" t="str">
        <f t="shared" si="239"/>
        <v>0</v>
      </c>
      <c r="T321" s="12"/>
      <c r="U321" s="10">
        <f>+Risultati!F320-(Risultati!G320+Risultati!H320)</f>
        <v>0</v>
      </c>
      <c r="V321" s="12" t="str">
        <f t="shared" si="240"/>
        <v>0</v>
      </c>
      <c r="W321" s="12"/>
      <c r="X321" s="10">
        <f t="shared" si="256"/>
        <v>0</v>
      </c>
      <c r="Y321" s="12" t="str">
        <f t="shared" si="241"/>
        <v>0</v>
      </c>
      <c r="Z321" s="12"/>
      <c r="AA321" s="10">
        <f>+Risultati!K320</f>
        <v>0</v>
      </c>
      <c r="AB321" s="12" t="str">
        <f t="shared" si="242"/>
        <v>0</v>
      </c>
      <c r="AC321" s="12"/>
      <c r="AD321" s="10">
        <f>+Risultati!L320</f>
        <v>0</v>
      </c>
      <c r="AE321" s="12" t="str">
        <f t="shared" si="243"/>
        <v>0</v>
      </c>
      <c r="AF321" s="12"/>
      <c r="AG321" s="10">
        <f>+Risultati!M320+Risultati!P320+Risultati!Q320</f>
        <v>0</v>
      </c>
      <c r="AH321" s="12" t="str">
        <f t="shared" si="244"/>
        <v>0</v>
      </c>
      <c r="AI321" s="12"/>
      <c r="AJ321" s="13">
        <f t="shared" si="257"/>
        <v>0</v>
      </c>
      <c r="AK321" s="11" t="str">
        <f t="shared" si="245"/>
        <v>0</v>
      </c>
      <c r="AL321" s="12"/>
      <c r="AM321" s="10">
        <f>+Risultati!N320</f>
        <v>0</v>
      </c>
      <c r="AN321" s="12" t="str">
        <f t="shared" si="246"/>
        <v>0</v>
      </c>
      <c r="AO321" s="12"/>
      <c r="AP321" s="10">
        <f t="shared" si="258"/>
        <v>0</v>
      </c>
      <c r="AQ321" s="41" t="str">
        <f t="shared" si="247"/>
        <v>0</v>
      </c>
      <c r="AR321" s="12"/>
      <c r="AS321" s="10">
        <f>+Risultati!O320</f>
        <v>0</v>
      </c>
      <c r="AT321" s="12" t="str">
        <f t="shared" si="248"/>
        <v>0</v>
      </c>
      <c r="AU321" s="12"/>
      <c r="AV321" s="10">
        <f t="shared" si="259"/>
        <v>0</v>
      </c>
      <c r="AW321" s="12" t="str">
        <f t="shared" si="249"/>
        <v>0</v>
      </c>
      <c r="AX321" s="12"/>
      <c r="AY321" s="10">
        <f>+Risultati!R320+Risultati!S320</f>
        <v>0</v>
      </c>
      <c r="AZ321" s="12" t="str">
        <f t="shared" si="250"/>
        <v>0</v>
      </c>
      <c r="BA321" s="12"/>
      <c r="BB321" s="10">
        <f>+Risultati!T320</f>
        <v>0</v>
      </c>
      <c r="BC321" s="12" t="str">
        <f t="shared" si="251"/>
        <v>0</v>
      </c>
      <c r="BD321" s="12"/>
      <c r="BE321" s="10">
        <f>+Risultati!U320</f>
        <v>0</v>
      </c>
      <c r="BF321" s="12" t="str">
        <f t="shared" si="252"/>
        <v>0</v>
      </c>
      <c r="BG321" s="12"/>
      <c r="BH321" s="10">
        <f t="shared" si="260"/>
        <v>0</v>
      </c>
      <c r="BI321" s="12" t="str">
        <f t="shared" si="253"/>
        <v>0</v>
      </c>
      <c r="BK321" s="16">
        <f>IF(ISNUMBER(Risultati!X320/100),(Risultati!X320/100))</f>
        <v>0</v>
      </c>
      <c r="BL321" s="16">
        <f>IF(ISNUMBER(Risultati!Y320/100),(Risultati!Y320/100))</f>
        <v>0</v>
      </c>
      <c r="BM321" s="16">
        <f>IF(ISNUMBER(Risultati!Z320/100),(Risultati!Z320/100))</f>
        <v>0</v>
      </c>
      <c r="BN321" s="16">
        <f>IF(AND(Risultati!AY320&lt;0,calcoli!AP321&lt;0),-IF(ISNUMBER(Risultati!AA320/100),(Risultati!AA320/100)),IF(ISNUMBER(Risultati!AA320/100),(Risultati!AA320/100)))</f>
        <v>0</v>
      </c>
      <c r="BO321" s="16" t="str">
        <f t="shared" si="234"/>
        <v>0</v>
      </c>
      <c r="BP321" s="16" t="str">
        <f>IF(Risultati!AB320&gt;0,(AV321/Risultati!AB320),"0")</f>
        <v>0</v>
      </c>
      <c r="BQ321" s="16" t="str">
        <f>IF(Risultati!AG320&lt;&gt;0,(BH321/Risultati!AG320),"0")</f>
        <v>0</v>
      </c>
      <c r="BR321" s="16" t="str">
        <f t="shared" si="235"/>
        <v>0</v>
      </c>
      <c r="BS321" s="14" t="str">
        <f>IF(Risultati!AB320&gt;0,(Risultati!G320/Risultati!AB320),"0")</f>
        <v>0</v>
      </c>
      <c r="BT321" s="15" t="str">
        <f>IF(Risultati!AG320&lt;&gt;0,(Risultati!AB320/Risultati!AG320),"0")</f>
        <v>0</v>
      </c>
      <c r="BU321" s="23" t="str">
        <f>IF(AND(Risultati!G320&gt;0,(Risultati!AE320-Risultati!AF320)&gt;=0),((Risultati!AE320-Risultati!AF320)/Risultati!G320*360),"0")</f>
        <v>0</v>
      </c>
      <c r="BV321" s="21" t="str">
        <f>IF(OR(E321="abbreviato",Risultati!G320=0),"0",((Risultati!AC320+Risultati!AD320)/Risultati!G320*360))</f>
        <v>0</v>
      </c>
      <c r="BW321" s="21" t="str">
        <f>IF(OR(E321="abbreviato",Risultati!G320=0,SUM(Risultati!I320+Risultati!K320+Risultati!M320)=0),"0",(((Risultati!AH320+Risultati!AI320)/(Risultati!I320+Risultati!K320+Risultati!N320)*360)))</f>
        <v>0</v>
      </c>
      <c r="BX321" s="16" t="str">
        <f>IF(Risultati!AB320&gt;0,(+Risultati!AG320/Risultati!AB320),"0")</f>
        <v>0</v>
      </c>
      <c r="BY321" s="22" t="str">
        <f>IF(OR(E321="abbreviato",Risultati!G320=0),"0",(((Risultati!AK320-(Risultati!AL320+Risultati!AM320))/Risultati!G320)))</f>
        <v>0</v>
      </c>
      <c r="BZ321" s="16" t="str">
        <f>IF(Risultati!G320&gt;0,(Risultati!AJ320/Risultati!G320),"0")</f>
        <v>0</v>
      </c>
      <c r="CA321" s="8"/>
      <c r="CB321" s="9">
        <f>+Risultati!AP320</f>
        <v>0</v>
      </c>
      <c r="CC321" s="31" t="str">
        <f t="shared" si="261"/>
        <v>0</v>
      </c>
      <c r="CD321" s="9">
        <f>+Risultati!AQ320</f>
        <v>0</v>
      </c>
      <c r="CE321" s="31" t="str">
        <f t="shared" si="262"/>
        <v>0</v>
      </c>
      <c r="CF321" s="9">
        <f>+Risultati!AR320</f>
        <v>0</v>
      </c>
      <c r="CG321" s="31" t="str">
        <f t="shared" si="263"/>
        <v>0</v>
      </c>
      <c r="CH321" s="9">
        <f>+Risultati!AS320</f>
        <v>0</v>
      </c>
      <c r="CI321" s="31" t="str">
        <f t="shared" si="264"/>
        <v>0</v>
      </c>
      <c r="CJ321" s="9">
        <f t="shared" si="265"/>
        <v>0</v>
      </c>
      <c r="CK321" s="31" t="str">
        <f t="shared" si="266"/>
        <v>0</v>
      </c>
      <c r="CL321" s="10">
        <f>+Risultati!AE320+Risultati!AF320</f>
        <v>0</v>
      </c>
      <c r="CM321" s="31" t="str">
        <f t="shared" si="267"/>
        <v>0</v>
      </c>
      <c r="CN321" s="9">
        <f>+Risultati!AT320</f>
        <v>0</v>
      </c>
      <c r="CO321" s="31" t="str">
        <f t="shared" si="268"/>
        <v>0</v>
      </c>
      <c r="CP321" s="9">
        <f>+Risultati!AU320</f>
        <v>0</v>
      </c>
      <c r="CQ321" s="31" t="str">
        <f t="shared" si="269"/>
        <v>0</v>
      </c>
      <c r="CR321" s="9">
        <f>+Risultati!AL320</f>
        <v>0</v>
      </c>
      <c r="CS321" s="31" t="str">
        <f t="shared" si="270"/>
        <v>0</v>
      </c>
      <c r="CT321" s="9">
        <f t="shared" si="271"/>
        <v>0</v>
      </c>
      <c r="CU321" s="31" t="str">
        <f t="shared" si="272"/>
        <v>0</v>
      </c>
      <c r="CV321" s="9">
        <f>+Risultati!AX320</f>
        <v>0</v>
      </c>
      <c r="CW321" s="31" t="str">
        <f t="shared" si="273"/>
        <v>0</v>
      </c>
      <c r="CX321" s="9">
        <f t="shared" si="274"/>
        <v>0</v>
      </c>
      <c r="CY321" s="31" t="str">
        <f t="shared" si="275"/>
        <v>0</v>
      </c>
      <c r="CZ321" s="9">
        <f>+Risultati!AG320</f>
        <v>0</v>
      </c>
      <c r="DA321" s="31" t="str">
        <f t="shared" si="276"/>
        <v>0</v>
      </c>
      <c r="DB321" s="9">
        <f t="shared" si="277"/>
        <v>0</v>
      </c>
      <c r="DC321" s="31" t="str">
        <f t="shared" si="278"/>
        <v>0</v>
      </c>
      <c r="DD321" s="9">
        <f>+Risultati!AV320</f>
        <v>0</v>
      </c>
      <c r="DE321" s="31" t="str">
        <f t="shared" si="279"/>
        <v>0</v>
      </c>
      <c r="DF321" s="9">
        <f>+Risultati!AJ320</f>
        <v>0</v>
      </c>
      <c r="DG321" s="31" t="str">
        <f t="shared" si="280"/>
        <v>0</v>
      </c>
      <c r="DH321" s="9">
        <f t="shared" si="281"/>
        <v>0</v>
      </c>
      <c r="DI321" s="31" t="str">
        <f t="shared" si="282"/>
        <v>0</v>
      </c>
      <c r="DJ321" s="9">
        <f>+Risultati!AW320</f>
        <v>0</v>
      </c>
      <c r="DK321" s="31" t="str">
        <f t="shared" si="283"/>
        <v>0</v>
      </c>
      <c r="DL321" s="10">
        <f t="shared" si="254"/>
        <v>0</v>
      </c>
      <c r="DM321" s="31" t="str">
        <f t="shared" si="284"/>
        <v>0</v>
      </c>
      <c r="DO321" s="30"/>
      <c r="DP321" s="30"/>
    </row>
    <row r="322" spans="1:120" x14ac:dyDescent="0.2">
      <c r="A322" s="5"/>
      <c r="B322" s="6">
        <f>+Risultati!B321</f>
        <v>0</v>
      </c>
      <c r="C322" s="6">
        <f>+Risultati!C321</f>
        <v>0</v>
      </c>
      <c r="D322" s="26" t="str">
        <f>IF(YEAR(Risultati!D321)=1900,(MID(Risultati!$AP$1,29,4)),YEAR(Risultati!D321))</f>
        <v/>
      </c>
      <c r="E322" s="6">
        <f>+Risultati!E321</f>
        <v>0</v>
      </c>
      <c r="F322" s="8" t="e">
        <f>(LEFT(Risultati!AN321,2)&amp;"-")&amp;VLOOKUP((LEFT(Risultati!AN321,2)),ateco!$B$4:$C$93,2,FALSE)</f>
        <v>#N/A</v>
      </c>
      <c r="G322" s="8" t="str">
        <f>SUBSTITUTE((Risultati!AN321&amp;"-"&amp;Risultati!AO321),",",";")</f>
        <v>-</v>
      </c>
      <c r="I322" s="10">
        <f>+Risultati!G321</f>
        <v>0</v>
      </c>
      <c r="J322" s="11" t="str">
        <f t="shared" si="236"/>
        <v>0</v>
      </c>
      <c r="K322" s="12"/>
      <c r="L322" s="10">
        <f>+Risultati!G321+Risultati!H321</f>
        <v>0</v>
      </c>
      <c r="M322" s="11" t="str">
        <f t="shared" si="237"/>
        <v>0</v>
      </c>
      <c r="N322" s="12"/>
      <c r="O322" s="10">
        <f>+Risultati!I321+Risultati!J321</f>
        <v>0</v>
      </c>
      <c r="P322" s="11" t="str">
        <f t="shared" si="238"/>
        <v>0</v>
      </c>
      <c r="Q322" s="12"/>
      <c r="R322" s="13">
        <f t="shared" si="255"/>
        <v>0</v>
      </c>
      <c r="S322" s="11" t="str">
        <f t="shared" si="239"/>
        <v>0</v>
      </c>
      <c r="T322" s="12"/>
      <c r="U322" s="10">
        <f>+Risultati!F321-(Risultati!G321+Risultati!H321)</f>
        <v>0</v>
      </c>
      <c r="V322" s="12" t="str">
        <f t="shared" si="240"/>
        <v>0</v>
      </c>
      <c r="W322" s="12"/>
      <c r="X322" s="10">
        <f t="shared" si="256"/>
        <v>0</v>
      </c>
      <c r="Y322" s="12" t="str">
        <f t="shared" si="241"/>
        <v>0</v>
      </c>
      <c r="Z322" s="12"/>
      <c r="AA322" s="10">
        <f>+Risultati!K321</f>
        <v>0</v>
      </c>
      <c r="AB322" s="12" t="str">
        <f t="shared" si="242"/>
        <v>0</v>
      </c>
      <c r="AC322" s="12"/>
      <c r="AD322" s="10">
        <f>+Risultati!L321</f>
        <v>0</v>
      </c>
      <c r="AE322" s="12" t="str">
        <f t="shared" si="243"/>
        <v>0</v>
      </c>
      <c r="AF322" s="12"/>
      <c r="AG322" s="10">
        <f>+Risultati!M321+Risultati!P321+Risultati!Q321</f>
        <v>0</v>
      </c>
      <c r="AH322" s="12" t="str">
        <f t="shared" si="244"/>
        <v>0</v>
      </c>
      <c r="AI322" s="12"/>
      <c r="AJ322" s="13">
        <f t="shared" si="257"/>
        <v>0</v>
      </c>
      <c r="AK322" s="11" t="str">
        <f t="shared" si="245"/>
        <v>0</v>
      </c>
      <c r="AL322" s="12"/>
      <c r="AM322" s="10">
        <f>+Risultati!N321</f>
        <v>0</v>
      </c>
      <c r="AN322" s="12" t="str">
        <f t="shared" si="246"/>
        <v>0</v>
      </c>
      <c r="AO322" s="12"/>
      <c r="AP322" s="10">
        <f t="shared" si="258"/>
        <v>0</v>
      </c>
      <c r="AQ322" s="41" t="str">
        <f t="shared" si="247"/>
        <v>0</v>
      </c>
      <c r="AR322" s="12"/>
      <c r="AS322" s="10">
        <f>+Risultati!O321</f>
        <v>0</v>
      </c>
      <c r="AT322" s="12" t="str">
        <f t="shared" si="248"/>
        <v>0</v>
      </c>
      <c r="AU322" s="12"/>
      <c r="AV322" s="10">
        <f t="shared" si="259"/>
        <v>0</v>
      </c>
      <c r="AW322" s="12" t="str">
        <f t="shared" si="249"/>
        <v>0</v>
      </c>
      <c r="AX322" s="12"/>
      <c r="AY322" s="10">
        <f>+Risultati!R321+Risultati!S321</f>
        <v>0</v>
      </c>
      <c r="AZ322" s="12" t="str">
        <f t="shared" si="250"/>
        <v>0</v>
      </c>
      <c r="BA322" s="12"/>
      <c r="BB322" s="10">
        <f>+Risultati!T321</f>
        <v>0</v>
      </c>
      <c r="BC322" s="12" t="str">
        <f t="shared" si="251"/>
        <v>0</v>
      </c>
      <c r="BD322" s="12"/>
      <c r="BE322" s="10">
        <f>+Risultati!U321</f>
        <v>0</v>
      </c>
      <c r="BF322" s="12" t="str">
        <f t="shared" si="252"/>
        <v>0</v>
      </c>
      <c r="BG322" s="12"/>
      <c r="BH322" s="10">
        <f t="shared" si="260"/>
        <v>0</v>
      </c>
      <c r="BI322" s="12" t="str">
        <f t="shared" si="253"/>
        <v>0</v>
      </c>
      <c r="BK322" s="16">
        <f>IF(ISNUMBER(Risultati!X321/100),(Risultati!X321/100))</f>
        <v>0</v>
      </c>
      <c r="BL322" s="16">
        <f>IF(ISNUMBER(Risultati!Y321/100),(Risultati!Y321/100))</f>
        <v>0</v>
      </c>
      <c r="BM322" s="16">
        <f>IF(ISNUMBER(Risultati!Z321/100),(Risultati!Z321/100))</f>
        <v>0</v>
      </c>
      <c r="BN322" s="16">
        <f>IF(AND(Risultati!AY321&lt;0,calcoli!AP322&lt;0),-IF(ISNUMBER(Risultati!AA321/100),(Risultati!AA321/100)),IF(ISNUMBER(Risultati!AA321/100),(Risultati!AA321/100)))</f>
        <v>0</v>
      </c>
      <c r="BO322" s="16" t="str">
        <f t="shared" si="234"/>
        <v>0</v>
      </c>
      <c r="BP322" s="16" t="str">
        <f>IF(Risultati!AB321&gt;0,(AV322/Risultati!AB321),"0")</f>
        <v>0</v>
      </c>
      <c r="BQ322" s="16" t="str">
        <f>IF(Risultati!AG321&lt;&gt;0,(BH322/Risultati!AG321),"0")</f>
        <v>0</v>
      </c>
      <c r="BR322" s="16" t="str">
        <f t="shared" si="235"/>
        <v>0</v>
      </c>
      <c r="BS322" s="14" t="str">
        <f>IF(Risultati!AB321&gt;0,(Risultati!G321/Risultati!AB321),"0")</f>
        <v>0</v>
      </c>
      <c r="BT322" s="15" t="str">
        <f>IF(Risultati!AG321&lt;&gt;0,(Risultati!AB321/Risultati!AG321),"0")</f>
        <v>0</v>
      </c>
      <c r="BU322" s="23" t="str">
        <f>IF(AND(Risultati!G321&gt;0,(Risultati!AE321-Risultati!AF321)&gt;=0),((Risultati!AE321-Risultati!AF321)/Risultati!G321*360),"0")</f>
        <v>0</v>
      </c>
      <c r="BV322" s="21" t="str">
        <f>IF(OR(E322="abbreviato",Risultati!G321=0),"0",((Risultati!AC321+Risultati!AD321)/Risultati!G321*360))</f>
        <v>0</v>
      </c>
      <c r="BW322" s="21" t="str">
        <f>IF(OR(E322="abbreviato",Risultati!G321=0,SUM(Risultati!I321+Risultati!K321+Risultati!M321)=0),"0",(((Risultati!AH321+Risultati!AI321)/(Risultati!I321+Risultati!K321+Risultati!N321)*360)))</f>
        <v>0</v>
      </c>
      <c r="BX322" s="16" t="str">
        <f>IF(Risultati!AB321&gt;0,(+Risultati!AG321/Risultati!AB321),"0")</f>
        <v>0</v>
      </c>
      <c r="BY322" s="22" t="str">
        <f>IF(OR(E322="abbreviato",Risultati!G321=0),"0",(((Risultati!AK321-(Risultati!AL321+Risultati!AM321))/Risultati!G321)))</f>
        <v>0</v>
      </c>
      <c r="BZ322" s="16" t="str">
        <f>IF(Risultati!G321&gt;0,(Risultati!AJ321/Risultati!G321),"0")</f>
        <v>0</v>
      </c>
      <c r="CA322" s="8"/>
      <c r="CB322" s="9">
        <f>+Risultati!AP321</f>
        <v>0</v>
      </c>
      <c r="CC322" s="31" t="str">
        <f t="shared" si="261"/>
        <v>0</v>
      </c>
      <c r="CD322" s="9">
        <f>+Risultati!AQ321</f>
        <v>0</v>
      </c>
      <c r="CE322" s="31" t="str">
        <f t="shared" si="262"/>
        <v>0</v>
      </c>
      <c r="CF322" s="9">
        <f>+Risultati!AR321</f>
        <v>0</v>
      </c>
      <c r="CG322" s="31" t="str">
        <f t="shared" si="263"/>
        <v>0</v>
      </c>
      <c r="CH322" s="9">
        <f>+Risultati!AS321</f>
        <v>0</v>
      </c>
      <c r="CI322" s="31" t="str">
        <f t="shared" si="264"/>
        <v>0</v>
      </c>
      <c r="CJ322" s="9">
        <f t="shared" si="265"/>
        <v>0</v>
      </c>
      <c r="CK322" s="31" t="str">
        <f t="shared" si="266"/>
        <v>0</v>
      </c>
      <c r="CL322" s="10">
        <f>+Risultati!AE321+Risultati!AF321</f>
        <v>0</v>
      </c>
      <c r="CM322" s="31" t="str">
        <f t="shared" si="267"/>
        <v>0</v>
      </c>
      <c r="CN322" s="9">
        <f>+Risultati!AT321</f>
        <v>0</v>
      </c>
      <c r="CO322" s="31" t="str">
        <f t="shared" si="268"/>
        <v>0</v>
      </c>
      <c r="CP322" s="9">
        <f>+Risultati!AU321</f>
        <v>0</v>
      </c>
      <c r="CQ322" s="31" t="str">
        <f t="shared" si="269"/>
        <v>0</v>
      </c>
      <c r="CR322" s="9">
        <f>+Risultati!AL321</f>
        <v>0</v>
      </c>
      <c r="CS322" s="31" t="str">
        <f t="shared" si="270"/>
        <v>0</v>
      </c>
      <c r="CT322" s="9">
        <f t="shared" si="271"/>
        <v>0</v>
      </c>
      <c r="CU322" s="31" t="str">
        <f t="shared" si="272"/>
        <v>0</v>
      </c>
      <c r="CV322" s="9">
        <f>+Risultati!AX321</f>
        <v>0</v>
      </c>
      <c r="CW322" s="31" t="str">
        <f t="shared" si="273"/>
        <v>0</v>
      </c>
      <c r="CX322" s="9">
        <f t="shared" si="274"/>
        <v>0</v>
      </c>
      <c r="CY322" s="31" t="str">
        <f t="shared" si="275"/>
        <v>0</v>
      </c>
      <c r="CZ322" s="9">
        <f>+Risultati!AG321</f>
        <v>0</v>
      </c>
      <c r="DA322" s="31" t="str">
        <f t="shared" si="276"/>
        <v>0</v>
      </c>
      <c r="DB322" s="9">
        <f t="shared" si="277"/>
        <v>0</v>
      </c>
      <c r="DC322" s="31" t="str">
        <f t="shared" si="278"/>
        <v>0</v>
      </c>
      <c r="DD322" s="9">
        <f>+Risultati!AV321</f>
        <v>0</v>
      </c>
      <c r="DE322" s="31" t="str">
        <f t="shared" si="279"/>
        <v>0</v>
      </c>
      <c r="DF322" s="9">
        <f>+Risultati!AJ321</f>
        <v>0</v>
      </c>
      <c r="DG322" s="31" t="str">
        <f t="shared" si="280"/>
        <v>0</v>
      </c>
      <c r="DH322" s="9">
        <f t="shared" si="281"/>
        <v>0</v>
      </c>
      <c r="DI322" s="31" t="str">
        <f t="shared" si="282"/>
        <v>0</v>
      </c>
      <c r="DJ322" s="9">
        <f>+Risultati!AW321</f>
        <v>0</v>
      </c>
      <c r="DK322" s="31" t="str">
        <f t="shared" si="283"/>
        <v>0</v>
      </c>
      <c r="DL322" s="10">
        <f t="shared" si="254"/>
        <v>0</v>
      </c>
      <c r="DM322" s="31" t="str">
        <f t="shared" si="284"/>
        <v>0</v>
      </c>
      <c r="DO322" s="30"/>
      <c r="DP322" s="30"/>
    </row>
    <row r="323" spans="1:120" x14ac:dyDescent="0.2">
      <c r="A323" s="5"/>
      <c r="B323" s="6">
        <f>+Risultati!B322</f>
        <v>0</v>
      </c>
      <c r="C323" s="6">
        <f>+Risultati!C322</f>
        <v>0</v>
      </c>
      <c r="D323" s="26" t="str">
        <f>IF(YEAR(Risultati!D322)=1900,(MID(Risultati!$AP$1,29,4)),YEAR(Risultati!D322))</f>
        <v/>
      </c>
      <c r="E323" s="6">
        <f>+Risultati!E322</f>
        <v>0</v>
      </c>
      <c r="F323" s="8" t="e">
        <f>(LEFT(Risultati!AN322,2)&amp;"-")&amp;VLOOKUP((LEFT(Risultati!AN322,2)),ateco!$B$4:$C$93,2,FALSE)</f>
        <v>#N/A</v>
      </c>
      <c r="G323" s="8" t="str">
        <f>SUBSTITUTE((Risultati!AN322&amp;"-"&amp;Risultati!AO322),",",";")</f>
        <v>-</v>
      </c>
      <c r="I323" s="10">
        <f>+Risultati!G322</f>
        <v>0</v>
      </c>
      <c r="J323" s="11" t="str">
        <f t="shared" si="236"/>
        <v>0</v>
      </c>
      <c r="K323" s="12"/>
      <c r="L323" s="10">
        <f>+Risultati!G322+Risultati!H322</f>
        <v>0</v>
      </c>
      <c r="M323" s="11" t="str">
        <f t="shared" si="237"/>
        <v>0</v>
      </c>
      <c r="N323" s="12"/>
      <c r="O323" s="10">
        <f>+Risultati!I322+Risultati!J322</f>
        <v>0</v>
      </c>
      <c r="P323" s="11" t="str">
        <f t="shared" si="238"/>
        <v>0</v>
      </c>
      <c r="Q323" s="12"/>
      <c r="R323" s="13">
        <f t="shared" si="255"/>
        <v>0</v>
      </c>
      <c r="S323" s="11" t="str">
        <f t="shared" si="239"/>
        <v>0</v>
      </c>
      <c r="T323" s="12"/>
      <c r="U323" s="10">
        <f>+Risultati!F322-(Risultati!G322+Risultati!H322)</f>
        <v>0</v>
      </c>
      <c r="V323" s="12" t="str">
        <f t="shared" si="240"/>
        <v>0</v>
      </c>
      <c r="W323" s="12"/>
      <c r="X323" s="10">
        <f t="shared" si="256"/>
        <v>0</v>
      </c>
      <c r="Y323" s="12" t="str">
        <f t="shared" si="241"/>
        <v>0</v>
      </c>
      <c r="Z323" s="12"/>
      <c r="AA323" s="10">
        <f>+Risultati!K322</f>
        <v>0</v>
      </c>
      <c r="AB323" s="12" t="str">
        <f t="shared" si="242"/>
        <v>0</v>
      </c>
      <c r="AC323" s="12"/>
      <c r="AD323" s="10">
        <f>+Risultati!L322</f>
        <v>0</v>
      </c>
      <c r="AE323" s="12" t="str">
        <f t="shared" si="243"/>
        <v>0</v>
      </c>
      <c r="AF323" s="12"/>
      <c r="AG323" s="10">
        <f>+Risultati!M322+Risultati!P322+Risultati!Q322</f>
        <v>0</v>
      </c>
      <c r="AH323" s="12" t="str">
        <f t="shared" si="244"/>
        <v>0</v>
      </c>
      <c r="AI323" s="12"/>
      <c r="AJ323" s="13">
        <f t="shared" si="257"/>
        <v>0</v>
      </c>
      <c r="AK323" s="11" t="str">
        <f t="shared" si="245"/>
        <v>0</v>
      </c>
      <c r="AL323" s="12"/>
      <c r="AM323" s="10">
        <f>+Risultati!N322</f>
        <v>0</v>
      </c>
      <c r="AN323" s="12" t="str">
        <f t="shared" si="246"/>
        <v>0</v>
      </c>
      <c r="AO323" s="12"/>
      <c r="AP323" s="10">
        <f t="shared" si="258"/>
        <v>0</v>
      </c>
      <c r="AQ323" s="41" t="str">
        <f t="shared" si="247"/>
        <v>0</v>
      </c>
      <c r="AR323" s="12"/>
      <c r="AS323" s="10">
        <f>+Risultati!O322</f>
        <v>0</v>
      </c>
      <c r="AT323" s="12" t="str">
        <f t="shared" si="248"/>
        <v>0</v>
      </c>
      <c r="AU323" s="12"/>
      <c r="AV323" s="10">
        <f t="shared" si="259"/>
        <v>0</v>
      </c>
      <c r="AW323" s="12" t="str">
        <f t="shared" si="249"/>
        <v>0</v>
      </c>
      <c r="AX323" s="12"/>
      <c r="AY323" s="10">
        <f>+Risultati!R322+Risultati!S322</f>
        <v>0</v>
      </c>
      <c r="AZ323" s="12" t="str">
        <f t="shared" si="250"/>
        <v>0</v>
      </c>
      <c r="BA323" s="12"/>
      <c r="BB323" s="10">
        <f>+Risultati!T322</f>
        <v>0</v>
      </c>
      <c r="BC323" s="12" t="str">
        <f t="shared" si="251"/>
        <v>0</v>
      </c>
      <c r="BD323" s="12"/>
      <c r="BE323" s="10">
        <f>+Risultati!U322</f>
        <v>0</v>
      </c>
      <c r="BF323" s="12" t="str">
        <f t="shared" si="252"/>
        <v>0</v>
      </c>
      <c r="BG323" s="12"/>
      <c r="BH323" s="10">
        <f t="shared" si="260"/>
        <v>0</v>
      </c>
      <c r="BI323" s="12" t="str">
        <f t="shared" si="253"/>
        <v>0</v>
      </c>
      <c r="BK323" s="16">
        <f>IF(ISNUMBER(Risultati!X322/100),(Risultati!X322/100))</f>
        <v>0</v>
      </c>
      <c r="BL323" s="16">
        <f>IF(ISNUMBER(Risultati!Y322/100),(Risultati!Y322/100))</f>
        <v>0</v>
      </c>
      <c r="BM323" s="16">
        <f>IF(ISNUMBER(Risultati!Z322/100),(Risultati!Z322/100))</f>
        <v>0</v>
      </c>
      <c r="BN323" s="16">
        <f>IF(AND(Risultati!AY322&lt;0,calcoli!AP323&lt;0),-IF(ISNUMBER(Risultati!AA322/100),(Risultati!AA322/100)),IF(ISNUMBER(Risultati!AA322/100),(Risultati!AA322/100)))</f>
        <v>0</v>
      </c>
      <c r="BO323" s="16" t="str">
        <f t="shared" ref="BO323:BO386" si="285">+BI323</f>
        <v>0</v>
      </c>
      <c r="BP323" s="16" t="str">
        <f>IF(Risultati!AB322&gt;0,(AV323/Risultati!AB322),"0")</f>
        <v>0</v>
      </c>
      <c r="BQ323" s="16" t="str">
        <f>IF(Risultati!AG322&lt;&gt;0,(BH323/Risultati!AG322),"0")</f>
        <v>0</v>
      </c>
      <c r="BR323" s="16" t="str">
        <f t="shared" ref="BR323:BR386" si="286">+BI323</f>
        <v>0</v>
      </c>
      <c r="BS323" s="14" t="str">
        <f>IF(Risultati!AB322&gt;0,(Risultati!G322/Risultati!AB322),"0")</f>
        <v>0</v>
      </c>
      <c r="BT323" s="15" t="str">
        <f>IF(Risultati!AG322&lt;&gt;0,(Risultati!AB322/Risultati!AG322),"0")</f>
        <v>0</v>
      </c>
      <c r="BU323" s="23" t="str">
        <f>IF(AND(Risultati!G322&gt;0,(Risultati!AE322-Risultati!AF322)&gt;=0),((Risultati!AE322-Risultati!AF322)/Risultati!G322*360),"0")</f>
        <v>0</v>
      </c>
      <c r="BV323" s="21" t="str">
        <f>IF(OR(E323="abbreviato",Risultati!G322=0),"0",((Risultati!AC322+Risultati!AD322)/Risultati!G322*360))</f>
        <v>0</v>
      </c>
      <c r="BW323" s="21" t="str">
        <f>IF(OR(E323="abbreviato",Risultati!G322=0,SUM(Risultati!I322+Risultati!K322+Risultati!M322)=0),"0",(((Risultati!AH322+Risultati!AI322)/(Risultati!I322+Risultati!K322+Risultati!N322)*360)))</f>
        <v>0</v>
      </c>
      <c r="BX323" s="16" t="str">
        <f>IF(Risultati!AB322&gt;0,(+Risultati!AG322/Risultati!AB322),"0")</f>
        <v>0</v>
      </c>
      <c r="BY323" s="22" t="str">
        <f>IF(OR(E323="abbreviato",Risultati!G322=0),"0",(((Risultati!AK322-(Risultati!AL322+Risultati!AM322))/Risultati!G322)))</f>
        <v>0</v>
      </c>
      <c r="BZ323" s="16" t="str">
        <f>IF(Risultati!G322&gt;0,(Risultati!AJ322/Risultati!G322),"0")</f>
        <v>0</v>
      </c>
      <c r="CA323" s="8"/>
      <c r="CB323" s="9">
        <f>+Risultati!AP322</f>
        <v>0</v>
      </c>
      <c r="CC323" s="31" t="str">
        <f t="shared" si="261"/>
        <v>0</v>
      </c>
      <c r="CD323" s="9">
        <f>+Risultati!AQ322</f>
        <v>0</v>
      </c>
      <c r="CE323" s="31" t="str">
        <f t="shared" si="262"/>
        <v>0</v>
      </c>
      <c r="CF323" s="9">
        <f>+Risultati!AR322</f>
        <v>0</v>
      </c>
      <c r="CG323" s="31" t="str">
        <f t="shared" si="263"/>
        <v>0</v>
      </c>
      <c r="CH323" s="9">
        <f>+Risultati!AS322</f>
        <v>0</v>
      </c>
      <c r="CI323" s="31" t="str">
        <f t="shared" si="264"/>
        <v>0</v>
      </c>
      <c r="CJ323" s="9">
        <f t="shared" si="265"/>
        <v>0</v>
      </c>
      <c r="CK323" s="31" t="str">
        <f t="shared" si="266"/>
        <v>0</v>
      </c>
      <c r="CL323" s="10">
        <f>+Risultati!AE322+Risultati!AF322</f>
        <v>0</v>
      </c>
      <c r="CM323" s="31" t="str">
        <f t="shared" si="267"/>
        <v>0</v>
      </c>
      <c r="CN323" s="9">
        <f>+Risultati!AT322</f>
        <v>0</v>
      </c>
      <c r="CO323" s="31" t="str">
        <f t="shared" si="268"/>
        <v>0</v>
      </c>
      <c r="CP323" s="9">
        <f>+Risultati!AU322</f>
        <v>0</v>
      </c>
      <c r="CQ323" s="31" t="str">
        <f t="shared" si="269"/>
        <v>0</v>
      </c>
      <c r="CR323" s="9">
        <f>+Risultati!AL322</f>
        <v>0</v>
      </c>
      <c r="CS323" s="31" t="str">
        <f t="shared" si="270"/>
        <v>0</v>
      </c>
      <c r="CT323" s="9">
        <f t="shared" si="271"/>
        <v>0</v>
      </c>
      <c r="CU323" s="31" t="str">
        <f t="shared" si="272"/>
        <v>0</v>
      </c>
      <c r="CV323" s="9">
        <f>+Risultati!AX322</f>
        <v>0</v>
      </c>
      <c r="CW323" s="31" t="str">
        <f t="shared" si="273"/>
        <v>0</v>
      </c>
      <c r="CX323" s="9">
        <f t="shared" si="274"/>
        <v>0</v>
      </c>
      <c r="CY323" s="31" t="str">
        <f t="shared" si="275"/>
        <v>0</v>
      </c>
      <c r="CZ323" s="9">
        <f>+Risultati!AG322</f>
        <v>0</v>
      </c>
      <c r="DA323" s="31" t="str">
        <f t="shared" si="276"/>
        <v>0</v>
      </c>
      <c r="DB323" s="9">
        <f t="shared" si="277"/>
        <v>0</v>
      </c>
      <c r="DC323" s="31" t="str">
        <f t="shared" si="278"/>
        <v>0</v>
      </c>
      <c r="DD323" s="9">
        <f>+Risultati!AV322</f>
        <v>0</v>
      </c>
      <c r="DE323" s="31" t="str">
        <f t="shared" si="279"/>
        <v>0</v>
      </c>
      <c r="DF323" s="9">
        <f>+Risultati!AJ322</f>
        <v>0</v>
      </c>
      <c r="DG323" s="31" t="str">
        <f t="shared" si="280"/>
        <v>0</v>
      </c>
      <c r="DH323" s="9">
        <f t="shared" si="281"/>
        <v>0</v>
      </c>
      <c r="DI323" s="31" t="str">
        <f t="shared" si="282"/>
        <v>0</v>
      </c>
      <c r="DJ323" s="9">
        <f>+Risultati!AW322</f>
        <v>0</v>
      </c>
      <c r="DK323" s="31" t="str">
        <f t="shared" si="283"/>
        <v>0</v>
      </c>
      <c r="DL323" s="10">
        <f t="shared" si="254"/>
        <v>0</v>
      </c>
      <c r="DM323" s="31" t="str">
        <f t="shared" si="284"/>
        <v>0</v>
      </c>
      <c r="DO323" s="30"/>
      <c r="DP323" s="30"/>
    </row>
    <row r="324" spans="1:120" x14ac:dyDescent="0.2">
      <c r="A324" s="5"/>
      <c r="B324" s="6">
        <f>+Risultati!B323</f>
        <v>0</v>
      </c>
      <c r="C324" s="6">
        <f>+Risultati!C323</f>
        <v>0</v>
      </c>
      <c r="D324" s="26" t="str">
        <f>IF(YEAR(Risultati!D323)=1900,(MID(Risultati!$AP$1,29,4)),YEAR(Risultati!D323))</f>
        <v/>
      </c>
      <c r="E324" s="6">
        <f>+Risultati!E323</f>
        <v>0</v>
      </c>
      <c r="F324" s="8" t="e">
        <f>(LEFT(Risultati!AN323,2)&amp;"-")&amp;VLOOKUP((LEFT(Risultati!AN323,2)),ateco!$B$4:$C$93,2,FALSE)</f>
        <v>#N/A</v>
      </c>
      <c r="G324" s="8" t="str">
        <f>SUBSTITUTE((Risultati!AN323&amp;"-"&amp;Risultati!AO323),",",";")</f>
        <v>-</v>
      </c>
      <c r="I324" s="10">
        <f>+Risultati!G323</f>
        <v>0</v>
      </c>
      <c r="J324" s="11" t="str">
        <f t="shared" ref="J324:J387" si="287">IF(L324&lt;&gt;0,(I324/L324),"0")</f>
        <v>0</v>
      </c>
      <c r="K324" s="12"/>
      <c r="L324" s="10">
        <f>+Risultati!G323+Risultati!H323</f>
        <v>0</v>
      </c>
      <c r="M324" s="11" t="str">
        <f t="shared" ref="M324:M387" si="288">IF(L324&lt;&gt;0,(L324/(L324+U324)),"0")</f>
        <v>0</v>
      </c>
      <c r="N324" s="12"/>
      <c r="O324" s="10">
        <f>+Risultati!I323+Risultati!J323</f>
        <v>0</v>
      </c>
      <c r="P324" s="11" t="str">
        <f t="shared" ref="P324:P387" si="289">IF(L324&lt;&gt;0,(O324/(L324+U324)),"0")</f>
        <v>0</v>
      </c>
      <c r="Q324" s="12"/>
      <c r="R324" s="13">
        <f t="shared" si="255"/>
        <v>0</v>
      </c>
      <c r="S324" s="11" t="str">
        <f t="shared" ref="S324:S387" si="290">IF(L324&lt;&gt;0,(R324/(L324+U324)),"0")</f>
        <v>0</v>
      </c>
      <c r="T324" s="12"/>
      <c r="U324" s="10">
        <f>+Risultati!F323-(Risultati!G323+Risultati!H323)</f>
        <v>0</v>
      </c>
      <c r="V324" s="12" t="str">
        <f t="shared" ref="V324:V387" si="291">IF(L324&lt;&gt;0,(U324/(L324+U324)),"0")</f>
        <v>0</v>
      </c>
      <c r="W324" s="12"/>
      <c r="X324" s="10">
        <f t="shared" si="256"/>
        <v>0</v>
      </c>
      <c r="Y324" s="12" t="str">
        <f t="shared" ref="Y324:Y387" si="292">IF(L324&lt;&gt;0,(X324/(L324+U324)),"0")</f>
        <v>0</v>
      </c>
      <c r="Z324" s="12"/>
      <c r="AA324" s="10">
        <f>+Risultati!K323</f>
        <v>0</v>
      </c>
      <c r="AB324" s="12" t="str">
        <f t="shared" ref="AB324:AB387" si="293">IF(L324&lt;&gt;0,(AA324/(L324+U324)),"0")</f>
        <v>0</v>
      </c>
      <c r="AC324" s="12"/>
      <c r="AD324" s="10">
        <f>+Risultati!L323</f>
        <v>0</v>
      </c>
      <c r="AE324" s="12" t="str">
        <f t="shared" ref="AE324:AE387" si="294">IF(L324&lt;&gt;0,(AD324/(L324+U324)),"0")</f>
        <v>0</v>
      </c>
      <c r="AF324" s="12"/>
      <c r="AG324" s="10">
        <f>+Risultati!M323+Risultati!P323+Risultati!Q323</f>
        <v>0</v>
      </c>
      <c r="AH324" s="12" t="str">
        <f t="shared" ref="AH324:AH387" si="295">IF(L324&lt;&gt;0,(AG324/(L324+U324)),"0")</f>
        <v>0</v>
      </c>
      <c r="AI324" s="12"/>
      <c r="AJ324" s="13">
        <f t="shared" si="257"/>
        <v>0</v>
      </c>
      <c r="AK324" s="11" t="str">
        <f t="shared" ref="AK324:AK387" si="296">IF(L324&lt;&gt;0,(AJ324/(L324+U324)),"0")</f>
        <v>0</v>
      </c>
      <c r="AL324" s="12"/>
      <c r="AM324" s="10">
        <f>+Risultati!N323</f>
        <v>0</v>
      </c>
      <c r="AN324" s="12" t="str">
        <f t="shared" ref="AN324:AN387" si="297">IF(L324&lt;&gt;0,(AM324/(L324+U324)),"0")</f>
        <v>0</v>
      </c>
      <c r="AO324" s="12"/>
      <c r="AP324" s="10">
        <f t="shared" si="258"/>
        <v>0</v>
      </c>
      <c r="AQ324" s="41" t="str">
        <f t="shared" ref="AQ324:AQ387" si="298">IF(L324&lt;&gt;0,(AP324/(L324+U324)),"0")</f>
        <v>0</v>
      </c>
      <c r="AR324" s="12"/>
      <c r="AS324" s="10">
        <f>+Risultati!O323</f>
        <v>0</v>
      </c>
      <c r="AT324" s="12" t="str">
        <f t="shared" ref="AT324:AT387" si="299">IF(L324&lt;&gt;0,(AS324/(L324+U324)),"0")</f>
        <v>0</v>
      </c>
      <c r="AU324" s="12"/>
      <c r="AV324" s="10">
        <f t="shared" si="259"/>
        <v>0</v>
      </c>
      <c r="AW324" s="12" t="str">
        <f t="shared" ref="AW324:AW387" si="300">IF(L324&lt;&gt;0,(AV324/(L324+U324)),"0")</f>
        <v>0</v>
      </c>
      <c r="AX324" s="12"/>
      <c r="AY324" s="10">
        <f>+Risultati!R323+Risultati!S323</f>
        <v>0</v>
      </c>
      <c r="AZ324" s="12" t="str">
        <f t="shared" ref="AZ324:AZ387" si="301">IF(L324&lt;&gt;0,(AY324/(L324+U324)),"0")</f>
        <v>0</v>
      </c>
      <c r="BA324" s="12"/>
      <c r="BB324" s="10">
        <f>+Risultati!T323</f>
        <v>0</v>
      </c>
      <c r="BC324" s="12" t="str">
        <f t="shared" ref="BC324:BC387" si="302">IF(L324&lt;&gt;0,(BB324/(L324+U324)),"0")</f>
        <v>0</v>
      </c>
      <c r="BD324" s="12"/>
      <c r="BE324" s="10">
        <f>+Risultati!U323</f>
        <v>0</v>
      </c>
      <c r="BF324" s="12" t="str">
        <f t="shared" ref="BF324:BF387" si="303">IF(L324&lt;&gt;0,(BE324/(L324+U324)),"0")</f>
        <v>0</v>
      </c>
      <c r="BG324" s="12"/>
      <c r="BH324" s="10">
        <f t="shared" si="260"/>
        <v>0</v>
      </c>
      <c r="BI324" s="12" t="str">
        <f t="shared" ref="BI324:BI387" si="304">IF(L324&lt;&gt;0,(+BH324/(L324+U324)),"0")</f>
        <v>0</v>
      </c>
      <c r="BK324" s="16">
        <f>IF(ISNUMBER(Risultati!X323/100),(Risultati!X323/100))</f>
        <v>0</v>
      </c>
      <c r="BL324" s="16">
        <f>IF(ISNUMBER(Risultati!Y323/100),(Risultati!Y323/100))</f>
        <v>0</v>
      </c>
      <c r="BM324" s="16">
        <f>IF(ISNUMBER(Risultati!Z323/100),(Risultati!Z323/100))</f>
        <v>0</v>
      </c>
      <c r="BN324" s="16">
        <f>IF(AND(Risultati!AY323&lt;0,calcoli!AP324&lt;0),-IF(ISNUMBER(Risultati!AA323/100),(Risultati!AA323/100)),IF(ISNUMBER(Risultati!AA323/100),(Risultati!AA323/100)))</f>
        <v>0</v>
      </c>
      <c r="BO324" s="16" t="str">
        <f t="shared" si="285"/>
        <v>0</v>
      </c>
      <c r="BP324" s="16" t="str">
        <f>IF(Risultati!AB323&gt;0,(AV324/Risultati!AB323),"0")</f>
        <v>0</v>
      </c>
      <c r="BQ324" s="16" t="str">
        <f>IF(Risultati!AG323&lt;&gt;0,(BH324/Risultati!AG323),"0")</f>
        <v>0</v>
      </c>
      <c r="BR324" s="16" t="str">
        <f t="shared" si="286"/>
        <v>0</v>
      </c>
      <c r="BS324" s="14" t="str">
        <f>IF(Risultati!AB323&gt;0,(Risultati!G323/Risultati!AB323),"0")</f>
        <v>0</v>
      </c>
      <c r="BT324" s="15" t="str">
        <f>IF(Risultati!AG323&lt;&gt;0,(Risultati!AB323/Risultati!AG323),"0")</f>
        <v>0</v>
      </c>
      <c r="BU324" s="23" t="str">
        <f>IF(AND(Risultati!G323&gt;0,(Risultati!AE323-Risultati!AF323)&gt;=0),((Risultati!AE323-Risultati!AF323)/Risultati!G323*360),"0")</f>
        <v>0</v>
      </c>
      <c r="BV324" s="21" t="str">
        <f>IF(OR(E324="abbreviato",Risultati!G323=0),"0",((Risultati!AC323+Risultati!AD323)/Risultati!G323*360))</f>
        <v>0</v>
      </c>
      <c r="BW324" s="21" t="str">
        <f>IF(OR(E324="abbreviato",Risultati!G323=0,SUM(Risultati!I323+Risultati!K323+Risultati!M323)=0),"0",(((Risultati!AH323+Risultati!AI323)/(Risultati!I323+Risultati!K323+Risultati!N323)*360)))</f>
        <v>0</v>
      </c>
      <c r="BX324" s="16" t="str">
        <f>IF(Risultati!AB323&gt;0,(+Risultati!AG323/Risultati!AB323),"0")</f>
        <v>0</v>
      </c>
      <c r="BY324" s="22" t="str">
        <f>IF(OR(E324="abbreviato",Risultati!G323=0),"0",(((Risultati!AK323-(Risultati!AL323+Risultati!AM323))/Risultati!G323)))</f>
        <v>0</v>
      </c>
      <c r="BZ324" s="16" t="str">
        <f>IF(Risultati!G323&gt;0,(Risultati!AJ323/Risultati!G323),"0")</f>
        <v>0</v>
      </c>
      <c r="CA324" s="8"/>
      <c r="CB324" s="9">
        <f>+Risultati!AP323</f>
        <v>0</v>
      </c>
      <c r="CC324" s="31" t="str">
        <f t="shared" si="261"/>
        <v>0</v>
      </c>
      <c r="CD324" s="9">
        <f>+Risultati!AQ323</f>
        <v>0</v>
      </c>
      <c r="CE324" s="31" t="str">
        <f t="shared" si="262"/>
        <v>0</v>
      </c>
      <c r="CF324" s="9">
        <f>+Risultati!AR323</f>
        <v>0</v>
      </c>
      <c r="CG324" s="31" t="str">
        <f t="shared" si="263"/>
        <v>0</v>
      </c>
      <c r="CH324" s="9">
        <f>+Risultati!AS323</f>
        <v>0</v>
      </c>
      <c r="CI324" s="31" t="str">
        <f t="shared" si="264"/>
        <v>0</v>
      </c>
      <c r="CJ324" s="9">
        <f t="shared" si="265"/>
        <v>0</v>
      </c>
      <c r="CK324" s="31" t="str">
        <f t="shared" si="266"/>
        <v>0</v>
      </c>
      <c r="CL324" s="10">
        <f>+Risultati!AE323+Risultati!AF323</f>
        <v>0</v>
      </c>
      <c r="CM324" s="31" t="str">
        <f t="shared" si="267"/>
        <v>0</v>
      </c>
      <c r="CN324" s="9">
        <f>+Risultati!AT323</f>
        <v>0</v>
      </c>
      <c r="CO324" s="31" t="str">
        <f t="shared" si="268"/>
        <v>0</v>
      </c>
      <c r="CP324" s="9">
        <f>+Risultati!AU323</f>
        <v>0</v>
      </c>
      <c r="CQ324" s="31" t="str">
        <f t="shared" si="269"/>
        <v>0</v>
      </c>
      <c r="CR324" s="9">
        <f>+Risultati!AL323</f>
        <v>0</v>
      </c>
      <c r="CS324" s="31" t="str">
        <f t="shared" si="270"/>
        <v>0</v>
      </c>
      <c r="CT324" s="9">
        <f t="shared" si="271"/>
        <v>0</v>
      </c>
      <c r="CU324" s="31" t="str">
        <f t="shared" si="272"/>
        <v>0</v>
      </c>
      <c r="CV324" s="9">
        <f>+Risultati!AX323</f>
        <v>0</v>
      </c>
      <c r="CW324" s="31" t="str">
        <f t="shared" si="273"/>
        <v>0</v>
      </c>
      <c r="CX324" s="9">
        <f t="shared" si="274"/>
        <v>0</v>
      </c>
      <c r="CY324" s="31" t="str">
        <f t="shared" si="275"/>
        <v>0</v>
      </c>
      <c r="CZ324" s="9">
        <f>+Risultati!AG323</f>
        <v>0</v>
      </c>
      <c r="DA324" s="31" t="str">
        <f t="shared" si="276"/>
        <v>0</v>
      </c>
      <c r="DB324" s="9">
        <f t="shared" si="277"/>
        <v>0</v>
      </c>
      <c r="DC324" s="31" t="str">
        <f t="shared" si="278"/>
        <v>0</v>
      </c>
      <c r="DD324" s="9">
        <f>+Risultati!AV323</f>
        <v>0</v>
      </c>
      <c r="DE324" s="31" t="str">
        <f t="shared" si="279"/>
        <v>0</v>
      </c>
      <c r="DF324" s="9">
        <f>+Risultati!AJ323</f>
        <v>0</v>
      </c>
      <c r="DG324" s="31" t="str">
        <f t="shared" si="280"/>
        <v>0</v>
      </c>
      <c r="DH324" s="9">
        <f t="shared" si="281"/>
        <v>0</v>
      </c>
      <c r="DI324" s="31" t="str">
        <f t="shared" si="282"/>
        <v>0</v>
      </c>
      <c r="DJ324" s="9">
        <f>+Risultati!AW323</f>
        <v>0</v>
      </c>
      <c r="DK324" s="31" t="str">
        <f t="shared" si="283"/>
        <v>0</v>
      </c>
      <c r="DL324" s="10">
        <f t="shared" ref="DL324:DL387" si="305">+CX324</f>
        <v>0</v>
      </c>
      <c r="DM324" s="31" t="str">
        <f t="shared" si="284"/>
        <v>0</v>
      </c>
      <c r="DO324" s="30"/>
      <c r="DP324" s="30"/>
    </row>
    <row r="325" spans="1:120" x14ac:dyDescent="0.2">
      <c r="A325" s="5"/>
      <c r="B325" s="6">
        <f>+Risultati!B324</f>
        <v>0</v>
      </c>
      <c r="C325" s="6">
        <f>+Risultati!C324</f>
        <v>0</v>
      </c>
      <c r="D325" s="26" t="str">
        <f>IF(YEAR(Risultati!D324)=1900,(MID(Risultati!$AP$1,29,4)),YEAR(Risultati!D324))</f>
        <v/>
      </c>
      <c r="E325" s="6">
        <f>+Risultati!E324</f>
        <v>0</v>
      </c>
      <c r="F325" s="8" t="e">
        <f>(LEFT(Risultati!AN324,2)&amp;"-")&amp;VLOOKUP((LEFT(Risultati!AN324,2)),ateco!$B$4:$C$93,2,FALSE)</f>
        <v>#N/A</v>
      </c>
      <c r="G325" s="8" t="str">
        <f>SUBSTITUTE((Risultati!AN324&amp;"-"&amp;Risultati!AO324),",",";")</f>
        <v>-</v>
      </c>
      <c r="I325" s="10">
        <f>+Risultati!G324</f>
        <v>0</v>
      </c>
      <c r="J325" s="11" t="str">
        <f t="shared" si="287"/>
        <v>0</v>
      </c>
      <c r="K325" s="12"/>
      <c r="L325" s="10">
        <f>+Risultati!G324+Risultati!H324</f>
        <v>0</v>
      </c>
      <c r="M325" s="11" t="str">
        <f t="shared" si="288"/>
        <v>0</v>
      </c>
      <c r="N325" s="12"/>
      <c r="O325" s="10">
        <f>+Risultati!I324+Risultati!J324</f>
        <v>0</v>
      </c>
      <c r="P325" s="11" t="str">
        <f t="shared" si="289"/>
        <v>0</v>
      </c>
      <c r="Q325" s="12"/>
      <c r="R325" s="13">
        <f t="shared" si="255"/>
        <v>0</v>
      </c>
      <c r="S325" s="11" t="str">
        <f t="shared" si="290"/>
        <v>0</v>
      </c>
      <c r="T325" s="12"/>
      <c r="U325" s="10">
        <f>+Risultati!F324-(Risultati!G324+Risultati!H324)</f>
        <v>0</v>
      </c>
      <c r="V325" s="12" t="str">
        <f t="shared" si="291"/>
        <v>0</v>
      </c>
      <c r="W325" s="12"/>
      <c r="X325" s="10">
        <f t="shared" si="256"/>
        <v>0</v>
      </c>
      <c r="Y325" s="12" t="str">
        <f t="shared" si="292"/>
        <v>0</v>
      </c>
      <c r="Z325" s="12"/>
      <c r="AA325" s="10">
        <f>+Risultati!K324</f>
        <v>0</v>
      </c>
      <c r="AB325" s="12" t="str">
        <f t="shared" si="293"/>
        <v>0</v>
      </c>
      <c r="AC325" s="12"/>
      <c r="AD325" s="10">
        <f>+Risultati!L324</f>
        <v>0</v>
      </c>
      <c r="AE325" s="12" t="str">
        <f t="shared" si="294"/>
        <v>0</v>
      </c>
      <c r="AF325" s="12"/>
      <c r="AG325" s="10">
        <f>+Risultati!M324+Risultati!P324+Risultati!Q324</f>
        <v>0</v>
      </c>
      <c r="AH325" s="12" t="str">
        <f t="shared" si="295"/>
        <v>0</v>
      </c>
      <c r="AI325" s="12"/>
      <c r="AJ325" s="13">
        <f t="shared" si="257"/>
        <v>0</v>
      </c>
      <c r="AK325" s="11" t="str">
        <f t="shared" si="296"/>
        <v>0</v>
      </c>
      <c r="AL325" s="12"/>
      <c r="AM325" s="10">
        <f>+Risultati!N324</f>
        <v>0</v>
      </c>
      <c r="AN325" s="12" t="str">
        <f t="shared" si="297"/>
        <v>0</v>
      </c>
      <c r="AO325" s="12"/>
      <c r="AP325" s="10">
        <f t="shared" si="258"/>
        <v>0</v>
      </c>
      <c r="AQ325" s="41" t="str">
        <f t="shared" si="298"/>
        <v>0</v>
      </c>
      <c r="AR325" s="12"/>
      <c r="AS325" s="10">
        <f>+Risultati!O324</f>
        <v>0</v>
      </c>
      <c r="AT325" s="12" t="str">
        <f t="shared" si="299"/>
        <v>0</v>
      </c>
      <c r="AU325" s="12"/>
      <c r="AV325" s="10">
        <f t="shared" si="259"/>
        <v>0</v>
      </c>
      <c r="AW325" s="12" t="str">
        <f t="shared" si="300"/>
        <v>0</v>
      </c>
      <c r="AX325" s="12"/>
      <c r="AY325" s="10">
        <f>+Risultati!R324+Risultati!S324</f>
        <v>0</v>
      </c>
      <c r="AZ325" s="12" t="str">
        <f t="shared" si="301"/>
        <v>0</v>
      </c>
      <c r="BA325" s="12"/>
      <c r="BB325" s="10">
        <f>+Risultati!T324</f>
        <v>0</v>
      </c>
      <c r="BC325" s="12" t="str">
        <f t="shared" si="302"/>
        <v>0</v>
      </c>
      <c r="BD325" s="12"/>
      <c r="BE325" s="10">
        <f>+Risultati!U324</f>
        <v>0</v>
      </c>
      <c r="BF325" s="12" t="str">
        <f t="shared" si="303"/>
        <v>0</v>
      </c>
      <c r="BG325" s="12"/>
      <c r="BH325" s="10">
        <f t="shared" si="260"/>
        <v>0</v>
      </c>
      <c r="BI325" s="12" t="str">
        <f t="shared" si="304"/>
        <v>0</v>
      </c>
      <c r="BK325" s="16">
        <f>IF(ISNUMBER(Risultati!X324/100),(Risultati!X324/100))</f>
        <v>0</v>
      </c>
      <c r="BL325" s="16">
        <f>IF(ISNUMBER(Risultati!Y324/100),(Risultati!Y324/100))</f>
        <v>0</v>
      </c>
      <c r="BM325" s="16">
        <f>IF(ISNUMBER(Risultati!Z324/100),(Risultati!Z324/100))</f>
        <v>0</v>
      </c>
      <c r="BN325" s="16">
        <f>IF(AND(Risultati!AY324&lt;0,calcoli!AP325&lt;0),-IF(ISNUMBER(Risultati!AA324/100),(Risultati!AA324/100)),IF(ISNUMBER(Risultati!AA324/100),(Risultati!AA324/100)))</f>
        <v>0</v>
      </c>
      <c r="BO325" s="16" t="str">
        <f t="shared" si="285"/>
        <v>0</v>
      </c>
      <c r="BP325" s="16" t="str">
        <f>IF(Risultati!AB324&gt;0,(AV325/Risultati!AB324),"0")</f>
        <v>0</v>
      </c>
      <c r="BQ325" s="16" t="str">
        <f>IF(Risultati!AG324&lt;&gt;0,(BH325/Risultati!AG324),"0")</f>
        <v>0</v>
      </c>
      <c r="BR325" s="16" t="str">
        <f t="shared" si="286"/>
        <v>0</v>
      </c>
      <c r="BS325" s="14" t="str">
        <f>IF(Risultati!AB324&gt;0,(Risultati!G324/Risultati!AB324),"0")</f>
        <v>0</v>
      </c>
      <c r="BT325" s="15" t="str">
        <f>IF(Risultati!AG324&lt;&gt;0,(Risultati!AB324/Risultati!AG324),"0")</f>
        <v>0</v>
      </c>
      <c r="BU325" s="23" t="str">
        <f>IF(AND(Risultati!G324&gt;0,(Risultati!AE324-Risultati!AF324)&gt;=0),((Risultati!AE324-Risultati!AF324)/Risultati!G324*360),"0")</f>
        <v>0</v>
      </c>
      <c r="BV325" s="21" t="str">
        <f>IF(OR(E325="abbreviato",Risultati!G324=0),"0",((Risultati!AC324+Risultati!AD324)/Risultati!G324*360))</f>
        <v>0</v>
      </c>
      <c r="BW325" s="21" t="str">
        <f>IF(OR(E325="abbreviato",Risultati!G324=0,SUM(Risultati!I324+Risultati!K324+Risultati!M324)=0),"0",(((Risultati!AH324+Risultati!AI324)/(Risultati!I324+Risultati!K324+Risultati!N324)*360)))</f>
        <v>0</v>
      </c>
      <c r="BX325" s="16" t="str">
        <f>IF(Risultati!AB324&gt;0,(+Risultati!AG324/Risultati!AB324),"0")</f>
        <v>0</v>
      </c>
      <c r="BY325" s="22" t="str">
        <f>IF(OR(E325="abbreviato",Risultati!G324=0),"0",(((Risultati!AK324-(Risultati!AL324+Risultati!AM324))/Risultati!G324)))</f>
        <v>0</v>
      </c>
      <c r="BZ325" s="16" t="str">
        <f>IF(Risultati!G324&gt;0,(Risultati!AJ324/Risultati!G324),"0")</f>
        <v>0</v>
      </c>
      <c r="CA325" s="8"/>
      <c r="CB325" s="9">
        <f>+Risultati!AP324</f>
        <v>0</v>
      </c>
      <c r="CC325" s="31" t="str">
        <f t="shared" si="261"/>
        <v>0</v>
      </c>
      <c r="CD325" s="9">
        <f>+Risultati!AQ324</f>
        <v>0</v>
      </c>
      <c r="CE325" s="31" t="str">
        <f t="shared" si="262"/>
        <v>0</v>
      </c>
      <c r="CF325" s="9">
        <f>+Risultati!AR324</f>
        <v>0</v>
      </c>
      <c r="CG325" s="31" t="str">
        <f t="shared" si="263"/>
        <v>0</v>
      </c>
      <c r="CH325" s="9">
        <f>+Risultati!AS324</f>
        <v>0</v>
      </c>
      <c r="CI325" s="31" t="str">
        <f t="shared" si="264"/>
        <v>0</v>
      </c>
      <c r="CJ325" s="9">
        <f t="shared" si="265"/>
        <v>0</v>
      </c>
      <c r="CK325" s="31" t="str">
        <f t="shared" si="266"/>
        <v>0</v>
      </c>
      <c r="CL325" s="10">
        <f>+Risultati!AE324+Risultati!AF324</f>
        <v>0</v>
      </c>
      <c r="CM325" s="31" t="str">
        <f t="shared" si="267"/>
        <v>0</v>
      </c>
      <c r="CN325" s="9">
        <f>+Risultati!AT324</f>
        <v>0</v>
      </c>
      <c r="CO325" s="31" t="str">
        <f t="shared" si="268"/>
        <v>0</v>
      </c>
      <c r="CP325" s="9">
        <f>+Risultati!AU324</f>
        <v>0</v>
      </c>
      <c r="CQ325" s="31" t="str">
        <f t="shared" si="269"/>
        <v>0</v>
      </c>
      <c r="CR325" s="9">
        <f>+Risultati!AL324</f>
        <v>0</v>
      </c>
      <c r="CS325" s="31" t="str">
        <f t="shared" si="270"/>
        <v>0</v>
      </c>
      <c r="CT325" s="9">
        <f t="shared" si="271"/>
        <v>0</v>
      </c>
      <c r="CU325" s="31" t="str">
        <f t="shared" si="272"/>
        <v>0</v>
      </c>
      <c r="CV325" s="9">
        <f>+Risultati!AX324</f>
        <v>0</v>
      </c>
      <c r="CW325" s="31" t="str">
        <f t="shared" si="273"/>
        <v>0</v>
      </c>
      <c r="CX325" s="9">
        <f t="shared" si="274"/>
        <v>0</v>
      </c>
      <c r="CY325" s="31" t="str">
        <f t="shared" si="275"/>
        <v>0</v>
      </c>
      <c r="CZ325" s="9">
        <f>+Risultati!AG324</f>
        <v>0</v>
      </c>
      <c r="DA325" s="31" t="str">
        <f t="shared" si="276"/>
        <v>0</v>
      </c>
      <c r="DB325" s="9">
        <f t="shared" si="277"/>
        <v>0</v>
      </c>
      <c r="DC325" s="31" t="str">
        <f t="shared" si="278"/>
        <v>0</v>
      </c>
      <c r="DD325" s="9">
        <f>+Risultati!AV324</f>
        <v>0</v>
      </c>
      <c r="DE325" s="31" t="str">
        <f t="shared" si="279"/>
        <v>0</v>
      </c>
      <c r="DF325" s="9">
        <f>+Risultati!AJ324</f>
        <v>0</v>
      </c>
      <c r="DG325" s="31" t="str">
        <f t="shared" si="280"/>
        <v>0</v>
      </c>
      <c r="DH325" s="9">
        <f t="shared" si="281"/>
        <v>0</v>
      </c>
      <c r="DI325" s="31" t="str">
        <f t="shared" si="282"/>
        <v>0</v>
      </c>
      <c r="DJ325" s="9">
        <f>+Risultati!AW324</f>
        <v>0</v>
      </c>
      <c r="DK325" s="31" t="str">
        <f t="shared" si="283"/>
        <v>0</v>
      </c>
      <c r="DL325" s="10">
        <f t="shared" si="305"/>
        <v>0</v>
      </c>
      <c r="DM325" s="31" t="str">
        <f t="shared" si="284"/>
        <v>0</v>
      </c>
      <c r="DO325" s="30"/>
      <c r="DP325" s="30"/>
    </row>
    <row r="326" spans="1:120" x14ac:dyDescent="0.2">
      <c r="A326" s="5"/>
      <c r="B326" s="6">
        <f>+Risultati!B325</f>
        <v>0</v>
      </c>
      <c r="C326" s="6">
        <f>+Risultati!C325</f>
        <v>0</v>
      </c>
      <c r="D326" s="26" t="str">
        <f>IF(YEAR(Risultati!D325)=1900,(MID(Risultati!$AP$1,29,4)),YEAR(Risultati!D325))</f>
        <v/>
      </c>
      <c r="E326" s="6">
        <f>+Risultati!E325</f>
        <v>0</v>
      </c>
      <c r="F326" s="8" t="e">
        <f>(LEFT(Risultati!AN325,2)&amp;"-")&amp;VLOOKUP((LEFT(Risultati!AN325,2)),ateco!$B$4:$C$93,2,FALSE)</f>
        <v>#N/A</v>
      </c>
      <c r="G326" s="8" t="str">
        <f>SUBSTITUTE((Risultati!AN325&amp;"-"&amp;Risultati!AO325),",",";")</f>
        <v>-</v>
      </c>
      <c r="I326" s="10">
        <f>+Risultati!G325</f>
        <v>0</v>
      </c>
      <c r="J326" s="11" t="str">
        <f t="shared" si="287"/>
        <v>0</v>
      </c>
      <c r="K326" s="12"/>
      <c r="L326" s="10">
        <f>+Risultati!G325+Risultati!H325</f>
        <v>0</v>
      </c>
      <c r="M326" s="11" t="str">
        <f t="shared" si="288"/>
        <v>0</v>
      </c>
      <c r="N326" s="12"/>
      <c r="O326" s="10">
        <f>+Risultati!I325+Risultati!J325</f>
        <v>0</v>
      </c>
      <c r="P326" s="11" t="str">
        <f t="shared" si="289"/>
        <v>0</v>
      </c>
      <c r="Q326" s="12"/>
      <c r="R326" s="13">
        <f t="shared" si="255"/>
        <v>0</v>
      </c>
      <c r="S326" s="11" t="str">
        <f t="shared" si="290"/>
        <v>0</v>
      </c>
      <c r="T326" s="12"/>
      <c r="U326" s="10">
        <f>+Risultati!F325-(Risultati!G325+Risultati!H325)</f>
        <v>0</v>
      </c>
      <c r="V326" s="12" t="str">
        <f t="shared" si="291"/>
        <v>0</v>
      </c>
      <c r="W326" s="12"/>
      <c r="X326" s="10">
        <f t="shared" si="256"/>
        <v>0</v>
      </c>
      <c r="Y326" s="12" t="str">
        <f t="shared" si="292"/>
        <v>0</v>
      </c>
      <c r="Z326" s="12"/>
      <c r="AA326" s="10">
        <f>+Risultati!K325</f>
        <v>0</v>
      </c>
      <c r="AB326" s="12" t="str">
        <f t="shared" si="293"/>
        <v>0</v>
      </c>
      <c r="AC326" s="12"/>
      <c r="AD326" s="10">
        <f>+Risultati!L325</f>
        <v>0</v>
      </c>
      <c r="AE326" s="12" t="str">
        <f t="shared" si="294"/>
        <v>0</v>
      </c>
      <c r="AF326" s="12"/>
      <c r="AG326" s="10">
        <f>+Risultati!M325+Risultati!P325+Risultati!Q325</f>
        <v>0</v>
      </c>
      <c r="AH326" s="12" t="str">
        <f t="shared" si="295"/>
        <v>0</v>
      </c>
      <c r="AI326" s="12"/>
      <c r="AJ326" s="13">
        <f t="shared" si="257"/>
        <v>0</v>
      </c>
      <c r="AK326" s="11" t="str">
        <f t="shared" si="296"/>
        <v>0</v>
      </c>
      <c r="AL326" s="12"/>
      <c r="AM326" s="10">
        <f>+Risultati!N325</f>
        <v>0</v>
      </c>
      <c r="AN326" s="12" t="str">
        <f t="shared" si="297"/>
        <v>0</v>
      </c>
      <c r="AO326" s="12"/>
      <c r="AP326" s="10">
        <f t="shared" si="258"/>
        <v>0</v>
      </c>
      <c r="AQ326" s="41" t="str">
        <f t="shared" si="298"/>
        <v>0</v>
      </c>
      <c r="AR326" s="12"/>
      <c r="AS326" s="10">
        <f>+Risultati!O325</f>
        <v>0</v>
      </c>
      <c r="AT326" s="12" t="str">
        <f t="shared" si="299"/>
        <v>0</v>
      </c>
      <c r="AU326" s="12"/>
      <c r="AV326" s="10">
        <f t="shared" si="259"/>
        <v>0</v>
      </c>
      <c r="AW326" s="12" t="str">
        <f t="shared" si="300"/>
        <v>0</v>
      </c>
      <c r="AX326" s="12"/>
      <c r="AY326" s="10">
        <f>+Risultati!R325+Risultati!S325</f>
        <v>0</v>
      </c>
      <c r="AZ326" s="12" t="str">
        <f t="shared" si="301"/>
        <v>0</v>
      </c>
      <c r="BA326" s="12"/>
      <c r="BB326" s="10">
        <f>+Risultati!T325</f>
        <v>0</v>
      </c>
      <c r="BC326" s="12" t="str">
        <f t="shared" si="302"/>
        <v>0</v>
      </c>
      <c r="BD326" s="12"/>
      <c r="BE326" s="10">
        <f>+Risultati!U325</f>
        <v>0</v>
      </c>
      <c r="BF326" s="12" t="str">
        <f t="shared" si="303"/>
        <v>0</v>
      </c>
      <c r="BG326" s="12"/>
      <c r="BH326" s="10">
        <f t="shared" si="260"/>
        <v>0</v>
      </c>
      <c r="BI326" s="12" t="str">
        <f t="shared" si="304"/>
        <v>0</v>
      </c>
      <c r="BK326" s="16">
        <f>IF(ISNUMBER(Risultati!X325/100),(Risultati!X325/100))</f>
        <v>0</v>
      </c>
      <c r="BL326" s="16">
        <f>IF(ISNUMBER(Risultati!Y325/100),(Risultati!Y325/100))</f>
        <v>0</v>
      </c>
      <c r="BM326" s="16">
        <f>IF(ISNUMBER(Risultati!Z325/100),(Risultati!Z325/100))</f>
        <v>0</v>
      </c>
      <c r="BN326" s="16">
        <f>IF(AND(Risultati!AY325&lt;0,calcoli!AP326&lt;0),-IF(ISNUMBER(Risultati!AA325/100),(Risultati!AA325/100)),IF(ISNUMBER(Risultati!AA325/100),(Risultati!AA325/100)))</f>
        <v>0</v>
      </c>
      <c r="BO326" s="16" t="str">
        <f t="shared" si="285"/>
        <v>0</v>
      </c>
      <c r="BP326" s="16" t="str">
        <f>IF(Risultati!AB325&gt;0,(AV326/Risultati!AB325),"0")</f>
        <v>0</v>
      </c>
      <c r="BQ326" s="16" t="str">
        <f>IF(Risultati!AG325&lt;&gt;0,(BH326/Risultati!AG325),"0")</f>
        <v>0</v>
      </c>
      <c r="BR326" s="16" t="str">
        <f t="shared" si="286"/>
        <v>0</v>
      </c>
      <c r="BS326" s="14" t="str">
        <f>IF(Risultati!AB325&gt;0,(Risultati!G325/Risultati!AB325),"0")</f>
        <v>0</v>
      </c>
      <c r="BT326" s="15" t="str">
        <f>IF(Risultati!AG325&lt;&gt;0,(Risultati!AB325/Risultati!AG325),"0")</f>
        <v>0</v>
      </c>
      <c r="BU326" s="23" t="str">
        <f>IF(AND(Risultati!G325&gt;0,(Risultati!AE325-Risultati!AF325)&gt;=0),((Risultati!AE325-Risultati!AF325)/Risultati!G325*360),"0")</f>
        <v>0</v>
      </c>
      <c r="BV326" s="21" t="str">
        <f>IF(OR(E326="abbreviato",Risultati!G325=0),"0",((Risultati!AC325+Risultati!AD325)/Risultati!G325*360))</f>
        <v>0</v>
      </c>
      <c r="BW326" s="21" t="str">
        <f>IF(OR(E326="abbreviato",Risultati!G325=0,SUM(Risultati!I325+Risultati!K325+Risultati!M325)=0),"0",(((Risultati!AH325+Risultati!AI325)/(Risultati!I325+Risultati!K325+Risultati!N325)*360)))</f>
        <v>0</v>
      </c>
      <c r="BX326" s="16" t="str">
        <f>IF(Risultati!AB325&gt;0,(+Risultati!AG325/Risultati!AB325),"0")</f>
        <v>0</v>
      </c>
      <c r="BY326" s="22" t="str">
        <f>IF(OR(E326="abbreviato",Risultati!G325=0),"0",(((Risultati!AK325-(Risultati!AL325+Risultati!AM325))/Risultati!G325)))</f>
        <v>0</v>
      </c>
      <c r="BZ326" s="16" t="str">
        <f>IF(Risultati!G325&gt;0,(Risultati!AJ325/Risultati!G325),"0")</f>
        <v>0</v>
      </c>
      <c r="CA326" s="8"/>
      <c r="CB326" s="9">
        <f>+Risultati!AP325</f>
        <v>0</v>
      </c>
      <c r="CC326" s="31" t="str">
        <f t="shared" si="261"/>
        <v>0</v>
      </c>
      <c r="CD326" s="9">
        <f>+Risultati!AQ325</f>
        <v>0</v>
      </c>
      <c r="CE326" s="31" t="str">
        <f t="shared" si="262"/>
        <v>0</v>
      </c>
      <c r="CF326" s="9">
        <f>+Risultati!AR325</f>
        <v>0</v>
      </c>
      <c r="CG326" s="31" t="str">
        <f t="shared" si="263"/>
        <v>0</v>
      </c>
      <c r="CH326" s="9">
        <f>+Risultati!AS325</f>
        <v>0</v>
      </c>
      <c r="CI326" s="31" t="str">
        <f t="shared" si="264"/>
        <v>0</v>
      </c>
      <c r="CJ326" s="9">
        <f t="shared" si="265"/>
        <v>0</v>
      </c>
      <c r="CK326" s="31" t="str">
        <f t="shared" si="266"/>
        <v>0</v>
      </c>
      <c r="CL326" s="10">
        <f>+Risultati!AE325+Risultati!AF325</f>
        <v>0</v>
      </c>
      <c r="CM326" s="31" t="str">
        <f t="shared" si="267"/>
        <v>0</v>
      </c>
      <c r="CN326" s="9">
        <f>+Risultati!AT325</f>
        <v>0</v>
      </c>
      <c r="CO326" s="31" t="str">
        <f t="shared" si="268"/>
        <v>0</v>
      </c>
      <c r="CP326" s="9">
        <f>+Risultati!AU325</f>
        <v>0</v>
      </c>
      <c r="CQ326" s="31" t="str">
        <f t="shared" si="269"/>
        <v>0</v>
      </c>
      <c r="CR326" s="9">
        <f>+Risultati!AL325</f>
        <v>0</v>
      </c>
      <c r="CS326" s="31" t="str">
        <f t="shared" si="270"/>
        <v>0</v>
      </c>
      <c r="CT326" s="9">
        <f t="shared" si="271"/>
        <v>0</v>
      </c>
      <c r="CU326" s="31" t="str">
        <f t="shared" si="272"/>
        <v>0</v>
      </c>
      <c r="CV326" s="9">
        <f>+Risultati!AX325</f>
        <v>0</v>
      </c>
      <c r="CW326" s="31" t="str">
        <f t="shared" si="273"/>
        <v>0</v>
      </c>
      <c r="CX326" s="9">
        <f t="shared" si="274"/>
        <v>0</v>
      </c>
      <c r="CY326" s="31" t="str">
        <f t="shared" si="275"/>
        <v>0</v>
      </c>
      <c r="CZ326" s="9">
        <f>+Risultati!AG325</f>
        <v>0</v>
      </c>
      <c r="DA326" s="31" t="str">
        <f t="shared" si="276"/>
        <v>0</v>
      </c>
      <c r="DB326" s="9">
        <f t="shared" si="277"/>
        <v>0</v>
      </c>
      <c r="DC326" s="31" t="str">
        <f t="shared" si="278"/>
        <v>0</v>
      </c>
      <c r="DD326" s="9">
        <f>+Risultati!AV325</f>
        <v>0</v>
      </c>
      <c r="DE326" s="31" t="str">
        <f t="shared" si="279"/>
        <v>0</v>
      </c>
      <c r="DF326" s="9">
        <f>+Risultati!AJ325</f>
        <v>0</v>
      </c>
      <c r="DG326" s="31" t="str">
        <f t="shared" si="280"/>
        <v>0</v>
      </c>
      <c r="DH326" s="9">
        <f t="shared" si="281"/>
        <v>0</v>
      </c>
      <c r="DI326" s="31" t="str">
        <f t="shared" si="282"/>
        <v>0</v>
      </c>
      <c r="DJ326" s="9">
        <f>+Risultati!AW325</f>
        <v>0</v>
      </c>
      <c r="DK326" s="31" t="str">
        <f t="shared" si="283"/>
        <v>0</v>
      </c>
      <c r="DL326" s="10">
        <f t="shared" si="305"/>
        <v>0</v>
      </c>
      <c r="DM326" s="31" t="str">
        <f t="shared" si="284"/>
        <v>0</v>
      </c>
      <c r="DO326" s="30"/>
      <c r="DP326" s="30"/>
    </row>
    <row r="327" spans="1:120" x14ac:dyDescent="0.2">
      <c r="A327" s="5"/>
      <c r="B327" s="6">
        <f>+Risultati!B326</f>
        <v>0</v>
      </c>
      <c r="C327" s="6">
        <f>+Risultati!C326</f>
        <v>0</v>
      </c>
      <c r="D327" s="26" t="str">
        <f>IF(YEAR(Risultati!D326)=1900,(MID(Risultati!$AP$1,29,4)),YEAR(Risultati!D326))</f>
        <v/>
      </c>
      <c r="E327" s="6">
        <f>+Risultati!E326</f>
        <v>0</v>
      </c>
      <c r="F327" s="8" t="e">
        <f>(LEFT(Risultati!AN326,2)&amp;"-")&amp;VLOOKUP((LEFT(Risultati!AN326,2)),ateco!$B$4:$C$93,2,FALSE)</f>
        <v>#N/A</v>
      </c>
      <c r="G327" s="8" t="str">
        <f>SUBSTITUTE((Risultati!AN326&amp;"-"&amp;Risultati!AO326),",",";")</f>
        <v>-</v>
      </c>
      <c r="I327" s="10">
        <f>+Risultati!G326</f>
        <v>0</v>
      </c>
      <c r="J327" s="11" t="str">
        <f t="shared" si="287"/>
        <v>0</v>
      </c>
      <c r="K327" s="12"/>
      <c r="L327" s="10">
        <f>+Risultati!G326+Risultati!H326</f>
        <v>0</v>
      </c>
      <c r="M327" s="11" t="str">
        <f t="shared" si="288"/>
        <v>0</v>
      </c>
      <c r="N327" s="12"/>
      <c r="O327" s="10">
        <f>+Risultati!I326+Risultati!J326</f>
        <v>0</v>
      </c>
      <c r="P327" s="11" t="str">
        <f t="shared" si="289"/>
        <v>0</v>
      </c>
      <c r="Q327" s="12"/>
      <c r="R327" s="13">
        <f t="shared" si="255"/>
        <v>0</v>
      </c>
      <c r="S327" s="11" t="str">
        <f t="shared" si="290"/>
        <v>0</v>
      </c>
      <c r="T327" s="12"/>
      <c r="U327" s="10">
        <f>+Risultati!F326-(Risultati!G326+Risultati!H326)</f>
        <v>0</v>
      </c>
      <c r="V327" s="12" t="str">
        <f t="shared" si="291"/>
        <v>0</v>
      </c>
      <c r="W327" s="12"/>
      <c r="X327" s="10">
        <f t="shared" si="256"/>
        <v>0</v>
      </c>
      <c r="Y327" s="12" t="str">
        <f t="shared" si="292"/>
        <v>0</v>
      </c>
      <c r="Z327" s="12"/>
      <c r="AA327" s="10">
        <f>+Risultati!K326</f>
        <v>0</v>
      </c>
      <c r="AB327" s="12" t="str">
        <f t="shared" si="293"/>
        <v>0</v>
      </c>
      <c r="AC327" s="12"/>
      <c r="AD327" s="10">
        <f>+Risultati!L326</f>
        <v>0</v>
      </c>
      <c r="AE327" s="12" t="str">
        <f t="shared" si="294"/>
        <v>0</v>
      </c>
      <c r="AF327" s="12"/>
      <c r="AG327" s="10">
        <f>+Risultati!M326+Risultati!P326+Risultati!Q326</f>
        <v>0</v>
      </c>
      <c r="AH327" s="12" t="str">
        <f t="shared" si="295"/>
        <v>0</v>
      </c>
      <c r="AI327" s="12"/>
      <c r="AJ327" s="13">
        <f t="shared" si="257"/>
        <v>0</v>
      </c>
      <c r="AK327" s="11" t="str">
        <f t="shared" si="296"/>
        <v>0</v>
      </c>
      <c r="AL327" s="12"/>
      <c r="AM327" s="10">
        <f>+Risultati!N326</f>
        <v>0</v>
      </c>
      <c r="AN327" s="12" t="str">
        <f t="shared" si="297"/>
        <v>0</v>
      </c>
      <c r="AO327" s="12"/>
      <c r="AP327" s="10">
        <f t="shared" si="258"/>
        <v>0</v>
      </c>
      <c r="AQ327" s="41" t="str">
        <f t="shared" si="298"/>
        <v>0</v>
      </c>
      <c r="AR327" s="12"/>
      <c r="AS327" s="10">
        <f>+Risultati!O326</f>
        <v>0</v>
      </c>
      <c r="AT327" s="12" t="str">
        <f t="shared" si="299"/>
        <v>0</v>
      </c>
      <c r="AU327" s="12"/>
      <c r="AV327" s="10">
        <f t="shared" si="259"/>
        <v>0</v>
      </c>
      <c r="AW327" s="12" t="str">
        <f t="shared" si="300"/>
        <v>0</v>
      </c>
      <c r="AX327" s="12"/>
      <c r="AY327" s="10">
        <f>+Risultati!R326+Risultati!S326</f>
        <v>0</v>
      </c>
      <c r="AZ327" s="12" t="str">
        <f t="shared" si="301"/>
        <v>0</v>
      </c>
      <c r="BA327" s="12"/>
      <c r="BB327" s="10">
        <f>+Risultati!T326</f>
        <v>0</v>
      </c>
      <c r="BC327" s="12" t="str">
        <f t="shared" si="302"/>
        <v>0</v>
      </c>
      <c r="BD327" s="12"/>
      <c r="BE327" s="10">
        <f>+Risultati!U326</f>
        <v>0</v>
      </c>
      <c r="BF327" s="12" t="str">
        <f t="shared" si="303"/>
        <v>0</v>
      </c>
      <c r="BG327" s="12"/>
      <c r="BH327" s="10">
        <f t="shared" si="260"/>
        <v>0</v>
      </c>
      <c r="BI327" s="12" t="str">
        <f t="shared" si="304"/>
        <v>0</v>
      </c>
      <c r="BK327" s="16">
        <f>IF(ISNUMBER(Risultati!X326/100),(Risultati!X326/100))</f>
        <v>0</v>
      </c>
      <c r="BL327" s="16">
        <f>IF(ISNUMBER(Risultati!Y326/100),(Risultati!Y326/100))</f>
        <v>0</v>
      </c>
      <c r="BM327" s="16">
        <f>IF(ISNUMBER(Risultati!Z326/100),(Risultati!Z326/100))</f>
        <v>0</v>
      </c>
      <c r="BN327" s="16">
        <f>IF(AND(Risultati!AY326&lt;0,calcoli!AP327&lt;0),-IF(ISNUMBER(Risultati!AA326/100),(Risultati!AA326/100)),IF(ISNUMBER(Risultati!AA326/100),(Risultati!AA326/100)))</f>
        <v>0</v>
      </c>
      <c r="BO327" s="16" t="str">
        <f t="shared" si="285"/>
        <v>0</v>
      </c>
      <c r="BP327" s="16" t="str">
        <f>IF(Risultati!AB326&gt;0,(AV327/Risultati!AB326),"0")</f>
        <v>0</v>
      </c>
      <c r="BQ327" s="16" t="str">
        <f>IF(Risultati!AG326&lt;&gt;0,(BH327/Risultati!AG326),"0")</f>
        <v>0</v>
      </c>
      <c r="BR327" s="16" t="str">
        <f t="shared" si="286"/>
        <v>0</v>
      </c>
      <c r="BS327" s="14" t="str">
        <f>IF(Risultati!AB326&gt;0,(Risultati!G326/Risultati!AB326),"0")</f>
        <v>0</v>
      </c>
      <c r="BT327" s="15" t="str">
        <f>IF(Risultati!AG326&lt;&gt;0,(Risultati!AB326/Risultati!AG326),"0")</f>
        <v>0</v>
      </c>
      <c r="BU327" s="23" t="str">
        <f>IF(AND(Risultati!G326&gt;0,(Risultati!AE326-Risultati!AF326)&gt;=0),((Risultati!AE326-Risultati!AF326)/Risultati!G326*360),"0")</f>
        <v>0</v>
      </c>
      <c r="BV327" s="21" t="str">
        <f>IF(OR(E327="abbreviato",Risultati!G326=0),"0",((Risultati!AC326+Risultati!AD326)/Risultati!G326*360))</f>
        <v>0</v>
      </c>
      <c r="BW327" s="21" t="str">
        <f>IF(OR(E327="abbreviato",Risultati!G326=0,SUM(Risultati!I326+Risultati!K326+Risultati!M326)=0),"0",(((Risultati!AH326+Risultati!AI326)/(Risultati!I326+Risultati!K326+Risultati!N326)*360)))</f>
        <v>0</v>
      </c>
      <c r="BX327" s="16" t="str">
        <f>IF(Risultati!AB326&gt;0,(+Risultati!AG326/Risultati!AB326),"0")</f>
        <v>0</v>
      </c>
      <c r="BY327" s="22" t="str">
        <f>IF(OR(E327="abbreviato",Risultati!G326=0),"0",(((Risultati!AK326-(Risultati!AL326+Risultati!AM326))/Risultati!G326)))</f>
        <v>0</v>
      </c>
      <c r="BZ327" s="16" t="str">
        <f>IF(Risultati!G326&gt;0,(Risultati!AJ326/Risultati!G326),"0")</f>
        <v>0</v>
      </c>
      <c r="CA327" s="8"/>
      <c r="CB327" s="9">
        <f>+Risultati!AP326</f>
        <v>0</v>
      </c>
      <c r="CC327" s="31" t="str">
        <f t="shared" si="261"/>
        <v>0</v>
      </c>
      <c r="CD327" s="9">
        <f>+Risultati!AQ326</f>
        <v>0</v>
      </c>
      <c r="CE327" s="31" t="str">
        <f t="shared" si="262"/>
        <v>0</v>
      </c>
      <c r="CF327" s="9">
        <f>+Risultati!AR326</f>
        <v>0</v>
      </c>
      <c r="CG327" s="31" t="str">
        <f t="shared" si="263"/>
        <v>0</v>
      </c>
      <c r="CH327" s="9">
        <f>+Risultati!AS326</f>
        <v>0</v>
      </c>
      <c r="CI327" s="31" t="str">
        <f t="shared" si="264"/>
        <v>0</v>
      </c>
      <c r="CJ327" s="9">
        <f t="shared" si="265"/>
        <v>0</v>
      </c>
      <c r="CK327" s="31" t="str">
        <f t="shared" si="266"/>
        <v>0</v>
      </c>
      <c r="CL327" s="10">
        <f>+Risultati!AE326+Risultati!AF326</f>
        <v>0</v>
      </c>
      <c r="CM327" s="31" t="str">
        <f t="shared" si="267"/>
        <v>0</v>
      </c>
      <c r="CN327" s="9">
        <f>+Risultati!AT326</f>
        <v>0</v>
      </c>
      <c r="CO327" s="31" t="str">
        <f t="shared" si="268"/>
        <v>0</v>
      </c>
      <c r="CP327" s="9">
        <f>+Risultati!AU326</f>
        <v>0</v>
      </c>
      <c r="CQ327" s="31" t="str">
        <f t="shared" si="269"/>
        <v>0</v>
      </c>
      <c r="CR327" s="9">
        <f>+Risultati!AL326</f>
        <v>0</v>
      </c>
      <c r="CS327" s="31" t="str">
        <f t="shared" si="270"/>
        <v>0</v>
      </c>
      <c r="CT327" s="9">
        <f t="shared" si="271"/>
        <v>0</v>
      </c>
      <c r="CU327" s="31" t="str">
        <f t="shared" si="272"/>
        <v>0</v>
      </c>
      <c r="CV327" s="9">
        <f>+Risultati!AX326</f>
        <v>0</v>
      </c>
      <c r="CW327" s="31" t="str">
        <f t="shared" si="273"/>
        <v>0</v>
      </c>
      <c r="CX327" s="9">
        <f t="shared" si="274"/>
        <v>0</v>
      </c>
      <c r="CY327" s="31" t="str">
        <f t="shared" si="275"/>
        <v>0</v>
      </c>
      <c r="CZ327" s="9">
        <f>+Risultati!AG326</f>
        <v>0</v>
      </c>
      <c r="DA327" s="31" t="str">
        <f t="shared" si="276"/>
        <v>0</v>
      </c>
      <c r="DB327" s="9">
        <f t="shared" si="277"/>
        <v>0</v>
      </c>
      <c r="DC327" s="31" t="str">
        <f t="shared" si="278"/>
        <v>0</v>
      </c>
      <c r="DD327" s="9">
        <f>+Risultati!AV326</f>
        <v>0</v>
      </c>
      <c r="DE327" s="31" t="str">
        <f t="shared" si="279"/>
        <v>0</v>
      </c>
      <c r="DF327" s="9">
        <f>+Risultati!AJ326</f>
        <v>0</v>
      </c>
      <c r="DG327" s="31" t="str">
        <f t="shared" si="280"/>
        <v>0</v>
      </c>
      <c r="DH327" s="9">
        <f t="shared" si="281"/>
        <v>0</v>
      </c>
      <c r="DI327" s="31" t="str">
        <f t="shared" si="282"/>
        <v>0</v>
      </c>
      <c r="DJ327" s="9">
        <f>+Risultati!AW326</f>
        <v>0</v>
      </c>
      <c r="DK327" s="31" t="str">
        <f t="shared" si="283"/>
        <v>0</v>
      </c>
      <c r="DL327" s="10">
        <f t="shared" si="305"/>
        <v>0</v>
      </c>
      <c r="DM327" s="31" t="str">
        <f t="shared" si="284"/>
        <v>0</v>
      </c>
      <c r="DO327" s="30"/>
      <c r="DP327" s="30"/>
    </row>
    <row r="328" spans="1:120" x14ac:dyDescent="0.2">
      <c r="A328" s="5"/>
      <c r="B328" s="6">
        <f>+Risultati!B327</f>
        <v>0</v>
      </c>
      <c r="C328" s="6">
        <f>+Risultati!C327</f>
        <v>0</v>
      </c>
      <c r="D328" s="26" t="str">
        <f>IF(YEAR(Risultati!D327)=1900,(MID(Risultati!$AP$1,29,4)),YEAR(Risultati!D327))</f>
        <v/>
      </c>
      <c r="E328" s="6">
        <f>+Risultati!E327</f>
        <v>0</v>
      </c>
      <c r="F328" s="8" t="e">
        <f>(LEFT(Risultati!AN327,2)&amp;"-")&amp;VLOOKUP((LEFT(Risultati!AN327,2)),ateco!$B$4:$C$93,2,FALSE)</f>
        <v>#N/A</v>
      </c>
      <c r="G328" s="8" t="str">
        <f>SUBSTITUTE((Risultati!AN327&amp;"-"&amp;Risultati!AO327),",",";")</f>
        <v>-</v>
      </c>
      <c r="I328" s="10">
        <f>+Risultati!G327</f>
        <v>0</v>
      </c>
      <c r="J328" s="11" t="str">
        <f t="shared" si="287"/>
        <v>0</v>
      </c>
      <c r="K328" s="12"/>
      <c r="L328" s="10">
        <f>+Risultati!G327+Risultati!H327</f>
        <v>0</v>
      </c>
      <c r="M328" s="11" t="str">
        <f t="shared" si="288"/>
        <v>0</v>
      </c>
      <c r="N328" s="12"/>
      <c r="O328" s="10">
        <f>+Risultati!I327+Risultati!J327</f>
        <v>0</v>
      </c>
      <c r="P328" s="11" t="str">
        <f t="shared" si="289"/>
        <v>0</v>
      </c>
      <c r="Q328" s="12"/>
      <c r="R328" s="13">
        <f t="shared" si="255"/>
        <v>0</v>
      </c>
      <c r="S328" s="11" t="str">
        <f t="shared" si="290"/>
        <v>0</v>
      </c>
      <c r="T328" s="12"/>
      <c r="U328" s="10">
        <f>+Risultati!F327-(Risultati!G327+Risultati!H327)</f>
        <v>0</v>
      </c>
      <c r="V328" s="12" t="str">
        <f t="shared" si="291"/>
        <v>0</v>
      </c>
      <c r="W328" s="12"/>
      <c r="X328" s="10">
        <f t="shared" si="256"/>
        <v>0</v>
      </c>
      <c r="Y328" s="12" t="str">
        <f t="shared" si="292"/>
        <v>0</v>
      </c>
      <c r="Z328" s="12"/>
      <c r="AA328" s="10">
        <f>+Risultati!K327</f>
        <v>0</v>
      </c>
      <c r="AB328" s="12" t="str">
        <f t="shared" si="293"/>
        <v>0</v>
      </c>
      <c r="AC328" s="12"/>
      <c r="AD328" s="10">
        <f>+Risultati!L327</f>
        <v>0</v>
      </c>
      <c r="AE328" s="12" t="str">
        <f t="shared" si="294"/>
        <v>0</v>
      </c>
      <c r="AF328" s="12"/>
      <c r="AG328" s="10">
        <f>+Risultati!M327+Risultati!P327+Risultati!Q327</f>
        <v>0</v>
      </c>
      <c r="AH328" s="12" t="str">
        <f t="shared" si="295"/>
        <v>0</v>
      </c>
      <c r="AI328" s="12"/>
      <c r="AJ328" s="13">
        <f t="shared" si="257"/>
        <v>0</v>
      </c>
      <c r="AK328" s="11" t="str">
        <f t="shared" si="296"/>
        <v>0</v>
      </c>
      <c r="AL328" s="12"/>
      <c r="AM328" s="10">
        <f>+Risultati!N327</f>
        <v>0</v>
      </c>
      <c r="AN328" s="12" t="str">
        <f t="shared" si="297"/>
        <v>0</v>
      </c>
      <c r="AO328" s="12"/>
      <c r="AP328" s="10">
        <f t="shared" si="258"/>
        <v>0</v>
      </c>
      <c r="AQ328" s="41" t="str">
        <f t="shared" si="298"/>
        <v>0</v>
      </c>
      <c r="AR328" s="12"/>
      <c r="AS328" s="10">
        <f>+Risultati!O327</f>
        <v>0</v>
      </c>
      <c r="AT328" s="12" t="str">
        <f t="shared" si="299"/>
        <v>0</v>
      </c>
      <c r="AU328" s="12"/>
      <c r="AV328" s="10">
        <f t="shared" si="259"/>
        <v>0</v>
      </c>
      <c r="AW328" s="12" t="str">
        <f t="shared" si="300"/>
        <v>0</v>
      </c>
      <c r="AX328" s="12"/>
      <c r="AY328" s="10">
        <f>+Risultati!R327+Risultati!S327</f>
        <v>0</v>
      </c>
      <c r="AZ328" s="12" t="str">
        <f t="shared" si="301"/>
        <v>0</v>
      </c>
      <c r="BA328" s="12"/>
      <c r="BB328" s="10">
        <f>+Risultati!T327</f>
        <v>0</v>
      </c>
      <c r="BC328" s="12" t="str">
        <f t="shared" si="302"/>
        <v>0</v>
      </c>
      <c r="BD328" s="12"/>
      <c r="BE328" s="10">
        <f>+Risultati!U327</f>
        <v>0</v>
      </c>
      <c r="BF328" s="12" t="str">
        <f t="shared" si="303"/>
        <v>0</v>
      </c>
      <c r="BG328" s="12"/>
      <c r="BH328" s="10">
        <f t="shared" si="260"/>
        <v>0</v>
      </c>
      <c r="BI328" s="12" t="str">
        <f t="shared" si="304"/>
        <v>0</v>
      </c>
      <c r="BK328" s="16">
        <f>IF(ISNUMBER(Risultati!X327/100),(Risultati!X327/100))</f>
        <v>0</v>
      </c>
      <c r="BL328" s="16">
        <f>IF(ISNUMBER(Risultati!Y327/100),(Risultati!Y327/100))</f>
        <v>0</v>
      </c>
      <c r="BM328" s="16">
        <f>IF(ISNUMBER(Risultati!Z327/100),(Risultati!Z327/100))</f>
        <v>0</v>
      </c>
      <c r="BN328" s="16">
        <f>IF(AND(Risultati!AY327&lt;0,calcoli!AP328&lt;0),-IF(ISNUMBER(Risultati!AA327/100),(Risultati!AA327/100)),IF(ISNUMBER(Risultati!AA327/100),(Risultati!AA327/100)))</f>
        <v>0</v>
      </c>
      <c r="BO328" s="16" t="str">
        <f t="shared" si="285"/>
        <v>0</v>
      </c>
      <c r="BP328" s="16" t="str">
        <f>IF(Risultati!AB327&gt;0,(AV328/Risultati!AB327),"0")</f>
        <v>0</v>
      </c>
      <c r="BQ328" s="16" t="str">
        <f>IF(Risultati!AG327&lt;&gt;0,(BH328/Risultati!AG327),"0")</f>
        <v>0</v>
      </c>
      <c r="BR328" s="16" t="str">
        <f t="shared" si="286"/>
        <v>0</v>
      </c>
      <c r="BS328" s="14" t="str">
        <f>IF(Risultati!AB327&gt;0,(Risultati!G327/Risultati!AB327),"0")</f>
        <v>0</v>
      </c>
      <c r="BT328" s="15" t="str">
        <f>IF(Risultati!AG327&lt;&gt;0,(Risultati!AB327/Risultati!AG327),"0")</f>
        <v>0</v>
      </c>
      <c r="BU328" s="23" t="str">
        <f>IF(AND(Risultati!G327&gt;0,(Risultati!AE327-Risultati!AF327)&gt;=0),((Risultati!AE327-Risultati!AF327)/Risultati!G327*360),"0")</f>
        <v>0</v>
      </c>
      <c r="BV328" s="21" t="str">
        <f>IF(OR(E328="abbreviato",Risultati!G327=0),"0",((Risultati!AC327+Risultati!AD327)/Risultati!G327*360))</f>
        <v>0</v>
      </c>
      <c r="BW328" s="21" t="str">
        <f>IF(OR(E328="abbreviato",Risultati!G327=0,SUM(Risultati!I327+Risultati!K327+Risultati!M327)=0),"0",(((Risultati!AH327+Risultati!AI327)/(Risultati!I327+Risultati!K327+Risultati!N327)*360)))</f>
        <v>0</v>
      </c>
      <c r="BX328" s="16" t="str">
        <f>IF(Risultati!AB327&gt;0,(+Risultati!AG327/Risultati!AB327),"0")</f>
        <v>0</v>
      </c>
      <c r="BY328" s="22" t="str">
        <f>IF(OR(E328="abbreviato",Risultati!G327=0),"0",(((Risultati!AK327-(Risultati!AL327+Risultati!AM327))/Risultati!G327)))</f>
        <v>0</v>
      </c>
      <c r="BZ328" s="16" t="str">
        <f>IF(Risultati!G327&gt;0,(Risultati!AJ327/Risultati!G327),"0")</f>
        <v>0</v>
      </c>
      <c r="CA328" s="8"/>
      <c r="CB328" s="9">
        <f>+Risultati!AP327</f>
        <v>0</v>
      </c>
      <c r="CC328" s="31" t="str">
        <f t="shared" si="261"/>
        <v>0</v>
      </c>
      <c r="CD328" s="9">
        <f>+Risultati!AQ327</f>
        <v>0</v>
      </c>
      <c r="CE328" s="31" t="str">
        <f t="shared" si="262"/>
        <v>0</v>
      </c>
      <c r="CF328" s="9">
        <f>+Risultati!AR327</f>
        <v>0</v>
      </c>
      <c r="CG328" s="31" t="str">
        <f t="shared" si="263"/>
        <v>0</v>
      </c>
      <c r="CH328" s="9">
        <f>+Risultati!AS327</f>
        <v>0</v>
      </c>
      <c r="CI328" s="31" t="str">
        <f t="shared" si="264"/>
        <v>0</v>
      </c>
      <c r="CJ328" s="9">
        <f t="shared" si="265"/>
        <v>0</v>
      </c>
      <c r="CK328" s="31" t="str">
        <f t="shared" si="266"/>
        <v>0</v>
      </c>
      <c r="CL328" s="10">
        <f>+Risultati!AE327+Risultati!AF327</f>
        <v>0</v>
      </c>
      <c r="CM328" s="31" t="str">
        <f t="shared" si="267"/>
        <v>0</v>
      </c>
      <c r="CN328" s="9">
        <f>+Risultati!AT327</f>
        <v>0</v>
      </c>
      <c r="CO328" s="31" t="str">
        <f t="shared" si="268"/>
        <v>0</v>
      </c>
      <c r="CP328" s="9">
        <f>+Risultati!AU327</f>
        <v>0</v>
      </c>
      <c r="CQ328" s="31" t="str">
        <f t="shared" si="269"/>
        <v>0</v>
      </c>
      <c r="CR328" s="9">
        <f>+Risultati!AL327</f>
        <v>0</v>
      </c>
      <c r="CS328" s="31" t="str">
        <f t="shared" si="270"/>
        <v>0</v>
      </c>
      <c r="CT328" s="9">
        <f t="shared" si="271"/>
        <v>0</v>
      </c>
      <c r="CU328" s="31" t="str">
        <f t="shared" si="272"/>
        <v>0</v>
      </c>
      <c r="CV328" s="9">
        <f>+Risultati!AX327</f>
        <v>0</v>
      </c>
      <c r="CW328" s="31" t="str">
        <f t="shared" si="273"/>
        <v>0</v>
      </c>
      <c r="CX328" s="9">
        <f t="shared" si="274"/>
        <v>0</v>
      </c>
      <c r="CY328" s="31" t="str">
        <f t="shared" si="275"/>
        <v>0</v>
      </c>
      <c r="CZ328" s="9">
        <f>+Risultati!AG327</f>
        <v>0</v>
      </c>
      <c r="DA328" s="31" t="str">
        <f t="shared" si="276"/>
        <v>0</v>
      </c>
      <c r="DB328" s="9">
        <f t="shared" si="277"/>
        <v>0</v>
      </c>
      <c r="DC328" s="31" t="str">
        <f t="shared" si="278"/>
        <v>0</v>
      </c>
      <c r="DD328" s="9">
        <f>+Risultati!AV327</f>
        <v>0</v>
      </c>
      <c r="DE328" s="31" t="str">
        <f t="shared" si="279"/>
        <v>0</v>
      </c>
      <c r="DF328" s="9">
        <f>+Risultati!AJ327</f>
        <v>0</v>
      </c>
      <c r="DG328" s="31" t="str">
        <f t="shared" si="280"/>
        <v>0</v>
      </c>
      <c r="DH328" s="9">
        <f t="shared" si="281"/>
        <v>0</v>
      </c>
      <c r="DI328" s="31" t="str">
        <f t="shared" si="282"/>
        <v>0</v>
      </c>
      <c r="DJ328" s="9">
        <f>+Risultati!AW327</f>
        <v>0</v>
      </c>
      <c r="DK328" s="31" t="str">
        <f t="shared" si="283"/>
        <v>0</v>
      </c>
      <c r="DL328" s="10">
        <f t="shared" si="305"/>
        <v>0</v>
      </c>
      <c r="DM328" s="31" t="str">
        <f t="shared" si="284"/>
        <v>0</v>
      </c>
      <c r="DO328" s="30"/>
      <c r="DP328" s="30"/>
    </row>
    <row r="329" spans="1:120" x14ac:dyDescent="0.2">
      <c r="A329" s="5"/>
      <c r="B329" s="6">
        <f>+Risultati!B328</f>
        <v>0</v>
      </c>
      <c r="C329" s="6">
        <f>+Risultati!C328</f>
        <v>0</v>
      </c>
      <c r="D329" s="26" t="str">
        <f>IF(YEAR(Risultati!D328)=1900,(MID(Risultati!$AP$1,29,4)),YEAR(Risultati!D328))</f>
        <v/>
      </c>
      <c r="E329" s="6">
        <f>+Risultati!E328</f>
        <v>0</v>
      </c>
      <c r="F329" s="8" t="e">
        <f>(LEFT(Risultati!AN328,2)&amp;"-")&amp;VLOOKUP((LEFT(Risultati!AN328,2)),ateco!$B$4:$C$93,2,FALSE)</f>
        <v>#N/A</v>
      </c>
      <c r="G329" s="8" t="str">
        <f>SUBSTITUTE((Risultati!AN328&amp;"-"&amp;Risultati!AO328),",",";")</f>
        <v>-</v>
      </c>
      <c r="I329" s="10">
        <f>+Risultati!G328</f>
        <v>0</v>
      </c>
      <c r="J329" s="11" t="str">
        <f t="shared" si="287"/>
        <v>0</v>
      </c>
      <c r="K329" s="12"/>
      <c r="L329" s="10">
        <f>+Risultati!G328+Risultati!H328</f>
        <v>0</v>
      </c>
      <c r="M329" s="11" t="str">
        <f t="shared" si="288"/>
        <v>0</v>
      </c>
      <c r="N329" s="12"/>
      <c r="O329" s="10">
        <f>+Risultati!I328+Risultati!J328</f>
        <v>0</v>
      </c>
      <c r="P329" s="11" t="str">
        <f t="shared" si="289"/>
        <v>0</v>
      </c>
      <c r="Q329" s="12"/>
      <c r="R329" s="13">
        <f t="shared" si="255"/>
        <v>0</v>
      </c>
      <c r="S329" s="11" t="str">
        <f t="shared" si="290"/>
        <v>0</v>
      </c>
      <c r="T329" s="12"/>
      <c r="U329" s="10">
        <f>+Risultati!F328-(Risultati!G328+Risultati!H328)</f>
        <v>0</v>
      </c>
      <c r="V329" s="12" t="str">
        <f t="shared" si="291"/>
        <v>0</v>
      </c>
      <c r="W329" s="12"/>
      <c r="X329" s="10">
        <f t="shared" si="256"/>
        <v>0</v>
      </c>
      <c r="Y329" s="12" t="str">
        <f t="shared" si="292"/>
        <v>0</v>
      </c>
      <c r="Z329" s="12"/>
      <c r="AA329" s="10">
        <f>+Risultati!K328</f>
        <v>0</v>
      </c>
      <c r="AB329" s="12" t="str">
        <f t="shared" si="293"/>
        <v>0</v>
      </c>
      <c r="AC329" s="12"/>
      <c r="AD329" s="10">
        <f>+Risultati!L328</f>
        <v>0</v>
      </c>
      <c r="AE329" s="12" t="str">
        <f t="shared" si="294"/>
        <v>0</v>
      </c>
      <c r="AF329" s="12"/>
      <c r="AG329" s="10">
        <f>+Risultati!M328+Risultati!P328+Risultati!Q328</f>
        <v>0</v>
      </c>
      <c r="AH329" s="12" t="str">
        <f t="shared" si="295"/>
        <v>0</v>
      </c>
      <c r="AI329" s="12"/>
      <c r="AJ329" s="13">
        <f t="shared" si="257"/>
        <v>0</v>
      </c>
      <c r="AK329" s="11" t="str">
        <f t="shared" si="296"/>
        <v>0</v>
      </c>
      <c r="AL329" s="12"/>
      <c r="AM329" s="10">
        <f>+Risultati!N328</f>
        <v>0</v>
      </c>
      <c r="AN329" s="12" t="str">
        <f t="shared" si="297"/>
        <v>0</v>
      </c>
      <c r="AO329" s="12"/>
      <c r="AP329" s="10">
        <f t="shared" si="258"/>
        <v>0</v>
      </c>
      <c r="AQ329" s="41" t="str">
        <f t="shared" si="298"/>
        <v>0</v>
      </c>
      <c r="AR329" s="12"/>
      <c r="AS329" s="10">
        <f>+Risultati!O328</f>
        <v>0</v>
      </c>
      <c r="AT329" s="12" t="str">
        <f t="shared" si="299"/>
        <v>0</v>
      </c>
      <c r="AU329" s="12"/>
      <c r="AV329" s="10">
        <f t="shared" si="259"/>
        <v>0</v>
      </c>
      <c r="AW329" s="12" t="str">
        <f t="shared" si="300"/>
        <v>0</v>
      </c>
      <c r="AX329" s="12"/>
      <c r="AY329" s="10">
        <f>+Risultati!R328+Risultati!S328</f>
        <v>0</v>
      </c>
      <c r="AZ329" s="12" t="str">
        <f t="shared" si="301"/>
        <v>0</v>
      </c>
      <c r="BA329" s="12"/>
      <c r="BB329" s="10">
        <f>+Risultati!T328</f>
        <v>0</v>
      </c>
      <c r="BC329" s="12" t="str">
        <f t="shared" si="302"/>
        <v>0</v>
      </c>
      <c r="BD329" s="12"/>
      <c r="BE329" s="10">
        <f>+Risultati!U328</f>
        <v>0</v>
      </c>
      <c r="BF329" s="12" t="str">
        <f t="shared" si="303"/>
        <v>0</v>
      </c>
      <c r="BG329" s="12"/>
      <c r="BH329" s="10">
        <f t="shared" si="260"/>
        <v>0</v>
      </c>
      <c r="BI329" s="12" t="str">
        <f t="shared" si="304"/>
        <v>0</v>
      </c>
      <c r="BK329" s="16">
        <f>IF(ISNUMBER(Risultati!X328/100),(Risultati!X328/100))</f>
        <v>0</v>
      </c>
      <c r="BL329" s="16">
        <f>IF(ISNUMBER(Risultati!Y328/100),(Risultati!Y328/100))</f>
        <v>0</v>
      </c>
      <c r="BM329" s="16">
        <f>IF(ISNUMBER(Risultati!Z328/100),(Risultati!Z328/100))</f>
        <v>0</v>
      </c>
      <c r="BN329" s="16">
        <f>IF(AND(Risultati!AY328&lt;0,calcoli!AP329&lt;0),-IF(ISNUMBER(Risultati!AA328/100),(Risultati!AA328/100)),IF(ISNUMBER(Risultati!AA328/100),(Risultati!AA328/100)))</f>
        <v>0</v>
      </c>
      <c r="BO329" s="16" t="str">
        <f t="shared" si="285"/>
        <v>0</v>
      </c>
      <c r="BP329" s="16" t="str">
        <f>IF(Risultati!AB328&gt;0,(AV329/Risultati!AB328),"0")</f>
        <v>0</v>
      </c>
      <c r="BQ329" s="16" t="str">
        <f>IF(Risultati!AG328&lt;&gt;0,(BH329/Risultati!AG328),"0")</f>
        <v>0</v>
      </c>
      <c r="BR329" s="16" t="str">
        <f t="shared" si="286"/>
        <v>0</v>
      </c>
      <c r="BS329" s="14" t="str">
        <f>IF(Risultati!AB328&gt;0,(Risultati!G328/Risultati!AB328),"0")</f>
        <v>0</v>
      </c>
      <c r="BT329" s="15" t="str">
        <f>IF(Risultati!AG328&lt;&gt;0,(Risultati!AB328/Risultati!AG328),"0")</f>
        <v>0</v>
      </c>
      <c r="BU329" s="23" t="str">
        <f>IF(AND(Risultati!G328&gt;0,(Risultati!AE328-Risultati!AF328)&gt;=0),((Risultati!AE328-Risultati!AF328)/Risultati!G328*360),"0")</f>
        <v>0</v>
      </c>
      <c r="BV329" s="21" t="str">
        <f>IF(OR(E329="abbreviato",Risultati!G328=0),"0",((Risultati!AC328+Risultati!AD328)/Risultati!G328*360))</f>
        <v>0</v>
      </c>
      <c r="BW329" s="21" t="str">
        <f>IF(OR(E329="abbreviato",Risultati!G328=0,SUM(Risultati!I328+Risultati!K328+Risultati!M328)=0),"0",(((Risultati!AH328+Risultati!AI328)/(Risultati!I328+Risultati!K328+Risultati!N328)*360)))</f>
        <v>0</v>
      </c>
      <c r="BX329" s="16" t="str">
        <f>IF(Risultati!AB328&gt;0,(+Risultati!AG328/Risultati!AB328),"0")</f>
        <v>0</v>
      </c>
      <c r="BY329" s="22" t="str">
        <f>IF(OR(E329="abbreviato",Risultati!G328=0),"0",(((Risultati!AK328-(Risultati!AL328+Risultati!AM328))/Risultati!G328)))</f>
        <v>0</v>
      </c>
      <c r="BZ329" s="16" t="str">
        <f>IF(Risultati!G328&gt;0,(Risultati!AJ328/Risultati!G328),"0")</f>
        <v>0</v>
      </c>
      <c r="CA329" s="8"/>
      <c r="CB329" s="9">
        <f>+Risultati!AP328</f>
        <v>0</v>
      </c>
      <c r="CC329" s="31" t="str">
        <f t="shared" si="261"/>
        <v>0</v>
      </c>
      <c r="CD329" s="9">
        <f>+Risultati!AQ328</f>
        <v>0</v>
      </c>
      <c r="CE329" s="31" t="str">
        <f t="shared" si="262"/>
        <v>0</v>
      </c>
      <c r="CF329" s="9">
        <f>+Risultati!AR328</f>
        <v>0</v>
      </c>
      <c r="CG329" s="31" t="str">
        <f t="shared" si="263"/>
        <v>0</v>
      </c>
      <c r="CH329" s="9">
        <f>+Risultati!AS328</f>
        <v>0</v>
      </c>
      <c r="CI329" s="31" t="str">
        <f t="shared" si="264"/>
        <v>0</v>
      </c>
      <c r="CJ329" s="9">
        <f t="shared" si="265"/>
        <v>0</v>
      </c>
      <c r="CK329" s="31" t="str">
        <f t="shared" si="266"/>
        <v>0</v>
      </c>
      <c r="CL329" s="10">
        <f>+Risultati!AE328+Risultati!AF328</f>
        <v>0</v>
      </c>
      <c r="CM329" s="31" t="str">
        <f t="shared" si="267"/>
        <v>0</v>
      </c>
      <c r="CN329" s="9">
        <f>+Risultati!AT328</f>
        <v>0</v>
      </c>
      <c r="CO329" s="31" t="str">
        <f t="shared" si="268"/>
        <v>0</v>
      </c>
      <c r="CP329" s="9">
        <f>+Risultati!AU328</f>
        <v>0</v>
      </c>
      <c r="CQ329" s="31" t="str">
        <f t="shared" si="269"/>
        <v>0</v>
      </c>
      <c r="CR329" s="9">
        <f>+Risultati!AL328</f>
        <v>0</v>
      </c>
      <c r="CS329" s="31" t="str">
        <f t="shared" si="270"/>
        <v>0</v>
      </c>
      <c r="CT329" s="9">
        <f t="shared" si="271"/>
        <v>0</v>
      </c>
      <c r="CU329" s="31" t="str">
        <f t="shared" si="272"/>
        <v>0</v>
      </c>
      <c r="CV329" s="9">
        <f>+Risultati!AX328</f>
        <v>0</v>
      </c>
      <c r="CW329" s="31" t="str">
        <f t="shared" si="273"/>
        <v>0</v>
      </c>
      <c r="CX329" s="9">
        <f t="shared" si="274"/>
        <v>0</v>
      </c>
      <c r="CY329" s="31" t="str">
        <f t="shared" si="275"/>
        <v>0</v>
      </c>
      <c r="CZ329" s="9">
        <f>+Risultati!AG328</f>
        <v>0</v>
      </c>
      <c r="DA329" s="31" t="str">
        <f t="shared" si="276"/>
        <v>0</v>
      </c>
      <c r="DB329" s="9">
        <f t="shared" si="277"/>
        <v>0</v>
      </c>
      <c r="DC329" s="31" t="str">
        <f t="shared" si="278"/>
        <v>0</v>
      </c>
      <c r="DD329" s="9">
        <f>+Risultati!AV328</f>
        <v>0</v>
      </c>
      <c r="DE329" s="31" t="str">
        <f t="shared" si="279"/>
        <v>0</v>
      </c>
      <c r="DF329" s="9">
        <f>+Risultati!AJ328</f>
        <v>0</v>
      </c>
      <c r="DG329" s="31" t="str">
        <f t="shared" si="280"/>
        <v>0</v>
      </c>
      <c r="DH329" s="9">
        <f t="shared" si="281"/>
        <v>0</v>
      </c>
      <c r="DI329" s="31" t="str">
        <f t="shared" si="282"/>
        <v>0</v>
      </c>
      <c r="DJ329" s="9">
        <f>+Risultati!AW328</f>
        <v>0</v>
      </c>
      <c r="DK329" s="31" t="str">
        <f t="shared" si="283"/>
        <v>0</v>
      </c>
      <c r="DL329" s="10">
        <f t="shared" si="305"/>
        <v>0</v>
      </c>
      <c r="DM329" s="31" t="str">
        <f t="shared" si="284"/>
        <v>0</v>
      </c>
      <c r="DO329" s="30"/>
      <c r="DP329" s="30"/>
    </row>
    <row r="330" spans="1:120" x14ac:dyDescent="0.2">
      <c r="A330" s="5"/>
      <c r="B330" s="6">
        <f>+Risultati!B329</f>
        <v>0</v>
      </c>
      <c r="C330" s="6">
        <f>+Risultati!C329</f>
        <v>0</v>
      </c>
      <c r="D330" s="26" t="str">
        <f>IF(YEAR(Risultati!D329)=1900,(MID(Risultati!$AP$1,29,4)),YEAR(Risultati!D329))</f>
        <v/>
      </c>
      <c r="E330" s="6">
        <f>+Risultati!E329</f>
        <v>0</v>
      </c>
      <c r="F330" s="8" t="e">
        <f>(LEFT(Risultati!AN329,2)&amp;"-")&amp;VLOOKUP((LEFT(Risultati!AN329,2)),ateco!$B$4:$C$93,2,FALSE)</f>
        <v>#N/A</v>
      </c>
      <c r="G330" s="8" t="str">
        <f>SUBSTITUTE((Risultati!AN329&amp;"-"&amp;Risultati!AO329),",",";")</f>
        <v>-</v>
      </c>
      <c r="I330" s="10">
        <f>+Risultati!G329</f>
        <v>0</v>
      </c>
      <c r="J330" s="11" t="str">
        <f t="shared" si="287"/>
        <v>0</v>
      </c>
      <c r="K330" s="12"/>
      <c r="L330" s="10">
        <f>+Risultati!G329+Risultati!H329</f>
        <v>0</v>
      </c>
      <c r="M330" s="11" t="str">
        <f t="shared" si="288"/>
        <v>0</v>
      </c>
      <c r="N330" s="12"/>
      <c r="O330" s="10">
        <f>+Risultati!I329+Risultati!J329</f>
        <v>0</v>
      </c>
      <c r="P330" s="11" t="str">
        <f t="shared" si="289"/>
        <v>0</v>
      </c>
      <c r="Q330" s="12"/>
      <c r="R330" s="13">
        <f t="shared" si="255"/>
        <v>0</v>
      </c>
      <c r="S330" s="11" t="str">
        <f t="shared" si="290"/>
        <v>0</v>
      </c>
      <c r="T330" s="12"/>
      <c r="U330" s="10">
        <f>+Risultati!F329-(Risultati!G329+Risultati!H329)</f>
        <v>0</v>
      </c>
      <c r="V330" s="12" t="str">
        <f t="shared" si="291"/>
        <v>0</v>
      </c>
      <c r="W330" s="12"/>
      <c r="X330" s="10">
        <f t="shared" si="256"/>
        <v>0</v>
      </c>
      <c r="Y330" s="12" t="str">
        <f t="shared" si="292"/>
        <v>0</v>
      </c>
      <c r="Z330" s="12"/>
      <c r="AA330" s="10">
        <f>+Risultati!K329</f>
        <v>0</v>
      </c>
      <c r="AB330" s="12" t="str">
        <f t="shared" si="293"/>
        <v>0</v>
      </c>
      <c r="AC330" s="12"/>
      <c r="AD330" s="10">
        <f>+Risultati!L329</f>
        <v>0</v>
      </c>
      <c r="AE330" s="12" t="str">
        <f t="shared" si="294"/>
        <v>0</v>
      </c>
      <c r="AF330" s="12"/>
      <c r="AG330" s="10">
        <f>+Risultati!M329+Risultati!P329+Risultati!Q329</f>
        <v>0</v>
      </c>
      <c r="AH330" s="12" t="str">
        <f t="shared" si="295"/>
        <v>0</v>
      </c>
      <c r="AI330" s="12"/>
      <c r="AJ330" s="13">
        <f t="shared" si="257"/>
        <v>0</v>
      </c>
      <c r="AK330" s="11" t="str">
        <f t="shared" si="296"/>
        <v>0</v>
      </c>
      <c r="AL330" s="12"/>
      <c r="AM330" s="10">
        <f>+Risultati!N329</f>
        <v>0</v>
      </c>
      <c r="AN330" s="12" t="str">
        <f t="shared" si="297"/>
        <v>0</v>
      </c>
      <c r="AO330" s="12"/>
      <c r="AP330" s="10">
        <f t="shared" si="258"/>
        <v>0</v>
      </c>
      <c r="AQ330" s="41" t="str">
        <f t="shared" si="298"/>
        <v>0</v>
      </c>
      <c r="AR330" s="12"/>
      <c r="AS330" s="10">
        <f>+Risultati!O329</f>
        <v>0</v>
      </c>
      <c r="AT330" s="12" t="str">
        <f t="shared" si="299"/>
        <v>0</v>
      </c>
      <c r="AU330" s="12"/>
      <c r="AV330" s="10">
        <f t="shared" si="259"/>
        <v>0</v>
      </c>
      <c r="AW330" s="12" t="str">
        <f t="shared" si="300"/>
        <v>0</v>
      </c>
      <c r="AX330" s="12"/>
      <c r="AY330" s="10">
        <f>+Risultati!R329+Risultati!S329</f>
        <v>0</v>
      </c>
      <c r="AZ330" s="12" t="str">
        <f t="shared" si="301"/>
        <v>0</v>
      </c>
      <c r="BA330" s="12"/>
      <c r="BB330" s="10">
        <f>+Risultati!T329</f>
        <v>0</v>
      </c>
      <c r="BC330" s="12" t="str">
        <f t="shared" si="302"/>
        <v>0</v>
      </c>
      <c r="BD330" s="12"/>
      <c r="BE330" s="10">
        <f>+Risultati!U329</f>
        <v>0</v>
      </c>
      <c r="BF330" s="12" t="str">
        <f t="shared" si="303"/>
        <v>0</v>
      </c>
      <c r="BG330" s="12"/>
      <c r="BH330" s="10">
        <f t="shared" si="260"/>
        <v>0</v>
      </c>
      <c r="BI330" s="12" t="str">
        <f t="shared" si="304"/>
        <v>0</v>
      </c>
      <c r="BK330" s="16">
        <f>IF(ISNUMBER(Risultati!X329/100),(Risultati!X329/100))</f>
        <v>0</v>
      </c>
      <c r="BL330" s="16">
        <f>IF(ISNUMBER(Risultati!Y329/100),(Risultati!Y329/100))</f>
        <v>0</v>
      </c>
      <c r="BM330" s="16">
        <f>IF(ISNUMBER(Risultati!Z329/100),(Risultati!Z329/100))</f>
        <v>0</v>
      </c>
      <c r="BN330" s="16">
        <f>IF(AND(Risultati!AY329&lt;0,calcoli!AP330&lt;0),-IF(ISNUMBER(Risultati!AA329/100),(Risultati!AA329/100)),IF(ISNUMBER(Risultati!AA329/100),(Risultati!AA329/100)))</f>
        <v>0</v>
      </c>
      <c r="BO330" s="16" t="str">
        <f t="shared" si="285"/>
        <v>0</v>
      </c>
      <c r="BP330" s="16" t="str">
        <f>IF(Risultati!AB329&gt;0,(AV330/Risultati!AB329),"0")</f>
        <v>0</v>
      </c>
      <c r="BQ330" s="16" t="str">
        <f>IF(Risultati!AG329&lt;&gt;0,(BH330/Risultati!AG329),"0")</f>
        <v>0</v>
      </c>
      <c r="BR330" s="16" t="str">
        <f t="shared" si="286"/>
        <v>0</v>
      </c>
      <c r="BS330" s="14" t="str">
        <f>IF(Risultati!AB329&gt;0,(Risultati!G329/Risultati!AB329),"0")</f>
        <v>0</v>
      </c>
      <c r="BT330" s="15" t="str">
        <f>IF(Risultati!AG329&lt;&gt;0,(Risultati!AB329/Risultati!AG329),"0")</f>
        <v>0</v>
      </c>
      <c r="BU330" s="23" t="str">
        <f>IF(AND(Risultati!G329&gt;0,(Risultati!AE329-Risultati!AF329)&gt;=0),((Risultati!AE329-Risultati!AF329)/Risultati!G329*360),"0")</f>
        <v>0</v>
      </c>
      <c r="BV330" s="21" t="str">
        <f>IF(OR(E330="abbreviato",Risultati!G329=0),"0",((Risultati!AC329+Risultati!AD329)/Risultati!G329*360))</f>
        <v>0</v>
      </c>
      <c r="BW330" s="21" t="str">
        <f>IF(OR(E330="abbreviato",Risultati!G329=0,SUM(Risultati!I329+Risultati!K329+Risultati!M329)=0),"0",(((Risultati!AH329+Risultati!AI329)/(Risultati!I329+Risultati!K329+Risultati!N329)*360)))</f>
        <v>0</v>
      </c>
      <c r="BX330" s="16" t="str">
        <f>IF(Risultati!AB329&gt;0,(+Risultati!AG329/Risultati!AB329),"0")</f>
        <v>0</v>
      </c>
      <c r="BY330" s="22" t="str">
        <f>IF(OR(E330="abbreviato",Risultati!G329=0),"0",(((Risultati!AK329-(Risultati!AL329+Risultati!AM329))/Risultati!G329)))</f>
        <v>0</v>
      </c>
      <c r="BZ330" s="16" t="str">
        <f>IF(Risultati!G329&gt;0,(Risultati!AJ329/Risultati!G329),"0")</f>
        <v>0</v>
      </c>
      <c r="CA330" s="8"/>
      <c r="CB330" s="9">
        <f>+Risultati!AP329</f>
        <v>0</v>
      </c>
      <c r="CC330" s="31" t="str">
        <f t="shared" si="261"/>
        <v>0</v>
      </c>
      <c r="CD330" s="9">
        <f>+Risultati!AQ329</f>
        <v>0</v>
      </c>
      <c r="CE330" s="31" t="str">
        <f t="shared" si="262"/>
        <v>0</v>
      </c>
      <c r="CF330" s="9">
        <f>+Risultati!AR329</f>
        <v>0</v>
      </c>
      <c r="CG330" s="31" t="str">
        <f t="shared" si="263"/>
        <v>0</v>
      </c>
      <c r="CH330" s="9">
        <f>+Risultati!AS329</f>
        <v>0</v>
      </c>
      <c r="CI330" s="31" t="str">
        <f t="shared" si="264"/>
        <v>0</v>
      </c>
      <c r="CJ330" s="9">
        <f t="shared" si="265"/>
        <v>0</v>
      </c>
      <c r="CK330" s="31" t="str">
        <f t="shared" si="266"/>
        <v>0</v>
      </c>
      <c r="CL330" s="10">
        <f>+Risultati!AE329+Risultati!AF329</f>
        <v>0</v>
      </c>
      <c r="CM330" s="31" t="str">
        <f t="shared" si="267"/>
        <v>0</v>
      </c>
      <c r="CN330" s="9">
        <f>+Risultati!AT329</f>
        <v>0</v>
      </c>
      <c r="CO330" s="31" t="str">
        <f t="shared" si="268"/>
        <v>0</v>
      </c>
      <c r="CP330" s="9">
        <f>+Risultati!AU329</f>
        <v>0</v>
      </c>
      <c r="CQ330" s="31" t="str">
        <f t="shared" si="269"/>
        <v>0</v>
      </c>
      <c r="CR330" s="9">
        <f>+Risultati!AL329</f>
        <v>0</v>
      </c>
      <c r="CS330" s="31" t="str">
        <f t="shared" si="270"/>
        <v>0</v>
      </c>
      <c r="CT330" s="9">
        <f t="shared" si="271"/>
        <v>0</v>
      </c>
      <c r="CU330" s="31" t="str">
        <f t="shared" si="272"/>
        <v>0</v>
      </c>
      <c r="CV330" s="9">
        <f>+Risultati!AX329</f>
        <v>0</v>
      </c>
      <c r="CW330" s="31" t="str">
        <f t="shared" si="273"/>
        <v>0</v>
      </c>
      <c r="CX330" s="9">
        <f t="shared" si="274"/>
        <v>0</v>
      </c>
      <c r="CY330" s="31" t="str">
        <f t="shared" si="275"/>
        <v>0</v>
      </c>
      <c r="CZ330" s="9">
        <f>+Risultati!AG329</f>
        <v>0</v>
      </c>
      <c r="DA330" s="31" t="str">
        <f t="shared" si="276"/>
        <v>0</v>
      </c>
      <c r="DB330" s="9">
        <f t="shared" si="277"/>
        <v>0</v>
      </c>
      <c r="DC330" s="31" t="str">
        <f t="shared" si="278"/>
        <v>0</v>
      </c>
      <c r="DD330" s="9">
        <f>+Risultati!AV329</f>
        <v>0</v>
      </c>
      <c r="DE330" s="31" t="str">
        <f t="shared" si="279"/>
        <v>0</v>
      </c>
      <c r="DF330" s="9">
        <f>+Risultati!AJ329</f>
        <v>0</v>
      </c>
      <c r="DG330" s="31" t="str">
        <f t="shared" si="280"/>
        <v>0</v>
      </c>
      <c r="DH330" s="9">
        <f t="shared" si="281"/>
        <v>0</v>
      </c>
      <c r="DI330" s="31" t="str">
        <f t="shared" si="282"/>
        <v>0</v>
      </c>
      <c r="DJ330" s="9">
        <f>+Risultati!AW329</f>
        <v>0</v>
      </c>
      <c r="DK330" s="31" t="str">
        <f t="shared" si="283"/>
        <v>0</v>
      </c>
      <c r="DL330" s="10">
        <f t="shared" si="305"/>
        <v>0</v>
      </c>
      <c r="DM330" s="31" t="str">
        <f t="shared" si="284"/>
        <v>0</v>
      </c>
      <c r="DO330" s="30"/>
      <c r="DP330" s="30"/>
    </row>
    <row r="331" spans="1:120" x14ac:dyDescent="0.2">
      <c r="A331" s="5"/>
      <c r="B331" s="6">
        <f>+Risultati!B330</f>
        <v>0</v>
      </c>
      <c r="C331" s="6">
        <f>+Risultati!C330</f>
        <v>0</v>
      </c>
      <c r="D331" s="26" t="str">
        <f>IF(YEAR(Risultati!D330)=1900,(MID(Risultati!$AP$1,29,4)),YEAR(Risultati!D330))</f>
        <v/>
      </c>
      <c r="E331" s="6">
        <f>+Risultati!E330</f>
        <v>0</v>
      </c>
      <c r="F331" s="8" t="e">
        <f>(LEFT(Risultati!AN330,2)&amp;"-")&amp;VLOOKUP((LEFT(Risultati!AN330,2)),ateco!$B$4:$C$93,2,FALSE)</f>
        <v>#N/A</v>
      </c>
      <c r="G331" s="8" t="str">
        <f>SUBSTITUTE((Risultati!AN330&amp;"-"&amp;Risultati!AO330),",",";")</f>
        <v>-</v>
      </c>
      <c r="I331" s="10">
        <f>+Risultati!G330</f>
        <v>0</v>
      </c>
      <c r="J331" s="11" t="str">
        <f t="shared" si="287"/>
        <v>0</v>
      </c>
      <c r="K331" s="12"/>
      <c r="L331" s="10">
        <f>+Risultati!G330+Risultati!H330</f>
        <v>0</v>
      </c>
      <c r="M331" s="11" t="str">
        <f t="shared" si="288"/>
        <v>0</v>
      </c>
      <c r="N331" s="12"/>
      <c r="O331" s="10">
        <f>+Risultati!I330+Risultati!J330</f>
        <v>0</v>
      </c>
      <c r="P331" s="11" t="str">
        <f t="shared" si="289"/>
        <v>0</v>
      </c>
      <c r="Q331" s="12"/>
      <c r="R331" s="13">
        <f t="shared" si="255"/>
        <v>0</v>
      </c>
      <c r="S331" s="11" t="str">
        <f t="shared" si="290"/>
        <v>0</v>
      </c>
      <c r="T331" s="12"/>
      <c r="U331" s="10">
        <f>+Risultati!F330-(Risultati!G330+Risultati!H330)</f>
        <v>0</v>
      </c>
      <c r="V331" s="12" t="str">
        <f t="shared" si="291"/>
        <v>0</v>
      </c>
      <c r="W331" s="12"/>
      <c r="X331" s="10">
        <f t="shared" si="256"/>
        <v>0</v>
      </c>
      <c r="Y331" s="12" t="str">
        <f t="shared" si="292"/>
        <v>0</v>
      </c>
      <c r="Z331" s="12"/>
      <c r="AA331" s="10">
        <f>+Risultati!K330</f>
        <v>0</v>
      </c>
      <c r="AB331" s="12" t="str">
        <f t="shared" si="293"/>
        <v>0</v>
      </c>
      <c r="AC331" s="12"/>
      <c r="AD331" s="10">
        <f>+Risultati!L330</f>
        <v>0</v>
      </c>
      <c r="AE331" s="12" t="str">
        <f t="shared" si="294"/>
        <v>0</v>
      </c>
      <c r="AF331" s="12"/>
      <c r="AG331" s="10">
        <f>+Risultati!M330+Risultati!P330+Risultati!Q330</f>
        <v>0</v>
      </c>
      <c r="AH331" s="12" t="str">
        <f t="shared" si="295"/>
        <v>0</v>
      </c>
      <c r="AI331" s="12"/>
      <c r="AJ331" s="13">
        <f t="shared" si="257"/>
        <v>0</v>
      </c>
      <c r="AK331" s="11" t="str">
        <f t="shared" si="296"/>
        <v>0</v>
      </c>
      <c r="AL331" s="12"/>
      <c r="AM331" s="10">
        <f>+Risultati!N330</f>
        <v>0</v>
      </c>
      <c r="AN331" s="12" t="str">
        <f t="shared" si="297"/>
        <v>0</v>
      </c>
      <c r="AO331" s="12"/>
      <c r="AP331" s="10">
        <f t="shared" si="258"/>
        <v>0</v>
      </c>
      <c r="AQ331" s="41" t="str">
        <f t="shared" si="298"/>
        <v>0</v>
      </c>
      <c r="AR331" s="12"/>
      <c r="AS331" s="10">
        <f>+Risultati!O330</f>
        <v>0</v>
      </c>
      <c r="AT331" s="12" t="str">
        <f t="shared" si="299"/>
        <v>0</v>
      </c>
      <c r="AU331" s="12"/>
      <c r="AV331" s="10">
        <f t="shared" si="259"/>
        <v>0</v>
      </c>
      <c r="AW331" s="12" t="str">
        <f t="shared" si="300"/>
        <v>0</v>
      </c>
      <c r="AX331" s="12"/>
      <c r="AY331" s="10">
        <f>+Risultati!R330+Risultati!S330</f>
        <v>0</v>
      </c>
      <c r="AZ331" s="12" t="str">
        <f t="shared" si="301"/>
        <v>0</v>
      </c>
      <c r="BA331" s="12"/>
      <c r="BB331" s="10">
        <f>+Risultati!T330</f>
        <v>0</v>
      </c>
      <c r="BC331" s="12" t="str">
        <f t="shared" si="302"/>
        <v>0</v>
      </c>
      <c r="BD331" s="12"/>
      <c r="BE331" s="10">
        <f>+Risultati!U330</f>
        <v>0</v>
      </c>
      <c r="BF331" s="12" t="str">
        <f t="shared" si="303"/>
        <v>0</v>
      </c>
      <c r="BG331" s="12"/>
      <c r="BH331" s="10">
        <f t="shared" si="260"/>
        <v>0</v>
      </c>
      <c r="BI331" s="12" t="str">
        <f t="shared" si="304"/>
        <v>0</v>
      </c>
      <c r="BK331" s="16">
        <f>IF(ISNUMBER(Risultati!X330/100),(Risultati!X330/100))</f>
        <v>0</v>
      </c>
      <c r="BL331" s="16">
        <f>IF(ISNUMBER(Risultati!Y330/100),(Risultati!Y330/100))</f>
        <v>0</v>
      </c>
      <c r="BM331" s="16">
        <f>IF(ISNUMBER(Risultati!Z330/100),(Risultati!Z330/100))</f>
        <v>0</v>
      </c>
      <c r="BN331" s="16">
        <f>IF(AND(Risultati!AY330&lt;0,calcoli!AP331&lt;0),-IF(ISNUMBER(Risultati!AA330/100),(Risultati!AA330/100)),IF(ISNUMBER(Risultati!AA330/100),(Risultati!AA330/100)))</f>
        <v>0</v>
      </c>
      <c r="BO331" s="16" t="str">
        <f t="shared" si="285"/>
        <v>0</v>
      </c>
      <c r="BP331" s="16" t="str">
        <f>IF(Risultati!AB330&gt;0,(AV331/Risultati!AB330),"0")</f>
        <v>0</v>
      </c>
      <c r="BQ331" s="16" t="str">
        <f>IF(Risultati!AG330&lt;&gt;0,(BH331/Risultati!AG330),"0")</f>
        <v>0</v>
      </c>
      <c r="BR331" s="16" t="str">
        <f t="shared" si="286"/>
        <v>0</v>
      </c>
      <c r="BS331" s="14" t="str">
        <f>IF(Risultati!AB330&gt;0,(Risultati!G330/Risultati!AB330),"0")</f>
        <v>0</v>
      </c>
      <c r="BT331" s="15" t="str">
        <f>IF(Risultati!AG330&lt;&gt;0,(Risultati!AB330/Risultati!AG330),"0")</f>
        <v>0</v>
      </c>
      <c r="BU331" s="23" t="str">
        <f>IF(AND(Risultati!G330&gt;0,(Risultati!AE330-Risultati!AF330)&gt;=0),((Risultati!AE330-Risultati!AF330)/Risultati!G330*360),"0")</f>
        <v>0</v>
      </c>
      <c r="BV331" s="21" t="str">
        <f>IF(OR(E331="abbreviato",Risultati!G330=0),"0",((Risultati!AC330+Risultati!AD330)/Risultati!G330*360))</f>
        <v>0</v>
      </c>
      <c r="BW331" s="21" t="str">
        <f>IF(OR(E331="abbreviato",Risultati!G330=0,SUM(Risultati!I330+Risultati!K330+Risultati!M330)=0),"0",(((Risultati!AH330+Risultati!AI330)/(Risultati!I330+Risultati!K330+Risultati!N330)*360)))</f>
        <v>0</v>
      </c>
      <c r="BX331" s="16" t="str">
        <f>IF(Risultati!AB330&gt;0,(+Risultati!AG330/Risultati!AB330),"0")</f>
        <v>0</v>
      </c>
      <c r="BY331" s="22" t="str">
        <f>IF(OR(E331="abbreviato",Risultati!G330=0),"0",(((Risultati!AK330-(Risultati!AL330+Risultati!AM330))/Risultati!G330)))</f>
        <v>0</v>
      </c>
      <c r="BZ331" s="16" t="str">
        <f>IF(Risultati!G330&gt;0,(Risultati!AJ330/Risultati!G330),"0")</f>
        <v>0</v>
      </c>
      <c r="CA331" s="8"/>
      <c r="CB331" s="9">
        <f>+Risultati!AP330</f>
        <v>0</v>
      </c>
      <c r="CC331" s="31" t="str">
        <f t="shared" si="261"/>
        <v>0</v>
      </c>
      <c r="CD331" s="9">
        <f>+Risultati!AQ330</f>
        <v>0</v>
      </c>
      <c r="CE331" s="31" t="str">
        <f t="shared" si="262"/>
        <v>0</v>
      </c>
      <c r="CF331" s="9">
        <f>+Risultati!AR330</f>
        <v>0</v>
      </c>
      <c r="CG331" s="31" t="str">
        <f t="shared" si="263"/>
        <v>0</v>
      </c>
      <c r="CH331" s="9">
        <f>+Risultati!AS330</f>
        <v>0</v>
      </c>
      <c r="CI331" s="31" t="str">
        <f t="shared" si="264"/>
        <v>0</v>
      </c>
      <c r="CJ331" s="9">
        <f t="shared" si="265"/>
        <v>0</v>
      </c>
      <c r="CK331" s="31" t="str">
        <f t="shared" si="266"/>
        <v>0</v>
      </c>
      <c r="CL331" s="10">
        <f>+Risultati!AE330+Risultati!AF330</f>
        <v>0</v>
      </c>
      <c r="CM331" s="31" t="str">
        <f t="shared" si="267"/>
        <v>0</v>
      </c>
      <c r="CN331" s="9">
        <f>+Risultati!AT330</f>
        <v>0</v>
      </c>
      <c r="CO331" s="31" t="str">
        <f t="shared" si="268"/>
        <v>0</v>
      </c>
      <c r="CP331" s="9">
        <f>+Risultati!AU330</f>
        <v>0</v>
      </c>
      <c r="CQ331" s="31" t="str">
        <f t="shared" si="269"/>
        <v>0</v>
      </c>
      <c r="CR331" s="9">
        <f>+Risultati!AL330</f>
        <v>0</v>
      </c>
      <c r="CS331" s="31" t="str">
        <f t="shared" si="270"/>
        <v>0</v>
      </c>
      <c r="CT331" s="9">
        <f t="shared" si="271"/>
        <v>0</v>
      </c>
      <c r="CU331" s="31" t="str">
        <f t="shared" si="272"/>
        <v>0</v>
      </c>
      <c r="CV331" s="9">
        <f>+Risultati!AX330</f>
        <v>0</v>
      </c>
      <c r="CW331" s="31" t="str">
        <f t="shared" si="273"/>
        <v>0</v>
      </c>
      <c r="CX331" s="9">
        <f t="shared" si="274"/>
        <v>0</v>
      </c>
      <c r="CY331" s="31" t="str">
        <f t="shared" si="275"/>
        <v>0</v>
      </c>
      <c r="CZ331" s="9">
        <f>+Risultati!AG330</f>
        <v>0</v>
      </c>
      <c r="DA331" s="31" t="str">
        <f t="shared" si="276"/>
        <v>0</v>
      </c>
      <c r="DB331" s="9">
        <f t="shared" si="277"/>
        <v>0</v>
      </c>
      <c r="DC331" s="31" t="str">
        <f t="shared" si="278"/>
        <v>0</v>
      </c>
      <c r="DD331" s="9">
        <f>+Risultati!AV330</f>
        <v>0</v>
      </c>
      <c r="DE331" s="31" t="str">
        <f t="shared" si="279"/>
        <v>0</v>
      </c>
      <c r="DF331" s="9">
        <f>+Risultati!AJ330</f>
        <v>0</v>
      </c>
      <c r="DG331" s="31" t="str">
        <f t="shared" si="280"/>
        <v>0</v>
      </c>
      <c r="DH331" s="9">
        <f t="shared" si="281"/>
        <v>0</v>
      </c>
      <c r="DI331" s="31" t="str">
        <f t="shared" si="282"/>
        <v>0</v>
      </c>
      <c r="DJ331" s="9">
        <f>+Risultati!AW330</f>
        <v>0</v>
      </c>
      <c r="DK331" s="31" t="str">
        <f t="shared" si="283"/>
        <v>0</v>
      </c>
      <c r="DL331" s="10">
        <f t="shared" si="305"/>
        <v>0</v>
      </c>
      <c r="DM331" s="31" t="str">
        <f t="shared" si="284"/>
        <v>0</v>
      </c>
      <c r="DO331" s="30"/>
      <c r="DP331" s="30"/>
    </row>
    <row r="332" spans="1:120" x14ac:dyDescent="0.2">
      <c r="A332" s="5"/>
      <c r="B332" s="6">
        <f>+Risultati!B331</f>
        <v>0</v>
      </c>
      <c r="C332" s="6">
        <f>+Risultati!C331</f>
        <v>0</v>
      </c>
      <c r="D332" s="26" t="str">
        <f>IF(YEAR(Risultati!D331)=1900,(MID(Risultati!$AP$1,29,4)),YEAR(Risultati!D331))</f>
        <v/>
      </c>
      <c r="E332" s="6">
        <f>+Risultati!E331</f>
        <v>0</v>
      </c>
      <c r="F332" s="8" t="e">
        <f>(LEFT(Risultati!AN331,2)&amp;"-")&amp;VLOOKUP((LEFT(Risultati!AN331,2)),ateco!$B$4:$C$93,2,FALSE)</f>
        <v>#N/A</v>
      </c>
      <c r="G332" s="8" t="str">
        <f>SUBSTITUTE((Risultati!AN331&amp;"-"&amp;Risultati!AO331),",",";")</f>
        <v>-</v>
      </c>
      <c r="I332" s="10">
        <f>+Risultati!G331</f>
        <v>0</v>
      </c>
      <c r="J332" s="11" t="str">
        <f t="shared" si="287"/>
        <v>0</v>
      </c>
      <c r="K332" s="12"/>
      <c r="L332" s="10">
        <f>+Risultati!G331+Risultati!H331</f>
        <v>0</v>
      </c>
      <c r="M332" s="11" t="str">
        <f t="shared" si="288"/>
        <v>0</v>
      </c>
      <c r="N332" s="12"/>
      <c r="O332" s="10">
        <f>+Risultati!I331+Risultati!J331</f>
        <v>0</v>
      </c>
      <c r="P332" s="11" t="str">
        <f t="shared" si="289"/>
        <v>0</v>
      </c>
      <c r="Q332" s="12"/>
      <c r="R332" s="13">
        <f t="shared" si="255"/>
        <v>0</v>
      </c>
      <c r="S332" s="11" t="str">
        <f t="shared" si="290"/>
        <v>0</v>
      </c>
      <c r="T332" s="12"/>
      <c r="U332" s="10">
        <f>+Risultati!F331-(Risultati!G331+Risultati!H331)</f>
        <v>0</v>
      </c>
      <c r="V332" s="12" t="str">
        <f t="shared" si="291"/>
        <v>0</v>
      </c>
      <c r="W332" s="12"/>
      <c r="X332" s="10">
        <f t="shared" si="256"/>
        <v>0</v>
      </c>
      <c r="Y332" s="12" t="str">
        <f t="shared" si="292"/>
        <v>0</v>
      </c>
      <c r="Z332" s="12"/>
      <c r="AA332" s="10">
        <f>+Risultati!K331</f>
        <v>0</v>
      </c>
      <c r="AB332" s="12" t="str">
        <f t="shared" si="293"/>
        <v>0</v>
      </c>
      <c r="AC332" s="12"/>
      <c r="AD332" s="10">
        <f>+Risultati!L331</f>
        <v>0</v>
      </c>
      <c r="AE332" s="12" t="str">
        <f t="shared" si="294"/>
        <v>0</v>
      </c>
      <c r="AF332" s="12"/>
      <c r="AG332" s="10">
        <f>+Risultati!M331+Risultati!P331+Risultati!Q331</f>
        <v>0</v>
      </c>
      <c r="AH332" s="12" t="str">
        <f t="shared" si="295"/>
        <v>0</v>
      </c>
      <c r="AI332" s="12"/>
      <c r="AJ332" s="13">
        <f t="shared" si="257"/>
        <v>0</v>
      </c>
      <c r="AK332" s="11" t="str">
        <f t="shared" si="296"/>
        <v>0</v>
      </c>
      <c r="AL332" s="12"/>
      <c r="AM332" s="10">
        <f>+Risultati!N331</f>
        <v>0</v>
      </c>
      <c r="AN332" s="12" t="str">
        <f t="shared" si="297"/>
        <v>0</v>
      </c>
      <c r="AO332" s="12"/>
      <c r="AP332" s="10">
        <f t="shared" si="258"/>
        <v>0</v>
      </c>
      <c r="AQ332" s="41" t="str">
        <f t="shared" si="298"/>
        <v>0</v>
      </c>
      <c r="AR332" s="12"/>
      <c r="AS332" s="10">
        <f>+Risultati!O331</f>
        <v>0</v>
      </c>
      <c r="AT332" s="12" t="str">
        <f t="shared" si="299"/>
        <v>0</v>
      </c>
      <c r="AU332" s="12"/>
      <c r="AV332" s="10">
        <f t="shared" si="259"/>
        <v>0</v>
      </c>
      <c r="AW332" s="12" t="str">
        <f t="shared" si="300"/>
        <v>0</v>
      </c>
      <c r="AX332" s="12"/>
      <c r="AY332" s="10">
        <f>+Risultati!R331+Risultati!S331</f>
        <v>0</v>
      </c>
      <c r="AZ332" s="12" t="str">
        <f t="shared" si="301"/>
        <v>0</v>
      </c>
      <c r="BA332" s="12"/>
      <c r="BB332" s="10">
        <f>+Risultati!T331</f>
        <v>0</v>
      </c>
      <c r="BC332" s="12" t="str">
        <f t="shared" si="302"/>
        <v>0</v>
      </c>
      <c r="BD332" s="12"/>
      <c r="BE332" s="10">
        <f>+Risultati!U331</f>
        <v>0</v>
      </c>
      <c r="BF332" s="12" t="str">
        <f t="shared" si="303"/>
        <v>0</v>
      </c>
      <c r="BG332" s="12"/>
      <c r="BH332" s="10">
        <f t="shared" si="260"/>
        <v>0</v>
      </c>
      <c r="BI332" s="12" t="str">
        <f t="shared" si="304"/>
        <v>0</v>
      </c>
      <c r="BK332" s="16">
        <f>IF(ISNUMBER(Risultati!X331/100),(Risultati!X331/100))</f>
        <v>0</v>
      </c>
      <c r="BL332" s="16">
        <f>IF(ISNUMBER(Risultati!Y331/100),(Risultati!Y331/100))</f>
        <v>0</v>
      </c>
      <c r="BM332" s="16">
        <f>IF(ISNUMBER(Risultati!Z331/100),(Risultati!Z331/100))</f>
        <v>0</v>
      </c>
      <c r="BN332" s="16">
        <f>IF(AND(Risultati!AY331&lt;0,calcoli!AP332&lt;0),-IF(ISNUMBER(Risultati!AA331/100),(Risultati!AA331/100)),IF(ISNUMBER(Risultati!AA331/100),(Risultati!AA331/100)))</f>
        <v>0</v>
      </c>
      <c r="BO332" s="16" t="str">
        <f t="shared" si="285"/>
        <v>0</v>
      </c>
      <c r="BP332" s="16" t="str">
        <f>IF(Risultati!AB331&gt;0,(AV332/Risultati!AB331),"0")</f>
        <v>0</v>
      </c>
      <c r="BQ332" s="16" t="str">
        <f>IF(Risultati!AG331&lt;&gt;0,(BH332/Risultati!AG331),"0")</f>
        <v>0</v>
      </c>
      <c r="BR332" s="16" t="str">
        <f t="shared" si="286"/>
        <v>0</v>
      </c>
      <c r="BS332" s="14" t="str">
        <f>IF(Risultati!AB331&gt;0,(Risultati!G331/Risultati!AB331),"0")</f>
        <v>0</v>
      </c>
      <c r="BT332" s="15" t="str">
        <f>IF(Risultati!AG331&lt;&gt;0,(Risultati!AB331/Risultati!AG331),"0")</f>
        <v>0</v>
      </c>
      <c r="BU332" s="23" t="str">
        <f>IF(AND(Risultati!G331&gt;0,(Risultati!AE331-Risultati!AF331)&gt;=0),((Risultati!AE331-Risultati!AF331)/Risultati!G331*360),"0")</f>
        <v>0</v>
      </c>
      <c r="BV332" s="21" t="str">
        <f>IF(OR(E332="abbreviato",Risultati!G331=0),"0",((Risultati!AC331+Risultati!AD331)/Risultati!G331*360))</f>
        <v>0</v>
      </c>
      <c r="BW332" s="21" t="str">
        <f>IF(OR(E332="abbreviato",Risultati!G331=0,SUM(Risultati!I331+Risultati!K331+Risultati!M331)=0),"0",(((Risultati!AH331+Risultati!AI331)/(Risultati!I331+Risultati!K331+Risultati!N331)*360)))</f>
        <v>0</v>
      </c>
      <c r="BX332" s="16" t="str">
        <f>IF(Risultati!AB331&gt;0,(+Risultati!AG331/Risultati!AB331),"0")</f>
        <v>0</v>
      </c>
      <c r="BY332" s="22" t="str">
        <f>IF(OR(E332="abbreviato",Risultati!G331=0),"0",(((Risultati!AK331-(Risultati!AL331+Risultati!AM331))/Risultati!G331)))</f>
        <v>0</v>
      </c>
      <c r="BZ332" s="16" t="str">
        <f>IF(Risultati!G331&gt;0,(Risultati!AJ331/Risultati!G331),"0")</f>
        <v>0</v>
      </c>
      <c r="CA332" s="8"/>
      <c r="CB332" s="9">
        <f>+Risultati!AP331</f>
        <v>0</v>
      </c>
      <c r="CC332" s="31" t="str">
        <f t="shared" si="261"/>
        <v>0</v>
      </c>
      <c r="CD332" s="9">
        <f>+Risultati!AQ331</f>
        <v>0</v>
      </c>
      <c r="CE332" s="31" t="str">
        <f t="shared" si="262"/>
        <v>0</v>
      </c>
      <c r="CF332" s="9">
        <f>+Risultati!AR331</f>
        <v>0</v>
      </c>
      <c r="CG332" s="31" t="str">
        <f t="shared" si="263"/>
        <v>0</v>
      </c>
      <c r="CH332" s="9">
        <f>+Risultati!AS331</f>
        <v>0</v>
      </c>
      <c r="CI332" s="31" t="str">
        <f t="shared" si="264"/>
        <v>0</v>
      </c>
      <c r="CJ332" s="9">
        <f t="shared" si="265"/>
        <v>0</v>
      </c>
      <c r="CK332" s="31" t="str">
        <f t="shared" si="266"/>
        <v>0</v>
      </c>
      <c r="CL332" s="10">
        <f>+Risultati!AE331+Risultati!AF331</f>
        <v>0</v>
      </c>
      <c r="CM332" s="31" t="str">
        <f t="shared" si="267"/>
        <v>0</v>
      </c>
      <c r="CN332" s="9">
        <f>+Risultati!AT331</f>
        <v>0</v>
      </c>
      <c r="CO332" s="31" t="str">
        <f t="shared" si="268"/>
        <v>0</v>
      </c>
      <c r="CP332" s="9">
        <f>+Risultati!AU331</f>
        <v>0</v>
      </c>
      <c r="CQ332" s="31" t="str">
        <f t="shared" si="269"/>
        <v>0</v>
      </c>
      <c r="CR332" s="9">
        <f>+Risultati!AL331</f>
        <v>0</v>
      </c>
      <c r="CS332" s="31" t="str">
        <f t="shared" si="270"/>
        <v>0</v>
      </c>
      <c r="CT332" s="9">
        <f t="shared" si="271"/>
        <v>0</v>
      </c>
      <c r="CU332" s="31" t="str">
        <f t="shared" si="272"/>
        <v>0</v>
      </c>
      <c r="CV332" s="9">
        <f>+Risultati!AX331</f>
        <v>0</v>
      </c>
      <c r="CW332" s="31" t="str">
        <f t="shared" si="273"/>
        <v>0</v>
      </c>
      <c r="CX332" s="9">
        <f t="shared" si="274"/>
        <v>0</v>
      </c>
      <c r="CY332" s="31" t="str">
        <f t="shared" si="275"/>
        <v>0</v>
      </c>
      <c r="CZ332" s="9">
        <f>+Risultati!AG331</f>
        <v>0</v>
      </c>
      <c r="DA332" s="31" t="str">
        <f t="shared" si="276"/>
        <v>0</v>
      </c>
      <c r="DB332" s="9">
        <f t="shared" si="277"/>
        <v>0</v>
      </c>
      <c r="DC332" s="31" t="str">
        <f t="shared" si="278"/>
        <v>0</v>
      </c>
      <c r="DD332" s="9">
        <f>+Risultati!AV331</f>
        <v>0</v>
      </c>
      <c r="DE332" s="31" t="str">
        <f t="shared" si="279"/>
        <v>0</v>
      </c>
      <c r="DF332" s="9">
        <f>+Risultati!AJ331</f>
        <v>0</v>
      </c>
      <c r="DG332" s="31" t="str">
        <f t="shared" si="280"/>
        <v>0</v>
      </c>
      <c r="DH332" s="9">
        <f t="shared" si="281"/>
        <v>0</v>
      </c>
      <c r="DI332" s="31" t="str">
        <f t="shared" si="282"/>
        <v>0</v>
      </c>
      <c r="DJ332" s="9">
        <f>+Risultati!AW331</f>
        <v>0</v>
      </c>
      <c r="DK332" s="31" t="str">
        <f t="shared" si="283"/>
        <v>0</v>
      </c>
      <c r="DL332" s="10">
        <f t="shared" si="305"/>
        <v>0</v>
      </c>
      <c r="DM332" s="31" t="str">
        <f t="shared" si="284"/>
        <v>0</v>
      </c>
      <c r="DO332" s="30"/>
      <c r="DP332" s="30"/>
    </row>
    <row r="333" spans="1:120" x14ac:dyDescent="0.2">
      <c r="A333" s="5"/>
      <c r="B333" s="6">
        <f>+Risultati!B332</f>
        <v>0</v>
      </c>
      <c r="C333" s="6">
        <f>+Risultati!C332</f>
        <v>0</v>
      </c>
      <c r="D333" s="26" t="str">
        <f>IF(YEAR(Risultati!D332)=1900,(MID(Risultati!$AP$1,29,4)),YEAR(Risultati!D332))</f>
        <v/>
      </c>
      <c r="E333" s="6">
        <f>+Risultati!E332</f>
        <v>0</v>
      </c>
      <c r="F333" s="8" t="e">
        <f>(LEFT(Risultati!AN332,2)&amp;"-")&amp;VLOOKUP((LEFT(Risultati!AN332,2)),ateco!$B$4:$C$93,2,FALSE)</f>
        <v>#N/A</v>
      </c>
      <c r="G333" s="8" t="str">
        <f>SUBSTITUTE((Risultati!AN332&amp;"-"&amp;Risultati!AO332),",",";")</f>
        <v>-</v>
      </c>
      <c r="I333" s="10">
        <f>+Risultati!G332</f>
        <v>0</v>
      </c>
      <c r="J333" s="11" t="str">
        <f t="shared" si="287"/>
        <v>0</v>
      </c>
      <c r="K333" s="12"/>
      <c r="L333" s="10">
        <f>+Risultati!G332+Risultati!H332</f>
        <v>0</v>
      </c>
      <c r="M333" s="11" t="str">
        <f t="shared" si="288"/>
        <v>0</v>
      </c>
      <c r="N333" s="12"/>
      <c r="O333" s="10">
        <f>+Risultati!I332+Risultati!J332</f>
        <v>0</v>
      </c>
      <c r="P333" s="11" t="str">
        <f t="shared" si="289"/>
        <v>0</v>
      </c>
      <c r="Q333" s="12"/>
      <c r="R333" s="13">
        <f t="shared" si="255"/>
        <v>0</v>
      </c>
      <c r="S333" s="11" t="str">
        <f t="shared" si="290"/>
        <v>0</v>
      </c>
      <c r="T333" s="12"/>
      <c r="U333" s="10">
        <f>+Risultati!F332-(Risultati!G332+Risultati!H332)</f>
        <v>0</v>
      </c>
      <c r="V333" s="12" t="str">
        <f t="shared" si="291"/>
        <v>0</v>
      </c>
      <c r="W333" s="12"/>
      <c r="X333" s="10">
        <f t="shared" si="256"/>
        <v>0</v>
      </c>
      <c r="Y333" s="12" t="str">
        <f t="shared" si="292"/>
        <v>0</v>
      </c>
      <c r="Z333" s="12"/>
      <c r="AA333" s="10">
        <f>+Risultati!K332</f>
        <v>0</v>
      </c>
      <c r="AB333" s="12" t="str">
        <f t="shared" si="293"/>
        <v>0</v>
      </c>
      <c r="AC333" s="12"/>
      <c r="AD333" s="10">
        <f>+Risultati!L332</f>
        <v>0</v>
      </c>
      <c r="AE333" s="12" t="str">
        <f t="shared" si="294"/>
        <v>0</v>
      </c>
      <c r="AF333" s="12"/>
      <c r="AG333" s="10">
        <f>+Risultati!M332+Risultati!P332+Risultati!Q332</f>
        <v>0</v>
      </c>
      <c r="AH333" s="12" t="str">
        <f t="shared" si="295"/>
        <v>0</v>
      </c>
      <c r="AI333" s="12"/>
      <c r="AJ333" s="13">
        <f t="shared" si="257"/>
        <v>0</v>
      </c>
      <c r="AK333" s="11" t="str">
        <f t="shared" si="296"/>
        <v>0</v>
      </c>
      <c r="AL333" s="12"/>
      <c r="AM333" s="10">
        <f>+Risultati!N332</f>
        <v>0</v>
      </c>
      <c r="AN333" s="12" t="str">
        <f t="shared" si="297"/>
        <v>0</v>
      </c>
      <c r="AO333" s="12"/>
      <c r="AP333" s="10">
        <f t="shared" si="258"/>
        <v>0</v>
      </c>
      <c r="AQ333" s="41" t="str">
        <f t="shared" si="298"/>
        <v>0</v>
      </c>
      <c r="AR333" s="12"/>
      <c r="AS333" s="10">
        <f>+Risultati!O332</f>
        <v>0</v>
      </c>
      <c r="AT333" s="12" t="str">
        <f t="shared" si="299"/>
        <v>0</v>
      </c>
      <c r="AU333" s="12"/>
      <c r="AV333" s="10">
        <f t="shared" si="259"/>
        <v>0</v>
      </c>
      <c r="AW333" s="12" t="str">
        <f t="shared" si="300"/>
        <v>0</v>
      </c>
      <c r="AX333" s="12"/>
      <c r="AY333" s="10">
        <f>+Risultati!R332+Risultati!S332</f>
        <v>0</v>
      </c>
      <c r="AZ333" s="12" t="str">
        <f t="shared" si="301"/>
        <v>0</v>
      </c>
      <c r="BA333" s="12"/>
      <c r="BB333" s="10">
        <f>+Risultati!T332</f>
        <v>0</v>
      </c>
      <c r="BC333" s="12" t="str">
        <f t="shared" si="302"/>
        <v>0</v>
      </c>
      <c r="BD333" s="12"/>
      <c r="BE333" s="10">
        <f>+Risultati!U332</f>
        <v>0</v>
      </c>
      <c r="BF333" s="12" t="str">
        <f t="shared" si="303"/>
        <v>0</v>
      </c>
      <c r="BG333" s="12"/>
      <c r="BH333" s="10">
        <f t="shared" si="260"/>
        <v>0</v>
      </c>
      <c r="BI333" s="12" t="str">
        <f t="shared" si="304"/>
        <v>0</v>
      </c>
      <c r="BK333" s="16">
        <f>IF(ISNUMBER(Risultati!X332/100),(Risultati!X332/100))</f>
        <v>0</v>
      </c>
      <c r="BL333" s="16">
        <f>IF(ISNUMBER(Risultati!Y332/100),(Risultati!Y332/100))</f>
        <v>0</v>
      </c>
      <c r="BM333" s="16">
        <f>IF(ISNUMBER(Risultati!Z332/100),(Risultati!Z332/100))</f>
        <v>0</v>
      </c>
      <c r="BN333" s="16">
        <f>IF(AND(Risultati!AY332&lt;0,calcoli!AP333&lt;0),-IF(ISNUMBER(Risultati!AA332/100),(Risultati!AA332/100)),IF(ISNUMBER(Risultati!AA332/100),(Risultati!AA332/100)))</f>
        <v>0</v>
      </c>
      <c r="BO333" s="16" t="str">
        <f t="shared" si="285"/>
        <v>0</v>
      </c>
      <c r="BP333" s="16" t="str">
        <f>IF(Risultati!AB332&gt;0,(AV333/Risultati!AB332),"0")</f>
        <v>0</v>
      </c>
      <c r="BQ333" s="16" t="str">
        <f>IF(Risultati!AG332&lt;&gt;0,(BH333/Risultati!AG332),"0")</f>
        <v>0</v>
      </c>
      <c r="BR333" s="16" t="str">
        <f t="shared" si="286"/>
        <v>0</v>
      </c>
      <c r="BS333" s="14" t="str">
        <f>IF(Risultati!AB332&gt;0,(Risultati!G332/Risultati!AB332),"0")</f>
        <v>0</v>
      </c>
      <c r="BT333" s="15" t="str">
        <f>IF(Risultati!AG332&lt;&gt;0,(Risultati!AB332/Risultati!AG332),"0")</f>
        <v>0</v>
      </c>
      <c r="BU333" s="23" t="str">
        <f>IF(AND(Risultati!G332&gt;0,(Risultati!AE332-Risultati!AF332)&gt;=0),((Risultati!AE332-Risultati!AF332)/Risultati!G332*360),"0")</f>
        <v>0</v>
      </c>
      <c r="BV333" s="21" t="str">
        <f>IF(OR(E333="abbreviato",Risultati!G332=0),"0",((Risultati!AC332+Risultati!AD332)/Risultati!G332*360))</f>
        <v>0</v>
      </c>
      <c r="BW333" s="21" t="str">
        <f>IF(OR(E333="abbreviato",Risultati!G332=0,SUM(Risultati!I332+Risultati!K332+Risultati!M332)=0),"0",(((Risultati!AH332+Risultati!AI332)/(Risultati!I332+Risultati!K332+Risultati!N332)*360)))</f>
        <v>0</v>
      </c>
      <c r="BX333" s="16" t="str">
        <f>IF(Risultati!AB332&gt;0,(+Risultati!AG332/Risultati!AB332),"0")</f>
        <v>0</v>
      </c>
      <c r="BY333" s="22" t="str">
        <f>IF(OR(E333="abbreviato",Risultati!G332=0),"0",(((Risultati!AK332-(Risultati!AL332+Risultati!AM332))/Risultati!G332)))</f>
        <v>0</v>
      </c>
      <c r="BZ333" s="16" t="str">
        <f>IF(Risultati!G332&gt;0,(Risultati!AJ332/Risultati!G332),"0")</f>
        <v>0</v>
      </c>
      <c r="CA333" s="8"/>
      <c r="CB333" s="9">
        <f>+Risultati!AP332</f>
        <v>0</v>
      </c>
      <c r="CC333" s="31" t="str">
        <f t="shared" si="261"/>
        <v>0</v>
      </c>
      <c r="CD333" s="9">
        <f>+Risultati!AQ332</f>
        <v>0</v>
      </c>
      <c r="CE333" s="31" t="str">
        <f t="shared" si="262"/>
        <v>0</v>
      </c>
      <c r="CF333" s="9">
        <f>+Risultati!AR332</f>
        <v>0</v>
      </c>
      <c r="CG333" s="31" t="str">
        <f t="shared" si="263"/>
        <v>0</v>
      </c>
      <c r="CH333" s="9">
        <f>+Risultati!AS332</f>
        <v>0</v>
      </c>
      <c r="CI333" s="31" t="str">
        <f t="shared" si="264"/>
        <v>0</v>
      </c>
      <c r="CJ333" s="9">
        <f t="shared" si="265"/>
        <v>0</v>
      </c>
      <c r="CK333" s="31" t="str">
        <f t="shared" si="266"/>
        <v>0</v>
      </c>
      <c r="CL333" s="10">
        <f>+Risultati!AE332+Risultati!AF332</f>
        <v>0</v>
      </c>
      <c r="CM333" s="31" t="str">
        <f t="shared" si="267"/>
        <v>0</v>
      </c>
      <c r="CN333" s="9">
        <f>+Risultati!AT332</f>
        <v>0</v>
      </c>
      <c r="CO333" s="31" t="str">
        <f t="shared" si="268"/>
        <v>0</v>
      </c>
      <c r="CP333" s="9">
        <f>+Risultati!AU332</f>
        <v>0</v>
      </c>
      <c r="CQ333" s="31" t="str">
        <f t="shared" si="269"/>
        <v>0</v>
      </c>
      <c r="CR333" s="9">
        <f>+Risultati!AL332</f>
        <v>0</v>
      </c>
      <c r="CS333" s="31" t="str">
        <f t="shared" si="270"/>
        <v>0</v>
      </c>
      <c r="CT333" s="9">
        <f t="shared" si="271"/>
        <v>0</v>
      </c>
      <c r="CU333" s="31" t="str">
        <f t="shared" si="272"/>
        <v>0</v>
      </c>
      <c r="CV333" s="9">
        <f>+Risultati!AX332</f>
        <v>0</v>
      </c>
      <c r="CW333" s="31" t="str">
        <f t="shared" si="273"/>
        <v>0</v>
      </c>
      <c r="CX333" s="9">
        <f t="shared" si="274"/>
        <v>0</v>
      </c>
      <c r="CY333" s="31" t="str">
        <f t="shared" si="275"/>
        <v>0</v>
      </c>
      <c r="CZ333" s="9">
        <f>+Risultati!AG332</f>
        <v>0</v>
      </c>
      <c r="DA333" s="31" t="str">
        <f t="shared" si="276"/>
        <v>0</v>
      </c>
      <c r="DB333" s="9">
        <f t="shared" si="277"/>
        <v>0</v>
      </c>
      <c r="DC333" s="31" t="str">
        <f t="shared" si="278"/>
        <v>0</v>
      </c>
      <c r="DD333" s="9">
        <f>+Risultati!AV332</f>
        <v>0</v>
      </c>
      <c r="DE333" s="31" t="str">
        <f t="shared" si="279"/>
        <v>0</v>
      </c>
      <c r="DF333" s="9">
        <f>+Risultati!AJ332</f>
        <v>0</v>
      </c>
      <c r="DG333" s="31" t="str">
        <f t="shared" si="280"/>
        <v>0</v>
      </c>
      <c r="DH333" s="9">
        <f t="shared" si="281"/>
        <v>0</v>
      </c>
      <c r="DI333" s="31" t="str">
        <f t="shared" si="282"/>
        <v>0</v>
      </c>
      <c r="DJ333" s="9">
        <f>+Risultati!AW332</f>
        <v>0</v>
      </c>
      <c r="DK333" s="31" t="str">
        <f t="shared" si="283"/>
        <v>0</v>
      </c>
      <c r="DL333" s="10">
        <f t="shared" si="305"/>
        <v>0</v>
      </c>
      <c r="DM333" s="31" t="str">
        <f t="shared" si="284"/>
        <v>0</v>
      </c>
      <c r="DO333" s="30"/>
      <c r="DP333" s="30"/>
    </row>
    <row r="334" spans="1:120" x14ac:dyDescent="0.2">
      <c r="A334" s="5"/>
      <c r="B334" s="6">
        <f>+Risultati!B333</f>
        <v>0</v>
      </c>
      <c r="C334" s="6">
        <f>+Risultati!C333</f>
        <v>0</v>
      </c>
      <c r="D334" s="26" t="str">
        <f>IF(YEAR(Risultati!D333)=1900,(MID(Risultati!$AP$1,29,4)),YEAR(Risultati!D333))</f>
        <v/>
      </c>
      <c r="E334" s="6">
        <f>+Risultati!E333</f>
        <v>0</v>
      </c>
      <c r="F334" s="8" t="e">
        <f>(LEFT(Risultati!AN333,2)&amp;"-")&amp;VLOOKUP((LEFT(Risultati!AN333,2)),ateco!$B$4:$C$93,2,FALSE)</f>
        <v>#N/A</v>
      </c>
      <c r="G334" s="8" t="str">
        <f>SUBSTITUTE((Risultati!AN333&amp;"-"&amp;Risultati!AO333),",",";")</f>
        <v>-</v>
      </c>
      <c r="I334" s="10">
        <f>+Risultati!G333</f>
        <v>0</v>
      </c>
      <c r="J334" s="11" t="str">
        <f t="shared" si="287"/>
        <v>0</v>
      </c>
      <c r="K334" s="12"/>
      <c r="L334" s="10">
        <f>+Risultati!G333+Risultati!H333</f>
        <v>0</v>
      </c>
      <c r="M334" s="11" t="str">
        <f t="shared" si="288"/>
        <v>0</v>
      </c>
      <c r="N334" s="12"/>
      <c r="O334" s="10">
        <f>+Risultati!I333+Risultati!J333</f>
        <v>0</v>
      </c>
      <c r="P334" s="11" t="str">
        <f t="shared" si="289"/>
        <v>0</v>
      </c>
      <c r="Q334" s="12"/>
      <c r="R334" s="13">
        <f t="shared" si="255"/>
        <v>0</v>
      </c>
      <c r="S334" s="11" t="str">
        <f t="shared" si="290"/>
        <v>0</v>
      </c>
      <c r="T334" s="12"/>
      <c r="U334" s="10">
        <f>+Risultati!F333-(Risultati!G333+Risultati!H333)</f>
        <v>0</v>
      </c>
      <c r="V334" s="12" t="str">
        <f t="shared" si="291"/>
        <v>0</v>
      </c>
      <c r="W334" s="12"/>
      <c r="X334" s="10">
        <f t="shared" si="256"/>
        <v>0</v>
      </c>
      <c r="Y334" s="12" t="str">
        <f t="shared" si="292"/>
        <v>0</v>
      </c>
      <c r="Z334" s="12"/>
      <c r="AA334" s="10">
        <f>+Risultati!K333</f>
        <v>0</v>
      </c>
      <c r="AB334" s="12" t="str">
        <f t="shared" si="293"/>
        <v>0</v>
      </c>
      <c r="AC334" s="12"/>
      <c r="AD334" s="10">
        <f>+Risultati!L333</f>
        <v>0</v>
      </c>
      <c r="AE334" s="12" t="str">
        <f t="shared" si="294"/>
        <v>0</v>
      </c>
      <c r="AF334" s="12"/>
      <c r="AG334" s="10">
        <f>+Risultati!M333+Risultati!P333+Risultati!Q333</f>
        <v>0</v>
      </c>
      <c r="AH334" s="12" t="str">
        <f t="shared" si="295"/>
        <v>0</v>
      </c>
      <c r="AI334" s="12"/>
      <c r="AJ334" s="13">
        <f t="shared" si="257"/>
        <v>0</v>
      </c>
      <c r="AK334" s="11" t="str">
        <f t="shared" si="296"/>
        <v>0</v>
      </c>
      <c r="AL334" s="12"/>
      <c r="AM334" s="10">
        <f>+Risultati!N333</f>
        <v>0</v>
      </c>
      <c r="AN334" s="12" t="str">
        <f t="shared" si="297"/>
        <v>0</v>
      </c>
      <c r="AO334" s="12"/>
      <c r="AP334" s="10">
        <f t="shared" si="258"/>
        <v>0</v>
      </c>
      <c r="AQ334" s="41" t="str">
        <f t="shared" si="298"/>
        <v>0</v>
      </c>
      <c r="AR334" s="12"/>
      <c r="AS334" s="10">
        <f>+Risultati!O333</f>
        <v>0</v>
      </c>
      <c r="AT334" s="12" t="str">
        <f t="shared" si="299"/>
        <v>0</v>
      </c>
      <c r="AU334" s="12"/>
      <c r="AV334" s="10">
        <f t="shared" si="259"/>
        <v>0</v>
      </c>
      <c r="AW334" s="12" t="str">
        <f t="shared" si="300"/>
        <v>0</v>
      </c>
      <c r="AX334" s="12"/>
      <c r="AY334" s="10">
        <f>+Risultati!R333+Risultati!S333</f>
        <v>0</v>
      </c>
      <c r="AZ334" s="12" t="str">
        <f t="shared" si="301"/>
        <v>0</v>
      </c>
      <c r="BA334" s="12"/>
      <c r="BB334" s="10">
        <f>+Risultati!T333</f>
        <v>0</v>
      </c>
      <c r="BC334" s="12" t="str">
        <f t="shared" si="302"/>
        <v>0</v>
      </c>
      <c r="BD334" s="12"/>
      <c r="BE334" s="10">
        <f>+Risultati!U333</f>
        <v>0</v>
      </c>
      <c r="BF334" s="12" t="str">
        <f t="shared" si="303"/>
        <v>0</v>
      </c>
      <c r="BG334" s="12"/>
      <c r="BH334" s="10">
        <f t="shared" si="260"/>
        <v>0</v>
      </c>
      <c r="BI334" s="12" t="str">
        <f t="shared" si="304"/>
        <v>0</v>
      </c>
      <c r="BK334" s="16">
        <f>IF(ISNUMBER(Risultati!X333/100),(Risultati!X333/100))</f>
        <v>0</v>
      </c>
      <c r="BL334" s="16">
        <f>IF(ISNUMBER(Risultati!Y333/100),(Risultati!Y333/100))</f>
        <v>0</v>
      </c>
      <c r="BM334" s="16">
        <f>IF(ISNUMBER(Risultati!Z333/100),(Risultati!Z333/100))</f>
        <v>0</v>
      </c>
      <c r="BN334" s="16">
        <f>IF(AND(Risultati!AY333&lt;0,calcoli!AP334&lt;0),-IF(ISNUMBER(Risultati!AA333/100),(Risultati!AA333/100)),IF(ISNUMBER(Risultati!AA333/100),(Risultati!AA333/100)))</f>
        <v>0</v>
      </c>
      <c r="BO334" s="16" t="str">
        <f t="shared" si="285"/>
        <v>0</v>
      </c>
      <c r="BP334" s="16" t="str">
        <f>IF(Risultati!AB333&gt;0,(AV334/Risultati!AB333),"0")</f>
        <v>0</v>
      </c>
      <c r="BQ334" s="16" t="str">
        <f>IF(Risultati!AG333&lt;&gt;0,(BH334/Risultati!AG333),"0")</f>
        <v>0</v>
      </c>
      <c r="BR334" s="16" t="str">
        <f t="shared" si="286"/>
        <v>0</v>
      </c>
      <c r="BS334" s="14" t="str">
        <f>IF(Risultati!AB333&gt;0,(Risultati!G333/Risultati!AB333),"0")</f>
        <v>0</v>
      </c>
      <c r="BT334" s="15" t="str">
        <f>IF(Risultati!AG333&lt;&gt;0,(Risultati!AB333/Risultati!AG333),"0")</f>
        <v>0</v>
      </c>
      <c r="BU334" s="23" t="str">
        <f>IF(AND(Risultati!G333&gt;0,(Risultati!AE333-Risultati!AF333)&gt;=0),((Risultati!AE333-Risultati!AF333)/Risultati!G333*360),"0")</f>
        <v>0</v>
      </c>
      <c r="BV334" s="21" t="str">
        <f>IF(OR(E334="abbreviato",Risultati!G333=0),"0",((Risultati!AC333+Risultati!AD333)/Risultati!G333*360))</f>
        <v>0</v>
      </c>
      <c r="BW334" s="21" t="str">
        <f>IF(OR(E334="abbreviato",Risultati!G333=0,SUM(Risultati!I333+Risultati!K333+Risultati!M333)=0),"0",(((Risultati!AH333+Risultati!AI333)/(Risultati!I333+Risultati!K333+Risultati!N333)*360)))</f>
        <v>0</v>
      </c>
      <c r="BX334" s="16" t="str">
        <f>IF(Risultati!AB333&gt;0,(+Risultati!AG333/Risultati!AB333),"0")</f>
        <v>0</v>
      </c>
      <c r="BY334" s="22" t="str">
        <f>IF(OR(E334="abbreviato",Risultati!G333=0),"0",(((Risultati!AK333-(Risultati!AL333+Risultati!AM333))/Risultati!G333)))</f>
        <v>0</v>
      </c>
      <c r="BZ334" s="16" t="str">
        <f>IF(Risultati!G333&gt;0,(Risultati!AJ333/Risultati!G333),"0")</f>
        <v>0</v>
      </c>
      <c r="CA334" s="8"/>
      <c r="CB334" s="9">
        <f>+Risultati!AP333</f>
        <v>0</v>
      </c>
      <c r="CC334" s="31" t="str">
        <f t="shared" si="261"/>
        <v>0</v>
      </c>
      <c r="CD334" s="9">
        <f>+Risultati!AQ333</f>
        <v>0</v>
      </c>
      <c r="CE334" s="31" t="str">
        <f t="shared" si="262"/>
        <v>0</v>
      </c>
      <c r="CF334" s="9">
        <f>+Risultati!AR333</f>
        <v>0</v>
      </c>
      <c r="CG334" s="31" t="str">
        <f t="shared" si="263"/>
        <v>0</v>
      </c>
      <c r="CH334" s="9">
        <f>+Risultati!AS333</f>
        <v>0</v>
      </c>
      <c r="CI334" s="31" t="str">
        <f t="shared" si="264"/>
        <v>0</v>
      </c>
      <c r="CJ334" s="9">
        <f t="shared" si="265"/>
        <v>0</v>
      </c>
      <c r="CK334" s="31" t="str">
        <f t="shared" si="266"/>
        <v>0</v>
      </c>
      <c r="CL334" s="10">
        <f>+Risultati!AE333+Risultati!AF333</f>
        <v>0</v>
      </c>
      <c r="CM334" s="31" t="str">
        <f t="shared" si="267"/>
        <v>0</v>
      </c>
      <c r="CN334" s="9">
        <f>+Risultati!AT333</f>
        <v>0</v>
      </c>
      <c r="CO334" s="31" t="str">
        <f t="shared" si="268"/>
        <v>0</v>
      </c>
      <c r="CP334" s="9">
        <f>+Risultati!AU333</f>
        <v>0</v>
      </c>
      <c r="CQ334" s="31" t="str">
        <f t="shared" si="269"/>
        <v>0</v>
      </c>
      <c r="CR334" s="9">
        <f>+Risultati!AL333</f>
        <v>0</v>
      </c>
      <c r="CS334" s="31" t="str">
        <f t="shared" si="270"/>
        <v>0</v>
      </c>
      <c r="CT334" s="9">
        <f t="shared" si="271"/>
        <v>0</v>
      </c>
      <c r="CU334" s="31" t="str">
        <f t="shared" si="272"/>
        <v>0</v>
      </c>
      <c r="CV334" s="9">
        <f>+Risultati!AX333</f>
        <v>0</v>
      </c>
      <c r="CW334" s="31" t="str">
        <f t="shared" si="273"/>
        <v>0</v>
      </c>
      <c r="CX334" s="9">
        <f t="shared" si="274"/>
        <v>0</v>
      </c>
      <c r="CY334" s="31" t="str">
        <f t="shared" si="275"/>
        <v>0</v>
      </c>
      <c r="CZ334" s="9">
        <f>+Risultati!AG333</f>
        <v>0</v>
      </c>
      <c r="DA334" s="31" t="str">
        <f t="shared" si="276"/>
        <v>0</v>
      </c>
      <c r="DB334" s="9">
        <f t="shared" si="277"/>
        <v>0</v>
      </c>
      <c r="DC334" s="31" t="str">
        <f t="shared" si="278"/>
        <v>0</v>
      </c>
      <c r="DD334" s="9">
        <f>+Risultati!AV333</f>
        <v>0</v>
      </c>
      <c r="DE334" s="31" t="str">
        <f t="shared" si="279"/>
        <v>0</v>
      </c>
      <c r="DF334" s="9">
        <f>+Risultati!AJ333</f>
        <v>0</v>
      </c>
      <c r="DG334" s="31" t="str">
        <f t="shared" si="280"/>
        <v>0</v>
      </c>
      <c r="DH334" s="9">
        <f t="shared" si="281"/>
        <v>0</v>
      </c>
      <c r="DI334" s="31" t="str">
        <f t="shared" si="282"/>
        <v>0</v>
      </c>
      <c r="DJ334" s="9">
        <f>+Risultati!AW333</f>
        <v>0</v>
      </c>
      <c r="DK334" s="31" t="str">
        <f t="shared" si="283"/>
        <v>0</v>
      </c>
      <c r="DL334" s="10">
        <f t="shared" si="305"/>
        <v>0</v>
      </c>
      <c r="DM334" s="31" t="str">
        <f t="shared" si="284"/>
        <v>0</v>
      </c>
      <c r="DO334" s="30"/>
      <c r="DP334" s="30"/>
    </row>
    <row r="335" spans="1:120" x14ac:dyDescent="0.2">
      <c r="A335" s="5"/>
      <c r="B335" s="6">
        <f>+Risultati!B334</f>
        <v>0</v>
      </c>
      <c r="C335" s="6">
        <f>+Risultati!C334</f>
        <v>0</v>
      </c>
      <c r="D335" s="26" t="str">
        <f>IF(YEAR(Risultati!D334)=1900,(MID(Risultati!$AP$1,29,4)),YEAR(Risultati!D334))</f>
        <v/>
      </c>
      <c r="E335" s="6">
        <f>+Risultati!E334</f>
        <v>0</v>
      </c>
      <c r="F335" s="8" t="e">
        <f>(LEFT(Risultati!AN334,2)&amp;"-")&amp;VLOOKUP((LEFT(Risultati!AN334,2)),ateco!$B$4:$C$93,2,FALSE)</f>
        <v>#N/A</v>
      </c>
      <c r="G335" s="8" t="str">
        <f>SUBSTITUTE((Risultati!AN334&amp;"-"&amp;Risultati!AO334),",",";")</f>
        <v>-</v>
      </c>
      <c r="I335" s="10">
        <f>+Risultati!G334</f>
        <v>0</v>
      </c>
      <c r="J335" s="11" t="str">
        <f t="shared" si="287"/>
        <v>0</v>
      </c>
      <c r="K335" s="12"/>
      <c r="L335" s="10">
        <f>+Risultati!G334+Risultati!H334</f>
        <v>0</v>
      </c>
      <c r="M335" s="11" t="str">
        <f t="shared" si="288"/>
        <v>0</v>
      </c>
      <c r="N335" s="12"/>
      <c r="O335" s="10">
        <f>+Risultati!I334+Risultati!J334</f>
        <v>0</v>
      </c>
      <c r="P335" s="11" t="str">
        <f t="shared" si="289"/>
        <v>0</v>
      </c>
      <c r="Q335" s="12"/>
      <c r="R335" s="13">
        <f t="shared" si="255"/>
        <v>0</v>
      </c>
      <c r="S335" s="11" t="str">
        <f t="shared" si="290"/>
        <v>0</v>
      </c>
      <c r="T335" s="12"/>
      <c r="U335" s="10">
        <f>+Risultati!F334-(Risultati!G334+Risultati!H334)</f>
        <v>0</v>
      </c>
      <c r="V335" s="12" t="str">
        <f t="shared" si="291"/>
        <v>0</v>
      </c>
      <c r="W335" s="12"/>
      <c r="X335" s="10">
        <f t="shared" si="256"/>
        <v>0</v>
      </c>
      <c r="Y335" s="12" t="str">
        <f t="shared" si="292"/>
        <v>0</v>
      </c>
      <c r="Z335" s="12"/>
      <c r="AA335" s="10">
        <f>+Risultati!K334</f>
        <v>0</v>
      </c>
      <c r="AB335" s="12" t="str">
        <f t="shared" si="293"/>
        <v>0</v>
      </c>
      <c r="AC335" s="12"/>
      <c r="AD335" s="10">
        <f>+Risultati!L334</f>
        <v>0</v>
      </c>
      <c r="AE335" s="12" t="str">
        <f t="shared" si="294"/>
        <v>0</v>
      </c>
      <c r="AF335" s="12"/>
      <c r="AG335" s="10">
        <f>+Risultati!M334+Risultati!P334+Risultati!Q334</f>
        <v>0</v>
      </c>
      <c r="AH335" s="12" t="str">
        <f t="shared" si="295"/>
        <v>0</v>
      </c>
      <c r="AI335" s="12"/>
      <c r="AJ335" s="13">
        <f t="shared" si="257"/>
        <v>0</v>
      </c>
      <c r="AK335" s="11" t="str">
        <f t="shared" si="296"/>
        <v>0</v>
      </c>
      <c r="AL335" s="12"/>
      <c r="AM335" s="10">
        <f>+Risultati!N334</f>
        <v>0</v>
      </c>
      <c r="AN335" s="12" t="str">
        <f t="shared" si="297"/>
        <v>0</v>
      </c>
      <c r="AO335" s="12"/>
      <c r="AP335" s="10">
        <f t="shared" si="258"/>
        <v>0</v>
      </c>
      <c r="AQ335" s="41" t="str">
        <f t="shared" si="298"/>
        <v>0</v>
      </c>
      <c r="AR335" s="12"/>
      <c r="AS335" s="10">
        <f>+Risultati!O334</f>
        <v>0</v>
      </c>
      <c r="AT335" s="12" t="str">
        <f t="shared" si="299"/>
        <v>0</v>
      </c>
      <c r="AU335" s="12"/>
      <c r="AV335" s="10">
        <f t="shared" si="259"/>
        <v>0</v>
      </c>
      <c r="AW335" s="12" t="str">
        <f t="shared" si="300"/>
        <v>0</v>
      </c>
      <c r="AX335" s="12"/>
      <c r="AY335" s="10">
        <f>+Risultati!R334+Risultati!S334</f>
        <v>0</v>
      </c>
      <c r="AZ335" s="12" t="str">
        <f t="shared" si="301"/>
        <v>0</v>
      </c>
      <c r="BA335" s="12"/>
      <c r="BB335" s="10">
        <f>+Risultati!T334</f>
        <v>0</v>
      </c>
      <c r="BC335" s="12" t="str">
        <f t="shared" si="302"/>
        <v>0</v>
      </c>
      <c r="BD335" s="12"/>
      <c r="BE335" s="10">
        <f>+Risultati!U334</f>
        <v>0</v>
      </c>
      <c r="BF335" s="12" t="str">
        <f t="shared" si="303"/>
        <v>0</v>
      </c>
      <c r="BG335" s="12"/>
      <c r="BH335" s="10">
        <f t="shared" si="260"/>
        <v>0</v>
      </c>
      <c r="BI335" s="12" t="str">
        <f t="shared" si="304"/>
        <v>0</v>
      </c>
      <c r="BK335" s="16">
        <f>IF(ISNUMBER(Risultati!X334/100),(Risultati!X334/100))</f>
        <v>0</v>
      </c>
      <c r="BL335" s="16">
        <f>IF(ISNUMBER(Risultati!Y334/100),(Risultati!Y334/100))</f>
        <v>0</v>
      </c>
      <c r="BM335" s="16">
        <f>IF(ISNUMBER(Risultati!Z334/100),(Risultati!Z334/100))</f>
        <v>0</v>
      </c>
      <c r="BN335" s="16">
        <f>IF(AND(Risultati!AY334&lt;0,calcoli!AP335&lt;0),-IF(ISNUMBER(Risultati!AA334/100),(Risultati!AA334/100)),IF(ISNUMBER(Risultati!AA334/100),(Risultati!AA334/100)))</f>
        <v>0</v>
      </c>
      <c r="BO335" s="16" t="str">
        <f t="shared" si="285"/>
        <v>0</v>
      </c>
      <c r="BP335" s="16" t="str">
        <f>IF(Risultati!AB334&gt;0,(AV335/Risultati!AB334),"0")</f>
        <v>0</v>
      </c>
      <c r="BQ335" s="16" t="str">
        <f>IF(Risultati!AG334&lt;&gt;0,(BH335/Risultati!AG334),"0")</f>
        <v>0</v>
      </c>
      <c r="BR335" s="16" t="str">
        <f t="shared" si="286"/>
        <v>0</v>
      </c>
      <c r="BS335" s="14" t="str">
        <f>IF(Risultati!AB334&gt;0,(Risultati!G334/Risultati!AB334),"0")</f>
        <v>0</v>
      </c>
      <c r="BT335" s="15" t="str">
        <f>IF(Risultati!AG334&lt;&gt;0,(Risultati!AB334/Risultati!AG334),"0")</f>
        <v>0</v>
      </c>
      <c r="BU335" s="23" t="str">
        <f>IF(AND(Risultati!G334&gt;0,(Risultati!AE334-Risultati!AF334)&gt;=0),((Risultati!AE334-Risultati!AF334)/Risultati!G334*360),"0")</f>
        <v>0</v>
      </c>
      <c r="BV335" s="21" t="str">
        <f>IF(OR(E335="abbreviato",Risultati!G334=0),"0",((Risultati!AC334+Risultati!AD334)/Risultati!G334*360))</f>
        <v>0</v>
      </c>
      <c r="BW335" s="21" t="str">
        <f>IF(OR(E335="abbreviato",Risultati!G334=0,SUM(Risultati!I334+Risultati!K334+Risultati!M334)=0),"0",(((Risultati!AH334+Risultati!AI334)/(Risultati!I334+Risultati!K334+Risultati!N334)*360)))</f>
        <v>0</v>
      </c>
      <c r="BX335" s="16" t="str">
        <f>IF(Risultati!AB334&gt;0,(+Risultati!AG334/Risultati!AB334),"0")</f>
        <v>0</v>
      </c>
      <c r="BY335" s="22" t="str">
        <f>IF(OR(E335="abbreviato",Risultati!G334=0),"0",(((Risultati!AK334-(Risultati!AL334+Risultati!AM334))/Risultati!G334)))</f>
        <v>0</v>
      </c>
      <c r="BZ335" s="16" t="str">
        <f>IF(Risultati!G334&gt;0,(Risultati!AJ334/Risultati!G334),"0")</f>
        <v>0</v>
      </c>
      <c r="CA335" s="8"/>
      <c r="CB335" s="9">
        <f>+Risultati!AP334</f>
        <v>0</v>
      </c>
      <c r="CC335" s="31" t="str">
        <f t="shared" si="261"/>
        <v>0</v>
      </c>
      <c r="CD335" s="9">
        <f>+Risultati!AQ334</f>
        <v>0</v>
      </c>
      <c r="CE335" s="31" t="str">
        <f t="shared" si="262"/>
        <v>0</v>
      </c>
      <c r="CF335" s="9">
        <f>+Risultati!AR334</f>
        <v>0</v>
      </c>
      <c r="CG335" s="31" t="str">
        <f t="shared" si="263"/>
        <v>0</v>
      </c>
      <c r="CH335" s="9">
        <f>+Risultati!AS334</f>
        <v>0</v>
      </c>
      <c r="CI335" s="31" t="str">
        <f t="shared" si="264"/>
        <v>0</v>
      </c>
      <c r="CJ335" s="9">
        <f t="shared" si="265"/>
        <v>0</v>
      </c>
      <c r="CK335" s="31" t="str">
        <f t="shared" si="266"/>
        <v>0</v>
      </c>
      <c r="CL335" s="10">
        <f>+Risultati!AE334+Risultati!AF334</f>
        <v>0</v>
      </c>
      <c r="CM335" s="31" t="str">
        <f t="shared" si="267"/>
        <v>0</v>
      </c>
      <c r="CN335" s="9">
        <f>+Risultati!AT334</f>
        <v>0</v>
      </c>
      <c r="CO335" s="31" t="str">
        <f t="shared" si="268"/>
        <v>0</v>
      </c>
      <c r="CP335" s="9">
        <f>+Risultati!AU334</f>
        <v>0</v>
      </c>
      <c r="CQ335" s="31" t="str">
        <f t="shared" si="269"/>
        <v>0</v>
      </c>
      <c r="CR335" s="9">
        <f>+Risultati!AL334</f>
        <v>0</v>
      </c>
      <c r="CS335" s="31" t="str">
        <f t="shared" si="270"/>
        <v>0</v>
      </c>
      <c r="CT335" s="9">
        <f t="shared" si="271"/>
        <v>0</v>
      </c>
      <c r="CU335" s="31" t="str">
        <f t="shared" si="272"/>
        <v>0</v>
      </c>
      <c r="CV335" s="9">
        <f>+Risultati!AX334</f>
        <v>0</v>
      </c>
      <c r="CW335" s="31" t="str">
        <f t="shared" si="273"/>
        <v>0</v>
      </c>
      <c r="CX335" s="9">
        <f t="shared" si="274"/>
        <v>0</v>
      </c>
      <c r="CY335" s="31" t="str">
        <f t="shared" si="275"/>
        <v>0</v>
      </c>
      <c r="CZ335" s="9">
        <f>+Risultati!AG334</f>
        <v>0</v>
      </c>
      <c r="DA335" s="31" t="str">
        <f t="shared" si="276"/>
        <v>0</v>
      </c>
      <c r="DB335" s="9">
        <f t="shared" si="277"/>
        <v>0</v>
      </c>
      <c r="DC335" s="31" t="str">
        <f t="shared" si="278"/>
        <v>0</v>
      </c>
      <c r="DD335" s="9">
        <f>+Risultati!AV334</f>
        <v>0</v>
      </c>
      <c r="DE335" s="31" t="str">
        <f t="shared" si="279"/>
        <v>0</v>
      </c>
      <c r="DF335" s="9">
        <f>+Risultati!AJ334</f>
        <v>0</v>
      </c>
      <c r="DG335" s="31" t="str">
        <f t="shared" si="280"/>
        <v>0</v>
      </c>
      <c r="DH335" s="9">
        <f t="shared" si="281"/>
        <v>0</v>
      </c>
      <c r="DI335" s="31" t="str">
        <f t="shared" si="282"/>
        <v>0</v>
      </c>
      <c r="DJ335" s="9">
        <f>+Risultati!AW334</f>
        <v>0</v>
      </c>
      <c r="DK335" s="31" t="str">
        <f t="shared" si="283"/>
        <v>0</v>
      </c>
      <c r="DL335" s="10">
        <f t="shared" si="305"/>
        <v>0</v>
      </c>
      <c r="DM335" s="31" t="str">
        <f t="shared" si="284"/>
        <v>0</v>
      </c>
      <c r="DO335" s="30"/>
      <c r="DP335" s="30"/>
    </row>
    <row r="336" spans="1:120" x14ac:dyDescent="0.2">
      <c r="A336" s="5"/>
      <c r="B336" s="6">
        <f>+Risultati!B335</f>
        <v>0</v>
      </c>
      <c r="C336" s="6">
        <f>+Risultati!C335</f>
        <v>0</v>
      </c>
      <c r="D336" s="26" t="str">
        <f>IF(YEAR(Risultati!D335)=1900,(MID(Risultati!$AP$1,29,4)),YEAR(Risultati!D335))</f>
        <v/>
      </c>
      <c r="E336" s="6">
        <f>+Risultati!E335</f>
        <v>0</v>
      </c>
      <c r="F336" s="8" t="e">
        <f>(LEFT(Risultati!AN335,2)&amp;"-")&amp;VLOOKUP((LEFT(Risultati!AN335,2)),ateco!$B$4:$C$93,2,FALSE)</f>
        <v>#N/A</v>
      </c>
      <c r="G336" s="8" t="str">
        <f>SUBSTITUTE((Risultati!AN335&amp;"-"&amp;Risultati!AO335),",",";")</f>
        <v>-</v>
      </c>
      <c r="I336" s="10">
        <f>+Risultati!G335</f>
        <v>0</v>
      </c>
      <c r="J336" s="11" t="str">
        <f t="shared" si="287"/>
        <v>0</v>
      </c>
      <c r="K336" s="12"/>
      <c r="L336" s="10">
        <f>+Risultati!G335+Risultati!H335</f>
        <v>0</v>
      </c>
      <c r="M336" s="11" t="str">
        <f t="shared" si="288"/>
        <v>0</v>
      </c>
      <c r="N336" s="12"/>
      <c r="O336" s="10">
        <f>+Risultati!I335+Risultati!J335</f>
        <v>0</v>
      </c>
      <c r="P336" s="11" t="str">
        <f t="shared" si="289"/>
        <v>0</v>
      </c>
      <c r="Q336" s="12"/>
      <c r="R336" s="13">
        <f t="shared" si="255"/>
        <v>0</v>
      </c>
      <c r="S336" s="11" t="str">
        <f t="shared" si="290"/>
        <v>0</v>
      </c>
      <c r="T336" s="12"/>
      <c r="U336" s="10">
        <f>+Risultati!F335-(Risultati!G335+Risultati!H335)</f>
        <v>0</v>
      </c>
      <c r="V336" s="12" t="str">
        <f t="shared" si="291"/>
        <v>0</v>
      </c>
      <c r="W336" s="12"/>
      <c r="X336" s="10">
        <f t="shared" si="256"/>
        <v>0</v>
      </c>
      <c r="Y336" s="12" t="str">
        <f t="shared" si="292"/>
        <v>0</v>
      </c>
      <c r="Z336" s="12"/>
      <c r="AA336" s="10">
        <f>+Risultati!K335</f>
        <v>0</v>
      </c>
      <c r="AB336" s="12" t="str">
        <f t="shared" si="293"/>
        <v>0</v>
      </c>
      <c r="AC336" s="12"/>
      <c r="AD336" s="10">
        <f>+Risultati!L335</f>
        <v>0</v>
      </c>
      <c r="AE336" s="12" t="str">
        <f t="shared" si="294"/>
        <v>0</v>
      </c>
      <c r="AF336" s="12"/>
      <c r="AG336" s="10">
        <f>+Risultati!M335+Risultati!P335+Risultati!Q335</f>
        <v>0</v>
      </c>
      <c r="AH336" s="12" t="str">
        <f t="shared" si="295"/>
        <v>0</v>
      </c>
      <c r="AI336" s="12"/>
      <c r="AJ336" s="13">
        <f t="shared" si="257"/>
        <v>0</v>
      </c>
      <c r="AK336" s="11" t="str">
        <f t="shared" si="296"/>
        <v>0</v>
      </c>
      <c r="AL336" s="12"/>
      <c r="AM336" s="10">
        <f>+Risultati!N335</f>
        <v>0</v>
      </c>
      <c r="AN336" s="12" t="str">
        <f t="shared" si="297"/>
        <v>0</v>
      </c>
      <c r="AO336" s="12"/>
      <c r="AP336" s="10">
        <f t="shared" si="258"/>
        <v>0</v>
      </c>
      <c r="AQ336" s="41" t="str">
        <f t="shared" si="298"/>
        <v>0</v>
      </c>
      <c r="AR336" s="12"/>
      <c r="AS336" s="10">
        <f>+Risultati!O335</f>
        <v>0</v>
      </c>
      <c r="AT336" s="12" t="str">
        <f t="shared" si="299"/>
        <v>0</v>
      </c>
      <c r="AU336" s="12"/>
      <c r="AV336" s="10">
        <f t="shared" si="259"/>
        <v>0</v>
      </c>
      <c r="AW336" s="12" t="str">
        <f t="shared" si="300"/>
        <v>0</v>
      </c>
      <c r="AX336" s="12"/>
      <c r="AY336" s="10">
        <f>+Risultati!R335+Risultati!S335</f>
        <v>0</v>
      </c>
      <c r="AZ336" s="12" t="str">
        <f t="shared" si="301"/>
        <v>0</v>
      </c>
      <c r="BA336" s="12"/>
      <c r="BB336" s="10">
        <f>+Risultati!T335</f>
        <v>0</v>
      </c>
      <c r="BC336" s="12" t="str">
        <f t="shared" si="302"/>
        <v>0</v>
      </c>
      <c r="BD336" s="12"/>
      <c r="BE336" s="10">
        <f>+Risultati!U335</f>
        <v>0</v>
      </c>
      <c r="BF336" s="12" t="str">
        <f t="shared" si="303"/>
        <v>0</v>
      </c>
      <c r="BG336" s="12"/>
      <c r="BH336" s="10">
        <f t="shared" si="260"/>
        <v>0</v>
      </c>
      <c r="BI336" s="12" t="str">
        <f t="shared" si="304"/>
        <v>0</v>
      </c>
      <c r="BK336" s="16">
        <f>IF(ISNUMBER(Risultati!X335/100),(Risultati!X335/100))</f>
        <v>0</v>
      </c>
      <c r="BL336" s="16">
        <f>IF(ISNUMBER(Risultati!Y335/100),(Risultati!Y335/100))</f>
        <v>0</v>
      </c>
      <c r="BM336" s="16">
        <f>IF(ISNUMBER(Risultati!Z335/100),(Risultati!Z335/100))</f>
        <v>0</v>
      </c>
      <c r="BN336" s="16">
        <f>IF(AND(Risultati!AY335&lt;0,calcoli!AP336&lt;0),-IF(ISNUMBER(Risultati!AA335/100),(Risultati!AA335/100)),IF(ISNUMBER(Risultati!AA335/100),(Risultati!AA335/100)))</f>
        <v>0</v>
      </c>
      <c r="BO336" s="16" t="str">
        <f t="shared" si="285"/>
        <v>0</v>
      </c>
      <c r="BP336" s="16" t="str">
        <f>IF(Risultati!AB335&gt;0,(AV336/Risultati!AB335),"0")</f>
        <v>0</v>
      </c>
      <c r="BQ336" s="16" t="str">
        <f>IF(Risultati!AG335&lt;&gt;0,(BH336/Risultati!AG335),"0")</f>
        <v>0</v>
      </c>
      <c r="BR336" s="16" t="str">
        <f t="shared" si="286"/>
        <v>0</v>
      </c>
      <c r="BS336" s="14" t="str">
        <f>IF(Risultati!AB335&gt;0,(Risultati!G335/Risultati!AB335),"0")</f>
        <v>0</v>
      </c>
      <c r="BT336" s="15" t="str">
        <f>IF(Risultati!AG335&lt;&gt;0,(Risultati!AB335/Risultati!AG335),"0")</f>
        <v>0</v>
      </c>
      <c r="BU336" s="23" t="str">
        <f>IF(AND(Risultati!G335&gt;0,(Risultati!AE335-Risultati!AF335)&gt;=0),((Risultati!AE335-Risultati!AF335)/Risultati!G335*360),"0")</f>
        <v>0</v>
      </c>
      <c r="BV336" s="21" t="str">
        <f>IF(OR(E336="abbreviato",Risultati!G335=0),"0",((Risultati!AC335+Risultati!AD335)/Risultati!G335*360))</f>
        <v>0</v>
      </c>
      <c r="BW336" s="21" t="str">
        <f>IF(OR(E336="abbreviato",Risultati!G335=0,SUM(Risultati!I335+Risultati!K335+Risultati!M335)=0),"0",(((Risultati!AH335+Risultati!AI335)/(Risultati!I335+Risultati!K335+Risultati!N335)*360)))</f>
        <v>0</v>
      </c>
      <c r="BX336" s="16" t="str">
        <f>IF(Risultati!AB335&gt;0,(+Risultati!AG335/Risultati!AB335),"0")</f>
        <v>0</v>
      </c>
      <c r="BY336" s="22" t="str">
        <f>IF(OR(E336="abbreviato",Risultati!G335=0),"0",(((Risultati!AK335-(Risultati!AL335+Risultati!AM335))/Risultati!G335)))</f>
        <v>0</v>
      </c>
      <c r="BZ336" s="16" t="str">
        <f>IF(Risultati!G335&gt;0,(Risultati!AJ335/Risultati!G335),"0")</f>
        <v>0</v>
      </c>
      <c r="CA336" s="8"/>
      <c r="CB336" s="9">
        <f>+Risultati!AP335</f>
        <v>0</v>
      </c>
      <c r="CC336" s="31" t="str">
        <f t="shared" si="261"/>
        <v>0</v>
      </c>
      <c r="CD336" s="9">
        <f>+Risultati!AQ335</f>
        <v>0</v>
      </c>
      <c r="CE336" s="31" t="str">
        <f t="shared" si="262"/>
        <v>0</v>
      </c>
      <c r="CF336" s="9">
        <f>+Risultati!AR335</f>
        <v>0</v>
      </c>
      <c r="CG336" s="31" t="str">
        <f t="shared" si="263"/>
        <v>0</v>
      </c>
      <c r="CH336" s="9">
        <f>+Risultati!AS335</f>
        <v>0</v>
      </c>
      <c r="CI336" s="31" t="str">
        <f t="shared" si="264"/>
        <v>0</v>
      </c>
      <c r="CJ336" s="9">
        <f t="shared" si="265"/>
        <v>0</v>
      </c>
      <c r="CK336" s="31" t="str">
        <f t="shared" si="266"/>
        <v>0</v>
      </c>
      <c r="CL336" s="10">
        <f>+Risultati!AE335+Risultati!AF335</f>
        <v>0</v>
      </c>
      <c r="CM336" s="31" t="str">
        <f t="shared" si="267"/>
        <v>0</v>
      </c>
      <c r="CN336" s="9">
        <f>+Risultati!AT335</f>
        <v>0</v>
      </c>
      <c r="CO336" s="31" t="str">
        <f t="shared" si="268"/>
        <v>0</v>
      </c>
      <c r="CP336" s="9">
        <f>+Risultati!AU335</f>
        <v>0</v>
      </c>
      <c r="CQ336" s="31" t="str">
        <f t="shared" si="269"/>
        <v>0</v>
      </c>
      <c r="CR336" s="9">
        <f>+Risultati!AL335</f>
        <v>0</v>
      </c>
      <c r="CS336" s="31" t="str">
        <f t="shared" si="270"/>
        <v>0</v>
      </c>
      <c r="CT336" s="9">
        <f t="shared" si="271"/>
        <v>0</v>
      </c>
      <c r="CU336" s="31" t="str">
        <f t="shared" si="272"/>
        <v>0</v>
      </c>
      <c r="CV336" s="9">
        <f>+Risultati!AX335</f>
        <v>0</v>
      </c>
      <c r="CW336" s="31" t="str">
        <f t="shared" si="273"/>
        <v>0</v>
      </c>
      <c r="CX336" s="9">
        <f t="shared" si="274"/>
        <v>0</v>
      </c>
      <c r="CY336" s="31" t="str">
        <f t="shared" si="275"/>
        <v>0</v>
      </c>
      <c r="CZ336" s="9">
        <f>+Risultati!AG335</f>
        <v>0</v>
      </c>
      <c r="DA336" s="31" t="str">
        <f t="shared" si="276"/>
        <v>0</v>
      </c>
      <c r="DB336" s="9">
        <f t="shared" si="277"/>
        <v>0</v>
      </c>
      <c r="DC336" s="31" t="str">
        <f t="shared" si="278"/>
        <v>0</v>
      </c>
      <c r="DD336" s="9">
        <f>+Risultati!AV335</f>
        <v>0</v>
      </c>
      <c r="DE336" s="31" t="str">
        <f t="shared" si="279"/>
        <v>0</v>
      </c>
      <c r="DF336" s="9">
        <f>+Risultati!AJ335</f>
        <v>0</v>
      </c>
      <c r="DG336" s="31" t="str">
        <f t="shared" si="280"/>
        <v>0</v>
      </c>
      <c r="DH336" s="9">
        <f t="shared" si="281"/>
        <v>0</v>
      </c>
      <c r="DI336" s="31" t="str">
        <f t="shared" si="282"/>
        <v>0</v>
      </c>
      <c r="DJ336" s="9">
        <f>+Risultati!AW335</f>
        <v>0</v>
      </c>
      <c r="DK336" s="31" t="str">
        <f t="shared" si="283"/>
        <v>0</v>
      </c>
      <c r="DL336" s="10">
        <f t="shared" si="305"/>
        <v>0</v>
      </c>
      <c r="DM336" s="31" t="str">
        <f t="shared" si="284"/>
        <v>0</v>
      </c>
      <c r="DO336" s="30"/>
      <c r="DP336" s="30"/>
    </row>
    <row r="337" spans="1:120" x14ac:dyDescent="0.2">
      <c r="A337" s="5"/>
      <c r="B337" s="6">
        <f>+Risultati!B336</f>
        <v>0</v>
      </c>
      <c r="C337" s="6">
        <f>+Risultati!C336</f>
        <v>0</v>
      </c>
      <c r="D337" s="26" t="str">
        <f>IF(YEAR(Risultati!D336)=1900,(MID(Risultati!$AP$1,29,4)),YEAR(Risultati!D336))</f>
        <v/>
      </c>
      <c r="E337" s="6">
        <f>+Risultati!E336</f>
        <v>0</v>
      </c>
      <c r="F337" s="8" t="e">
        <f>(LEFT(Risultati!AN336,2)&amp;"-")&amp;VLOOKUP((LEFT(Risultati!AN336,2)),ateco!$B$4:$C$93,2,FALSE)</f>
        <v>#N/A</v>
      </c>
      <c r="G337" s="8" t="str">
        <f>SUBSTITUTE((Risultati!AN336&amp;"-"&amp;Risultati!AO336),",",";")</f>
        <v>-</v>
      </c>
      <c r="I337" s="10">
        <f>+Risultati!G336</f>
        <v>0</v>
      </c>
      <c r="J337" s="11" t="str">
        <f t="shared" si="287"/>
        <v>0</v>
      </c>
      <c r="K337" s="12"/>
      <c r="L337" s="10">
        <f>+Risultati!G336+Risultati!H336</f>
        <v>0</v>
      </c>
      <c r="M337" s="11" t="str">
        <f t="shared" si="288"/>
        <v>0</v>
      </c>
      <c r="N337" s="12"/>
      <c r="O337" s="10">
        <f>+Risultati!I336+Risultati!J336</f>
        <v>0</v>
      </c>
      <c r="P337" s="11" t="str">
        <f t="shared" si="289"/>
        <v>0</v>
      </c>
      <c r="Q337" s="12"/>
      <c r="R337" s="13">
        <f t="shared" si="255"/>
        <v>0</v>
      </c>
      <c r="S337" s="11" t="str">
        <f t="shared" si="290"/>
        <v>0</v>
      </c>
      <c r="T337" s="12"/>
      <c r="U337" s="10">
        <f>+Risultati!F336-(Risultati!G336+Risultati!H336)</f>
        <v>0</v>
      </c>
      <c r="V337" s="12" t="str">
        <f t="shared" si="291"/>
        <v>0</v>
      </c>
      <c r="W337" s="12"/>
      <c r="X337" s="10">
        <f t="shared" si="256"/>
        <v>0</v>
      </c>
      <c r="Y337" s="12" t="str">
        <f t="shared" si="292"/>
        <v>0</v>
      </c>
      <c r="Z337" s="12"/>
      <c r="AA337" s="10">
        <f>+Risultati!K336</f>
        <v>0</v>
      </c>
      <c r="AB337" s="12" t="str">
        <f t="shared" si="293"/>
        <v>0</v>
      </c>
      <c r="AC337" s="12"/>
      <c r="AD337" s="10">
        <f>+Risultati!L336</f>
        <v>0</v>
      </c>
      <c r="AE337" s="12" t="str">
        <f t="shared" si="294"/>
        <v>0</v>
      </c>
      <c r="AF337" s="12"/>
      <c r="AG337" s="10">
        <f>+Risultati!M336+Risultati!P336+Risultati!Q336</f>
        <v>0</v>
      </c>
      <c r="AH337" s="12" t="str">
        <f t="shared" si="295"/>
        <v>0</v>
      </c>
      <c r="AI337" s="12"/>
      <c r="AJ337" s="13">
        <f t="shared" si="257"/>
        <v>0</v>
      </c>
      <c r="AK337" s="11" t="str">
        <f t="shared" si="296"/>
        <v>0</v>
      </c>
      <c r="AL337" s="12"/>
      <c r="AM337" s="10">
        <f>+Risultati!N336</f>
        <v>0</v>
      </c>
      <c r="AN337" s="12" t="str">
        <f t="shared" si="297"/>
        <v>0</v>
      </c>
      <c r="AO337" s="12"/>
      <c r="AP337" s="10">
        <f t="shared" si="258"/>
        <v>0</v>
      </c>
      <c r="AQ337" s="41" t="str">
        <f t="shared" si="298"/>
        <v>0</v>
      </c>
      <c r="AR337" s="12"/>
      <c r="AS337" s="10">
        <f>+Risultati!O336</f>
        <v>0</v>
      </c>
      <c r="AT337" s="12" t="str">
        <f t="shared" si="299"/>
        <v>0</v>
      </c>
      <c r="AU337" s="12"/>
      <c r="AV337" s="10">
        <f t="shared" si="259"/>
        <v>0</v>
      </c>
      <c r="AW337" s="12" t="str">
        <f t="shared" si="300"/>
        <v>0</v>
      </c>
      <c r="AX337" s="12"/>
      <c r="AY337" s="10">
        <f>+Risultati!R336+Risultati!S336</f>
        <v>0</v>
      </c>
      <c r="AZ337" s="12" t="str">
        <f t="shared" si="301"/>
        <v>0</v>
      </c>
      <c r="BA337" s="12"/>
      <c r="BB337" s="10">
        <f>+Risultati!T336</f>
        <v>0</v>
      </c>
      <c r="BC337" s="12" t="str">
        <f t="shared" si="302"/>
        <v>0</v>
      </c>
      <c r="BD337" s="12"/>
      <c r="BE337" s="10">
        <f>+Risultati!U336</f>
        <v>0</v>
      </c>
      <c r="BF337" s="12" t="str">
        <f t="shared" si="303"/>
        <v>0</v>
      </c>
      <c r="BG337" s="12"/>
      <c r="BH337" s="10">
        <f t="shared" si="260"/>
        <v>0</v>
      </c>
      <c r="BI337" s="12" t="str">
        <f t="shared" si="304"/>
        <v>0</v>
      </c>
      <c r="BK337" s="16">
        <f>IF(ISNUMBER(Risultati!X336/100),(Risultati!X336/100))</f>
        <v>0</v>
      </c>
      <c r="BL337" s="16">
        <f>IF(ISNUMBER(Risultati!Y336/100),(Risultati!Y336/100))</f>
        <v>0</v>
      </c>
      <c r="BM337" s="16">
        <f>IF(ISNUMBER(Risultati!Z336/100),(Risultati!Z336/100))</f>
        <v>0</v>
      </c>
      <c r="BN337" s="16">
        <f>IF(AND(Risultati!AY336&lt;0,calcoli!AP337&lt;0),-IF(ISNUMBER(Risultati!AA336/100),(Risultati!AA336/100)),IF(ISNUMBER(Risultati!AA336/100),(Risultati!AA336/100)))</f>
        <v>0</v>
      </c>
      <c r="BO337" s="16" t="str">
        <f t="shared" si="285"/>
        <v>0</v>
      </c>
      <c r="BP337" s="16" t="str">
        <f>IF(Risultati!AB336&gt;0,(AV337/Risultati!AB336),"0")</f>
        <v>0</v>
      </c>
      <c r="BQ337" s="16" t="str">
        <f>IF(Risultati!AG336&lt;&gt;0,(BH337/Risultati!AG336),"0")</f>
        <v>0</v>
      </c>
      <c r="BR337" s="16" t="str">
        <f t="shared" si="286"/>
        <v>0</v>
      </c>
      <c r="BS337" s="14" t="str">
        <f>IF(Risultati!AB336&gt;0,(Risultati!G336/Risultati!AB336),"0")</f>
        <v>0</v>
      </c>
      <c r="BT337" s="15" t="str">
        <f>IF(Risultati!AG336&lt;&gt;0,(Risultati!AB336/Risultati!AG336),"0")</f>
        <v>0</v>
      </c>
      <c r="BU337" s="23" t="str">
        <f>IF(AND(Risultati!G336&gt;0,(Risultati!AE336-Risultati!AF336)&gt;=0),((Risultati!AE336-Risultati!AF336)/Risultati!G336*360),"0")</f>
        <v>0</v>
      </c>
      <c r="BV337" s="21" t="str">
        <f>IF(OR(E337="abbreviato",Risultati!G336=0),"0",((Risultati!AC336+Risultati!AD336)/Risultati!G336*360))</f>
        <v>0</v>
      </c>
      <c r="BW337" s="21" t="str">
        <f>IF(OR(E337="abbreviato",Risultati!G336=0,SUM(Risultati!I336+Risultati!K336+Risultati!M336)=0),"0",(((Risultati!AH336+Risultati!AI336)/(Risultati!I336+Risultati!K336+Risultati!N336)*360)))</f>
        <v>0</v>
      </c>
      <c r="BX337" s="16" t="str">
        <f>IF(Risultati!AB336&gt;0,(+Risultati!AG336/Risultati!AB336),"0")</f>
        <v>0</v>
      </c>
      <c r="BY337" s="22" t="str">
        <f>IF(OR(E337="abbreviato",Risultati!G336=0),"0",(((Risultati!AK336-(Risultati!AL336+Risultati!AM336))/Risultati!G336)))</f>
        <v>0</v>
      </c>
      <c r="BZ337" s="16" t="str">
        <f>IF(Risultati!G336&gt;0,(Risultati!AJ336/Risultati!G336),"0")</f>
        <v>0</v>
      </c>
      <c r="CA337" s="8"/>
      <c r="CB337" s="9">
        <f>+Risultati!AP336</f>
        <v>0</v>
      </c>
      <c r="CC337" s="31" t="str">
        <f t="shared" si="261"/>
        <v>0</v>
      </c>
      <c r="CD337" s="9">
        <f>+Risultati!AQ336</f>
        <v>0</v>
      </c>
      <c r="CE337" s="31" t="str">
        <f t="shared" si="262"/>
        <v>0</v>
      </c>
      <c r="CF337" s="9">
        <f>+Risultati!AR336</f>
        <v>0</v>
      </c>
      <c r="CG337" s="31" t="str">
        <f t="shared" si="263"/>
        <v>0</v>
      </c>
      <c r="CH337" s="9">
        <f>+Risultati!AS336</f>
        <v>0</v>
      </c>
      <c r="CI337" s="31" t="str">
        <f t="shared" si="264"/>
        <v>0</v>
      </c>
      <c r="CJ337" s="9">
        <f t="shared" si="265"/>
        <v>0</v>
      </c>
      <c r="CK337" s="31" t="str">
        <f t="shared" si="266"/>
        <v>0</v>
      </c>
      <c r="CL337" s="10">
        <f>+Risultati!AE336+Risultati!AF336</f>
        <v>0</v>
      </c>
      <c r="CM337" s="31" t="str">
        <f t="shared" si="267"/>
        <v>0</v>
      </c>
      <c r="CN337" s="9">
        <f>+Risultati!AT336</f>
        <v>0</v>
      </c>
      <c r="CO337" s="31" t="str">
        <f t="shared" si="268"/>
        <v>0</v>
      </c>
      <c r="CP337" s="9">
        <f>+Risultati!AU336</f>
        <v>0</v>
      </c>
      <c r="CQ337" s="31" t="str">
        <f t="shared" si="269"/>
        <v>0</v>
      </c>
      <c r="CR337" s="9">
        <f>+Risultati!AL336</f>
        <v>0</v>
      </c>
      <c r="CS337" s="31" t="str">
        <f t="shared" si="270"/>
        <v>0</v>
      </c>
      <c r="CT337" s="9">
        <f t="shared" si="271"/>
        <v>0</v>
      </c>
      <c r="CU337" s="31" t="str">
        <f t="shared" si="272"/>
        <v>0</v>
      </c>
      <c r="CV337" s="9">
        <f>+Risultati!AX336</f>
        <v>0</v>
      </c>
      <c r="CW337" s="31" t="str">
        <f t="shared" si="273"/>
        <v>0</v>
      </c>
      <c r="CX337" s="9">
        <f t="shared" si="274"/>
        <v>0</v>
      </c>
      <c r="CY337" s="31" t="str">
        <f t="shared" si="275"/>
        <v>0</v>
      </c>
      <c r="CZ337" s="9">
        <f>+Risultati!AG336</f>
        <v>0</v>
      </c>
      <c r="DA337" s="31" t="str">
        <f t="shared" si="276"/>
        <v>0</v>
      </c>
      <c r="DB337" s="9">
        <f t="shared" si="277"/>
        <v>0</v>
      </c>
      <c r="DC337" s="31" t="str">
        <f t="shared" si="278"/>
        <v>0</v>
      </c>
      <c r="DD337" s="9">
        <f>+Risultati!AV336</f>
        <v>0</v>
      </c>
      <c r="DE337" s="31" t="str">
        <f t="shared" si="279"/>
        <v>0</v>
      </c>
      <c r="DF337" s="9">
        <f>+Risultati!AJ336</f>
        <v>0</v>
      </c>
      <c r="DG337" s="31" t="str">
        <f t="shared" si="280"/>
        <v>0</v>
      </c>
      <c r="DH337" s="9">
        <f t="shared" si="281"/>
        <v>0</v>
      </c>
      <c r="DI337" s="31" t="str">
        <f t="shared" si="282"/>
        <v>0</v>
      </c>
      <c r="DJ337" s="9">
        <f>+Risultati!AW336</f>
        <v>0</v>
      </c>
      <c r="DK337" s="31" t="str">
        <f t="shared" si="283"/>
        <v>0</v>
      </c>
      <c r="DL337" s="10">
        <f t="shared" si="305"/>
        <v>0</v>
      </c>
      <c r="DM337" s="31" t="str">
        <f t="shared" si="284"/>
        <v>0</v>
      </c>
      <c r="DO337" s="30"/>
      <c r="DP337" s="30"/>
    </row>
    <row r="338" spans="1:120" x14ac:dyDescent="0.2">
      <c r="A338" s="5"/>
      <c r="B338" s="6">
        <f>+Risultati!B337</f>
        <v>0</v>
      </c>
      <c r="C338" s="6">
        <f>+Risultati!C337</f>
        <v>0</v>
      </c>
      <c r="D338" s="26" t="str">
        <f>IF(YEAR(Risultati!D337)=1900,(MID(Risultati!$AP$1,29,4)),YEAR(Risultati!D337))</f>
        <v/>
      </c>
      <c r="E338" s="6">
        <f>+Risultati!E337</f>
        <v>0</v>
      </c>
      <c r="F338" s="8" t="e">
        <f>(LEFT(Risultati!AN337,2)&amp;"-")&amp;VLOOKUP((LEFT(Risultati!AN337,2)),ateco!$B$4:$C$93,2,FALSE)</f>
        <v>#N/A</v>
      </c>
      <c r="G338" s="8" t="str">
        <f>SUBSTITUTE((Risultati!AN337&amp;"-"&amp;Risultati!AO337),",",";")</f>
        <v>-</v>
      </c>
      <c r="I338" s="10">
        <f>+Risultati!G337</f>
        <v>0</v>
      </c>
      <c r="J338" s="11" t="str">
        <f t="shared" si="287"/>
        <v>0</v>
      </c>
      <c r="K338" s="12"/>
      <c r="L338" s="10">
        <f>+Risultati!G337+Risultati!H337</f>
        <v>0</v>
      </c>
      <c r="M338" s="11" t="str">
        <f t="shared" si="288"/>
        <v>0</v>
      </c>
      <c r="N338" s="12"/>
      <c r="O338" s="10">
        <f>+Risultati!I337+Risultati!J337</f>
        <v>0</v>
      </c>
      <c r="P338" s="11" t="str">
        <f t="shared" si="289"/>
        <v>0</v>
      </c>
      <c r="Q338" s="12"/>
      <c r="R338" s="13">
        <f t="shared" si="255"/>
        <v>0</v>
      </c>
      <c r="S338" s="11" t="str">
        <f t="shared" si="290"/>
        <v>0</v>
      </c>
      <c r="T338" s="12"/>
      <c r="U338" s="10">
        <f>+Risultati!F337-(Risultati!G337+Risultati!H337)</f>
        <v>0</v>
      </c>
      <c r="V338" s="12" t="str">
        <f t="shared" si="291"/>
        <v>0</v>
      </c>
      <c r="W338" s="12"/>
      <c r="X338" s="10">
        <f t="shared" si="256"/>
        <v>0</v>
      </c>
      <c r="Y338" s="12" t="str">
        <f t="shared" si="292"/>
        <v>0</v>
      </c>
      <c r="Z338" s="12"/>
      <c r="AA338" s="10">
        <f>+Risultati!K337</f>
        <v>0</v>
      </c>
      <c r="AB338" s="12" t="str">
        <f t="shared" si="293"/>
        <v>0</v>
      </c>
      <c r="AC338" s="12"/>
      <c r="AD338" s="10">
        <f>+Risultati!L337</f>
        <v>0</v>
      </c>
      <c r="AE338" s="12" t="str">
        <f t="shared" si="294"/>
        <v>0</v>
      </c>
      <c r="AF338" s="12"/>
      <c r="AG338" s="10">
        <f>+Risultati!M337+Risultati!P337+Risultati!Q337</f>
        <v>0</v>
      </c>
      <c r="AH338" s="12" t="str">
        <f t="shared" si="295"/>
        <v>0</v>
      </c>
      <c r="AI338" s="12"/>
      <c r="AJ338" s="13">
        <f t="shared" si="257"/>
        <v>0</v>
      </c>
      <c r="AK338" s="11" t="str">
        <f t="shared" si="296"/>
        <v>0</v>
      </c>
      <c r="AL338" s="12"/>
      <c r="AM338" s="10">
        <f>+Risultati!N337</f>
        <v>0</v>
      </c>
      <c r="AN338" s="12" t="str">
        <f t="shared" si="297"/>
        <v>0</v>
      </c>
      <c r="AO338" s="12"/>
      <c r="AP338" s="10">
        <f t="shared" si="258"/>
        <v>0</v>
      </c>
      <c r="AQ338" s="41" t="str">
        <f t="shared" si="298"/>
        <v>0</v>
      </c>
      <c r="AR338" s="12"/>
      <c r="AS338" s="10">
        <f>+Risultati!O337</f>
        <v>0</v>
      </c>
      <c r="AT338" s="12" t="str">
        <f t="shared" si="299"/>
        <v>0</v>
      </c>
      <c r="AU338" s="12"/>
      <c r="AV338" s="10">
        <f t="shared" si="259"/>
        <v>0</v>
      </c>
      <c r="AW338" s="12" t="str">
        <f t="shared" si="300"/>
        <v>0</v>
      </c>
      <c r="AX338" s="12"/>
      <c r="AY338" s="10">
        <f>+Risultati!R337+Risultati!S337</f>
        <v>0</v>
      </c>
      <c r="AZ338" s="12" t="str">
        <f t="shared" si="301"/>
        <v>0</v>
      </c>
      <c r="BA338" s="12"/>
      <c r="BB338" s="10">
        <f>+Risultati!T337</f>
        <v>0</v>
      </c>
      <c r="BC338" s="12" t="str">
        <f t="shared" si="302"/>
        <v>0</v>
      </c>
      <c r="BD338" s="12"/>
      <c r="BE338" s="10">
        <f>+Risultati!U337</f>
        <v>0</v>
      </c>
      <c r="BF338" s="12" t="str">
        <f t="shared" si="303"/>
        <v>0</v>
      </c>
      <c r="BG338" s="12"/>
      <c r="BH338" s="10">
        <f t="shared" si="260"/>
        <v>0</v>
      </c>
      <c r="BI338" s="12" t="str">
        <f t="shared" si="304"/>
        <v>0</v>
      </c>
      <c r="BK338" s="16">
        <f>IF(ISNUMBER(Risultati!X337/100),(Risultati!X337/100))</f>
        <v>0</v>
      </c>
      <c r="BL338" s="16">
        <f>IF(ISNUMBER(Risultati!Y337/100),(Risultati!Y337/100))</f>
        <v>0</v>
      </c>
      <c r="BM338" s="16">
        <f>IF(ISNUMBER(Risultati!Z337/100),(Risultati!Z337/100))</f>
        <v>0</v>
      </c>
      <c r="BN338" s="16">
        <f>IF(AND(Risultati!AY337&lt;0,calcoli!AP338&lt;0),-IF(ISNUMBER(Risultati!AA337/100),(Risultati!AA337/100)),IF(ISNUMBER(Risultati!AA337/100),(Risultati!AA337/100)))</f>
        <v>0</v>
      </c>
      <c r="BO338" s="16" t="str">
        <f t="shared" si="285"/>
        <v>0</v>
      </c>
      <c r="BP338" s="16" t="str">
        <f>IF(Risultati!AB337&gt;0,(AV338/Risultati!AB337),"0")</f>
        <v>0</v>
      </c>
      <c r="BQ338" s="16" t="str">
        <f>IF(Risultati!AG337&lt;&gt;0,(BH338/Risultati!AG337),"0")</f>
        <v>0</v>
      </c>
      <c r="BR338" s="16" t="str">
        <f t="shared" si="286"/>
        <v>0</v>
      </c>
      <c r="BS338" s="14" t="str">
        <f>IF(Risultati!AB337&gt;0,(Risultati!G337/Risultati!AB337),"0")</f>
        <v>0</v>
      </c>
      <c r="BT338" s="15" t="str">
        <f>IF(Risultati!AG337&lt;&gt;0,(Risultati!AB337/Risultati!AG337),"0")</f>
        <v>0</v>
      </c>
      <c r="BU338" s="23" t="str">
        <f>IF(AND(Risultati!G337&gt;0,(Risultati!AE337-Risultati!AF337)&gt;=0),((Risultati!AE337-Risultati!AF337)/Risultati!G337*360),"0")</f>
        <v>0</v>
      </c>
      <c r="BV338" s="21" t="str">
        <f>IF(OR(E338="abbreviato",Risultati!G337=0),"0",((Risultati!AC337+Risultati!AD337)/Risultati!G337*360))</f>
        <v>0</v>
      </c>
      <c r="BW338" s="21" t="str">
        <f>IF(OR(E338="abbreviato",Risultati!G337=0,SUM(Risultati!I337+Risultati!K337+Risultati!M337)=0),"0",(((Risultati!AH337+Risultati!AI337)/(Risultati!I337+Risultati!K337+Risultati!N337)*360)))</f>
        <v>0</v>
      </c>
      <c r="BX338" s="16" t="str">
        <f>IF(Risultati!AB337&gt;0,(+Risultati!AG337/Risultati!AB337),"0")</f>
        <v>0</v>
      </c>
      <c r="BY338" s="22" t="str">
        <f>IF(OR(E338="abbreviato",Risultati!G337=0),"0",(((Risultati!AK337-(Risultati!AL337+Risultati!AM337))/Risultati!G337)))</f>
        <v>0</v>
      </c>
      <c r="BZ338" s="16" t="str">
        <f>IF(Risultati!G337&gt;0,(Risultati!AJ337/Risultati!G337),"0")</f>
        <v>0</v>
      </c>
      <c r="CA338" s="8"/>
      <c r="CB338" s="9">
        <f>+Risultati!AP337</f>
        <v>0</v>
      </c>
      <c r="CC338" s="31" t="str">
        <f t="shared" si="261"/>
        <v>0</v>
      </c>
      <c r="CD338" s="9">
        <f>+Risultati!AQ337</f>
        <v>0</v>
      </c>
      <c r="CE338" s="31" t="str">
        <f t="shared" si="262"/>
        <v>0</v>
      </c>
      <c r="CF338" s="9">
        <f>+Risultati!AR337</f>
        <v>0</v>
      </c>
      <c r="CG338" s="31" t="str">
        <f t="shared" si="263"/>
        <v>0</v>
      </c>
      <c r="CH338" s="9">
        <f>+Risultati!AS337</f>
        <v>0</v>
      </c>
      <c r="CI338" s="31" t="str">
        <f t="shared" si="264"/>
        <v>0</v>
      </c>
      <c r="CJ338" s="9">
        <f t="shared" si="265"/>
        <v>0</v>
      </c>
      <c r="CK338" s="31" t="str">
        <f t="shared" si="266"/>
        <v>0</v>
      </c>
      <c r="CL338" s="10">
        <f>+Risultati!AE337+Risultati!AF337</f>
        <v>0</v>
      </c>
      <c r="CM338" s="31" t="str">
        <f t="shared" si="267"/>
        <v>0</v>
      </c>
      <c r="CN338" s="9">
        <f>+Risultati!AT337</f>
        <v>0</v>
      </c>
      <c r="CO338" s="31" t="str">
        <f t="shared" si="268"/>
        <v>0</v>
      </c>
      <c r="CP338" s="9">
        <f>+Risultati!AU337</f>
        <v>0</v>
      </c>
      <c r="CQ338" s="31" t="str">
        <f t="shared" si="269"/>
        <v>0</v>
      </c>
      <c r="CR338" s="9">
        <f>+Risultati!AL337</f>
        <v>0</v>
      </c>
      <c r="CS338" s="31" t="str">
        <f t="shared" si="270"/>
        <v>0</v>
      </c>
      <c r="CT338" s="9">
        <f t="shared" si="271"/>
        <v>0</v>
      </c>
      <c r="CU338" s="31" t="str">
        <f t="shared" si="272"/>
        <v>0</v>
      </c>
      <c r="CV338" s="9">
        <f>+Risultati!AX337</f>
        <v>0</v>
      </c>
      <c r="CW338" s="31" t="str">
        <f t="shared" si="273"/>
        <v>0</v>
      </c>
      <c r="CX338" s="9">
        <f t="shared" si="274"/>
        <v>0</v>
      </c>
      <c r="CY338" s="31" t="str">
        <f t="shared" si="275"/>
        <v>0</v>
      </c>
      <c r="CZ338" s="9">
        <f>+Risultati!AG337</f>
        <v>0</v>
      </c>
      <c r="DA338" s="31" t="str">
        <f t="shared" si="276"/>
        <v>0</v>
      </c>
      <c r="DB338" s="9">
        <f t="shared" si="277"/>
        <v>0</v>
      </c>
      <c r="DC338" s="31" t="str">
        <f t="shared" si="278"/>
        <v>0</v>
      </c>
      <c r="DD338" s="9">
        <f>+Risultati!AV337</f>
        <v>0</v>
      </c>
      <c r="DE338" s="31" t="str">
        <f t="shared" si="279"/>
        <v>0</v>
      </c>
      <c r="DF338" s="9">
        <f>+Risultati!AJ337</f>
        <v>0</v>
      </c>
      <c r="DG338" s="31" t="str">
        <f t="shared" si="280"/>
        <v>0</v>
      </c>
      <c r="DH338" s="9">
        <f t="shared" si="281"/>
        <v>0</v>
      </c>
      <c r="DI338" s="31" t="str">
        <f t="shared" si="282"/>
        <v>0</v>
      </c>
      <c r="DJ338" s="9">
        <f>+Risultati!AW337</f>
        <v>0</v>
      </c>
      <c r="DK338" s="31" t="str">
        <f t="shared" si="283"/>
        <v>0</v>
      </c>
      <c r="DL338" s="10">
        <f t="shared" si="305"/>
        <v>0</v>
      </c>
      <c r="DM338" s="31" t="str">
        <f t="shared" si="284"/>
        <v>0</v>
      </c>
      <c r="DO338" s="30"/>
      <c r="DP338" s="30"/>
    </row>
    <row r="339" spans="1:120" x14ac:dyDescent="0.2">
      <c r="A339" s="5"/>
      <c r="B339" s="6">
        <f>+Risultati!B338</f>
        <v>0</v>
      </c>
      <c r="C339" s="6">
        <f>+Risultati!C338</f>
        <v>0</v>
      </c>
      <c r="D339" s="26" t="str">
        <f>IF(YEAR(Risultati!D338)=1900,(MID(Risultati!$AP$1,29,4)),YEAR(Risultati!D338))</f>
        <v/>
      </c>
      <c r="E339" s="6">
        <f>+Risultati!E338</f>
        <v>0</v>
      </c>
      <c r="F339" s="8" t="e">
        <f>(LEFT(Risultati!AN338,2)&amp;"-")&amp;VLOOKUP((LEFT(Risultati!AN338,2)),ateco!$B$4:$C$93,2,FALSE)</f>
        <v>#N/A</v>
      </c>
      <c r="G339" s="8" t="str">
        <f>SUBSTITUTE((Risultati!AN338&amp;"-"&amp;Risultati!AO338),",",";")</f>
        <v>-</v>
      </c>
      <c r="I339" s="10">
        <f>+Risultati!G338</f>
        <v>0</v>
      </c>
      <c r="J339" s="11" t="str">
        <f t="shared" si="287"/>
        <v>0</v>
      </c>
      <c r="K339" s="12"/>
      <c r="L339" s="10">
        <f>+Risultati!G338+Risultati!H338</f>
        <v>0</v>
      </c>
      <c r="M339" s="11" t="str">
        <f t="shared" si="288"/>
        <v>0</v>
      </c>
      <c r="N339" s="12"/>
      <c r="O339" s="10">
        <f>+Risultati!I338+Risultati!J338</f>
        <v>0</v>
      </c>
      <c r="P339" s="11" t="str">
        <f t="shared" si="289"/>
        <v>0</v>
      </c>
      <c r="Q339" s="12"/>
      <c r="R339" s="13">
        <f t="shared" si="255"/>
        <v>0</v>
      </c>
      <c r="S339" s="11" t="str">
        <f t="shared" si="290"/>
        <v>0</v>
      </c>
      <c r="T339" s="12"/>
      <c r="U339" s="10">
        <f>+Risultati!F338-(Risultati!G338+Risultati!H338)</f>
        <v>0</v>
      </c>
      <c r="V339" s="12" t="str">
        <f t="shared" si="291"/>
        <v>0</v>
      </c>
      <c r="W339" s="12"/>
      <c r="X339" s="10">
        <f t="shared" si="256"/>
        <v>0</v>
      </c>
      <c r="Y339" s="12" t="str">
        <f t="shared" si="292"/>
        <v>0</v>
      </c>
      <c r="Z339" s="12"/>
      <c r="AA339" s="10">
        <f>+Risultati!K338</f>
        <v>0</v>
      </c>
      <c r="AB339" s="12" t="str">
        <f t="shared" si="293"/>
        <v>0</v>
      </c>
      <c r="AC339" s="12"/>
      <c r="AD339" s="10">
        <f>+Risultati!L338</f>
        <v>0</v>
      </c>
      <c r="AE339" s="12" t="str">
        <f t="shared" si="294"/>
        <v>0</v>
      </c>
      <c r="AF339" s="12"/>
      <c r="AG339" s="10">
        <f>+Risultati!M338+Risultati!P338+Risultati!Q338</f>
        <v>0</v>
      </c>
      <c r="AH339" s="12" t="str">
        <f t="shared" si="295"/>
        <v>0</v>
      </c>
      <c r="AI339" s="12"/>
      <c r="AJ339" s="13">
        <f t="shared" si="257"/>
        <v>0</v>
      </c>
      <c r="AK339" s="11" t="str">
        <f t="shared" si="296"/>
        <v>0</v>
      </c>
      <c r="AL339" s="12"/>
      <c r="AM339" s="10">
        <f>+Risultati!N338</f>
        <v>0</v>
      </c>
      <c r="AN339" s="12" t="str">
        <f t="shared" si="297"/>
        <v>0</v>
      </c>
      <c r="AO339" s="12"/>
      <c r="AP339" s="10">
        <f t="shared" si="258"/>
        <v>0</v>
      </c>
      <c r="AQ339" s="41" t="str">
        <f t="shared" si="298"/>
        <v>0</v>
      </c>
      <c r="AR339" s="12"/>
      <c r="AS339" s="10">
        <f>+Risultati!O338</f>
        <v>0</v>
      </c>
      <c r="AT339" s="12" t="str">
        <f t="shared" si="299"/>
        <v>0</v>
      </c>
      <c r="AU339" s="12"/>
      <c r="AV339" s="10">
        <f t="shared" si="259"/>
        <v>0</v>
      </c>
      <c r="AW339" s="12" t="str">
        <f t="shared" si="300"/>
        <v>0</v>
      </c>
      <c r="AX339" s="12"/>
      <c r="AY339" s="10">
        <f>+Risultati!R338+Risultati!S338</f>
        <v>0</v>
      </c>
      <c r="AZ339" s="12" t="str">
        <f t="shared" si="301"/>
        <v>0</v>
      </c>
      <c r="BA339" s="12"/>
      <c r="BB339" s="10">
        <f>+Risultati!T338</f>
        <v>0</v>
      </c>
      <c r="BC339" s="12" t="str">
        <f t="shared" si="302"/>
        <v>0</v>
      </c>
      <c r="BD339" s="12"/>
      <c r="BE339" s="10">
        <f>+Risultati!U338</f>
        <v>0</v>
      </c>
      <c r="BF339" s="12" t="str">
        <f t="shared" si="303"/>
        <v>0</v>
      </c>
      <c r="BG339" s="12"/>
      <c r="BH339" s="10">
        <f t="shared" si="260"/>
        <v>0</v>
      </c>
      <c r="BI339" s="12" t="str">
        <f t="shared" si="304"/>
        <v>0</v>
      </c>
      <c r="BK339" s="16">
        <f>IF(ISNUMBER(Risultati!X338/100),(Risultati!X338/100))</f>
        <v>0</v>
      </c>
      <c r="BL339" s="16">
        <f>IF(ISNUMBER(Risultati!Y338/100),(Risultati!Y338/100))</f>
        <v>0</v>
      </c>
      <c r="BM339" s="16">
        <f>IF(ISNUMBER(Risultati!Z338/100),(Risultati!Z338/100))</f>
        <v>0</v>
      </c>
      <c r="BN339" s="16">
        <f>IF(AND(Risultati!AY338&lt;0,calcoli!AP339&lt;0),-IF(ISNUMBER(Risultati!AA338/100),(Risultati!AA338/100)),IF(ISNUMBER(Risultati!AA338/100),(Risultati!AA338/100)))</f>
        <v>0</v>
      </c>
      <c r="BO339" s="16" t="str">
        <f t="shared" si="285"/>
        <v>0</v>
      </c>
      <c r="BP339" s="16" t="str">
        <f>IF(Risultati!AB338&gt;0,(AV339/Risultati!AB338),"0")</f>
        <v>0</v>
      </c>
      <c r="BQ339" s="16" t="str">
        <f>IF(Risultati!AG338&lt;&gt;0,(BH339/Risultati!AG338),"0")</f>
        <v>0</v>
      </c>
      <c r="BR339" s="16" t="str">
        <f t="shared" si="286"/>
        <v>0</v>
      </c>
      <c r="BS339" s="14" t="str">
        <f>IF(Risultati!AB338&gt;0,(Risultati!G338/Risultati!AB338),"0")</f>
        <v>0</v>
      </c>
      <c r="BT339" s="15" t="str">
        <f>IF(Risultati!AG338&lt;&gt;0,(Risultati!AB338/Risultati!AG338),"0")</f>
        <v>0</v>
      </c>
      <c r="BU339" s="23" t="str">
        <f>IF(AND(Risultati!G338&gt;0,(Risultati!AE338-Risultati!AF338)&gt;=0),((Risultati!AE338-Risultati!AF338)/Risultati!G338*360),"0")</f>
        <v>0</v>
      </c>
      <c r="BV339" s="21" t="str">
        <f>IF(OR(E339="abbreviato",Risultati!G338=0),"0",((Risultati!AC338+Risultati!AD338)/Risultati!G338*360))</f>
        <v>0</v>
      </c>
      <c r="BW339" s="21" t="str">
        <f>IF(OR(E339="abbreviato",Risultati!G338=0,SUM(Risultati!I338+Risultati!K338+Risultati!M338)=0),"0",(((Risultati!AH338+Risultati!AI338)/(Risultati!I338+Risultati!K338+Risultati!N338)*360)))</f>
        <v>0</v>
      </c>
      <c r="BX339" s="16" t="str">
        <f>IF(Risultati!AB338&gt;0,(+Risultati!AG338/Risultati!AB338),"0")</f>
        <v>0</v>
      </c>
      <c r="BY339" s="22" t="str">
        <f>IF(OR(E339="abbreviato",Risultati!G338=0),"0",(((Risultati!AK338-(Risultati!AL338+Risultati!AM338))/Risultati!G338)))</f>
        <v>0</v>
      </c>
      <c r="BZ339" s="16" t="str">
        <f>IF(Risultati!G338&gt;0,(Risultati!AJ338/Risultati!G338),"0")</f>
        <v>0</v>
      </c>
      <c r="CA339" s="8"/>
      <c r="CB339" s="9">
        <f>+Risultati!AP338</f>
        <v>0</v>
      </c>
      <c r="CC339" s="31" t="str">
        <f t="shared" si="261"/>
        <v>0</v>
      </c>
      <c r="CD339" s="9">
        <f>+Risultati!AQ338</f>
        <v>0</v>
      </c>
      <c r="CE339" s="31" t="str">
        <f t="shared" si="262"/>
        <v>0</v>
      </c>
      <c r="CF339" s="9">
        <f>+Risultati!AR338</f>
        <v>0</v>
      </c>
      <c r="CG339" s="31" t="str">
        <f t="shared" si="263"/>
        <v>0</v>
      </c>
      <c r="CH339" s="9">
        <f>+Risultati!AS338</f>
        <v>0</v>
      </c>
      <c r="CI339" s="31" t="str">
        <f t="shared" si="264"/>
        <v>0</v>
      </c>
      <c r="CJ339" s="9">
        <f t="shared" si="265"/>
        <v>0</v>
      </c>
      <c r="CK339" s="31" t="str">
        <f t="shared" si="266"/>
        <v>0</v>
      </c>
      <c r="CL339" s="10">
        <f>+Risultati!AE338+Risultati!AF338</f>
        <v>0</v>
      </c>
      <c r="CM339" s="31" t="str">
        <f t="shared" si="267"/>
        <v>0</v>
      </c>
      <c r="CN339" s="9">
        <f>+Risultati!AT338</f>
        <v>0</v>
      </c>
      <c r="CO339" s="31" t="str">
        <f t="shared" si="268"/>
        <v>0</v>
      </c>
      <c r="CP339" s="9">
        <f>+Risultati!AU338</f>
        <v>0</v>
      </c>
      <c r="CQ339" s="31" t="str">
        <f t="shared" si="269"/>
        <v>0</v>
      </c>
      <c r="CR339" s="9">
        <f>+Risultati!AL338</f>
        <v>0</v>
      </c>
      <c r="CS339" s="31" t="str">
        <f t="shared" si="270"/>
        <v>0</v>
      </c>
      <c r="CT339" s="9">
        <f t="shared" si="271"/>
        <v>0</v>
      </c>
      <c r="CU339" s="31" t="str">
        <f t="shared" si="272"/>
        <v>0</v>
      </c>
      <c r="CV339" s="9">
        <f>+Risultati!AX338</f>
        <v>0</v>
      </c>
      <c r="CW339" s="31" t="str">
        <f t="shared" si="273"/>
        <v>0</v>
      </c>
      <c r="CX339" s="9">
        <f t="shared" si="274"/>
        <v>0</v>
      </c>
      <c r="CY339" s="31" t="str">
        <f t="shared" si="275"/>
        <v>0</v>
      </c>
      <c r="CZ339" s="9">
        <f>+Risultati!AG338</f>
        <v>0</v>
      </c>
      <c r="DA339" s="31" t="str">
        <f t="shared" si="276"/>
        <v>0</v>
      </c>
      <c r="DB339" s="9">
        <f t="shared" si="277"/>
        <v>0</v>
      </c>
      <c r="DC339" s="31" t="str">
        <f t="shared" si="278"/>
        <v>0</v>
      </c>
      <c r="DD339" s="9">
        <f>+Risultati!AV338</f>
        <v>0</v>
      </c>
      <c r="DE339" s="31" t="str">
        <f t="shared" si="279"/>
        <v>0</v>
      </c>
      <c r="DF339" s="9">
        <f>+Risultati!AJ338</f>
        <v>0</v>
      </c>
      <c r="DG339" s="31" t="str">
        <f t="shared" si="280"/>
        <v>0</v>
      </c>
      <c r="DH339" s="9">
        <f t="shared" si="281"/>
        <v>0</v>
      </c>
      <c r="DI339" s="31" t="str">
        <f t="shared" si="282"/>
        <v>0</v>
      </c>
      <c r="DJ339" s="9">
        <f>+Risultati!AW338</f>
        <v>0</v>
      </c>
      <c r="DK339" s="31" t="str">
        <f t="shared" si="283"/>
        <v>0</v>
      </c>
      <c r="DL339" s="10">
        <f t="shared" si="305"/>
        <v>0</v>
      </c>
      <c r="DM339" s="31" t="str">
        <f t="shared" si="284"/>
        <v>0</v>
      </c>
      <c r="DO339" s="30"/>
      <c r="DP339" s="30"/>
    </row>
    <row r="340" spans="1:120" x14ac:dyDescent="0.2">
      <c r="A340" s="5"/>
      <c r="B340" s="6">
        <f>+Risultati!B339</f>
        <v>0</v>
      </c>
      <c r="C340" s="6">
        <f>+Risultati!C339</f>
        <v>0</v>
      </c>
      <c r="D340" s="26" t="str">
        <f>IF(YEAR(Risultati!D339)=1900,(MID(Risultati!$AP$1,29,4)),YEAR(Risultati!D339))</f>
        <v/>
      </c>
      <c r="E340" s="6">
        <f>+Risultati!E339</f>
        <v>0</v>
      </c>
      <c r="F340" s="8" t="e">
        <f>(LEFT(Risultati!AN339,2)&amp;"-")&amp;VLOOKUP((LEFT(Risultati!AN339,2)),ateco!$B$4:$C$93,2,FALSE)</f>
        <v>#N/A</v>
      </c>
      <c r="G340" s="8" t="str">
        <f>SUBSTITUTE((Risultati!AN339&amp;"-"&amp;Risultati!AO339),",",";")</f>
        <v>-</v>
      </c>
      <c r="I340" s="10">
        <f>+Risultati!G339</f>
        <v>0</v>
      </c>
      <c r="J340" s="11" t="str">
        <f t="shared" si="287"/>
        <v>0</v>
      </c>
      <c r="K340" s="12"/>
      <c r="L340" s="10">
        <f>+Risultati!G339+Risultati!H339</f>
        <v>0</v>
      </c>
      <c r="M340" s="11" t="str">
        <f t="shared" si="288"/>
        <v>0</v>
      </c>
      <c r="N340" s="12"/>
      <c r="O340" s="10">
        <f>+Risultati!I339+Risultati!J339</f>
        <v>0</v>
      </c>
      <c r="P340" s="11" t="str">
        <f t="shared" si="289"/>
        <v>0</v>
      </c>
      <c r="Q340" s="12"/>
      <c r="R340" s="13">
        <f t="shared" si="255"/>
        <v>0</v>
      </c>
      <c r="S340" s="11" t="str">
        <f t="shared" si="290"/>
        <v>0</v>
      </c>
      <c r="T340" s="12"/>
      <c r="U340" s="10">
        <f>+Risultati!F339-(Risultati!G339+Risultati!H339)</f>
        <v>0</v>
      </c>
      <c r="V340" s="12" t="str">
        <f t="shared" si="291"/>
        <v>0</v>
      </c>
      <c r="W340" s="12"/>
      <c r="X340" s="10">
        <f t="shared" si="256"/>
        <v>0</v>
      </c>
      <c r="Y340" s="12" t="str">
        <f t="shared" si="292"/>
        <v>0</v>
      </c>
      <c r="Z340" s="12"/>
      <c r="AA340" s="10">
        <f>+Risultati!K339</f>
        <v>0</v>
      </c>
      <c r="AB340" s="12" t="str">
        <f t="shared" si="293"/>
        <v>0</v>
      </c>
      <c r="AC340" s="12"/>
      <c r="AD340" s="10">
        <f>+Risultati!L339</f>
        <v>0</v>
      </c>
      <c r="AE340" s="12" t="str">
        <f t="shared" si="294"/>
        <v>0</v>
      </c>
      <c r="AF340" s="12"/>
      <c r="AG340" s="10">
        <f>+Risultati!M339+Risultati!P339+Risultati!Q339</f>
        <v>0</v>
      </c>
      <c r="AH340" s="12" t="str">
        <f t="shared" si="295"/>
        <v>0</v>
      </c>
      <c r="AI340" s="12"/>
      <c r="AJ340" s="13">
        <f t="shared" si="257"/>
        <v>0</v>
      </c>
      <c r="AK340" s="11" t="str">
        <f t="shared" si="296"/>
        <v>0</v>
      </c>
      <c r="AL340" s="12"/>
      <c r="AM340" s="10">
        <f>+Risultati!N339</f>
        <v>0</v>
      </c>
      <c r="AN340" s="12" t="str">
        <f t="shared" si="297"/>
        <v>0</v>
      </c>
      <c r="AO340" s="12"/>
      <c r="AP340" s="10">
        <f t="shared" si="258"/>
        <v>0</v>
      </c>
      <c r="AQ340" s="41" t="str">
        <f t="shared" si="298"/>
        <v>0</v>
      </c>
      <c r="AR340" s="12"/>
      <c r="AS340" s="10">
        <f>+Risultati!O339</f>
        <v>0</v>
      </c>
      <c r="AT340" s="12" t="str">
        <f t="shared" si="299"/>
        <v>0</v>
      </c>
      <c r="AU340" s="12"/>
      <c r="AV340" s="10">
        <f t="shared" si="259"/>
        <v>0</v>
      </c>
      <c r="AW340" s="12" t="str">
        <f t="shared" si="300"/>
        <v>0</v>
      </c>
      <c r="AX340" s="12"/>
      <c r="AY340" s="10">
        <f>+Risultati!R339+Risultati!S339</f>
        <v>0</v>
      </c>
      <c r="AZ340" s="12" t="str">
        <f t="shared" si="301"/>
        <v>0</v>
      </c>
      <c r="BA340" s="12"/>
      <c r="BB340" s="10">
        <f>+Risultati!T339</f>
        <v>0</v>
      </c>
      <c r="BC340" s="12" t="str">
        <f t="shared" si="302"/>
        <v>0</v>
      </c>
      <c r="BD340" s="12"/>
      <c r="BE340" s="10">
        <f>+Risultati!U339</f>
        <v>0</v>
      </c>
      <c r="BF340" s="12" t="str">
        <f t="shared" si="303"/>
        <v>0</v>
      </c>
      <c r="BG340" s="12"/>
      <c r="BH340" s="10">
        <f t="shared" si="260"/>
        <v>0</v>
      </c>
      <c r="BI340" s="12" t="str">
        <f t="shared" si="304"/>
        <v>0</v>
      </c>
      <c r="BK340" s="16">
        <f>IF(ISNUMBER(Risultati!X339/100),(Risultati!X339/100))</f>
        <v>0</v>
      </c>
      <c r="BL340" s="16">
        <f>IF(ISNUMBER(Risultati!Y339/100),(Risultati!Y339/100))</f>
        <v>0</v>
      </c>
      <c r="BM340" s="16">
        <f>IF(ISNUMBER(Risultati!Z339/100),(Risultati!Z339/100))</f>
        <v>0</v>
      </c>
      <c r="BN340" s="16">
        <f>IF(AND(Risultati!AY339&lt;0,calcoli!AP340&lt;0),-IF(ISNUMBER(Risultati!AA339/100),(Risultati!AA339/100)),IF(ISNUMBER(Risultati!AA339/100),(Risultati!AA339/100)))</f>
        <v>0</v>
      </c>
      <c r="BO340" s="16" t="str">
        <f t="shared" si="285"/>
        <v>0</v>
      </c>
      <c r="BP340" s="16" t="str">
        <f>IF(Risultati!AB339&gt;0,(AV340/Risultati!AB339),"0")</f>
        <v>0</v>
      </c>
      <c r="BQ340" s="16" t="str">
        <f>IF(Risultati!AG339&lt;&gt;0,(BH340/Risultati!AG339),"0")</f>
        <v>0</v>
      </c>
      <c r="BR340" s="16" t="str">
        <f t="shared" si="286"/>
        <v>0</v>
      </c>
      <c r="BS340" s="14" t="str">
        <f>IF(Risultati!AB339&gt;0,(Risultati!G339/Risultati!AB339),"0")</f>
        <v>0</v>
      </c>
      <c r="BT340" s="15" t="str">
        <f>IF(Risultati!AG339&lt;&gt;0,(Risultati!AB339/Risultati!AG339),"0")</f>
        <v>0</v>
      </c>
      <c r="BU340" s="23" t="str">
        <f>IF(AND(Risultati!G339&gt;0,(Risultati!AE339-Risultati!AF339)&gt;=0),((Risultati!AE339-Risultati!AF339)/Risultati!G339*360),"0")</f>
        <v>0</v>
      </c>
      <c r="BV340" s="21" t="str">
        <f>IF(OR(E340="abbreviato",Risultati!G339=0),"0",((Risultati!AC339+Risultati!AD339)/Risultati!G339*360))</f>
        <v>0</v>
      </c>
      <c r="BW340" s="21" t="str">
        <f>IF(OR(E340="abbreviato",Risultati!G339=0,SUM(Risultati!I339+Risultati!K339+Risultati!M339)=0),"0",(((Risultati!AH339+Risultati!AI339)/(Risultati!I339+Risultati!K339+Risultati!N339)*360)))</f>
        <v>0</v>
      </c>
      <c r="BX340" s="16" t="str">
        <f>IF(Risultati!AB339&gt;0,(+Risultati!AG339/Risultati!AB339),"0")</f>
        <v>0</v>
      </c>
      <c r="BY340" s="22" t="str">
        <f>IF(OR(E340="abbreviato",Risultati!G339=0),"0",(((Risultati!AK339-(Risultati!AL339+Risultati!AM339))/Risultati!G339)))</f>
        <v>0</v>
      </c>
      <c r="BZ340" s="16" t="str">
        <f>IF(Risultati!G339&gt;0,(Risultati!AJ339/Risultati!G339),"0")</f>
        <v>0</v>
      </c>
      <c r="CA340" s="8"/>
      <c r="CB340" s="9">
        <f>+Risultati!AP339</f>
        <v>0</v>
      </c>
      <c r="CC340" s="31" t="str">
        <f t="shared" si="261"/>
        <v>0</v>
      </c>
      <c r="CD340" s="9">
        <f>+Risultati!AQ339</f>
        <v>0</v>
      </c>
      <c r="CE340" s="31" t="str">
        <f t="shared" si="262"/>
        <v>0</v>
      </c>
      <c r="CF340" s="9">
        <f>+Risultati!AR339</f>
        <v>0</v>
      </c>
      <c r="CG340" s="31" t="str">
        <f t="shared" si="263"/>
        <v>0</v>
      </c>
      <c r="CH340" s="9">
        <f>+Risultati!AS339</f>
        <v>0</v>
      </c>
      <c r="CI340" s="31" t="str">
        <f t="shared" si="264"/>
        <v>0</v>
      </c>
      <c r="CJ340" s="9">
        <f t="shared" si="265"/>
        <v>0</v>
      </c>
      <c r="CK340" s="31" t="str">
        <f t="shared" si="266"/>
        <v>0</v>
      </c>
      <c r="CL340" s="10">
        <f>+Risultati!AE339+Risultati!AF339</f>
        <v>0</v>
      </c>
      <c r="CM340" s="31" t="str">
        <f t="shared" si="267"/>
        <v>0</v>
      </c>
      <c r="CN340" s="9">
        <f>+Risultati!AT339</f>
        <v>0</v>
      </c>
      <c r="CO340" s="31" t="str">
        <f t="shared" si="268"/>
        <v>0</v>
      </c>
      <c r="CP340" s="9">
        <f>+Risultati!AU339</f>
        <v>0</v>
      </c>
      <c r="CQ340" s="31" t="str">
        <f t="shared" si="269"/>
        <v>0</v>
      </c>
      <c r="CR340" s="9">
        <f>+Risultati!AL339</f>
        <v>0</v>
      </c>
      <c r="CS340" s="31" t="str">
        <f t="shared" si="270"/>
        <v>0</v>
      </c>
      <c r="CT340" s="9">
        <f t="shared" si="271"/>
        <v>0</v>
      </c>
      <c r="CU340" s="31" t="str">
        <f t="shared" si="272"/>
        <v>0</v>
      </c>
      <c r="CV340" s="9">
        <f>+Risultati!AX339</f>
        <v>0</v>
      </c>
      <c r="CW340" s="31" t="str">
        <f t="shared" si="273"/>
        <v>0</v>
      </c>
      <c r="CX340" s="9">
        <f t="shared" si="274"/>
        <v>0</v>
      </c>
      <c r="CY340" s="31" t="str">
        <f t="shared" si="275"/>
        <v>0</v>
      </c>
      <c r="CZ340" s="9">
        <f>+Risultati!AG339</f>
        <v>0</v>
      </c>
      <c r="DA340" s="31" t="str">
        <f t="shared" si="276"/>
        <v>0</v>
      </c>
      <c r="DB340" s="9">
        <f t="shared" si="277"/>
        <v>0</v>
      </c>
      <c r="DC340" s="31" t="str">
        <f t="shared" si="278"/>
        <v>0</v>
      </c>
      <c r="DD340" s="9">
        <f>+Risultati!AV339</f>
        <v>0</v>
      </c>
      <c r="DE340" s="31" t="str">
        <f t="shared" si="279"/>
        <v>0</v>
      </c>
      <c r="DF340" s="9">
        <f>+Risultati!AJ339</f>
        <v>0</v>
      </c>
      <c r="DG340" s="31" t="str">
        <f t="shared" si="280"/>
        <v>0</v>
      </c>
      <c r="DH340" s="9">
        <f t="shared" si="281"/>
        <v>0</v>
      </c>
      <c r="DI340" s="31" t="str">
        <f t="shared" si="282"/>
        <v>0</v>
      </c>
      <c r="DJ340" s="9">
        <f>+Risultati!AW339</f>
        <v>0</v>
      </c>
      <c r="DK340" s="31" t="str">
        <f t="shared" si="283"/>
        <v>0</v>
      </c>
      <c r="DL340" s="10">
        <f t="shared" si="305"/>
        <v>0</v>
      </c>
      <c r="DM340" s="31" t="str">
        <f t="shared" si="284"/>
        <v>0</v>
      </c>
      <c r="DO340" s="30"/>
      <c r="DP340" s="30"/>
    </row>
    <row r="341" spans="1:120" x14ac:dyDescent="0.2">
      <c r="A341" s="5"/>
      <c r="B341" s="6">
        <f>+Risultati!B340</f>
        <v>0</v>
      </c>
      <c r="C341" s="6">
        <f>+Risultati!C340</f>
        <v>0</v>
      </c>
      <c r="D341" s="26" t="str">
        <f>IF(YEAR(Risultati!D340)=1900,(MID(Risultati!$AP$1,29,4)),YEAR(Risultati!D340))</f>
        <v/>
      </c>
      <c r="E341" s="6">
        <f>+Risultati!E340</f>
        <v>0</v>
      </c>
      <c r="F341" s="8" t="e">
        <f>(LEFT(Risultati!AN340,2)&amp;"-")&amp;VLOOKUP((LEFT(Risultati!AN340,2)),ateco!$B$4:$C$93,2,FALSE)</f>
        <v>#N/A</v>
      </c>
      <c r="G341" s="8" t="str">
        <f>SUBSTITUTE((Risultati!AN340&amp;"-"&amp;Risultati!AO340),",",";")</f>
        <v>-</v>
      </c>
      <c r="I341" s="10">
        <f>+Risultati!G340</f>
        <v>0</v>
      </c>
      <c r="J341" s="11" t="str">
        <f t="shared" si="287"/>
        <v>0</v>
      </c>
      <c r="K341" s="12"/>
      <c r="L341" s="10">
        <f>+Risultati!G340+Risultati!H340</f>
        <v>0</v>
      </c>
      <c r="M341" s="11" t="str">
        <f t="shared" si="288"/>
        <v>0</v>
      </c>
      <c r="N341" s="12"/>
      <c r="O341" s="10">
        <f>+Risultati!I340+Risultati!J340</f>
        <v>0</v>
      </c>
      <c r="P341" s="11" t="str">
        <f t="shared" si="289"/>
        <v>0</v>
      </c>
      <c r="Q341" s="12"/>
      <c r="R341" s="13">
        <f t="shared" si="255"/>
        <v>0</v>
      </c>
      <c r="S341" s="11" t="str">
        <f t="shared" si="290"/>
        <v>0</v>
      </c>
      <c r="T341" s="12"/>
      <c r="U341" s="10">
        <f>+Risultati!F340-(Risultati!G340+Risultati!H340)</f>
        <v>0</v>
      </c>
      <c r="V341" s="12" t="str">
        <f t="shared" si="291"/>
        <v>0</v>
      </c>
      <c r="W341" s="12"/>
      <c r="X341" s="10">
        <f t="shared" si="256"/>
        <v>0</v>
      </c>
      <c r="Y341" s="12" t="str">
        <f t="shared" si="292"/>
        <v>0</v>
      </c>
      <c r="Z341" s="12"/>
      <c r="AA341" s="10">
        <f>+Risultati!K340</f>
        <v>0</v>
      </c>
      <c r="AB341" s="12" t="str">
        <f t="shared" si="293"/>
        <v>0</v>
      </c>
      <c r="AC341" s="12"/>
      <c r="AD341" s="10">
        <f>+Risultati!L340</f>
        <v>0</v>
      </c>
      <c r="AE341" s="12" t="str">
        <f t="shared" si="294"/>
        <v>0</v>
      </c>
      <c r="AF341" s="12"/>
      <c r="AG341" s="10">
        <f>+Risultati!M340+Risultati!P340+Risultati!Q340</f>
        <v>0</v>
      </c>
      <c r="AH341" s="12" t="str">
        <f t="shared" si="295"/>
        <v>0</v>
      </c>
      <c r="AI341" s="12"/>
      <c r="AJ341" s="13">
        <f t="shared" si="257"/>
        <v>0</v>
      </c>
      <c r="AK341" s="11" t="str">
        <f t="shared" si="296"/>
        <v>0</v>
      </c>
      <c r="AL341" s="12"/>
      <c r="AM341" s="10">
        <f>+Risultati!N340</f>
        <v>0</v>
      </c>
      <c r="AN341" s="12" t="str">
        <f t="shared" si="297"/>
        <v>0</v>
      </c>
      <c r="AO341" s="12"/>
      <c r="AP341" s="10">
        <f t="shared" si="258"/>
        <v>0</v>
      </c>
      <c r="AQ341" s="41" t="str">
        <f t="shared" si="298"/>
        <v>0</v>
      </c>
      <c r="AR341" s="12"/>
      <c r="AS341" s="10">
        <f>+Risultati!O340</f>
        <v>0</v>
      </c>
      <c r="AT341" s="12" t="str">
        <f t="shared" si="299"/>
        <v>0</v>
      </c>
      <c r="AU341" s="12"/>
      <c r="AV341" s="10">
        <f t="shared" si="259"/>
        <v>0</v>
      </c>
      <c r="AW341" s="12" t="str">
        <f t="shared" si="300"/>
        <v>0</v>
      </c>
      <c r="AX341" s="12"/>
      <c r="AY341" s="10">
        <f>+Risultati!R340+Risultati!S340</f>
        <v>0</v>
      </c>
      <c r="AZ341" s="12" t="str">
        <f t="shared" si="301"/>
        <v>0</v>
      </c>
      <c r="BA341" s="12"/>
      <c r="BB341" s="10">
        <f>+Risultati!T340</f>
        <v>0</v>
      </c>
      <c r="BC341" s="12" t="str">
        <f t="shared" si="302"/>
        <v>0</v>
      </c>
      <c r="BD341" s="12"/>
      <c r="BE341" s="10">
        <f>+Risultati!U340</f>
        <v>0</v>
      </c>
      <c r="BF341" s="12" t="str">
        <f t="shared" si="303"/>
        <v>0</v>
      </c>
      <c r="BG341" s="12"/>
      <c r="BH341" s="10">
        <f t="shared" si="260"/>
        <v>0</v>
      </c>
      <c r="BI341" s="12" t="str">
        <f t="shared" si="304"/>
        <v>0</v>
      </c>
      <c r="BK341" s="16">
        <f>IF(ISNUMBER(Risultati!X340/100),(Risultati!X340/100))</f>
        <v>0</v>
      </c>
      <c r="BL341" s="16">
        <f>IF(ISNUMBER(Risultati!Y340/100),(Risultati!Y340/100))</f>
        <v>0</v>
      </c>
      <c r="BM341" s="16">
        <f>IF(ISNUMBER(Risultati!Z340/100),(Risultati!Z340/100))</f>
        <v>0</v>
      </c>
      <c r="BN341" s="16">
        <f>IF(AND(Risultati!AY340&lt;0,calcoli!AP341&lt;0),-IF(ISNUMBER(Risultati!AA340/100),(Risultati!AA340/100)),IF(ISNUMBER(Risultati!AA340/100),(Risultati!AA340/100)))</f>
        <v>0</v>
      </c>
      <c r="BO341" s="16" t="str">
        <f t="shared" si="285"/>
        <v>0</v>
      </c>
      <c r="BP341" s="16" t="str">
        <f>IF(Risultati!AB340&gt;0,(AV341/Risultati!AB340),"0")</f>
        <v>0</v>
      </c>
      <c r="BQ341" s="16" t="str">
        <f>IF(Risultati!AG340&lt;&gt;0,(BH341/Risultati!AG340),"0")</f>
        <v>0</v>
      </c>
      <c r="BR341" s="16" t="str">
        <f t="shared" si="286"/>
        <v>0</v>
      </c>
      <c r="BS341" s="14" t="str">
        <f>IF(Risultati!AB340&gt;0,(Risultati!G340/Risultati!AB340),"0")</f>
        <v>0</v>
      </c>
      <c r="BT341" s="15" t="str">
        <f>IF(Risultati!AG340&lt;&gt;0,(Risultati!AB340/Risultati!AG340),"0")</f>
        <v>0</v>
      </c>
      <c r="BU341" s="23" t="str">
        <f>IF(AND(Risultati!G340&gt;0,(Risultati!AE340-Risultati!AF340)&gt;=0),((Risultati!AE340-Risultati!AF340)/Risultati!G340*360),"0")</f>
        <v>0</v>
      </c>
      <c r="BV341" s="21" t="str">
        <f>IF(OR(E341="abbreviato",Risultati!G340=0),"0",((Risultati!AC340+Risultati!AD340)/Risultati!G340*360))</f>
        <v>0</v>
      </c>
      <c r="BW341" s="21" t="str">
        <f>IF(OR(E341="abbreviato",Risultati!G340=0,SUM(Risultati!I340+Risultati!K340+Risultati!M340)=0),"0",(((Risultati!AH340+Risultati!AI340)/(Risultati!I340+Risultati!K340+Risultati!N340)*360)))</f>
        <v>0</v>
      </c>
      <c r="BX341" s="16" t="str">
        <f>IF(Risultati!AB340&gt;0,(+Risultati!AG340/Risultati!AB340),"0")</f>
        <v>0</v>
      </c>
      <c r="BY341" s="22" t="str">
        <f>IF(OR(E341="abbreviato",Risultati!G340=0),"0",(((Risultati!AK340-(Risultati!AL340+Risultati!AM340))/Risultati!G340)))</f>
        <v>0</v>
      </c>
      <c r="BZ341" s="16" t="str">
        <f>IF(Risultati!G340&gt;0,(Risultati!AJ340/Risultati!G340),"0")</f>
        <v>0</v>
      </c>
      <c r="CA341" s="8"/>
      <c r="CB341" s="9">
        <f>+Risultati!AP340</f>
        <v>0</v>
      </c>
      <c r="CC341" s="31" t="str">
        <f t="shared" si="261"/>
        <v>0</v>
      </c>
      <c r="CD341" s="9">
        <f>+Risultati!AQ340</f>
        <v>0</v>
      </c>
      <c r="CE341" s="31" t="str">
        <f t="shared" si="262"/>
        <v>0</v>
      </c>
      <c r="CF341" s="9">
        <f>+Risultati!AR340</f>
        <v>0</v>
      </c>
      <c r="CG341" s="31" t="str">
        <f t="shared" si="263"/>
        <v>0</v>
      </c>
      <c r="CH341" s="9">
        <f>+Risultati!AS340</f>
        <v>0</v>
      </c>
      <c r="CI341" s="31" t="str">
        <f t="shared" si="264"/>
        <v>0</v>
      </c>
      <c r="CJ341" s="9">
        <f t="shared" si="265"/>
        <v>0</v>
      </c>
      <c r="CK341" s="31" t="str">
        <f t="shared" si="266"/>
        <v>0</v>
      </c>
      <c r="CL341" s="10">
        <f>+Risultati!AE340+Risultati!AF340</f>
        <v>0</v>
      </c>
      <c r="CM341" s="31" t="str">
        <f t="shared" si="267"/>
        <v>0</v>
      </c>
      <c r="CN341" s="9">
        <f>+Risultati!AT340</f>
        <v>0</v>
      </c>
      <c r="CO341" s="31" t="str">
        <f t="shared" si="268"/>
        <v>0</v>
      </c>
      <c r="CP341" s="9">
        <f>+Risultati!AU340</f>
        <v>0</v>
      </c>
      <c r="CQ341" s="31" t="str">
        <f t="shared" si="269"/>
        <v>0</v>
      </c>
      <c r="CR341" s="9">
        <f>+Risultati!AL340</f>
        <v>0</v>
      </c>
      <c r="CS341" s="31" t="str">
        <f t="shared" si="270"/>
        <v>0</v>
      </c>
      <c r="CT341" s="9">
        <f t="shared" si="271"/>
        <v>0</v>
      </c>
      <c r="CU341" s="31" t="str">
        <f t="shared" si="272"/>
        <v>0</v>
      </c>
      <c r="CV341" s="9">
        <f>+Risultati!AX340</f>
        <v>0</v>
      </c>
      <c r="CW341" s="31" t="str">
        <f t="shared" si="273"/>
        <v>0</v>
      </c>
      <c r="CX341" s="9">
        <f t="shared" si="274"/>
        <v>0</v>
      </c>
      <c r="CY341" s="31" t="str">
        <f t="shared" si="275"/>
        <v>0</v>
      </c>
      <c r="CZ341" s="9">
        <f>+Risultati!AG340</f>
        <v>0</v>
      </c>
      <c r="DA341" s="31" t="str">
        <f t="shared" si="276"/>
        <v>0</v>
      </c>
      <c r="DB341" s="9">
        <f t="shared" si="277"/>
        <v>0</v>
      </c>
      <c r="DC341" s="31" t="str">
        <f t="shared" si="278"/>
        <v>0</v>
      </c>
      <c r="DD341" s="9">
        <f>+Risultati!AV340</f>
        <v>0</v>
      </c>
      <c r="DE341" s="31" t="str">
        <f t="shared" si="279"/>
        <v>0</v>
      </c>
      <c r="DF341" s="9">
        <f>+Risultati!AJ340</f>
        <v>0</v>
      </c>
      <c r="DG341" s="31" t="str">
        <f t="shared" si="280"/>
        <v>0</v>
      </c>
      <c r="DH341" s="9">
        <f t="shared" si="281"/>
        <v>0</v>
      </c>
      <c r="DI341" s="31" t="str">
        <f t="shared" si="282"/>
        <v>0</v>
      </c>
      <c r="DJ341" s="9">
        <f>+Risultati!AW340</f>
        <v>0</v>
      </c>
      <c r="DK341" s="31" t="str">
        <f t="shared" si="283"/>
        <v>0</v>
      </c>
      <c r="DL341" s="10">
        <f t="shared" si="305"/>
        <v>0</v>
      </c>
      <c r="DM341" s="31" t="str">
        <f t="shared" si="284"/>
        <v>0</v>
      </c>
      <c r="DO341" s="30"/>
      <c r="DP341" s="30"/>
    </row>
    <row r="342" spans="1:120" x14ac:dyDescent="0.2">
      <c r="A342" s="5"/>
      <c r="B342" s="6">
        <f>+Risultati!B341</f>
        <v>0</v>
      </c>
      <c r="C342" s="6">
        <f>+Risultati!C341</f>
        <v>0</v>
      </c>
      <c r="D342" s="26" t="str">
        <f>IF(YEAR(Risultati!D341)=1900,(MID(Risultati!$AP$1,29,4)),YEAR(Risultati!D341))</f>
        <v/>
      </c>
      <c r="E342" s="6">
        <f>+Risultati!E341</f>
        <v>0</v>
      </c>
      <c r="F342" s="8" t="e">
        <f>(LEFT(Risultati!AN341,2)&amp;"-")&amp;VLOOKUP((LEFT(Risultati!AN341,2)),ateco!$B$4:$C$93,2,FALSE)</f>
        <v>#N/A</v>
      </c>
      <c r="G342" s="8" t="str">
        <f>SUBSTITUTE((Risultati!AN341&amp;"-"&amp;Risultati!AO341),",",";")</f>
        <v>-</v>
      </c>
      <c r="I342" s="10">
        <f>+Risultati!G341</f>
        <v>0</v>
      </c>
      <c r="J342" s="11" t="str">
        <f t="shared" si="287"/>
        <v>0</v>
      </c>
      <c r="K342" s="12"/>
      <c r="L342" s="10">
        <f>+Risultati!G341+Risultati!H341</f>
        <v>0</v>
      </c>
      <c r="M342" s="11" t="str">
        <f t="shared" si="288"/>
        <v>0</v>
      </c>
      <c r="N342" s="12"/>
      <c r="O342" s="10">
        <f>+Risultati!I341+Risultati!J341</f>
        <v>0</v>
      </c>
      <c r="P342" s="11" t="str">
        <f t="shared" si="289"/>
        <v>0</v>
      </c>
      <c r="Q342" s="12"/>
      <c r="R342" s="13">
        <f t="shared" si="255"/>
        <v>0</v>
      </c>
      <c r="S342" s="11" t="str">
        <f t="shared" si="290"/>
        <v>0</v>
      </c>
      <c r="T342" s="12"/>
      <c r="U342" s="10">
        <f>+Risultati!F341-(Risultati!G341+Risultati!H341)</f>
        <v>0</v>
      </c>
      <c r="V342" s="12" t="str">
        <f t="shared" si="291"/>
        <v>0</v>
      </c>
      <c r="W342" s="12"/>
      <c r="X342" s="10">
        <f t="shared" si="256"/>
        <v>0</v>
      </c>
      <c r="Y342" s="12" t="str">
        <f t="shared" si="292"/>
        <v>0</v>
      </c>
      <c r="Z342" s="12"/>
      <c r="AA342" s="10">
        <f>+Risultati!K341</f>
        <v>0</v>
      </c>
      <c r="AB342" s="12" t="str">
        <f t="shared" si="293"/>
        <v>0</v>
      </c>
      <c r="AC342" s="12"/>
      <c r="AD342" s="10">
        <f>+Risultati!L341</f>
        <v>0</v>
      </c>
      <c r="AE342" s="12" t="str">
        <f t="shared" si="294"/>
        <v>0</v>
      </c>
      <c r="AF342" s="12"/>
      <c r="AG342" s="10">
        <f>+Risultati!M341+Risultati!P341+Risultati!Q341</f>
        <v>0</v>
      </c>
      <c r="AH342" s="12" t="str">
        <f t="shared" si="295"/>
        <v>0</v>
      </c>
      <c r="AI342" s="12"/>
      <c r="AJ342" s="13">
        <f t="shared" si="257"/>
        <v>0</v>
      </c>
      <c r="AK342" s="11" t="str">
        <f t="shared" si="296"/>
        <v>0</v>
      </c>
      <c r="AL342" s="12"/>
      <c r="AM342" s="10">
        <f>+Risultati!N341</f>
        <v>0</v>
      </c>
      <c r="AN342" s="12" t="str">
        <f t="shared" si="297"/>
        <v>0</v>
      </c>
      <c r="AO342" s="12"/>
      <c r="AP342" s="10">
        <f t="shared" si="258"/>
        <v>0</v>
      </c>
      <c r="AQ342" s="41" t="str">
        <f t="shared" si="298"/>
        <v>0</v>
      </c>
      <c r="AR342" s="12"/>
      <c r="AS342" s="10">
        <f>+Risultati!O341</f>
        <v>0</v>
      </c>
      <c r="AT342" s="12" t="str">
        <f t="shared" si="299"/>
        <v>0</v>
      </c>
      <c r="AU342" s="12"/>
      <c r="AV342" s="10">
        <f t="shared" si="259"/>
        <v>0</v>
      </c>
      <c r="AW342" s="12" t="str">
        <f t="shared" si="300"/>
        <v>0</v>
      </c>
      <c r="AX342" s="12"/>
      <c r="AY342" s="10">
        <f>+Risultati!R341+Risultati!S341</f>
        <v>0</v>
      </c>
      <c r="AZ342" s="12" t="str">
        <f t="shared" si="301"/>
        <v>0</v>
      </c>
      <c r="BA342" s="12"/>
      <c r="BB342" s="10">
        <f>+Risultati!T341</f>
        <v>0</v>
      </c>
      <c r="BC342" s="12" t="str">
        <f t="shared" si="302"/>
        <v>0</v>
      </c>
      <c r="BD342" s="12"/>
      <c r="BE342" s="10">
        <f>+Risultati!U341</f>
        <v>0</v>
      </c>
      <c r="BF342" s="12" t="str">
        <f t="shared" si="303"/>
        <v>0</v>
      </c>
      <c r="BG342" s="12"/>
      <c r="BH342" s="10">
        <f t="shared" si="260"/>
        <v>0</v>
      </c>
      <c r="BI342" s="12" t="str">
        <f t="shared" si="304"/>
        <v>0</v>
      </c>
      <c r="BK342" s="16">
        <f>IF(ISNUMBER(Risultati!X341/100),(Risultati!X341/100))</f>
        <v>0</v>
      </c>
      <c r="BL342" s="16">
        <f>IF(ISNUMBER(Risultati!Y341/100),(Risultati!Y341/100))</f>
        <v>0</v>
      </c>
      <c r="BM342" s="16">
        <f>IF(ISNUMBER(Risultati!Z341/100),(Risultati!Z341/100))</f>
        <v>0</v>
      </c>
      <c r="BN342" s="16">
        <f>IF(AND(Risultati!AY341&lt;0,calcoli!AP342&lt;0),-IF(ISNUMBER(Risultati!AA341/100),(Risultati!AA341/100)),IF(ISNUMBER(Risultati!AA341/100),(Risultati!AA341/100)))</f>
        <v>0</v>
      </c>
      <c r="BO342" s="16" t="str">
        <f t="shared" si="285"/>
        <v>0</v>
      </c>
      <c r="BP342" s="16" t="str">
        <f>IF(Risultati!AB341&gt;0,(AV342/Risultati!AB341),"0")</f>
        <v>0</v>
      </c>
      <c r="BQ342" s="16" t="str">
        <f>IF(Risultati!AG341&lt;&gt;0,(BH342/Risultati!AG341),"0")</f>
        <v>0</v>
      </c>
      <c r="BR342" s="16" t="str">
        <f t="shared" si="286"/>
        <v>0</v>
      </c>
      <c r="BS342" s="14" t="str">
        <f>IF(Risultati!AB341&gt;0,(Risultati!G341/Risultati!AB341),"0")</f>
        <v>0</v>
      </c>
      <c r="BT342" s="15" t="str">
        <f>IF(Risultati!AG341&lt;&gt;0,(Risultati!AB341/Risultati!AG341),"0")</f>
        <v>0</v>
      </c>
      <c r="BU342" s="23" t="str">
        <f>IF(AND(Risultati!G341&gt;0,(Risultati!AE341-Risultati!AF341)&gt;=0),((Risultati!AE341-Risultati!AF341)/Risultati!G341*360),"0")</f>
        <v>0</v>
      </c>
      <c r="BV342" s="21" t="str">
        <f>IF(OR(E342="abbreviato",Risultati!G341=0),"0",((Risultati!AC341+Risultati!AD341)/Risultati!G341*360))</f>
        <v>0</v>
      </c>
      <c r="BW342" s="21" t="str">
        <f>IF(OR(E342="abbreviato",Risultati!G341=0,SUM(Risultati!I341+Risultati!K341+Risultati!M341)=0),"0",(((Risultati!AH341+Risultati!AI341)/(Risultati!I341+Risultati!K341+Risultati!N341)*360)))</f>
        <v>0</v>
      </c>
      <c r="BX342" s="16" t="str">
        <f>IF(Risultati!AB341&gt;0,(+Risultati!AG341/Risultati!AB341),"0")</f>
        <v>0</v>
      </c>
      <c r="BY342" s="22" t="str">
        <f>IF(OR(E342="abbreviato",Risultati!G341=0),"0",(((Risultati!AK341-(Risultati!AL341+Risultati!AM341))/Risultati!G341)))</f>
        <v>0</v>
      </c>
      <c r="BZ342" s="16" t="str">
        <f>IF(Risultati!G341&gt;0,(Risultati!AJ341/Risultati!G341),"0")</f>
        <v>0</v>
      </c>
      <c r="CA342" s="8"/>
      <c r="CB342" s="9">
        <f>+Risultati!AP341</f>
        <v>0</v>
      </c>
      <c r="CC342" s="31" t="str">
        <f t="shared" si="261"/>
        <v>0</v>
      </c>
      <c r="CD342" s="9">
        <f>+Risultati!AQ341</f>
        <v>0</v>
      </c>
      <c r="CE342" s="31" t="str">
        <f t="shared" si="262"/>
        <v>0</v>
      </c>
      <c r="CF342" s="9">
        <f>+Risultati!AR341</f>
        <v>0</v>
      </c>
      <c r="CG342" s="31" t="str">
        <f t="shared" si="263"/>
        <v>0</v>
      </c>
      <c r="CH342" s="9">
        <f>+Risultati!AS341</f>
        <v>0</v>
      </c>
      <c r="CI342" s="31" t="str">
        <f t="shared" si="264"/>
        <v>0</v>
      </c>
      <c r="CJ342" s="9">
        <f t="shared" si="265"/>
        <v>0</v>
      </c>
      <c r="CK342" s="31" t="str">
        <f t="shared" si="266"/>
        <v>0</v>
      </c>
      <c r="CL342" s="10">
        <f>+Risultati!AE341+Risultati!AF341</f>
        <v>0</v>
      </c>
      <c r="CM342" s="31" t="str">
        <f t="shared" si="267"/>
        <v>0</v>
      </c>
      <c r="CN342" s="9">
        <f>+Risultati!AT341</f>
        <v>0</v>
      </c>
      <c r="CO342" s="31" t="str">
        <f t="shared" si="268"/>
        <v>0</v>
      </c>
      <c r="CP342" s="9">
        <f>+Risultati!AU341</f>
        <v>0</v>
      </c>
      <c r="CQ342" s="31" t="str">
        <f t="shared" si="269"/>
        <v>0</v>
      </c>
      <c r="CR342" s="9">
        <f>+Risultati!AL341</f>
        <v>0</v>
      </c>
      <c r="CS342" s="31" t="str">
        <f t="shared" si="270"/>
        <v>0</v>
      </c>
      <c r="CT342" s="9">
        <f t="shared" si="271"/>
        <v>0</v>
      </c>
      <c r="CU342" s="31" t="str">
        <f t="shared" si="272"/>
        <v>0</v>
      </c>
      <c r="CV342" s="9">
        <f>+Risultati!AX341</f>
        <v>0</v>
      </c>
      <c r="CW342" s="31" t="str">
        <f t="shared" si="273"/>
        <v>0</v>
      </c>
      <c r="CX342" s="9">
        <f t="shared" si="274"/>
        <v>0</v>
      </c>
      <c r="CY342" s="31" t="str">
        <f t="shared" si="275"/>
        <v>0</v>
      </c>
      <c r="CZ342" s="9">
        <f>+Risultati!AG341</f>
        <v>0</v>
      </c>
      <c r="DA342" s="31" t="str">
        <f t="shared" si="276"/>
        <v>0</v>
      </c>
      <c r="DB342" s="9">
        <f t="shared" si="277"/>
        <v>0</v>
      </c>
      <c r="DC342" s="31" t="str">
        <f t="shared" si="278"/>
        <v>0</v>
      </c>
      <c r="DD342" s="9">
        <f>+Risultati!AV341</f>
        <v>0</v>
      </c>
      <c r="DE342" s="31" t="str">
        <f t="shared" si="279"/>
        <v>0</v>
      </c>
      <c r="DF342" s="9">
        <f>+Risultati!AJ341</f>
        <v>0</v>
      </c>
      <c r="DG342" s="31" t="str">
        <f t="shared" si="280"/>
        <v>0</v>
      </c>
      <c r="DH342" s="9">
        <f t="shared" si="281"/>
        <v>0</v>
      </c>
      <c r="DI342" s="31" t="str">
        <f t="shared" si="282"/>
        <v>0</v>
      </c>
      <c r="DJ342" s="9">
        <f>+Risultati!AW341</f>
        <v>0</v>
      </c>
      <c r="DK342" s="31" t="str">
        <f t="shared" si="283"/>
        <v>0</v>
      </c>
      <c r="DL342" s="10">
        <f t="shared" si="305"/>
        <v>0</v>
      </c>
      <c r="DM342" s="31" t="str">
        <f t="shared" si="284"/>
        <v>0</v>
      </c>
      <c r="DO342" s="30"/>
      <c r="DP342" s="30"/>
    </row>
    <row r="343" spans="1:120" x14ac:dyDescent="0.2">
      <c r="A343" s="5"/>
      <c r="B343" s="6">
        <f>+Risultati!B342</f>
        <v>0</v>
      </c>
      <c r="C343" s="6">
        <f>+Risultati!C342</f>
        <v>0</v>
      </c>
      <c r="D343" s="26" t="str">
        <f>IF(YEAR(Risultati!D342)=1900,(MID(Risultati!$AP$1,29,4)),YEAR(Risultati!D342))</f>
        <v/>
      </c>
      <c r="E343" s="6">
        <f>+Risultati!E342</f>
        <v>0</v>
      </c>
      <c r="F343" s="8" t="e">
        <f>(LEFT(Risultati!AN342,2)&amp;"-")&amp;VLOOKUP((LEFT(Risultati!AN342,2)),ateco!$B$4:$C$93,2,FALSE)</f>
        <v>#N/A</v>
      </c>
      <c r="G343" s="8" t="str">
        <f>SUBSTITUTE((Risultati!AN342&amp;"-"&amp;Risultati!AO342),",",";")</f>
        <v>-</v>
      </c>
      <c r="I343" s="10">
        <f>+Risultati!G342</f>
        <v>0</v>
      </c>
      <c r="J343" s="11" t="str">
        <f t="shared" si="287"/>
        <v>0</v>
      </c>
      <c r="K343" s="12"/>
      <c r="L343" s="10">
        <f>+Risultati!G342+Risultati!H342</f>
        <v>0</v>
      </c>
      <c r="M343" s="11" t="str">
        <f t="shared" si="288"/>
        <v>0</v>
      </c>
      <c r="N343" s="12"/>
      <c r="O343" s="10">
        <f>+Risultati!I342+Risultati!J342</f>
        <v>0</v>
      </c>
      <c r="P343" s="11" t="str">
        <f t="shared" si="289"/>
        <v>0</v>
      </c>
      <c r="Q343" s="12"/>
      <c r="R343" s="13">
        <f t="shared" si="255"/>
        <v>0</v>
      </c>
      <c r="S343" s="11" t="str">
        <f t="shared" si="290"/>
        <v>0</v>
      </c>
      <c r="T343" s="12"/>
      <c r="U343" s="10">
        <f>+Risultati!F342-(Risultati!G342+Risultati!H342)</f>
        <v>0</v>
      </c>
      <c r="V343" s="12" t="str">
        <f t="shared" si="291"/>
        <v>0</v>
      </c>
      <c r="W343" s="12"/>
      <c r="X343" s="10">
        <f t="shared" si="256"/>
        <v>0</v>
      </c>
      <c r="Y343" s="12" t="str">
        <f t="shared" si="292"/>
        <v>0</v>
      </c>
      <c r="Z343" s="12"/>
      <c r="AA343" s="10">
        <f>+Risultati!K342</f>
        <v>0</v>
      </c>
      <c r="AB343" s="12" t="str">
        <f t="shared" si="293"/>
        <v>0</v>
      </c>
      <c r="AC343" s="12"/>
      <c r="AD343" s="10">
        <f>+Risultati!L342</f>
        <v>0</v>
      </c>
      <c r="AE343" s="12" t="str">
        <f t="shared" si="294"/>
        <v>0</v>
      </c>
      <c r="AF343" s="12"/>
      <c r="AG343" s="10">
        <f>+Risultati!M342+Risultati!P342+Risultati!Q342</f>
        <v>0</v>
      </c>
      <c r="AH343" s="12" t="str">
        <f t="shared" si="295"/>
        <v>0</v>
      </c>
      <c r="AI343" s="12"/>
      <c r="AJ343" s="13">
        <f t="shared" si="257"/>
        <v>0</v>
      </c>
      <c r="AK343" s="11" t="str">
        <f t="shared" si="296"/>
        <v>0</v>
      </c>
      <c r="AL343" s="12"/>
      <c r="AM343" s="10">
        <f>+Risultati!N342</f>
        <v>0</v>
      </c>
      <c r="AN343" s="12" t="str">
        <f t="shared" si="297"/>
        <v>0</v>
      </c>
      <c r="AO343" s="12"/>
      <c r="AP343" s="10">
        <f t="shared" si="258"/>
        <v>0</v>
      </c>
      <c r="AQ343" s="41" t="str">
        <f t="shared" si="298"/>
        <v>0</v>
      </c>
      <c r="AR343" s="12"/>
      <c r="AS343" s="10">
        <f>+Risultati!O342</f>
        <v>0</v>
      </c>
      <c r="AT343" s="12" t="str">
        <f t="shared" si="299"/>
        <v>0</v>
      </c>
      <c r="AU343" s="12"/>
      <c r="AV343" s="10">
        <f t="shared" si="259"/>
        <v>0</v>
      </c>
      <c r="AW343" s="12" t="str">
        <f t="shared" si="300"/>
        <v>0</v>
      </c>
      <c r="AX343" s="12"/>
      <c r="AY343" s="10">
        <f>+Risultati!R342+Risultati!S342</f>
        <v>0</v>
      </c>
      <c r="AZ343" s="12" t="str">
        <f t="shared" si="301"/>
        <v>0</v>
      </c>
      <c r="BA343" s="12"/>
      <c r="BB343" s="10">
        <f>+Risultati!T342</f>
        <v>0</v>
      </c>
      <c r="BC343" s="12" t="str">
        <f t="shared" si="302"/>
        <v>0</v>
      </c>
      <c r="BD343" s="12"/>
      <c r="BE343" s="10">
        <f>+Risultati!U342</f>
        <v>0</v>
      </c>
      <c r="BF343" s="12" t="str">
        <f t="shared" si="303"/>
        <v>0</v>
      </c>
      <c r="BG343" s="12"/>
      <c r="BH343" s="10">
        <f t="shared" si="260"/>
        <v>0</v>
      </c>
      <c r="BI343" s="12" t="str">
        <f t="shared" si="304"/>
        <v>0</v>
      </c>
      <c r="BK343" s="16">
        <f>IF(ISNUMBER(Risultati!X342/100),(Risultati!X342/100))</f>
        <v>0</v>
      </c>
      <c r="BL343" s="16">
        <f>IF(ISNUMBER(Risultati!Y342/100),(Risultati!Y342/100))</f>
        <v>0</v>
      </c>
      <c r="BM343" s="16">
        <f>IF(ISNUMBER(Risultati!Z342/100),(Risultati!Z342/100))</f>
        <v>0</v>
      </c>
      <c r="BN343" s="16">
        <f>IF(AND(Risultati!AY342&lt;0,calcoli!AP343&lt;0),-IF(ISNUMBER(Risultati!AA342/100),(Risultati!AA342/100)),IF(ISNUMBER(Risultati!AA342/100),(Risultati!AA342/100)))</f>
        <v>0</v>
      </c>
      <c r="BO343" s="16" t="str">
        <f t="shared" si="285"/>
        <v>0</v>
      </c>
      <c r="BP343" s="16" t="str">
        <f>IF(Risultati!AB342&gt;0,(AV343/Risultati!AB342),"0")</f>
        <v>0</v>
      </c>
      <c r="BQ343" s="16" t="str">
        <f>IF(Risultati!AG342&lt;&gt;0,(BH343/Risultati!AG342),"0")</f>
        <v>0</v>
      </c>
      <c r="BR343" s="16" t="str">
        <f t="shared" si="286"/>
        <v>0</v>
      </c>
      <c r="BS343" s="14" t="str">
        <f>IF(Risultati!AB342&gt;0,(Risultati!G342/Risultati!AB342),"0")</f>
        <v>0</v>
      </c>
      <c r="BT343" s="15" t="str">
        <f>IF(Risultati!AG342&lt;&gt;0,(Risultati!AB342/Risultati!AG342),"0")</f>
        <v>0</v>
      </c>
      <c r="BU343" s="23" t="str">
        <f>IF(AND(Risultati!G342&gt;0,(Risultati!AE342-Risultati!AF342)&gt;=0),((Risultati!AE342-Risultati!AF342)/Risultati!G342*360),"0")</f>
        <v>0</v>
      </c>
      <c r="BV343" s="21" t="str">
        <f>IF(OR(E343="abbreviato",Risultati!G342=0),"0",((Risultati!AC342+Risultati!AD342)/Risultati!G342*360))</f>
        <v>0</v>
      </c>
      <c r="BW343" s="21" t="str">
        <f>IF(OR(E343="abbreviato",Risultati!G342=0,SUM(Risultati!I342+Risultati!K342+Risultati!M342)=0),"0",(((Risultati!AH342+Risultati!AI342)/(Risultati!I342+Risultati!K342+Risultati!N342)*360)))</f>
        <v>0</v>
      </c>
      <c r="BX343" s="16" t="str">
        <f>IF(Risultati!AB342&gt;0,(+Risultati!AG342/Risultati!AB342),"0")</f>
        <v>0</v>
      </c>
      <c r="BY343" s="22" t="str">
        <f>IF(OR(E343="abbreviato",Risultati!G342=0),"0",(((Risultati!AK342-(Risultati!AL342+Risultati!AM342))/Risultati!G342)))</f>
        <v>0</v>
      </c>
      <c r="BZ343" s="16" t="str">
        <f>IF(Risultati!G342&gt;0,(Risultati!AJ342/Risultati!G342),"0")</f>
        <v>0</v>
      </c>
      <c r="CA343" s="8"/>
      <c r="CB343" s="9">
        <f>+Risultati!AP342</f>
        <v>0</v>
      </c>
      <c r="CC343" s="31" t="str">
        <f t="shared" si="261"/>
        <v>0</v>
      </c>
      <c r="CD343" s="9">
        <f>+Risultati!AQ342</f>
        <v>0</v>
      </c>
      <c r="CE343" s="31" t="str">
        <f t="shared" si="262"/>
        <v>0</v>
      </c>
      <c r="CF343" s="9">
        <f>+Risultati!AR342</f>
        <v>0</v>
      </c>
      <c r="CG343" s="31" t="str">
        <f t="shared" si="263"/>
        <v>0</v>
      </c>
      <c r="CH343" s="9">
        <f>+Risultati!AS342</f>
        <v>0</v>
      </c>
      <c r="CI343" s="31" t="str">
        <f t="shared" si="264"/>
        <v>0</v>
      </c>
      <c r="CJ343" s="9">
        <f t="shared" si="265"/>
        <v>0</v>
      </c>
      <c r="CK343" s="31" t="str">
        <f t="shared" si="266"/>
        <v>0</v>
      </c>
      <c r="CL343" s="10">
        <f>+Risultati!AE342+Risultati!AF342</f>
        <v>0</v>
      </c>
      <c r="CM343" s="31" t="str">
        <f t="shared" si="267"/>
        <v>0</v>
      </c>
      <c r="CN343" s="9">
        <f>+Risultati!AT342</f>
        <v>0</v>
      </c>
      <c r="CO343" s="31" t="str">
        <f t="shared" si="268"/>
        <v>0</v>
      </c>
      <c r="CP343" s="9">
        <f>+Risultati!AU342</f>
        <v>0</v>
      </c>
      <c r="CQ343" s="31" t="str">
        <f t="shared" si="269"/>
        <v>0</v>
      </c>
      <c r="CR343" s="9">
        <f>+Risultati!AL342</f>
        <v>0</v>
      </c>
      <c r="CS343" s="31" t="str">
        <f t="shared" si="270"/>
        <v>0</v>
      </c>
      <c r="CT343" s="9">
        <f t="shared" si="271"/>
        <v>0</v>
      </c>
      <c r="CU343" s="31" t="str">
        <f t="shared" si="272"/>
        <v>0</v>
      </c>
      <c r="CV343" s="9">
        <f>+Risultati!AX342</f>
        <v>0</v>
      </c>
      <c r="CW343" s="31" t="str">
        <f t="shared" si="273"/>
        <v>0</v>
      </c>
      <c r="CX343" s="9">
        <f t="shared" si="274"/>
        <v>0</v>
      </c>
      <c r="CY343" s="31" t="str">
        <f t="shared" si="275"/>
        <v>0</v>
      </c>
      <c r="CZ343" s="9">
        <f>+Risultati!AG342</f>
        <v>0</v>
      </c>
      <c r="DA343" s="31" t="str">
        <f t="shared" si="276"/>
        <v>0</v>
      </c>
      <c r="DB343" s="9">
        <f t="shared" si="277"/>
        <v>0</v>
      </c>
      <c r="DC343" s="31" t="str">
        <f t="shared" si="278"/>
        <v>0</v>
      </c>
      <c r="DD343" s="9">
        <f>+Risultati!AV342</f>
        <v>0</v>
      </c>
      <c r="DE343" s="31" t="str">
        <f t="shared" si="279"/>
        <v>0</v>
      </c>
      <c r="DF343" s="9">
        <f>+Risultati!AJ342</f>
        <v>0</v>
      </c>
      <c r="DG343" s="31" t="str">
        <f t="shared" si="280"/>
        <v>0</v>
      </c>
      <c r="DH343" s="9">
        <f t="shared" si="281"/>
        <v>0</v>
      </c>
      <c r="DI343" s="31" t="str">
        <f t="shared" si="282"/>
        <v>0</v>
      </c>
      <c r="DJ343" s="9">
        <f>+Risultati!AW342</f>
        <v>0</v>
      </c>
      <c r="DK343" s="31" t="str">
        <f t="shared" si="283"/>
        <v>0</v>
      </c>
      <c r="DL343" s="10">
        <f t="shared" si="305"/>
        <v>0</v>
      </c>
      <c r="DM343" s="31" t="str">
        <f t="shared" si="284"/>
        <v>0</v>
      </c>
      <c r="DO343" s="30"/>
      <c r="DP343" s="30"/>
    </row>
    <row r="344" spans="1:120" x14ac:dyDescent="0.2">
      <c r="A344" s="5"/>
      <c r="B344" s="6">
        <f>+Risultati!B343</f>
        <v>0</v>
      </c>
      <c r="C344" s="6">
        <f>+Risultati!C343</f>
        <v>0</v>
      </c>
      <c r="D344" s="26" t="str">
        <f>IF(YEAR(Risultati!D343)=1900,(MID(Risultati!$AP$1,29,4)),YEAR(Risultati!D343))</f>
        <v/>
      </c>
      <c r="E344" s="6">
        <f>+Risultati!E343</f>
        <v>0</v>
      </c>
      <c r="F344" s="8" t="e">
        <f>(LEFT(Risultati!AN343,2)&amp;"-")&amp;VLOOKUP((LEFT(Risultati!AN343,2)),ateco!$B$4:$C$93,2,FALSE)</f>
        <v>#N/A</v>
      </c>
      <c r="G344" s="8" t="str">
        <f>SUBSTITUTE((Risultati!AN343&amp;"-"&amp;Risultati!AO343),",",";")</f>
        <v>-</v>
      </c>
      <c r="I344" s="10">
        <f>+Risultati!G343</f>
        <v>0</v>
      </c>
      <c r="J344" s="11" t="str">
        <f t="shared" si="287"/>
        <v>0</v>
      </c>
      <c r="K344" s="12"/>
      <c r="L344" s="10">
        <f>+Risultati!G343+Risultati!H343</f>
        <v>0</v>
      </c>
      <c r="M344" s="11" t="str">
        <f t="shared" si="288"/>
        <v>0</v>
      </c>
      <c r="N344" s="12"/>
      <c r="O344" s="10">
        <f>+Risultati!I343+Risultati!J343</f>
        <v>0</v>
      </c>
      <c r="P344" s="11" t="str">
        <f t="shared" si="289"/>
        <v>0</v>
      </c>
      <c r="Q344" s="12"/>
      <c r="R344" s="13">
        <f t="shared" si="255"/>
        <v>0</v>
      </c>
      <c r="S344" s="11" t="str">
        <f t="shared" si="290"/>
        <v>0</v>
      </c>
      <c r="T344" s="12"/>
      <c r="U344" s="10">
        <f>+Risultati!F343-(Risultati!G343+Risultati!H343)</f>
        <v>0</v>
      </c>
      <c r="V344" s="12" t="str">
        <f t="shared" si="291"/>
        <v>0</v>
      </c>
      <c r="W344" s="12"/>
      <c r="X344" s="10">
        <f t="shared" si="256"/>
        <v>0</v>
      </c>
      <c r="Y344" s="12" t="str">
        <f t="shared" si="292"/>
        <v>0</v>
      </c>
      <c r="Z344" s="12"/>
      <c r="AA344" s="10">
        <f>+Risultati!K343</f>
        <v>0</v>
      </c>
      <c r="AB344" s="12" t="str">
        <f t="shared" si="293"/>
        <v>0</v>
      </c>
      <c r="AC344" s="12"/>
      <c r="AD344" s="10">
        <f>+Risultati!L343</f>
        <v>0</v>
      </c>
      <c r="AE344" s="12" t="str">
        <f t="shared" si="294"/>
        <v>0</v>
      </c>
      <c r="AF344" s="12"/>
      <c r="AG344" s="10">
        <f>+Risultati!M343+Risultati!P343+Risultati!Q343</f>
        <v>0</v>
      </c>
      <c r="AH344" s="12" t="str">
        <f t="shared" si="295"/>
        <v>0</v>
      </c>
      <c r="AI344" s="12"/>
      <c r="AJ344" s="13">
        <f t="shared" si="257"/>
        <v>0</v>
      </c>
      <c r="AK344" s="11" t="str">
        <f t="shared" si="296"/>
        <v>0</v>
      </c>
      <c r="AL344" s="12"/>
      <c r="AM344" s="10">
        <f>+Risultati!N343</f>
        <v>0</v>
      </c>
      <c r="AN344" s="12" t="str">
        <f t="shared" si="297"/>
        <v>0</v>
      </c>
      <c r="AO344" s="12"/>
      <c r="AP344" s="10">
        <f t="shared" si="258"/>
        <v>0</v>
      </c>
      <c r="AQ344" s="41" t="str">
        <f t="shared" si="298"/>
        <v>0</v>
      </c>
      <c r="AR344" s="12"/>
      <c r="AS344" s="10">
        <f>+Risultati!O343</f>
        <v>0</v>
      </c>
      <c r="AT344" s="12" t="str">
        <f t="shared" si="299"/>
        <v>0</v>
      </c>
      <c r="AU344" s="12"/>
      <c r="AV344" s="10">
        <f t="shared" si="259"/>
        <v>0</v>
      </c>
      <c r="AW344" s="12" t="str">
        <f t="shared" si="300"/>
        <v>0</v>
      </c>
      <c r="AX344" s="12"/>
      <c r="AY344" s="10">
        <f>+Risultati!R343+Risultati!S343</f>
        <v>0</v>
      </c>
      <c r="AZ344" s="12" t="str">
        <f t="shared" si="301"/>
        <v>0</v>
      </c>
      <c r="BA344" s="12"/>
      <c r="BB344" s="10">
        <f>+Risultati!T343</f>
        <v>0</v>
      </c>
      <c r="BC344" s="12" t="str">
        <f t="shared" si="302"/>
        <v>0</v>
      </c>
      <c r="BD344" s="12"/>
      <c r="BE344" s="10">
        <f>+Risultati!U343</f>
        <v>0</v>
      </c>
      <c r="BF344" s="12" t="str">
        <f t="shared" si="303"/>
        <v>0</v>
      </c>
      <c r="BG344" s="12"/>
      <c r="BH344" s="10">
        <f t="shared" si="260"/>
        <v>0</v>
      </c>
      <c r="BI344" s="12" t="str">
        <f t="shared" si="304"/>
        <v>0</v>
      </c>
      <c r="BK344" s="16">
        <f>IF(ISNUMBER(Risultati!X343/100),(Risultati!X343/100))</f>
        <v>0</v>
      </c>
      <c r="BL344" s="16">
        <f>IF(ISNUMBER(Risultati!Y343/100),(Risultati!Y343/100))</f>
        <v>0</v>
      </c>
      <c r="BM344" s="16">
        <f>IF(ISNUMBER(Risultati!Z343/100),(Risultati!Z343/100))</f>
        <v>0</v>
      </c>
      <c r="BN344" s="16">
        <f>IF(AND(Risultati!AY343&lt;0,calcoli!AP344&lt;0),-IF(ISNUMBER(Risultati!AA343/100),(Risultati!AA343/100)),IF(ISNUMBER(Risultati!AA343/100),(Risultati!AA343/100)))</f>
        <v>0</v>
      </c>
      <c r="BO344" s="16" t="str">
        <f t="shared" si="285"/>
        <v>0</v>
      </c>
      <c r="BP344" s="16" t="str">
        <f>IF(Risultati!AB343&gt;0,(AV344/Risultati!AB343),"0")</f>
        <v>0</v>
      </c>
      <c r="BQ344" s="16" t="str">
        <f>IF(Risultati!AG343&lt;&gt;0,(BH344/Risultati!AG343),"0")</f>
        <v>0</v>
      </c>
      <c r="BR344" s="16" t="str">
        <f t="shared" si="286"/>
        <v>0</v>
      </c>
      <c r="BS344" s="14" t="str">
        <f>IF(Risultati!AB343&gt;0,(Risultati!G343/Risultati!AB343),"0")</f>
        <v>0</v>
      </c>
      <c r="BT344" s="15" t="str">
        <f>IF(Risultati!AG343&lt;&gt;0,(Risultati!AB343/Risultati!AG343),"0")</f>
        <v>0</v>
      </c>
      <c r="BU344" s="23" t="str">
        <f>IF(AND(Risultati!G343&gt;0,(Risultati!AE343-Risultati!AF343)&gt;=0),((Risultati!AE343-Risultati!AF343)/Risultati!G343*360),"0")</f>
        <v>0</v>
      </c>
      <c r="BV344" s="21" t="str">
        <f>IF(OR(E344="abbreviato",Risultati!G343=0),"0",((Risultati!AC343+Risultati!AD343)/Risultati!G343*360))</f>
        <v>0</v>
      </c>
      <c r="BW344" s="21" t="str">
        <f>IF(OR(E344="abbreviato",Risultati!G343=0,SUM(Risultati!I343+Risultati!K343+Risultati!M343)=0),"0",(((Risultati!AH343+Risultati!AI343)/(Risultati!I343+Risultati!K343+Risultati!N343)*360)))</f>
        <v>0</v>
      </c>
      <c r="BX344" s="16" t="str">
        <f>IF(Risultati!AB343&gt;0,(+Risultati!AG343/Risultati!AB343),"0")</f>
        <v>0</v>
      </c>
      <c r="BY344" s="22" t="str">
        <f>IF(OR(E344="abbreviato",Risultati!G343=0),"0",(((Risultati!AK343-(Risultati!AL343+Risultati!AM343))/Risultati!G343)))</f>
        <v>0</v>
      </c>
      <c r="BZ344" s="16" t="str">
        <f>IF(Risultati!G343&gt;0,(Risultati!AJ343/Risultati!G343),"0")</f>
        <v>0</v>
      </c>
      <c r="CA344" s="8"/>
      <c r="CB344" s="9">
        <f>+Risultati!AP343</f>
        <v>0</v>
      </c>
      <c r="CC344" s="31" t="str">
        <f t="shared" si="261"/>
        <v>0</v>
      </c>
      <c r="CD344" s="9">
        <f>+Risultati!AQ343</f>
        <v>0</v>
      </c>
      <c r="CE344" s="31" t="str">
        <f t="shared" si="262"/>
        <v>0</v>
      </c>
      <c r="CF344" s="9">
        <f>+Risultati!AR343</f>
        <v>0</v>
      </c>
      <c r="CG344" s="31" t="str">
        <f t="shared" si="263"/>
        <v>0</v>
      </c>
      <c r="CH344" s="9">
        <f>+Risultati!AS343</f>
        <v>0</v>
      </c>
      <c r="CI344" s="31" t="str">
        <f t="shared" si="264"/>
        <v>0</v>
      </c>
      <c r="CJ344" s="9">
        <f t="shared" si="265"/>
        <v>0</v>
      </c>
      <c r="CK344" s="31" t="str">
        <f t="shared" si="266"/>
        <v>0</v>
      </c>
      <c r="CL344" s="10">
        <f>+Risultati!AE343+Risultati!AF343</f>
        <v>0</v>
      </c>
      <c r="CM344" s="31" t="str">
        <f t="shared" si="267"/>
        <v>0</v>
      </c>
      <c r="CN344" s="9">
        <f>+Risultati!AT343</f>
        <v>0</v>
      </c>
      <c r="CO344" s="31" t="str">
        <f t="shared" si="268"/>
        <v>0</v>
      </c>
      <c r="CP344" s="9">
        <f>+Risultati!AU343</f>
        <v>0</v>
      </c>
      <c r="CQ344" s="31" t="str">
        <f t="shared" si="269"/>
        <v>0</v>
      </c>
      <c r="CR344" s="9">
        <f>+Risultati!AL343</f>
        <v>0</v>
      </c>
      <c r="CS344" s="31" t="str">
        <f t="shared" si="270"/>
        <v>0</v>
      </c>
      <c r="CT344" s="9">
        <f t="shared" si="271"/>
        <v>0</v>
      </c>
      <c r="CU344" s="31" t="str">
        <f t="shared" si="272"/>
        <v>0</v>
      </c>
      <c r="CV344" s="9">
        <f>+Risultati!AX343</f>
        <v>0</v>
      </c>
      <c r="CW344" s="31" t="str">
        <f t="shared" si="273"/>
        <v>0</v>
      </c>
      <c r="CX344" s="9">
        <f t="shared" si="274"/>
        <v>0</v>
      </c>
      <c r="CY344" s="31" t="str">
        <f t="shared" si="275"/>
        <v>0</v>
      </c>
      <c r="CZ344" s="9">
        <f>+Risultati!AG343</f>
        <v>0</v>
      </c>
      <c r="DA344" s="31" t="str">
        <f t="shared" si="276"/>
        <v>0</v>
      </c>
      <c r="DB344" s="9">
        <f t="shared" si="277"/>
        <v>0</v>
      </c>
      <c r="DC344" s="31" t="str">
        <f t="shared" si="278"/>
        <v>0</v>
      </c>
      <c r="DD344" s="9">
        <f>+Risultati!AV343</f>
        <v>0</v>
      </c>
      <c r="DE344" s="31" t="str">
        <f t="shared" si="279"/>
        <v>0</v>
      </c>
      <c r="DF344" s="9">
        <f>+Risultati!AJ343</f>
        <v>0</v>
      </c>
      <c r="DG344" s="31" t="str">
        <f t="shared" si="280"/>
        <v>0</v>
      </c>
      <c r="DH344" s="9">
        <f t="shared" si="281"/>
        <v>0</v>
      </c>
      <c r="DI344" s="31" t="str">
        <f t="shared" si="282"/>
        <v>0</v>
      </c>
      <c r="DJ344" s="9">
        <f>+Risultati!AW343</f>
        <v>0</v>
      </c>
      <c r="DK344" s="31" t="str">
        <f t="shared" si="283"/>
        <v>0</v>
      </c>
      <c r="DL344" s="10">
        <f t="shared" si="305"/>
        <v>0</v>
      </c>
      <c r="DM344" s="31" t="str">
        <f t="shared" si="284"/>
        <v>0</v>
      </c>
      <c r="DO344" s="30"/>
      <c r="DP344" s="30"/>
    </row>
    <row r="345" spans="1:120" x14ac:dyDescent="0.2">
      <c r="A345" s="5"/>
      <c r="B345" s="6">
        <f>+Risultati!B344</f>
        <v>0</v>
      </c>
      <c r="C345" s="6">
        <f>+Risultati!C344</f>
        <v>0</v>
      </c>
      <c r="D345" s="26" t="str">
        <f>IF(YEAR(Risultati!D344)=1900,(MID(Risultati!$AP$1,29,4)),YEAR(Risultati!D344))</f>
        <v/>
      </c>
      <c r="E345" s="6">
        <f>+Risultati!E344</f>
        <v>0</v>
      </c>
      <c r="F345" s="8" t="e">
        <f>(LEFT(Risultati!AN344,2)&amp;"-")&amp;VLOOKUP((LEFT(Risultati!AN344,2)),ateco!$B$4:$C$93,2,FALSE)</f>
        <v>#N/A</v>
      </c>
      <c r="G345" s="8" t="str">
        <f>SUBSTITUTE((Risultati!AN344&amp;"-"&amp;Risultati!AO344),",",";")</f>
        <v>-</v>
      </c>
      <c r="I345" s="10">
        <f>+Risultati!G344</f>
        <v>0</v>
      </c>
      <c r="J345" s="11" t="str">
        <f t="shared" si="287"/>
        <v>0</v>
      </c>
      <c r="K345" s="12"/>
      <c r="L345" s="10">
        <f>+Risultati!G344+Risultati!H344</f>
        <v>0</v>
      </c>
      <c r="M345" s="11" t="str">
        <f t="shared" si="288"/>
        <v>0</v>
      </c>
      <c r="N345" s="12"/>
      <c r="O345" s="10">
        <f>+Risultati!I344+Risultati!J344</f>
        <v>0</v>
      </c>
      <c r="P345" s="11" t="str">
        <f t="shared" si="289"/>
        <v>0</v>
      </c>
      <c r="Q345" s="12"/>
      <c r="R345" s="13">
        <f t="shared" si="255"/>
        <v>0</v>
      </c>
      <c r="S345" s="11" t="str">
        <f t="shared" si="290"/>
        <v>0</v>
      </c>
      <c r="T345" s="12"/>
      <c r="U345" s="10">
        <f>+Risultati!F344-(Risultati!G344+Risultati!H344)</f>
        <v>0</v>
      </c>
      <c r="V345" s="12" t="str">
        <f t="shared" si="291"/>
        <v>0</v>
      </c>
      <c r="W345" s="12"/>
      <c r="X345" s="10">
        <f t="shared" si="256"/>
        <v>0</v>
      </c>
      <c r="Y345" s="12" t="str">
        <f t="shared" si="292"/>
        <v>0</v>
      </c>
      <c r="Z345" s="12"/>
      <c r="AA345" s="10">
        <f>+Risultati!K344</f>
        <v>0</v>
      </c>
      <c r="AB345" s="12" t="str">
        <f t="shared" si="293"/>
        <v>0</v>
      </c>
      <c r="AC345" s="12"/>
      <c r="AD345" s="10">
        <f>+Risultati!L344</f>
        <v>0</v>
      </c>
      <c r="AE345" s="12" t="str">
        <f t="shared" si="294"/>
        <v>0</v>
      </c>
      <c r="AF345" s="12"/>
      <c r="AG345" s="10">
        <f>+Risultati!M344+Risultati!P344+Risultati!Q344</f>
        <v>0</v>
      </c>
      <c r="AH345" s="12" t="str">
        <f t="shared" si="295"/>
        <v>0</v>
      </c>
      <c r="AI345" s="12"/>
      <c r="AJ345" s="13">
        <f t="shared" si="257"/>
        <v>0</v>
      </c>
      <c r="AK345" s="11" t="str">
        <f t="shared" si="296"/>
        <v>0</v>
      </c>
      <c r="AL345" s="12"/>
      <c r="AM345" s="10">
        <f>+Risultati!N344</f>
        <v>0</v>
      </c>
      <c r="AN345" s="12" t="str">
        <f t="shared" si="297"/>
        <v>0</v>
      </c>
      <c r="AO345" s="12"/>
      <c r="AP345" s="10">
        <f t="shared" si="258"/>
        <v>0</v>
      </c>
      <c r="AQ345" s="41" t="str">
        <f t="shared" si="298"/>
        <v>0</v>
      </c>
      <c r="AR345" s="12"/>
      <c r="AS345" s="10">
        <f>+Risultati!O344</f>
        <v>0</v>
      </c>
      <c r="AT345" s="12" t="str">
        <f t="shared" si="299"/>
        <v>0</v>
      </c>
      <c r="AU345" s="12"/>
      <c r="AV345" s="10">
        <f t="shared" si="259"/>
        <v>0</v>
      </c>
      <c r="AW345" s="12" t="str">
        <f t="shared" si="300"/>
        <v>0</v>
      </c>
      <c r="AX345" s="12"/>
      <c r="AY345" s="10">
        <f>+Risultati!R344+Risultati!S344</f>
        <v>0</v>
      </c>
      <c r="AZ345" s="12" t="str">
        <f t="shared" si="301"/>
        <v>0</v>
      </c>
      <c r="BA345" s="12"/>
      <c r="BB345" s="10">
        <f>+Risultati!T344</f>
        <v>0</v>
      </c>
      <c r="BC345" s="12" t="str">
        <f t="shared" si="302"/>
        <v>0</v>
      </c>
      <c r="BD345" s="12"/>
      <c r="BE345" s="10">
        <f>+Risultati!U344</f>
        <v>0</v>
      </c>
      <c r="BF345" s="12" t="str">
        <f t="shared" si="303"/>
        <v>0</v>
      </c>
      <c r="BG345" s="12"/>
      <c r="BH345" s="10">
        <f t="shared" si="260"/>
        <v>0</v>
      </c>
      <c r="BI345" s="12" t="str">
        <f t="shared" si="304"/>
        <v>0</v>
      </c>
      <c r="BK345" s="16">
        <f>IF(ISNUMBER(Risultati!X344/100),(Risultati!X344/100))</f>
        <v>0</v>
      </c>
      <c r="BL345" s="16">
        <f>IF(ISNUMBER(Risultati!Y344/100),(Risultati!Y344/100))</f>
        <v>0</v>
      </c>
      <c r="BM345" s="16">
        <f>IF(ISNUMBER(Risultati!Z344/100),(Risultati!Z344/100))</f>
        <v>0</v>
      </c>
      <c r="BN345" s="16">
        <f>IF(AND(Risultati!AY344&lt;0,calcoli!AP345&lt;0),-IF(ISNUMBER(Risultati!AA344/100),(Risultati!AA344/100)),IF(ISNUMBER(Risultati!AA344/100),(Risultati!AA344/100)))</f>
        <v>0</v>
      </c>
      <c r="BO345" s="16" t="str">
        <f t="shared" si="285"/>
        <v>0</v>
      </c>
      <c r="BP345" s="16" t="str">
        <f>IF(Risultati!AB344&gt;0,(AV345/Risultati!AB344),"0")</f>
        <v>0</v>
      </c>
      <c r="BQ345" s="16" t="str">
        <f>IF(Risultati!AG344&lt;&gt;0,(BH345/Risultati!AG344),"0")</f>
        <v>0</v>
      </c>
      <c r="BR345" s="16" t="str">
        <f t="shared" si="286"/>
        <v>0</v>
      </c>
      <c r="BS345" s="14" t="str">
        <f>IF(Risultati!AB344&gt;0,(Risultati!G344/Risultati!AB344),"0")</f>
        <v>0</v>
      </c>
      <c r="BT345" s="15" t="str">
        <f>IF(Risultati!AG344&lt;&gt;0,(Risultati!AB344/Risultati!AG344),"0")</f>
        <v>0</v>
      </c>
      <c r="BU345" s="23" t="str">
        <f>IF(AND(Risultati!G344&gt;0,(Risultati!AE344-Risultati!AF344)&gt;=0),((Risultati!AE344-Risultati!AF344)/Risultati!G344*360),"0")</f>
        <v>0</v>
      </c>
      <c r="BV345" s="21" t="str">
        <f>IF(OR(E345="abbreviato",Risultati!G344=0),"0",((Risultati!AC344+Risultati!AD344)/Risultati!G344*360))</f>
        <v>0</v>
      </c>
      <c r="BW345" s="21" t="str">
        <f>IF(OR(E345="abbreviato",Risultati!G344=0,SUM(Risultati!I344+Risultati!K344+Risultati!M344)=0),"0",(((Risultati!AH344+Risultati!AI344)/(Risultati!I344+Risultati!K344+Risultati!N344)*360)))</f>
        <v>0</v>
      </c>
      <c r="BX345" s="16" t="str">
        <f>IF(Risultati!AB344&gt;0,(+Risultati!AG344/Risultati!AB344),"0")</f>
        <v>0</v>
      </c>
      <c r="BY345" s="22" t="str">
        <f>IF(OR(E345="abbreviato",Risultati!G344=0),"0",(((Risultati!AK344-(Risultati!AL344+Risultati!AM344))/Risultati!G344)))</f>
        <v>0</v>
      </c>
      <c r="BZ345" s="16" t="str">
        <f>IF(Risultati!G344&gt;0,(Risultati!AJ344/Risultati!G344),"0")</f>
        <v>0</v>
      </c>
      <c r="CA345" s="8"/>
      <c r="CB345" s="9">
        <f>+Risultati!AP344</f>
        <v>0</v>
      </c>
      <c r="CC345" s="31" t="str">
        <f t="shared" si="261"/>
        <v>0</v>
      </c>
      <c r="CD345" s="9">
        <f>+Risultati!AQ344</f>
        <v>0</v>
      </c>
      <c r="CE345" s="31" t="str">
        <f t="shared" si="262"/>
        <v>0</v>
      </c>
      <c r="CF345" s="9">
        <f>+Risultati!AR344</f>
        <v>0</v>
      </c>
      <c r="CG345" s="31" t="str">
        <f t="shared" si="263"/>
        <v>0</v>
      </c>
      <c r="CH345" s="9">
        <f>+Risultati!AS344</f>
        <v>0</v>
      </c>
      <c r="CI345" s="31" t="str">
        <f t="shared" si="264"/>
        <v>0</v>
      </c>
      <c r="CJ345" s="9">
        <f t="shared" si="265"/>
        <v>0</v>
      </c>
      <c r="CK345" s="31" t="str">
        <f t="shared" si="266"/>
        <v>0</v>
      </c>
      <c r="CL345" s="10">
        <f>+Risultati!AE344+Risultati!AF344</f>
        <v>0</v>
      </c>
      <c r="CM345" s="31" t="str">
        <f t="shared" si="267"/>
        <v>0</v>
      </c>
      <c r="CN345" s="9">
        <f>+Risultati!AT344</f>
        <v>0</v>
      </c>
      <c r="CO345" s="31" t="str">
        <f t="shared" si="268"/>
        <v>0</v>
      </c>
      <c r="CP345" s="9">
        <f>+Risultati!AU344</f>
        <v>0</v>
      </c>
      <c r="CQ345" s="31" t="str">
        <f t="shared" si="269"/>
        <v>0</v>
      </c>
      <c r="CR345" s="9">
        <f>+Risultati!AL344</f>
        <v>0</v>
      </c>
      <c r="CS345" s="31" t="str">
        <f t="shared" si="270"/>
        <v>0</v>
      </c>
      <c r="CT345" s="9">
        <f t="shared" si="271"/>
        <v>0</v>
      </c>
      <c r="CU345" s="31" t="str">
        <f t="shared" si="272"/>
        <v>0</v>
      </c>
      <c r="CV345" s="9">
        <f>+Risultati!AX344</f>
        <v>0</v>
      </c>
      <c r="CW345" s="31" t="str">
        <f t="shared" si="273"/>
        <v>0</v>
      </c>
      <c r="CX345" s="9">
        <f t="shared" si="274"/>
        <v>0</v>
      </c>
      <c r="CY345" s="31" t="str">
        <f t="shared" si="275"/>
        <v>0</v>
      </c>
      <c r="CZ345" s="9">
        <f>+Risultati!AG344</f>
        <v>0</v>
      </c>
      <c r="DA345" s="31" t="str">
        <f t="shared" si="276"/>
        <v>0</v>
      </c>
      <c r="DB345" s="9">
        <f t="shared" si="277"/>
        <v>0</v>
      </c>
      <c r="DC345" s="31" t="str">
        <f t="shared" si="278"/>
        <v>0</v>
      </c>
      <c r="DD345" s="9">
        <f>+Risultati!AV344</f>
        <v>0</v>
      </c>
      <c r="DE345" s="31" t="str">
        <f t="shared" si="279"/>
        <v>0</v>
      </c>
      <c r="DF345" s="9">
        <f>+Risultati!AJ344</f>
        <v>0</v>
      </c>
      <c r="DG345" s="31" t="str">
        <f t="shared" si="280"/>
        <v>0</v>
      </c>
      <c r="DH345" s="9">
        <f t="shared" si="281"/>
        <v>0</v>
      </c>
      <c r="DI345" s="31" t="str">
        <f t="shared" si="282"/>
        <v>0</v>
      </c>
      <c r="DJ345" s="9">
        <f>+Risultati!AW344</f>
        <v>0</v>
      </c>
      <c r="DK345" s="31" t="str">
        <f t="shared" si="283"/>
        <v>0</v>
      </c>
      <c r="DL345" s="10">
        <f t="shared" si="305"/>
        <v>0</v>
      </c>
      <c r="DM345" s="31" t="str">
        <f t="shared" si="284"/>
        <v>0</v>
      </c>
      <c r="DO345" s="30"/>
      <c r="DP345" s="30"/>
    </row>
    <row r="346" spans="1:120" x14ac:dyDescent="0.2">
      <c r="A346" s="5"/>
      <c r="B346" s="6">
        <f>+Risultati!B345</f>
        <v>0</v>
      </c>
      <c r="C346" s="6">
        <f>+Risultati!C345</f>
        <v>0</v>
      </c>
      <c r="D346" s="26" t="str">
        <f>IF(YEAR(Risultati!D345)=1900,(MID(Risultati!$AP$1,29,4)),YEAR(Risultati!D345))</f>
        <v/>
      </c>
      <c r="E346" s="6">
        <f>+Risultati!E345</f>
        <v>0</v>
      </c>
      <c r="F346" s="8" t="e">
        <f>(LEFT(Risultati!AN345,2)&amp;"-")&amp;VLOOKUP((LEFT(Risultati!AN345,2)),ateco!$B$4:$C$93,2,FALSE)</f>
        <v>#N/A</v>
      </c>
      <c r="G346" s="8" t="str">
        <f>SUBSTITUTE((Risultati!AN345&amp;"-"&amp;Risultati!AO345),",",";")</f>
        <v>-</v>
      </c>
      <c r="I346" s="10">
        <f>+Risultati!G345</f>
        <v>0</v>
      </c>
      <c r="J346" s="11" t="str">
        <f t="shared" si="287"/>
        <v>0</v>
      </c>
      <c r="K346" s="12"/>
      <c r="L346" s="10">
        <f>+Risultati!G345+Risultati!H345</f>
        <v>0</v>
      </c>
      <c r="M346" s="11" t="str">
        <f t="shared" si="288"/>
        <v>0</v>
      </c>
      <c r="N346" s="12"/>
      <c r="O346" s="10">
        <f>+Risultati!I345+Risultati!J345</f>
        <v>0</v>
      </c>
      <c r="P346" s="11" t="str">
        <f t="shared" si="289"/>
        <v>0</v>
      </c>
      <c r="Q346" s="12"/>
      <c r="R346" s="13">
        <f t="shared" ref="R346:R409" si="306">+L346-O346</f>
        <v>0</v>
      </c>
      <c r="S346" s="11" t="str">
        <f t="shared" si="290"/>
        <v>0</v>
      </c>
      <c r="T346" s="12"/>
      <c r="U346" s="10">
        <f>+Risultati!F345-(Risultati!G345+Risultati!H345)</f>
        <v>0</v>
      </c>
      <c r="V346" s="12" t="str">
        <f t="shared" si="291"/>
        <v>0</v>
      </c>
      <c r="W346" s="12"/>
      <c r="X346" s="10">
        <f t="shared" ref="X346:X409" si="307">+U346+R346</f>
        <v>0</v>
      </c>
      <c r="Y346" s="12" t="str">
        <f t="shared" si="292"/>
        <v>0</v>
      </c>
      <c r="Z346" s="12"/>
      <c r="AA346" s="10">
        <f>+Risultati!K345</f>
        <v>0</v>
      </c>
      <c r="AB346" s="12" t="str">
        <f t="shared" si="293"/>
        <v>0</v>
      </c>
      <c r="AC346" s="12"/>
      <c r="AD346" s="10">
        <f>+Risultati!L345</f>
        <v>0</v>
      </c>
      <c r="AE346" s="12" t="str">
        <f t="shared" si="294"/>
        <v>0</v>
      </c>
      <c r="AF346" s="12"/>
      <c r="AG346" s="10">
        <f>+Risultati!M345+Risultati!P345+Risultati!Q345</f>
        <v>0</v>
      </c>
      <c r="AH346" s="12" t="str">
        <f t="shared" si="295"/>
        <v>0</v>
      </c>
      <c r="AI346" s="12"/>
      <c r="AJ346" s="13">
        <f t="shared" ref="AJ346:AJ409" si="308">+X346-AA346-AD346-AG346</f>
        <v>0</v>
      </c>
      <c r="AK346" s="11" t="str">
        <f t="shared" si="296"/>
        <v>0</v>
      </c>
      <c r="AL346" s="12"/>
      <c r="AM346" s="10">
        <f>+Risultati!N345</f>
        <v>0</v>
      </c>
      <c r="AN346" s="12" t="str">
        <f t="shared" si="297"/>
        <v>0</v>
      </c>
      <c r="AO346" s="12"/>
      <c r="AP346" s="10">
        <f t="shared" ref="AP346:AP409" si="309">+AJ346-AM346</f>
        <v>0</v>
      </c>
      <c r="AQ346" s="41" t="str">
        <f t="shared" si="298"/>
        <v>0</v>
      </c>
      <c r="AR346" s="12"/>
      <c r="AS346" s="10">
        <f>+Risultati!O345</f>
        <v>0</v>
      </c>
      <c r="AT346" s="12" t="str">
        <f t="shared" si="299"/>
        <v>0</v>
      </c>
      <c r="AU346" s="12"/>
      <c r="AV346" s="10">
        <f t="shared" ref="AV346:AV409" si="310">+AP346-AS346</f>
        <v>0</v>
      </c>
      <c r="AW346" s="12" t="str">
        <f t="shared" si="300"/>
        <v>0</v>
      </c>
      <c r="AX346" s="12"/>
      <c r="AY346" s="10">
        <f>+Risultati!R345+Risultati!S345</f>
        <v>0</v>
      </c>
      <c r="AZ346" s="12" t="str">
        <f t="shared" si="301"/>
        <v>0</v>
      </c>
      <c r="BA346" s="12"/>
      <c r="BB346" s="10">
        <f>+Risultati!T345</f>
        <v>0</v>
      </c>
      <c r="BC346" s="12" t="str">
        <f t="shared" si="302"/>
        <v>0</v>
      </c>
      <c r="BD346" s="12"/>
      <c r="BE346" s="10">
        <f>+Risultati!U345</f>
        <v>0</v>
      </c>
      <c r="BF346" s="12" t="str">
        <f t="shared" si="303"/>
        <v>0</v>
      </c>
      <c r="BG346" s="12"/>
      <c r="BH346" s="10">
        <f t="shared" ref="BH346:BH409" si="311">+AV346+AY346+BB346-BE346</f>
        <v>0</v>
      </c>
      <c r="BI346" s="12" t="str">
        <f t="shared" si="304"/>
        <v>0</v>
      </c>
      <c r="BK346" s="16">
        <f>IF(ISNUMBER(Risultati!X345/100),(Risultati!X345/100))</f>
        <v>0</v>
      </c>
      <c r="BL346" s="16">
        <f>IF(ISNUMBER(Risultati!Y345/100),(Risultati!Y345/100))</f>
        <v>0</v>
      </c>
      <c r="BM346" s="16">
        <f>IF(ISNUMBER(Risultati!Z345/100),(Risultati!Z345/100))</f>
        <v>0</v>
      </c>
      <c r="BN346" s="16">
        <f>IF(AND(Risultati!AY345&lt;0,calcoli!AP346&lt;0),-IF(ISNUMBER(Risultati!AA345/100),(Risultati!AA345/100)),IF(ISNUMBER(Risultati!AA345/100),(Risultati!AA345/100)))</f>
        <v>0</v>
      </c>
      <c r="BO346" s="16" t="str">
        <f t="shared" si="285"/>
        <v>0</v>
      </c>
      <c r="BP346" s="16" t="str">
        <f>IF(Risultati!AB345&gt;0,(AV346/Risultati!AB345),"0")</f>
        <v>0</v>
      </c>
      <c r="BQ346" s="16" t="str">
        <f>IF(Risultati!AG345&lt;&gt;0,(BH346/Risultati!AG345),"0")</f>
        <v>0</v>
      </c>
      <c r="BR346" s="16" t="str">
        <f t="shared" si="286"/>
        <v>0</v>
      </c>
      <c r="BS346" s="14" t="str">
        <f>IF(Risultati!AB345&gt;0,(Risultati!G345/Risultati!AB345),"0")</f>
        <v>0</v>
      </c>
      <c r="BT346" s="15" t="str">
        <f>IF(Risultati!AG345&lt;&gt;0,(Risultati!AB345/Risultati!AG345),"0")</f>
        <v>0</v>
      </c>
      <c r="BU346" s="23" t="str">
        <f>IF(AND(Risultati!G345&gt;0,(Risultati!AE345-Risultati!AF345)&gt;=0),((Risultati!AE345-Risultati!AF345)/Risultati!G345*360),"0")</f>
        <v>0</v>
      </c>
      <c r="BV346" s="21" t="str">
        <f>IF(OR(E346="abbreviato",Risultati!G345=0),"0",((Risultati!AC345+Risultati!AD345)/Risultati!G345*360))</f>
        <v>0</v>
      </c>
      <c r="BW346" s="21" t="str">
        <f>IF(OR(E346="abbreviato",Risultati!G345=0,SUM(Risultati!I345+Risultati!K345+Risultati!M345)=0),"0",(((Risultati!AH345+Risultati!AI345)/(Risultati!I345+Risultati!K345+Risultati!N345)*360)))</f>
        <v>0</v>
      </c>
      <c r="BX346" s="16" t="str">
        <f>IF(Risultati!AB345&gt;0,(+Risultati!AG345/Risultati!AB345),"0")</f>
        <v>0</v>
      </c>
      <c r="BY346" s="22" t="str">
        <f>IF(OR(E346="abbreviato",Risultati!G345=0),"0",(((Risultati!AK345-(Risultati!AL345+Risultati!AM345))/Risultati!G345)))</f>
        <v>0</v>
      </c>
      <c r="BZ346" s="16" t="str">
        <f>IF(Risultati!G345&gt;0,(Risultati!AJ345/Risultati!G345),"0")</f>
        <v>0</v>
      </c>
      <c r="CA346" s="8"/>
      <c r="CB346" s="9">
        <f>+Risultati!AP345</f>
        <v>0</v>
      </c>
      <c r="CC346" s="31" t="str">
        <f t="shared" ref="CC346:CC409" si="312">IF($CX346&gt;0,(CB346/$CX346),"0")</f>
        <v>0</v>
      </c>
      <c r="CD346" s="9">
        <f>+Risultati!AQ345</f>
        <v>0</v>
      </c>
      <c r="CE346" s="31" t="str">
        <f t="shared" ref="CE346:CE409" si="313">IF($CX346&gt;0,(CD346/$CX346),"0")</f>
        <v>0</v>
      </c>
      <c r="CF346" s="9">
        <f>+Risultati!AR345</f>
        <v>0</v>
      </c>
      <c r="CG346" s="31" t="str">
        <f t="shared" ref="CG346:CG409" si="314">IF($CX346&gt;0,(CF346/$CX346),"0")</f>
        <v>0</v>
      </c>
      <c r="CH346" s="9">
        <f>+Risultati!AS345</f>
        <v>0</v>
      </c>
      <c r="CI346" s="31" t="str">
        <f t="shared" ref="CI346:CI409" si="315">IF($CX346&gt;0,(CH346/$CX346),"0")</f>
        <v>0</v>
      </c>
      <c r="CJ346" s="9">
        <f t="shared" ref="CJ346:CJ409" si="316">+CH346+CF346+CD346</f>
        <v>0</v>
      </c>
      <c r="CK346" s="31" t="str">
        <f t="shared" ref="CK346:CK409" si="317">IF($CX346&gt;0,(CJ346/$CX346),"0")</f>
        <v>0</v>
      </c>
      <c r="CL346" s="10">
        <f>+Risultati!AE345+Risultati!AF345</f>
        <v>0</v>
      </c>
      <c r="CM346" s="31" t="str">
        <f t="shared" ref="CM346:CM409" si="318">IF($CX346&gt;0,(CL346/$CX346),"0")</f>
        <v>0</v>
      </c>
      <c r="CN346" s="9">
        <f>+Risultati!AT345</f>
        <v>0</v>
      </c>
      <c r="CO346" s="31" t="str">
        <f t="shared" ref="CO346:CO409" si="319">IF($CX346&gt;0,(CN346/$CX346),"0")</f>
        <v>0</v>
      </c>
      <c r="CP346" s="9">
        <f>+Risultati!AU345</f>
        <v>0</v>
      </c>
      <c r="CQ346" s="31" t="str">
        <f t="shared" ref="CQ346:CQ409" si="320">IF($CX346&gt;0,(CP346/$CX346),"0")</f>
        <v>0</v>
      </c>
      <c r="CR346" s="9">
        <f>+Risultati!AL345</f>
        <v>0</v>
      </c>
      <c r="CS346" s="31" t="str">
        <f t="shared" ref="CS346:CS409" si="321">IF($CX346&gt;0,(CR346/$CX346),"0")</f>
        <v>0</v>
      </c>
      <c r="CT346" s="9">
        <f t="shared" ref="CT346:CT409" si="322">+CR346+CP346+CN346+CL346</f>
        <v>0</v>
      </c>
      <c r="CU346" s="31" t="str">
        <f t="shared" ref="CU346:CU409" si="323">IF($CX346&gt;0,(CT346/$CX346),"0")</f>
        <v>0</v>
      </c>
      <c r="CV346" s="9">
        <f>+Risultati!AX345</f>
        <v>0</v>
      </c>
      <c r="CW346" s="31" t="str">
        <f t="shared" ref="CW346:CW409" si="324">IF($CX346&gt;0,(CV346/$CX346),"0")</f>
        <v>0</v>
      </c>
      <c r="CX346" s="9">
        <f t="shared" ref="CX346:CX409" si="325">+CV346+CT346+CJ346</f>
        <v>0</v>
      </c>
      <c r="CY346" s="31" t="str">
        <f t="shared" ref="CY346:CY409" si="326">IF($CX346&gt;0,(CX346/$CX346),"0")</f>
        <v>0</v>
      </c>
      <c r="CZ346" s="9">
        <f>+Risultati!AG345</f>
        <v>0</v>
      </c>
      <c r="DA346" s="31" t="str">
        <f t="shared" ref="DA346:DA409" si="327">IF($CX346&gt;0,(CZ346/$CX346),"0")</f>
        <v>0</v>
      </c>
      <c r="DB346" s="9">
        <f t="shared" ref="DB346:DB409" si="328">+DL346-CZ346-DD346-DJ346</f>
        <v>0</v>
      </c>
      <c r="DC346" s="31" t="str">
        <f t="shared" ref="DC346:DC409" si="329">IF($CX346&gt;0,(DB346/$CX346),"0")</f>
        <v>0</v>
      </c>
      <c r="DD346" s="9">
        <f>+Risultati!AV345</f>
        <v>0</v>
      </c>
      <c r="DE346" s="31" t="str">
        <f t="shared" ref="DE346:DE409" si="330">IF($CX346&gt;0,(DD346/$CX346),"0")</f>
        <v>0</v>
      </c>
      <c r="DF346" s="9">
        <f>+Risultati!AJ345</f>
        <v>0</v>
      </c>
      <c r="DG346" s="31" t="str">
        <f t="shared" ref="DG346:DG409" si="331">IF($CX346&gt;0,(DF346/$CX346),"0")</f>
        <v>0</v>
      </c>
      <c r="DH346" s="9">
        <f t="shared" ref="DH346:DH409" si="332">+DD346-DF346</f>
        <v>0</v>
      </c>
      <c r="DI346" s="31" t="str">
        <f t="shared" ref="DI346:DI409" si="333">IF($CX346&gt;0,(DH346/$CX346),"0")</f>
        <v>0</v>
      </c>
      <c r="DJ346" s="9">
        <f>+Risultati!AW345</f>
        <v>0</v>
      </c>
      <c r="DK346" s="31" t="str">
        <f t="shared" ref="DK346:DK409" si="334">IF($CX346&gt;0,(DJ346/$CX346),"0")</f>
        <v>0</v>
      </c>
      <c r="DL346" s="10">
        <f t="shared" si="305"/>
        <v>0</v>
      </c>
      <c r="DM346" s="31" t="str">
        <f t="shared" ref="DM346:DM409" si="335">IF($CX346&gt;0,(DL346/$CX346),"0")</f>
        <v>0</v>
      </c>
      <c r="DO346" s="30"/>
      <c r="DP346" s="30"/>
    </row>
    <row r="347" spans="1:120" x14ac:dyDescent="0.2">
      <c r="A347" s="5"/>
      <c r="B347" s="6">
        <f>+Risultati!B346</f>
        <v>0</v>
      </c>
      <c r="C347" s="6">
        <f>+Risultati!C346</f>
        <v>0</v>
      </c>
      <c r="D347" s="26" t="str">
        <f>IF(YEAR(Risultati!D346)=1900,(MID(Risultati!$AP$1,29,4)),YEAR(Risultati!D346))</f>
        <v/>
      </c>
      <c r="E347" s="6">
        <f>+Risultati!E346</f>
        <v>0</v>
      </c>
      <c r="F347" s="8" t="e">
        <f>(LEFT(Risultati!AN346,2)&amp;"-")&amp;VLOOKUP((LEFT(Risultati!AN346,2)),ateco!$B$4:$C$93,2,FALSE)</f>
        <v>#N/A</v>
      </c>
      <c r="G347" s="8" t="str">
        <f>SUBSTITUTE((Risultati!AN346&amp;"-"&amp;Risultati!AO346),",",";")</f>
        <v>-</v>
      </c>
      <c r="I347" s="10">
        <f>+Risultati!G346</f>
        <v>0</v>
      </c>
      <c r="J347" s="11" t="str">
        <f t="shared" si="287"/>
        <v>0</v>
      </c>
      <c r="K347" s="12"/>
      <c r="L347" s="10">
        <f>+Risultati!G346+Risultati!H346</f>
        <v>0</v>
      </c>
      <c r="M347" s="11" t="str">
        <f t="shared" si="288"/>
        <v>0</v>
      </c>
      <c r="N347" s="12"/>
      <c r="O347" s="10">
        <f>+Risultati!I346+Risultati!J346</f>
        <v>0</v>
      </c>
      <c r="P347" s="11" t="str">
        <f t="shared" si="289"/>
        <v>0</v>
      </c>
      <c r="Q347" s="12"/>
      <c r="R347" s="13">
        <f t="shared" si="306"/>
        <v>0</v>
      </c>
      <c r="S347" s="11" t="str">
        <f t="shared" si="290"/>
        <v>0</v>
      </c>
      <c r="T347" s="12"/>
      <c r="U347" s="10">
        <f>+Risultati!F346-(Risultati!G346+Risultati!H346)</f>
        <v>0</v>
      </c>
      <c r="V347" s="12" t="str">
        <f t="shared" si="291"/>
        <v>0</v>
      </c>
      <c r="W347" s="12"/>
      <c r="X347" s="10">
        <f t="shared" si="307"/>
        <v>0</v>
      </c>
      <c r="Y347" s="12" t="str">
        <f t="shared" si="292"/>
        <v>0</v>
      </c>
      <c r="Z347" s="12"/>
      <c r="AA347" s="10">
        <f>+Risultati!K346</f>
        <v>0</v>
      </c>
      <c r="AB347" s="12" t="str">
        <f t="shared" si="293"/>
        <v>0</v>
      </c>
      <c r="AC347" s="12"/>
      <c r="AD347" s="10">
        <f>+Risultati!L346</f>
        <v>0</v>
      </c>
      <c r="AE347" s="12" t="str">
        <f t="shared" si="294"/>
        <v>0</v>
      </c>
      <c r="AF347" s="12"/>
      <c r="AG347" s="10">
        <f>+Risultati!M346+Risultati!P346+Risultati!Q346</f>
        <v>0</v>
      </c>
      <c r="AH347" s="12" t="str">
        <f t="shared" si="295"/>
        <v>0</v>
      </c>
      <c r="AI347" s="12"/>
      <c r="AJ347" s="13">
        <f t="shared" si="308"/>
        <v>0</v>
      </c>
      <c r="AK347" s="11" t="str">
        <f t="shared" si="296"/>
        <v>0</v>
      </c>
      <c r="AL347" s="12"/>
      <c r="AM347" s="10">
        <f>+Risultati!N346</f>
        <v>0</v>
      </c>
      <c r="AN347" s="12" t="str">
        <f t="shared" si="297"/>
        <v>0</v>
      </c>
      <c r="AO347" s="12"/>
      <c r="AP347" s="10">
        <f t="shared" si="309"/>
        <v>0</v>
      </c>
      <c r="AQ347" s="41" t="str">
        <f t="shared" si="298"/>
        <v>0</v>
      </c>
      <c r="AR347" s="12"/>
      <c r="AS347" s="10">
        <f>+Risultati!O346</f>
        <v>0</v>
      </c>
      <c r="AT347" s="12" t="str">
        <f t="shared" si="299"/>
        <v>0</v>
      </c>
      <c r="AU347" s="12"/>
      <c r="AV347" s="10">
        <f t="shared" si="310"/>
        <v>0</v>
      </c>
      <c r="AW347" s="12" t="str">
        <f t="shared" si="300"/>
        <v>0</v>
      </c>
      <c r="AX347" s="12"/>
      <c r="AY347" s="10">
        <f>+Risultati!R346+Risultati!S346</f>
        <v>0</v>
      </c>
      <c r="AZ347" s="12" t="str">
        <f t="shared" si="301"/>
        <v>0</v>
      </c>
      <c r="BA347" s="12"/>
      <c r="BB347" s="10">
        <f>+Risultati!T346</f>
        <v>0</v>
      </c>
      <c r="BC347" s="12" t="str">
        <f t="shared" si="302"/>
        <v>0</v>
      </c>
      <c r="BD347" s="12"/>
      <c r="BE347" s="10">
        <f>+Risultati!U346</f>
        <v>0</v>
      </c>
      <c r="BF347" s="12" t="str">
        <f t="shared" si="303"/>
        <v>0</v>
      </c>
      <c r="BG347" s="12"/>
      <c r="BH347" s="10">
        <f t="shared" si="311"/>
        <v>0</v>
      </c>
      <c r="BI347" s="12" t="str">
        <f t="shared" si="304"/>
        <v>0</v>
      </c>
      <c r="BK347" s="16">
        <f>IF(ISNUMBER(Risultati!X346/100),(Risultati!X346/100))</f>
        <v>0</v>
      </c>
      <c r="BL347" s="16">
        <f>IF(ISNUMBER(Risultati!Y346/100),(Risultati!Y346/100))</f>
        <v>0</v>
      </c>
      <c r="BM347" s="16">
        <f>IF(ISNUMBER(Risultati!Z346/100),(Risultati!Z346/100))</f>
        <v>0</v>
      </c>
      <c r="BN347" s="16">
        <f>IF(AND(Risultati!AY346&lt;0,calcoli!AP347&lt;0),-IF(ISNUMBER(Risultati!AA346/100),(Risultati!AA346/100)),IF(ISNUMBER(Risultati!AA346/100),(Risultati!AA346/100)))</f>
        <v>0</v>
      </c>
      <c r="BO347" s="16" t="str">
        <f t="shared" si="285"/>
        <v>0</v>
      </c>
      <c r="BP347" s="16" t="str">
        <f>IF(Risultati!AB346&gt;0,(AV347/Risultati!AB346),"0")</f>
        <v>0</v>
      </c>
      <c r="BQ347" s="16" t="str">
        <f>IF(Risultati!AG346&lt;&gt;0,(BH347/Risultati!AG346),"0")</f>
        <v>0</v>
      </c>
      <c r="BR347" s="16" t="str">
        <f t="shared" si="286"/>
        <v>0</v>
      </c>
      <c r="BS347" s="14" t="str">
        <f>IF(Risultati!AB346&gt;0,(Risultati!G346/Risultati!AB346),"0")</f>
        <v>0</v>
      </c>
      <c r="BT347" s="15" t="str">
        <f>IF(Risultati!AG346&lt;&gt;0,(Risultati!AB346/Risultati!AG346),"0")</f>
        <v>0</v>
      </c>
      <c r="BU347" s="23" t="str">
        <f>IF(AND(Risultati!G346&gt;0,(Risultati!AE346-Risultati!AF346)&gt;=0),((Risultati!AE346-Risultati!AF346)/Risultati!G346*360),"0")</f>
        <v>0</v>
      </c>
      <c r="BV347" s="21" t="str">
        <f>IF(OR(E347="abbreviato",Risultati!G346=0),"0",((Risultati!AC346+Risultati!AD346)/Risultati!G346*360))</f>
        <v>0</v>
      </c>
      <c r="BW347" s="21" t="str">
        <f>IF(OR(E347="abbreviato",Risultati!G346=0,SUM(Risultati!I346+Risultati!K346+Risultati!M346)=0),"0",(((Risultati!AH346+Risultati!AI346)/(Risultati!I346+Risultati!K346+Risultati!N346)*360)))</f>
        <v>0</v>
      </c>
      <c r="BX347" s="16" t="str">
        <f>IF(Risultati!AB346&gt;0,(+Risultati!AG346/Risultati!AB346),"0")</f>
        <v>0</v>
      </c>
      <c r="BY347" s="22" t="str">
        <f>IF(OR(E347="abbreviato",Risultati!G346=0),"0",(((Risultati!AK346-(Risultati!AL346+Risultati!AM346))/Risultati!G346)))</f>
        <v>0</v>
      </c>
      <c r="BZ347" s="16" t="str">
        <f>IF(Risultati!G346&gt;0,(Risultati!AJ346/Risultati!G346),"0")</f>
        <v>0</v>
      </c>
      <c r="CA347" s="8"/>
      <c r="CB347" s="9">
        <f>+Risultati!AP346</f>
        <v>0</v>
      </c>
      <c r="CC347" s="31" t="str">
        <f t="shared" si="312"/>
        <v>0</v>
      </c>
      <c r="CD347" s="9">
        <f>+Risultati!AQ346</f>
        <v>0</v>
      </c>
      <c r="CE347" s="31" t="str">
        <f t="shared" si="313"/>
        <v>0</v>
      </c>
      <c r="CF347" s="9">
        <f>+Risultati!AR346</f>
        <v>0</v>
      </c>
      <c r="CG347" s="31" t="str">
        <f t="shared" si="314"/>
        <v>0</v>
      </c>
      <c r="CH347" s="9">
        <f>+Risultati!AS346</f>
        <v>0</v>
      </c>
      <c r="CI347" s="31" t="str">
        <f t="shared" si="315"/>
        <v>0</v>
      </c>
      <c r="CJ347" s="9">
        <f t="shared" si="316"/>
        <v>0</v>
      </c>
      <c r="CK347" s="31" t="str">
        <f t="shared" si="317"/>
        <v>0</v>
      </c>
      <c r="CL347" s="10">
        <f>+Risultati!AE346+Risultati!AF346</f>
        <v>0</v>
      </c>
      <c r="CM347" s="31" t="str">
        <f t="shared" si="318"/>
        <v>0</v>
      </c>
      <c r="CN347" s="9">
        <f>+Risultati!AT346</f>
        <v>0</v>
      </c>
      <c r="CO347" s="31" t="str">
        <f t="shared" si="319"/>
        <v>0</v>
      </c>
      <c r="CP347" s="9">
        <f>+Risultati!AU346</f>
        <v>0</v>
      </c>
      <c r="CQ347" s="31" t="str">
        <f t="shared" si="320"/>
        <v>0</v>
      </c>
      <c r="CR347" s="9">
        <f>+Risultati!AL346</f>
        <v>0</v>
      </c>
      <c r="CS347" s="31" t="str">
        <f t="shared" si="321"/>
        <v>0</v>
      </c>
      <c r="CT347" s="9">
        <f t="shared" si="322"/>
        <v>0</v>
      </c>
      <c r="CU347" s="31" t="str">
        <f t="shared" si="323"/>
        <v>0</v>
      </c>
      <c r="CV347" s="9">
        <f>+Risultati!AX346</f>
        <v>0</v>
      </c>
      <c r="CW347" s="31" t="str">
        <f t="shared" si="324"/>
        <v>0</v>
      </c>
      <c r="CX347" s="9">
        <f t="shared" si="325"/>
        <v>0</v>
      </c>
      <c r="CY347" s="31" t="str">
        <f t="shared" si="326"/>
        <v>0</v>
      </c>
      <c r="CZ347" s="9">
        <f>+Risultati!AG346</f>
        <v>0</v>
      </c>
      <c r="DA347" s="31" t="str">
        <f t="shared" si="327"/>
        <v>0</v>
      </c>
      <c r="DB347" s="9">
        <f t="shared" si="328"/>
        <v>0</v>
      </c>
      <c r="DC347" s="31" t="str">
        <f t="shared" si="329"/>
        <v>0</v>
      </c>
      <c r="DD347" s="9">
        <f>+Risultati!AV346</f>
        <v>0</v>
      </c>
      <c r="DE347" s="31" t="str">
        <f t="shared" si="330"/>
        <v>0</v>
      </c>
      <c r="DF347" s="9">
        <f>+Risultati!AJ346</f>
        <v>0</v>
      </c>
      <c r="DG347" s="31" t="str">
        <f t="shared" si="331"/>
        <v>0</v>
      </c>
      <c r="DH347" s="9">
        <f t="shared" si="332"/>
        <v>0</v>
      </c>
      <c r="DI347" s="31" t="str">
        <f t="shared" si="333"/>
        <v>0</v>
      </c>
      <c r="DJ347" s="9">
        <f>+Risultati!AW346</f>
        <v>0</v>
      </c>
      <c r="DK347" s="31" t="str">
        <f t="shared" si="334"/>
        <v>0</v>
      </c>
      <c r="DL347" s="10">
        <f t="shared" si="305"/>
        <v>0</v>
      </c>
      <c r="DM347" s="31" t="str">
        <f t="shared" si="335"/>
        <v>0</v>
      </c>
      <c r="DO347" s="30"/>
      <c r="DP347" s="30"/>
    </row>
    <row r="348" spans="1:120" x14ac:dyDescent="0.2">
      <c r="A348" s="5"/>
      <c r="B348" s="6">
        <f>+Risultati!B347</f>
        <v>0</v>
      </c>
      <c r="C348" s="6">
        <f>+Risultati!C347</f>
        <v>0</v>
      </c>
      <c r="D348" s="26" t="str">
        <f>IF(YEAR(Risultati!D347)=1900,(MID(Risultati!$AP$1,29,4)),YEAR(Risultati!D347))</f>
        <v/>
      </c>
      <c r="E348" s="6">
        <f>+Risultati!E347</f>
        <v>0</v>
      </c>
      <c r="F348" s="8" t="e">
        <f>(LEFT(Risultati!AN347,2)&amp;"-")&amp;VLOOKUP((LEFT(Risultati!AN347,2)),ateco!$B$4:$C$93,2,FALSE)</f>
        <v>#N/A</v>
      </c>
      <c r="G348" s="8" t="str">
        <f>SUBSTITUTE((Risultati!AN347&amp;"-"&amp;Risultati!AO347),",",";")</f>
        <v>-</v>
      </c>
      <c r="I348" s="10">
        <f>+Risultati!G347</f>
        <v>0</v>
      </c>
      <c r="J348" s="11" t="str">
        <f t="shared" si="287"/>
        <v>0</v>
      </c>
      <c r="K348" s="12"/>
      <c r="L348" s="10">
        <f>+Risultati!G347+Risultati!H347</f>
        <v>0</v>
      </c>
      <c r="M348" s="11" t="str">
        <f t="shared" si="288"/>
        <v>0</v>
      </c>
      <c r="N348" s="12"/>
      <c r="O348" s="10">
        <f>+Risultati!I347+Risultati!J347</f>
        <v>0</v>
      </c>
      <c r="P348" s="11" t="str">
        <f t="shared" si="289"/>
        <v>0</v>
      </c>
      <c r="Q348" s="12"/>
      <c r="R348" s="13">
        <f t="shared" si="306"/>
        <v>0</v>
      </c>
      <c r="S348" s="11" t="str">
        <f t="shared" si="290"/>
        <v>0</v>
      </c>
      <c r="T348" s="12"/>
      <c r="U348" s="10">
        <f>+Risultati!F347-(Risultati!G347+Risultati!H347)</f>
        <v>0</v>
      </c>
      <c r="V348" s="12" t="str">
        <f t="shared" si="291"/>
        <v>0</v>
      </c>
      <c r="W348" s="12"/>
      <c r="X348" s="10">
        <f t="shared" si="307"/>
        <v>0</v>
      </c>
      <c r="Y348" s="12" t="str">
        <f t="shared" si="292"/>
        <v>0</v>
      </c>
      <c r="Z348" s="12"/>
      <c r="AA348" s="10">
        <f>+Risultati!K347</f>
        <v>0</v>
      </c>
      <c r="AB348" s="12" t="str">
        <f t="shared" si="293"/>
        <v>0</v>
      </c>
      <c r="AC348" s="12"/>
      <c r="AD348" s="10">
        <f>+Risultati!L347</f>
        <v>0</v>
      </c>
      <c r="AE348" s="12" t="str">
        <f t="shared" si="294"/>
        <v>0</v>
      </c>
      <c r="AF348" s="12"/>
      <c r="AG348" s="10">
        <f>+Risultati!M347+Risultati!P347+Risultati!Q347</f>
        <v>0</v>
      </c>
      <c r="AH348" s="12" t="str">
        <f t="shared" si="295"/>
        <v>0</v>
      </c>
      <c r="AI348" s="12"/>
      <c r="AJ348" s="13">
        <f t="shared" si="308"/>
        <v>0</v>
      </c>
      <c r="AK348" s="11" t="str">
        <f t="shared" si="296"/>
        <v>0</v>
      </c>
      <c r="AL348" s="12"/>
      <c r="AM348" s="10">
        <f>+Risultati!N347</f>
        <v>0</v>
      </c>
      <c r="AN348" s="12" t="str">
        <f t="shared" si="297"/>
        <v>0</v>
      </c>
      <c r="AO348" s="12"/>
      <c r="AP348" s="10">
        <f t="shared" si="309"/>
        <v>0</v>
      </c>
      <c r="AQ348" s="41" t="str">
        <f t="shared" si="298"/>
        <v>0</v>
      </c>
      <c r="AR348" s="12"/>
      <c r="AS348" s="10">
        <f>+Risultati!O347</f>
        <v>0</v>
      </c>
      <c r="AT348" s="12" t="str">
        <f t="shared" si="299"/>
        <v>0</v>
      </c>
      <c r="AU348" s="12"/>
      <c r="AV348" s="10">
        <f t="shared" si="310"/>
        <v>0</v>
      </c>
      <c r="AW348" s="12" t="str">
        <f t="shared" si="300"/>
        <v>0</v>
      </c>
      <c r="AX348" s="12"/>
      <c r="AY348" s="10">
        <f>+Risultati!R347+Risultati!S347</f>
        <v>0</v>
      </c>
      <c r="AZ348" s="12" t="str">
        <f t="shared" si="301"/>
        <v>0</v>
      </c>
      <c r="BA348" s="12"/>
      <c r="BB348" s="10">
        <f>+Risultati!T347</f>
        <v>0</v>
      </c>
      <c r="BC348" s="12" t="str">
        <f t="shared" si="302"/>
        <v>0</v>
      </c>
      <c r="BD348" s="12"/>
      <c r="BE348" s="10">
        <f>+Risultati!U347</f>
        <v>0</v>
      </c>
      <c r="BF348" s="12" t="str">
        <f t="shared" si="303"/>
        <v>0</v>
      </c>
      <c r="BG348" s="12"/>
      <c r="BH348" s="10">
        <f t="shared" si="311"/>
        <v>0</v>
      </c>
      <c r="BI348" s="12" t="str">
        <f t="shared" si="304"/>
        <v>0</v>
      </c>
      <c r="BK348" s="16">
        <f>IF(ISNUMBER(Risultati!X347/100),(Risultati!X347/100))</f>
        <v>0</v>
      </c>
      <c r="BL348" s="16">
        <f>IF(ISNUMBER(Risultati!Y347/100),(Risultati!Y347/100))</f>
        <v>0</v>
      </c>
      <c r="BM348" s="16">
        <f>IF(ISNUMBER(Risultati!Z347/100),(Risultati!Z347/100))</f>
        <v>0</v>
      </c>
      <c r="BN348" s="16">
        <f>IF(AND(Risultati!AY347&lt;0,calcoli!AP348&lt;0),-IF(ISNUMBER(Risultati!AA347/100),(Risultati!AA347/100)),IF(ISNUMBER(Risultati!AA347/100),(Risultati!AA347/100)))</f>
        <v>0</v>
      </c>
      <c r="BO348" s="16" t="str">
        <f t="shared" si="285"/>
        <v>0</v>
      </c>
      <c r="BP348" s="16" t="str">
        <f>IF(Risultati!AB347&gt;0,(AV348/Risultati!AB347),"0")</f>
        <v>0</v>
      </c>
      <c r="BQ348" s="16" t="str">
        <f>IF(Risultati!AG347&lt;&gt;0,(BH348/Risultati!AG347),"0")</f>
        <v>0</v>
      </c>
      <c r="BR348" s="16" t="str">
        <f t="shared" si="286"/>
        <v>0</v>
      </c>
      <c r="BS348" s="14" t="str">
        <f>IF(Risultati!AB347&gt;0,(Risultati!G347/Risultati!AB347),"0")</f>
        <v>0</v>
      </c>
      <c r="BT348" s="15" t="str">
        <f>IF(Risultati!AG347&lt;&gt;0,(Risultati!AB347/Risultati!AG347),"0")</f>
        <v>0</v>
      </c>
      <c r="BU348" s="23" t="str">
        <f>IF(AND(Risultati!G347&gt;0,(Risultati!AE347-Risultati!AF347)&gt;=0),((Risultati!AE347-Risultati!AF347)/Risultati!G347*360),"0")</f>
        <v>0</v>
      </c>
      <c r="BV348" s="21" t="str">
        <f>IF(OR(E348="abbreviato",Risultati!G347=0),"0",((Risultati!AC347+Risultati!AD347)/Risultati!G347*360))</f>
        <v>0</v>
      </c>
      <c r="BW348" s="21" t="str">
        <f>IF(OR(E348="abbreviato",Risultati!G347=0,SUM(Risultati!I347+Risultati!K347+Risultati!M347)=0),"0",(((Risultati!AH347+Risultati!AI347)/(Risultati!I347+Risultati!K347+Risultati!N347)*360)))</f>
        <v>0</v>
      </c>
      <c r="BX348" s="16" t="str">
        <f>IF(Risultati!AB347&gt;0,(+Risultati!AG347/Risultati!AB347),"0")</f>
        <v>0</v>
      </c>
      <c r="BY348" s="22" t="str">
        <f>IF(OR(E348="abbreviato",Risultati!G347=0),"0",(((Risultati!AK347-(Risultati!AL347+Risultati!AM347))/Risultati!G347)))</f>
        <v>0</v>
      </c>
      <c r="BZ348" s="16" t="str">
        <f>IF(Risultati!G347&gt;0,(Risultati!AJ347/Risultati!G347),"0")</f>
        <v>0</v>
      </c>
      <c r="CA348" s="8"/>
      <c r="CB348" s="9">
        <f>+Risultati!AP347</f>
        <v>0</v>
      </c>
      <c r="CC348" s="31" t="str">
        <f t="shared" si="312"/>
        <v>0</v>
      </c>
      <c r="CD348" s="9">
        <f>+Risultati!AQ347</f>
        <v>0</v>
      </c>
      <c r="CE348" s="31" t="str">
        <f t="shared" si="313"/>
        <v>0</v>
      </c>
      <c r="CF348" s="9">
        <f>+Risultati!AR347</f>
        <v>0</v>
      </c>
      <c r="CG348" s="31" t="str">
        <f t="shared" si="314"/>
        <v>0</v>
      </c>
      <c r="CH348" s="9">
        <f>+Risultati!AS347</f>
        <v>0</v>
      </c>
      <c r="CI348" s="31" t="str">
        <f t="shared" si="315"/>
        <v>0</v>
      </c>
      <c r="CJ348" s="9">
        <f t="shared" si="316"/>
        <v>0</v>
      </c>
      <c r="CK348" s="31" t="str">
        <f t="shared" si="317"/>
        <v>0</v>
      </c>
      <c r="CL348" s="10">
        <f>+Risultati!AE347+Risultati!AF347</f>
        <v>0</v>
      </c>
      <c r="CM348" s="31" t="str">
        <f t="shared" si="318"/>
        <v>0</v>
      </c>
      <c r="CN348" s="9">
        <f>+Risultati!AT347</f>
        <v>0</v>
      </c>
      <c r="CO348" s="31" t="str">
        <f t="shared" si="319"/>
        <v>0</v>
      </c>
      <c r="CP348" s="9">
        <f>+Risultati!AU347</f>
        <v>0</v>
      </c>
      <c r="CQ348" s="31" t="str">
        <f t="shared" si="320"/>
        <v>0</v>
      </c>
      <c r="CR348" s="9">
        <f>+Risultati!AL347</f>
        <v>0</v>
      </c>
      <c r="CS348" s="31" t="str">
        <f t="shared" si="321"/>
        <v>0</v>
      </c>
      <c r="CT348" s="9">
        <f t="shared" si="322"/>
        <v>0</v>
      </c>
      <c r="CU348" s="31" t="str">
        <f t="shared" si="323"/>
        <v>0</v>
      </c>
      <c r="CV348" s="9">
        <f>+Risultati!AX347</f>
        <v>0</v>
      </c>
      <c r="CW348" s="31" t="str">
        <f t="shared" si="324"/>
        <v>0</v>
      </c>
      <c r="CX348" s="9">
        <f t="shared" si="325"/>
        <v>0</v>
      </c>
      <c r="CY348" s="31" t="str">
        <f t="shared" si="326"/>
        <v>0</v>
      </c>
      <c r="CZ348" s="9">
        <f>+Risultati!AG347</f>
        <v>0</v>
      </c>
      <c r="DA348" s="31" t="str">
        <f t="shared" si="327"/>
        <v>0</v>
      </c>
      <c r="DB348" s="9">
        <f t="shared" si="328"/>
        <v>0</v>
      </c>
      <c r="DC348" s="31" t="str">
        <f t="shared" si="329"/>
        <v>0</v>
      </c>
      <c r="DD348" s="9">
        <f>+Risultati!AV347</f>
        <v>0</v>
      </c>
      <c r="DE348" s="31" t="str">
        <f t="shared" si="330"/>
        <v>0</v>
      </c>
      <c r="DF348" s="9">
        <f>+Risultati!AJ347</f>
        <v>0</v>
      </c>
      <c r="DG348" s="31" t="str">
        <f t="shared" si="331"/>
        <v>0</v>
      </c>
      <c r="DH348" s="9">
        <f t="shared" si="332"/>
        <v>0</v>
      </c>
      <c r="DI348" s="31" t="str">
        <f t="shared" si="333"/>
        <v>0</v>
      </c>
      <c r="DJ348" s="9">
        <f>+Risultati!AW347</f>
        <v>0</v>
      </c>
      <c r="DK348" s="31" t="str">
        <f t="shared" si="334"/>
        <v>0</v>
      </c>
      <c r="DL348" s="10">
        <f t="shared" si="305"/>
        <v>0</v>
      </c>
      <c r="DM348" s="31" t="str">
        <f t="shared" si="335"/>
        <v>0</v>
      </c>
      <c r="DO348" s="30"/>
      <c r="DP348" s="30"/>
    </row>
    <row r="349" spans="1:120" x14ac:dyDescent="0.2">
      <c r="A349" s="5"/>
      <c r="B349" s="6">
        <f>+Risultati!B348</f>
        <v>0</v>
      </c>
      <c r="C349" s="6">
        <f>+Risultati!C348</f>
        <v>0</v>
      </c>
      <c r="D349" s="26" t="str">
        <f>IF(YEAR(Risultati!D348)=1900,(MID(Risultati!$AP$1,29,4)),YEAR(Risultati!D348))</f>
        <v/>
      </c>
      <c r="E349" s="6">
        <f>+Risultati!E348</f>
        <v>0</v>
      </c>
      <c r="F349" s="8" t="e">
        <f>(LEFT(Risultati!AN348,2)&amp;"-")&amp;VLOOKUP((LEFT(Risultati!AN348,2)),ateco!$B$4:$C$93,2,FALSE)</f>
        <v>#N/A</v>
      </c>
      <c r="G349" s="8" t="str">
        <f>SUBSTITUTE((Risultati!AN348&amp;"-"&amp;Risultati!AO348),",",";")</f>
        <v>-</v>
      </c>
      <c r="I349" s="10">
        <f>+Risultati!G348</f>
        <v>0</v>
      </c>
      <c r="J349" s="11" t="str">
        <f t="shared" si="287"/>
        <v>0</v>
      </c>
      <c r="K349" s="12"/>
      <c r="L349" s="10">
        <f>+Risultati!G348+Risultati!H348</f>
        <v>0</v>
      </c>
      <c r="M349" s="11" t="str">
        <f t="shared" si="288"/>
        <v>0</v>
      </c>
      <c r="N349" s="12"/>
      <c r="O349" s="10">
        <f>+Risultati!I348+Risultati!J348</f>
        <v>0</v>
      </c>
      <c r="P349" s="11" t="str">
        <f t="shared" si="289"/>
        <v>0</v>
      </c>
      <c r="Q349" s="12"/>
      <c r="R349" s="13">
        <f t="shared" si="306"/>
        <v>0</v>
      </c>
      <c r="S349" s="11" t="str">
        <f t="shared" si="290"/>
        <v>0</v>
      </c>
      <c r="T349" s="12"/>
      <c r="U349" s="10">
        <f>+Risultati!F348-(Risultati!G348+Risultati!H348)</f>
        <v>0</v>
      </c>
      <c r="V349" s="12" t="str">
        <f t="shared" si="291"/>
        <v>0</v>
      </c>
      <c r="W349" s="12"/>
      <c r="X349" s="10">
        <f t="shared" si="307"/>
        <v>0</v>
      </c>
      <c r="Y349" s="12" t="str">
        <f t="shared" si="292"/>
        <v>0</v>
      </c>
      <c r="Z349" s="12"/>
      <c r="AA349" s="10">
        <f>+Risultati!K348</f>
        <v>0</v>
      </c>
      <c r="AB349" s="12" t="str">
        <f t="shared" si="293"/>
        <v>0</v>
      </c>
      <c r="AC349" s="12"/>
      <c r="AD349" s="10">
        <f>+Risultati!L348</f>
        <v>0</v>
      </c>
      <c r="AE349" s="12" t="str">
        <f t="shared" si="294"/>
        <v>0</v>
      </c>
      <c r="AF349" s="12"/>
      <c r="AG349" s="10">
        <f>+Risultati!M348+Risultati!P348+Risultati!Q348</f>
        <v>0</v>
      </c>
      <c r="AH349" s="12" t="str">
        <f t="shared" si="295"/>
        <v>0</v>
      </c>
      <c r="AI349" s="12"/>
      <c r="AJ349" s="13">
        <f t="shared" si="308"/>
        <v>0</v>
      </c>
      <c r="AK349" s="11" t="str">
        <f t="shared" si="296"/>
        <v>0</v>
      </c>
      <c r="AL349" s="12"/>
      <c r="AM349" s="10">
        <f>+Risultati!N348</f>
        <v>0</v>
      </c>
      <c r="AN349" s="12" t="str">
        <f t="shared" si="297"/>
        <v>0</v>
      </c>
      <c r="AO349" s="12"/>
      <c r="AP349" s="10">
        <f t="shared" si="309"/>
        <v>0</v>
      </c>
      <c r="AQ349" s="41" t="str">
        <f t="shared" si="298"/>
        <v>0</v>
      </c>
      <c r="AR349" s="12"/>
      <c r="AS349" s="10">
        <f>+Risultati!O348</f>
        <v>0</v>
      </c>
      <c r="AT349" s="12" t="str">
        <f t="shared" si="299"/>
        <v>0</v>
      </c>
      <c r="AU349" s="12"/>
      <c r="AV349" s="10">
        <f t="shared" si="310"/>
        <v>0</v>
      </c>
      <c r="AW349" s="12" t="str">
        <f t="shared" si="300"/>
        <v>0</v>
      </c>
      <c r="AX349" s="12"/>
      <c r="AY349" s="10">
        <f>+Risultati!R348+Risultati!S348</f>
        <v>0</v>
      </c>
      <c r="AZ349" s="12" t="str">
        <f t="shared" si="301"/>
        <v>0</v>
      </c>
      <c r="BA349" s="12"/>
      <c r="BB349" s="10">
        <f>+Risultati!T348</f>
        <v>0</v>
      </c>
      <c r="BC349" s="12" t="str">
        <f t="shared" si="302"/>
        <v>0</v>
      </c>
      <c r="BD349" s="12"/>
      <c r="BE349" s="10">
        <f>+Risultati!U348</f>
        <v>0</v>
      </c>
      <c r="BF349" s="12" t="str">
        <f t="shared" si="303"/>
        <v>0</v>
      </c>
      <c r="BG349" s="12"/>
      <c r="BH349" s="10">
        <f t="shared" si="311"/>
        <v>0</v>
      </c>
      <c r="BI349" s="12" t="str">
        <f t="shared" si="304"/>
        <v>0</v>
      </c>
      <c r="BK349" s="16">
        <f>IF(ISNUMBER(Risultati!X348/100),(Risultati!X348/100))</f>
        <v>0</v>
      </c>
      <c r="BL349" s="16">
        <f>IF(ISNUMBER(Risultati!Y348/100),(Risultati!Y348/100))</f>
        <v>0</v>
      </c>
      <c r="BM349" s="16">
        <f>IF(ISNUMBER(Risultati!Z348/100),(Risultati!Z348/100))</f>
        <v>0</v>
      </c>
      <c r="BN349" s="16">
        <f>IF(AND(Risultati!AY348&lt;0,calcoli!AP349&lt;0),-IF(ISNUMBER(Risultati!AA348/100),(Risultati!AA348/100)),IF(ISNUMBER(Risultati!AA348/100),(Risultati!AA348/100)))</f>
        <v>0</v>
      </c>
      <c r="BO349" s="16" t="str">
        <f t="shared" si="285"/>
        <v>0</v>
      </c>
      <c r="BP349" s="16" t="str">
        <f>IF(Risultati!AB348&gt;0,(AV349/Risultati!AB348),"0")</f>
        <v>0</v>
      </c>
      <c r="BQ349" s="16" t="str">
        <f>IF(Risultati!AG348&lt;&gt;0,(BH349/Risultati!AG348),"0")</f>
        <v>0</v>
      </c>
      <c r="BR349" s="16" t="str">
        <f t="shared" si="286"/>
        <v>0</v>
      </c>
      <c r="BS349" s="14" t="str">
        <f>IF(Risultati!AB348&gt;0,(Risultati!G348/Risultati!AB348),"0")</f>
        <v>0</v>
      </c>
      <c r="BT349" s="15" t="str">
        <f>IF(Risultati!AG348&lt;&gt;0,(Risultati!AB348/Risultati!AG348),"0")</f>
        <v>0</v>
      </c>
      <c r="BU349" s="23" t="str">
        <f>IF(AND(Risultati!G348&gt;0,(Risultati!AE348-Risultati!AF348)&gt;=0),((Risultati!AE348-Risultati!AF348)/Risultati!G348*360),"0")</f>
        <v>0</v>
      </c>
      <c r="BV349" s="21" t="str">
        <f>IF(OR(E349="abbreviato",Risultati!G348=0),"0",((Risultati!AC348+Risultati!AD348)/Risultati!G348*360))</f>
        <v>0</v>
      </c>
      <c r="BW349" s="21" t="str">
        <f>IF(OR(E349="abbreviato",Risultati!G348=0,SUM(Risultati!I348+Risultati!K348+Risultati!M348)=0),"0",(((Risultati!AH348+Risultati!AI348)/(Risultati!I348+Risultati!K348+Risultati!N348)*360)))</f>
        <v>0</v>
      </c>
      <c r="BX349" s="16" t="str">
        <f>IF(Risultati!AB348&gt;0,(+Risultati!AG348/Risultati!AB348),"0")</f>
        <v>0</v>
      </c>
      <c r="BY349" s="22" t="str">
        <f>IF(OR(E349="abbreviato",Risultati!G348=0),"0",(((Risultati!AK348-(Risultati!AL348+Risultati!AM348))/Risultati!G348)))</f>
        <v>0</v>
      </c>
      <c r="BZ349" s="16" t="str">
        <f>IF(Risultati!G348&gt;0,(Risultati!AJ348/Risultati!G348),"0")</f>
        <v>0</v>
      </c>
      <c r="CA349" s="8"/>
      <c r="CB349" s="9">
        <f>+Risultati!AP348</f>
        <v>0</v>
      </c>
      <c r="CC349" s="31" t="str">
        <f t="shared" si="312"/>
        <v>0</v>
      </c>
      <c r="CD349" s="9">
        <f>+Risultati!AQ348</f>
        <v>0</v>
      </c>
      <c r="CE349" s="31" t="str">
        <f t="shared" si="313"/>
        <v>0</v>
      </c>
      <c r="CF349" s="9">
        <f>+Risultati!AR348</f>
        <v>0</v>
      </c>
      <c r="CG349" s="31" t="str">
        <f t="shared" si="314"/>
        <v>0</v>
      </c>
      <c r="CH349" s="9">
        <f>+Risultati!AS348</f>
        <v>0</v>
      </c>
      <c r="CI349" s="31" t="str">
        <f t="shared" si="315"/>
        <v>0</v>
      </c>
      <c r="CJ349" s="9">
        <f t="shared" si="316"/>
        <v>0</v>
      </c>
      <c r="CK349" s="31" t="str">
        <f t="shared" si="317"/>
        <v>0</v>
      </c>
      <c r="CL349" s="10">
        <f>+Risultati!AE348+Risultati!AF348</f>
        <v>0</v>
      </c>
      <c r="CM349" s="31" t="str">
        <f t="shared" si="318"/>
        <v>0</v>
      </c>
      <c r="CN349" s="9">
        <f>+Risultati!AT348</f>
        <v>0</v>
      </c>
      <c r="CO349" s="31" t="str">
        <f t="shared" si="319"/>
        <v>0</v>
      </c>
      <c r="CP349" s="9">
        <f>+Risultati!AU348</f>
        <v>0</v>
      </c>
      <c r="CQ349" s="31" t="str">
        <f t="shared" si="320"/>
        <v>0</v>
      </c>
      <c r="CR349" s="9">
        <f>+Risultati!AL348</f>
        <v>0</v>
      </c>
      <c r="CS349" s="31" t="str">
        <f t="shared" si="321"/>
        <v>0</v>
      </c>
      <c r="CT349" s="9">
        <f t="shared" si="322"/>
        <v>0</v>
      </c>
      <c r="CU349" s="31" t="str">
        <f t="shared" si="323"/>
        <v>0</v>
      </c>
      <c r="CV349" s="9">
        <f>+Risultati!AX348</f>
        <v>0</v>
      </c>
      <c r="CW349" s="31" t="str">
        <f t="shared" si="324"/>
        <v>0</v>
      </c>
      <c r="CX349" s="9">
        <f t="shared" si="325"/>
        <v>0</v>
      </c>
      <c r="CY349" s="31" t="str">
        <f t="shared" si="326"/>
        <v>0</v>
      </c>
      <c r="CZ349" s="9">
        <f>+Risultati!AG348</f>
        <v>0</v>
      </c>
      <c r="DA349" s="31" t="str">
        <f t="shared" si="327"/>
        <v>0</v>
      </c>
      <c r="DB349" s="9">
        <f t="shared" si="328"/>
        <v>0</v>
      </c>
      <c r="DC349" s="31" t="str">
        <f t="shared" si="329"/>
        <v>0</v>
      </c>
      <c r="DD349" s="9">
        <f>+Risultati!AV348</f>
        <v>0</v>
      </c>
      <c r="DE349" s="31" t="str">
        <f t="shared" si="330"/>
        <v>0</v>
      </c>
      <c r="DF349" s="9">
        <f>+Risultati!AJ348</f>
        <v>0</v>
      </c>
      <c r="DG349" s="31" t="str">
        <f t="shared" si="331"/>
        <v>0</v>
      </c>
      <c r="DH349" s="9">
        <f t="shared" si="332"/>
        <v>0</v>
      </c>
      <c r="DI349" s="31" t="str">
        <f t="shared" si="333"/>
        <v>0</v>
      </c>
      <c r="DJ349" s="9">
        <f>+Risultati!AW348</f>
        <v>0</v>
      </c>
      <c r="DK349" s="31" t="str">
        <f t="shared" si="334"/>
        <v>0</v>
      </c>
      <c r="DL349" s="10">
        <f t="shared" si="305"/>
        <v>0</v>
      </c>
      <c r="DM349" s="31" t="str">
        <f t="shared" si="335"/>
        <v>0</v>
      </c>
      <c r="DO349" s="30"/>
      <c r="DP349" s="30"/>
    </row>
    <row r="350" spans="1:120" x14ac:dyDescent="0.2">
      <c r="A350" s="5"/>
      <c r="B350" s="6">
        <f>+Risultati!B349</f>
        <v>0</v>
      </c>
      <c r="C350" s="6">
        <f>+Risultati!C349</f>
        <v>0</v>
      </c>
      <c r="D350" s="26" t="str">
        <f>IF(YEAR(Risultati!D349)=1900,(MID(Risultati!$AP$1,29,4)),YEAR(Risultati!D349))</f>
        <v/>
      </c>
      <c r="E350" s="6">
        <f>+Risultati!E349</f>
        <v>0</v>
      </c>
      <c r="F350" s="8" t="e">
        <f>(LEFT(Risultati!AN349,2)&amp;"-")&amp;VLOOKUP((LEFT(Risultati!AN349,2)),ateco!$B$4:$C$93,2,FALSE)</f>
        <v>#N/A</v>
      </c>
      <c r="G350" s="8" t="str">
        <f>SUBSTITUTE((Risultati!AN349&amp;"-"&amp;Risultati!AO349),",",";")</f>
        <v>-</v>
      </c>
      <c r="I350" s="10">
        <f>+Risultati!G349</f>
        <v>0</v>
      </c>
      <c r="J350" s="11" t="str">
        <f t="shared" si="287"/>
        <v>0</v>
      </c>
      <c r="K350" s="12"/>
      <c r="L350" s="10">
        <f>+Risultati!G349+Risultati!H349</f>
        <v>0</v>
      </c>
      <c r="M350" s="11" t="str">
        <f t="shared" si="288"/>
        <v>0</v>
      </c>
      <c r="N350" s="12"/>
      <c r="O350" s="10">
        <f>+Risultati!I349+Risultati!J349</f>
        <v>0</v>
      </c>
      <c r="P350" s="11" t="str">
        <f t="shared" si="289"/>
        <v>0</v>
      </c>
      <c r="Q350" s="12"/>
      <c r="R350" s="13">
        <f t="shared" si="306"/>
        <v>0</v>
      </c>
      <c r="S350" s="11" t="str">
        <f t="shared" si="290"/>
        <v>0</v>
      </c>
      <c r="T350" s="12"/>
      <c r="U350" s="10">
        <f>+Risultati!F349-(Risultati!G349+Risultati!H349)</f>
        <v>0</v>
      </c>
      <c r="V350" s="12" t="str">
        <f t="shared" si="291"/>
        <v>0</v>
      </c>
      <c r="W350" s="12"/>
      <c r="X350" s="10">
        <f t="shared" si="307"/>
        <v>0</v>
      </c>
      <c r="Y350" s="12" t="str">
        <f t="shared" si="292"/>
        <v>0</v>
      </c>
      <c r="Z350" s="12"/>
      <c r="AA350" s="10">
        <f>+Risultati!K349</f>
        <v>0</v>
      </c>
      <c r="AB350" s="12" t="str">
        <f t="shared" si="293"/>
        <v>0</v>
      </c>
      <c r="AC350" s="12"/>
      <c r="AD350" s="10">
        <f>+Risultati!L349</f>
        <v>0</v>
      </c>
      <c r="AE350" s="12" t="str">
        <f t="shared" si="294"/>
        <v>0</v>
      </c>
      <c r="AF350" s="12"/>
      <c r="AG350" s="10">
        <f>+Risultati!M349+Risultati!P349+Risultati!Q349</f>
        <v>0</v>
      </c>
      <c r="AH350" s="12" t="str">
        <f t="shared" si="295"/>
        <v>0</v>
      </c>
      <c r="AI350" s="12"/>
      <c r="AJ350" s="13">
        <f t="shared" si="308"/>
        <v>0</v>
      </c>
      <c r="AK350" s="11" t="str">
        <f t="shared" si="296"/>
        <v>0</v>
      </c>
      <c r="AL350" s="12"/>
      <c r="AM350" s="10">
        <f>+Risultati!N349</f>
        <v>0</v>
      </c>
      <c r="AN350" s="12" t="str">
        <f t="shared" si="297"/>
        <v>0</v>
      </c>
      <c r="AO350" s="12"/>
      <c r="AP350" s="10">
        <f t="shared" si="309"/>
        <v>0</v>
      </c>
      <c r="AQ350" s="41" t="str">
        <f t="shared" si="298"/>
        <v>0</v>
      </c>
      <c r="AR350" s="12"/>
      <c r="AS350" s="10">
        <f>+Risultati!O349</f>
        <v>0</v>
      </c>
      <c r="AT350" s="12" t="str">
        <f t="shared" si="299"/>
        <v>0</v>
      </c>
      <c r="AU350" s="12"/>
      <c r="AV350" s="10">
        <f t="shared" si="310"/>
        <v>0</v>
      </c>
      <c r="AW350" s="12" t="str">
        <f t="shared" si="300"/>
        <v>0</v>
      </c>
      <c r="AX350" s="12"/>
      <c r="AY350" s="10">
        <f>+Risultati!R349+Risultati!S349</f>
        <v>0</v>
      </c>
      <c r="AZ350" s="12" t="str">
        <f t="shared" si="301"/>
        <v>0</v>
      </c>
      <c r="BA350" s="12"/>
      <c r="BB350" s="10">
        <f>+Risultati!T349</f>
        <v>0</v>
      </c>
      <c r="BC350" s="12" t="str">
        <f t="shared" si="302"/>
        <v>0</v>
      </c>
      <c r="BD350" s="12"/>
      <c r="BE350" s="10">
        <f>+Risultati!U349</f>
        <v>0</v>
      </c>
      <c r="BF350" s="12" t="str">
        <f t="shared" si="303"/>
        <v>0</v>
      </c>
      <c r="BG350" s="12"/>
      <c r="BH350" s="10">
        <f t="shared" si="311"/>
        <v>0</v>
      </c>
      <c r="BI350" s="12" t="str">
        <f t="shared" si="304"/>
        <v>0</v>
      </c>
      <c r="BK350" s="16">
        <f>IF(ISNUMBER(Risultati!X349/100),(Risultati!X349/100))</f>
        <v>0</v>
      </c>
      <c r="BL350" s="16">
        <f>IF(ISNUMBER(Risultati!Y349/100),(Risultati!Y349/100))</f>
        <v>0</v>
      </c>
      <c r="BM350" s="16">
        <f>IF(ISNUMBER(Risultati!Z349/100),(Risultati!Z349/100))</f>
        <v>0</v>
      </c>
      <c r="BN350" s="16">
        <f>IF(AND(Risultati!AY349&lt;0,calcoli!AP350&lt;0),-IF(ISNUMBER(Risultati!AA349/100),(Risultati!AA349/100)),IF(ISNUMBER(Risultati!AA349/100),(Risultati!AA349/100)))</f>
        <v>0</v>
      </c>
      <c r="BO350" s="16" t="str">
        <f t="shared" si="285"/>
        <v>0</v>
      </c>
      <c r="BP350" s="16" t="str">
        <f>IF(Risultati!AB349&gt;0,(AV350/Risultati!AB349),"0")</f>
        <v>0</v>
      </c>
      <c r="BQ350" s="16" t="str">
        <f>IF(Risultati!AG349&lt;&gt;0,(BH350/Risultati!AG349),"0")</f>
        <v>0</v>
      </c>
      <c r="BR350" s="16" t="str">
        <f t="shared" si="286"/>
        <v>0</v>
      </c>
      <c r="BS350" s="14" t="str">
        <f>IF(Risultati!AB349&gt;0,(Risultati!G349/Risultati!AB349),"0")</f>
        <v>0</v>
      </c>
      <c r="BT350" s="15" t="str">
        <f>IF(Risultati!AG349&lt;&gt;0,(Risultati!AB349/Risultati!AG349),"0")</f>
        <v>0</v>
      </c>
      <c r="BU350" s="23" t="str">
        <f>IF(AND(Risultati!G349&gt;0,(Risultati!AE349-Risultati!AF349)&gt;=0),((Risultati!AE349-Risultati!AF349)/Risultati!G349*360),"0")</f>
        <v>0</v>
      </c>
      <c r="BV350" s="21" t="str">
        <f>IF(OR(E350="abbreviato",Risultati!G349=0),"0",((Risultati!AC349+Risultati!AD349)/Risultati!G349*360))</f>
        <v>0</v>
      </c>
      <c r="BW350" s="21" t="str">
        <f>IF(OR(E350="abbreviato",Risultati!G349=0,SUM(Risultati!I349+Risultati!K349+Risultati!M349)=0),"0",(((Risultati!AH349+Risultati!AI349)/(Risultati!I349+Risultati!K349+Risultati!N349)*360)))</f>
        <v>0</v>
      </c>
      <c r="BX350" s="16" t="str">
        <f>IF(Risultati!AB349&gt;0,(+Risultati!AG349/Risultati!AB349),"0")</f>
        <v>0</v>
      </c>
      <c r="BY350" s="22" t="str">
        <f>IF(OR(E350="abbreviato",Risultati!G349=0),"0",(((Risultati!AK349-(Risultati!AL349+Risultati!AM349))/Risultati!G349)))</f>
        <v>0</v>
      </c>
      <c r="BZ350" s="16" t="str">
        <f>IF(Risultati!G349&gt;0,(Risultati!AJ349/Risultati!G349),"0")</f>
        <v>0</v>
      </c>
      <c r="CA350" s="8"/>
      <c r="CB350" s="9">
        <f>+Risultati!AP349</f>
        <v>0</v>
      </c>
      <c r="CC350" s="31" t="str">
        <f t="shared" si="312"/>
        <v>0</v>
      </c>
      <c r="CD350" s="9">
        <f>+Risultati!AQ349</f>
        <v>0</v>
      </c>
      <c r="CE350" s="31" t="str">
        <f t="shared" si="313"/>
        <v>0</v>
      </c>
      <c r="CF350" s="9">
        <f>+Risultati!AR349</f>
        <v>0</v>
      </c>
      <c r="CG350" s="31" t="str">
        <f t="shared" si="314"/>
        <v>0</v>
      </c>
      <c r="CH350" s="9">
        <f>+Risultati!AS349</f>
        <v>0</v>
      </c>
      <c r="CI350" s="31" t="str">
        <f t="shared" si="315"/>
        <v>0</v>
      </c>
      <c r="CJ350" s="9">
        <f t="shared" si="316"/>
        <v>0</v>
      </c>
      <c r="CK350" s="31" t="str">
        <f t="shared" si="317"/>
        <v>0</v>
      </c>
      <c r="CL350" s="10">
        <f>+Risultati!AE349+Risultati!AF349</f>
        <v>0</v>
      </c>
      <c r="CM350" s="31" t="str">
        <f t="shared" si="318"/>
        <v>0</v>
      </c>
      <c r="CN350" s="9">
        <f>+Risultati!AT349</f>
        <v>0</v>
      </c>
      <c r="CO350" s="31" t="str">
        <f t="shared" si="319"/>
        <v>0</v>
      </c>
      <c r="CP350" s="9">
        <f>+Risultati!AU349</f>
        <v>0</v>
      </c>
      <c r="CQ350" s="31" t="str">
        <f t="shared" si="320"/>
        <v>0</v>
      </c>
      <c r="CR350" s="9">
        <f>+Risultati!AL349</f>
        <v>0</v>
      </c>
      <c r="CS350" s="31" t="str">
        <f t="shared" si="321"/>
        <v>0</v>
      </c>
      <c r="CT350" s="9">
        <f t="shared" si="322"/>
        <v>0</v>
      </c>
      <c r="CU350" s="31" t="str">
        <f t="shared" si="323"/>
        <v>0</v>
      </c>
      <c r="CV350" s="9">
        <f>+Risultati!AX349</f>
        <v>0</v>
      </c>
      <c r="CW350" s="31" t="str">
        <f t="shared" si="324"/>
        <v>0</v>
      </c>
      <c r="CX350" s="9">
        <f t="shared" si="325"/>
        <v>0</v>
      </c>
      <c r="CY350" s="31" t="str">
        <f t="shared" si="326"/>
        <v>0</v>
      </c>
      <c r="CZ350" s="9">
        <f>+Risultati!AG349</f>
        <v>0</v>
      </c>
      <c r="DA350" s="31" t="str">
        <f t="shared" si="327"/>
        <v>0</v>
      </c>
      <c r="DB350" s="9">
        <f t="shared" si="328"/>
        <v>0</v>
      </c>
      <c r="DC350" s="31" t="str">
        <f t="shared" si="329"/>
        <v>0</v>
      </c>
      <c r="DD350" s="9">
        <f>+Risultati!AV349</f>
        <v>0</v>
      </c>
      <c r="DE350" s="31" t="str">
        <f t="shared" si="330"/>
        <v>0</v>
      </c>
      <c r="DF350" s="9">
        <f>+Risultati!AJ349</f>
        <v>0</v>
      </c>
      <c r="DG350" s="31" t="str">
        <f t="shared" si="331"/>
        <v>0</v>
      </c>
      <c r="DH350" s="9">
        <f t="shared" si="332"/>
        <v>0</v>
      </c>
      <c r="DI350" s="31" t="str">
        <f t="shared" si="333"/>
        <v>0</v>
      </c>
      <c r="DJ350" s="9">
        <f>+Risultati!AW349</f>
        <v>0</v>
      </c>
      <c r="DK350" s="31" t="str">
        <f t="shared" si="334"/>
        <v>0</v>
      </c>
      <c r="DL350" s="10">
        <f t="shared" si="305"/>
        <v>0</v>
      </c>
      <c r="DM350" s="31" t="str">
        <f t="shared" si="335"/>
        <v>0</v>
      </c>
      <c r="DO350" s="30"/>
      <c r="DP350" s="30"/>
    </row>
    <row r="351" spans="1:120" x14ac:dyDescent="0.2">
      <c r="A351" s="5"/>
      <c r="B351" s="6">
        <f>+Risultati!B350</f>
        <v>0</v>
      </c>
      <c r="C351" s="6">
        <f>+Risultati!C350</f>
        <v>0</v>
      </c>
      <c r="D351" s="26" t="str">
        <f>IF(YEAR(Risultati!D350)=1900,(MID(Risultati!$AP$1,29,4)),YEAR(Risultati!D350))</f>
        <v/>
      </c>
      <c r="E351" s="6">
        <f>+Risultati!E350</f>
        <v>0</v>
      </c>
      <c r="F351" s="8" t="e">
        <f>(LEFT(Risultati!AN350,2)&amp;"-")&amp;VLOOKUP((LEFT(Risultati!AN350,2)),ateco!$B$4:$C$93,2,FALSE)</f>
        <v>#N/A</v>
      </c>
      <c r="G351" s="8" t="str">
        <f>SUBSTITUTE((Risultati!AN350&amp;"-"&amp;Risultati!AO350),",",";")</f>
        <v>-</v>
      </c>
      <c r="I351" s="10">
        <f>+Risultati!G350</f>
        <v>0</v>
      </c>
      <c r="J351" s="11" t="str">
        <f t="shared" si="287"/>
        <v>0</v>
      </c>
      <c r="K351" s="12"/>
      <c r="L351" s="10">
        <f>+Risultati!G350+Risultati!H350</f>
        <v>0</v>
      </c>
      <c r="M351" s="11" t="str">
        <f t="shared" si="288"/>
        <v>0</v>
      </c>
      <c r="N351" s="12"/>
      <c r="O351" s="10">
        <f>+Risultati!I350+Risultati!J350</f>
        <v>0</v>
      </c>
      <c r="P351" s="11" t="str">
        <f t="shared" si="289"/>
        <v>0</v>
      </c>
      <c r="Q351" s="12"/>
      <c r="R351" s="13">
        <f t="shared" si="306"/>
        <v>0</v>
      </c>
      <c r="S351" s="11" t="str">
        <f t="shared" si="290"/>
        <v>0</v>
      </c>
      <c r="T351" s="12"/>
      <c r="U351" s="10">
        <f>+Risultati!F350-(Risultati!G350+Risultati!H350)</f>
        <v>0</v>
      </c>
      <c r="V351" s="12" t="str">
        <f t="shared" si="291"/>
        <v>0</v>
      </c>
      <c r="W351" s="12"/>
      <c r="X351" s="10">
        <f t="shared" si="307"/>
        <v>0</v>
      </c>
      <c r="Y351" s="12" t="str">
        <f t="shared" si="292"/>
        <v>0</v>
      </c>
      <c r="Z351" s="12"/>
      <c r="AA351" s="10">
        <f>+Risultati!K350</f>
        <v>0</v>
      </c>
      <c r="AB351" s="12" t="str">
        <f t="shared" si="293"/>
        <v>0</v>
      </c>
      <c r="AC351" s="12"/>
      <c r="AD351" s="10">
        <f>+Risultati!L350</f>
        <v>0</v>
      </c>
      <c r="AE351" s="12" t="str">
        <f t="shared" si="294"/>
        <v>0</v>
      </c>
      <c r="AF351" s="12"/>
      <c r="AG351" s="10">
        <f>+Risultati!M350+Risultati!P350+Risultati!Q350</f>
        <v>0</v>
      </c>
      <c r="AH351" s="12" t="str">
        <f t="shared" si="295"/>
        <v>0</v>
      </c>
      <c r="AI351" s="12"/>
      <c r="AJ351" s="13">
        <f t="shared" si="308"/>
        <v>0</v>
      </c>
      <c r="AK351" s="11" t="str">
        <f t="shared" si="296"/>
        <v>0</v>
      </c>
      <c r="AL351" s="12"/>
      <c r="AM351" s="10">
        <f>+Risultati!N350</f>
        <v>0</v>
      </c>
      <c r="AN351" s="12" t="str">
        <f t="shared" si="297"/>
        <v>0</v>
      </c>
      <c r="AO351" s="12"/>
      <c r="AP351" s="10">
        <f t="shared" si="309"/>
        <v>0</v>
      </c>
      <c r="AQ351" s="41" t="str">
        <f t="shared" si="298"/>
        <v>0</v>
      </c>
      <c r="AR351" s="12"/>
      <c r="AS351" s="10">
        <f>+Risultati!O350</f>
        <v>0</v>
      </c>
      <c r="AT351" s="12" t="str">
        <f t="shared" si="299"/>
        <v>0</v>
      </c>
      <c r="AU351" s="12"/>
      <c r="AV351" s="10">
        <f t="shared" si="310"/>
        <v>0</v>
      </c>
      <c r="AW351" s="12" t="str">
        <f t="shared" si="300"/>
        <v>0</v>
      </c>
      <c r="AX351" s="12"/>
      <c r="AY351" s="10">
        <f>+Risultati!R350+Risultati!S350</f>
        <v>0</v>
      </c>
      <c r="AZ351" s="12" t="str">
        <f t="shared" si="301"/>
        <v>0</v>
      </c>
      <c r="BA351" s="12"/>
      <c r="BB351" s="10">
        <f>+Risultati!T350</f>
        <v>0</v>
      </c>
      <c r="BC351" s="12" t="str">
        <f t="shared" si="302"/>
        <v>0</v>
      </c>
      <c r="BD351" s="12"/>
      <c r="BE351" s="10">
        <f>+Risultati!U350</f>
        <v>0</v>
      </c>
      <c r="BF351" s="12" t="str">
        <f t="shared" si="303"/>
        <v>0</v>
      </c>
      <c r="BG351" s="12"/>
      <c r="BH351" s="10">
        <f t="shared" si="311"/>
        <v>0</v>
      </c>
      <c r="BI351" s="12" t="str">
        <f t="shared" si="304"/>
        <v>0</v>
      </c>
      <c r="BK351" s="16">
        <f>IF(ISNUMBER(Risultati!X350/100),(Risultati!X350/100))</f>
        <v>0</v>
      </c>
      <c r="BL351" s="16">
        <f>IF(ISNUMBER(Risultati!Y350/100),(Risultati!Y350/100))</f>
        <v>0</v>
      </c>
      <c r="BM351" s="16">
        <f>IF(ISNUMBER(Risultati!Z350/100),(Risultati!Z350/100))</f>
        <v>0</v>
      </c>
      <c r="BN351" s="16">
        <f>IF(AND(Risultati!AY350&lt;0,calcoli!AP351&lt;0),-IF(ISNUMBER(Risultati!AA350/100),(Risultati!AA350/100)),IF(ISNUMBER(Risultati!AA350/100),(Risultati!AA350/100)))</f>
        <v>0</v>
      </c>
      <c r="BO351" s="16" t="str">
        <f t="shared" si="285"/>
        <v>0</v>
      </c>
      <c r="BP351" s="16" t="str">
        <f>IF(Risultati!AB350&gt;0,(AV351/Risultati!AB350),"0")</f>
        <v>0</v>
      </c>
      <c r="BQ351" s="16" t="str">
        <f>IF(Risultati!AG350&lt;&gt;0,(BH351/Risultati!AG350),"0")</f>
        <v>0</v>
      </c>
      <c r="BR351" s="16" t="str">
        <f t="shared" si="286"/>
        <v>0</v>
      </c>
      <c r="BS351" s="14" t="str">
        <f>IF(Risultati!AB350&gt;0,(Risultati!G350/Risultati!AB350),"0")</f>
        <v>0</v>
      </c>
      <c r="BT351" s="15" t="str">
        <f>IF(Risultati!AG350&lt;&gt;0,(Risultati!AB350/Risultati!AG350),"0")</f>
        <v>0</v>
      </c>
      <c r="BU351" s="23" t="str">
        <f>IF(AND(Risultati!G350&gt;0,(Risultati!AE350-Risultati!AF350)&gt;=0),((Risultati!AE350-Risultati!AF350)/Risultati!G350*360),"0")</f>
        <v>0</v>
      </c>
      <c r="BV351" s="21" t="str">
        <f>IF(OR(E351="abbreviato",Risultati!G350=0),"0",((Risultati!AC350+Risultati!AD350)/Risultati!G350*360))</f>
        <v>0</v>
      </c>
      <c r="BW351" s="21" t="str">
        <f>IF(OR(E351="abbreviato",Risultati!G350=0,SUM(Risultati!I350+Risultati!K350+Risultati!M350)=0),"0",(((Risultati!AH350+Risultati!AI350)/(Risultati!I350+Risultati!K350+Risultati!N350)*360)))</f>
        <v>0</v>
      </c>
      <c r="BX351" s="16" t="str">
        <f>IF(Risultati!AB350&gt;0,(+Risultati!AG350/Risultati!AB350),"0")</f>
        <v>0</v>
      </c>
      <c r="BY351" s="22" t="str">
        <f>IF(OR(E351="abbreviato",Risultati!G350=0),"0",(((Risultati!AK350-(Risultati!AL350+Risultati!AM350))/Risultati!G350)))</f>
        <v>0</v>
      </c>
      <c r="BZ351" s="16" t="str">
        <f>IF(Risultati!G350&gt;0,(Risultati!AJ350/Risultati!G350),"0")</f>
        <v>0</v>
      </c>
      <c r="CA351" s="8"/>
      <c r="CB351" s="9">
        <f>+Risultati!AP350</f>
        <v>0</v>
      </c>
      <c r="CC351" s="31" t="str">
        <f t="shared" si="312"/>
        <v>0</v>
      </c>
      <c r="CD351" s="9">
        <f>+Risultati!AQ350</f>
        <v>0</v>
      </c>
      <c r="CE351" s="31" t="str">
        <f t="shared" si="313"/>
        <v>0</v>
      </c>
      <c r="CF351" s="9">
        <f>+Risultati!AR350</f>
        <v>0</v>
      </c>
      <c r="CG351" s="31" t="str">
        <f t="shared" si="314"/>
        <v>0</v>
      </c>
      <c r="CH351" s="9">
        <f>+Risultati!AS350</f>
        <v>0</v>
      </c>
      <c r="CI351" s="31" t="str">
        <f t="shared" si="315"/>
        <v>0</v>
      </c>
      <c r="CJ351" s="9">
        <f t="shared" si="316"/>
        <v>0</v>
      </c>
      <c r="CK351" s="31" t="str">
        <f t="shared" si="317"/>
        <v>0</v>
      </c>
      <c r="CL351" s="10">
        <f>+Risultati!AE350+Risultati!AF350</f>
        <v>0</v>
      </c>
      <c r="CM351" s="31" t="str">
        <f t="shared" si="318"/>
        <v>0</v>
      </c>
      <c r="CN351" s="9">
        <f>+Risultati!AT350</f>
        <v>0</v>
      </c>
      <c r="CO351" s="31" t="str">
        <f t="shared" si="319"/>
        <v>0</v>
      </c>
      <c r="CP351" s="9">
        <f>+Risultati!AU350</f>
        <v>0</v>
      </c>
      <c r="CQ351" s="31" t="str">
        <f t="shared" si="320"/>
        <v>0</v>
      </c>
      <c r="CR351" s="9">
        <f>+Risultati!AL350</f>
        <v>0</v>
      </c>
      <c r="CS351" s="31" t="str">
        <f t="shared" si="321"/>
        <v>0</v>
      </c>
      <c r="CT351" s="9">
        <f t="shared" si="322"/>
        <v>0</v>
      </c>
      <c r="CU351" s="31" t="str">
        <f t="shared" si="323"/>
        <v>0</v>
      </c>
      <c r="CV351" s="9">
        <f>+Risultati!AX350</f>
        <v>0</v>
      </c>
      <c r="CW351" s="31" t="str">
        <f t="shared" si="324"/>
        <v>0</v>
      </c>
      <c r="CX351" s="9">
        <f t="shared" si="325"/>
        <v>0</v>
      </c>
      <c r="CY351" s="31" t="str">
        <f t="shared" si="326"/>
        <v>0</v>
      </c>
      <c r="CZ351" s="9">
        <f>+Risultati!AG350</f>
        <v>0</v>
      </c>
      <c r="DA351" s="31" t="str">
        <f t="shared" si="327"/>
        <v>0</v>
      </c>
      <c r="DB351" s="9">
        <f t="shared" si="328"/>
        <v>0</v>
      </c>
      <c r="DC351" s="31" t="str">
        <f t="shared" si="329"/>
        <v>0</v>
      </c>
      <c r="DD351" s="9">
        <f>+Risultati!AV350</f>
        <v>0</v>
      </c>
      <c r="DE351" s="31" t="str">
        <f t="shared" si="330"/>
        <v>0</v>
      </c>
      <c r="DF351" s="9">
        <f>+Risultati!AJ350</f>
        <v>0</v>
      </c>
      <c r="DG351" s="31" t="str">
        <f t="shared" si="331"/>
        <v>0</v>
      </c>
      <c r="DH351" s="9">
        <f t="shared" si="332"/>
        <v>0</v>
      </c>
      <c r="DI351" s="31" t="str">
        <f t="shared" si="333"/>
        <v>0</v>
      </c>
      <c r="DJ351" s="9">
        <f>+Risultati!AW350</f>
        <v>0</v>
      </c>
      <c r="DK351" s="31" t="str">
        <f t="shared" si="334"/>
        <v>0</v>
      </c>
      <c r="DL351" s="10">
        <f t="shared" si="305"/>
        <v>0</v>
      </c>
      <c r="DM351" s="31" t="str">
        <f t="shared" si="335"/>
        <v>0</v>
      </c>
      <c r="DO351" s="30"/>
      <c r="DP351" s="30"/>
    </row>
    <row r="352" spans="1:120" x14ac:dyDescent="0.2">
      <c r="A352" s="5"/>
      <c r="B352" s="6">
        <f>+Risultati!B351</f>
        <v>0</v>
      </c>
      <c r="C352" s="6">
        <f>+Risultati!C351</f>
        <v>0</v>
      </c>
      <c r="D352" s="26" t="str">
        <f>IF(YEAR(Risultati!D351)=1900,(MID(Risultati!$AP$1,29,4)),YEAR(Risultati!D351))</f>
        <v/>
      </c>
      <c r="E352" s="6">
        <f>+Risultati!E351</f>
        <v>0</v>
      </c>
      <c r="F352" s="8" t="e">
        <f>(LEFT(Risultati!AN351,2)&amp;"-")&amp;VLOOKUP((LEFT(Risultati!AN351,2)),ateco!$B$4:$C$93,2,FALSE)</f>
        <v>#N/A</v>
      </c>
      <c r="G352" s="8" t="str">
        <f>SUBSTITUTE((Risultati!AN351&amp;"-"&amp;Risultati!AO351),",",";")</f>
        <v>-</v>
      </c>
      <c r="I352" s="10">
        <f>+Risultati!G351</f>
        <v>0</v>
      </c>
      <c r="J352" s="11" t="str">
        <f t="shared" si="287"/>
        <v>0</v>
      </c>
      <c r="K352" s="12"/>
      <c r="L352" s="10">
        <f>+Risultati!G351+Risultati!H351</f>
        <v>0</v>
      </c>
      <c r="M352" s="11" t="str">
        <f t="shared" si="288"/>
        <v>0</v>
      </c>
      <c r="N352" s="12"/>
      <c r="O352" s="10">
        <f>+Risultati!I351+Risultati!J351</f>
        <v>0</v>
      </c>
      <c r="P352" s="11" t="str">
        <f t="shared" si="289"/>
        <v>0</v>
      </c>
      <c r="Q352" s="12"/>
      <c r="R352" s="13">
        <f t="shared" si="306"/>
        <v>0</v>
      </c>
      <c r="S352" s="11" t="str">
        <f t="shared" si="290"/>
        <v>0</v>
      </c>
      <c r="T352" s="12"/>
      <c r="U352" s="10">
        <f>+Risultati!F351-(Risultati!G351+Risultati!H351)</f>
        <v>0</v>
      </c>
      <c r="V352" s="12" t="str">
        <f t="shared" si="291"/>
        <v>0</v>
      </c>
      <c r="W352" s="12"/>
      <c r="X352" s="10">
        <f t="shared" si="307"/>
        <v>0</v>
      </c>
      <c r="Y352" s="12" t="str">
        <f t="shared" si="292"/>
        <v>0</v>
      </c>
      <c r="Z352" s="12"/>
      <c r="AA352" s="10">
        <f>+Risultati!K351</f>
        <v>0</v>
      </c>
      <c r="AB352" s="12" t="str">
        <f t="shared" si="293"/>
        <v>0</v>
      </c>
      <c r="AC352" s="12"/>
      <c r="AD352" s="10">
        <f>+Risultati!L351</f>
        <v>0</v>
      </c>
      <c r="AE352" s="12" t="str">
        <f t="shared" si="294"/>
        <v>0</v>
      </c>
      <c r="AF352" s="12"/>
      <c r="AG352" s="10">
        <f>+Risultati!M351+Risultati!P351+Risultati!Q351</f>
        <v>0</v>
      </c>
      <c r="AH352" s="12" t="str">
        <f t="shared" si="295"/>
        <v>0</v>
      </c>
      <c r="AI352" s="12"/>
      <c r="AJ352" s="13">
        <f t="shared" si="308"/>
        <v>0</v>
      </c>
      <c r="AK352" s="11" t="str">
        <f t="shared" si="296"/>
        <v>0</v>
      </c>
      <c r="AL352" s="12"/>
      <c r="AM352" s="10">
        <f>+Risultati!N351</f>
        <v>0</v>
      </c>
      <c r="AN352" s="12" t="str">
        <f t="shared" si="297"/>
        <v>0</v>
      </c>
      <c r="AO352" s="12"/>
      <c r="AP352" s="10">
        <f t="shared" si="309"/>
        <v>0</v>
      </c>
      <c r="AQ352" s="41" t="str">
        <f t="shared" si="298"/>
        <v>0</v>
      </c>
      <c r="AR352" s="12"/>
      <c r="AS352" s="10">
        <f>+Risultati!O351</f>
        <v>0</v>
      </c>
      <c r="AT352" s="12" t="str">
        <f t="shared" si="299"/>
        <v>0</v>
      </c>
      <c r="AU352" s="12"/>
      <c r="AV352" s="10">
        <f t="shared" si="310"/>
        <v>0</v>
      </c>
      <c r="AW352" s="12" t="str">
        <f t="shared" si="300"/>
        <v>0</v>
      </c>
      <c r="AX352" s="12"/>
      <c r="AY352" s="10">
        <f>+Risultati!R351+Risultati!S351</f>
        <v>0</v>
      </c>
      <c r="AZ352" s="12" t="str">
        <f t="shared" si="301"/>
        <v>0</v>
      </c>
      <c r="BA352" s="12"/>
      <c r="BB352" s="10">
        <f>+Risultati!T351</f>
        <v>0</v>
      </c>
      <c r="BC352" s="12" t="str">
        <f t="shared" si="302"/>
        <v>0</v>
      </c>
      <c r="BD352" s="12"/>
      <c r="BE352" s="10">
        <f>+Risultati!U351</f>
        <v>0</v>
      </c>
      <c r="BF352" s="12" t="str">
        <f t="shared" si="303"/>
        <v>0</v>
      </c>
      <c r="BG352" s="12"/>
      <c r="BH352" s="10">
        <f t="shared" si="311"/>
        <v>0</v>
      </c>
      <c r="BI352" s="12" t="str">
        <f t="shared" si="304"/>
        <v>0</v>
      </c>
      <c r="BK352" s="16">
        <f>IF(ISNUMBER(Risultati!X351/100),(Risultati!X351/100))</f>
        <v>0</v>
      </c>
      <c r="BL352" s="16">
        <f>IF(ISNUMBER(Risultati!Y351/100),(Risultati!Y351/100))</f>
        <v>0</v>
      </c>
      <c r="BM352" s="16">
        <f>IF(ISNUMBER(Risultati!Z351/100),(Risultati!Z351/100))</f>
        <v>0</v>
      </c>
      <c r="BN352" s="16">
        <f>IF(AND(Risultati!AY351&lt;0,calcoli!AP352&lt;0),-IF(ISNUMBER(Risultati!AA351/100),(Risultati!AA351/100)),IF(ISNUMBER(Risultati!AA351/100),(Risultati!AA351/100)))</f>
        <v>0</v>
      </c>
      <c r="BO352" s="16" t="str">
        <f t="shared" si="285"/>
        <v>0</v>
      </c>
      <c r="BP352" s="16" t="str">
        <f>IF(Risultati!AB351&gt;0,(AV352/Risultati!AB351),"0")</f>
        <v>0</v>
      </c>
      <c r="BQ352" s="16" t="str">
        <f>IF(Risultati!AG351&lt;&gt;0,(BH352/Risultati!AG351),"0")</f>
        <v>0</v>
      </c>
      <c r="BR352" s="16" t="str">
        <f t="shared" si="286"/>
        <v>0</v>
      </c>
      <c r="BS352" s="14" t="str">
        <f>IF(Risultati!AB351&gt;0,(Risultati!G351/Risultati!AB351),"0")</f>
        <v>0</v>
      </c>
      <c r="BT352" s="15" t="str">
        <f>IF(Risultati!AG351&lt;&gt;0,(Risultati!AB351/Risultati!AG351),"0")</f>
        <v>0</v>
      </c>
      <c r="BU352" s="23" t="str">
        <f>IF(AND(Risultati!G351&gt;0,(Risultati!AE351-Risultati!AF351)&gt;=0),((Risultati!AE351-Risultati!AF351)/Risultati!G351*360),"0")</f>
        <v>0</v>
      </c>
      <c r="BV352" s="21" t="str">
        <f>IF(OR(E352="abbreviato",Risultati!G351=0),"0",((Risultati!AC351+Risultati!AD351)/Risultati!G351*360))</f>
        <v>0</v>
      </c>
      <c r="BW352" s="21" t="str">
        <f>IF(OR(E352="abbreviato",Risultati!G351=0,SUM(Risultati!I351+Risultati!K351+Risultati!M351)=0),"0",(((Risultati!AH351+Risultati!AI351)/(Risultati!I351+Risultati!K351+Risultati!N351)*360)))</f>
        <v>0</v>
      </c>
      <c r="BX352" s="16" t="str">
        <f>IF(Risultati!AB351&gt;0,(+Risultati!AG351/Risultati!AB351),"0")</f>
        <v>0</v>
      </c>
      <c r="BY352" s="22" t="str">
        <f>IF(OR(E352="abbreviato",Risultati!G351=0),"0",(((Risultati!AK351-(Risultati!AL351+Risultati!AM351))/Risultati!G351)))</f>
        <v>0</v>
      </c>
      <c r="BZ352" s="16" t="str">
        <f>IF(Risultati!G351&gt;0,(Risultati!AJ351/Risultati!G351),"0")</f>
        <v>0</v>
      </c>
      <c r="CA352" s="8"/>
      <c r="CB352" s="9">
        <f>+Risultati!AP351</f>
        <v>0</v>
      </c>
      <c r="CC352" s="31" t="str">
        <f t="shared" si="312"/>
        <v>0</v>
      </c>
      <c r="CD352" s="9">
        <f>+Risultati!AQ351</f>
        <v>0</v>
      </c>
      <c r="CE352" s="31" t="str">
        <f t="shared" si="313"/>
        <v>0</v>
      </c>
      <c r="CF352" s="9">
        <f>+Risultati!AR351</f>
        <v>0</v>
      </c>
      <c r="CG352" s="31" t="str">
        <f t="shared" si="314"/>
        <v>0</v>
      </c>
      <c r="CH352" s="9">
        <f>+Risultati!AS351</f>
        <v>0</v>
      </c>
      <c r="CI352" s="31" t="str">
        <f t="shared" si="315"/>
        <v>0</v>
      </c>
      <c r="CJ352" s="9">
        <f t="shared" si="316"/>
        <v>0</v>
      </c>
      <c r="CK352" s="31" t="str">
        <f t="shared" si="317"/>
        <v>0</v>
      </c>
      <c r="CL352" s="10">
        <f>+Risultati!AE351+Risultati!AF351</f>
        <v>0</v>
      </c>
      <c r="CM352" s="31" t="str">
        <f t="shared" si="318"/>
        <v>0</v>
      </c>
      <c r="CN352" s="9">
        <f>+Risultati!AT351</f>
        <v>0</v>
      </c>
      <c r="CO352" s="31" t="str">
        <f t="shared" si="319"/>
        <v>0</v>
      </c>
      <c r="CP352" s="9">
        <f>+Risultati!AU351</f>
        <v>0</v>
      </c>
      <c r="CQ352" s="31" t="str">
        <f t="shared" si="320"/>
        <v>0</v>
      </c>
      <c r="CR352" s="9">
        <f>+Risultati!AL351</f>
        <v>0</v>
      </c>
      <c r="CS352" s="31" t="str">
        <f t="shared" si="321"/>
        <v>0</v>
      </c>
      <c r="CT352" s="9">
        <f t="shared" si="322"/>
        <v>0</v>
      </c>
      <c r="CU352" s="31" t="str">
        <f t="shared" si="323"/>
        <v>0</v>
      </c>
      <c r="CV352" s="9">
        <f>+Risultati!AX351</f>
        <v>0</v>
      </c>
      <c r="CW352" s="31" t="str">
        <f t="shared" si="324"/>
        <v>0</v>
      </c>
      <c r="CX352" s="9">
        <f t="shared" si="325"/>
        <v>0</v>
      </c>
      <c r="CY352" s="31" t="str">
        <f t="shared" si="326"/>
        <v>0</v>
      </c>
      <c r="CZ352" s="9">
        <f>+Risultati!AG351</f>
        <v>0</v>
      </c>
      <c r="DA352" s="31" t="str">
        <f t="shared" si="327"/>
        <v>0</v>
      </c>
      <c r="DB352" s="9">
        <f t="shared" si="328"/>
        <v>0</v>
      </c>
      <c r="DC352" s="31" t="str">
        <f t="shared" si="329"/>
        <v>0</v>
      </c>
      <c r="DD352" s="9">
        <f>+Risultati!AV351</f>
        <v>0</v>
      </c>
      <c r="DE352" s="31" t="str">
        <f t="shared" si="330"/>
        <v>0</v>
      </c>
      <c r="DF352" s="9">
        <f>+Risultati!AJ351</f>
        <v>0</v>
      </c>
      <c r="DG352" s="31" t="str">
        <f t="shared" si="331"/>
        <v>0</v>
      </c>
      <c r="DH352" s="9">
        <f t="shared" si="332"/>
        <v>0</v>
      </c>
      <c r="DI352" s="31" t="str">
        <f t="shared" si="333"/>
        <v>0</v>
      </c>
      <c r="DJ352" s="9">
        <f>+Risultati!AW351</f>
        <v>0</v>
      </c>
      <c r="DK352" s="31" t="str">
        <f t="shared" si="334"/>
        <v>0</v>
      </c>
      <c r="DL352" s="10">
        <f t="shared" si="305"/>
        <v>0</v>
      </c>
      <c r="DM352" s="31" t="str">
        <f t="shared" si="335"/>
        <v>0</v>
      </c>
      <c r="DO352" s="30"/>
      <c r="DP352" s="30"/>
    </row>
    <row r="353" spans="1:120" x14ac:dyDescent="0.2">
      <c r="A353" s="5"/>
      <c r="B353" s="6">
        <f>+Risultati!B352</f>
        <v>0</v>
      </c>
      <c r="C353" s="6">
        <f>+Risultati!C352</f>
        <v>0</v>
      </c>
      <c r="D353" s="26" t="str">
        <f>IF(YEAR(Risultati!D352)=1900,(MID(Risultati!$AP$1,29,4)),YEAR(Risultati!D352))</f>
        <v/>
      </c>
      <c r="E353" s="6">
        <f>+Risultati!E352</f>
        <v>0</v>
      </c>
      <c r="F353" s="8" t="e">
        <f>(LEFT(Risultati!AN352,2)&amp;"-")&amp;VLOOKUP((LEFT(Risultati!AN352,2)),ateco!$B$4:$C$93,2,FALSE)</f>
        <v>#N/A</v>
      </c>
      <c r="G353" s="8" t="str">
        <f>SUBSTITUTE((Risultati!AN352&amp;"-"&amp;Risultati!AO352),",",";")</f>
        <v>-</v>
      </c>
      <c r="I353" s="10">
        <f>+Risultati!G352</f>
        <v>0</v>
      </c>
      <c r="J353" s="11" t="str">
        <f t="shared" si="287"/>
        <v>0</v>
      </c>
      <c r="K353" s="12"/>
      <c r="L353" s="10">
        <f>+Risultati!G352+Risultati!H352</f>
        <v>0</v>
      </c>
      <c r="M353" s="11" t="str">
        <f t="shared" si="288"/>
        <v>0</v>
      </c>
      <c r="N353" s="12"/>
      <c r="O353" s="10">
        <f>+Risultati!I352+Risultati!J352</f>
        <v>0</v>
      </c>
      <c r="P353" s="11" t="str">
        <f t="shared" si="289"/>
        <v>0</v>
      </c>
      <c r="Q353" s="12"/>
      <c r="R353" s="13">
        <f t="shared" si="306"/>
        <v>0</v>
      </c>
      <c r="S353" s="11" t="str">
        <f t="shared" si="290"/>
        <v>0</v>
      </c>
      <c r="T353" s="12"/>
      <c r="U353" s="10">
        <f>+Risultati!F352-(Risultati!G352+Risultati!H352)</f>
        <v>0</v>
      </c>
      <c r="V353" s="12" t="str">
        <f t="shared" si="291"/>
        <v>0</v>
      </c>
      <c r="W353" s="12"/>
      <c r="X353" s="10">
        <f t="shared" si="307"/>
        <v>0</v>
      </c>
      <c r="Y353" s="12" t="str">
        <f t="shared" si="292"/>
        <v>0</v>
      </c>
      <c r="Z353" s="12"/>
      <c r="AA353" s="10">
        <f>+Risultati!K352</f>
        <v>0</v>
      </c>
      <c r="AB353" s="12" t="str">
        <f t="shared" si="293"/>
        <v>0</v>
      </c>
      <c r="AC353" s="12"/>
      <c r="AD353" s="10">
        <f>+Risultati!L352</f>
        <v>0</v>
      </c>
      <c r="AE353" s="12" t="str">
        <f t="shared" si="294"/>
        <v>0</v>
      </c>
      <c r="AF353" s="12"/>
      <c r="AG353" s="10">
        <f>+Risultati!M352+Risultati!P352+Risultati!Q352</f>
        <v>0</v>
      </c>
      <c r="AH353" s="12" t="str">
        <f t="shared" si="295"/>
        <v>0</v>
      </c>
      <c r="AI353" s="12"/>
      <c r="AJ353" s="13">
        <f t="shared" si="308"/>
        <v>0</v>
      </c>
      <c r="AK353" s="11" t="str">
        <f t="shared" si="296"/>
        <v>0</v>
      </c>
      <c r="AL353" s="12"/>
      <c r="AM353" s="10">
        <f>+Risultati!N352</f>
        <v>0</v>
      </c>
      <c r="AN353" s="12" t="str">
        <f t="shared" si="297"/>
        <v>0</v>
      </c>
      <c r="AO353" s="12"/>
      <c r="AP353" s="10">
        <f t="shared" si="309"/>
        <v>0</v>
      </c>
      <c r="AQ353" s="41" t="str">
        <f t="shared" si="298"/>
        <v>0</v>
      </c>
      <c r="AR353" s="12"/>
      <c r="AS353" s="10">
        <f>+Risultati!O352</f>
        <v>0</v>
      </c>
      <c r="AT353" s="12" t="str">
        <f t="shared" si="299"/>
        <v>0</v>
      </c>
      <c r="AU353" s="12"/>
      <c r="AV353" s="10">
        <f t="shared" si="310"/>
        <v>0</v>
      </c>
      <c r="AW353" s="12" t="str">
        <f t="shared" si="300"/>
        <v>0</v>
      </c>
      <c r="AX353" s="12"/>
      <c r="AY353" s="10">
        <f>+Risultati!R352+Risultati!S352</f>
        <v>0</v>
      </c>
      <c r="AZ353" s="12" t="str">
        <f t="shared" si="301"/>
        <v>0</v>
      </c>
      <c r="BA353" s="12"/>
      <c r="BB353" s="10">
        <f>+Risultati!T352</f>
        <v>0</v>
      </c>
      <c r="BC353" s="12" t="str">
        <f t="shared" si="302"/>
        <v>0</v>
      </c>
      <c r="BD353" s="12"/>
      <c r="BE353" s="10">
        <f>+Risultati!U352</f>
        <v>0</v>
      </c>
      <c r="BF353" s="12" t="str">
        <f t="shared" si="303"/>
        <v>0</v>
      </c>
      <c r="BG353" s="12"/>
      <c r="BH353" s="10">
        <f t="shared" si="311"/>
        <v>0</v>
      </c>
      <c r="BI353" s="12" t="str">
        <f t="shared" si="304"/>
        <v>0</v>
      </c>
      <c r="BK353" s="16">
        <f>IF(ISNUMBER(Risultati!X352/100),(Risultati!X352/100))</f>
        <v>0</v>
      </c>
      <c r="BL353" s="16">
        <f>IF(ISNUMBER(Risultati!Y352/100),(Risultati!Y352/100))</f>
        <v>0</v>
      </c>
      <c r="BM353" s="16">
        <f>IF(ISNUMBER(Risultati!Z352/100),(Risultati!Z352/100))</f>
        <v>0</v>
      </c>
      <c r="BN353" s="16">
        <f>IF(AND(Risultati!AY352&lt;0,calcoli!AP353&lt;0),-IF(ISNUMBER(Risultati!AA352/100),(Risultati!AA352/100)),IF(ISNUMBER(Risultati!AA352/100),(Risultati!AA352/100)))</f>
        <v>0</v>
      </c>
      <c r="BO353" s="16" t="str">
        <f t="shared" si="285"/>
        <v>0</v>
      </c>
      <c r="BP353" s="16" t="str">
        <f>IF(Risultati!AB352&gt;0,(AV353/Risultati!AB352),"0")</f>
        <v>0</v>
      </c>
      <c r="BQ353" s="16" t="str">
        <f>IF(Risultati!AG352&lt;&gt;0,(BH353/Risultati!AG352),"0")</f>
        <v>0</v>
      </c>
      <c r="BR353" s="16" t="str">
        <f t="shared" si="286"/>
        <v>0</v>
      </c>
      <c r="BS353" s="14" t="str">
        <f>IF(Risultati!AB352&gt;0,(Risultati!G352/Risultati!AB352),"0")</f>
        <v>0</v>
      </c>
      <c r="BT353" s="15" t="str">
        <f>IF(Risultati!AG352&lt;&gt;0,(Risultati!AB352/Risultati!AG352),"0")</f>
        <v>0</v>
      </c>
      <c r="BU353" s="23" t="str">
        <f>IF(AND(Risultati!G352&gt;0,(Risultati!AE352-Risultati!AF352)&gt;=0),((Risultati!AE352-Risultati!AF352)/Risultati!G352*360),"0")</f>
        <v>0</v>
      </c>
      <c r="BV353" s="21" t="str">
        <f>IF(OR(E353="abbreviato",Risultati!G352=0),"0",((Risultati!AC352+Risultati!AD352)/Risultati!G352*360))</f>
        <v>0</v>
      </c>
      <c r="BW353" s="21" t="str">
        <f>IF(OR(E353="abbreviato",Risultati!G352=0,SUM(Risultati!I352+Risultati!K352+Risultati!M352)=0),"0",(((Risultati!AH352+Risultati!AI352)/(Risultati!I352+Risultati!K352+Risultati!N352)*360)))</f>
        <v>0</v>
      </c>
      <c r="BX353" s="16" t="str">
        <f>IF(Risultati!AB352&gt;0,(+Risultati!AG352/Risultati!AB352),"0")</f>
        <v>0</v>
      </c>
      <c r="BY353" s="22" t="str">
        <f>IF(OR(E353="abbreviato",Risultati!G352=0),"0",(((Risultati!AK352-(Risultati!AL352+Risultati!AM352))/Risultati!G352)))</f>
        <v>0</v>
      </c>
      <c r="BZ353" s="16" t="str">
        <f>IF(Risultati!G352&gt;0,(Risultati!AJ352/Risultati!G352),"0")</f>
        <v>0</v>
      </c>
      <c r="CA353" s="8"/>
      <c r="CB353" s="9">
        <f>+Risultati!AP352</f>
        <v>0</v>
      </c>
      <c r="CC353" s="31" t="str">
        <f t="shared" si="312"/>
        <v>0</v>
      </c>
      <c r="CD353" s="9">
        <f>+Risultati!AQ352</f>
        <v>0</v>
      </c>
      <c r="CE353" s="31" t="str">
        <f t="shared" si="313"/>
        <v>0</v>
      </c>
      <c r="CF353" s="9">
        <f>+Risultati!AR352</f>
        <v>0</v>
      </c>
      <c r="CG353" s="31" t="str">
        <f t="shared" si="314"/>
        <v>0</v>
      </c>
      <c r="CH353" s="9">
        <f>+Risultati!AS352</f>
        <v>0</v>
      </c>
      <c r="CI353" s="31" t="str">
        <f t="shared" si="315"/>
        <v>0</v>
      </c>
      <c r="CJ353" s="9">
        <f t="shared" si="316"/>
        <v>0</v>
      </c>
      <c r="CK353" s="31" t="str">
        <f t="shared" si="317"/>
        <v>0</v>
      </c>
      <c r="CL353" s="10">
        <f>+Risultati!AE352+Risultati!AF352</f>
        <v>0</v>
      </c>
      <c r="CM353" s="31" t="str">
        <f t="shared" si="318"/>
        <v>0</v>
      </c>
      <c r="CN353" s="9">
        <f>+Risultati!AT352</f>
        <v>0</v>
      </c>
      <c r="CO353" s="31" t="str">
        <f t="shared" si="319"/>
        <v>0</v>
      </c>
      <c r="CP353" s="9">
        <f>+Risultati!AU352</f>
        <v>0</v>
      </c>
      <c r="CQ353" s="31" t="str">
        <f t="shared" si="320"/>
        <v>0</v>
      </c>
      <c r="CR353" s="9">
        <f>+Risultati!AL352</f>
        <v>0</v>
      </c>
      <c r="CS353" s="31" t="str">
        <f t="shared" si="321"/>
        <v>0</v>
      </c>
      <c r="CT353" s="9">
        <f t="shared" si="322"/>
        <v>0</v>
      </c>
      <c r="CU353" s="31" t="str">
        <f t="shared" si="323"/>
        <v>0</v>
      </c>
      <c r="CV353" s="9">
        <f>+Risultati!AX352</f>
        <v>0</v>
      </c>
      <c r="CW353" s="31" t="str">
        <f t="shared" si="324"/>
        <v>0</v>
      </c>
      <c r="CX353" s="9">
        <f t="shared" si="325"/>
        <v>0</v>
      </c>
      <c r="CY353" s="31" t="str">
        <f t="shared" si="326"/>
        <v>0</v>
      </c>
      <c r="CZ353" s="9">
        <f>+Risultati!AG352</f>
        <v>0</v>
      </c>
      <c r="DA353" s="31" t="str">
        <f t="shared" si="327"/>
        <v>0</v>
      </c>
      <c r="DB353" s="9">
        <f t="shared" si="328"/>
        <v>0</v>
      </c>
      <c r="DC353" s="31" t="str">
        <f t="shared" si="329"/>
        <v>0</v>
      </c>
      <c r="DD353" s="9">
        <f>+Risultati!AV352</f>
        <v>0</v>
      </c>
      <c r="DE353" s="31" t="str">
        <f t="shared" si="330"/>
        <v>0</v>
      </c>
      <c r="DF353" s="9">
        <f>+Risultati!AJ352</f>
        <v>0</v>
      </c>
      <c r="DG353" s="31" t="str">
        <f t="shared" si="331"/>
        <v>0</v>
      </c>
      <c r="DH353" s="9">
        <f t="shared" si="332"/>
        <v>0</v>
      </c>
      <c r="DI353" s="31" t="str">
        <f t="shared" si="333"/>
        <v>0</v>
      </c>
      <c r="DJ353" s="9">
        <f>+Risultati!AW352</f>
        <v>0</v>
      </c>
      <c r="DK353" s="31" t="str">
        <f t="shared" si="334"/>
        <v>0</v>
      </c>
      <c r="DL353" s="10">
        <f t="shared" si="305"/>
        <v>0</v>
      </c>
      <c r="DM353" s="31" t="str">
        <f t="shared" si="335"/>
        <v>0</v>
      </c>
      <c r="DO353" s="30"/>
      <c r="DP353" s="30"/>
    </row>
    <row r="354" spans="1:120" x14ac:dyDescent="0.2">
      <c r="A354" s="5"/>
      <c r="B354" s="6">
        <f>+Risultati!B353</f>
        <v>0</v>
      </c>
      <c r="C354" s="6">
        <f>+Risultati!C353</f>
        <v>0</v>
      </c>
      <c r="D354" s="26" t="str">
        <f>IF(YEAR(Risultati!D353)=1900,(MID(Risultati!$AP$1,29,4)),YEAR(Risultati!D353))</f>
        <v/>
      </c>
      <c r="E354" s="6">
        <f>+Risultati!E353</f>
        <v>0</v>
      </c>
      <c r="F354" s="8" t="e">
        <f>(LEFT(Risultati!AN353,2)&amp;"-")&amp;VLOOKUP((LEFT(Risultati!AN353,2)),ateco!$B$4:$C$93,2,FALSE)</f>
        <v>#N/A</v>
      </c>
      <c r="G354" s="8" t="str">
        <f>SUBSTITUTE((Risultati!AN353&amp;"-"&amp;Risultati!AO353),",",";")</f>
        <v>-</v>
      </c>
      <c r="I354" s="10">
        <f>+Risultati!G353</f>
        <v>0</v>
      </c>
      <c r="J354" s="11" t="str">
        <f t="shared" si="287"/>
        <v>0</v>
      </c>
      <c r="K354" s="12"/>
      <c r="L354" s="10">
        <f>+Risultati!G353+Risultati!H353</f>
        <v>0</v>
      </c>
      <c r="M354" s="11" t="str">
        <f t="shared" si="288"/>
        <v>0</v>
      </c>
      <c r="N354" s="12"/>
      <c r="O354" s="10">
        <f>+Risultati!I353+Risultati!J353</f>
        <v>0</v>
      </c>
      <c r="P354" s="11" t="str">
        <f t="shared" si="289"/>
        <v>0</v>
      </c>
      <c r="Q354" s="12"/>
      <c r="R354" s="13">
        <f t="shared" si="306"/>
        <v>0</v>
      </c>
      <c r="S354" s="11" t="str">
        <f t="shared" si="290"/>
        <v>0</v>
      </c>
      <c r="T354" s="12"/>
      <c r="U354" s="10">
        <f>+Risultati!F353-(Risultati!G353+Risultati!H353)</f>
        <v>0</v>
      </c>
      <c r="V354" s="12" t="str">
        <f t="shared" si="291"/>
        <v>0</v>
      </c>
      <c r="W354" s="12"/>
      <c r="X354" s="10">
        <f t="shared" si="307"/>
        <v>0</v>
      </c>
      <c r="Y354" s="12" t="str">
        <f t="shared" si="292"/>
        <v>0</v>
      </c>
      <c r="Z354" s="12"/>
      <c r="AA354" s="10">
        <f>+Risultati!K353</f>
        <v>0</v>
      </c>
      <c r="AB354" s="12" t="str">
        <f t="shared" si="293"/>
        <v>0</v>
      </c>
      <c r="AC354" s="12"/>
      <c r="AD354" s="10">
        <f>+Risultati!L353</f>
        <v>0</v>
      </c>
      <c r="AE354" s="12" t="str">
        <f t="shared" si="294"/>
        <v>0</v>
      </c>
      <c r="AF354" s="12"/>
      <c r="AG354" s="10">
        <f>+Risultati!M353+Risultati!P353+Risultati!Q353</f>
        <v>0</v>
      </c>
      <c r="AH354" s="12" t="str">
        <f t="shared" si="295"/>
        <v>0</v>
      </c>
      <c r="AI354" s="12"/>
      <c r="AJ354" s="13">
        <f t="shared" si="308"/>
        <v>0</v>
      </c>
      <c r="AK354" s="11" t="str">
        <f t="shared" si="296"/>
        <v>0</v>
      </c>
      <c r="AL354" s="12"/>
      <c r="AM354" s="10">
        <f>+Risultati!N353</f>
        <v>0</v>
      </c>
      <c r="AN354" s="12" t="str">
        <f t="shared" si="297"/>
        <v>0</v>
      </c>
      <c r="AO354" s="12"/>
      <c r="AP354" s="10">
        <f t="shared" si="309"/>
        <v>0</v>
      </c>
      <c r="AQ354" s="41" t="str">
        <f t="shared" si="298"/>
        <v>0</v>
      </c>
      <c r="AR354" s="12"/>
      <c r="AS354" s="10">
        <f>+Risultati!O353</f>
        <v>0</v>
      </c>
      <c r="AT354" s="12" t="str">
        <f t="shared" si="299"/>
        <v>0</v>
      </c>
      <c r="AU354" s="12"/>
      <c r="AV354" s="10">
        <f t="shared" si="310"/>
        <v>0</v>
      </c>
      <c r="AW354" s="12" t="str">
        <f t="shared" si="300"/>
        <v>0</v>
      </c>
      <c r="AX354" s="12"/>
      <c r="AY354" s="10">
        <f>+Risultati!R353+Risultati!S353</f>
        <v>0</v>
      </c>
      <c r="AZ354" s="12" t="str">
        <f t="shared" si="301"/>
        <v>0</v>
      </c>
      <c r="BA354" s="12"/>
      <c r="BB354" s="10">
        <f>+Risultati!T353</f>
        <v>0</v>
      </c>
      <c r="BC354" s="12" t="str">
        <f t="shared" si="302"/>
        <v>0</v>
      </c>
      <c r="BD354" s="12"/>
      <c r="BE354" s="10">
        <f>+Risultati!U353</f>
        <v>0</v>
      </c>
      <c r="BF354" s="12" t="str">
        <f t="shared" si="303"/>
        <v>0</v>
      </c>
      <c r="BG354" s="12"/>
      <c r="BH354" s="10">
        <f t="shared" si="311"/>
        <v>0</v>
      </c>
      <c r="BI354" s="12" t="str">
        <f t="shared" si="304"/>
        <v>0</v>
      </c>
      <c r="BK354" s="16">
        <f>IF(ISNUMBER(Risultati!X353/100),(Risultati!X353/100))</f>
        <v>0</v>
      </c>
      <c r="BL354" s="16">
        <f>IF(ISNUMBER(Risultati!Y353/100),(Risultati!Y353/100))</f>
        <v>0</v>
      </c>
      <c r="BM354" s="16">
        <f>IF(ISNUMBER(Risultati!Z353/100),(Risultati!Z353/100))</f>
        <v>0</v>
      </c>
      <c r="BN354" s="16">
        <f>IF(AND(Risultati!AY353&lt;0,calcoli!AP354&lt;0),-IF(ISNUMBER(Risultati!AA353/100),(Risultati!AA353/100)),IF(ISNUMBER(Risultati!AA353/100),(Risultati!AA353/100)))</f>
        <v>0</v>
      </c>
      <c r="BO354" s="16" t="str">
        <f t="shared" si="285"/>
        <v>0</v>
      </c>
      <c r="BP354" s="16" t="str">
        <f>IF(Risultati!AB353&gt;0,(AV354/Risultati!AB353),"0")</f>
        <v>0</v>
      </c>
      <c r="BQ354" s="16" t="str">
        <f>IF(Risultati!AG353&lt;&gt;0,(BH354/Risultati!AG353),"0")</f>
        <v>0</v>
      </c>
      <c r="BR354" s="16" t="str">
        <f t="shared" si="286"/>
        <v>0</v>
      </c>
      <c r="BS354" s="14" t="str">
        <f>IF(Risultati!AB353&gt;0,(Risultati!G353/Risultati!AB353),"0")</f>
        <v>0</v>
      </c>
      <c r="BT354" s="15" t="str">
        <f>IF(Risultati!AG353&lt;&gt;0,(Risultati!AB353/Risultati!AG353),"0")</f>
        <v>0</v>
      </c>
      <c r="BU354" s="23" t="str">
        <f>IF(AND(Risultati!G353&gt;0,(Risultati!AE353-Risultati!AF353)&gt;=0),((Risultati!AE353-Risultati!AF353)/Risultati!G353*360),"0")</f>
        <v>0</v>
      </c>
      <c r="BV354" s="21" t="str">
        <f>IF(OR(E354="abbreviato",Risultati!G353=0),"0",((Risultati!AC353+Risultati!AD353)/Risultati!G353*360))</f>
        <v>0</v>
      </c>
      <c r="BW354" s="21" t="str">
        <f>IF(OR(E354="abbreviato",Risultati!G353=0,SUM(Risultati!I353+Risultati!K353+Risultati!M353)=0),"0",(((Risultati!AH353+Risultati!AI353)/(Risultati!I353+Risultati!K353+Risultati!N353)*360)))</f>
        <v>0</v>
      </c>
      <c r="BX354" s="16" t="str">
        <f>IF(Risultati!AB353&gt;0,(+Risultati!AG353/Risultati!AB353),"0")</f>
        <v>0</v>
      </c>
      <c r="BY354" s="22" t="str">
        <f>IF(OR(E354="abbreviato",Risultati!G353=0),"0",(((Risultati!AK353-(Risultati!AL353+Risultati!AM353))/Risultati!G353)))</f>
        <v>0</v>
      </c>
      <c r="BZ354" s="16" t="str">
        <f>IF(Risultati!G353&gt;0,(Risultati!AJ353/Risultati!G353),"0")</f>
        <v>0</v>
      </c>
      <c r="CA354" s="8"/>
      <c r="CB354" s="9">
        <f>+Risultati!AP353</f>
        <v>0</v>
      </c>
      <c r="CC354" s="31" t="str">
        <f t="shared" si="312"/>
        <v>0</v>
      </c>
      <c r="CD354" s="9">
        <f>+Risultati!AQ353</f>
        <v>0</v>
      </c>
      <c r="CE354" s="31" t="str">
        <f t="shared" si="313"/>
        <v>0</v>
      </c>
      <c r="CF354" s="9">
        <f>+Risultati!AR353</f>
        <v>0</v>
      </c>
      <c r="CG354" s="31" t="str">
        <f t="shared" si="314"/>
        <v>0</v>
      </c>
      <c r="CH354" s="9">
        <f>+Risultati!AS353</f>
        <v>0</v>
      </c>
      <c r="CI354" s="31" t="str">
        <f t="shared" si="315"/>
        <v>0</v>
      </c>
      <c r="CJ354" s="9">
        <f t="shared" si="316"/>
        <v>0</v>
      </c>
      <c r="CK354" s="31" t="str">
        <f t="shared" si="317"/>
        <v>0</v>
      </c>
      <c r="CL354" s="10">
        <f>+Risultati!AE353+Risultati!AF353</f>
        <v>0</v>
      </c>
      <c r="CM354" s="31" t="str">
        <f t="shared" si="318"/>
        <v>0</v>
      </c>
      <c r="CN354" s="9">
        <f>+Risultati!AT353</f>
        <v>0</v>
      </c>
      <c r="CO354" s="31" t="str">
        <f t="shared" si="319"/>
        <v>0</v>
      </c>
      <c r="CP354" s="9">
        <f>+Risultati!AU353</f>
        <v>0</v>
      </c>
      <c r="CQ354" s="31" t="str">
        <f t="shared" si="320"/>
        <v>0</v>
      </c>
      <c r="CR354" s="9">
        <f>+Risultati!AL353</f>
        <v>0</v>
      </c>
      <c r="CS354" s="31" t="str">
        <f t="shared" si="321"/>
        <v>0</v>
      </c>
      <c r="CT354" s="9">
        <f t="shared" si="322"/>
        <v>0</v>
      </c>
      <c r="CU354" s="31" t="str">
        <f t="shared" si="323"/>
        <v>0</v>
      </c>
      <c r="CV354" s="9">
        <f>+Risultati!AX353</f>
        <v>0</v>
      </c>
      <c r="CW354" s="31" t="str">
        <f t="shared" si="324"/>
        <v>0</v>
      </c>
      <c r="CX354" s="9">
        <f t="shared" si="325"/>
        <v>0</v>
      </c>
      <c r="CY354" s="31" t="str">
        <f t="shared" si="326"/>
        <v>0</v>
      </c>
      <c r="CZ354" s="9">
        <f>+Risultati!AG353</f>
        <v>0</v>
      </c>
      <c r="DA354" s="31" t="str">
        <f t="shared" si="327"/>
        <v>0</v>
      </c>
      <c r="DB354" s="9">
        <f t="shared" si="328"/>
        <v>0</v>
      </c>
      <c r="DC354" s="31" t="str">
        <f t="shared" si="329"/>
        <v>0</v>
      </c>
      <c r="DD354" s="9">
        <f>+Risultati!AV353</f>
        <v>0</v>
      </c>
      <c r="DE354" s="31" t="str">
        <f t="shared" si="330"/>
        <v>0</v>
      </c>
      <c r="DF354" s="9">
        <f>+Risultati!AJ353</f>
        <v>0</v>
      </c>
      <c r="DG354" s="31" t="str">
        <f t="shared" si="331"/>
        <v>0</v>
      </c>
      <c r="DH354" s="9">
        <f t="shared" si="332"/>
        <v>0</v>
      </c>
      <c r="DI354" s="31" t="str">
        <f t="shared" si="333"/>
        <v>0</v>
      </c>
      <c r="DJ354" s="9">
        <f>+Risultati!AW353</f>
        <v>0</v>
      </c>
      <c r="DK354" s="31" t="str">
        <f t="shared" si="334"/>
        <v>0</v>
      </c>
      <c r="DL354" s="10">
        <f t="shared" si="305"/>
        <v>0</v>
      </c>
      <c r="DM354" s="31" t="str">
        <f t="shared" si="335"/>
        <v>0</v>
      </c>
      <c r="DO354" s="30"/>
      <c r="DP354" s="30"/>
    </row>
    <row r="355" spans="1:120" x14ac:dyDescent="0.2">
      <c r="A355" s="5"/>
      <c r="B355" s="6">
        <f>+Risultati!B354</f>
        <v>0</v>
      </c>
      <c r="C355" s="6">
        <f>+Risultati!C354</f>
        <v>0</v>
      </c>
      <c r="D355" s="26" t="str">
        <f>IF(YEAR(Risultati!D354)=1900,(MID(Risultati!$AP$1,29,4)),YEAR(Risultati!D354))</f>
        <v/>
      </c>
      <c r="E355" s="6">
        <f>+Risultati!E354</f>
        <v>0</v>
      </c>
      <c r="F355" s="8" t="e">
        <f>(LEFT(Risultati!AN354,2)&amp;"-")&amp;VLOOKUP((LEFT(Risultati!AN354,2)),ateco!$B$4:$C$93,2,FALSE)</f>
        <v>#N/A</v>
      </c>
      <c r="G355" s="8" t="str">
        <f>SUBSTITUTE((Risultati!AN354&amp;"-"&amp;Risultati!AO354),",",";")</f>
        <v>-</v>
      </c>
      <c r="I355" s="10">
        <f>+Risultati!G354</f>
        <v>0</v>
      </c>
      <c r="J355" s="11" t="str">
        <f t="shared" si="287"/>
        <v>0</v>
      </c>
      <c r="K355" s="12"/>
      <c r="L355" s="10">
        <f>+Risultati!G354+Risultati!H354</f>
        <v>0</v>
      </c>
      <c r="M355" s="11" t="str">
        <f t="shared" si="288"/>
        <v>0</v>
      </c>
      <c r="N355" s="12"/>
      <c r="O355" s="10">
        <f>+Risultati!I354+Risultati!J354</f>
        <v>0</v>
      </c>
      <c r="P355" s="11" t="str">
        <f t="shared" si="289"/>
        <v>0</v>
      </c>
      <c r="Q355" s="12"/>
      <c r="R355" s="13">
        <f t="shared" si="306"/>
        <v>0</v>
      </c>
      <c r="S355" s="11" t="str">
        <f t="shared" si="290"/>
        <v>0</v>
      </c>
      <c r="T355" s="12"/>
      <c r="U355" s="10">
        <f>+Risultati!F354-(Risultati!G354+Risultati!H354)</f>
        <v>0</v>
      </c>
      <c r="V355" s="12" t="str">
        <f t="shared" si="291"/>
        <v>0</v>
      </c>
      <c r="W355" s="12"/>
      <c r="X355" s="10">
        <f t="shared" si="307"/>
        <v>0</v>
      </c>
      <c r="Y355" s="12" t="str">
        <f t="shared" si="292"/>
        <v>0</v>
      </c>
      <c r="Z355" s="12"/>
      <c r="AA355" s="10">
        <f>+Risultati!K354</f>
        <v>0</v>
      </c>
      <c r="AB355" s="12" t="str">
        <f t="shared" si="293"/>
        <v>0</v>
      </c>
      <c r="AC355" s="12"/>
      <c r="AD355" s="10">
        <f>+Risultati!L354</f>
        <v>0</v>
      </c>
      <c r="AE355" s="12" t="str">
        <f t="shared" si="294"/>
        <v>0</v>
      </c>
      <c r="AF355" s="12"/>
      <c r="AG355" s="10">
        <f>+Risultati!M354+Risultati!P354+Risultati!Q354</f>
        <v>0</v>
      </c>
      <c r="AH355" s="12" t="str">
        <f t="shared" si="295"/>
        <v>0</v>
      </c>
      <c r="AI355" s="12"/>
      <c r="AJ355" s="13">
        <f t="shared" si="308"/>
        <v>0</v>
      </c>
      <c r="AK355" s="11" t="str">
        <f t="shared" si="296"/>
        <v>0</v>
      </c>
      <c r="AL355" s="12"/>
      <c r="AM355" s="10">
        <f>+Risultati!N354</f>
        <v>0</v>
      </c>
      <c r="AN355" s="12" t="str">
        <f t="shared" si="297"/>
        <v>0</v>
      </c>
      <c r="AO355" s="12"/>
      <c r="AP355" s="10">
        <f t="shared" si="309"/>
        <v>0</v>
      </c>
      <c r="AQ355" s="41" t="str">
        <f t="shared" si="298"/>
        <v>0</v>
      </c>
      <c r="AR355" s="12"/>
      <c r="AS355" s="10">
        <f>+Risultati!O354</f>
        <v>0</v>
      </c>
      <c r="AT355" s="12" t="str">
        <f t="shared" si="299"/>
        <v>0</v>
      </c>
      <c r="AU355" s="12"/>
      <c r="AV355" s="10">
        <f t="shared" si="310"/>
        <v>0</v>
      </c>
      <c r="AW355" s="12" t="str">
        <f t="shared" si="300"/>
        <v>0</v>
      </c>
      <c r="AX355" s="12"/>
      <c r="AY355" s="10">
        <f>+Risultati!R354+Risultati!S354</f>
        <v>0</v>
      </c>
      <c r="AZ355" s="12" t="str">
        <f t="shared" si="301"/>
        <v>0</v>
      </c>
      <c r="BA355" s="12"/>
      <c r="BB355" s="10">
        <f>+Risultati!T354</f>
        <v>0</v>
      </c>
      <c r="BC355" s="12" t="str">
        <f t="shared" si="302"/>
        <v>0</v>
      </c>
      <c r="BD355" s="12"/>
      <c r="BE355" s="10">
        <f>+Risultati!U354</f>
        <v>0</v>
      </c>
      <c r="BF355" s="12" t="str">
        <f t="shared" si="303"/>
        <v>0</v>
      </c>
      <c r="BG355" s="12"/>
      <c r="BH355" s="10">
        <f t="shared" si="311"/>
        <v>0</v>
      </c>
      <c r="BI355" s="12" t="str">
        <f t="shared" si="304"/>
        <v>0</v>
      </c>
      <c r="BK355" s="16">
        <f>IF(ISNUMBER(Risultati!X354/100),(Risultati!X354/100))</f>
        <v>0</v>
      </c>
      <c r="BL355" s="16">
        <f>IF(ISNUMBER(Risultati!Y354/100),(Risultati!Y354/100))</f>
        <v>0</v>
      </c>
      <c r="BM355" s="16">
        <f>IF(ISNUMBER(Risultati!Z354/100),(Risultati!Z354/100))</f>
        <v>0</v>
      </c>
      <c r="BN355" s="16">
        <f>IF(AND(Risultati!AY354&lt;0,calcoli!AP355&lt;0),-IF(ISNUMBER(Risultati!AA354/100),(Risultati!AA354/100)),IF(ISNUMBER(Risultati!AA354/100),(Risultati!AA354/100)))</f>
        <v>0</v>
      </c>
      <c r="BO355" s="16" t="str">
        <f t="shared" si="285"/>
        <v>0</v>
      </c>
      <c r="BP355" s="16" t="str">
        <f>IF(Risultati!AB354&gt;0,(AV355/Risultati!AB354),"0")</f>
        <v>0</v>
      </c>
      <c r="BQ355" s="16" t="str">
        <f>IF(Risultati!AG354&lt;&gt;0,(BH355/Risultati!AG354),"0")</f>
        <v>0</v>
      </c>
      <c r="BR355" s="16" t="str">
        <f t="shared" si="286"/>
        <v>0</v>
      </c>
      <c r="BS355" s="14" t="str">
        <f>IF(Risultati!AB354&gt;0,(Risultati!G354/Risultati!AB354),"0")</f>
        <v>0</v>
      </c>
      <c r="BT355" s="15" t="str">
        <f>IF(Risultati!AG354&lt;&gt;0,(Risultati!AB354/Risultati!AG354),"0")</f>
        <v>0</v>
      </c>
      <c r="BU355" s="23" t="str">
        <f>IF(AND(Risultati!G354&gt;0,(Risultati!AE354-Risultati!AF354)&gt;=0),((Risultati!AE354-Risultati!AF354)/Risultati!G354*360),"0")</f>
        <v>0</v>
      </c>
      <c r="BV355" s="21" t="str">
        <f>IF(OR(E355="abbreviato",Risultati!G354=0),"0",((Risultati!AC354+Risultati!AD354)/Risultati!G354*360))</f>
        <v>0</v>
      </c>
      <c r="BW355" s="21" t="str">
        <f>IF(OR(E355="abbreviato",Risultati!G354=0,SUM(Risultati!I354+Risultati!K354+Risultati!M354)=0),"0",(((Risultati!AH354+Risultati!AI354)/(Risultati!I354+Risultati!K354+Risultati!N354)*360)))</f>
        <v>0</v>
      </c>
      <c r="BX355" s="16" t="str">
        <f>IF(Risultati!AB354&gt;0,(+Risultati!AG354/Risultati!AB354),"0")</f>
        <v>0</v>
      </c>
      <c r="BY355" s="22" t="str">
        <f>IF(OR(E355="abbreviato",Risultati!G354=0),"0",(((Risultati!AK354-(Risultati!AL354+Risultati!AM354))/Risultati!G354)))</f>
        <v>0</v>
      </c>
      <c r="BZ355" s="16" t="str">
        <f>IF(Risultati!G354&gt;0,(Risultati!AJ354/Risultati!G354),"0")</f>
        <v>0</v>
      </c>
      <c r="CA355" s="8"/>
      <c r="CB355" s="9">
        <f>+Risultati!AP354</f>
        <v>0</v>
      </c>
      <c r="CC355" s="31" t="str">
        <f t="shared" si="312"/>
        <v>0</v>
      </c>
      <c r="CD355" s="9">
        <f>+Risultati!AQ354</f>
        <v>0</v>
      </c>
      <c r="CE355" s="31" t="str">
        <f t="shared" si="313"/>
        <v>0</v>
      </c>
      <c r="CF355" s="9">
        <f>+Risultati!AR354</f>
        <v>0</v>
      </c>
      <c r="CG355" s="31" t="str">
        <f t="shared" si="314"/>
        <v>0</v>
      </c>
      <c r="CH355" s="9">
        <f>+Risultati!AS354</f>
        <v>0</v>
      </c>
      <c r="CI355" s="31" t="str">
        <f t="shared" si="315"/>
        <v>0</v>
      </c>
      <c r="CJ355" s="9">
        <f t="shared" si="316"/>
        <v>0</v>
      </c>
      <c r="CK355" s="31" t="str">
        <f t="shared" si="317"/>
        <v>0</v>
      </c>
      <c r="CL355" s="10">
        <f>+Risultati!AE354+Risultati!AF354</f>
        <v>0</v>
      </c>
      <c r="CM355" s="31" t="str">
        <f t="shared" si="318"/>
        <v>0</v>
      </c>
      <c r="CN355" s="9">
        <f>+Risultati!AT354</f>
        <v>0</v>
      </c>
      <c r="CO355" s="31" t="str">
        <f t="shared" si="319"/>
        <v>0</v>
      </c>
      <c r="CP355" s="9">
        <f>+Risultati!AU354</f>
        <v>0</v>
      </c>
      <c r="CQ355" s="31" t="str">
        <f t="shared" si="320"/>
        <v>0</v>
      </c>
      <c r="CR355" s="9">
        <f>+Risultati!AL354</f>
        <v>0</v>
      </c>
      <c r="CS355" s="31" t="str">
        <f t="shared" si="321"/>
        <v>0</v>
      </c>
      <c r="CT355" s="9">
        <f t="shared" si="322"/>
        <v>0</v>
      </c>
      <c r="CU355" s="31" t="str">
        <f t="shared" si="323"/>
        <v>0</v>
      </c>
      <c r="CV355" s="9">
        <f>+Risultati!AX354</f>
        <v>0</v>
      </c>
      <c r="CW355" s="31" t="str">
        <f t="shared" si="324"/>
        <v>0</v>
      </c>
      <c r="CX355" s="9">
        <f t="shared" si="325"/>
        <v>0</v>
      </c>
      <c r="CY355" s="31" t="str">
        <f t="shared" si="326"/>
        <v>0</v>
      </c>
      <c r="CZ355" s="9">
        <f>+Risultati!AG354</f>
        <v>0</v>
      </c>
      <c r="DA355" s="31" t="str">
        <f t="shared" si="327"/>
        <v>0</v>
      </c>
      <c r="DB355" s="9">
        <f t="shared" si="328"/>
        <v>0</v>
      </c>
      <c r="DC355" s="31" t="str">
        <f t="shared" si="329"/>
        <v>0</v>
      </c>
      <c r="DD355" s="9">
        <f>+Risultati!AV354</f>
        <v>0</v>
      </c>
      <c r="DE355" s="31" t="str">
        <f t="shared" si="330"/>
        <v>0</v>
      </c>
      <c r="DF355" s="9">
        <f>+Risultati!AJ354</f>
        <v>0</v>
      </c>
      <c r="DG355" s="31" t="str">
        <f t="shared" si="331"/>
        <v>0</v>
      </c>
      <c r="DH355" s="9">
        <f t="shared" si="332"/>
        <v>0</v>
      </c>
      <c r="DI355" s="31" t="str">
        <f t="shared" si="333"/>
        <v>0</v>
      </c>
      <c r="DJ355" s="9">
        <f>+Risultati!AW354</f>
        <v>0</v>
      </c>
      <c r="DK355" s="31" t="str">
        <f t="shared" si="334"/>
        <v>0</v>
      </c>
      <c r="DL355" s="10">
        <f t="shared" si="305"/>
        <v>0</v>
      </c>
      <c r="DM355" s="31" t="str">
        <f t="shared" si="335"/>
        <v>0</v>
      </c>
      <c r="DO355" s="30"/>
      <c r="DP355" s="30"/>
    </row>
    <row r="356" spans="1:120" x14ac:dyDescent="0.2">
      <c r="A356" s="5"/>
      <c r="B356" s="6">
        <f>+Risultati!B355</f>
        <v>0</v>
      </c>
      <c r="C356" s="6">
        <f>+Risultati!C355</f>
        <v>0</v>
      </c>
      <c r="D356" s="26" t="str">
        <f>IF(YEAR(Risultati!D355)=1900,(MID(Risultati!$AP$1,29,4)),YEAR(Risultati!D355))</f>
        <v/>
      </c>
      <c r="E356" s="6">
        <f>+Risultati!E355</f>
        <v>0</v>
      </c>
      <c r="F356" s="8" t="e">
        <f>(LEFT(Risultati!AN355,2)&amp;"-")&amp;VLOOKUP((LEFT(Risultati!AN355,2)),ateco!$B$4:$C$93,2,FALSE)</f>
        <v>#N/A</v>
      </c>
      <c r="G356" s="8" t="str">
        <f>SUBSTITUTE((Risultati!AN355&amp;"-"&amp;Risultati!AO355),",",";")</f>
        <v>-</v>
      </c>
      <c r="I356" s="10">
        <f>+Risultati!G355</f>
        <v>0</v>
      </c>
      <c r="J356" s="11" t="str">
        <f t="shared" si="287"/>
        <v>0</v>
      </c>
      <c r="K356" s="12"/>
      <c r="L356" s="10">
        <f>+Risultati!G355+Risultati!H355</f>
        <v>0</v>
      </c>
      <c r="M356" s="11" t="str">
        <f t="shared" si="288"/>
        <v>0</v>
      </c>
      <c r="N356" s="12"/>
      <c r="O356" s="10">
        <f>+Risultati!I355+Risultati!J355</f>
        <v>0</v>
      </c>
      <c r="P356" s="11" t="str">
        <f t="shared" si="289"/>
        <v>0</v>
      </c>
      <c r="Q356" s="12"/>
      <c r="R356" s="13">
        <f t="shared" si="306"/>
        <v>0</v>
      </c>
      <c r="S356" s="11" t="str">
        <f t="shared" si="290"/>
        <v>0</v>
      </c>
      <c r="T356" s="12"/>
      <c r="U356" s="10">
        <f>+Risultati!F355-(Risultati!G355+Risultati!H355)</f>
        <v>0</v>
      </c>
      <c r="V356" s="12" t="str">
        <f t="shared" si="291"/>
        <v>0</v>
      </c>
      <c r="W356" s="12"/>
      <c r="X356" s="10">
        <f t="shared" si="307"/>
        <v>0</v>
      </c>
      <c r="Y356" s="12" t="str">
        <f t="shared" si="292"/>
        <v>0</v>
      </c>
      <c r="Z356" s="12"/>
      <c r="AA356" s="10">
        <f>+Risultati!K355</f>
        <v>0</v>
      </c>
      <c r="AB356" s="12" t="str">
        <f t="shared" si="293"/>
        <v>0</v>
      </c>
      <c r="AC356" s="12"/>
      <c r="AD356" s="10">
        <f>+Risultati!L355</f>
        <v>0</v>
      </c>
      <c r="AE356" s="12" t="str">
        <f t="shared" si="294"/>
        <v>0</v>
      </c>
      <c r="AF356" s="12"/>
      <c r="AG356" s="10">
        <f>+Risultati!M355+Risultati!P355+Risultati!Q355</f>
        <v>0</v>
      </c>
      <c r="AH356" s="12" t="str">
        <f t="shared" si="295"/>
        <v>0</v>
      </c>
      <c r="AI356" s="12"/>
      <c r="AJ356" s="13">
        <f t="shared" si="308"/>
        <v>0</v>
      </c>
      <c r="AK356" s="11" t="str">
        <f t="shared" si="296"/>
        <v>0</v>
      </c>
      <c r="AL356" s="12"/>
      <c r="AM356" s="10">
        <f>+Risultati!N355</f>
        <v>0</v>
      </c>
      <c r="AN356" s="12" t="str">
        <f t="shared" si="297"/>
        <v>0</v>
      </c>
      <c r="AO356" s="12"/>
      <c r="AP356" s="10">
        <f t="shared" si="309"/>
        <v>0</v>
      </c>
      <c r="AQ356" s="41" t="str">
        <f t="shared" si="298"/>
        <v>0</v>
      </c>
      <c r="AR356" s="12"/>
      <c r="AS356" s="10">
        <f>+Risultati!O355</f>
        <v>0</v>
      </c>
      <c r="AT356" s="12" t="str">
        <f t="shared" si="299"/>
        <v>0</v>
      </c>
      <c r="AU356" s="12"/>
      <c r="AV356" s="10">
        <f t="shared" si="310"/>
        <v>0</v>
      </c>
      <c r="AW356" s="12" t="str">
        <f t="shared" si="300"/>
        <v>0</v>
      </c>
      <c r="AX356" s="12"/>
      <c r="AY356" s="10">
        <f>+Risultati!R355+Risultati!S355</f>
        <v>0</v>
      </c>
      <c r="AZ356" s="12" t="str">
        <f t="shared" si="301"/>
        <v>0</v>
      </c>
      <c r="BA356" s="12"/>
      <c r="BB356" s="10">
        <f>+Risultati!T355</f>
        <v>0</v>
      </c>
      <c r="BC356" s="12" t="str">
        <f t="shared" si="302"/>
        <v>0</v>
      </c>
      <c r="BD356" s="12"/>
      <c r="BE356" s="10">
        <f>+Risultati!U355</f>
        <v>0</v>
      </c>
      <c r="BF356" s="12" t="str">
        <f t="shared" si="303"/>
        <v>0</v>
      </c>
      <c r="BG356" s="12"/>
      <c r="BH356" s="10">
        <f t="shared" si="311"/>
        <v>0</v>
      </c>
      <c r="BI356" s="12" t="str">
        <f t="shared" si="304"/>
        <v>0</v>
      </c>
      <c r="BK356" s="16">
        <f>IF(ISNUMBER(Risultati!X355/100),(Risultati!X355/100))</f>
        <v>0</v>
      </c>
      <c r="BL356" s="16">
        <f>IF(ISNUMBER(Risultati!Y355/100),(Risultati!Y355/100))</f>
        <v>0</v>
      </c>
      <c r="BM356" s="16">
        <f>IF(ISNUMBER(Risultati!Z355/100),(Risultati!Z355/100))</f>
        <v>0</v>
      </c>
      <c r="BN356" s="16">
        <f>IF(AND(Risultati!AY355&lt;0,calcoli!AP356&lt;0),-IF(ISNUMBER(Risultati!AA355/100),(Risultati!AA355/100)),IF(ISNUMBER(Risultati!AA355/100),(Risultati!AA355/100)))</f>
        <v>0</v>
      </c>
      <c r="BO356" s="16" t="str">
        <f t="shared" si="285"/>
        <v>0</v>
      </c>
      <c r="BP356" s="16" t="str">
        <f>IF(Risultati!AB355&gt;0,(AV356/Risultati!AB355),"0")</f>
        <v>0</v>
      </c>
      <c r="BQ356" s="16" t="str">
        <f>IF(Risultati!AG355&lt;&gt;0,(BH356/Risultati!AG355),"0")</f>
        <v>0</v>
      </c>
      <c r="BR356" s="16" t="str">
        <f t="shared" si="286"/>
        <v>0</v>
      </c>
      <c r="BS356" s="14" t="str">
        <f>IF(Risultati!AB355&gt;0,(Risultati!G355/Risultati!AB355),"0")</f>
        <v>0</v>
      </c>
      <c r="BT356" s="15" t="str">
        <f>IF(Risultati!AG355&lt;&gt;0,(Risultati!AB355/Risultati!AG355),"0")</f>
        <v>0</v>
      </c>
      <c r="BU356" s="23" t="str">
        <f>IF(AND(Risultati!G355&gt;0,(Risultati!AE355-Risultati!AF355)&gt;=0),((Risultati!AE355-Risultati!AF355)/Risultati!G355*360),"0")</f>
        <v>0</v>
      </c>
      <c r="BV356" s="21" t="str">
        <f>IF(OR(E356="abbreviato",Risultati!G355=0),"0",((Risultati!AC355+Risultati!AD355)/Risultati!G355*360))</f>
        <v>0</v>
      </c>
      <c r="BW356" s="21" t="str">
        <f>IF(OR(E356="abbreviato",Risultati!G355=0,SUM(Risultati!I355+Risultati!K355+Risultati!M355)=0),"0",(((Risultati!AH355+Risultati!AI355)/(Risultati!I355+Risultati!K355+Risultati!N355)*360)))</f>
        <v>0</v>
      </c>
      <c r="BX356" s="16" t="str">
        <f>IF(Risultati!AB355&gt;0,(+Risultati!AG355/Risultati!AB355),"0")</f>
        <v>0</v>
      </c>
      <c r="BY356" s="22" t="str">
        <f>IF(OR(E356="abbreviato",Risultati!G355=0),"0",(((Risultati!AK355-(Risultati!AL355+Risultati!AM355))/Risultati!G355)))</f>
        <v>0</v>
      </c>
      <c r="BZ356" s="16" t="str">
        <f>IF(Risultati!G355&gt;0,(Risultati!AJ355/Risultati!G355),"0")</f>
        <v>0</v>
      </c>
      <c r="CA356" s="8"/>
      <c r="CB356" s="9">
        <f>+Risultati!AP355</f>
        <v>0</v>
      </c>
      <c r="CC356" s="31" t="str">
        <f t="shared" si="312"/>
        <v>0</v>
      </c>
      <c r="CD356" s="9">
        <f>+Risultati!AQ355</f>
        <v>0</v>
      </c>
      <c r="CE356" s="31" t="str">
        <f t="shared" si="313"/>
        <v>0</v>
      </c>
      <c r="CF356" s="9">
        <f>+Risultati!AR355</f>
        <v>0</v>
      </c>
      <c r="CG356" s="31" t="str">
        <f t="shared" si="314"/>
        <v>0</v>
      </c>
      <c r="CH356" s="9">
        <f>+Risultati!AS355</f>
        <v>0</v>
      </c>
      <c r="CI356" s="31" t="str">
        <f t="shared" si="315"/>
        <v>0</v>
      </c>
      <c r="CJ356" s="9">
        <f t="shared" si="316"/>
        <v>0</v>
      </c>
      <c r="CK356" s="31" t="str">
        <f t="shared" si="317"/>
        <v>0</v>
      </c>
      <c r="CL356" s="10">
        <f>+Risultati!AE355+Risultati!AF355</f>
        <v>0</v>
      </c>
      <c r="CM356" s="31" t="str">
        <f t="shared" si="318"/>
        <v>0</v>
      </c>
      <c r="CN356" s="9">
        <f>+Risultati!AT355</f>
        <v>0</v>
      </c>
      <c r="CO356" s="31" t="str">
        <f t="shared" si="319"/>
        <v>0</v>
      </c>
      <c r="CP356" s="9">
        <f>+Risultati!AU355</f>
        <v>0</v>
      </c>
      <c r="CQ356" s="31" t="str">
        <f t="shared" si="320"/>
        <v>0</v>
      </c>
      <c r="CR356" s="9">
        <f>+Risultati!AL355</f>
        <v>0</v>
      </c>
      <c r="CS356" s="31" t="str">
        <f t="shared" si="321"/>
        <v>0</v>
      </c>
      <c r="CT356" s="9">
        <f t="shared" si="322"/>
        <v>0</v>
      </c>
      <c r="CU356" s="31" t="str">
        <f t="shared" si="323"/>
        <v>0</v>
      </c>
      <c r="CV356" s="9">
        <f>+Risultati!AX355</f>
        <v>0</v>
      </c>
      <c r="CW356" s="31" t="str">
        <f t="shared" si="324"/>
        <v>0</v>
      </c>
      <c r="CX356" s="9">
        <f t="shared" si="325"/>
        <v>0</v>
      </c>
      <c r="CY356" s="31" t="str">
        <f t="shared" si="326"/>
        <v>0</v>
      </c>
      <c r="CZ356" s="9">
        <f>+Risultati!AG355</f>
        <v>0</v>
      </c>
      <c r="DA356" s="31" t="str">
        <f t="shared" si="327"/>
        <v>0</v>
      </c>
      <c r="DB356" s="9">
        <f t="shared" si="328"/>
        <v>0</v>
      </c>
      <c r="DC356" s="31" t="str">
        <f t="shared" si="329"/>
        <v>0</v>
      </c>
      <c r="DD356" s="9">
        <f>+Risultati!AV355</f>
        <v>0</v>
      </c>
      <c r="DE356" s="31" t="str">
        <f t="shared" si="330"/>
        <v>0</v>
      </c>
      <c r="DF356" s="9">
        <f>+Risultati!AJ355</f>
        <v>0</v>
      </c>
      <c r="DG356" s="31" t="str">
        <f t="shared" si="331"/>
        <v>0</v>
      </c>
      <c r="DH356" s="9">
        <f t="shared" si="332"/>
        <v>0</v>
      </c>
      <c r="DI356" s="31" t="str">
        <f t="shared" si="333"/>
        <v>0</v>
      </c>
      <c r="DJ356" s="9">
        <f>+Risultati!AW355</f>
        <v>0</v>
      </c>
      <c r="DK356" s="31" t="str">
        <f t="shared" si="334"/>
        <v>0</v>
      </c>
      <c r="DL356" s="10">
        <f t="shared" si="305"/>
        <v>0</v>
      </c>
      <c r="DM356" s="31" t="str">
        <f t="shared" si="335"/>
        <v>0</v>
      </c>
      <c r="DO356" s="30"/>
      <c r="DP356" s="30"/>
    </row>
    <row r="357" spans="1:120" x14ac:dyDescent="0.2">
      <c r="A357" s="5"/>
      <c r="B357" s="6">
        <f>+Risultati!B356</f>
        <v>0</v>
      </c>
      <c r="C357" s="6">
        <f>+Risultati!C356</f>
        <v>0</v>
      </c>
      <c r="D357" s="26" t="str">
        <f>IF(YEAR(Risultati!D356)=1900,(MID(Risultati!$AP$1,29,4)),YEAR(Risultati!D356))</f>
        <v/>
      </c>
      <c r="E357" s="6">
        <f>+Risultati!E356</f>
        <v>0</v>
      </c>
      <c r="F357" s="8" t="e">
        <f>(LEFT(Risultati!AN356,2)&amp;"-")&amp;VLOOKUP((LEFT(Risultati!AN356,2)),ateco!$B$4:$C$93,2,FALSE)</f>
        <v>#N/A</v>
      </c>
      <c r="G357" s="8" t="str">
        <f>SUBSTITUTE((Risultati!AN356&amp;"-"&amp;Risultati!AO356),",",";")</f>
        <v>-</v>
      </c>
      <c r="I357" s="10">
        <f>+Risultati!G356</f>
        <v>0</v>
      </c>
      <c r="J357" s="11" t="str">
        <f t="shared" si="287"/>
        <v>0</v>
      </c>
      <c r="K357" s="12"/>
      <c r="L357" s="10">
        <f>+Risultati!G356+Risultati!H356</f>
        <v>0</v>
      </c>
      <c r="M357" s="11" t="str">
        <f t="shared" si="288"/>
        <v>0</v>
      </c>
      <c r="N357" s="12"/>
      <c r="O357" s="10">
        <f>+Risultati!I356+Risultati!J356</f>
        <v>0</v>
      </c>
      <c r="P357" s="11" t="str">
        <f t="shared" si="289"/>
        <v>0</v>
      </c>
      <c r="Q357" s="12"/>
      <c r="R357" s="13">
        <f t="shared" si="306"/>
        <v>0</v>
      </c>
      <c r="S357" s="11" t="str">
        <f t="shared" si="290"/>
        <v>0</v>
      </c>
      <c r="T357" s="12"/>
      <c r="U357" s="10">
        <f>+Risultati!F356-(Risultati!G356+Risultati!H356)</f>
        <v>0</v>
      </c>
      <c r="V357" s="12" t="str">
        <f t="shared" si="291"/>
        <v>0</v>
      </c>
      <c r="W357" s="12"/>
      <c r="X357" s="10">
        <f t="shared" si="307"/>
        <v>0</v>
      </c>
      <c r="Y357" s="12" t="str">
        <f t="shared" si="292"/>
        <v>0</v>
      </c>
      <c r="Z357" s="12"/>
      <c r="AA357" s="10">
        <f>+Risultati!K356</f>
        <v>0</v>
      </c>
      <c r="AB357" s="12" t="str">
        <f t="shared" si="293"/>
        <v>0</v>
      </c>
      <c r="AC357" s="12"/>
      <c r="AD357" s="10">
        <f>+Risultati!L356</f>
        <v>0</v>
      </c>
      <c r="AE357" s="12" t="str">
        <f t="shared" si="294"/>
        <v>0</v>
      </c>
      <c r="AF357" s="12"/>
      <c r="AG357" s="10">
        <f>+Risultati!M356+Risultati!P356+Risultati!Q356</f>
        <v>0</v>
      </c>
      <c r="AH357" s="12" t="str">
        <f t="shared" si="295"/>
        <v>0</v>
      </c>
      <c r="AI357" s="12"/>
      <c r="AJ357" s="13">
        <f t="shared" si="308"/>
        <v>0</v>
      </c>
      <c r="AK357" s="11" t="str">
        <f t="shared" si="296"/>
        <v>0</v>
      </c>
      <c r="AL357" s="12"/>
      <c r="AM357" s="10">
        <f>+Risultati!N356</f>
        <v>0</v>
      </c>
      <c r="AN357" s="12" t="str">
        <f t="shared" si="297"/>
        <v>0</v>
      </c>
      <c r="AO357" s="12"/>
      <c r="AP357" s="10">
        <f t="shared" si="309"/>
        <v>0</v>
      </c>
      <c r="AQ357" s="41" t="str">
        <f t="shared" si="298"/>
        <v>0</v>
      </c>
      <c r="AR357" s="12"/>
      <c r="AS357" s="10">
        <f>+Risultati!O356</f>
        <v>0</v>
      </c>
      <c r="AT357" s="12" t="str">
        <f t="shared" si="299"/>
        <v>0</v>
      </c>
      <c r="AU357" s="12"/>
      <c r="AV357" s="10">
        <f t="shared" si="310"/>
        <v>0</v>
      </c>
      <c r="AW357" s="12" t="str">
        <f t="shared" si="300"/>
        <v>0</v>
      </c>
      <c r="AX357" s="12"/>
      <c r="AY357" s="10">
        <f>+Risultati!R356+Risultati!S356</f>
        <v>0</v>
      </c>
      <c r="AZ357" s="12" t="str">
        <f t="shared" si="301"/>
        <v>0</v>
      </c>
      <c r="BA357" s="12"/>
      <c r="BB357" s="10">
        <f>+Risultati!T356</f>
        <v>0</v>
      </c>
      <c r="BC357" s="12" t="str">
        <f t="shared" si="302"/>
        <v>0</v>
      </c>
      <c r="BD357" s="12"/>
      <c r="BE357" s="10">
        <f>+Risultati!U356</f>
        <v>0</v>
      </c>
      <c r="BF357" s="12" t="str">
        <f t="shared" si="303"/>
        <v>0</v>
      </c>
      <c r="BG357" s="12"/>
      <c r="BH357" s="10">
        <f t="shared" si="311"/>
        <v>0</v>
      </c>
      <c r="BI357" s="12" t="str">
        <f t="shared" si="304"/>
        <v>0</v>
      </c>
      <c r="BK357" s="16">
        <f>IF(ISNUMBER(Risultati!X356/100),(Risultati!X356/100))</f>
        <v>0</v>
      </c>
      <c r="BL357" s="16">
        <f>IF(ISNUMBER(Risultati!Y356/100),(Risultati!Y356/100))</f>
        <v>0</v>
      </c>
      <c r="BM357" s="16">
        <f>IF(ISNUMBER(Risultati!Z356/100),(Risultati!Z356/100))</f>
        <v>0</v>
      </c>
      <c r="BN357" s="16">
        <f>IF(AND(Risultati!AY356&lt;0,calcoli!AP357&lt;0),-IF(ISNUMBER(Risultati!AA356/100),(Risultati!AA356/100)),IF(ISNUMBER(Risultati!AA356/100),(Risultati!AA356/100)))</f>
        <v>0</v>
      </c>
      <c r="BO357" s="16" t="str">
        <f t="shared" si="285"/>
        <v>0</v>
      </c>
      <c r="BP357" s="16" t="str">
        <f>IF(Risultati!AB356&gt;0,(AV357/Risultati!AB356),"0")</f>
        <v>0</v>
      </c>
      <c r="BQ357" s="16" t="str">
        <f>IF(Risultati!AG356&lt;&gt;0,(BH357/Risultati!AG356),"0")</f>
        <v>0</v>
      </c>
      <c r="BR357" s="16" t="str">
        <f t="shared" si="286"/>
        <v>0</v>
      </c>
      <c r="BS357" s="14" t="str">
        <f>IF(Risultati!AB356&gt;0,(Risultati!G356/Risultati!AB356),"0")</f>
        <v>0</v>
      </c>
      <c r="BT357" s="15" t="str">
        <f>IF(Risultati!AG356&lt;&gt;0,(Risultati!AB356/Risultati!AG356),"0")</f>
        <v>0</v>
      </c>
      <c r="BU357" s="23" t="str">
        <f>IF(AND(Risultati!G356&gt;0,(Risultati!AE356-Risultati!AF356)&gt;=0),((Risultati!AE356-Risultati!AF356)/Risultati!G356*360),"0")</f>
        <v>0</v>
      </c>
      <c r="BV357" s="21" t="str">
        <f>IF(OR(E357="abbreviato",Risultati!G356=0),"0",((Risultati!AC356+Risultati!AD356)/Risultati!G356*360))</f>
        <v>0</v>
      </c>
      <c r="BW357" s="21" t="str">
        <f>IF(OR(E357="abbreviato",Risultati!G356=0,SUM(Risultati!I356+Risultati!K356+Risultati!M356)=0),"0",(((Risultati!AH356+Risultati!AI356)/(Risultati!I356+Risultati!K356+Risultati!N356)*360)))</f>
        <v>0</v>
      </c>
      <c r="BX357" s="16" t="str">
        <f>IF(Risultati!AB356&gt;0,(+Risultati!AG356/Risultati!AB356),"0")</f>
        <v>0</v>
      </c>
      <c r="BY357" s="22" t="str">
        <f>IF(OR(E357="abbreviato",Risultati!G356=0),"0",(((Risultati!AK356-(Risultati!AL356+Risultati!AM356))/Risultati!G356)))</f>
        <v>0</v>
      </c>
      <c r="BZ357" s="16" t="str">
        <f>IF(Risultati!G356&gt;0,(Risultati!AJ356/Risultati!G356),"0")</f>
        <v>0</v>
      </c>
      <c r="CA357" s="8"/>
      <c r="CB357" s="9">
        <f>+Risultati!AP356</f>
        <v>0</v>
      </c>
      <c r="CC357" s="31" t="str">
        <f t="shared" si="312"/>
        <v>0</v>
      </c>
      <c r="CD357" s="9">
        <f>+Risultati!AQ356</f>
        <v>0</v>
      </c>
      <c r="CE357" s="31" t="str">
        <f t="shared" si="313"/>
        <v>0</v>
      </c>
      <c r="CF357" s="9">
        <f>+Risultati!AR356</f>
        <v>0</v>
      </c>
      <c r="CG357" s="31" t="str">
        <f t="shared" si="314"/>
        <v>0</v>
      </c>
      <c r="CH357" s="9">
        <f>+Risultati!AS356</f>
        <v>0</v>
      </c>
      <c r="CI357" s="31" t="str">
        <f t="shared" si="315"/>
        <v>0</v>
      </c>
      <c r="CJ357" s="9">
        <f t="shared" si="316"/>
        <v>0</v>
      </c>
      <c r="CK357" s="31" t="str">
        <f t="shared" si="317"/>
        <v>0</v>
      </c>
      <c r="CL357" s="10">
        <f>+Risultati!AE356+Risultati!AF356</f>
        <v>0</v>
      </c>
      <c r="CM357" s="31" t="str">
        <f t="shared" si="318"/>
        <v>0</v>
      </c>
      <c r="CN357" s="9">
        <f>+Risultati!AT356</f>
        <v>0</v>
      </c>
      <c r="CO357" s="31" t="str">
        <f t="shared" si="319"/>
        <v>0</v>
      </c>
      <c r="CP357" s="9">
        <f>+Risultati!AU356</f>
        <v>0</v>
      </c>
      <c r="CQ357" s="31" t="str">
        <f t="shared" si="320"/>
        <v>0</v>
      </c>
      <c r="CR357" s="9">
        <f>+Risultati!AL356</f>
        <v>0</v>
      </c>
      <c r="CS357" s="31" t="str">
        <f t="shared" si="321"/>
        <v>0</v>
      </c>
      <c r="CT357" s="9">
        <f t="shared" si="322"/>
        <v>0</v>
      </c>
      <c r="CU357" s="31" t="str">
        <f t="shared" si="323"/>
        <v>0</v>
      </c>
      <c r="CV357" s="9">
        <f>+Risultati!AX356</f>
        <v>0</v>
      </c>
      <c r="CW357" s="31" t="str">
        <f t="shared" si="324"/>
        <v>0</v>
      </c>
      <c r="CX357" s="9">
        <f t="shared" si="325"/>
        <v>0</v>
      </c>
      <c r="CY357" s="31" t="str">
        <f t="shared" si="326"/>
        <v>0</v>
      </c>
      <c r="CZ357" s="9">
        <f>+Risultati!AG356</f>
        <v>0</v>
      </c>
      <c r="DA357" s="31" t="str">
        <f t="shared" si="327"/>
        <v>0</v>
      </c>
      <c r="DB357" s="9">
        <f t="shared" si="328"/>
        <v>0</v>
      </c>
      <c r="DC357" s="31" t="str">
        <f t="shared" si="329"/>
        <v>0</v>
      </c>
      <c r="DD357" s="9">
        <f>+Risultati!AV356</f>
        <v>0</v>
      </c>
      <c r="DE357" s="31" t="str">
        <f t="shared" si="330"/>
        <v>0</v>
      </c>
      <c r="DF357" s="9">
        <f>+Risultati!AJ356</f>
        <v>0</v>
      </c>
      <c r="DG357" s="31" t="str">
        <f t="shared" si="331"/>
        <v>0</v>
      </c>
      <c r="DH357" s="9">
        <f t="shared" si="332"/>
        <v>0</v>
      </c>
      <c r="DI357" s="31" t="str">
        <f t="shared" si="333"/>
        <v>0</v>
      </c>
      <c r="DJ357" s="9">
        <f>+Risultati!AW356</f>
        <v>0</v>
      </c>
      <c r="DK357" s="31" t="str">
        <f t="shared" si="334"/>
        <v>0</v>
      </c>
      <c r="DL357" s="10">
        <f t="shared" si="305"/>
        <v>0</v>
      </c>
      <c r="DM357" s="31" t="str">
        <f t="shared" si="335"/>
        <v>0</v>
      </c>
      <c r="DO357" s="30"/>
      <c r="DP357" s="30"/>
    </row>
    <row r="358" spans="1:120" x14ac:dyDescent="0.2">
      <c r="A358" s="5"/>
      <c r="B358" s="6">
        <f>+Risultati!B357</f>
        <v>0</v>
      </c>
      <c r="C358" s="6">
        <f>+Risultati!C357</f>
        <v>0</v>
      </c>
      <c r="D358" s="26" t="str">
        <f>IF(YEAR(Risultati!D357)=1900,(MID(Risultati!$AP$1,29,4)),YEAR(Risultati!D357))</f>
        <v/>
      </c>
      <c r="E358" s="6">
        <f>+Risultati!E357</f>
        <v>0</v>
      </c>
      <c r="F358" s="8" t="e">
        <f>(LEFT(Risultati!AN357,2)&amp;"-")&amp;VLOOKUP((LEFT(Risultati!AN357,2)),ateco!$B$4:$C$93,2,FALSE)</f>
        <v>#N/A</v>
      </c>
      <c r="G358" s="8" t="str">
        <f>SUBSTITUTE((Risultati!AN357&amp;"-"&amp;Risultati!AO357),",",";")</f>
        <v>-</v>
      </c>
      <c r="I358" s="10">
        <f>+Risultati!G357</f>
        <v>0</v>
      </c>
      <c r="J358" s="11" t="str">
        <f t="shared" si="287"/>
        <v>0</v>
      </c>
      <c r="K358" s="12"/>
      <c r="L358" s="10">
        <f>+Risultati!G357+Risultati!H357</f>
        <v>0</v>
      </c>
      <c r="M358" s="11" t="str">
        <f t="shared" si="288"/>
        <v>0</v>
      </c>
      <c r="N358" s="12"/>
      <c r="O358" s="10">
        <f>+Risultati!I357+Risultati!J357</f>
        <v>0</v>
      </c>
      <c r="P358" s="11" t="str">
        <f t="shared" si="289"/>
        <v>0</v>
      </c>
      <c r="Q358" s="12"/>
      <c r="R358" s="13">
        <f t="shared" si="306"/>
        <v>0</v>
      </c>
      <c r="S358" s="11" t="str">
        <f t="shared" si="290"/>
        <v>0</v>
      </c>
      <c r="T358" s="12"/>
      <c r="U358" s="10">
        <f>+Risultati!F357-(Risultati!G357+Risultati!H357)</f>
        <v>0</v>
      </c>
      <c r="V358" s="12" t="str">
        <f t="shared" si="291"/>
        <v>0</v>
      </c>
      <c r="W358" s="12"/>
      <c r="X358" s="10">
        <f t="shared" si="307"/>
        <v>0</v>
      </c>
      <c r="Y358" s="12" t="str">
        <f t="shared" si="292"/>
        <v>0</v>
      </c>
      <c r="Z358" s="12"/>
      <c r="AA358" s="10">
        <f>+Risultati!K357</f>
        <v>0</v>
      </c>
      <c r="AB358" s="12" t="str">
        <f t="shared" si="293"/>
        <v>0</v>
      </c>
      <c r="AC358" s="12"/>
      <c r="AD358" s="10">
        <f>+Risultati!L357</f>
        <v>0</v>
      </c>
      <c r="AE358" s="12" t="str">
        <f t="shared" si="294"/>
        <v>0</v>
      </c>
      <c r="AF358" s="12"/>
      <c r="AG358" s="10">
        <f>+Risultati!M357+Risultati!P357+Risultati!Q357</f>
        <v>0</v>
      </c>
      <c r="AH358" s="12" t="str">
        <f t="shared" si="295"/>
        <v>0</v>
      </c>
      <c r="AI358" s="12"/>
      <c r="AJ358" s="13">
        <f t="shared" si="308"/>
        <v>0</v>
      </c>
      <c r="AK358" s="11" t="str">
        <f t="shared" si="296"/>
        <v>0</v>
      </c>
      <c r="AL358" s="12"/>
      <c r="AM358" s="10">
        <f>+Risultati!N357</f>
        <v>0</v>
      </c>
      <c r="AN358" s="12" t="str">
        <f t="shared" si="297"/>
        <v>0</v>
      </c>
      <c r="AO358" s="12"/>
      <c r="AP358" s="10">
        <f t="shared" si="309"/>
        <v>0</v>
      </c>
      <c r="AQ358" s="41" t="str">
        <f t="shared" si="298"/>
        <v>0</v>
      </c>
      <c r="AR358" s="12"/>
      <c r="AS358" s="10">
        <f>+Risultati!O357</f>
        <v>0</v>
      </c>
      <c r="AT358" s="12" t="str">
        <f t="shared" si="299"/>
        <v>0</v>
      </c>
      <c r="AU358" s="12"/>
      <c r="AV358" s="10">
        <f t="shared" si="310"/>
        <v>0</v>
      </c>
      <c r="AW358" s="12" t="str">
        <f t="shared" si="300"/>
        <v>0</v>
      </c>
      <c r="AX358" s="12"/>
      <c r="AY358" s="10">
        <f>+Risultati!R357+Risultati!S357</f>
        <v>0</v>
      </c>
      <c r="AZ358" s="12" t="str">
        <f t="shared" si="301"/>
        <v>0</v>
      </c>
      <c r="BA358" s="12"/>
      <c r="BB358" s="10">
        <f>+Risultati!T357</f>
        <v>0</v>
      </c>
      <c r="BC358" s="12" t="str">
        <f t="shared" si="302"/>
        <v>0</v>
      </c>
      <c r="BD358" s="12"/>
      <c r="BE358" s="10">
        <f>+Risultati!U357</f>
        <v>0</v>
      </c>
      <c r="BF358" s="12" t="str">
        <f t="shared" si="303"/>
        <v>0</v>
      </c>
      <c r="BG358" s="12"/>
      <c r="BH358" s="10">
        <f t="shared" si="311"/>
        <v>0</v>
      </c>
      <c r="BI358" s="12" t="str">
        <f t="shared" si="304"/>
        <v>0</v>
      </c>
      <c r="BK358" s="16">
        <f>IF(ISNUMBER(Risultati!X357/100),(Risultati!X357/100))</f>
        <v>0</v>
      </c>
      <c r="BL358" s="16">
        <f>IF(ISNUMBER(Risultati!Y357/100),(Risultati!Y357/100))</f>
        <v>0</v>
      </c>
      <c r="BM358" s="16">
        <f>IF(ISNUMBER(Risultati!Z357/100),(Risultati!Z357/100))</f>
        <v>0</v>
      </c>
      <c r="BN358" s="16">
        <f>IF(AND(Risultati!AY357&lt;0,calcoli!AP358&lt;0),-IF(ISNUMBER(Risultati!AA357/100),(Risultati!AA357/100)),IF(ISNUMBER(Risultati!AA357/100),(Risultati!AA357/100)))</f>
        <v>0</v>
      </c>
      <c r="BO358" s="16" t="str">
        <f t="shared" si="285"/>
        <v>0</v>
      </c>
      <c r="BP358" s="16" t="str">
        <f>IF(Risultati!AB357&gt;0,(AV358/Risultati!AB357),"0")</f>
        <v>0</v>
      </c>
      <c r="BQ358" s="16" t="str">
        <f>IF(Risultati!AG357&lt;&gt;0,(BH358/Risultati!AG357),"0")</f>
        <v>0</v>
      </c>
      <c r="BR358" s="16" t="str">
        <f t="shared" si="286"/>
        <v>0</v>
      </c>
      <c r="BS358" s="14" t="str">
        <f>IF(Risultati!AB357&gt;0,(Risultati!G357/Risultati!AB357),"0")</f>
        <v>0</v>
      </c>
      <c r="BT358" s="15" t="str">
        <f>IF(Risultati!AG357&lt;&gt;0,(Risultati!AB357/Risultati!AG357),"0")</f>
        <v>0</v>
      </c>
      <c r="BU358" s="23" t="str">
        <f>IF(AND(Risultati!G357&gt;0,(Risultati!AE357-Risultati!AF357)&gt;=0),((Risultati!AE357-Risultati!AF357)/Risultati!G357*360),"0")</f>
        <v>0</v>
      </c>
      <c r="BV358" s="21" t="str">
        <f>IF(OR(E358="abbreviato",Risultati!G357=0),"0",((Risultati!AC357+Risultati!AD357)/Risultati!G357*360))</f>
        <v>0</v>
      </c>
      <c r="BW358" s="21" t="str">
        <f>IF(OR(E358="abbreviato",Risultati!G357=0,SUM(Risultati!I357+Risultati!K357+Risultati!M357)=0),"0",(((Risultati!AH357+Risultati!AI357)/(Risultati!I357+Risultati!K357+Risultati!N357)*360)))</f>
        <v>0</v>
      </c>
      <c r="BX358" s="16" t="str">
        <f>IF(Risultati!AB357&gt;0,(+Risultati!AG357/Risultati!AB357),"0")</f>
        <v>0</v>
      </c>
      <c r="BY358" s="22" t="str">
        <f>IF(OR(E358="abbreviato",Risultati!G357=0),"0",(((Risultati!AK357-(Risultati!AL357+Risultati!AM357))/Risultati!G357)))</f>
        <v>0</v>
      </c>
      <c r="BZ358" s="16" t="str">
        <f>IF(Risultati!G357&gt;0,(Risultati!AJ357/Risultati!G357),"0")</f>
        <v>0</v>
      </c>
      <c r="CA358" s="8"/>
      <c r="CB358" s="9">
        <f>+Risultati!AP357</f>
        <v>0</v>
      </c>
      <c r="CC358" s="31" t="str">
        <f t="shared" si="312"/>
        <v>0</v>
      </c>
      <c r="CD358" s="9">
        <f>+Risultati!AQ357</f>
        <v>0</v>
      </c>
      <c r="CE358" s="31" t="str">
        <f t="shared" si="313"/>
        <v>0</v>
      </c>
      <c r="CF358" s="9">
        <f>+Risultati!AR357</f>
        <v>0</v>
      </c>
      <c r="CG358" s="31" t="str">
        <f t="shared" si="314"/>
        <v>0</v>
      </c>
      <c r="CH358" s="9">
        <f>+Risultati!AS357</f>
        <v>0</v>
      </c>
      <c r="CI358" s="31" t="str">
        <f t="shared" si="315"/>
        <v>0</v>
      </c>
      <c r="CJ358" s="9">
        <f t="shared" si="316"/>
        <v>0</v>
      </c>
      <c r="CK358" s="31" t="str">
        <f t="shared" si="317"/>
        <v>0</v>
      </c>
      <c r="CL358" s="10">
        <f>+Risultati!AE357+Risultati!AF357</f>
        <v>0</v>
      </c>
      <c r="CM358" s="31" t="str">
        <f t="shared" si="318"/>
        <v>0</v>
      </c>
      <c r="CN358" s="9">
        <f>+Risultati!AT357</f>
        <v>0</v>
      </c>
      <c r="CO358" s="31" t="str">
        <f t="shared" si="319"/>
        <v>0</v>
      </c>
      <c r="CP358" s="9">
        <f>+Risultati!AU357</f>
        <v>0</v>
      </c>
      <c r="CQ358" s="31" t="str">
        <f t="shared" si="320"/>
        <v>0</v>
      </c>
      <c r="CR358" s="9">
        <f>+Risultati!AL357</f>
        <v>0</v>
      </c>
      <c r="CS358" s="31" t="str">
        <f t="shared" si="321"/>
        <v>0</v>
      </c>
      <c r="CT358" s="9">
        <f t="shared" si="322"/>
        <v>0</v>
      </c>
      <c r="CU358" s="31" t="str">
        <f t="shared" si="323"/>
        <v>0</v>
      </c>
      <c r="CV358" s="9">
        <f>+Risultati!AX357</f>
        <v>0</v>
      </c>
      <c r="CW358" s="31" t="str">
        <f t="shared" si="324"/>
        <v>0</v>
      </c>
      <c r="CX358" s="9">
        <f t="shared" si="325"/>
        <v>0</v>
      </c>
      <c r="CY358" s="31" t="str">
        <f t="shared" si="326"/>
        <v>0</v>
      </c>
      <c r="CZ358" s="9">
        <f>+Risultati!AG357</f>
        <v>0</v>
      </c>
      <c r="DA358" s="31" t="str">
        <f t="shared" si="327"/>
        <v>0</v>
      </c>
      <c r="DB358" s="9">
        <f t="shared" si="328"/>
        <v>0</v>
      </c>
      <c r="DC358" s="31" t="str">
        <f t="shared" si="329"/>
        <v>0</v>
      </c>
      <c r="DD358" s="9">
        <f>+Risultati!AV357</f>
        <v>0</v>
      </c>
      <c r="DE358" s="31" t="str">
        <f t="shared" si="330"/>
        <v>0</v>
      </c>
      <c r="DF358" s="9">
        <f>+Risultati!AJ357</f>
        <v>0</v>
      </c>
      <c r="DG358" s="31" t="str">
        <f t="shared" si="331"/>
        <v>0</v>
      </c>
      <c r="DH358" s="9">
        <f t="shared" si="332"/>
        <v>0</v>
      </c>
      <c r="DI358" s="31" t="str">
        <f t="shared" si="333"/>
        <v>0</v>
      </c>
      <c r="DJ358" s="9">
        <f>+Risultati!AW357</f>
        <v>0</v>
      </c>
      <c r="DK358" s="31" t="str">
        <f t="shared" si="334"/>
        <v>0</v>
      </c>
      <c r="DL358" s="10">
        <f t="shared" si="305"/>
        <v>0</v>
      </c>
      <c r="DM358" s="31" t="str">
        <f t="shared" si="335"/>
        <v>0</v>
      </c>
      <c r="DO358" s="30"/>
      <c r="DP358" s="30"/>
    </row>
    <row r="359" spans="1:120" x14ac:dyDescent="0.2">
      <c r="A359" s="5"/>
      <c r="B359" s="6">
        <f>+Risultati!B358</f>
        <v>0</v>
      </c>
      <c r="C359" s="6">
        <f>+Risultati!C358</f>
        <v>0</v>
      </c>
      <c r="D359" s="26" t="str">
        <f>IF(YEAR(Risultati!D358)=1900,(MID(Risultati!$AP$1,29,4)),YEAR(Risultati!D358))</f>
        <v/>
      </c>
      <c r="E359" s="6">
        <f>+Risultati!E358</f>
        <v>0</v>
      </c>
      <c r="F359" s="8" t="e">
        <f>(LEFT(Risultati!AN358,2)&amp;"-")&amp;VLOOKUP((LEFT(Risultati!AN358,2)),ateco!$B$4:$C$93,2,FALSE)</f>
        <v>#N/A</v>
      </c>
      <c r="G359" s="8" t="str">
        <f>SUBSTITUTE((Risultati!AN358&amp;"-"&amp;Risultati!AO358),",",";")</f>
        <v>-</v>
      </c>
      <c r="I359" s="10">
        <f>+Risultati!G358</f>
        <v>0</v>
      </c>
      <c r="J359" s="11" t="str">
        <f t="shared" si="287"/>
        <v>0</v>
      </c>
      <c r="K359" s="12"/>
      <c r="L359" s="10">
        <f>+Risultati!G358+Risultati!H358</f>
        <v>0</v>
      </c>
      <c r="M359" s="11" t="str">
        <f t="shared" si="288"/>
        <v>0</v>
      </c>
      <c r="N359" s="12"/>
      <c r="O359" s="10">
        <f>+Risultati!I358+Risultati!J358</f>
        <v>0</v>
      </c>
      <c r="P359" s="11" t="str">
        <f t="shared" si="289"/>
        <v>0</v>
      </c>
      <c r="Q359" s="12"/>
      <c r="R359" s="13">
        <f t="shared" si="306"/>
        <v>0</v>
      </c>
      <c r="S359" s="11" t="str">
        <f t="shared" si="290"/>
        <v>0</v>
      </c>
      <c r="T359" s="12"/>
      <c r="U359" s="10">
        <f>+Risultati!F358-(Risultati!G358+Risultati!H358)</f>
        <v>0</v>
      </c>
      <c r="V359" s="12" t="str">
        <f t="shared" si="291"/>
        <v>0</v>
      </c>
      <c r="W359" s="12"/>
      <c r="X359" s="10">
        <f t="shared" si="307"/>
        <v>0</v>
      </c>
      <c r="Y359" s="12" t="str">
        <f t="shared" si="292"/>
        <v>0</v>
      </c>
      <c r="Z359" s="12"/>
      <c r="AA359" s="10">
        <f>+Risultati!K358</f>
        <v>0</v>
      </c>
      <c r="AB359" s="12" t="str">
        <f t="shared" si="293"/>
        <v>0</v>
      </c>
      <c r="AC359" s="12"/>
      <c r="AD359" s="10">
        <f>+Risultati!L358</f>
        <v>0</v>
      </c>
      <c r="AE359" s="12" t="str">
        <f t="shared" si="294"/>
        <v>0</v>
      </c>
      <c r="AF359" s="12"/>
      <c r="AG359" s="10">
        <f>+Risultati!M358+Risultati!P358+Risultati!Q358</f>
        <v>0</v>
      </c>
      <c r="AH359" s="12" t="str">
        <f t="shared" si="295"/>
        <v>0</v>
      </c>
      <c r="AI359" s="12"/>
      <c r="AJ359" s="13">
        <f t="shared" si="308"/>
        <v>0</v>
      </c>
      <c r="AK359" s="11" t="str">
        <f t="shared" si="296"/>
        <v>0</v>
      </c>
      <c r="AL359" s="12"/>
      <c r="AM359" s="10">
        <f>+Risultati!N358</f>
        <v>0</v>
      </c>
      <c r="AN359" s="12" t="str">
        <f t="shared" si="297"/>
        <v>0</v>
      </c>
      <c r="AO359" s="12"/>
      <c r="AP359" s="10">
        <f t="shared" si="309"/>
        <v>0</v>
      </c>
      <c r="AQ359" s="41" t="str">
        <f t="shared" si="298"/>
        <v>0</v>
      </c>
      <c r="AR359" s="12"/>
      <c r="AS359" s="10">
        <f>+Risultati!O358</f>
        <v>0</v>
      </c>
      <c r="AT359" s="12" t="str">
        <f t="shared" si="299"/>
        <v>0</v>
      </c>
      <c r="AU359" s="12"/>
      <c r="AV359" s="10">
        <f t="shared" si="310"/>
        <v>0</v>
      </c>
      <c r="AW359" s="12" t="str">
        <f t="shared" si="300"/>
        <v>0</v>
      </c>
      <c r="AX359" s="12"/>
      <c r="AY359" s="10">
        <f>+Risultati!R358+Risultati!S358</f>
        <v>0</v>
      </c>
      <c r="AZ359" s="12" t="str">
        <f t="shared" si="301"/>
        <v>0</v>
      </c>
      <c r="BA359" s="12"/>
      <c r="BB359" s="10">
        <f>+Risultati!T358</f>
        <v>0</v>
      </c>
      <c r="BC359" s="12" t="str">
        <f t="shared" si="302"/>
        <v>0</v>
      </c>
      <c r="BD359" s="12"/>
      <c r="BE359" s="10">
        <f>+Risultati!U358</f>
        <v>0</v>
      </c>
      <c r="BF359" s="12" t="str">
        <f t="shared" si="303"/>
        <v>0</v>
      </c>
      <c r="BG359" s="12"/>
      <c r="BH359" s="10">
        <f t="shared" si="311"/>
        <v>0</v>
      </c>
      <c r="BI359" s="12" t="str">
        <f t="shared" si="304"/>
        <v>0</v>
      </c>
      <c r="BK359" s="16">
        <f>IF(ISNUMBER(Risultati!X358/100),(Risultati!X358/100))</f>
        <v>0</v>
      </c>
      <c r="BL359" s="16">
        <f>IF(ISNUMBER(Risultati!Y358/100),(Risultati!Y358/100))</f>
        <v>0</v>
      </c>
      <c r="BM359" s="16">
        <f>IF(ISNUMBER(Risultati!Z358/100),(Risultati!Z358/100))</f>
        <v>0</v>
      </c>
      <c r="BN359" s="16">
        <f>IF(AND(Risultati!AY358&lt;0,calcoli!AP359&lt;0),-IF(ISNUMBER(Risultati!AA358/100),(Risultati!AA358/100)),IF(ISNUMBER(Risultati!AA358/100),(Risultati!AA358/100)))</f>
        <v>0</v>
      </c>
      <c r="BO359" s="16" t="str">
        <f t="shared" si="285"/>
        <v>0</v>
      </c>
      <c r="BP359" s="16" t="str">
        <f>IF(Risultati!AB358&gt;0,(AV359/Risultati!AB358),"0")</f>
        <v>0</v>
      </c>
      <c r="BQ359" s="16" t="str">
        <f>IF(Risultati!AG358&lt;&gt;0,(BH359/Risultati!AG358),"0")</f>
        <v>0</v>
      </c>
      <c r="BR359" s="16" t="str">
        <f t="shared" si="286"/>
        <v>0</v>
      </c>
      <c r="BS359" s="14" t="str">
        <f>IF(Risultati!AB358&gt;0,(Risultati!G358/Risultati!AB358),"0")</f>
        <v>0</v>
      </c>
      <c r="BT359" s="15" t="str">
        <f>IF(Risultati!AG358&lt;&gt;0,(Risultati!AB358/Risultati!AG358),"0")</f>
        <v>0</v>
      </c>
      <c r="BU359" s="23" t="str">
        <f>IF(AND(Risultati!G358&gt;0,(Risultati!AE358-Risultati!AF358)&gt;=0),((Risultati!AE358-Risultati!AF358)/Risultati!G358*360),"0")</f>
        <v>0</v>
      </c>
      <c r="BV359" s="21" t="str">
        <f>IF(OR(E359="abbreviato",Risultati!G358=0),"0",((Risultati!AC358+Risultati!AD358)/Risultati!G358*360))</f>
        <v>0</v>
      </c>
      <c r="BW359" s="21" t="str">
        <f>IF(OR(E359="abbreviato",Risultati!G358=0,SUM(Risultati!I358+Risultati!K358+Risultati!M358)=0),"0",(((Risultati!AH358+Risultati!AI358)/(Risultati!I358+Risultati!K358+Risultati!N358)*360)))</f>
        <v>0</v>
      </c>
      <c r="BX359" s="16" t="str">
        <f>IF(Risultati!AB358&gt;0,(+Risultati!AG358/Risultati!AB358),"0")</f>
        <v>0</v>
      </c>
      <c r="BY359" s="22" t="str">
        <f>IF(OR(E359="abbreviato",Risultati!G358=0),"0",(((Risultati!AK358-(Risultati!AL358+Risultati!AM358))/Risultati!G358)))</f>
        <v>0</v>
      </c>
      <c r="BZ359" s="16" t="str">
        <f>IF(Risultati!G358&gt;0,(Risultati!AJ358/Risultati!G358),"0")</f>
        <v>0</v>
      </c>
      <c r="CA359" s="8"/>
      <c r="CB359" s="9">
        <f>+Risultati!AP358</f>
        <v>0</v>
      </c>
      <c r="CC359" s="31" t="str">
        <f t="shared" si="312"/>
        <v>0</v>
      </c>
      <c r="CD359" s="9">
        <f>+Risultati!AQ358</f>
        <v>0</v>
      </c>
      <c r="CE359" s="31" t="str">
        <f t="shared" si="313"/>
        <v>0</v>
      </c>
      <c r="CF359" s="9">
        <f>+Risultati!AR358</f>
        <v>0</v>
      </c>
      <c r="CG359" s="31" t="str">
        <f t="shared" si="314"/>
        <v>0</v>
      </c>
      <c r="CH359" s="9">
        <f>+Risultati!AS358</f>
        <v>0</v>
      </c>
      <c r="CI359" s="31" t="str">
        <f t="shared" si="315"/>
        <v>0</v>
      </c>
      <c r="CJ359" s="9">
        <f t="shared" si="316"/>
        <v>0</v>
      </c>
      <c r="CK359" s="31" t="str">
        <f t="shared" si="317"/>
        <v>0</v>
      </c>
      <c r="CL359" s="10">
        <f>+Risultati!AE358+Risultati!AF358</f>
        <v>0</v>
      </c>
      <c r="CM359" s="31" t="str">
        <f t="shared" si="318"/>
        <v>0</v>
      </c>
      <c r="CN359" s="9">
        <f>+Risultati!AT358</f>
        <v>0</v>
      </c>
      <c r="CO359" s="31" t="str">
        <f t="shared" si="319"/>
        <v>0</v>
      </c>
      <c r="CP359" s="9">
        <f>+Risultati!AU358</f>
        <v>0</v>
      </c>
      <c r="CQ359" s="31" t="str">
        <f t="shared" si="320"/>
        <v>0</v>
      </c>
      <c r="CR359" s="9">
        <f>+Risultati!AL358</f>
        <v>0</v>
      </c>
      <c r="CS359" s="31" t="str">
        <f t="shared" si="321"/>
        <v>0</v>
      </c>
      <c r="CT359" s="9">
        <f t="shared" si="322"/>
        <v>0</v>
      </c>
      <c r="CU359" s="31" t="str">
        <f t="shared" si="323"/>
        <v>0</v>
      </c>
      <c r="CV359" s="9">
        <f>+Risultati!AX358</f>
        <v>0</v>
      </c>
      <c r="CW359" s="31" t="str">
        <f t="shared" si="324"/>
        <v>0</v>
      </c>
      <c r="CX359" s="9">
        <f t="shared" si="325"/>
        <v>0</v>
      </c>
      <c r="CY359" s="31" t="str">
        <f t="shared" si="326"/>
        <v>0</v>
      </c>
      <c r="CZ359" s="9">
        <f>+Risultati!AG358</f>
        <v>0</v>
      </c>
      <c r="DA359" s="31" t="str">
        <f t="shared" si="327"/>
        <v>0</v>
      </c>
      <c r="DB359" s="9">
        <f t="shared" si="328"/>
        <v>0</v>
      </c>
      <c r="DC359" s="31" t="str">
        <f t="shared" si="329"/>
        <v>0</v>
      </c>
      <c r="DD359" s="9">
        <f>+Risultati!AV358</f>
        <v>0</v>
      </c>
      <c r="DE359" s="31" t="str">
        <f t="shared" si="330"/>
        <v>0</v>
      </c>
      <c r="DF359" s="9">
        <f>+Risultati!AJ358</f>
        <v>0</v>
      </c>
      <c r="DG359" s="31" t="str">
        <f t="shared" si="331"/>
        <v>0</v>
      </c>
      <c r="DH359" s="9">
        <f t="shared" si="332"/>
        <v>0</v>
      </c>
      <c r="DI359" s="31" t="str">
        <f t="shared" si="333"/>
        <v>0</v>
      </c>
      <c r="DJ359" s="9">
        <f>+Risultati!AW358</f>
        <v>0</v>
      </c>
      <c r="DK359" s="31" t="str">
        <f t="shared" si="334"/>
        <v>0</v>
      </c>
      <c r="DL359" s="10">
        <f t="shared" si="305"/>
        <v>0</v>
      </c>
      <c r="DM359" s="31" t="str">
        <f t="shared" si="335"/>
        <v>0</v>
      </c>
      <c r="DO359" s="30"/>
      <c r="DP359" s="30"/>
    </row>
    <row r="360" spans="1:120" x14ac:dyDescent="0.2">
      <c r="A360" s="5"/>
      <c r="B360" s="6">
        <f>+Risultati!B359</f>
        <v>0</v>
      </c>
      <c r="C360" s="6">
        <f>+Risultati!C359</f>
        <v>0</v>
      </c>
      <c r="D360" s="26" t="str">
        <f>IF(YEAR(Risultati!D359)=1900,(MID(Risultati!$AP$1,29,4)),YEAR(Risultati!D359))</f>
        <v/>
      </c>
      <c r="E360" s="6">
        <f>+Risultati!E359</f>
        <v>0</v>
      </c>
      <c r="F360" s="8" t="e">
        <f>(LEFT(Risultati!AN359,2)&amp;"-")&amp;VLOOKUP((LEFT(Risultati!AN359,2)),ateco!$B$4:$C$93,2,FALSE)</f>
        <v>#N/A</v>
      </c>
      <c r="G360" s="8" t="str">
        <f>SUBSTITUTE((Risultati!AN359&amp;"-"&amp;Risultati!AO359),",",";")</f>
        <v>-</v>
      </c>
      <c r="I360" s="10">
        <f>+Risultati!G359</f>
        <v>0</v>
      </c>
      <c r="J360" s="11" t="str">
        <f t="shared" si="287"/>
        <v>0</v>
      </c>
      <c r="K360" s="12"/>
      <c r="L360" s="10">
        <f>+Risultati!G359+Risultati!H359</f>
        <v>0</v>
      </c>
      <c r="M360" s="11" t="str">
        <f t="shared" si="288"/>
        <v>0</v>
      </c>
      <c r="N360" s="12"/>
      <c r="O360" s="10">
        <f>+Risultati!I359+Risultati!J359</f>
        <v>0</v>
      </c>
      <c r="P360" s="11" t="str">
        <f t="shared" si="289"/>
        <v>0</v>
      </c>
      <c r="Q360" s="12"/>
      <c r="R360" s="13">
        <f t="shared" si="306"/>
        <v>0</v>
      </c>
      <c r="S360" s="11" t="str">
        <f t="shared" si="290"/>
        <v>0</v>
      </c>
      <c r="T360" s="12"/>
      <c r="U360" s="10">
        <f>+Risultati!F359-(Risultati!G359+Risultati!H359)</f>
        <v>0</v>
      </c>
      <c r="V360" s="12" t="str">
        <f t="shared" si="291"/>
        <v>0</v>
      </c>
      <c r="W360" s="12"/>
      <c r="X360" s="10">
        <f t="shared" si="307"/>
        <v>0</v>
      </c>
      <c r="Y360" s="12" t="str">
        <f t="shared" si="292"/>
        <v>0</v>
      </c>
      <c r="Z360" s="12"/>
      <c r="AA360" s="10">
        <f>+Risultati!K359</f>
        <v>0</v>
      </c>
      <c r="AB360" s="12" t="str">
        <f t="shared" si="293"/>
        <v>0</v>
      </c>
      <c r="AC360" s="12"/>
      <c r="AD360" s="10">
        <f>+Risultati!L359</f>
        <v>0</v>
      </c>
      <c r="AE360" s="12" t="str">
        <f t="shared" si="294"/>
        <v>0</v>
      </c>
      <c r="AF360" s="12"/>
      <c r="AG360" s="10">
        <f>+Risultati!M359+Risultati!P359+Risultati!Q359</f>
        <v>0</v>
      </c>
      <c r="AH360" s="12" t="str">
        <f t="shared" si="295"/>
        <v>0</v>
      </c>
      <c r="AI360" s="12"/>
      <c r="AJ360" s="13">
        <f t="shared" si="308"/>
        <v>0</v>
      </c>
      <c r="AK360" s="11" t="str">
        <f t="shared" si="296"/>
        <v>0</v>
      </c>
      <c r="AL360" s="12"/>
      <c r="AM360" s="10">
        <f>+Risultati!N359</f>
        <v>0</v>
      </c>
      <c r="AN360" s="12" t="str">
        <f t="shared" si="297"/>
        <v>0</v>
      </c>
      <c r="AO360" s="12"/>
      <c r="AP360" s="10">
        <f t="shared" si="309"/>
        <v>0</v>
      </c>
      <c r="AQ360" s="41" t="str">
        <f t="shared" si="298"/>
        <v>0</v>
      </c>
      <c r="AR360" s="12"/>
      <c r="AS360" s="10">
        <f>+Risultati!O359</f>
        <v>0</v>
      </c>
      <c r="AT360" s="12" t="str">
        <f t="shared" si="299"/>
        <v>0</v>
      </c>
      <c r="AU360" s="12"/>
      <c r="AV360" s="10">
        <f t="shared" si="310"/>
        <v>0</v>
      </c>
      <c r="AW360" s="12" t="str">
        <f t="shared" si="300"/>
        <v>0</v>
      </c>
      <c r="AX360" s="12"/>
      <c r="AY360" s="10">
        <f>+Risultati!R359+Risultati!S359</f>
        <v>0</v>
      </c>
      <c r="AZ360" s="12" t="str">
        <f t="shared" si="301"/>
        <v>0</v>
      </c>
      <c r="BA360" s="12"/>
      <c r="BB360" s="10">
        <f>+Risultati!T359</f>
        <v>0</v>
      </c>
      <c r="BC360" s="12" t="str">
        <f t="shared" si="302"/>
        <v>0</v>
      </c>
      <c r="BD360" s="12"/>
      <c r="BE360" s="10">
        <f>+Risultati!U359</f>
        <v>0</v>
      </c>
      <c r="BF360" s="12" t="str">
        <f t="shared" si="303"/>
        <v>0</v>
      </c>
      <c r="BG360" s="12"/>
      <c r="BH360" s="10">
        <f t="shared" si="311"/>
        <v>0</v>
      </c>
      <c r="BI360" s="12" t="str">
        <f t="shared" si="304"/>
        <v>0</v>
      </c>
      <c r="BK360" s="16">
        <f>IF(ISNUMBER(Risultati!X359/100),(Risultati!X359/100))</f>
        <v>0</v>
      </c>
      <c r="BL360" s="16">
        <f>IF(ISNUMBER(Risultati!Y359/100),(Risultati!Y359/100))</f>
        <v>0</v>
      </c>
      <c r="BM360" s="16">
        <f>IF(ISNUMBER(Risultati!Z359/100),(Risultati!Z359/100))</f>
        <v>0</v>
      </c>
      <c r="BN360" s="16">
        <f>IF(AND(Risultati!AY359&lt;0,calcoli!AP360&lt;0),-IF(ISNUMBER(Risultati!AA359/100),(Risultati!AA359/100)),IF(ISNUMBER(Risultati!AA359/100),(Risultati!AA359/100)))</f>
        <v>0</v>
      </c>
      <c r="BO360" s="16" t="str">
        <f t="shared" si="285"/>
        <v>0</v>
      </c>
      <c r="BP360" s="16" t="str">
        <f>IF(Risultati!AB359&gt;0,(AV360/Risultati!AB359),"0")</f>
        <v>0</v>
      </c>
      <c r="BQ360" s="16" t="str">
        <f>IF(Risultati!AG359&lt;&gt;0,(BH360/Risultati!AG359),"0")</f>
        <v>0</v>
      </c>
      <c r="BR360" s="16" t="str">
        <f t="shared" si="286"/>
        <v>0</v>
      </c>
      <c r="BS360" s="14" t="str">
        <f>IF(Risultati!AB359&gt;0,(Risultati!G359/Risultati!AB359),"0")</f>
        <v>0</v>
      </c>
      <c r="BT360" s="15" t="str">
        <f>IF(Risultati!AG359&lt;&gt;0,(Risultati!AB359/Risultati!AG359),"0")</f>
        <v>0</v>
      </c>
      <c r="BU360" s="23" t="str">
        <f>IF(AND(Risultati!G359&gt;0,(Risultati!AE359-Risultati!AF359)&gt;=0),((Risultati!AE359-Risultati!AF359)/Risultati!G359*360),"0")</f>
        <v>0</v>
      </c>
      <c r="BV360" s="21" t="str">
        <f>IF(OR(E360="abbreviato",Risultati!G359=0),"0",((Risultati!AC359+Risultati!AD359)/Risultati!G359*360))</f>
        <v>0</v>
      </c>
      <c r="BW360" s="21" t="str">
        <f>IF(OR(E360="abbreviato",Risultati!G359=0,SUM(Risultati!I359+Risultati!K359+Risultati!M359)=0),"0",(((Risultati!AH359+Risultati!AI359)/(Risultati!I359+Risultati!K359+Risultati!N359)*360)))</f>
        <v>0</v>
      </c>
      <c r="BX360" s="16" t="str">
        <f>IF(Risultati!AB359&gt;0,(+Risultati!AG359/Risultati!AB359),"0")</f>
        <v>0</v>
      </c>
      <c r="BY360" s="22" t="str">
        <f>IF(OR(E360="abbreviato",Risultati!G359=0),"0",(((Risultati!AK359-(Risultati!AL359+Risultati!AM359))/Risultati!G359)))</f>
        <v>0</v>
      </c>
      <c r="BZ360" s="16" t="str">
        <f>IF(Risultati!G359&gt;0,(Risultati!AJ359/Risultati!G359),"0")</f>
        <v>0</v>
      </c>
      <c r="CA360" s="8"/>
      <c r="CB360" s="9">
        <f>+Risultati!AP359</f>
        <v>0</v>
      </c>
      <c r="CC360" s="31" t="str">
        <f t="shared" si="312"/>
        <v>0</v>
      </c>
      <c r="CD360" s="9">
        <f>+Risultati!AQ359</f>
        <v>0</v>
      </c>
      <c r="CE360" s="31" t="str">
        <f t="shared" si="313"/>
        <v>0</v>
      </c>
      <c r="CF360" s="9">
        <f>+Risultati!AR359</f>
        <v>0</v>
      </c>
      <c r="CG360" s="31" t="str">
        <f t="shared" si="314"/>
        <v>0</v>
      </c>
      <c r="CH360" s="9">
        <f>+Risultati!AS359</f>
        <v>0</v>
      </c>
      <c r="CI360" s="31" t="str">
        <f t="shared" si="315"/>
        <v>0</v>
      </c>
      <c r="CJ360" s="9">
        <f t="shared" si="316"/>
        <v>0</v>
      </c>
      <c r="CK360" s="31" t="str">
        <f t="shared" si="317"/>
        <v>0</v>
      </c>
      <c r="CL360" s="10">
        <f>+Risultati!AE359+Risultati!AF359</f>
        <v>0</v>
      </c>
      <c r="CM360" s="31" t="str">
        <f t="shared" si="318"/>
        <v>0</v>
      </c>
      <c r="CN360" s="9">
        <f>+Risultati!AT359</f>
        <v>0</v>
      </c>
      <c r="CO360" s="31" t="str">
        <f t="shared" si="319"/>
        <v>0</v>
      </c>
      <c r="CP360" s="9">
        <f>+Risultati!AU359</f>
        <v>0</v>
      </c>
      <c r="CQ360" s="31" t="str">
        <f t="shared" si="320"/>
        <v>0</v>
      </c>
      <c r="CR360" s="9">
        <f>+Risultati!AL359</f>
        <v>0</v>
      </c>
      <c r="CS360" s="31" t="str">
        <f t="shared" si="321"/>
        <v>0</v>
      </c>
      <c r="CT360" s="9">
        <f t="shared" si="322"/>
        <v>0</v>
      </c>
      <c r="CU360" s="31" t="str">
        <f t="shared" si="323"/>
        <v>0</v>
      </c>
      <c r="CV360" s="9">
        <f>+Risultati!AX359</f>
        <v>0</v>
      </c>
      <c r="CW360" s="31" t="str">
        <f t="shared" si="324"/>
        <v>0</v>
      </c>
      <c r="CX360" s="9">
        <f t="shared" si="325"/>
        <v>0</v>
      </c>
      <c r="CY360" s="31" t="str">
        <f t="shared" si="326"/>
        <v>0</v>
      </c>
      <c r="CZ360" s="9">
        <f>+Risultati!AG359</f>
        <v>0</v>
      </c>
      <c r="DA360" s="31" t="str">
        <f t="shared" si="327"/>
        <v>0</v>
      </c>
      <c r="DB360" s="9">
        <f t="shared" si="328"/>
        <v>0</v>
      </c>
      <c r="DC360" s="31" t="str">
        <f t="shared" si="329"/>
        <v>0</v>
      </c>
      <c r="DD360" s="9">
        <f>+Risultati!AV359</f>
        <v>0</v>
      </c>
      <c r="DE360" s="31" t="str">
        <f t="shared" si="330"/>
        <v>0</v>
      </c>
      <c r="DF360" s="9">
        <f>+Risultati!AJ359</f>
        <v>0</v>
      </c>
      <c r="DG360" s="31" t="str">
        <f t="shared" si="331"/>
        <v>0</v>
      </c>
      <c r="DH360" s="9">
        <f t="shared" si="332"/>
        <v>0</v>
      </c>
      <c r="DI360" s="31" t="str">
        <f t="shared" si="333"/>
        <v>0</v>
      </c>
      <c r="DJ360" s="9">
        <f>+Risultati!AW359</f>
        <v>0</v>
      </c>
      <c r="DK360" s="31" t="str">
        <f t="shared" si="334"/>
        <v>0</v>
      </c>
      <c r="DL360" s="10">
        <f t="shared" si="305"/>
        <v>0</v>
      </c>
      <c r="DM360" s="31" t="str">
        <f t="shared" si="335"/>
        <v>0</v>
      </c>
      <c r="DO360" s="30"/>
      <c r="DP360" s="30"/>
    </row>
    <row r="361" spans="1:120" x14ac:dyDescent="0.2">
      <c r="A361" s="5"/>
      <c r="B361" s="6">
        <f>+Risultati!B360</f>
        <v>0</v>
      </c>
      <c r="C361" s="6">
        <f>+Risultati!C360</f>
        <v>0</v>
      </c>
      <c r="D361" s="26" t="str">
        <f>IF(YEAR(Risultati!D360)=1900,(MID(Risultati!$AP$1,29,4)),YEAR(Risultati!D360))</f>
        <v/>
      </c>
      <c r="E361" s="6">
        <f>+Risultati!E360</f>
        <v>0</v>
      </c>
      <c r="F361" s="8" t="e">
        <f>(LEFT(Risultati!AN360,2)&amp;"-")&amp;VLOOKUP((LEFT(Risultati!AN360,2)),ateco!$B$4:$C$93,2,FALSE)</f>
        <v>#N/A</v>
      </c>
      <c r="G361" s="8" t="str">
        <f>SUBSTITUTE((Risultati!AN360&amp;"-"&amp;Risultati!AO360),",",";")</f>
        <v>-</v>
      </c>
      <c r="I361" s="10">
        <f>+Risultati!G360</f>
        <v>0</v>
      </c>
      <c r="J361" s="11" t="str">
        <f t="shared" si="287"/>
        <v>0</v>
      </c>
      <c r="K361" s="12"/>
      <c r="L361" s="10">
        <f>+Risultati!G360+Risultati!H360</f>
        <v>0</v>
      </c>
      <c r="M361" s="11" t="str">
        <f t="shared" si="288"/>
        <v>0</v>
      </c>
      <c r="N361" s="12"/>
      <c r="O361" s="10">
        <f>+Risultati!I360+Risultati!J360</f>
        <v>0</v>
      </c>
      <c r="P361" s="11" t="str">
        <f t="shared" si="289"/>
        <v>0</v>
      </c>
      <c r="Q361" s="12"/>
      <c r="R361" s="13">
        <f t="shared" si="306"/>
        <v>0</v>
      </c>
      <c r="S361" s="11" t="str">
        <f t="shared" si="290"/>
        <v>0</v>
      </c>
      <c r="T361" s="12"/>
      <c r="U361" s="10">
        <f>+Risultati!F360-(Risultati!G360+Risultati!H360)</f>
        <v>0</v>
      </c>
      <c r="V361" s="12" t="str">
        <f t="shared" si="291"/>
        <v>0</v>
      </c>
      <c r="W361" s="12"/>
      <c r="X361" s="10">
        <f t="shared" si="307"/>
        <v>0</v>
      </c>
      <c r="Y361" s="12" t="str">
        <f t="shared" si="292"/>
        <v>0</v>
      </c>
      <c r="Z361" s="12"/>
      <c r="AA361" s="10">
        <f>+Risultati!K360</f>
        <v>0</v>
      </c>
      <c r="AB361" s="12" t="str">
        <f t="shared" si="293"/>
        <v>0</v>
      </c>
      <c r="AC361" s="12"/>
      <c r="AD361" s="10">
        <f>+Risultati!L360</f>
        <v>0</v>
      </c>
      <c r="AE361" s="12" t="str">
        <f t="shared" si="294"/>
        <v>0</v>
      </c>
      <c r="AF361" s="12"/>
      <c r="AG361" s="10">
        <f>+Risultati!M360+Risultati!P360+Risultati!Q360</f>
        <v>0</v>
      </c>
      <c r="AH361" s="12" t="str">
        <f t="shared" si="295"/>
        <v>0</v>
      </c>
      <c r="AI361" s="12"/>
      <c r="AJ361" s="13">
        <f t="shared" si="308"/>
        <v>0</v>
      </c>
      <c r="AK361" s="11" t="str">
        <f t="shared" si="296"/>
        <v>0</v>
      </c>
      <c r="AL361" s="12"/>
      <c r="AM361" s="10">
        <f>+Risultati!N360</f>
        <v>0</v>
      </c>
      <c r="AN361" s="12" t="str">
        <f t="shared" si="297"/>
        <v>0</v>
      </c>
      <c r="AO361" s="12"/>
      <c r="AP361" s="10">
        <f t="shared" si="309"/>
        <v>0</v>
      </c>
      <c r="AQ361" s="41" t="str">
        <f t="shared" si="298"/>
        <v>0</v>
      </c>
      <c r="AR361" s="12"/>
      <c r="AS361" s="10">
        <f>+Risultati!O360</f>
        <v>0</v>
      </c>
      <c r="AT361" s="12" t="str">
        <f t="shared" si="299"/>
        <v>0</v>
      </c>
      <c r="AU361" s="12"/>
      <c r="AV361" s="10">
        <f t="shared" si="310"/>
        <v>0</v>
      </c>
      <c r="AW361" s="12" t="str">
        <f t="shared" si="300"/>
        <v>0</v>
      </c>
      <c r="AX361" s="12"/>
      <c r="AY361" s="10">
        <f>+Risultati!R360+Risultati!S360</f>
        <v>0</v>
      </c>
      <c r="AZ361" s="12" t="str">
        <f t="shared" si="301"/>
        <v>0</v>
      </c>
      <c r="BA361" s="12"/>
      <c r="BB361" s="10">
        <f>+Risultati!T360</f>
        <v>0</v>
      </c>
      <c r="BC361" s="12" t="str">
        <f t="shared" si="302"/>
        <v>0</v>
      </c>
      <c r="BD361" s="12"/>
      <c r="BE361" s="10">
        <f>+Risultati!U360</f>
        <v>0</v>
      </c>
      <c r="BF361" s="12" t="str">
        <f t="shared" si="303"/>
        <v>0</v>
      </c>
      <c r="BG361" s="12"/>
      <c r="BH361" s="10">
        <f t="shared" si="311"/>
        <v>0</v>
      </c>
      <c r="BI361" s="12" t="str">
        <f t="shared" si="304"/>
        <v>0</v>
      </c>
      <c r="BK361" s="16">
        <f>IF(ISNUMBER(Risultati!X360/100),(Risultati!X360/100))</f>
        <v>0</v>
      </c>
      <c r="BL361" s="16">
        <f>IF(ISNUMBER(Risultati!Y360/100),(Risultati!Y360/100))</f>
        <v>0</v>
      </c>
      <c r="BM361" s="16">
        <f>IF(ISNUMBER(Risultati!Z360/100),(Risultati!Z360/100))</f>
        <v>0</v>
      </c>
      <c r="BN361" s="16">
        <f>IF(AND(Risultati!AY360&lt;0,calcoli!AP361&lt;0),-IF(ISNUMBER(Risultati!AA360/100),(Risultati!AA360/100)),IF(ISNUMBER(Risultati!AA360/100),(Risultati!AA360/100)))</f>
        <v>0</v>
      </c>
      <c r="BO361" s="16" t="str">
        <f t="shared" si="285"/>
        <v>0</v>
      </c>
      <c r="BP361" s="16" t="str">
        <f>IF(Risultati!AB360&gt;0,(AV361/Risultati!AB360),"0")</f>
        <v>0</v>
      </c>
      <c r="BQ361" s="16" t="str">
        <f>IF(Risultati!AG360&lt;&gt;0,(BH361/Risultati!AG360),"0")</f>
        <v>0</v>
      </c>
      <c r="BR361" s="16" t="str">
        <f t="shared" si="286"/>
        <v>0</v>
      </c>
      <c r="BS361" s="14" t="str">
        <f>IF(Risultati!AB360&gt;0,(Risultati!G360/Risultati!AB360),"0")</f>
        <v>0</v>
      </c>
      <c r="BT361" s="15" t="str">
        <f>IF(Risultati!AG360&lt;&gt;0,(Risultati!AB360/Risultati!AG360),"0")</f>
        <v>0</v>
      </c>
      <c r="BU361" s="23" t="str">
        <f>IF(AND(Risultati!G360&gt;0,(Risultati!AE360-Risultati!AF360)&gt;=0),((Risultati!AE360-Risultati!AF360)/Risultati!G360*360),"0")</f>
        <v>0</v>
      </c>
      <c r="BV361" s="21" t="str">
        <f>IF(OR(E361="abbreviato",Risultati!G360=0),"0",((Risultati!AC360+Risultati!AD360)/Risultati!G360*360))</f>
        <v>0</v>
      </c>
      <c r="BW361" s="21" t="str">
        <f>IF(OR(E361="abbreviato",Risultati!G360=0,SUM(Risultati!I360+Risultati!K360+Risultati!M360)=0),"0",(((Risultati!AH360+Risultati!AI360)/(Risultati!I360+Risultati!K360+Risultati!N360)*360)))</f>
        <v>0</v>
      </c>
      <c r="BX361" s="16" t="str">
        <f>IF(Risultati!AB360&gt;0,(+Risultati!AG360/Risultati!AB360),"0")</f>
        <v>0</v>
      </c>
      <c r="BY361" s="22" t="str">
        <f>IF(OR(E361="abbreviato",Risultati!G360=0),"0",(((Risultati!AK360-(Risultati!AL360+Risultati!AM360))/Risultati!G360)))</f>
        <v>0</v>
      </c>
      <c r="BZ361" s="16" t="str">
        <f>IF(Risultati!G360&gt;0,(Risultati!AJ360/Risultati!G360),"0")</f>
        <v>0</v>
      </c>
      <c r="CA361" s="8"/>
      <c r="CB361" s="9">
        <f>+Risultati!AP360</f>
        <v>0</v>
      </c>
      <c r="CC361" s="31" t="str">
        <f t="shared" si="312"/>
        <v>0</v>
      </c>
      <c r="CD361" s="9">
        <f>+Risultati!AQ360</f>
        <v>0</v>
      </c>
      <c r="CE361" s="31" t="str">
        <f t="shared" si="313"/>
        <v>0</v>
      </c>
      <c r="CF361" s="9">
        <f>+Risultati!AR360</f>
        <v>0</v>
      </c>
      <c r="CG361" s="31" t="str">
        <f t="shared" si="314"/>
        <v>0</v>
      </c>
      <c r="CH361" s="9">
        <f>+Risultati!AS360</f>
        <v>0</v>
      </c>
      <c r="CI361" s="31" t="str">
        <f t="shared" si="315"/>
        <v>0</v>
      </c>
      <c r="CJ361" s="9">
        <f t="shared" si="316"/>
        <v>0</v>
      </c>
      <c r="CK361" s="31" t="str">
        <f t="shared" si="317"/>
        <v>0</v>
      </c>
      <c r="CL361" s="10">
        <f>+Risultati!AE360+Risultati!AF360</f>
        <v>0</v>
      </c>
      <c r="CM361" s="31" t="str">
        <f t="shared" si="318"/>
        <v>0</v>
      </c>
      <c r="CN361" s="9">
        <f>+Risultati!AT360</f>
        <v>0</v>
      </c>
      <c r="CO361" s="31" t="str">
        <f t="shared" si="319"/>
        <v>0</v>
      </c>
      <c r="CP361" s="9">
        <f>+Risultati!AU360</f>
        <v>0</v>
      </c>
      <c r="CQ361" s="31" t="str">
        <f t="shared" si="320"/>
        <v>0</v>
      </c>
      <c r="CR361" s="9">
        <f>+Risultati!AL360</f>
        <v>0</v>
      </c>
      <c r="CS361" s="31" t="str">
        <f t="shared" si="321"/>
        <v>0</v>
      </c>
      <c r="CT361" s="9">
        <f t="shared" si="322"/>
        <v>0</v>
      </c>
      <c r="CU361" s="31" t="str">
        <f t="shared" si="323"/>
        <v>0</v>
      </c>
      <c r="CV361" s="9">
        <f>+Risultati!AX360</f>
        <v>0</v>
      </c>
      <c r="CW361" s="31" t="str">
        <f t="shared" si="324"/>
        <v>0</v>
      </c>
      <c r="CX361" s="9">
        <f t="shared" si="325"/>
        <v>0</v>
      </c>
      <c r="CY361" s="31" t="str">
        <f t="shared" si="326"/>
        <v>0</v>
      </c>
      <c r="CZ361" s="9">
        <f>+Risultati!AG360</f>
        <v>0</v>
      </c>
      <c r="DA361" s="31" t="str">
        <f t="shared" si="327"/>
        <v>0</v>
      </c>
      <c r="DB361" s="9">
        <f t="shared" si="328"/>
        <v>0</v>
      </c>
      <c r="DC361" s="31" t="str">
        <f t="shared" si="329"/>
        <v>0</v>
      </c>
      <c r="DD361" s="9">
        <f>+Risultati!AV360</f>
        <v>0</v>
      </c>
      <c r="DE361" s="31" t="str">
        <f t="shared" si="330"/>
        <v>0</v>
      </c>
      <c r="DF361" s="9">
        <f>+Risultati!AJ360</f>
        <v>0</v>
      </c>
      <c r="DG361" s="31" t="str">
        <f t="shared" si="331"/>
        <v>0</v>
      </c>
      <c r="DH361" s="9">
        <f t="shared" si="332"/>
        <v>0</v>
      </c>
      <c r="DI361" s="31" t="str">
        <f t="shared" si="333"/>
        <v>0</v>
      </c>
      <c r="DJ361" s="9">
        <f>+Risultati!AW360</f>
        <v>0</v>
      </c>
      <c r="DK361" s="31" t="str">
        <f t="shared" si="334"/>
        <v>0</v>
      </c>
      <c r="DL361" s="10">
        <f t="shared" si="305"/>
        <v>0</v>
      </c>
      <c r="DM361" s="31" t="str">
        <f t="shared" si="335"/>
        <v>0</v>
      </c>
      <c r="DO361" s="30"/>
      <c r="DP361" s="30"/>
    </row>
    <row r="362" spans="1:120" x14ac:dyDescent="0.2">
      <c r="A362" s="5"/>
      <c r="B362" s="6">
        <f>+Risultati!B361</f>
        <v>0</v>
      </c>
      <c r="C362" s="6">
        <f>+Risultati!C361</f>
        <v>0</v>
      </c>
      <c r="D362" s="26" t="str">
        <f>IF(YEAR(Risultati!D361)=1900,(MID(Risultati!$AP$1,29,4)),YEAR(Risultati!D361))</f>
        <v/>
      </c>
      <c r="E362" s="6">
        <f>+Risultati!E361</f>
        <v>0</v>
      </c>
      <c r="F362" s="8" t="e">
        <f>(LEFT(Risultati!AN361,2)&amp;"-")&amp;VLOOKUP((LEFT(Risultati!AN361,2)),ateco!$B$4:$C$93,2,FALSE)</f>
        <v>#N/A</v>
      </c>
      <c r="G362" s="8" t="str">
        <f>SUBSTITUTE((Risultati!AN361&amp;"-"&amp;Risultati!AO361),",",";")</f>
        <v>-</v>
      </c>
      <c r="I362" s="10">
        <f>+Risultati!G361</f>
        <v>0</v>
      </c>
      <c r="J362" s="11" t="str">
        <f t="shared" si="287"/>
        <v>0</v>
      </c>
      <c r="K362" s="12"/>
      <c r="L362" s="10">
        <f>+Risultati!G361+Risultati!H361</f>
        <v>0</v>
      </c>
      <c r="M362" s="11" t="str">
        <f t="shared" si="288"/>
        <v>0</v>
      </c>
      <c r="N362" s="12"/>
      <c r="O362" s="10">
        <f>+Risultati!I361+Risultati!J361</f>
        <v>0</v>
      </c>
      <c r="P362" s="11" t="str">
        <f t="shared" si="289"/>
        <v>0</v>
      </c>
      <c r="Q362" s="12"/>
      <c r="R362" s="13">
        <f t="shared" si="306"/>
        <v>0</v>
      </c>
      <c r="S362" s="11" t="str">
        <f t="shared" si="290"/>
        <v>0</v>
      </c>
      <c r="T362" s="12"/>
      <c r="U362" s="10">
        <f>+Risultati!F361-(Risultati!G361+Risultati!H361)</f>
        <v>0</v>
      </c>
      <c r="V362" s="12" t="str">
        <f t="shared" si="291"/>
        <v>0</v>
      </c>
      <c r="W362" s="12"/>
      <c r="X362" s="10">
        <f t="shared" si="307"/>
        <v>0</v>
      </c>
      <c r="Y362" s="12" t="str">
        <f t="shared" si="292"/>
        <v>0</v>
      </c>
      <c r="Z362" s="12"/>
      <c r="AA362" s="10">
        <f>+Risultati!K361</f>
        <v>0</v>
      </c>
      <c r="AB362" s="12" t="str">
        <f t="shared" si="293"/>
        <v>0</v>
      </c>
      <c r="AC362" s="12"/>
      <c r="AD362" s="10">
        <f>+Risultati!L361</f>
        <v>0</v>
      </c>
      <c r="AE362" s="12" t="str">
        <f t="shared" si="294"/>
        <v>0</v>
      </c>
      <c r="AF362" s="12"/>
      <c r="AG362" s="10">
        <f>+Risultati!M361+Risultati!P361+Risultati!Q361</f>
        <v>0</v>
      </c>
      <c r="AH362" s="12" t="str">
        <f t="shared" si="295"/>
        <v>0</v>
      </c>
      <c r="AI362" s="12"/>
      <c r="AJ362" s="13">
        <f t="shared" si="308"/>
        <v>0</v>
      </c>
      <c r="AK362" s="11" t="str">
        <f t="shared" si="296"/>
        <v>0</v>
      </c>
      <c r="AL362" s="12"/>
      <c r="AM362" s="10">
        <f>+Risultati!N361</f>
        <v>0</v>
      </c>
      <c r="AN362" s="12" t="str">
        <f t="shared" si="297"/>
        <v>0</v>
      </c>
      <c r="AO362" s="12"/>
      <c r="AP362" s="10">
        <f t="shared" si="309"/>
        <v>0</v>
      </c>
      <c r="AQ362" s="41" t="str">
        <f t="shared" si="298"/>
        <v>0</v>
      </c>
      <c r="AR362" s="12"/>
      <c r="AS362" s="10">
        <f>+Risultati!O361</f>
        <v>0</v>
      </c>
      <c r="AT362" s="12" t="str">
        <f t="shared" si="299"/>
        <v>0</v>
      </c>
      <c r="AU362" s="12"/>
      <c r="AV362" s="10">
        <f t="shared" si="310"/>
        <v>0</v>
      </c>
      <c r="AW362" s="12" t="str">
        <f t="shared" si="300"/>
        <v>0</v>
      </c>
      <c r="AX362" s="12"/>
      <c r="AY362" s="10">
        <f>+Risultati!R361+Risultati!S361</f>
        <v>0</v>
      </c>
      <c r="AZ362" s="12" t="str">
        <f t="shared" si="301"/>
        <v>0</v>
      </c>
      <c r="BA362" s="12"/>
      <c r="BB362" s="10">
        <f>+Risultati!T361</f>
        <v>0</v>
      </c>
      <c r="BC362" s="12" t="str">
        <f t="shared" si="302"/>
        <v>0</v>
      </c>
      <c r="BD362" s="12"/>
      <c r="BE362" s="10">
        <f>+Risultati!U361</f>
        <v>0</v>
      </c>
      <c r="BF362" s="12" t="str">
        <f t="shared" si="303"/>
        <v>0</v>
      </c>
      <c r="BG362" s="12"/>
      <c r="BH362" s="10">
        <f t="shared" si="311"/>
        <v>0</v>
      </c>
      <c r="BI362" s="12" t="str">
        <f t="shared" si="304"/>
        <v>0</v>
      </c>
      <c r="BK362" s="16">
        <f>IF(ISNUMBER(Risultati!X361/100),(Risultati!X361/100))</f>
        <v>0</v>
      </c>
      <c r="BL362" s="16">
        <f>IF(ISNUMBER(Risultati!Y361/100),(Risultati!Y361/100))</f>
        <v>0</v>
      </c>
      <c r="BM362" s="16">
        <f>IF(ISNUMBER(Risultati!Z361/100),(Risultati!Z361/100))</f>
        <v>0</v>
      </c>
      <c r="BN362" s="16">
        <f>IF(AND(Risultati!AY361&lt;0,calcoli!AP362&lt;0),-IF(ISNUMBER(Risultati!AA361/100),(Risultati!AA361/100)),IF(ISNUMBER(Risultati!AA361/100),(Risultati!AA361/100)))</f>
        <v>0</v>
      </c>
      <c r="BO362" s="16" t="str">
        <f t="shared" si="285"/>
        <v>0</v>
      </c>
      <c r="BP362" s="16" t="str">
        <f>IF(Risultati!AB361&gt;0,(AV362/Risultati!AB361),"0")</f>
        <v>0</v>
      </c>
      <c r="BQ362" s="16" t="str">
        <f>IF(Risultati!AG361&lt;&gt;0,(BH362/Risultati!AG361),"0")</f>
        <v>0</v>
      </c>
      <c r="BR362" s="16" t="str">
        <f t="shared" si="286"/>
        <v>0</v>
      </c>
      <c r="BS362" s="14" t="str">
        <f>IF(Risultati!AB361&gt;0,(Risultati!G361/Risultati!AB361),"0")</f>
        <v>0</v>
      </c>
      <c r="BT362" s="15" t="str">
        <f>IF(Risultati!AG361&lt;&gt;0,(Risultati!AB361/Risultati!AG361),"0")</f>
        <v>0</v>
      </c>
      <c r="BU362" s="23" t="str">
        <f>IF(AND(Risultati!G361&gt;0,(Risultati!AE361-Risultati!AF361)&gt;=0),((Risultati!AE361-Risultati!AF361)/Risultati!G361*360),"0")</f>
        <v>0</v>
      </c>
      <c r="BV362" s="21" t="str">
        <f>IF(OR(E362="abbreviato",Risultati!G361=0),"0",((Risultati!AC361+Risultati!AD361)/Risultati!G361*360))</f>
        <v>0</v>
      </c>
      <c r="BW362" s="21" t="str">
        <f>IF(OR(E362="abbreviato",Risultati!G361=0,SUM(Risultati!I361+Risultati!K361+Risultati!M361)=0),"0",(((Risultati!AH361+Risultati!AI361)/(Risultati!I361+Risultati!K361+Risultati!N361)*360)))</f>
        <v>0</v>
      </c>
      <c r="BX362" s="16" t="str">
        <f>IF(Risultati!AB361&gt;0,(+Risultati!AG361/Risultati!AB361),"0")</f>
        <v>0</v>
      </c>
      <c r="BY362" s="22" t="str">
        <f>IF(OR(E362="abbreviato",Risultati!G361=0),"0",(((Risultati!AK361-(Risultati!AL361+Risultati!AM361))/Risultati!G361)))</f>
        <v>0</v>
      </c>
      <c r="BZ362" s="16" t="str">
        <f>IF(Risultati!G361&gt;0,(Risultati!AJ361/Risultati!G361),"0")</f>
        <v>0</v>
      </c>
      <c r="CA362" s="8"/>
      <c r="CB362" s="9">
        <f>+Risultati!AP361</f>
        <v>0</v>
      </c>
      <c r="CC362" s="31" t="str">
        <f t="shared" si="312"/>
        <v>0</v>
      </c>
      <c r="CD362" s="9">
        <f>+Risultati!AQ361</f>
        <v>0</v>
      </c>
      <c r="CE362" s="31" t="str">
        <f t="shared" si="313"/>
        <v>0</v>
      </c>
      <c r="CF362" s="9">
        <f>+Risultati!AR361</f>
        <v>0</v>
      </c>
      <c r="CG362" s="31" t="str">
        <f t="shared" si="314"/>
        <v>0</v>
      </c>
      <c r="CH362" s="9">
        <f>+Risultati!AS361</f>
        <v>0</v>
      </c>
      <c r="CI362" s="31" t="str">
        <f t="shared" si="315"/>
        <v>0</v>
      </c>
      <c r="CJ362" s="9">
        <f t="shared" si="316"/>
        <v>0</v>
      </c>
      <c r="CK362" s="31" t="str">
        <f t="shared" si="317"/>
        <v>0</v>
      </c>
      <c r="CL362" s="10">
        <f>+Risultati!AE361+Risultati!AF361</f>
        <v>0</v>
      </c>
      <c r="CM362" s="31" t="str">
        <f t="shared" si="318"/>
        <v>0</v>
      </c>
      <c r="CN362" s="9">
        <f>+Risultati!AT361</f>
        <v>0</v>
      </c>
      <c r="CO362" s="31" t="str">
        <f t="shared" si="319"/>
        <v>0</v>
      </c>
      <c r="CP362" s="9">
        <f>+Risultati!AU361</f>
        <v>0</v>
      </c>
      <c r="CQ362" s="31" t="str">
        <f t="shared" si="320"/>
        <v>0</v>
      </c>
      <c r="CR362" s="9">
        <f>+Risultati!AL361</f>
        <v>0</v>
      </c>
      <c r="CS362" s="31" t="str">
        <f t="shared" si="321"/>
        <v>0</v>
      </c>
      <c r="CT362" s="9">
        <f t="shared" si="322"/>
        <v>0</v>
      </c>
      <c r="CU362" s="31" t="str">
        <f t="shared" si="323"/>
        <v>0</v>
      </c>
      <c r="CV362" s="9">
        <f>+Risultati!AX361</f>
        <v>0</v>
      </c>
      <c r="CW362" s="31" t="str">
        <f t="shared" si="324"/>
        <v>0</v>
      </c>
      <c r="CX362" s="9">
        <f t="shared" si="325"/>
        <v>0</v>
      </c>
      <c r="CY362" s="31" t="str">
        <f t="shared" si="326"/>
        <v>0</v>
      </c>
      <c r="CZ362" s="9">
        <f>+Risultati!AG361</f>
        <v>0</v>
      </c>
      <c r="DA362" s="31" t="str">
        <f t="shared" si="327"/>
        <v>0</v>
      </c>
      <c r="DB362" s="9">
        <f t="shared" si="328"/>
        <v>0</v>
      </c>
      <c r="DC362" s="31" t="str">
        <f t="shared" si="329"/>
        <v>0</v>
      </c>
      <c r="DD362" s="9">
        <f>+Risultati!AV361</f>
        <v>0</v>
      </c>
      <c r="DE362" s="31" t="str">
        <f t="shared" si="330"/>
        <v>0</v>
      </c>
      <c r="DF362" s="9">
        <f>+Risultati!AJ361</f>
        <v>0</v>
      </c>
      <c r="DG362" s="31" t="str">
        <f t="shared" si="331"/>
        <v>0</v>
      </c>
      <c r="DH362" s="9">
        <f t="shared" si="332"/>
        <v>0</v>
      </c>
      <c r="DI362" s="31" t="str">
        <f t="shared" si="333"/>
        <v>0</v>
      </c>
      <c r="DJ362" s="9">
        <f>+Risultati!AW361</f>
        <v>0</v>
      </c>
      <c r="DK362" s="31" t="str">
        <f t="shared" si="334"/>
        <v>0</v>
      </c>
      <c r="DL362" s="10">
        <f t="shared" si="305"/>
        <v>0</v>
      </c>
      <c r="DM362" s="31" t="str">
        <f t="shared" si="335"/>
        <v>0</v>
      </c>
      <c r="DO362" s="30"/>
      <c r="DP362" s="30"/>
    </row>
    <row r="363" spans="1:120" x14ac:dyDescent="0.2">
      <c r="A363" s="5"/>
      <c r="B363" s="6">
        <f>+Risultati!B362</f>
        <v>0</v>
      </c>
      <c r="C363" s="6">
        <f>+Risultati!C362</f>
        <v>0</v>
      </c>
      <c r="D363" s="26" t="str">
        <f>IF(YEAR(Risultati!D362)=1900,(MID(Risultati!$AP$1,29,4)),YEAR(Risultati!D362))</f>
        <v/>
      </c>
      <c r="E363" s="6">
        <f>+Risultati!E362</f>
        <v>0</v>
      </c>
      <c r="F363" s="8" t="e">
        <f>(LEFT(Risultati!AN362,2)&amp;"-")&amp;VLOOKUP((LEFT(Risultati!AN362,2)),ateco!$B$4:$C$93,2,FALSE)</f>
        <v>#N/A</v>
      </c>
      <c r="G363" s="8" t="str">
        <f>SUBSTITUTE((Risultati!AN362&amp;"-"&amp;Risultati!AO362),",",";")</f>
        <v>-</v>
      </c>
      <c r="I363" s="10">
        <f>+Risultati!G362</f>
        <v>0</v>
      </c>
      <c r="J363" s="11" t="str">
        <f t="shared" si="287"/>
        <v>0</v>
      </c>
      <c r="K363" s="12"/>
      <c r="L363" s="10">
        <f>+Risultati!G362+Risultati!H362</f>
        <v>0</v>
      </c>
      <c r="M363" s="11" t="str">
        <f t="shared" si="288"/>
        <v>0</v>
      </c>
      <c r="N363" s="12"/>
      <c r="O363" s="10">
        <f>+Risultati!I362+Risultati!J362</f>
        <v>0</v>
      </c>
      <c r="P363" s="11" t="str">
        <f t="shared" si="289"/>
        <v>0</v>
      </c>
      <c r="Q363" s="12"/>
      <c r="R363" s="13">
        <f t="shared" si="306"/>
        <v>0</v>
      </c>
      <c r="S363" s="11" t="str">
        <f t="shared" si="290"/>
        <v>0</v>
      </c>
      <c r="T363" s="12"/>
      <c r="U363" s="10">
        <f>+Risultati!F362-(Risultati!G362+Risultati!H362)</f>
        <v>0</v>
      </c>
      <c r="V363" s="12" t="str">
        <f t="shared" si="291"/>
        <v>0</v>
      </c>
      <c r="W363" s="12"/>
      <c r="X363" s="10">
        <f t="shared" si="307"/>
        <v>0</v>
      </c>
      <c r="Y363" s="12" t="str">
        <f t="shared" si="292"/>
        <v>0</v>
      </c>
      <c r="Z363" s="12"/>
      <c r="AA363" s="10">
        <f>+Risultati!K362</f>
        <v>0</v>
      </c>
      <c r="AB363" s="12" t="str">
        <f t="shared" si="293"/>
        <v>0</v>
      </c>
      <c r="AC363" s="12"/>
      <c r="AD363" s="10">
        <f>+Risultati!L362</f>
        <v>0</v>
      </c>
      <c r="AE363" s="12" t="str">
        <f t="shared" si="294"/>
        <v>0</v>
      </c>
      <c r="AF363" s="12"/>
      <c r="AG363" s="10">
        <f>+Risultati!M362+Risultati!P362+Risultati!Q362</f>
        <v>0</v>
      </c>
      <c r="AH363" s="12" t="str">
        <f t="shared" si="295"/>
        <v>0</v>
      </c>
      <c r="AI363" s="12"/>
      <c r="AJ363" s="13">
        <f t="shared" si="308"/>
        <v>0</v>
      </c>
      <c r="AK363" s="11" t="str">
        <f t="shared" si="296"/>
        <v>0</v>
      </c>
      <c r="AL363" s="12"/>
      <c r="AM363" s="10">
        <f>+Risultati!N362</f>
        <v>0</v>
      </c>
      <c r="AN363" s="12" t="str">
        <f t="shared" si="297"/>
        <v>0</v>
      </c>
      <c r="AO363" s="12"/>
      <c r="AP363" s="10">
        <f t="shared" si="309"/>
        <v>0</v>
      </c>
      <c r="AQ363" s="41" t="str">
        <f t="shared" si="298"/>
        <v>0</v>
      </c>
      <c r="AR363" s="12"/>
      <c r="AS363" s="10">
        <f>+Risultati!O362</f>
        <v>0</v>
      </c>
      <c r="AT363" s="12" t="str">
        <f t="shared" si="299"/>
        <v>0</v>
      </c>
      <c r="AU363" s="12"/>
      <c r="AV363" s="10">
        <f t="shared" si="310"/>
        <v>0</v>
      </c>
      <c r="AW363" s="12" t="str">
        <f t="shared" si="300"/>
        <v>0</v>
      </c>
      <c r="AX363" s="12"/>
      <c r="AY363" s="10">
        <f>+Risultati!R362+Risultati!S362</f>
        <v>0</v>
      </c>
      <c r="AZ363" s="12" t="str">
        <f t="shared" si="301"/>
        <v>0</v>
      </c>
      <c r="BA363" s="12"/>
      <c r="BB363" s="10">
        <f>+Risultati!T362</f>
        <v>0</v>
      </c>
      <c r="BC363" s="12" t="str">
        <f t="shared" si="302"/>
        <v>0</v>
      </c>
      <c r="BD363" s="12"/>
      <c r="BE363" s="10">
        <f>+Risultati!U362</f>
        <v>0</v>
      </c>
      <c r="BF363" s="12" t="str">
        <f t="shared" si="303"/>
        <v>0</v>
      </c>
      <c r="BG363" s="12"/>
      <c r="BH363" s="10">
        <f t="shared" si="311"/>
        <v>0</v>
      </c>
      <c r="BI363" s="12" t="str">
        <f t="shared" si="304"/>
        <v>0</v>
      </c>
      <c r="BK363" s="16">
        <f>IF(ISNUMBER(Risultati!X362/100),(Risultati!X362/100))</f>
        <v>0</v>
      </c>
      <c r="BL363" s="16">
        <f>IF(ISNUMBER(Risultati!Y362/100),(Risultati!Y362/100))</f>
        <v>0</v>
      </c>
      <c r="BM363" s="16">
        <f>IF(ISNUMBER(Risultati!Z362/100),(Risultati!Z362/100))</f>
        <v>0</v>
      </c>
      <c r="BN363" s="16">
        <f>IF(AND(Risultati!AY362&lt;0,calcoli!AP363&lt;0),-IF(ISNUMBER(Risultati!AA362/100),(Risultati!AA362/100)),IF(ISNUMBER(Risultati!AA362/100),(Risultati!AA362/100)))</f>
        <v>0</v>
      </c>
      <c r="BO363" s="16" t="str">
        <f t="shared" si="285"/>
        <v>0</v>
      </c>
      <c r="BP363" s="16" t="str">
        <f>IF(Risultati!AB362&gt;0,(AV363/Risultati!AB362),"0")</f>
        <v>0</v>
      </c>
      <c r="BQ363" s="16" t="str">
        <f>IF(Risultati!AG362&lt;&gt;0,(BH363/Risultati!AG362),"0")</f>
        <v>0</v>
      </c>
      <c r="BR363" s="16" t="str">
        <f t="shared" si="286"/>
        <v>0</v>
      </c>
      <c r="BS363" s="14" t="str">
        <f>IF(Risultati!AB362&gt;0,(Risultati!G362/Risultati!AB362),"0")</f>
        <v>0</v>
      </c>
      <c r="BT363" s="15" t="str">
        <f>IF(Risultati!AG362&lt;&gt;0,(Risultati!AB362/Risultati!AG362),"0")</f>
        <v>0</v>
      </c>
      <c r="BU363" s="23" t="str">
        <f>IF(AND(Risultati!G362&gt;0,(Risultati!AE362-Risultati!AF362)&gt;=0),((Risultati!AE362-Risultati!AF362)/Risultati!G362*360),"0")</f>
        <v>0</v>
      </c>
      <c r="BV363" s="21" t="str">
        <f>IF(OR(E363="abbreviato",Risultati!G362=0),"0",((Risultati!AC362+Risultati!AD362)/Risultati!G362*360))</f>
        <v>0</v>
      </c>
      <c r="BW363" s="21" t="str">
        <f>IF(OR(E363="abbreviato",Risultati!G362=0,SUM(Risultati!I362+Risultati!K362+Risultati!M362)=0),"0",(((Risultati!AH362+Risultati!AI362)/(Risultati!I362+Risultati!K362+Risultati!N362)*360)))</f>
        <v>0</v>
      </c>
      <c r="BX363" s="16" t="str">
        <f>IF(Risultati!AB362&gt;0,(+Risultati!AG362/Risultati!AB362),"0")</f>
        <v>0</v>
      </c>
      <c r="BY363" s="22" t="str">
        <f>IF(OR(E363="abbreviato",Risultati!G362=0),"0",(((Risultati!AK362-(Risultati!AL362+Risultati!AM362))/Risultati!G362)))</f>
        <v>0</v>
      </c>
      <c r="BZ363" s="16" t="str">
        <f>IF(Risultati!G362&gt;0,(Risultati!AJ362/Risultati!G362),"0")</f>
        <v>0</v>
      </c>
      <c r="CA363" s="8"/>
      <c r="CB363" s="9">
        <f>+Risultati!AP362</f>
        <v>0</v>
      </c>
      <c r="CC363" s="31" t="str">
        <f t="shared" si="312"/>
        <v>0</v>
      </c>
      <c r="CD363" s="9">
        <f>+Risultati!AQ362</f>
        <v>0</v>
      </c>
      <c r="CE363" s="31" t="str">
        <f t="shared" si="313"/>
        <v>0</v>
      </c>
      <c r="CF363" s="9">
        <f>+Risultati!AR362</f>
        <v>0</v>
      </c>
      <c r="CG363" s="31" t="str">
        <f t="shared" si="314"/>
        <v>0</v>
      </c>
      <c r="CH363" s="9">
        <f>+Risultati!AS362</f>
        <v>0</v>
      </c>
      <c r="CI363" s="31" t="str">
        <f t="shared" si="315"/>
        <v>0</v>
      </c>
      <c r="CJ363" s="9">
        <f t="shared" si="316"/>
        <v>0</v>
      </c>
      <c r="CK363" s="31" t="str">
        <f t="shared" si="317"/>
        <v>0</v>
      </c>
      <c r="CL363" s="10">
        <f>+Risultati!AE362+Risultati!AF362</f>
        <v>0</v>
      </c>
      <c r="CM363" s="31" t="str">
        <f t="shared" si="318"/>
        <v>0</v>
      </c>
      <c r="CN363" s="9">
        <f>+Risultati!AT362</f>
        <v>0</v>
      </c>
      <c r="CO363" s="31" t="str">
        <f t="shared" si="319"/>
        <v>0</v>
      </c>
      <c r="CP363" s="9">
        <f>+Risultati!AU362</f>
        <v>0</v>
      </c>
      <c r="CQ363" s="31" t="str">
        <f t="shared" si="320"/>
        <v>0</v>
      </c>
      <c r="CR363" s="9">
        <f>+Risultati!AL362</f>
        <v>0</v>
      </c>
      <c r="CS363" s="31" t="str">
        <f t="shared" si="321"/>
        <v>0</v>
      </c>
      <c r="CT363" s="9">
        <f t="shared" si="322"/>
        <v>0</v>
      </c>
      <c r="CU363" s="31" t="str">
        <f t="shared" si="323"/>
        <v>0</v>
      </c>
      <c r="CV363" s="9">
        <f>+Risultati!AX362</f>
        <v>0</v>
      </c>
      <c r="CW363" s="31" t="str">
        <f t="shared" si="324"/>
        <v>0</v>
      </c>
      <c r="CX363" s="9">
        <f t="shared" si="325"/>
        <v>0</v>
      </c>
      <c r="CY363" s="31" t="str">
        <f t="shared" si="326"/>
        <v>0</v>
      </c>
      <c r="CZ363" s="9">
        <f>+Risultati!AG362</f>
        <v>0</v>
      </c>
      <c r="DA363" s="31" t="str">
        <f t="shared" si="327"/>
        <v>0</v>
      </c>
      <c r="DB363" s="9">
        <f t="shared" si="328"/>
        <v>0</v>
      </c>
      <c r="DC363" s="31" t="str">
        <f t="shared" si="329"/>
        <v>0</v>
      </c>
      <c r="DD363" s="9">
        <f>+Risultati!AV362</f>
        <v>0</v>
      </c>
      <c r="DE363" s="31" t="str">
        <f t="shared" si="330"/>
        <v>0</v>
      </c>
      <c r="DF363" s="9">
        <f>+Risultati!AJ362</f>
        <v>0</v>
      </c>
      <c r="DG363" s="31" t="str">
        <f t="shared" si="331"/>
        <v>0</v>
      </c>
      <c r="DH363" s="9">
        <f t="shared" si="332"/>
        <v>0</v>
      </c>
      <c r="DI363" s="31" t="str">
        <f t="shared" si="333"/>
        <v>0</v>
      </c>
      <c r="DJ363" s="9">
        <f>+Risultati!AW362</f>
        <v>0</v>
      </c>
      <c r="DK363" s="31" t="str">
        <f t="shared" si="334"/>
        <v>0</v>
      </c>
      <c r="DL363" s="10">
        <f t="shared" si="305"/>
        <v>0</v>
      </c>
      <c r="DM363" s="31" t="str">
        <f t="shared" si="335"/>
        <v>0</v>
      </c>
      <c r="DO363" s="30"/>
      <c r="DP363" s="30"/>
    </row>
    <row r="364" spans="1:120" x14ac:dyDescent="0.2">
      <c r="A364" s="5"/>
      <c r="B364" s="6">
        <f>+Risultati!B363</f>
        <v>0</v>
      </c>
      <c r="C364" s="6">
        <f>+Risultati!C363</f>
        <v>0</v>
      </c>
      <c r="D364" s="26" t="str">
        <f>IF(YEAR(Risultati!D363)=1900,(MID(Risultati!$AP$1,29,4)),YEAR(Risultati!D363))</f>
        <v/>
      </c>
      <c r="E364" s="6">
        <f>+Risultati!E363</f>
        <v>0</v>
      </c>
      <c r="F364" s="8" t="e">
        <f>(LEFT(Risultati!AN363,2)&amp;"-")&amp;VLOOKUP((LEFT(Risultati!AN363,2)),ateco!$B$4:$C$93,2,FALSE)</f>
        <v>#N/A</v>
      </c>
      <c r="G364" s="8" t="str">
        <f>SUBSTITUTE((Risultati!AN363&amp;"-"&amp;Risultati!AO363),",",";")</f>
        <v>-</v>
      </c>
      <c r="I364" s="10">
        <f>+Risultati!G363</f>
        <v>0</v>
      </c>
      <c r="J364" s="11" t="str">
        <f t="shared" si="287"/>
        <v>0</v>
      </c>
      <c r="K364" s="12"/>
      <c r="L364" s="10">
        <f>+Risultati!G363+Risultati!H363</f>
        <v>0</v>
      </c>
      <c r="M364" s="11" t="str">
        <f t="shared" si="288"/>
        <v>0</v>
      </c>
      <c r="N364" s="12"/>
      <c r="O364" s="10">
        <f>+Risultati!I363+Risultati!J363</f>
        <v>0</v>
      </c>
      <c r="P364" s="11" t="str">
        <f t="shared" si="289"/>
        <v>0</v>
      </c>
      <c r="Q364" s="12"/>
      <c r="R364" s="13">
        <f t="shared" si="306"/>
        <v>0</v>
      </c>
      <c r="S364" s="11" t="str">
        <f t="shared" si="290"/>
        <v>0</v>
      </c>
      <c r="T364" s="12"/>
      <c r="U364" s="10">
        <f>+Risultati!F363-(Risultati!G363+Risultati!H363)</f>
        <v>0</v>
      </c>
      <c r="V364" s="12" t="str">
        <f t="shared" si="291"/>
        <v>0</v>
      </c>
      <c r="W364" s="12"/>
      <c r="X364" s="10">
        <f t="shared" si="307"/>
        <v>0</v>
      </c>
      <c r="Y364" s="12" t="str">
        <f t="shared" si="292"/>
        <v>0</v>
      </c>
      <c r="Z364" s="12"/>
      <c r="AA364" s="10">
        <f>+Risultati!K363</f>
        <v>0</v>
      </c>
      <c r="AB364" s="12" t="str">
        <f t="shared" si="293"/>
        <v>0</v>
      </c>
      <c r="AC364" s="12"/>
      <c r="AD364" s="10">
        <f>+Risultati!L363</f>
        <v>0</v>
      </c>
      <c r="AE364" s="12" t="str">
        <f t="shared" si="294"/>
        <v>0</v>
      </c>
      <c r="AF364" s="12"/>
      <c r="AG364" s="10">
        <f>+Risultati!M363+Risultati!P363+Risultati!Q363</f>
        <v>0</v>
      </c>
      <c r="AH364" s="12" t="str">
        <f t="shared" si="295"/>
        <v>0</v>
      </c>
      <c r="AI364" s="12"/>
      <c r="AJ364" s="13">
        <f t="shared" si="308"/>
        <v>0</v>
      </c>
      <c r="AK364" s="11" t="str">
        <f t="shared" si="296"/>
        <v>0</v>
      </c>
      <c r="AL364" s="12"/>
      <c r="AM364" s="10">
        <f>+Risultati!N363</f>
        <v>0</v>
      </c>
      <c r="AN364" s="12" t="str">
        <f t="shared" si="297"/>
        <v>0</v>
      </c>
      <c r="AO364" s="12"/>
      <c r="AP364" s="10">
        <f t="shared" si="309"/>
        <v>0</v>
      </c>
      <c r="AQ364" s="41" t="str">
        <f t="shared" si="298"/>
        <v>0</v>
      </c>
      <c r="AR364" s="12"/>
      <c r="AS364" s="10">
        <f>+Risultati!O363</f>
        <v>0</v>
      </c>
      <c r="AT364" s="12" t="str">
        <f t="shared" si="299"/>
        <v>0</v>
      </c>
      <c r="AU364" s="12"/>
      <c r="AV364" s="10">
        <f t="shared" si="310"/>
        <v>0</v>
      </c>
      <c r="AW364" s="12" t="str">
        <f t="shared" si="300"/>
        <v>0</v>
      </c>
      <c r="AX364" s="12"/>
      <c r="AY364" s="10">
        <f>+Risultati!R363+Risultati!S363</f>
        <v>0</v>
      </c>
      <c r="AZ364" s="12" t="str">
        <f t="shared" si="301"/>
        <v>0</v>
      </c>
      <c r="BA364" s="12"/>
      <c r="BB364" s="10">
        <f>+Risultati!T363</f>
        <v>0</v>
      </c>
      <c r="BC364" s="12" t="str">
        <f t="shared" si="302"/>
        <v>0</v>
      </c>
      <c r="BD364" s="12"/>
      <c r="BE364" s="10">
        <f>+Risultati!U363</f>
        <v>0</v>
      </c>
      <c r="BF364" s="12" t="str">
        <f t="shared" si="303"/>
        <v>0</v>
      </c>
      <c r="BG364" s="12"/>
      <c r="BH364" s="10">
        <f t="shared" si="311"/>
        <v>0</v>
      </c>
      <c r="BI364" s="12" t="str">
        <f t="shared" si="304"/>
        <v>0</v>
      </c>
      <c r="BK364" s="16">
        <f>IF(ISNUMBER(Risultati!X363/100),(Risultati!X363/100))</f>
        <v>0</v>
      </c>
      <c r="BL364" s="16">
        <f>IF(ISNUMBER(Risultati!Y363/100),(Risultati!Y363/100))</f>
        <v>0</v>
      </c>
      <c r="BM364" s="16">
        <f>IF(ISNUMBER(Risultati!Z363/100),(Risultati!Z363/100))</f>
        <v>0</v>
      </c>
      <c r="BN364" s="16">
        <f>IF(AND(Risultati!AY363&lt;0,calcoli!AP364&lt;0),-IF(ISNUMBER(Risultati!AA363/100),(Risultati!AA363/100)),IF(ISNUMBER(Risultati!AA363/100),(Risultati!AA363/100)))</f>
        <v>0</v>
      </c>
      <c r="BO364" s="16" t="str">
        <f t="shared" si="285"/>
        <v>0</v>
      </c>
      <c r="BP364" s="16" t="str">
        <f>IF(Risultati!AB363&gt;0,(AV364/Risultati!AB363),"0")</f>
        <v>0</v>
      </c>
      <c r="BQ364" s="16" t="str">
        <f>IF(Risultati!AG363&lt;&gt;0,(BH364/Risultati!AG363),"0")</f>
        <v>0</v>
      </c>
      <c r="BR364" s="16" t="str">
        <f t="shared" si="286"/>
        <v>0</v>
      </c>
      <c r="BS364" s="14" t="str">
        <f>IF(Risultati!AB363&gt;0,(Risultati!G363/Risultati!AB363),"0")</f>
        <v>0</v>
      </c>
      <c r="BT364" s="15" t="str">
        <f>IF(Risultati!AG363&lt;&gt;0,(Risultati!AB363/Risultati!AG363),"0")</f>
        <v>0</v>
      </c>
      <c r="BU364" s="23" t="str">
        <f>IF(AND(Risultati!G363&gt;0,(Risultati!AE363-Risultati!AF363)&gt;=0),((Risultati!AE363-Risultati!AF363)/Risultati!G363*360),"0")</f>
        <v>0</v>
      </c>
      <c r="BV364" s="21" t="str">
        <f>IF(OR(E364="abbreviato",Risultati!G363=0),"0",((Risultati!AC363+Risultati!AD363)/Risultati!G363*360))</f>
        <v>0</v>
      </c>
      <c r="BW364" s="21" t="str">
        <f>IF(OR(E364="abbreviato",Risultati!G363=0,SUM(Risultati!I363+Risultati!K363+Risultati!M363)=0),"0",(((Risultati!AH363+Risultati!AI363)/(Risultati!I363+Risultati!K363+Risultati!N363)*360)))</f>
        <v>0</v>
      </c>
      <c r="BX364" s="16" t="str">
        <f>IF(Risultati!AB363&gt;0,(+Risultati!AG363/Risultati!AB363),"0")</f>
        <v>0</v>
      </c>
      <c r="BY364" s="22" t="str">
        <f>IF(OR(E364="abbreviato",Risultati!G363=0),"0",(((Risultati!AK363-(Risultati!AL363+Risultati!AM363))/Risultati!G363)))</f>
        <v>0</v>
      </c>
      <c r="BZ364" s="16" t="str">
        <f>IF(Risultati!G363&gt;0,(Risultati!AJ363/Risultati!G363),"0")</f>
        <v>0</v>
      </c>
      <c r="CA364" s="8"/>
      <c r="CB364" s="9">
        <f>+Risultati!AP363</f>
        <v>0</v>
      </c>
      <c r="CC364" s="31" t="str">
        <f t="shared" si="312"/>
        <v>0</v>
      </c>
      <c r="CD364" s="9">
        <f>+Risultati!AQ363</f>
        <v>0</v>
      </c>
      <c r="CE364" s="31" t="str">
        <f t="shared" si="313"/>
        <v>0</v>
      </c>
      <c r="CF364" s="9">
        <f>+Risultati!AR363</f>
        <v>0</v>
      </c>
      <c r="CG364" s="31" t="str">
        <f t="shared" si="314"/>
        <v>0</v>
      </c>
      <c r="CH364" s="9">
        <f>+Risultati!AS363</f>
        <v>0</v>
      </c>
      <c r="CI364" s="31" t="str">
        <f t="shared" si="315"/>
        <v>0</v>
      </c>
      <c r="CJ364" s="9">
        <f t="shared" si="316"/>
        <v>0</v>
      </c>
      <c r="CK364" s="31" t="str">
        <f t="shared" si="317"/>
        <v>0</v>
      </c>
      <c r="CL364" s="10">
        <f>+Risultati!AE363+Risultati!AF363</f>
        <v>0</v>
      </c>
      <c r="CM364" s="31" t="str">
        <f t="shared" si="318"/>
        <v>0</v>
      </c>
      <c r="CN364" s="9">
        <f>+Risultati!AT363</f>
        <v>0</v>
      </c>
      <c r="CO364" s="31" t="str">
        <f t="shared" si="319"/>
        <v>0</v>
      </c>
      <c r="CP364" s="9">
        <f>+Risultati!AU363</f>
        <v>0</v>
      </c>
      <c r="CQ364" s="31" t="str">
        <f t="shared" si="320"/>
        <v>0</v>
      </c>
      <c r="CR364" s="9">
        <f>+Risultati!AL363</f>
        <v>0</v>
      </c>
      <c r="CS364" s="31" t="str">
        <f t="shared" si="321"/>
        <v>0</v>
      </c>
      <c r="CT364" s="9">
        <f t="shared" si="322"/>
        <v>0</v>
      </c>
      <c r="CU364" s="31" t="str">
        <f t="shared" si="323"/>
        <v>0</v>
      </c>
      <c r="CV364" s="9">
        <f>+Risultati!AX363</f>
        <v>0</v>
      </c>
      <c r="CW364" s="31" t="str">
        <f t="shared" si="324"/>
        <v>0</v>
      </c>
      <c r="CX364" s="9">
        <f t="shared" si="325"/>
        <v>0</v>
      </c>
      <c r="CY364" s="31" t="str">
        <f t="shared" si="326"/>
        <v>0</v>
      </c>
      <c r="CZ364" s="9">
        <f>+Risultati!AG363</f>
        <v>0</v>
      </c>
      <c r="DA364" s="31" t="str">
        <f t="shared" si="327"/>
        <v>0</v>
      </c>
      <c r="DB364" s="9">
        <f t="shared" si="328"/>
        <v>0</v>
      </c>
      <c r="DC364" s="31" t="str">
        <f t="shared" si="329"/>
        <v>0</v>
      </c>
      <c r="DD364" s="9">
        <f>+Risultati!AV363</f>
        <v>0</v>
      </c>
      <c r="DE364" s="31" t="str">
        <f t="shared" si="330"/>
        <v>0</v>
      </c>
      <c r="DF364" s="9">
        <f>+Risultati!AJ363</f>
        <v>0</v>
      </c>
      <c r="DG364" s="31" t="str">
        <f t="shared" si="331"/>
        <v>0</v>
      </c>
      <c r="DH364" s="9">
        <f t="shared" si="332"/>
        <v>0</v>
      </c>
      <c r="DI364" s="31" t="str">
        <f t="shared" si="333"/>
        <v>0</v>
      </c>
      <c r="DJ364" s="9">
        <f>+Risultati!AW363</f>
        <v>0</v>
      </c>
      <c r="DK364" s="31" t="str">
        <f t="shared" si="334"/>
        <v>0</v>
      </c>
      <c r="DL364" s="10">
        <f t="shared" si="305"/>
        <v>0</v>
      </c>
      <c r="DM364" s="31" t="str">
        <f t="shared" si="335"/>
        <v>0</v>
      </c>
      <c r="DO364" s="30"/>
      <c r="DP364" s="30"/>
    </row>
    <row r="365" spans="1:120" x14ac:dyDescent="0.2">
      <c r="A365" s="5"/>
      <c r="B365" s="6">
        <f>+Risultati!B364</f>
        <v>0</v>
      </c>
      <c r="C365" s="6">
        <f>+Risultati!C364</f>
        <v>0</v>
      </c>
      <c r="D365" s="26" t="str">
        <f>IF(YEAR(Risultati!D364)=1900,(MID(Risultati!$AP$1,29,4)),YEAR(Risultati!D364))</f>
        <v/>
      </c>
      <c r="E365" s="6">
        <f>+Risultati!E364</f>
        <v>0</v>
      </c>
      <c r="F365" s="8" t="e">
        <f>(LEFT(Risultati!AN364,2)&amp;"-")&amp;VLOOKUP((LEFT(Risultati!AN364,2)),ateco!$B$4:$C$93,2,FALSE)</f>
        <v>#N/A</v>
      </c>
      <c r="G365" s="8" t="str">
        <f>SUBSTITUTE((Risultati!AN364&amp;"-"&amp;Risultati!AO364),",",";")</f>
        <v>-</v>
      </c>
      <c r="I365" s="10">
        <f>+Risultati!G364</f>
        <v>0</v>
      </c>
      <c r="J365" s="11" t="str">
        <f t="shared" si="287"/>
        <v>0</v>
      </c>
      <c r="K365" s="12"/>
      <c r="L365" s="10">
        <f>+Risultati!G364+Risultati!H364</f>
        <v>0</v>
      </c>
      <c r="M365" s="11" t="str">
        <f t="shared" si="288"/>
        <v>0</v>
      </c>
      <c r="N365" s="12"/>
      <c r="O365" s="10">
        <f>+Risultati!I364+Risultati!J364</f>
        <v>0</v>
      </c>
      <c r="P365" s="11" t="str">
        <f t="shared" si="289"/>
        <v>0</v>
      </c>
      <c r="Q365" s="12"/>
      <c r="R365" s="13">
        <f t="shared" si="306"/>
        <v>0</v>
      </c>
      <c r="S365" s="11" t="str">
        <f t="shared" si="290"/>
        <v>0</v>
      </c>
      <c r="T365" s="12"/>
      <c r="U365" s="10">
        <f>+Risultati!F364-(Risultati!G364+Risultati!H364)</f>
        <v>0</v>
      </c>
      <c r="V365" s="12" t="str">
        <f t="shared" si="291"/>
        <v>0</v>
      </c>
      <c r="W365" s="12"/>
      <c r="X365" s="10">
        <f t="shared" si="307"/>
        <v>0</v>
      </c>
      <c r="Y365" s="12" t="str">
        <f t="shared" si="292"/>
        <v>0</v>
      </c>
      <c r="Z365" s="12"/>
      <c r="AA365" s="10">
        <f>+Risultati!K364</f>
        <v>0</v>
      </c>
      <c r="AB365" s="12" t="str">
        <f t="shared" si="293"/>
        <v>0</v>
      </c>
      <c r="AC365" s="12"/>
      <c r="AD365" s="10">
        <f>+Risultati!L364</f>
        <v>0</v>
      </c>
      <c r="AE365" s="12" t="str">
        <f t="shared" si="294"/>
        <v>0</v>
      </c>
      <c r="AF365" s="12"/>
      <c r="AG365" s="10">
        <f>+Risultati!M364+Risultati!P364+Risultati!Q364</f>
        <v>0</v>
      </c>
      <c r="AH365" s="12" t="str">
        <f t="shared" si="295"/>
        <v>0</v>
      </c>
      <c r="AI365" s="12"/>
      <c r="AJ365" s="13">
        <f t="shared" si="308"/>
        <v>0</v>
      </c>
      <c r="AK365" s="11" t="str">
        <f t="shared" si="296"/>
        <v>0</v>
      </c>
      <c r="AL365" s="12"/>
      <c r="AM365" s="10">
        <f>+Risultati!N364</f>
        <v>0</v>
      </c>
      <c r="AN365" s="12" t="str">
        <f t="shared" si="297"/>
        <v>0</v>
      </c>
      <c r="AO365" s="12"/>
      <c r="AP365" s="10">
        <f t="shared" si="309"/>
        <v>0</v>
      </c>
      <c r="AQ365" s="41" t="str">
        <f t="shared" si="298"/>
        <v>0</v>
      </c>
      <c r="AR365" s="12"/>
      <c r="AS365" s="10">
        <f>+Risultati!O364</f>
        <v>0</v>
      </c>
      <c r="AT365" s="12" t="str">
        <f t="shared" si="299"/>
        <v>0</v>
      </c>
      <c r="AU365" s="12"/>
      <c r="AV365" s="10">
        <f t="shared" si="310"/>
        <v>0</v>
      </c>
      <c r="AW365" s="12" t="str">
        <f t="shared" si="300"/>
        <v>0</v>
      </c>
      <c r="AX365" s="12"/>
      <c r="AY365" s="10">
        <f>+Risultati!R364+Risultati!S364</f>
        <v>0</v>
      </c>
      <c r="AZ365" s="12" t="str">
        <f t="shared" si="301"/>
        <v>0</v>
      </c>
      <c r="BA365" s="12"/>
      <c r="BB365" s="10">
        <f>+Risultati!T364</f>
        <v>0</v>
      </c>
      <c r="BC365" s="12" t="str">
        <f t="shared" si="302"/>
        <v>0</v>
      </c>
      <c r="BD365" s="12"/>
      <c r="BE365" s="10">
        <f>+Risultati!U364</f>
        <v>0</v>
      </c>
      <c r="BF365" s="12" t="str">
        <f t="shared" si="303"/>
        <v>0</v>
      </c>
      <c r="BG365" s="12"/>
      <c r="BH365" s="10">
        <f t="shared" si="311"/>
        <v>0</v>
      </c>
      <c r="BI365" s="12" t="str">
        <f t="shared" si="304"/>
        <v>0</v>
      </c>
      <c r="BK365" s="16">
        <f>IF(ISNUMBER(Risultati!X364/100),(Risultati!X364/100))</f>
        <v>0</v>
      </c>
      <c r="BL365" s="16">
        <f>IF(ISNUMBER(Risultati!Y364/100),(Risultati!Y364/100))</f>
        <v>0</v>
      </c>
      <c r="BM365" s="16">
        <f>IF(ISNUMBER(Risultati!Z364/100),(Risultati!Z364/100))</f>
        <v>0</v>
      </c>
      <c r="BN365" s="16">
        <f>IF(AND(Risultati!AY364&lt;0,calcoli!AP365&lt;0),-IF(ISNUMBER(Risultati!AA364/100),(Risultati!AA364/100)),IF(ISNUMBER(Risultati!AA364/100),(Risultati!AA364/100)))</f>
        <v>0</v>
      </c>
      <c r="BO365" s="16" t="str">
        <f t="shared" si="285"/>
        <v>0</v>
      </c>
      <c r="BP365" s="16" t="str">
        <f>IF(Risultati!AB364&gt;0,(AV365/Risultati!AB364),"0")</f>
        <v>0</v>
      </c>
      <c r="BQ365" s="16" t="str">
        <f>IF(Risultati!AG364&lt;&gt;0,(BH365/Risultati!AG364),"0")</f>
        <v>0</v>
      </c>
      <c r="BR365" s="16" t="str">
        <f t="shared" si="286"/>
        <v>0</v>
      </c>
      <c r="BS365" s="14" t="str">
        <f>IF(Risultati!AB364&gt;0,(Risultati!G364/Risultati!AB364),"0")</f>
        <v>0</v>
      </c>
      <c r="BT365" s="15" t="str">
        <f>IF(Risultati!AG364&lt;&gt;0,(Risultati!AB364/Risultati!AG364),"0")</f>
        <v>0</v>
      </c>
      <c r="BU365" s="23" t="str">
        <f>IF(AND(Risultati!G364&gt;0,(Risultati!AE364-Risultati!AF364)&gt;=0),((Risultati!AE364-Risultati!AF364)/Risultati!G364*360),"0")</f>
        <v>0</v>
      </c>
      <c r="BV365" s="21" t="str">
        <f>IF(OR(E365="abbreviato",Risultati!G364=0),"0",((Risultati!AC364+Risultati!AD364)/Risultati!G364*360))</f>
        <v>0</v>
      </c>
      <c r="BW365" s="21" t="str">
        <f>IF(OR(E365="abbreviato",Risultati!G364=0,SUM(Risultati!I364+Risultati!K364+Risultati!M364)=0),"0",(((Risultati!AH364+Risultati!AI364)/(Risultati!I364+Risultati!K364+Risultati!N364)*360)))</f>
        <v>0</v>
      </c>
      <c r="BX365" s="16" t="str">
        <f>IF(Risultati!AB364&gt;0,(+Risultati!AG364/Risultati!AB364),"0")</f>
        <v>0</v>
      </c>
      <c r="BY365" s="22" t="str">
        <f>IF(OR(E365="abbreviato",Risultati!G364=0),"0",(((Risultati!AK364-(Risultati!AL364+Risultati!AM364))/Risultati!G364)))</f>
        <v>0</v>
      </c>
      <c r="BZ365" s="16" t="str">
        <f>IF(Risultati!G364&gt;0,(Risultati!AJ364/Risultati!G364),"0")</f>
        <v>0</v>
      </c>
      <c r="CA365" s="8"/>
      <c r="CB365" s="9">
        <f>+Risultati!AP364</f>
        <v>0</v>
      </c>
      <c r="CC365" s="31" t="str">
        <f t="shared" si="312"/>
        <v>0</v>
      </c>
      <c r="CD365" s="9">
        <f>+Risultati!AQ364</f>
        <v>0</v>
      </c>
      <c r="CE365" s="31" t="str">
        <f t="shared" si="313"/>
        <v>0</v>
      </c>
      <c r="CF365" s="9">
        <f>+Risultati!AR364</f>
        <v>0</v>
      </c>
      <c r="CG365" s="31" t="str">
        <f t="shared" si="314"/>
        <v>0</v>
      </c>
      <c r="CH365" s="9">
        <f>+Risultati!AS364</f>
        <v>0</v>
      </c>
      <c r="CI365" s="31" t="str">
        <f t="shared" si="315"/>
        <v>0</v>
      </c>
      <c r="CJ365" s="9">
        <f t="shared" si="316"/>
        <v>0</v>
      </c>
      <c r="CK365" s="31" t="str">
        <f t="shared" si="317"/>
        <v>0</v>
      </c>
      <c r="CL365" s="10">
        <f>+Risultati!AE364+Risultati!AF364</f>
        <v>0</v>
      </c>
      <c r="CM365" s="31" t="str">
        <f t="shared" si="318"/>
        <v>0</v>
      </c>
      <c r="CN365" s="9">
        <f>+Risultati!AT364</f>
        <v>0</v>
      </c>
      <c r="CO365" s="31" t="str">
        <f t="shared" si="319"/>
        <v>0</v>
      </c>
      <c r="CP365" s="9">
        <f>+Risultati!AU364</f>
        <v>0</v>
      </c>
      <c r="CQ365" s="31" t="str">
        <f t="shared" si="320"/>
        <v>0</v>
      </c>
      <c r="CR365" s="9">
        <f>+Risultati!AL364</f>
        <v>0</v>
      </c>
      <c r="CS365" s="31" t="str">
        <f t="shared" si="321"/>
        <v>0</v>
      </c>
      <c r="CT365" s="9">
        <f t="shared" si="322"/>
        <v>0</v>
      </c>
      <c r="CU365" s="31" t="str">
        <f t="shared" si="323"/>
        <v>0</v>
      </c>
      <c r="CV365" s="9">
        <f>+Risultati!AX364</f>
        <v>0</v>
      </c>
      <c r="CW365" s="31" t="str">
        <f t="shared" si="324"/>
        <v>0</v>
      </c>
      <c r="CX365" s="9">
        <f t="shared" si="325"/>
        <v>0</v>
      </c>
      <c r="CY365" s="31" t="str">
        <f t="shared" si="326"/>
        <v>0</v>
      </c>
      <c r="CZ365" s="9">
        <f>+Risultati!AG364</f>
        <v>0</v>
      </c>
      <c r="DA365" s="31" t="str">
        <f t="shared" si="327"/>
        <v>0</v>
      </c>
      <c r="DB365" s="9">
        <f t="shared" si="328"/>
        <v>0</v>
      </c>
      <c r="DC365" s="31" t="str">
        <f t="shared" si="329"/>
        <v>0</v>
      </c>
      <c r="DD365" s="9">
        <f>+Risultati!AV364</f>
        <v>0</v>
      </c>
      <c r="DE365" s="31" t="str">
        <f t="shared" si="330"/>
        <v>0</v>
      </c>
      <c r="DF365" s="9">
        <f>+Risultati!AJ364</f>
        <v>0</v>
      </c>
      <c r="DG365" s="31" t="str">
        <f t="shared" si="331"/>
        <v>0</v>
      </c>
      <c r="DH365" s="9">
        <f t="shared" si="332"/>
        <v>0</v>
      </c>
      <c r="DI365" s="31" t="str">
        <f t="shared" si="333"/>
        <v>0</v>
      </c>
      <c r="DJ365" s="9">
        <f>+Risultati!AW364</f>
        <v>0</v>
      </c>
      <c r="DK365" s="31" t="str">
        <f t="shared" si="334"/>
        <v>0</v>
      </c>
      <c r="DL365" s="10">
        <f t="shared" si="305"/>
        <v>0</v>
      </c>
      <c r="DM365" s="31" t="str">
        <f t="shared" si="335"/>
        <v>0</v>
      </c>
      <c r="DO365" s="30"/>
      <c r="DP365" s="30"/>
    </row>
    <row r="366" spans="1:120" x14ac:dyDescent="0.2">
      <c r="A366" s="5"/>
      <c r="B366" s="6">
        <f>+Risultati!B365</f>
        <v>0</v>
      </c>
      <c r="C366" s="6">
        <f>+Risultati!C365</f>
        <v>0</v>
      </c>
      <c r="D366" s="26" t="str">
        <f>IF(YEAR(Risultati!D365)=1900,(MID(Risultati!$AP$1,29,4)),YEAR(Risultati!D365))</f>
        <v/>
      </c>
      <c r="E366" s="6">
        <f>+Risultati!E365</f>
        <v>0</v>
      </c>
      <c r="F366" s="8" t="e">
        <f>(LEFT(Risultati!AN365,2)&amp;"-")&amp;VLOOKUP((LEFT(Risultati!AN365,2)),ateco!$B$4:$C$93,2,FALSE)</f>
        <v>#N/A</v>
      </c>
      <c r="G366" s="8" t="str">
        <f>SUBSTITUTE((Risultati!AN365&amp;"-"&amp;Risultati!AO365),",",";")</f>
        <v>-</v>
      </c>
      <c r="I366" s="10">
        <f>+Risultati!G365</f>
        <v>0</v>
      </c>
      <c r="J366" s="11" t="str">
        <f t="shared" si="287"/>
        <v>0</v>
      </c>
      <c r="K366" s="12"/>
      <c r="L366" s="10">
        <f>+Risultati!G365+Risultati!H365</f>
        <v>0</v>
      </c>
      <c r="M366" s="11" t="str">
        <f t="shared" si="288"/>
        <v>0</v>
      </c>
      <c r="N366" s="12"/>
      <c r="O366" s="10">
        <f>+Risultati!I365+Risultati!J365</f>
        <v>0</v>
      </c>
      <c r="P366" s="11" t="str">
        <f t="shared" si="289"/>
        <v>0</v>
      </c>
      <c r="Q366" s="12"/>
      <c r="R366" s="13">
        <f t="shared" si="306"/>
        <v>0</v>
      </c>
      <c r="S366" s="11" t="str">
        <f t="shared" si="290"/>
        <v>0</v>
      </c>
      <c r="T366" s="12"/>
      <c r="U366" s="10">
        <f>+Risultati!F365-(Risultati!G365+Risultati!H365)</f>
        <v>0</v>
      </c>
      <c r="V366" s="12" t="str">
        <f t="shared" si="291"/>
        <v>0</v>
      </c>
      <c r="W366" s="12"/>
      <c r="X366" s="10">
        <f t="shared" si="307"/>
        <v>0</v>
      </c>
      <c r="Y366" s="12" t="str">
        <f t="shared" si="292"/>
        <v>0</v>
      </c>
      <c r="Z366" s="12"/>
      <c r="AA366" s="10">
        <f>+Risultati!K365</f>
        <v>0</v>
      </c>
      <c r="AB366" s="12" t="str">
        <f t="shared" si="293"/>
        <v>0</v>
      </c>
      <c r="AC366" s="12"/>
      <c r="AD366" s="10">
        <f>+Risultati!L365</f>
        <v>0</v>
      </c>
      <c r="AE366" s="12" t="str">
        <f t="shared" si="294"/>
        <v>0</v>
      </c>
      <c r="AF366" s="12"/>
      <c r="AG366" s="10">
        <f>+Risultati!M365+Risultati!P365+Risultati!Q365</f>
        <v>0</v>
      </c>
      <c r="AH366" s="12" t="str">
        <f t="shared" si="295"/>
        <v>0</v>
      </c>
      <c r="AI366" s="12"/>
      <c r="AJ366" s="13">
        <f t="shared" si="308"/>
        <v>0</v>
      </c>
      <c r="AK366" s="11" t="str">
        <f t="shared" si="296"/>
        <v>0</v>
      </c>
      <c r="AL366" s="12"/>
      <c r="AM366" s="10">
        <f>+Risultati!N365</f>
        <v>0</v>
      </c>
      <c r="AN366" s="12" t="str">
        <f t="shared" si="297"/>
        <v>0</v>
      </c>
      <c r="AO366" s="12"/>
      <c r="AP366" s="10">
        <f t="shared" si="309"/>
        <v>0</v>
      </c>
      <c r="AQ366" s="41" t="str">
        <f t="shared" si="298"/>
        <v>0</v>
      </c>
      <c r="AR366" s="12"/>
      <c r="AS366" s="10">
        <f>+Risultati!O365</f>
        <v>0</v>
      </c>
      <c r="AT366" s="12" t="str">
        <f t="shared" si="299"/>
        <v>0</v>
      </c>
      <c r="AU366" s="12"/>
      <c r="AV366" s="10">
        <f t="shared" si="310"/>
        <v>0</v>
      </c>
      <c r="AW366" s="12" t="str">
        <f t="shared" si="300"/>
        <v>0</v>
      </c>
      <c r="AX366" s="12"/>
      <c r="AY366" s="10">
        <f>+Risultati!R365+Risultati!S365</f>
        <v>0</v>
      </c>
      <c r="AZ366" s="12" t="str">
        <f t="shared" si="301"/>
        <v>0</v>
      </c>
      <c r="BA366" s="12"/>
      <c r="BB366" s="10">
        <f>+Risultati!T365</f>
        <v>0</v>
      </c>
      <c r="BC366" s="12" t="str">
        <f t="shared" si="302"/>
        <v>0</v>
      </c>
      <c r="BD366" s="12"/>
      <c r="BE366" s="10">
        <f>+Risultati!U365</f>
        <v>0</v>
      </c>
      <c r="BF366" s="12" t="str">
        <f t="shared" si="303"/>
        <v>0</v>
      </c>
      <c r="BG366" s="12"/>
      <c r="BH366" s="10">
        <f t="shared" si="311"/>
        <v>0</v>
      </c>
      <c r="BI366" s="12" t="str">
        <f t="shared" si="304"/>
        <v>0</v>
      </c>
      <c r="BK366" s="16">
        <f>IF(ISNUMBER(Risultati!X365/100),(Risultati!X365/100))</f>
        <v>0</v>
      </c>
      <c r="BL366" s="16">
        <f>IF(ISNUMBER(Risultati!Y365/100),(Risultati!Y365/100))</f>
        <v>0</v>
      </c>
      <c r="BM366" s="16">
        <f>IF(ISNUMBER(Risultati!Z365/100),(Risultati!Z365/100))</f>
        <v>0</v>
      </c>
      <c r="BN366" s="16">
        <f>IF(AND(Risultati!AY365&lt;0,calcoli!AP366&lt;0),-IF(ISNUMBER(Risultati!AA365/100),(Risultati!AA365/100)),IF(ISNUMBER(Risultati!AA365/100),(Risultati!AA365/100)))</f>
        <v>0</v>
      </c>
      <c r="BO366" s="16" t="str">
        <f t="shared" si="285"/>
        <v>0</v>
      </c>
      <c r="BP366" s="16" t="str">
        <f>IF(Risultati!AB365&gt;0,(AV366/Risultati!AB365),"0")</f>
        <v>0</v>
      </c>
      <c r="BQ366" s="16" t="str">
        <f>IF(Risultati!AG365&lt;&gt;0,(BH366/Risultati!AG365),"0")</f>
        <v>0</v>
      </c>
      <c r="BR366" s="16" t="str">
        <f t="shared" si="286"/>
        <v>0</v>
      </c>
      <c r="BS366" s="14" t="str">
        <f>IF(Risultati!AB365&gt;0,(Risultati!G365/Risultati!AB365),"0")</f>
        <v>0</v>
      </c>
      <c r="BT366" s="15" t="str">
        <f>IF(Risultati!AG365&lt;&gt;0,(Risultati!AB365/Risultati!AG365),"0")</f>
        <v>0</v>
      </c>
      <c r="BU366" s="23" t="str">
        <f>IF(AND(Risultati!G365&gt;0,(Risultati!AE365-Risultati!AF365)&gt;=0),((Risultati!AE365-Risultati!AF365)/Risultati!G365*360),"0")</f>
        <v>0</v>
      </c>
      <c r="BV366" s="21" t="str">
        <f>IF(OR(E366="abbreviato",Risultati!G365=0),"0",((Risultati!AC365+Risultati!AD365)/Risultati!G365*360))</f>
        <v>0</v>
      </c>
      <c r="BW366" s="21" t="str">
        <f>IF(OR(E366="abbreviato",Risultati!G365=0,SUM(Risultati!I365+Risultati!K365+Risultati!M365)=0),"0",(((Risultati!AH365+Risultati!AI365)/(Risultati!I365+Risultati!K365+Risultati!N365)*360)))</f>
        <v>0</v>
      </c>
      <c r="BX366" s="16" t="str">
        <f>IF(Risultati!AB365&gt;0,(+Risultati!AG365/Risultati!AB365),"0")</f>
        <v>0</v>
      </c>
      <c r="BY366" s="22" t="str">
        <f>IF(OR(E366="abbreviato",Risultati!G365=0),"0",(((Risultati!AK365-(Risultati!AL365+Risultati!AM365))/Risultati!G365)))</f>
        <v>0</v>
      </c>
      <c r="BZ366" s="16" t="str">
        <f>IF(Risultati!G365&gt;0,(Risultati!AJ365/Risultati!G365),"0")</f>
        <v>0</v>
      </c>
      <c r="CA366" s="8"/>
      <c r="CB366" s="9">
        <f>+Risultati!AP365</f>
        <v>0</v>
      </c>
      <c r="CC366" s="31" t="str">
        <f t="shared" si="312"/>
        <v>0</v>
      </c>
      <c r="CD366" s="9">
        <f>+Risultati!AQ365</f>
        <v>0</v>
      </c>
      <c r="CE366" s="31" t="str">
        <f t="shared" si="313"/>
        <v>0</v>
      </c>
      <c r="CF366" s="9">
        <f>+Risultati!AR365</f>
        <v>0</v>
      </c>
      <c r="CG366" s="31" t="str">
        <f t="shared" si="314"/>
        <v>0</v>
      </c>
      <c r="CH366" s="9">
        <f>+Risultati!AS365</f>
        <v>0</v>
      </c>
      <c r="CI366" s="31" t="str">
        <f t="shared" si="315"/>
        <v>0</v>
      </c>
      <c r="CJ366" s="9">
        <f t="shared" si="316"/>
        <v>0</v>
      </c>
      <c r="CK366" s="31" t="str">
        <f t="shared" si="317"/>
        <v>0</v>
      </c>
      <c r="CL366" s="10">
        <f>+Risultati!AE365+Risultati!AF365</f>
        <v>0</v>
      </c>
      <c r="CM366" s="31" t="str">
        <f t="shared" si="318"/>
        <v>0</v>
      </c>
      <c r="CN366" s="9">
        <f>+Risultati!AT365</f>
        <v>0</v>
      </c>
      <c r="CO366" s="31" t="str">
        <f t="shared" si="319"/>
        <v>0</v>
      </c>
      <c r="CP366" s="9">
        <f>+Risultati!AU365</f>
        <v>0</v>
      </c>
      <c r="CQ366" s="31" t="str">
        <f t="shared" si="320"/>
        <v>0</v>
      </c>
      <c r="CR366" s="9">
        <f>+Risultati!AL365</f>
        <v>0</v>
      </c>
      <c r="CS366" s="31" t="str">
        <f t="shared" si="321"/>
        <v>0</v>
      </c>
      <c r="CT366" s="9">
        <f t="shared" si="322"/>
        <v>0</v>
      </c>
      <c r="CU366" s="31" t="str">
        <f t="shared" si="323"/>
        <v>0</v>
      </c>
      <c r="CV366" s="9">
        <f>+Risultati!AX365</f>
        <v>0</v>
      </c>
      <c r="CW366" s="31" t="str">
        <f t="shared" si="324"/>
        <v>0</v>
      </c>
      <c r="CX366" s="9">
        <f t="shared" si="325"/>
        <v>0</v>
      </c>
      <c r="CY366" s="31" t="str">
        <f t="shared" si="326"/>
        <v>0</v>
      </c>
      <c r="CZ366" s="9">
        <f>+Risultati!AG365</f>
        <v>0</v>
      </c>
      <c r="DA366" s="31" t="str">
        <f t="shared" si="327"/>
        <v>0</v>
      </c>
      <c r="DB366" s="9">
        <f t="shared" si="328"/>
        <v>0</v>
      </c>
      <c r="DC366" s="31" t="str">
        <f t="shared" si="329"/>
        <v>0</v>
      </c>
      <c r="DD366" s="9">
        <f>+Risultati!AV365</f>
        <v>0</v>
      </c>
      <c r="DE366" s="31" t="str">
        <f t="shared" si="330"/>
        <v>0</v>
      </c>
      <c r="DF366" s="9">
        <f>+Risultati!AJ365</f>
        <v>0</v>
      </c>
      <c r="DG366" s="31" t="str">
        <f t="shared" si="331"/>
        <v>0</v>
      </c>
      <c r="DH366" s="9">
        <f t="shared" si="332"/>
        <v>0</v>
      </c>
      <c r="DI366" s="31" t="str">
        <f t="shared" si="333"/>
        <v>0</v>
      </c>
      <c r="DJ366" s="9">
        <f>+Risultati!AW365</f>
        <v>0</v>
      </c>
      <c r="DK366" s="31" t="str">
        <f t="shared" si="334"/>
        <v>0</v>
      </c>
      <c r="DL366" s="10">
        <f t="shared" si="305"/>
        <v>0</v>
      </c>
      <c r="DM366" s="31" t="str">
        <f t="shared" si="335"/>
        <v>0</v>
      </c>
      <c r="DO366" s="30"/>
      <c r="DP366" s="30"/>
    </row>
    <row r="367" spans="1:120" x14ac:dyDescent="0.2">
      <c r="A367" s="5"/>
      <c r="B367" s="6">
        <f>+Risultati!B366</f>
        <v>0</v>
      </c>
      <c r="C367" s="6">
        <f>+Risultati!C366</f>
        <v>0</v>
      </c>
      <c r="D367" s="26" t="str">
        <f>IF(YEAR(Risultati!D366)=1900,(MID(Risultati!$AP$1,29,4)),YEAR(Risultati!D366))</f>
        <v/>
      </c>
      <c r="E367" s="6">
        <f>+Risultati!E366</f>
        <v>0</v>
      </c>
      <c r="F367" s="8" t="e">
        <f>(LEFT(Risultati!AN366,2)&amp;"-")&amp;VLOOKUP((LEFT(Risultati!AN366,2)),ateco!$B$4:$C$93,2,FALSE)</f>
        <v>#N/A</v>
      </c>
      <c r="G367" s="8" t="str">
        <f>SUBSTITUTE((Risultati!AN366&amp;"-"&amp;Risultati!AO366),",",";")</f>
        <v>-</v>
      </c>
      <c r="I367" s="10">
        <f>+Risultati!G366</f>
        <v>0</v>
      </c>
      <c r="J367" s="11" t="str">
        <f t="shared" si="287"/>
        <v>0</v>
      </c>
      <c r="K367" s="12"/>
      <c r="L367" s="10">
        <f>+Risultati!G366+Risultati!H366</f>
        <v>0</v>
      </c>
      <c r="M367" s="11" t="str">
        <f t="shared" si="288"/>
        <v>0</v>
      </c>
      <c r="N367" s="12"/>
      <c r="O367" s="10">
        <f>+Risultati!I366+Risultati!J366</f>
        <v>0</v>
      </c>
      <c r="P367" s="11" t="str">
        <f t="shared" si="289"/>
        <v>0</v>
      </c>
      <c r="Q367" s="12"/>
      <c r="R367" s="13">
        <f t="shared" si="306"/>
        <v>0</v>
      </c>
      <c r="S367" s="11" t="str">
        <f t="shared" si="290"/>
        <v>0</v>
      </c>
      <c r="T367" s="12"/>
      <c r="U367" s="10">
        <f>+Risultati!F366-(Risultati!G366+Risultati!H366)</f>
        <v>0</v>
      </c>
      <c r="V367" s="12" t="str">
        <f t="shared" si="291"/>
        <v>0</v>
      </c>
      <c r="W367" s="12"/>
      <c r="X367" s="10">
        <f t="shared" si="307"/>
        <v>0</v>
      </c>
      <c r="Y367" s="12" t="str">
        <f t="shared" si="292"/>
        <v>0</v>
      </c>
      <c r="Z367" s="12"/>
      <c r="AA367" s="10">
        <f>+Risultati!K366</f>
        <v>0</v>
      </c>
      <c r="AB367" s="12" t="str">
        <f t="shared" si="293"/>
        <v>0</v>
      </c>
      <c r="AC367" s="12"/>
      <c r="AD367" s="10">
        <f>+Risultati!L366</f>
        <v>0</v>
      </c>
      <c r="AE367" s="12" t="str">
        <f t="shared" si="294"/>
        <v>0</v>
      </c>
      <c r="AF367" s="12"/>
      <c r="AG367" s="10">
        <f>+Risultati!M366+Risultati!P366+Risultati!Q366</f>
        <v>0</v>
      </c>
      <c r="AH367" s="12" t="str">
        <f t="shared" si="295"/>
        <v>0</v>
      </c>
      <c r="AI367" s="12"/>
      <c r="AJ367" s="13">
        <f t="shared" si="308"/>
        <v>0</v>
      </c>
      <c r="AK367" s="11" t="str">
        <f t="shared" si="296"/>
        <v>0</v>
      </c>
      <c r="AL367" s="12"/>
      <c r="AM367" s="10">
        <f>+Risultati!N366</f>
        <v>0</v>
      </c>
      <c r="AN367" s="12" t="str">
        <f t="shared" si="297"/>
        <v>0</v>
      </c>
      <c r="AO367" s="12"/>
      <c r="AP367" s="10">
        <f t="shared" si="309"/>
        <v>0</v>
      </c>
      <c r="AQ367" s="41" t="str">
        <f t="shared" si="298"/>
        <v>0</v>
      </c>
      <c r="AR367" s="12"/>
      <c r="AS367" s="10">
        <f>+Risultati!O366</f>
        <v>0</v>
      </c>
      <c r="AT367" s="12" t="str">
        <f t="shared" si="299"/>
        <v>0</v>
      </c>
      <c r="AU367" s="12"/>
      <c r="AV367" s="10">
        <f t="shared" si="310"/>
        <v>0</v>
      </c>
      <c r="AW367" s="12" t="str">
        <f t="shared" si="300"/>
        <v>0</v>
      </c>
      <c r="AX367" s="12"/>
      <c r="AY367" s="10">
        <f>+Risultati!R366+Risultati!S366</f>
        <v>0</v>
      </c>
      <c r="AZ367" s="12" t="str">
        <f t="shared" si="301"/>
        <v>0</v>
      </c>
      <c r="BA367" s="12"/>
      <c r="BB367" s="10">
        <f>+Risultati!T366</f>
        <v>0</v>
      </c>
      <c r="BC367" s="12" t="str">
        <f t="shared" si="302"/>
        <v>0</v>
      </c>
      <c r="BD367" s="12"/>
      <c r="BE367" s="10">
        <f>+Risultati!U366</f>
        <v>0</v>
      </c>
      <c r="BF367" s="12" t="str">
        <f t="shared" si="303"/>
        <v>0</v>
      </c>
      <c r="BG367" s="12"/>
      <c r="BH367" s="10">
        <f t="shared" si="311"/>
        <v>0</v>
      </c>
      <c r="BI367" s="12" t="str">
        <f t="shared" si="304"/>
        <v>0</v>
      </c>
      <c r="BK367" s="16">
        <f>IF(ISNUMBER(Risultati!X366/100),(Risultati!X366/100))</f>
        <v>0</v>
      </c>
      <c r="BL367" s="16">
        <f>IF(ISNUMBER(Risultati!Y366/100),(Risultati!Y366/100))</f>
        <v>0</v>
      </c>
      <c r="BM367" s="16">
        <f>IF(ISNUMBER(Risultati!Z366/100),(Risultati!Z366/100))</f>
        <v>0</v>
      </c>
      <c r="BN367" s="16">
        <f>IF(AND(Risultati!AY366&lt;0,calcoli!AP367&lt;0),-IF(ISNUMBER(Risultati!AA366/100),(Risultati!AA366/100)),IF(ISNUMBER(Risultati!AA366/100),(Risultati!AA366/100)))</f>
        <v>0</v>
      </c>
      <c r="BO367" s="16" t="str">
        <f t="shared" si="285"/>
        <v>0</v>
      </c>
      <c r="BP367" s="16" t="str">
        <f>IF(Risultati!AB366&gt;0,(AV367/Risultati!AB366),"0")</f>
        <v>0</v>
      </c>
      <c r="BQ367" s="16" t="str">
        <f>IF(Risultati!AG366&lt;&gt;0,(BH367/Risultati!AG366),"0")</f>
        <v>0</v>
      </c>
      <c r="BR367" s="16" t="str">
        <f t="shared" si="286"/>
        <v>0</v>
      </c>
      <c r="BS367" s="14" t="str">
        <f>IF(Risultati!AB366&gt;0,(Risultati!G366/Risultati!AB366),"0")</f>
        <v>0</v>
      </c>
      <c r="BT367" s="15" t="str">
        <f>IF(Risultati!AG366&lt;&gt;0,(Risultati!AB366/Risultati!AG366),"0")</f>
        <v>0</v>
      </c>
      <c r="BU367" s="23" t="str">
        <f>IF(AND(Risultati!G366&gt;0,(Risultati!AE366-Risultati!AF366)&gt;=0),((Risultati!AE366-Risultati!AF366)/Risultati!G366*360),"0")</f>
        <v>0</v>
      </c>
      <c r="BV367" s="21" t="str">
        <f>IF(OR(E367="abbreviato",Risultati!G366=0),"0",((Risultati!AC366+Risultati!AD366)/Risultati!G366*360))</f>
        <v>0</v>
      </c>
      <c r="BW367" s="21" t="str">
        <f>IF(OR(E367="abbreviato",Risultati!G366=0,SUM(Risultati!I366+Risultati!K366+Risultati!M366)=0),"0",(((Risultati!AH366+Risultati!AI366)/(Risultati!I366+Risultati!K366+Risultati!N366)*360)))</f>
        <v>0</v>
      </c>
      <c r="BX367" s="16" t="str">
        <f>IF(Risultati!AB366&gt;0,(+Risultati!AG366/Risultati!AB366),"0")</f>
        <v>0</v>
      </c>
      <c r="BY367" s="22" t="str">
        <f>IF(OR(E367="abbreviato",Risultati!G366=0),"0",(((Risultati!AK366-(Risultati!AL366+Risultati!AM366))/Risultati!G366)))</f>
        <v>0</v>
      </c>
      <c r="BZ367" s="16" t="str">
        <f>IF(Risultati!G366&gt;0,(Risultati!AJ366/Risultati!G366),"0")</f>
        <v>0</v>
      </c>
      <c r="CA367" s="8"/>
      <c r="CB367" s="9">
        <f>+Risultati!AP366</f>
        <v>0</v>
      </c>
      <c r="CC367" s="31" t="str">
        <f t="shared" si="312"/>
        <v>0</v>
      </c>
      <c r="CD367" s="9">
        <f>+Risultati!AQ366</f>
        <v>0</v>
      </c>
      <c r="CE367" s="31" t="str">
        <f t="shared" si="313"/>
        <v>0</v>
      </c>
      <c r="CF367" s="9">
        <f>+Risultati!AR366</f>
        <v>0</v>
      </c>
      <c r="CG367" s="31" t="str">
        <f t="shared" si="314"/>
        <v>0</v>
      </c>
      <c r="CH367" s="9">
        <f>+Risultati!AS366</f>
        <v>0</v>
      </c>
      <c r="CI367" s="31" t="str">
        <f t="shared" si="315"/>
        <v>0</v>
      </c>
      <c r="CJ367" s="9">
        <f t="shared" si="316"/>
        <v>0</v>
      </c>
      <c r="CK367" s="31" t="str">
        <f t="shared" si="317"/>
        <v>0</v>
      </c>
      <c r="CL367" s="10">
        <f>+Risultati!AE366+Risultati!AF366</f>
        <v>0</v>
      </c>
      <c r="CM367" s="31" t="str">
        <f t="shared" si="318"/>
        <v>0</v>
      </c>
      <c r="CN367" s="9">
        <f>+Risultati!AT366</f>
        <v>0</v>
      </c>
      <c r="CO367" s="31" t="str">
        <f t="shared" si="319"/>
        <v>0</v>
      </c>
      <c r="CP367" s="9">
        <f>+Risultati!AU366</f>
        <v>0</v>
      </c>
      <c r="CQ367" s="31" t="str">
        <f t="shared" si="320"/>
        <v>0</v>
      </c>
      <c r="CR367" s="9">
        <f>+Risultati!AL366</f>
        <v>0</v>
      </c>
      <c r="CS367" s="31" t="str">
        <f t="shared" si="321"/>
        <v>0</v>
      </c>
      <c r="CT367" s="9">
        <f t="shared" si="322"/>
        <v>0</v>
      </c>
      <c r="CU367" s="31" t="str">
        <f t="shared" si="323"/>
        <v>0</v>
      </c>
      <c r="CV367" s="9">
        <f>+Risultati!AX366</f>
        <v>0</v>
      </c>
      <c r="CW367" s="31" t="str">
        <f t="shared" si="324"/>
        <v>0</v>
      </c>
      <c r="CX367" s="9">
        <f t="shared" si="325"/>
        <v>0</v>
      </c>
      <c r="CY367" s="31" t="str">
        <f t="shared" si="326"/>
        <v>0</v>
      </c>
      <c r="CZ367" s="9">
        <f>+Risultati!AG366</f>
        <v>0</v>
      </c>
      <c r="DA367" s="31" t="str">
        <f t="shared" si="327"/>
        <v>0</v>
      </c>
      <c r="DB367" s="9">
        <f t="shared" si="328"/>
        <v>0</v>
      </c>
      <c r="DC367" s="31" t="str">
        <f t="shared" si="329"/>
        <v>0</v>
      </c>
      <c r="DD367" s="9">
        <f>+Risultati!AV366</f>
        <v>0</v>
      </c>
      <c r="DE367" s="31" t="str">
        <f t="shared" si="330"/>
        <v>0</v>
      </c>
      <c r="DF367" s="9">
        <f>+Risultati!AJ366</f>
        <v>0</v>
      </c>
      <c r="DG367" s="31" t="str">
        <f t="shared" si="331"/>
        <v>0</v>
      </c>
      <c r="DH367" s="9">
        <f t="shared" si="332"/>
        <v>0</v>
      </c>
      <c r="DI367" s="31" t="str">
        <f t="shared" si="333"/>
        <v>0</v>
      </c>
      <c r="DJ367" s="9">
        <f>+Risultati!AW366</f>
        <v>0</v>
      </c>
      <c r="DK367" s="31" t="str">
        <f t="shared" si="334"/>
        <v>0</v>
      </c>
      <c r="DL367" s="10">
        <f t="shared" si="305"/>
        <v>0</v>
      </c>
      <c r="DM367" s="31" t="str">
        <f t="shared" si="335"/>
        <v>0</v>
      </c>
      <c r="DO367" s="30"/>
      <c r="DP367" s="30"/>
    </row>
    <row r="368" spans="1:120" x14ac:dyDescent="0.2">
      <c r="A368" s="5"/>
      <c r="B368" s="6">
        <f>+Risultati!B367</f>
        <v>0</v>
      </c>
      <c r="C368" s="6">
        <f>+Risultati!C367</f>
        <v>0</v>
      </c>
      <c r="D368" s="26" t="str">
        <f>IF(YEAR(Risultati!D367)=1900,(MID(Risultati!$AP$1,29,4)),YEAR(Risultati!D367))</f>
        <v/>
      </c>
      <c r="E368" s="6">
        <f>+Risultati!E367</f>
        <v>0</v>
      </c>
      <c r="F368" s="8" t="e">
        <f>(LEFT(Risultati!AN367,2)&amp;"-")&amp;VLOOKUP((LEFT(Risultati!AN367,2)),ateco!$B$4:$C$93,2,FALSE)</f>
        <v>#N/A</v>
      </c>
      <c r="G368" s="8" t="str">
        <f>SUBSTITUTE((Risultati!AN367&amp;"-"&amp;Risultati!AO367),",",";")</f>
        <v>-</v>
      </c>
      <c r="I368" s="10">
        <f>+Risultati!G367</f>
        <v>0</v>
      </c>
      <c r="J368" s="11" t="str">
        <f t="shared" si="287"/>
        <v>0</v>
      </c>
      <c r="K368" s="12"/>
      <c r="L368" s="10">
        <f>+Risultati!G367+Risultati!H367</f>
        <v>0</v>
      </c>
      <c r="M368" s="11" t="str">
        <f t="shared" si="288"/>
        <v>0</v>
      </c>
      <c r="N368" s="12"/>
      <c r="O368" s="10">
        <f>+Risultati!I367+Risultati!J367</f>
        <v>0</v>
      </c>
      <c r="P368" s="11" t="str">
        <f t="shared" si="289"/>
        <v>0</v>
      </c>
      <c r="Q368" s="12"/>
      <c r="R368" s="13">
        <f t="shared" si="306"/>
        <v>0</v>
      </c>
      <c r="S368" s="11" t="str">
        <f t="shared" si="290"/>
        <v>0</v>
      </c>
      <c r="T368" s="12"/>
      <c r="U368" s="10">
        <f>+Risultati!F367-(Risultati!G367+Risultati!H367)</f>
        <v>0</v>
      </c>
      <c r="V368" s="12" t="str">
        <f t="shared" si="291"/>
        <v>0</v>
      </c>
      <c r="W368" s="12"/>
      <c r="X368" s="10">
        <f t="shared" si="307"/>
        <v>0</v>
      </c>
      <c r="Y368" s="12" t="str">
        <f t="shared" si="292"/>
        <v>0</v>
      </c>
      <c r="Z368" s="12"/>
      <c r="AA368" s="10">
        <f>+Risultati!K367</f>
        <v>0</v>
      </c>
      <c r="AB368" s="12" t="str">
        <f t="shared" si="293"/>
        <v>0</v>
      </c>
      <c r="AC368" s="12"/>
      <c r="AD368" s="10">
        <f>+Risultati!L367</f>
        <v>0</v>
      </c>
      <c r="AE368" s="12" t="str">
        <f t="shared" si="294"/>
        <v>0</v>
      </c>
      <c r="AF368" s="12"/>
      <c r="AG368" s="10">
        <f>+Risultati!M367+Risultati!P367+Risultati!Q367</f>
        <v>0</v>
      </c>
      <c r="AH368" s="12" t="str">
        <f t="shared" si="295"/>
        <v>0</v>
      </c>
      <c r="AI368" s="12"/>
      <c r="AJ368" s="13">
        <f t="shared" si="308"/>
        <v>0</v>
      </c>
      <c r="AK368" s="11" t="str">
        <f t="shared" si="296"/>
        <v>0</v>
      </c>
      <c r="AL368" s="12"/>
      <c r="AM368" s="10">
        <f>+Risultati!N367</f>
        <v>0</v>
      </c>
      <c r="AN368" s="12" t="str">
        <f t="shared" si="297"/>
        <v>0</v>
      </c>
      <c r="AO368" s="12"/>
      <c r="AP368" s="10">
        <f t="shared" si="309"/>
        <v>0</v>
      </c>
      <c r="AQ368" s="41" t="str">
        <f t="shared" si="298"/>
        <v>0</v>
      </c>
      <c r="AR368" s="12"/>
      <c r="AS368" s="10">
        <f>+Risultati!O367</f>
        <v>0</v>
      </c>
      <c r="AT368" s="12" t="str">
        <f t="shared" si="299"/>
        <v>0</v>
      </c>
      <c r="AU368" s="12"/>
      <c r="AV368" s="10">
        <f t="shared" si="310"/>
        <v>0</v>
      </c>
      <c r="AW368" s="12" t="str">
        <f t="shared" si="300"/>
        <v>0</v>
      </c>
      <c r="AX368" s="12"/>
      <c r="AY368" s="10">
        <f>+Risultati!R367+Risultati!S367</f>
        <v>0</v>
      </c>
      <c r="AZ368" s="12" t="str">
        <f t="shared" si="301"/>
        <v>0</v>
      </c>
      <c r="BA368" s="12"/>
      <c r="BB368" s="10">
        <f>+Risultati!T367</f>
        <v>0</v>
      </c>
      <c r="BC368" s="12" t="str">
        <f t="shared" si="302"/>
        <v>0</v>
      </c>
      <c r="BD368" s="12"/>
      <c r="BE368" s="10">
        <f>+Risultati!U367</f>
        <v>0</v>
      </c>
      <c r="BF368" s="12" t="str">
        <f t="shared" si="303"/>
        <v>0</v>
      </c>
      <c r="BG368" s="12"/>
      <c r="BH368" s="10">
        <f t="shared" si="311"/>
        <v>0</v>
      </c>
      <c r="BI368" s="12" t="str">
        <f t="shared" si="304"/>
        <v>0</v>
      </c>
      <c r="BK368" s="16">
        <f>IF(ISNUMBER(Risultati!X367/100),(Risultati!X367/100))</f>
        <v>0</v>
      </c>
      <c r="BL368" s="16">
        <f>IF(ISNUMBER(Risultati!Y367/100),(Risultati!Y367/100))</f>
        <v>0</v>
      </c>
      <c r="BM368" s="16">
        <f>IF(ISNUMBER(Risultati!Z367/100),(Risultati!Z367/100))</f>
        <v>0</v>
      </c>
      <c r="BN368" s="16">
        <f>IF(AND(Risultati!AY367&lt;0,calcoli!AP368&lt;0),-IF(ISNUMBER(Risultati!AA367/100),(Risultati!AA367/100)),IF(ISNUMBER(Risultati!AA367/100),(Risultati!AA367/100)))</f>
        <v>0</v>
      </c>
      <c r="BO368" s="16" t="str">
        <f t="shared" si="285"/>
        <v>0</v>
      </c>
      <c r="BP368" s="16" t="str">
        <f>IF(Risultati!AB367&gt;0,(AV368/Risultati!AB367),"0")</f>
        <v>0</v>
      </c>
      <c r="BQ368" s="16" t="str">
        <f>IF(Risultati!AG367&lt;&gt;0,(BH368/Risultati!AG367),"0")</f>
        <v>0</v>
      </c>
      <c r="BR368" s="16" t="str">
        <f t="shared" si="286"/>
        <v>0</v>
      </c>
      <c r="BS368" s="14" t="str">
        <f>IF(Risultati!AB367&gt;0,(Risultati!G367/Risultati!AB367),"0")</f>
        <v>0</v>
      </c>
      <c r="BT368" s="15" t="str">
        <f>IF(Risultati!AG367&lt;&gt;0,(Risultati!AB367/Risultati!AG367),"0")</f>
        <v>0</v>
      </c>
      <c r="BU368" s="23" t="str">
        <f>IF(AND(Risultati!G367&gt;0,(Risultati!AE367-Risultati!AF367)&gt;=0),((Risultati!AE367-Risultati!AF367)/Risultati!G367*360),"0")</f>
        <v>0</v>
      </c>
      <c r="BV368" s="21" t="str">
        <f>IF(OR(E368="abbreviato",Risultati!G367=0),"0",((Risultati!AC367+Risultati!AD367)/Risultati!G367*360))</f>
        <v>0</v>
      </c>
      <c r="BW368" s="21" t="str">
        <f>IF(OR(E368="abbreviato",Risultati!G367=0,SUM(Risultati!I367+Risultati!K367+Risultati!M367)=0),"0",(((Risultati!AH367+Risultati!AI367)/(Risultati!I367+Risultati!K367+Risultati!N367)*360)))</f>
        <v>0</v>
      </c>
      <c r="BX368" s="16" t="str">
        <f>IF(Risultati!AB367&gt;0,(+Risultati!AG367/Risultati!AB367),"0")</f>
        <v>0</v>
      </c>
      <c r="BY368" s="22" t="str">
        <f>IF(OR(E368="abbreviato",Risultati!G367=0),"0",(((Risultati!AK367-(Risultati!AL367+Risultati!AM367))/Risultati!G367)))</f>
        <v>0</v>
      </c>
      <c r="BZ368" s="16" t="str">
        <f>IF(Risultati!G367&gt;0,(Risultati!AJ367/Risultati!G367),"0")</f>
        <v>0</v>
      </c>
      <c r="CA368" s="8"/>
      <c r="CB368" s="9">
        <f>+Risultati!AP367</f>
        <v>0</v>
      </c>
      <c r="CC368" s="31" t="str">
        <f t="shared" si="312"/>
        <v>0</v>
      </c>
      <c r="CD368" s="9">
        <f>+Risultati!AQ367</f>
        <v>0</v>
      </c>
      <c r="CE368" s="31" t="str">
        <f t="shared" si="313"/>
        <v>0</v>
      </c>
      <c r="CF368" s="9">
        <f>+Risultati!AR367</f>
        <v>0</v>
      </c>
      <c r="CG368" s="31" t="str">
        <f t="shared" si="314"/>
        <v>0</v>
      </c>
      <c r="CH368" s="9">
        <f>+Risultati!AS367</f>
        <v>0</v>
      </c>
      <c r="CI368" s="31" t="str">
        <f t="shared" si="315"/>
        <v>0</v>
      </c>
      <c r="CJ368" s="9">
        <f t="shared" si="316"/>
        <v>0</v>
      </c>
      <c r="CK368" s="31" t="str">
        <f t="shared" si="317"/>
        <v>0</v>
      </c>
      <c r="CL368" s="10">
        <f>+Risultati!AE367+Risultati!AF367</f>
        <v>0</v>
      </c>
      <c r="CM368" s="31" t="str">
        <f t="shared" si="318"/>
        <v>0</v>
      </c>
      <c r="CN368" s="9">
        <f>+Risultati!AT367</f>
        <v>0</v>
      </c>
      <c r="CO368" s="31" t="str">
        <f t="shared" si="319"/>
        <v>0</v>
      </c>
      <c r="CP368" s="9">
        <f>+Risultati!AU367</f>
        <v>0</v>
      </c>
      <c r="CQ368" s="31" t="str">
        <f t="shared" si="320"/>
        <v>0</v>
      </c>
      <c r="CR368" s="9">
        <f>+Risultati!AL367</f>
        <v>0</v>
      </c>
      <c r="CS368" s="31" t="str">
        <f t="shared" si="321"/>
        <v>0</v>
      </c>
      <c r="CT368" s="9">
        <f t="shared" si="322"/>
        <v>0</v>
      </c>
      <c r="CU368" s="31" t="str">
        <f t="shared" si="323"/>
        <v>0</v>
      </c>
      <c r="CV368" s="9">
        <f>+Risultati!AX367</f>
        <v>0</v>
      </c>
      <c r="CW368" s="31" t="str">
        <f t="shared" si="324"/>
        <v>0</v>
      </c>
      <c r="CX368" s="9">
        <f t="shared" si="325"/>
        <v>0</v>
      </c>
      <c r="CY368" s="31" t="str">
        <f t="shared" si="326"/>
        <v>0</v>
      </c>
      <c r="CZ368" s="9">
        <f>+Risultati!AG367</f>
        <v>0</v>
      </c>
      <c r="DA368" s="31" t="str">
        <f t="shared" si="327"/>
        <v>0</v>
      </c>
      <c r="DB368" s="9">
        <f t="shared" si="328"/>
        <v>0</v>
      </c>
      <c r="DC368" s="31" t="str">
        <f t="shared" si="329"/>
        <v>0</v>
      </c>
      <c r="DD368" s="9">
        <f>+Risultati!AV367</f>
        <v>0</v>
      </c>
      <c r="DE368" s="31" t="str">
        <f t="shared" si="330"/>
        <v>0</v>
      </c>
      <c r="DF368" s="9">
        <f>+Risultati!AJ367</f>
        <v>0</v>
      </c>
      <c r="DG368" s="31" t="str">
        <f t="shared" si="331"/>
        <v>0</v>
      </c>
      <c r="DH368" s="9">
        <f t="shared" si="332"/>
        <v>0</v>
      </c>
      <c r="DI368" s="31" t="str">
        <f t="shared" si="333"/>
        <v>0</v>
      </c>
      <c r="DJ368" s="9">
        <f>+Risultati!AW367</f>
        <v>0</v>
      </c>
      <c r="DK368" s="31" t="str">
        <f t="shared" si="334"/>
        <v>0</v>
      </c>
      <c r="DL368" s="10">
        <f t="shared" si="305"/>
        <v>0</v>
      </c>
      <c r="DM368" s="31" t="str">
        <f t="shared" si="335"/>
        <v>0</v>
      </c>
      <c r="DO368" s="30"/>
      <c r="DP368" s="30"/>
    </row>
    <row r="369" spans="1:120" x14ac:dyDescent="0.2">
      <c r="A369" s="5"/>
      <c r="B369" s="6">
        <f>+Risultati!B368</f>
        <v>0</v>
      </c>
      <c r="C369" s="6">
        <f>+Risultati!C368</f>
        <v>0</v>
      </c>
      <c r="D369" s="26" t="str">
        <f>IF(YEAR(Risultati!D368)=1900,(MID(Risultati!$AP$1,29,4)),YEAR(Risultati!D368))</f>
        <v/>
      </c>
      <c r="E369" s="6">
        <f>+Risultati!E368</f>
        <v>0</v>
      </c>
      <c r="F369" s="8" t="e">
        <f>(LEFT(Risultati!AN368,2)&amp;"-")&amp;VLOOKUP((LEFT(Risultati!AN368,2)),ateco!$B$4:$C$93,2,FALSE)</f>
        <v>#N/A</v>
      </c>
      <c r="G369" s="8" t="str">
        <f>SUBSTITUTE((Risultati!AN368&amp;"-"&amp;Risultati!AO368),",",";")</f>
        <v>-</v>
      </c>
      <c r="I369" s="10">
        <f>+Risultati!G368</f>
        <v>0</v>
      </c>
      <c r="J369" s="11" t="str">
        <f t="shared" si="287"/>
        <v>0</v>
      </c>
      <c r="K369" s="12"/>
      <c r="L369" s="10">
        <f>+Risultati!G368+Risultati!H368</f>
        <v>0</v>
      </c>
      <c r="M369" s="11" t="str">
        <f t="shared" si="288"/>
        <v>0</v>
      </c>
      <c r="N369" s="12"/>
      <c r="O369" s="10">
        <f>+Risultati!I368+Risultati!J368</f>
        <v>0</v>
      </c>
      <c r="P369" s="11" t="str">
        <f t="shared" si="289"/>
        <v>0</v>
      </c>
      <c r="Q369" s="12"/>
      <c r="R369" s="13">
        <f t="shared" si="306"/>
        <v>0</v>
      </c>
      <c r="S369" s="11" t="str">
        <f t="shared" si="290"/>
        <v>0</v>
      </c>
      <c r="T369" s="12"/>
      <c r="U369" s="10">
        <f>+Risultati!F368-(Risultati!G368+Risultati!H368)</f>
        <v>0</v>
      </c>
      <c r="V369" s="12" t="str">
        <f t="shared" si="291"/>
        <v>0</v>
      </c>
      <c r="W369" s="12"/>
      <c r="X369" s="10">
        <f t="shared" si="307"/>
        <v>0</v>
      </c>
      <c r="Y369" s="12" t="str">
        <f t="shared" si="292"/>
        <v>0</v>
      </c>
      <c r="Z369" s="12"/>
      <c r="AA369" s="10">
        <f>+Risultati!K368</f>
        <v>0</v>
      </c>
      <c r="AB369" s="12" t="str">
        <f t="shared" si="293"/>
        <v>0</v>
      </c>
      <c r="AC369" s="12"/>
      <c r="AD369" s="10">
        <f>+Risultati!L368</f>
        <v>0</v>
      </c>
      <c r="AE369" s="12" t="str">
        <f t="shared" si="294"/>
        <v>0</v>
      </c>
      <c r="AF369" s="12"/>
      <c r="AG369" s="10">
        <f>+Risultati!M368+Risultati!P368+Risultati!Q368</f>
        <v>0</v>
      </c>
      <c r="AH369" s="12" t="str">
        <f t="shared" si="295"/>
        <v>0</v>
      </c>
      <c r="AI369" s="12"/>
      <c r="AJ369" s="13">
        <f t="shared" si="308"/>
        <v>0</v>
      </c>
      <c r="AK369" s="11" t="str">
        <f t="shared" si="296"/>
        <v>0</v>
      </c>
      <c r="AL369" s="12"/>
      <c r="AM369" s="10">
        <f>+Risultati!N368</f>
        <v>0</v>
      </c>
      <c r="AN369" s="12" t="str">
        <f t="shared" si="297"/>
        <v>0</v>
      </c>
      <c r="AO369" s="12"/>
      <c r="AP369" s="10">
        <f t="shared" si="309"/>
        <v>0</v>
      </c>
      <c r="AQ369" s="41" t="str">
        <f t="shared" si="298"/>
        <v>0</v>
      </c>
      <c r="AR369" s="12"/>
      <c r="AS369" s="10">
        <f>+Risultati!O368</f>
        <v>0</v>
      </c>
      <c r="AT369" s="12" t="str">
        <f t="shared" si="299"/>
        <v>0</v>
      </c>
      <c r="AU369" s="12"/>
      <c r="AV369" s="10">
        <f t="shared" si="310"/>
        <v>0</v>
      </c>
      <c r="AW369" s="12" t="str">
        <f t="shared" si="300"/>
        <v>0</v>
      </c>
      <c r="AX369" s="12"/>
      <c r="AY369" s="10">
        <f>+Risultati!R368+Risultati!S368</f>
        <v>0</v>
      </c>
      <c r="AZ369" s="12" t="str">
        <f t="shared" si="301"/>
        <v>0</v>
      </c>
      <c r="BA369" s="12"/>
      <c r="BB369" s="10">
        <f>+Risultati!T368</f>
        <v>0</v>
      </c>
      <c r="BC369" s="12" t="str">
        <f t="shared" si="302"/>
        <v>0</v>
      </c>
      <c r="BD369" s="12"/>
      <c r="BE369" s="10">
        <f>+Risultati!U368</f>
        <v>0</v>
      </c>
      <c r="BF369" s="12" t="str">
        <f t="shared" si="303"/>
        <v>0</v>
      </c>
      <c r="BG369" s="12"/>
      <c r="BH369" s="10">
        <f t="shared" si="311"/>
        <v>0</v>
      </c>
      <c r="BI369" s="12" t="str">
        <f t="shared" si="304"/>
        <v>0</v>
      </c>
      <c r="BK369" s="16">
        <f>IF(ISNUMBER(Risultati!X368/100),(Risultati!X368/100))</f>
        <v>0</v>
      </c>
      <c r="BL369" s="16">
        <f>IF(ISNUMBER(Risultati!Y368/100),(Risultati!Y368/100))</f>
        <v>0</v>
      </c>
      <c r="BM369" s="16">
        <f>IF(ISNUMBER(Risultati!Z368/100),(Risultati!Z368/100))</f>
        <v>0</v>
      </c>
      <c r="BN369" s="16">
        <f>IF(AND(Risultati!AY368&lt;0,calcoli!AP369&lt;0),-IF(ISNUMBER(Risultati!AA368/100),(Risultati!AA368/100)),IF(ISNUMBER(Risultati!AA368/100),(Risultati!AA368/100)))</f>
        <v>0</v>
      </c>
      <c r="BO369" s="16" t="str">
        <f t="shared" si="285"/>
        <v>0</v>
      </c>
      <c r="BP369" s="16" t="str">
        <f>IF(Risultati!AB368&gt;0,(AV369/Risultati!AB368),"0")</f>
        <v>0</v>
      </c>
      <c r="BQ369" s="16" t="str">
        <f>IF(Risultati!AG368&lt;&gt;0,(BH369/Risultati!AG368),"0")</f>
        <v>0</v>
      </c>
      <c r="BR369" s="16" t="str">
        <f t="shared" si="286"/>
        <v>0</v>
      </c>
      <c r="BS369" s="14" t="str">
        <f>IF(Risultati!AB368&gt;0,(Risultati!G368/Risultati!AB368),"0")</f>
        <v>0</v>
      </c>
      <c r="BT369" s="15" t="str">
        <f>IF(Risultati!AG368&lt;&gt;0,(Risultati!AB368/Risultati!AG368),"0")</f>
        <v>0</v>
      </c>
      <c r="BU369" s="23" t="str">
        <f>IF(AND(Risultati!G368&gt;0,(Risultati!AE368-Risultati!AF368)&gt;=0),((Risultati!AE368-Risultati!AF368)/Risultati!G368*360),"0")</f>
        <v>0</v>
      </c>
      <c r="BV369" s="21" t="str">
        <f>IF(OR(E369="abbreviato",Risultati!G368=0),"0",((Risultati!AC368+Risultati!AD368)/Risultati!G368*360))</f>
        <v>0</v>
      </c>
      <c r="BW369" s="21" t="str">
        <f>IF(OR(E369="abbreviato",Risultati!G368=0,SUM(Risultati!I368+Risultati!K368+Risultati!M368)=0),"0",(((Risultati!AH368+Risultati!AI368)/(Risultati!I368+Risultati!K368+Risultati!N368)*360)))</f>
        <v>0</v>
      </c>
      <c r="BX369" s="16" t="str">
        <f>IF(Risultati!AB368&gt;0,(+Risultati!AG368/Risultati!AB368),"0")</f>
        <v>0</v>
      </c>
      <c r="BY369" s="22" t="str">
        <f>IF(OR(E369="abbreviato",Risultati!G368=0),"0",(((Risultati!AK368-(Risultati!AL368+Risultati!AM368))/Risultati!G368)))</f>
        <v>0</v>
      </c>
      <c r="BZ369" s="16" t="str">
        <f>IF(Risultati!G368&gt;0,(Risultati!AJ368/Risultati!G368),"0")</f>
        <v>0</v>
      </c>
      <c r="CA369" s="8"/>
      <c r="CB369" s="9">
        <f>+Risultati!AP368</f>
        <v>0</v>
      </c>
      <c r="CC369" s="31" t="str">
        <f t="shared" si="312"/>
        <v>0</v>
      </c>
      <c r="CD369" s="9">
        <f>+Risultati!AQ368</f>
        <v>0</v>
      </c>
      <c r="CE369" s="31" t="str">
        <f t="shared" si="313"/>
        <v>0</v>
      </c>
      <c r="CF369" s="9">
        <f>+Risultati!AR368</f>
        <v>0</v>
      </c>
      <c r="CG369" s="31" t="str">
        <f t="shared" si="314"/>
        <v>0</v>
      </c>
      <c r="CH369" s="9">
        <f>+Risultati!AS368</f>
        <v>0</v>
      </c>
      <c r="CI369" s="31" t="str">
        <f t="shared" si="315"/>
        <v>0</v>
      </c>
      <c r="CJ369" s="9">
        <f t="shared" si="316"/>
        <v>0</v>
      </c>
      <c r="CK369" s="31" t="str">
        <f t="shared" si="317"/>
        <v>0</v>
      </c>
      <c r="CL369" s="10">
        <f>+Risultati!AE368+Risultati!AF368</f>
        <v>0</v>
      </c>
      <c r="CM369" s="31" t="str">
        <f t="shared" si="318"/>
        <v>0</v>
      </c>
      <c r="CN369" s="9">
        <f>+Risultati!AT368</f>
        <v>0</v>
      </c>
      <c r="CO369" s="31" t="str">
        <f t="shared" si="319"/>
        <v>0</v>
      </c>
      <c r="CP369" s="9">
        <f>+Risultati!AU368</f>
        <v>0</v>
      </c>
      <c r="CQ369" s="31" t="str">
        <f t="shared" si="320"/>
        <v>0</v>
      </c>
      <c r="CR369" s="9">
        <f>+Risultati!AL368</f>
        <v>0</v>
      </c>
      <c r="CS369" s="31" t="str">
        <f t="shared" si="321"/>
        <v>0</v>
      </c>
      <c r="CT369" s="9">
        <f t="shared" si="322"/>
        <v>0</v>
      </c>
      <c r="CU369" s="31" t="str">
        <f t="shared" si="323"/>
        <v>0</v>
      </c>
      <c r="CV369" s="9">
        <f>+Risultati!AX368</f>
        <v>0</v>
      </c>
      <c r="CW369" s="31" t="str">
        <f t="shared" si="324"/>
        <v>0</v>
      </c>
      <c r="CX369" s="9">
        <f t="shared" si="325"/>
        <v>0</v>
      </c>
      <c r="CY369" s="31" t="str">
        <f t="shared" si="326"/>
        <v>0</v>
      </c>
      <c r="CZ369" s="9">
        <f>+Risultati!AG368</f>
        <v>0</v>
      </c>
      <c r="DA369" s="31" t="str">
        <f t="shared" si="327"/>
        <v>0</v>
      </c>
      <c r="DB369" s="9">
        <f t="shared" si="328"/>
        <v>0</v>
      </c>
      <c r="DC369" s="31" t="str">
        <f t="shared" si="329"/>
        <v>0</v>
      </c>
      <c r="DD369" s="9">
        <f>+Risultati!AV368</f>
        <v>0</v>
      </c>
      <c r="DE369" s="31" t="str">
        <f t="shared" si="330"/>
        <v>0</v>
      </c>
      <c r="DF369" s="9">
        <f>+Risultati!AJ368</f>
        <v>0</v>
      </c>
      <c r="DG369" s="31" t="str">
        <f t="shared" si="331"/>
        <v>0</v>
      </c>
      <c r="DH369" s="9">
        <f t="shared" si="332"/>
        <v>0</v>
      </c>
      <c r="DI369" s="31" t="str">
        <f t="shared" si="333"/>
        <v>0</v>
      </c>
      <c r="DJ369" s="9">
        <f>+Risultati!AW368</f>
        <v>0</v>
      </c>
      <c r="DK369" s="31" t="str">
        <f t="shared" si="334"/>
        <v>0</v>
      </c>
      <c r="DL369" s="10">
        <f t="shared" si="305"/>
        <v>0</v>
      </c>
      <c r="DM369" s="31" t="str">
        <f t="shared" si="335"/>
        <v>0</v>
      </c>
      <c r="DO369" s="30"/>
      <c r="DP369" s="30"/>
    </row>
    <row r="370" spans="1:120" x14ac:dyDescent="0.2">
      <c r="A370" s="5"/>
      <c r="B370" s="6">
        <f>+Risultati!B369</f>
        <v>0</v>
      </c>
      <c r="C370" s="6">
        <f>+Risultati!C369</f>
        <v>0</v>
      </c>
      <c r="D370" s="26" t="str">
        <f>IF(YEAR(Risultati!D369)=1900,(MID(Risultati!$AP$1,29,4)),YEAR(Risultati!D369))</f>
        <v/>
      </c>
      <c r="E370" s="6">
        <f>+Risultati!E369</f>
        <v>0</v>
      </c>
      <c r="F370" s="8" t="e">
        <f>(LEFT(Risultati!AN369,2)&amp;"-")&amp;VLOOKUP((LEFT(Risultati!AN369,2)),ateco!$B$4:$C$93,2,FALSE)</f>
        <v>#N/A</v>
      </c>
      <c r="G370" s="8" t="str">
        <f>SUBSTITUTE((Risultati!AN369&amp;"-"&amp;Risultati!AO369),",",";")</f>
        <v>-</v>
      </c>
      <c r="I370" s="10">
        <f>+Risultati!G369</f>
        <v>0</v>
      </c>
      <c r="J370" s="11" t="str">
        <f t="shared" si="287"/>
        <v>0</v>
      </c>
      <c r="K370" s="12"/>
      <c r="L370" s="10">
        <f>+Risultati!G369+Risultati!H369</f>
        <v>0</v>
      </c>
      <c r="M370" s="11" t="str">
        <f t="shared" si="288"/>
        <v>0</v>
      </c>
      <c r="N370" s="12"/>
      <c r="O370" s="10">
        <f>+Risultati!I369+Risultati!J369</f>
        <v>0</v>
      </c>
      <c r="P370" s="11" t="str">
        <f t="shared" si="289"/>
        <v>0</v>
      </c>
      <c r="Q370" s="12"/>
      <c r="R370" s="13">
        <f t="shared" si="306"/>
        <v>0</v>
      </c>
      <c r="S370" s="11" t="str">
        <f t="shared" si="290"/>
        <v>0</v>
      </c>
      <c r="T370" s="12"/>
      <c r="U370" s="10">
        <f>+Risultati!F369-(Risultati!G369+Risultati!H369)</f>
        <v>0</v>
      </c>
      <c r="V370" s="12" t="str">
        <f t="shared" si="291"/>
        <v>0</v>
      </c>
      <c r="W370" s="12"/>
      <c r="X370" s="10">
        <f t="shared" si="307"/>
        <v>0</v>
      </c>
      <c r="Y370" s="12" t="str">
        <f t="shared" si="292"/>
        <v>0</v>
      </c>
      <c r="Z370" s="12"/>
      <c r="AA370" s="10">
        <f>+Risultati!K369</f>
        <v>0</v>
      </c>
      <c r="AB370" s="12" t="str">
        <f t="shared" si="293"/>
        <v>0</v>
      </c>
      <c r="AC370" s="12"/>
      <c r="AD370" s="10">
        <f>+Risultati!L369</f>
        <v>0</v>
      </c>
      <c r="AE370" s="12" t="str">
        <f t="shared" si="294"/>
        <v>0</v>
      </c>
      <c r="AF370" s="12"/>
      <c r="AG370" s="10">
        <f>+Risultati!M369+Risultati!P369+Risultati!Q369</f>
        <v>0</v>
      </c>
      <c r="AH370" s="12" t="str">
        <f t="shared" si="295"/>
        <v>0</v>
      </c>
      <c r="AI370" s="12"/>
      <c r="AJ370" s="13">
        <f t="shared" si="308"/>
        <v>0</v>
      </c>
      <c r="AK370" s="11" t="str">
        <f t="shared" si="296"/>
        <v>0</v>
      </c>
      <c r="AL370" s="12"/>
      <c r="AM370" s="10">
        <f>+Risultati!N369</f>
        <v>0</v>
      </c>
      <c r="AN370" s="12" t="str">
        <f t="shared" si="297"/>
        <v>0</v>
      </c>
      <c r="AO370" s="12"/>
      <c r="AP370" s="10">
        <f t="shared" si="309"/>
        <v>0</v>
      </c>
      <c r="AQ370" s="41" t="str">
        <f t="shared" si="298"/>
        <v>0</v>
      </c>
      <c r="AR370" s="12"/>
      <c r="AS370" s="10">
        <f>+Risultati!O369</f>
        <v>0</v>
      </c>
      <c r="AT370" s="12" t="str">
        <f t="shared" si="299"/>
        <v>0</v>
      </c>
      <c r="AU370" s="12"/>
      <c r="AV370" s="10">
        <f t="shared" si="310"/>
        <v>0</v>
      </c>
      <c r="AW370" s="12" t="str">
        <f t="shared" si="300"/>
        <v>0</v>
      </c>
      <c r="AX370" s="12"/>
      <c r="AY370" s="10">
        <f>+Risultati!R369+Risultati!S369</f>
        <v>0</v>
      </c>
      <c r="AZ370" s="12" t="str">
        <f t="shared" si="301"/>
        <v>0</v>
      </c>
      <c r="BA370" s="12"/>
      <c r="BB370" s="10">
        <f>+Risultati!T369</f>
        <v>0</v>
      </c>
      <c r="BC370" s="12" t="str">
        <f t="shared" si="302"/>
        <v>0</v>
      </c>
      <c r="BD370" s="12"/>
      <c r="BE370" s="10">
        <f>+Risultati!U369</f>
        <v>0</v>
      </c>
      <c r="BF370" s="12" t="str">
        <f t="shared" si="303"/>
        <v>0</v>
      </c>
      <c r="BG370" s="12"/>
      <c r="BH370" s="10">
        <f t="shared" si="311"/>
        <v>0</v>
      </c>
      <c r="BI370" s="12" t="str">
        <f t="shared" si="304"/>
        <v>0</v>
      </c>
      <c r="BK370" s="16">
        <f>IF(ISNUMBER(Risultati!X369/100),(Risultati!X369/100))</f>
        <v>0</v>
      </c>
      <c r="BL370" s="16">
        <f>IF(ISNUMBER(Risultati!Y369/100),(Risultati!Y369/100))</f>
        <v>0</v>
      </c>
      <c r="BM370" s="16">
        <f>IF(ISNUMBER(Risultati!Z369/100),(Risultati!Z369/100))</f>
        <v>0</v>
      </c>
      <c r="BN370" s="16">
        <f>IF(AND(Risultati!AY369&lt;0,calcoli!AP370&lt;0),-IF(ISNUMBER(Risultati!AA369/100),(Risultati!AA369/100)),IF(ISNUMBER(Risultati!AA369/100),(Risultati!AA369/100)))</f>
        <v>0</v>
      </c>
      <c r="BO370" s="16" t="str">
        <f t="shared" si="285"/>
        <v>0</v>
      </c>
      <c r="BP370" s="16" t="str">
        <f>IF(Risultati!AB369&gt;0,(AV370/Risultati!AB369),"0")</f>
        <v>0</v>
      </c>
      <c r="BQ370" s="16" t="str">
        <f>IF(Risultati!AG369&lt;&gt;0,(BH370/Risultati!AG369),"0")</f>
        <v>0</v>
      </c>
      <c r="BR370" s="16" t="str">
        <f t="shared" si="286"/>
        <v>0</v>
      </c>
      <c r="BS370" s="14" t="str">
        <f>IF(Risultati!AB369&gt;0,(Risultati!G369/Risultati!AB369),"0")</f>
        <v>0</v>
      </c>
      <c r="BT370" s="15" t="str">
        <f>IF(Risultati!AG369&lt;&gt;0,(Risultati!AB369/Risultati!AG369),"0")</f>
        <v>0</v>
      </c>
      <c r="BU370" s="23" t="str">
        <f>IF(AND(Risultati!G369&gt;0,(Risultati!AE369-Risultati!AF369)&gt;=0),((Risultati!AE369-Risultati!AF369)/Risultati!G369*360),"0")</f>
        <v>0</v>
      </c>
      <c r="BV370" s="21" t="str">
        <f>IF(OR(E370="abbreviato",Risultati!G369=0),"0",((Risultati!AC369+Risultati!AD369)/Risultati!G369*360))</f>
        <v>0</v>
      </c>
      <c r="BW370" s="21" t="str">
        <f>IF(OR(E370="abbreviato",Risultati!G369=0,SUM(Risultati!I369+Risultati!K369+Risultati!M369)=0),"0",(((Risultati!AH369+Risultati!AI369)/(Risultati!I369+Risultati!K369+Risultati!N369)*360)))</f>
        <v>0</v>
      </c>
      <c r="BX370" s="16" t="str">
        <f>IF(Risultati!AB369&gt;0,(+Risultati!AG369/Risultati!AB369),"0")</f>
        <v>0</v>
      </c>
      <c r="BY370" s="22" t="str">
        <f>IF(OR(E370="abbreviato",Risultati!G369=0),"0",(((Risultati!AK369-(Risultati!AL369+Risultati!AM369))/Risultati!G369)))</f>
        <v>0</v>
      </c>
      <c r="BZ370" s="16" t="str">
        <f>IF(Risultati!G369&gt;0,(Risultati!AJ369/Risultati!G369),"0")</f>
        <v>0</v>
      </c>
      <c r="CA370" s="8"/>
      <c r="CB370" s="9">
        <f>+Risultati!AP369</f>
        <v>0</v>
      </c>
      <c r="CC370" s="31" t="str">
        <f t="shared" si="312"/>
        <v>0</v>
      </c>
      <c r="CD370" s="9">
        <f>+Risultati!AQ369</f>
        <v>0</v>
      </c>
      <c r="CE370" s="31" t="str">
        <f t="shared" si="313"/>
        <v>0</v>
      </c>
      <c r="CF370" s="9">
        <f>+Risultati!AR369</f>
        <v>0</v>
      </c>
      <c r="CG370" s="31" t="str">
        <f t="shared" si="314"/>
        <v>0</v>
      </c>
      <c r="CH370" s="9">
        <f>+Risultati!AS369</f>
        <v>0</v>
      </c>
      <c r="CI370" s="31" t="str">
        <f t="shared" si="315"/>
        <v>0</v>
      </c>
      <c r="CJ370" s="9">
        <f t="shared" si="316"/>
        <v>0</v>
      </c>
      <c r="CK370" s="31" t="str">
        <f t="shared" si="317"/>
        <v>0</v>
      </c>
      <c r="CL370" s="10">
        <f>+Risultati!AE369+Risultati!AF369</f>
        <v>0</v>
      </c>
      <c r="CM370" s="31" t="str">
        <f t="shared" si="318"/>
        <v>0</v>
      </c>
      <c r="CN370" s="9">
        <f>+Risultati!AT369</f>
        <v>0</v>
      </c>
      <c r="CO370" s="31" t="str">
        <f t="shared" si="319"/>
        <v>0</v>
      </c>
      <c r="CP370" s="9">
        <f>+Risultati!AU369</f>
        <v>0</v>
      </c>
      <c r="CQ370" s="31" t="str">
        <f t="shared" si="320"/>
        <v>0</v>
      </c>
      <c r="CR370" s="9">
        <f>+Risultati!AL369</f>
        <v>0</v>
      </c>
      <c r="CS370" s="31" t="str">
        <f t="shared" si="321"/>
        <v>0</v>
      </c>
      <c r="CT370" s="9">
        <f t="shared" si="322"/>
        <v>0</v>
      </c>
      <c r="CU370" s="31" t="str">
        <f t="shared" si="323"/>
        <v>0</v>
      </c>
      <c r="CV370" s="9">
        <f>+Risultati!AX369</f>
        <v>0</v>
      </c>
      <c r="CW370" s="31" t="str">
        <f t="shared" si="324"/>
        <v>0</v>
      </c>
      <c r="CX370" s="9">
        <f t="shared" si="325"/>
        <v>0</v>
      </c>
      <c r="CY370" s="31" t="str">
        <f t="shared" si="326"/>
        <v>0</v>
      </c>
      <c r="CZ370" s="9">
        <f>+Risultati!AG369</f>
        <v>0</v>
      </c>
      <c r="DA370" s="31" t="str">
        <f t="shared" si="327"/>
        <v>0</v>
      </c>
      <c r="DB370" s="9">
        <f t="shared" si="328"/>
        <v>0</v>
      </c>
      <c r="DC370" s="31" t="str">
        <f t="shared" si="329"/>
        <v>0</v>
      </c>
      <c r="DD370" s="9">
        <f>+Risultati!AV369</f>
        <v>0</v>
      </c>
      <c r="DE370" s="31" t="str">
        <f t="shared" si="330"/>
        <v>0</v>
      </c>
      <c r="DF370" s="9">
        <f>+Risultati!AJ369</f>
        <v>0</v>
      </c>
      <c r="DG370" s="31" t="str">
        <f t="shared" si="331"/>
        <v>0</v>
      </c>
      <c r="DH370" s="9">
        <f t="shared" si="332"/>
        <v>0</v>
      </c>
      <c r="DI370" s="31" t="str">
        <f t="shared" si="333"/>
        <v>0</v>
      </c>
      <c r="DJ370" s="9">
        <f>+Risultati!AW369</f>
        <v>0</v>
      </c>
      <c r="DK370" s="31" t="str">
        <f t="shared" si="334"/>
        <v>0</v>
      </c>
      <c r="DL370" s="10">
        <f t="shared" si="305"/>
        <v>0</v>
      </c>
      <c r="DM370" s="31" t="str">
        <f t="shared" si="335"/>
        <v>0</v>
      </c>
      <c r="DO370" s="30"/>
      <c r="DP370" s="30"/>
    </row>
    <row r="371" spans="1:120" x14ac:dyDescent="0.2">
      <c r="A371" s="5"/>
      <c r="B371" s="6">
        <f>+Risultati!B370</f>
        <v>0</v>
      </c>
      <c r="C371" s="6">
        <f>+Risultati!C370</f>
        <v>0</v>
      </c>
      <c r="D371" s="26" t="str">
        <f>IF(YEAR(Risultati!D370)=1900,(MID(Risultati!$AP$1,29,4)),YEAR(Risultati!D370))</f>
        <v/>
      </c>
      <c r="E371" s="6">
        <f>+Risultati!E370</f>
        <v>0</v>
      </c>
      <c r="F371" s="8" t="e">
        <f>(LEFT(Risultati!AN370,2)&amp;"-")&amp;VLOOKUP((LEFT(Risultati!AN370,2)),ateco!$B$4:$C$93,2,FALSE)</f>
        <v>#N/A</v>
      </c>
      <c r="G371" s="8" t="str">
        <f>SUBSTITUTE((Risultati!AN370&amp;"-"&amp;Risultati!AO370),",",";")</f>
        <v>-</v>
      </c>
      <c r="I371" s="10">
        <f>+Risultati!G370</f>
        <v>0</v>
      </c>
      <c r="J371" s="11" t="str">
        <f t="shared" si="287"/>
        <v>0</v>
      </c>
      <c r="K371" s="12"/>
      <c r="L371" s="10">
        <f>+Risultati!G370+Risultati!H370</f>
        <v>0</v>
      </c>
      <c r="M371" s="11" t="str">
        <f t="shared" si="288"/>
        <v>0</v>
      </c>
      <c r="N371" s="12"/>
      <c r="O371" s="10">
        <f>+Risultati!I370+Risultati!J370</f>
        <v>0</v>
      </c>
      <c r="P371" s="11" t="str">
        <f t="shared" si="289"/>
        <v>0</v>
      </c>
      <c r="Q371" s="12"/>
      <c r="R371" s="13">
        <f t="shared" si="306"/>
        <v>0</v>
      </c>
      <c r="S371" s="11" t="str">
        <f t="shared" si="290"/>
        <v>0</v>
      </c>
      <c r="T371" s="12"/>
      <c r="U371" s="10">
        <f>+Risultati!F370-(Risultati!G370+Risultati!H370)</f>
        <v>0</v>
      </c>
      <c r="V371" s="12" t="str">
        <f t="shared" si="291"/>
        <v>0</v>
      </c>
      <c r="W371" s="12"/>
      <c r="X371" s="10">
        <f t="shared" si="307"/>
        <v>0</v>
      </c>
      <c r="Y371" s="12" t="str">
        <f t="shared" si="292"/>
        <v>0</v>
      </c>
      <c r="Z371" s="12"/>
      <c r="AA371" s="10">
        <f>+Risultati!K370</f>
        <v>0</v>
      </c>
      <c r="AB371" s="12" t="str">
        <f t="shared" si="293"/>
        <v>0</v>
      </c>
      <c r="AC371" s="12"/>
      <c r="AD371" s="10">
        <f>+Risultati!L370</f>
        <v>0</v>
      </c>
      <c r="AE371" s="12" t="str">
        <f t="shared" si="294"/>
        <v>0</v>
      </c>
      <c r="AF371" s="12"/>
      <c r="AG371" s="10">
        <f>+Risultati!M370+Risultati!P370+Risultati!Q370</f>
        <v>0</v>
      </c>
      <c r="AH371" s="12" t="str">
        <f t="shared" si="295"/>
        <v>0</v>
      </c>
      <c r="AI371" s="12"/>
      <c r="AJ371" s="13">
        <f t="shared" si="308"/>
        <v>0</v>
      </c>
      <c r="AK371" s="11" t="str">
        <f t="shared" si="296"/>
        <v>0</v>
      </c>
      <c r="AL371" s="12"/>
      <c r="AM371" s="10">
        <f>+Risultati!N370</f>
        <v>0</v>
      </c>
      <c r="AN371" s="12" t="str">
        <f t="shared" si="297"/>
        <v>0</v>
      </c>
      <c r="AO371" s="12"/>
      <c r="AP371" s="10">
        <f t="shared" si="309"/>
        <v>0</v>
      </c>
      <c r="AQ371" s="41" t="str">
        <f t="shared" si="298"/>
        <v>0</v>
      </c>
      <c r="AR371" s="12"/>
      <c r="AS371" s="10">
        <f>+Risultati!O370</f>
        <v>0</v>
      </c>
      <c r="AT371" s="12" t="str">
        <f t="shared" si="299"/>
        <v>0</v>
      </c>
      <c r="AU371" s="12"/>
      <c r="AV371" s="10">
        <f t="shared" si="310"/>
        <v>0</v>
      </c>
      <c r="AW371" s="12" t="str">
        <f t="shared" si="300"/>
        <v>0</v>
      </c>
      <c r="AX371" s="12"/>
      <c r="AY371" s="10">
        <f>+Risultati!R370+Risultati!S370</f>
        <v>0</v>
      </c>
      <c r="AZ371" s="12" t="str">
        <f t="shared" si="301"/>
        <v>0</v>
      </c>
      <c r="BA371" s="12"/>
      <c r="BB371" s="10">
        <f>+Risultati!T370</f>
        <v>0</v>
      </c>
      <c r="BC371" s="12" t="str">
        <f t="shared" si="302"/>
        <v>0</v>
      </c>
      <c r="BD371" s="12"/>
      <c r="BE371" s="10">
        <f>+Risultati!U370</f>
        <v>0</v>
      </c>
      <c r="BF371" s="12" t="str">
        <f t="shared" si="303"/>
        <v>0</v>
      </c>
      <c r="BG371" s="12"/>
      <c r="BH371" s="10">
        <f t="shared" si="311"/>
        <v>0</v>
      </c>
      <c r="BI371" s="12" t="str">
        <f t="shared" si="304"/>
        <v>0</v>
      </c>
      <c r="BK371" s="16">
        <f>IF(ISNUMBER(Risultati!X370/100),(Risultati!X370/100))</f>
        <v>0</v>
      </c>
      <c r="BL371" s="16">
        <f>IF(ISNUMBER(Risultati!Y370/100),(Risultati!Y370/100))</f>
        <v>0</v>
      </c>
      <c r="BM371" s="16">
        <f>IF(ISNUMBER(Risultati!Z370/100),(Risultati!Z370/100))</f>
        <v>0</v>
      </c>
      <c r="BN371" s="16">
        <f>IF(AND(Risultati!AY370&lt;0,calcoli!AP371&lt;0),-IF(ISNUMBER(Risultati!AA370/100),(Risultati!AA370/100)),IF(ISNUMBER(Risultati!AA370/100),(Risultati!AA370/100)))</f>
        <v>0</v>
      </c>
      <c r="BO371" s="16" t="str">
        <f t="shared" si="285"/>
        <v>0</v>
      </c>
      <c r="BP371" s="16" t="str">
        <f>IF(Risultati!AB370&gt;0,(AV371/Risultati!AB370),"0")</f>
        <v>0</v>
      </c>
      <c r="BQ371" s="16" t="str">
        <f>IF(Risultati!AG370&lt;&gt;0,(BH371/Risultati!AG370),"0")</f>
        <v>0</v>
      </c>
      <c r="BR371" s="16" t="str">
        <f t="shared" si="286"/>
        <v>0</v>
      </c>
      <c r="BS371" s="14" t="str">
        <f>IF(Risultati!AB370&gt;0,(Risultati!G370/Risultati!AB370),"0")</f>
        <v>0</v>
      </c>
      <c r="BT371" s="15" t="str">
        <f>IF(Risultati!AG370&lt;&gt;0,(Risultati!AB370/Risultati!AG370),"0")</f>
        <v>0</v>
      </c>
      <c r="BU371" s="23" t="str">
        <f>IF(AND(Risultati!G370&gt;0,(Risultati!AE370-Risultati!AF370)&gt;=0),((Risultati!AE370-Risultati!AF370)/Risultati!G370*360),"0")</f>
        <v>0</v>
      </c>
      <c r="BV371" s="21" t="str">
        <f>IF(OR(E371="abbreviato",Risultati!G370=0),"0",((Risultati!AC370+Risultati!AD370)/Risultati!G370*360))</f>
        <v>0</v>
      </c>
      <c r="BW371" s="21" t="str">
        <f>IF(OR(E371="abbreviato",Risultati!G370=0,SUM(Risultati!I370+Risultati!K370+Risultati!M370)=0),"0",(((Risultati!AH370+Risultati!AI370)/(Risultati!I370+Risultati!K370+Risultati!N370)*360)))</f>
        <v>0</v>
      </c>
      <c r="BX371" s="16" t="str">
        <f>IF(Risultati!AB370&gt;0,(+Risultati!AG370/Risultati!AB370),"0")</f>
        <v>0</v>
      </c>
      <c r="BY371" s="22" t="str">
        <f>IF(OR(E371="abbreviato",Risultati!G370=0),"0",(((Risultati!AK370-(Risultati!AL370+Risultati!AM370))/Risultati!G370)))</f>
        <v>0</v>
      </c>
      <c r="BZ371" s="16" t="str">
        <f>IF(Risultati!G370&gt;0,(Risultati!AJ370/Risultati!G370),"0")</f>
        <v>0</v>
      </c>
      <c r="CA371" s="8"/>
      <c r="CB371" s="9">
        <f>+Risultati!AP370</f>
        <v>0</v>
      </c>
      <c r="CC371" s="31" t="str">
        <f t="shared" si="312"/>
        <v>0</v>
      </c>
      <c r="CD371" s="9">
        <f>+Risultati!AQ370</f>
        <v>0</v>
      </c>
      <c r="CE371" s="31" t="str">
        <f t="shared" si="313"/>
        <v>0</v>
      </c>
      <c r="CF371" s="9">
        <f>+Risultati!AR370</f>
        <v>0</v>
      </c>
      <c r="CG371" s="31" t="str">
        <f t="shared" si="314"/>
        <v>0</v>
      </c>
      <c r="CH371" s="9">
        <f>+Risultati!AS370</f>
        <v>0</v>
      </c>
      <c r="CI371" s="31" t="str">
        <f t="shared" si="315"/>
        <v>0</v>
      </c>
      <c r="CJ371" s="9">
        <f t="shared" si="316"/>
        <v>0</v>
      </c>
      <c r="CK371" s="31" t="str">
        <f t="shared" si="317"/>
        <v>0</v>
      </c>
      <c r="CL371" s="10">
        <f>+Risultati!AE370+Risultati!AF370</f>
        <v>0</v>
      </c>
      <c r="CM371" s="31" t="str">
        <f t="shared" si="318"/>
        <v>0</v>
      </c>
      <c r="CN371" s="9">
        <f>+Risultati!AT370</f>
        <v>0</v>
      </c>
      <c r="CO371" s="31" t="str">
        <f t="shared" si="319"/>
        <v>0</v>
      </c>
      <c r="CP371" s="9">
        <f>+Risultati!AU370</f>
        <v>0</v>
      </c>
      <c r="CQ371" s="31" t="str">
        <f t="shared" si="320"/>
        <v>0</v>
      </c>
      <c r="CR371" s="9">
        <f>+Risultati!AL370</f>
        <v>0</v>
      </c>
      <c r="CS371" s="31" t="str">
        <f t="shared" si="321"/>
        <v>0</v>
      </c>
      <c r="CT371" s="9">
        <f t="shared" si="322"/>
        <v>0</v>
      </c>
      <c r="CU371" s="31" t="str">
        <f t="shared" si="323"/>
        <v>0</v>
      </c>
      <c r="CV371" s="9">
        <f>+Risultati!AX370</f>
        <v>0</v>
      </c>
      <c r="CW371" s="31" t="str">
        <f t="shared" si="324"/>
        <v>0</v>
      </c>
      <c r="CX371" s="9">
        <f t="shared" si="325"/>
        <v>0</v>
      </c>
      <c r="CY371" s="31" t="str">
        <f t="shared" si="326"/>
        <v>0</v>
      </c>
      <c r="CZ371" s="9">
        <f>+Risultati!AG370</f>
        <v>0</v>
      </c>
      <c r="DA371" s="31" t="str">
        <f t="shared" si="327"/>
        <v>0</v>
      </c>
      <c r="DB371" s="9">
        <f t="shared" si="328"/>
        <v>0</v>
      </c>
      <c r="DC371" s="31" t="str">
        <f t="shared" si="329"/>
        <v>0</v>
      </c>
      <c r="DD371" s="9">
        <f>+Risultati!AV370</f>
        <v>0</v>
      </c>
      <c r="DE371" s="31" t="str">
        <f t="shared" si="330"/>
        <v>0</v>
      </c>
      <c r="DF371" s="9">
        <f>+Risultati!AJ370</f>
        <v>0</v>
      </c>
      <c r="DG371" s="31" t="str">
        <f t="shared" si="331"/>
        <v>0</v>
      </c>
      <c r="DH371" s="9">
        <f t="shared" si="332"/>
        <v>0</v>
      </c>
      <c r="DI371" s="31" t="str">
        <f t="shared" si="333"/>
        <v>0</v>
      </c>
      <c r="DJ371" s="9">
        <f>+Risultati!AW370</f>
        <v>0</v>
      </c>
      <c r="DK371" s="31" t="str">
        <f t="shared" si="334"/>
        <v>0</v>
      </c>
      <c r="DL371" s="10">
        <f t="shared" si="305"/>
        <v>0</v>
      </c>
      <c r="DM371" s="31" t="str">
        <f t="shared" si="335"/>
        <v>0</v>
      </c>
      <c r="DO371" s="30"/>
      <c r="DP371" s="30"/>
    </row>
    <row r="372" spans="1:120" x14ac:dyDescent="0.2">
      <c r="A372" s="5"/>
      <c r="B372" s="6">
        <f>+Risultati!B371</f>
        <v>0</v>
      </c>
      <c r="C372" s="6">
        <f>+Risultati!C371</f>
        <v>0</v>
      </c>
      <c r="D372" s="26" t="str">
        <f>IF(YEAR(Risultati!D371)=1900,(MID(Risultati!$AP$1,29,4)),YEAR(Risultati!D371))</f>
        <v/>
      </c>
      <c r="E372" s="6">
        <f>+Risultati!E371</f>
        <v>0</v>
      </c>
      <c r="F372" s="8" t="e">
        <f>(LEFT(Risultati!AN371,2)&amp;"-")&amp;VLOOKUP((LEFT(Risultati!AN371,2)),ateco!$B$4:$C$93,2,FALSE)</f>
        <v>#N/A</v>
      </c>
      <c r="G372" s="8" t="str">
        <f>SUBSTITUTE((Risultati!AN371&amp;"-"&amp;Risultati!AO371),",",";")</f>
        <v>-</v>
      </c>
      <c r="I372" s="10">
        <f>+Risultati!G371</f>
        <v>0</v>
      </c>
      <c r="J372" s="11" t="str">
        <f t="shared" si="287"/>
        <v>0</v>
      </c>
      <c r="K372" s="12"/>
      <c r="L372" s="10">
        <f>+Risultati!G371+Risultati!H371</f>
        <v>0</v>
      </c>
      <c r="M372" s="11" t="str">
        <f t="shared" si="288"/>
        <v>0</v>
      </c>
      <c r="N372" s="12"/>
      <c r="O372" s="10">
        <f>+Risultati!I371+Risultati!J371</f>
        <v>0</v>
      </c>
      <c r="P372" s="11" t="str">
        <f t="shared" si="289"/>
        <v>0</v>
      </c>
      <c r="Q372" s="12"/>
      <c r="R372" s="13">
        <f t="shared" si="306"/>
        <v>0</v>
      </c>
      <c r="S372" s="11" t="str">
        <f t="shared" si="290"/>
        <v>0</v>
      </c>
      <c r="T372" s="12"/>
      <c r="U372" s="10">
        <f>+Risultati!F371-(Risultati!G371+Risultati!H371)</f>
        <v>0</v>
      </c>
      <c r="V372" s="12" t="str">
        <f t="shared" si="291"/>
        <v>0</v>
      </c>
      <c r="W372" s="12"/>
      <c r="X372" s="10">
        <f t="shared" si="307"/>
        <v>0</v>
      </c>
      <c r="Y372" s="12" t="str">
        <f t="shared" si="292"/>
        <v>0</v>
      </c>
      <c r="Z372" s="12"/>
      <c r="AA372" s="10">
        <f>+Risultati!K371</f>
        <v>0</v>
      </c>
      <c r="AB372" s="12" t="str">
        <f t="shared" si="293"/>
        <v>0</v>
      </c>
      <c r="AC372" s="12"/>
      <c r="AD372" s="10">
        <f>+Risultati!L371</f>
        <v>0</v>
      </c>
      <c r="AE372" s="12" t="str">
        <f t="shared" si="294"/>
        <v>0</v>
      </c>
      <c r="AF372" s="12"/>
      <c r="AG372" s="10">
        <f>+Risultati!M371+Risultati!P371+Risultati!Q371</f>
        <v>0</v>
      </c>
      <c r="AH372" s="12" t="str">
        <f t="shared" si="295"/>
        <v>0</v>
      </c>
      <c r="AI372" s="12"/>
      <c r="AJ372" s="13">
        <f t="shared" si="308"/>
        <v>0</v>
      </c>
      <c r="AK372" s="11" t="str">
        <f t="shared" si="296"/>
        <v>0</v>
      </c>
      <c r="AL372" s="12"/>
      <c r="AM372" s="10">
        <f>+Risultati!N371</f>
        <v>0</v>
      </c>
      <c r="AN372" s="12" t="str">
        <f t="shared" si="297"/>
        <v>0</v>
      </c>
      <c r="AO372" s="12"/>
      <c r="AP372" s="10">
        <f t="shared" si="309"/>
        <v>0</v>
      </c>
      <c r="AQ372" s="41" t="str">
        <f t="shared" si="298"/>
        <v>0</v>
      </c>
      <c r="AR372" s="12"/>
      <c r="AS372" s="10">
        <f>+Risultati!O371</f>
        <v>0</v>
      </c>
      <c r="AT372" s="12" t="str">
        <f t="shared" si="299"/>
        <v>0</v>
      </c>
      <c r="AU372" s="12"/>
      <c r="AV372" s="10">
        <f t="shared" si="310"/>
        <v>0</v>
      </c>
      <c r="AW372" s="12" t="str">
        <f t="shared" si="300"/>
        <v>0</v>
      </c>
      <c r="AX372" s="12"/>
      <c r="AY372" s="10">
        <f>+Risultati!R371+Risultati!S371</f>
        <v>0</v>
      </c>
      <c r="AZ372" s="12" t="str">
        <f t="shared" si="301"/>
        <v>0</v>
      </c>
      <c r="BA372" s="12"/>
      <c r="BB372" s="10">
        <f>+Risultati!T371</f>
        <v>0</v>
      </c>
      <c r="BC372" s="12" t="str">
        <f t="shared" si="302"/>
        <v>0</v>
      </c>
      <c r="BD372" s="12"/>
      <c r="BE372" s="10">
        <f>+Risultati!U371</f>
        <v>0</v>
      </c>
      <c r="BF372" s="12" t="str">
        <f t="shared" si="303"/>
        <v>0</v>
      </c>
      <c r="BG372" s="12"/>
      <c r="BH372" s="10">
        <f t="shared" si="311"/>
        <v>0</v>
      </c>
      <c r="BI372" s="12" t="str">
        <f t="shared" si="304"/>
        <v>0</v>
      </c>
      <c r="BK372" s="16">
        <f>IF(ISNUMBER(Risultati!X371/100),(Risultati!X371/100))</f>
        <v>0</v>
      </c>
      <c r="BL372" s="16">
        <f>IF(ISNUMBER(Risultati!Y371/100),(Risultati!Y371/100))</f>
        <v>0</v>
      </c>
      <c r="BM372" s="16">
        <f>IF(ISNUMBER(Risultati!Z371/100),(Risultati!Z371/100))</f>
        <v>0</v>
      </c>
      <c r="BN372" s="16">
        <f>IF(AND(Risultati!AY371&lt;0,calcoli!AP372&lt;0),-IF(ISNUMBER(Risultati!AA371/100),(Risultati!AA371/100)),IF(ISNUMBER(Risultati!AA371/100),(Risultati!AA371/100)))</f>
        <v>0</v>
      </c>
      <c r="BO372" s="16" t="str">
        <f t="shared" si="285"/>
        <v>0</v>
      </c>
      <c r="BP372" s="16" t="str">
        <f>IF(Risultati!AB371&gt;0,(AV372/Risultati!AB371),"0")</f>
        <v>0</v>
      </c>
      <c r="BQ372" s="16" t="str">
        <f>IF(Risultati!AG371&lt;&gt;0,(BH372/Risultati!AG371),"0")</f>
        <v>0</v>
      </c>
      <c r="BR372" s="16" t="str">
        <f t="shared" si="286"/>
        <v>0</v>
      </c>
      <c r="BS372" s="14" t="str">
        <f>IF(Risultati!AB371&gt;0,(Risultati!G371/Risultati!AB371),"0")</f>
        <v>0</v>
      </c>
      <c r="BT372" s="15" t="str">
        <f>IF(Risultati!AG371&lt;&gt;0,(Risultati!AB371/Risultati!AG371),"0")</f>
        <v>0</v>
      </c>
      <c r="BU372" s="23" t="str">
        <f>IF(AND(Risultati!G371&gt;0,(Risultati!AE371-Risultati!AF371)&gt;=0),((Risultati!AE371-Risultati!AF371)/Risultati!G371*360),"0")</f>
        <v>0</v>
      </c>
      <c r="BV372" s="21" t="str">
        <f>IF(OR(E372="abbreviato",Risultati!G371=0),"0",((Risultati!AC371+Risultati!AD371)/Risultati!G371*360))</f>
        <v>0</v>
      </c>
      <c r="BW372" s="21" t="str">
        <f>IF(OR(E372="abbreviato",Risultati!G371=0,SUM(Risultati!I371+Risultati!K371+Risultati!M371)=0),"0",(((Risultati!AH371+Risultati!AI371)/(Risultati!I371+Risultati!K371+Risultati!N371)*360)))</f>
        <v>0</v>
      </c>
      <c r="BX372" s="16" t="str">
        <f>IF(Risultati!AB371&gt;0,(+Risultati!AG371/Risultati!AB371),"0")</f>
        <v>0</v>
      </c>
      <c r="BY372" s="22" t="str">
        <f>IF(OR(E372="abbreviato",Risultati!G371=0),"0",(((Risultati!AK371-(Risultati!AL371+Risultati!AM371))/Risultati!G371)))</f>
        <v>0</v>
      </c>
      <c r="BZ372" s="16" t="str">
        <f>IF(Risultati!G371&gt;0,(Risultati!AJ371/Risultati!G371),"0")</f>
        <v>0</v>
      </c>
      <c r="CA372" s="8"/>
      <c r="CB372" s="9">
        <f>+Risultati!AP371</f>
        <v>0</v>
      </c>
      <c r="CC372" s="31" t="str">
        <f t="shared" si="312"/>
        <v>0</v>
      </c>
      <c r="CD372" s="9">
        <f>+Risultati!AQ371</f>
        <v>0</v>
      </c>
      <c r="CE372" s="31" t="str">
        <f t="shared" si="313"/>
        <v>0</v>
      </c>
      <c r="CF372" s="9">
        <f>+Risultati!AR371</f>
        <v>0</v>
      </c>
      <c r="CG372" s="31" t="str">
        <f t="shared" si="314"/>
        <v>0</v>
      </c>
      <c r="CH372" s="9">
        <f>+Risultati!AS371</f>
        <v>0</v>
      </c>
      <c r="CI372" s="31" t="str">
        <f t="shared" si="315"/>
        <v>0</v>
      </c>
      <c r="CJ372" s="9">
        <f t="shared" si="316"/>
        <v>0</v>
      </c>
      <c r="CK372" s="31" t="str">
        <f t="shared" si="317"/>
        <v>0</v>
      </c>
      <c r="CL372" s="10">
        <f>+Risultati!AE371+Risultati!AF371</f>
        <v>0</v>
      </c>
      <c r="CM372" s="31" t="str">
        <f t="shared" si="318"/>
        <v>0</v>
      </c>
      <c r="CN372" s="9">
        <f>+Risultati!AT371</f>
        <v>0</v>
      </c>
      <c r="CO372" s="31" t="str">
        <f t="shared" si="319"/>
        <v>0</v>
      </c>
      <c r="CP372" s="9">
        <f>+Risultati!AU371</f>
        <v>0</v>
      </c>
      <c r="CQ372" s="31" t="str">
        <f t="shared" si="320"/>
        <v>0</v>
      </c>
      <c r="CR372" s="9">
        <f>+Risultati!AL371</f>
        <v>0</v>
      </c>
      <c r="CS372" s="31" t="str">
        <f t="shared" si="321"/>
        <v>0</v>
      </c>
      <c r="CT372" s="9">
        <f t="shared" si="322"/>
        <v>0</v>
      </c>
      <c r="CU372" s="31" t="str">
        <f t="shared" si="323"/>
        <v>0</v>
      </c>
      <c r="CV372" s="9">
        <f>+Risultati!AX371</f>
        <v>0</v>
      </c>
      <c r="CW372" s="31" t="str">
        <f t="shared" si="324"/>
        <v>0</v>
      </c>
      <c r="CX372" s="9">
        <f t="shared" si="325"/>
        <v>0</v>
      </c>
      <c r="CY372" s="31" t="str">
        <f t="shared" si="326"/>
        <v>0</v>
      </c>
      <c r="CZ372" s="9">
        <f>+Risultati!AG371</f>
        <v>0</v>
      </c>
      <c r="DA372" s="31" t="str">
        <f t="shared" si="327"/>
        <v>0</v>
      </c>
      <c r="DB372" s="9">
        <f t="shared" si="328"/>
        <v>0</v>
      </c>
      <c r="DC372" s="31" t="str">
        <f t="shared" si="329"/>
        <v>0</v>
      </c>
      <c r="DD372" s="9">
        <f>+Risultati!AV371</f>
        <v>0</v>
      </c>
      <c r="DE372" s="31" t="str">
        <f t="shared" si="330"/>
        <v>0</v>
      </c>
      <c r="DF372" s="9">
        <f>+Risultati!AJ371</f>
        <v>0</v>
      </c>
      <c r="DG372" s="31" t="str">
        <f t="shared" si="331"/>
        <v>0</v>
      </c>
      <c r="DH372" s="9">
        <f t="shared" si="332"/>
        <v>0</v>
      </c>
      <c r="DI372" s="31" t="str">
        <f t="shared" si="333"/>
        <v>0</v>
      </c>
      <c r="DJ372" s="9">
        <f>+Risultati!AW371</f>
        <v>0</v>
      </c>
      <c r="DK372" s="31" t="str">
        <f t="shared" si="334"/>
        <v>0</v>
      </c>
      <c r="DL372" s="10">
        <f t="shared" si="305"/>
        <v>0</v>
      </c>
      <c r="DM372" s="31" t="str">
        <f t="shared" si="335"/>
        <v>0</v>
      </c>
      <c r="DO372" s="30"/>
      <c r="DP372" s="30"/>
    </row>
    <row r="373" spans="1:120" x14ac:dyDescent="0.2">
      <c r="A373" s="5"/>
      <c r="B373" s="6">
        <f>+Risultati!B372</f>
        <v>0</v>
      </c>
      <c r="C373" s="6">
        <f>+Risultati!C372</f>
        <v>0</v>
      </c>
      <c r="D373" s="26" t="str">
        <f>IF(YEAR(Risultati!D372)=1900,(MID(Risultati!$AP$1,29,4)),YEAR(Risultati!D372))</f>
        <v/>
      </c>
      <c r="E373" s="6">
        <f>+Risultati!E372</f>
        <v>0</v>
      </c>
      <c r="F373" s="8" t="e">
        <f>(LEFT(Risultati!AN372,2)&amp;"-")&amp;VLOOKUP((LEFT(Risultati!AN372,2)),ateco!$B$4:$C$93,2,FALSE)</f>
        <v>#N/A</v>
      </c>
      <c r="G373" s="8" t="str">
        <f>SUBSTITUTE((Risultati!AN372&amp;"-"&amp;Risultati!AO372),",",";")</f>
        <v>-</v>
      </c>
      <c r="I373" s="10">
        <f>+Risultati!G372</f>
        <v>0</v>
      </c>
      <c r="J373" s="11" t="str">
        <f t="shared" si="287"/>
        <v>0</v>
      </c>
      <c r="K373" s="12"/>
      <c r="L373" s="10">
        <f>+Risultati!G372+Risultati!H372</f>
        <v>0</v>
      </c>
      <c r="M373" s="11" t="str">
        <f t="shared" si="288"/>
        <v>0</v>
      </c>
      <c r="N373" s="12"/>
      <c r="O373" s="10">
        <f>+Risultati!I372+Risultati!J372</f>
        <v>0</v>
      </c>
      <c r="P373" s="11" t="str">
        <f t="shared" si="289"/>
        <v>0</v>
      </c>
      <c r="Q373" s="12"/>
      <c r="R373" s="13">
        <f t="shared" si="306"/>
        <v>0</v>
      </c>
      <c r="S373" s="11" t="str">
        <f t="shared" si="290"/>
        <v>0</v>
      </c>
      <c r="T373" s="12"/>
      <c r="U373" s="10">
        <f>+Risultati!F372-(Risultati!G372+Risultati!H372)</f>
        <v>0</v>
      </c>
      <c r="V373" s="12" t="str">
        <f t="shared" si="291"/>
        <v>0</v>
      </c>
      <c r="W373" s="12"/>
      <c r="X373" s="10">
        <f t="shared" si="307"/>
        <v>0</v>
      </c>
      <c r="Y373" s="12" t="str">
        <f t="shared" si="292"/>
        <v>0</v>
      </c>
      <c r="Z373" s="12"/>
      <c r="AA373" s="10">
        <f>+Risultati!K372</f>
        <v>0</v>
      </c>
      <c r="AB373" s="12" t="str">
        <f t="shared" si="293"/>
        <v>0</v>
      </c>
      <c r="AC373" s="12"/>
      <c r="AD373" s="10">
        <f>+Risultati!L372</f>
        <v>0</v>
      </c>
      <c r="AE373" s="12" t="str">
        <f t="shared" si="294"/>
        <v>0</v>
      </c>
      <c r="AF373" s="12"/>
      <c r="AG373" s="10">
        <f>+Risultati!M372+Risultati!P372+Risultati!Q372</f>
        <v>0</v>
      </c>
      <c r="AH373" s="12" t="str">
        <f t="shared" si="295"/>
        <v>0</v>
      </c>
      <c r="AI373" s="12"/>
      <c r="AJ373" s="13">
        <f t="shared" si="308"/>
        <v>0</v>
      </c>
      <c r="AK373" s="11" t="str">
        <f t="shared" si="296"/>
        <v>0</v>
      </c>
      <c r="AL373" s="12"/>
      <c r="AM373" s="10">
        <f>+Risultati!N372</f>
        <v>0</v>
      </c>
      <c r="AN373" s="12" t="str">
        <f t="shared" si="297"/>
        <v>0</v>
      </c>
      <c r="AO373" s="12"/>
      <c r="AP373" s="10">
        <f t="shared" si="309"/>
        <v>0</v>
      </c>
      <c r="AQ373" s="41" t="str">
        <f t="shared" si="298"/>
        <v>0</v>
      </c>
      <c r="AR373" s="12"/>
      <c r="AS373" s="10">
        <f>+Risultati!O372</f>
        <v>0</v>
      </c>
      <c r="AT373" s="12" t="str">
        <f t="shared" si="299"/>
        <v>0</v>
      </c>
      <c r="AU373" s="12"/>
      <c r="AV373" s="10">
        <f t="shared" si="310"/>
        <v>0</v>
      </c>
      <c r="AW373" s="12" t="str">
        <f t="shared" si="300"/>
        <v>0</v>
      </c>
      <c r="AX373" s="12"/>
      <c r="AY373" s="10">
        <f>+Risultati!R372+Risultati!S372</f>
        <v>0</v>
      </c>
      <c r="AZ373" s="12" t="str">
        <f t="shared" si="301"/>
        <v>0</v>
      </c>
      <c r="BA373" s="12"/>
      <c r="BB373" s="10">
        <f>+Risultati!T372</f>
        <v>0</v>
      </c>
      <c r="BC373" s="12" t="str">
        <f t="shared" si="302"/>
        <v>0</v>
      </c>
      <c r="BD373" s="12"/>
      <c r="BE373" s="10">
        <f>+Risultati!U372</f>
        <v>0</v>
      </c>
      <c r="BF373" s="12" t="str">
        <f t="shared" si="303"/>
        <v>0</v>
      </c>
      <c r="BG373" s="12"/>
      <c r="BH373" s="10">
        <f t="shared" si="311"/>
        <v>0</v>
      </c>
      <c r="BI373" s="12" t="str">
        <f t="shared" si="304"/>
        <v>0</v>
      </c>
      <c r="BK373" s="16">
        <f>IF(ISNUMBER(Risultati!X372/100),(Risultati!X372/100))</f>
        <v>0</v>
      </c>
      <c r="BL373" s="16">
        <f>IF(ISNUMBER(Risultati!Y372/100),(Risultati!Y372/100))</f>
        <v>0</v>
      </c>
      <c r="BM373" s="16">
        <f>IF(ISNUMBER(Risultati!Z372/100),(Risultati!Z372/100))</f>
        <v>0</v>
      </c>
      <c r="BN373" s="16">
        <f>IF(AND(Risultati!AY372&lt;0,calcoli!AP373&lt;0),-IF(ISNUMBER(Risultati!AA372/100),(Risultati!AA372/100)),IF(ISNUMBER(Risultati!AA372/100),(Risultati!AA372/100)))</f>
        <v>0</v>
      </c>
      <c r="BO373" s="16" t="str">
        <f t="shared" si="285"/>
        <v>0</v>
      </c>
      <c r="BP373" s="16" t="str">
        <f>IF(Risultati!AB372&gt;0,(AV373/Risultati!AB372),"0")</f>
        <v>0</v>
      </c>
      <c r="BQ373" s="16" t="str">
        <f>IF(Risultati!AG372&lt;&gt;0,(BH373/Risultati!AG372),"0")</f>
        <v>0</v>
      </c>
      <c r="BR373" s="16" t="str">
        <f t="shared" si="286"/>
        <v>0</v>
      </c>
      <c r="BS373" s="14" t="str">
        <f>IF(Risultati!AB372&gt;0,(Risultati!G372/Risultati!AB372),"0")</f>
        <v>0</v>
      </c>
      <c r="BT373" s="15" t="str">
        <f>IF(Risultati!AG372&lt;&gt;0,(Risultati!AB372/Risultati!AG372),"0")</f>
        <v>0</v>
      </c>
      <c r="BU373" s="23" t="str">
        <f>IF(AND(Risultati!G372&gt;0,(Risultati!AE372-Risultati!AF372)&gt;=0),((Risultati!AE372-Risultati!AF372)/Risultati!G372*360),"0")</f>
        <v>0</v>
      </c>
      <c r="BV373" s="21" t="str">
        <f>IF(OR(E373="abbreviato",Risultati!G372=0),"0",((Risultati!AC372+Risultati!AD372)/Risultati!G372*360))</f>
        <v>0</v>
      </c>
      <c r="BW373" s="21" t="str">
        <f>IF(OR(E373="abbreviato",Risultati!G372=0,SUM(Risultati!I372+Risultati!K372+Risultati!M372)=0),"0",(((Risultati!AH372+Risultati!AI372)/(Risultati!I372+Risultati!K372+Risultati!N372)*360)))</f>
        <v>0</v>
      </c>
      <c r="BX373" s="16" t="str">
        <f>IF(Risultati!AB372&gt;0,(+Risultati!AG372/Risultati!AB372),"0")</f>
        <v>0</v>
      </c>
      <c r="BY373" s="22" t="str">
        <f>IF(OR(E373="abbreviato",Risultati!G372=0),"0",(((Risultati!AK372-(Risultati!AL372+Risultati!AM372))/Risultati!G372)))</f>
        <v>0</v>
      </c>
      <c r="BZ373" s="16" t="str">
        <f>IF(Risultati!G372&gt;0,(Risultati!AJ372/Risultati!G372),"0")</f>
        <v>0</v>
      </c>
      <c r="CA373" s="8"/>
      <c r="CB373" s="9">
        <f>+Risultati!AP372</f>
        <v>0</v>
      </c>
      <c r="CC373" s="31" t="str">
        <f t="shared" si="312"/>
        <v>0</v>
      </c>
      <c r="CD373" s="9">
        <f>+Risultati!AQ372</f>
        <v>0</v>
      </c>
      <c r="CE373" s="31" t="str">
        <f t="shared" si="313"/>
        <v>0</v>
      </c>
      <c r="CF373" s="9">
        <f>+Risultati!AR372</f>
        <v>0</v>
      </c>
      <c r="CG373" s="31" t="str">
        <f t="shared" si="314"/>
        <v>0</v>
      </c>
      <c r="CH373" s="9">
        <f>+Risultati!AS372</f>
        <v>0</v>
      </c>
      <c r="CI373" s="31" t="str">
        <f t="shared" si="315"/>
        <v>0</v>
      </c>
      <c r="CJ373" s="9">
        <f t="shared" si="316"/>
        <v>0</v>
      </c>
      <c r="CK373" s="31" t="str">
        <f t="shared" si="317"/>
        <v>0</v>
      </c>
      <c r="CL373" s="10">
        <f>+Risultati!AE372+Risultati!AF372</f>
        <v>0</v>
      </c>
      <c r="CM373" s="31" t="str">
        <f t="shared" si="318"/>
        <v>0</v>
      </c>
      <c r="CN373" s="9">
        <f>+Risultati!AT372</f>
        <v>0</v>
      </c>
      <c r="CO373" s="31" t="str">
        <f t="shared" si="319"/>
        <v>0</v>
      </c>
      <c r="CP373" s="9">
        <f>+Risultati!AU372</f>
        <v>0</v>
      </c>
      <c r="CQ373" s="31" t="str">
        <f t="shared" si="320"/>
        <v>0</v>
      </c>
      <c r="CR373" s="9">
        <f>+Risultati!AL372</f>
        <v>0</v>
      </c>
      <c r="CS373" s="31" t="str">
        <f t="shared" si="321"/>
        <v>0</v>
      </c>
      <c r="CT373" s="9">
        <f t="shared" si="322"/>
        <v>0</v>
      </c>
      <c r="CU373" s="31" t="str">
        <f t="shared" si="323"/>
        <v>0</v>
      </c>
      <c r="CV373" s="9">
        <f>+Risultati!AX372</f>
        <v>0</v>
      </c>
      <c r="CW373" s="31" t="str">
        <f t="shared" si="324"/>
        <v>0</v>
      </c>
      <c r="CX373" s="9">
        <f t="shared" si="325"/>
        <v>0</v>
      </c>
      <c r="CY373" s="31" t="str">
        <f t="shared" si="326"/>
        <v>0</v>
      </c>
      <c r="CZ373" s="9">
        <f>+Risultati!AG372</f>
        <v>0</v>
      </c>
      <c r="DA373" s="31" t="str">
        <f t="shared" si="327"/>
        <v>0</v>
      </c>
      <c r="DB373" s="9">
        <f t="shared" si="328"/>
        <v>0</v>
      </c>
      <c r="DC373" s="31" t="str">
        <f t="shared" si="329"/>
        <v>0</v>
      </c>
      <c r="DD373" s="9">
        <f>+Risultati!AV372</f>
        <v>0</v>
      </c>
      <c r="DE373" s="31" t="str">
        <f t="shared" si="330"/>
        <v>0</v>
      </c>
      <c r="DF373" s="9">
        <f>+Risultati!AJ372</f>
        <v>0</v>
      </c>
      <c r="DG373" s="31" t="str">
        <f t="shared" si="331"/>
        <v>0</v>
      </c>
      <c r="DH373" s="9">
        <f t="shared" si="332"/>
        <v>0</v>
      </c>
      <c r="DI373" s="31" t="str">
        <f t="shared" si="333"/>
        <v>0</v>
      </c>
      <c r="DJ373" s="9">
        <f>+Risultati!AW372</f>
        <v>0</v>
      </c>
      <c r="DK373" s="31" t="str">
        <f t="shared" si="334"/>
        <v>0</v>
      </c>
      <c r="DL373" s="10">
        <f t="shared" si="305"/>
        <v>0</v>
      </c>
      <c r="DM373" s="31" t="str">
        <f t="shared" si="335"/>
        <v>0</v>
      </c>
      <c r="DO373" s="30"/>
      <c r="DP373" s="30"/>
    </row>
    <row r="374" spans="1:120" x14ac:dyDescent="0.2">
      <c r="A374" s="5"/>
      <c r="B374" s="6">
        <f>+Risultati!B373</f>
        <v>0</v>
      </c>
      <c r="C374" s="6">
        <f>+Risultati!C373</f>
        <v>0</v>
      </c>
      <c r="D374" s="26" t="str">
        <f>IF(YEAR(Risultati!D373)=1900,(MID(Risultati!$AP$1,29,4)),YEAR(Risultati!D373))</f>
        <v/>
      </c>
      <c r="E374" s="6">
        <f>+Risultati!E373</f>
        <v>0</v>
      </c>
      <c r="F374" s="8" t="e">
        <f>(LEFT(Risultati!AN373,2)&amp;"-")&amp;VLOOKUP((LEFT(Risultati!AN373,2)),ateco!$B$4:$C$93,2,FALSE)</f>
        <v>#N/A</v>
      </c>
      <c r="G374" s="8" t="str">
        <f>SUBSTITUTE((Risultati!AN373&amp;"-"&amp;Risultati!AO373),",",";")</f>
        <v>-</v>
      </c>
      <c r="I374" s="10">
        <f>+Risultati!G373</f>
        <v>0</v>
      </c>
      <c r="J374" s="11" t="str">
        <f t="shared" si="287"/>
        <v>0</v>
      </c>
      <c r="K374" s="12"/>
      <c r="L374" s="10">
        <f>+Risultati!G373+Risultati!H373</f>
        <v>0</v>
      </c>
      <c r="M374" s="11" t="str">
        <f t="shared" si="288"/>
        <v>0</v>
      </c>
      <c r="N374" s="12"/>
      <c r="O374" s="10">
        <f>+Risultati!I373+Risultati!J373</f>
        <v>0</v>
      </c>
      <c r="P374" s="11" t="str">
        <f t="shared" si="289"/>
        <v>0</v>
      </c>
      <c r="Q374" s="12"/>
      <c r="R374" s="13">
        <f t="shared" si="306"/>
        <v>0</v>
      </c>
      <c r="S374" s="11" t="str">
        <f t="shared" si="290"/>
        <v>0</v>
      </c>
      <c r="T374" s="12"/>
      <c r="U374" s="10">
        <f>+Risultati!F373-(Risultati!G373+Risultati!H373)</f>
        <v>0</v>
      </c>
      <c r="V374" s="12" t="str">
        <f t="shared" si="291"/>
        <v>0</v>
      </c>
      <c r="W374" s="12"/>
      <c r="X374" s="10">
        <f t="shared" si="307"/>
        <v>0</v>
      </c>
      <c r="Y374" s="12" t="str">
        <f t="shared" si="292"/>
        <v>0</v>
      </c>
      <c r="Z374" s="12"/>
      <c r="AA374" s="10">
        <f>+Risultati!K373</f>
        <v>0</v>
      </c>
      <c r="AB374" s="12" t="str">
        <f t="shared" si="293"/>
        <v>0</v>
      </c>
      <c r="AC374" s="12"/>
      <c r="AD374" s="10">
        <f>+Risultati!L373</f>
        <v>0</v>
      </c>
      <c r="AE374" s="12" t="str">
        <f t="shared" si="294"/>
        <v>0</v>
      </c>
      <c r="AF374" s="12"/>
      <c r="AG374" s="10">
        <f>+Risultati!M373+Risultati!P373+Risultati!Q373</f>
        <v>0</v>
      </c>
      <c r="AH374" s="12" t="str">
        <f t="shared" si="295"/>
        <v>0</v>
      </c>
      <c r="AI374" s="12"/>
      <c r="AJ374" s="13">
        <f t="shared" si="308"/>
        <v>0</v>
      </c>
      <c r="AK374" s="11" t="str">
        <f t="shared" si="296"/>
        <v>0</v>
      </c>
      <c r="AL374" s="12"/>
      <c r="AM374" s="10">
        <f>+Risultati!N373</f>
        <v>0</v>
      </c>
      <c r="AN374" s="12" t="str">
        <f t="shared" si="297"/>
        <v>0</v>
      </c>
      <c r="AO374" s="12"/>
      <c r="AP374" s="10">
        <f t="shared" si="309"/>
        <v>0</v>
      </c>
      <c r="AQ374" s="41" t="str">
        <f t="shared" si="298"/>
        <v>0</v>
      </c>
      <c r="AR374" s="12"/>
      <c r="AS374" s="10">
        <f>+Risultati!O373</f>
        <v>0</v>
      </c>
      <c r="AT374" s="12" t="str">
        <f t="shared" si="299"/>
        <v>0</v>
      </c>
      <c r="AU374" s="12"/>
      <c r="AV374" s="10">
        <f t="shared" si="310"/>
        <v>0</v>
      </c>
      <c r="AW374" s="12" t="str">
        <f t="shared" si="300"/>
        <v>0</v>
      </c>
      <c r="AX374" s="12"/>
      <c r="AY374" s="10">
        <f>+Risultati!R373+Risultati!S373</f>
        <v>0</v>
      </c>
      <c r="AZ374" s="12" t="str">
        <f t="shared" si="301"/>
        <v>0</v>
      </c>
      <c r="BA374" s="12"/>
      <c r="BB374" s="10">
        <f>+Risultati!T373</f>
        <v>0</v>
      </c>
      <c r="BC374" s="12" t="str">
        <f t="shared" si="302"/>
        <v>0</v>
      </c>
      <c r="BD374" s="12"/>
      <c r="BE374" s="10">
        <f>+Risultati!U373</f>
        <v>0</v>
      </c>
      <c r="BF374" s="12" t="str">
        <f t="shared" si="303"/>
        <v>0</v>
      </c>
      <c r="BG374" s="12"/>
      <c r="BH374" s="10">
        <f t="shared" si="311"/>
        <v>0</v>
      </c>
      <c r="BI374" s="12" t="str">
        <f t="shared" si="304"/>
        <v>0</v>
      </c>
      <c r="BK374" s="16">
        <f>IF(ISNUMBER(Risultati!X373/100),(Risultati!X373/100))</f>
        <v>0</v>
      </c>
      <c r="BL374" s="16">
        <f>IF(ISNUMBER(Risultati!Y373/100),(Risultati!Y373/100))</f>
        <v>0</v>
      </c>
      <c r="BM374" s="16">
        <f>IF(ISNUMBER(Risultati!Z373/100),(Risultati!Z373/100))</f>
        <v>0</v>
      </c>
      <c r="BN374" s="16">
        <f>IF(AND(Risultati!AY373&lt;0,calcoli!AP374&lt;0),-IF(ISNUMBER(Risultati!AA373/100),(Risultati!AA373/100)),IF(ISNUMBER(Risultati!AA373/100),(Risultati!AA373/100)))</f>
        <v>0</v>
      </c>
      <c r="BO374" s="16" t="str">
        <f t="shared" si="285"/>
        <v>0</v>
      </c>
      <c r="BP374" s="16" t="str">
        <f>IF(Risultati!AB373&gt;0,(AV374/Risultati!AB373),"0")</f>
        <v>0</v>
      </c>
      <c r="BQ374" s="16" t="str">
        <f>IF(Risultati!AG373&lt;&gt;0,(BH374/Risultati!AG373),"0")</f>
        <v>0</v>
      </c>
      <c r="BR374" s="16" t="str">
        <f t="shared" si="286"/>
        <v>0</v>
      </c>
      <c r="BS374" s="14" t="str">
        <f>IF(Risultati!AB373&gt;0,(Risultati!G373/Risultati!AB373),"0")</f>
        <v>0</v>
      </c>
      <c r="BT374" s="15" t="str">
        <f>IF(Risultati!AG373&lt;&gt;0,(Risultati!AB373/Risultati!AG373),"0")</f>
        <v>0</v>
      </c>
      <c r="BU374" s="23" t="str">
        <f>IF(AND(Risultati!G373&gt;0,(Risultati!AE373-Risultati!AF373)&gt;=0),((Risultati!AE373-Risultati!AF373)/Risultati!G373*360),"0")</f>
        <v>0</v>
      </c>
      <c r="BV374" s="21" t="str">
        <f>IF(OR(E374="abbreviato",Risultati!G373=0),"0",((Risultati!AC373+Risultati!AD373)/Risultati!G373*360))</f>
        <v>0</v>
      </c>
      <c r="BW374" s="21" t="str">
        <f>IF(OR(E374="abbreviato",Risultati!G373=0,SUM(Risultati!I373+Risultati!K373+Risultati!M373)=0),"0",(((Risultati!AH373+Risultati!AI373)/(Risultati!I373+Risultati!K373+Risultati!N373)*360)))</f>
        <v>0</v>
      </c>
      <c r="BX374" s="16" t="str">
        <f>IF(Risultati!AB373&gt;0,(+Risultati!AG373/Risultati!AB373),"0")</f>
        <v>0</v>
      </c>
      <c r="BY374" s="22" t="str">
        <f>IF(OR(E374="abbreviato",Risultati!G373=0),"0",(((Risultati!AK373-(Risultati!AL373+Risultati!AM373))/Risultati!G373)))</f>
        <v>0</v>
      </c>
      <c r="BZ374" s="16" t="str">
        <f>IF(Risultati!G373&gt;0,(Risultati!AJ373/Risultati!G373),"0")</f>
        <v>0</v>
      </c>
      <c r="CA374" s="8"/>
      <c r="CB374" s="9">
        <f>+Risultati!AP373</f>
        <v>0</v>
      </c>
      <c r="CC374" s="31" t="str">
        <f t="shared" si="312"/>
        <v>0</v>
      </c>
      <c r="CD374" s="9">
        <f>+Risultati!AQ373</f>
        <v>0</v>
      </c>
      <c r="CE374" s="31" t="str">
        <f t="shared" si="313"/>
        <v>0</v>
      </c>
      <c r="CF374" s="9">
        <f>+Risultati!AR373</f>
        <v>0</v>
      </c>
      <c r="CG374" s="31" t="str">
        <f t="shared" si="314"/>
        <v>0</v>
      </c>
      <c r="CH374" s="9">
        <f>+Risultati!AS373</f>
        <v>0</v>
      </c>
      <c r="CI374" s="31" t="str">
        <f t="shared" si="315"/>
        <v>0</v>
      </c>
      <c r="CJ374" s="9">
        <f t="shared" si="316"/>
        <v>0</v>
      </c>
      <c r="CK374" s="31" t="str">
        <f t="shared" si="317"/>
        <v>0</v>
      </c>
      <c r="CL374" s="10">
        <f>+Risultati!AE373+Risultati!AF373</f>
        <v>0</v>
      </c>
      <c r="CM374" s="31" t="str">
        <f t="shared" si="318"/>
        <v>0</v>
      </c>
      <c r="CN374" s="9">
        <f>+Risultati!AT373</f>
        <v>0</v>
      </c>
      <c r="CO374" s="31" t="str">
        <f t="shared" si="319"/>
        <v>0</v>
      </c>
      <c r="CP374" s="9">
        <f>+Risultati!AU373</f>
        <v>0</v>
      </c>
      <c r="CQ374" s="31" t="str">
        <f t="shared" si="320"/>
        <v>0</v>
      </c>
      <c r="CR374" s="9">
        <f>+Risultati!AL373</f>
        <v>0</v>
      </c>
      <c r="CS374" s="31" t="str">
        <f t="shared" si="321"/>
        <v>0</v>
      </c>
      <c r="CT374" s="9">
        <f t="shared" si="322"/>
        <v>0</v>
      </c>
      <c r="CU374" s="31" t="str">
        <f t="shared" si="323"/>
        <v>0</v>
      </c>
      <c r="CV374" s="9">
        <f>+Risultati!AX373</f>
        <v>0</v>
      </c>
      <c r="CW374" s="31" t="str">
        <f t="shared" si="324"/>
        <v>0</v>
      </c>
      <c r="CX374" s="9">
        <f t="shared" si="325"/>
        <v>0</v>
      </c>
      <c r="CY374" s="31" t="str">
        <f t="shared" si="326"/>
        <v>0</v>
      </c>
      <c r="CZ374" s="9">
        <f>+Risultati!AG373</f>
        <v>0</v>
      </c>
      <c r="DA374" s="31" t="str">
        <f t="shared" si="327"/>
        <v>0</v>
      </c>
      <c r="DB374" s="9">
        <f t="shared" si="328"/>
        <v>0</v>
      </c>
      <c r="DC374" s="31" t="str">
        <f t="shared" si="329"/>
        <v>0</v>
      </c>
      <c r="DD374" s="9">
        <f>+Risultati!AV373</f>
        <v>0</v>
      </c>
      <c r="DE374" s="31" t="str">
        <f t="shared" si="330"/>
        <v>0</v>
      </c>
      <c r="DF374" s="9">
        <f>+Risultati!AJ373</f>
        <v>0</v>
      </c>
      <c r="DG374" s="31" t="str">
        <f t="shared" si="331"/>
        <v>0</v>
      </c>
      <c r="DH374" s="9">
        <f t="shared" si="332"/>
        <v>0</v>
      </c>
      <c r="DI374" s="31" t="str">
        <f t="shared" si="333"/>
        <v>0</v>
      </c>
      <c r="DJ374" s="9">
        <f>+Risultati!AW373</f>
        <v>0</v>
      </c>
      <c r="DK374" s="31" t="str">
        <f t="shared" si="334"/>
        <v>0</v>
      </c>
      <c r="DL374" s="10">
        <f t="shared" si="305"/>
        <v>0</v>
      </c>
      <c r="DM374" s="31" t="str">
        <f t="shared" si="335"/>
        <v>0</v>
      </c>
      <c r="DO374" s="30"/>
      <c r="DP374" s="30"/>
    </row>
    <row r="375" spans="1:120" x14ac:dyDescent="0.2">
      <c r="A375" s="5"/>
      <c r="B375" s="6">
        <f>+Risultati!B374</f>
        <v>0</v>
      </c>
      <c r="C375" s="6">
        <f>+Risultati!C374</f>
        <v>0</v>
      </c>
      <c r="D375" s="26" t="str">
        <f>IF(YEAR(Risultati!D374)=1900,(MID(Risultati!$AP$1,29,4)),YEAR(Risultati!D374))</f>
        <v/>
      </c>
      <c r="E375" s="6">
        <f>+Risultati!E374</f>
        <v>0</v>
      </c>
      <c r="F375" s="8" t="e">
        <f>(LEFT(Risultati!AN374,2)&amp;"-")&amp;VLOOKUP((LEFT(Risultati!AN374,2)),ateco!$B$4:$C$93,2,FALSE)</f>
        <v>#N/A</v>
      </c>
      <c r="G375" s="8" t="str">
        <f>SUBSTITUTE((Risultati!AN374&amp;"-"&amp;Risultati!AO374),",",";")</f>
        <v>-</v>
      </c>
      <c r="I375" s="10">
        <f>+Risultati!G374</f>
        <v>0</v>
      </c>
      <c r="J375" s="11" t="str">
        <f t="shared" si="287"/>
        <v>0</v>
      </c>
      <c r="K375" s="12"/>
      <c r="L375" s="10">
        <f>+Risultati!G374+Risultati!H374</f>
        <v>0</v>
      </c>
      <c r="M375" s="11" t="str">
        <f t="shared" si="288"/>
        <v>0</v>
      </c>
      <c r="N375" s="12"/>
      <c r="O375" s="10">
        <f>+Risultati!I374+Risultati!J374</f>
        <v>0</v>
      </c>
      <c r="P375" s="11" t="str">
        <f t="shared" si="289"/>
        <v>0</v>
      </c>
      <c r="Q375" s="12"/>
      <c r="R375" s="13">
        <f t="shared" si="306"/>
        <v>0</v>
      </c>
      <c r="S375" s="11" t="str">
        <f t="shared" si="290"/>
        <v>0</v>
      </c>
      <c r="T375" s="12"/>
      <c r="U375" s="10">
        <f>+Risultati!F374-(Risultati!G374+Risultati!H374)</f>
        <v>0</v>
      </c>
      <c r="V375" s="12" t="str">
        <f t="shared" si="291"/>
        <v>0</v>
      </c>
      <c r="W375" s="12"/>
      <c r="X375" s="10">
        <f t="shared" si="307"/>
        <v>0</v>
      </c>
      <c r="Y375" s="12" t="str">
        <f t="shared" si="292"/>
        <v>0</v>
      </c>
      <c r="Z375" s="12"/>
      <c r="AA375" s="10">
        <f>+Risultati!K374</f>
        <v>0</v>
      </c>
      <c r="AB375" s="12" t="str">
        <f t="shared" si="293"/>
        <v>0</v>
      </c>
      <c r="AC375" s="12"/>
      <c r="AD375" s="10">
        <f>+Risultati!L374</f>
        <v>0</v>
      </c>
      <c r="AE375" s="12" t="str">
        <f t="shared" si="294"/>
        <v>0</v>
      </c>
      <c r="AF375" s="12"/>
      <c r="AG375" s="10">
        <f>+Risultati!M374+Risultati!P374+Risultati!Q374</f>
        <v>0</v>
      </c>
      <c r="AH375" s="12" t="str">
        <f t="shared" si="295"/>
        <v>0</v>
      </c>
      <c r="AI375" s="12"/>
      <c r="AJ375" s="13">
        <f t="shared" si="308"/>
        <v>0</v>
      </c>
      <c r="AK375" s="11" t="str">
        <f t="shared" si="296"/>
        <v>0</v>
      </c>
      <c r="AL375" s="12"/>
      <c r="AM375" s="10">
        <f>+Risultati!N374</f>
        <v>0</v>
      </c>
      <c r="AN375" s="12" t="str">
        <f t="shared" si="297"/>
        <v>0</v>
      </c>
      <c r="AO375" s="12"/>
      <c r="AP375" s="10">
        <f t="shared" si="309"/>
        <v>0</v>
      </c>
      <c r="AQ375" s="41" t="str">
        <f t="shared" si="298"/>
        <v>0</v>
      </c>
      <c r="AR375" s="12"/>
      <c r="AS375" s="10">
        <f>+Risultati!O374</f>
        <v>0</v>
      </c>
      <c r="AT375" s="12" t="str">
        <f t="shared" si="299"/>
        <v>0</v>
      </c>
      <c r="AU375" s="12"/>
      <c r="AV375" s="10">
        <f t="shared" si="310"/>
        <v>0</v>
      </c>
      <c r="AW375" s="12" t="str">
        <f t="shared" si="300"/>
        <v>0</v>
      </c>
      <c r="AX375" s="12"/>
      <c r="AY375" s="10">
        <f>+Risultati!R374+Risultati!S374</f>
        <v>0</v>
      </c>
      <c r="AZ375" s="12" t="str">
        <f t="shared" si="301"/>
        <v>0</v>
      </c>
      <c r="BA375" s="12"/>
      <c r="BB375" s="10">
        <f>+Risultati!T374</f>
        <v>0</v>
      </c>
      <c r="BC375" s="12" t="str">
        <f t="shared" si="302"/>
        <v>0</v>
      </c>
      <c r="BD375" s="12"/>
      <c r="BE375" s="10">
        <f>+Risultati!U374</f>
        <v>0</v>
      </c>
      <c r="BF375" s="12" t="str">
        <f t="shared" si="303"/>
        <v>0</v>
      </c>
      <c r="BG375" s="12"/>
      <c r="BH375" s="10">
        <f t="shared" si="311"/>
        <v>0</v>
      </c>
      <c r="BI375" s="12" t="str">
        <f t="shared" si="304"/>
        <v>0</v>
      </c>
      <c r="BK375" s="16">
        <f>IF(ISNUMBER(Risultati!X374/100),(Risultati!X374/100))</f>
        <v>0</v>
      </c>
      <c r="BL375" s="16">
        <f>IF(ISNUMBER(Risultati!Y374/100),(Risultati!Y374/100))</f>
        <v>0</v>
      </c>
      <c r="BM375" s="16">
        <f>IF(ISNUMBER(Risultati!Z374/100),(Risultati!Z374/100))</f>
        <v>0</v>
      </c>
      <c r="BN375" s="16">
        <f>IF(AND(Risultati!AY374&lt;0,calcoli!AP375&lt;0),-IF(ISNUMBER(Risultati!AA374/100),(Risultati!AA374/100)),IF(ISNUMBER(Risultati!AA374/100),(Risultati!AA374/100)))</f>
        <v>0</v>
      </c>
      <c r="BO375" s="16" t="str">
        <f t="shared" si="285"/>
        <v>0</v>
      </c>
      <c r="BP375" s="16" t="str">
        <f>IF(Risultati!AB374&gt;0,(AV375/Risultati!AB374),"0")</f>
        <v>0</v>
      </c>
      <c r="BQ375" s="16" t="str">
        <f>IF(Risultati!AG374&lt;&gt;0,(BH375/Risultati!AG374),"0")</f>
        <v>0</v>
      </c>
      <c r="BR375" s="16" t="str">
        <f t="shared" si="286"/>
        <v>0</v>
      </c>
      <c r="BS375" s="14" t="str">
        <f>IF(Risultati!AB374&gt;0,(Risultati!G374/Risultati!AB374),"0")</f>
        <v>0</v>
      </c>
      <c r="BT375" s="15" t="str">
        <f>IF(Risultati!AG374&lt;&gt;0,(Risultati!AB374/Risultati!AG374),"0")</f>
        <v>0</v>
      </c>
      <c r="BU375" s="23" t="str">
        <f>IF(AND(Risultati!G374&gt;0,(Risultati!AE374-Risultati!AF374)&gt;=0),((Risultati!AE374-Risultati!AF374)/Risultati!G374*360),"0")</f>
        <v>0</v>
      </c>
      <c r="BV375" s="21" t="str">
        <f>IF(OR(E375="abbreviato",Risultati!G374=0),"0",((Risultati!AC374+Risultati!AD374)/Risultati!G374*360))</f>
        <v>0</v>
      </c>
      <c r="BW375" s="21" t="str">
        <f>IF(OR(E375="abbreviato",Risultati!G374=0,SUM(Risultati!I374+Risultati!K374+Risultati!M374)=0),"0",(((Risultati!AH374+Risultati!AI374)/(Risultati!I374+Risultati!K374+Risultati!N374)*360)))</f>
        <v>0</v>
      </c>
      <c r="BX375" s="16" t="str">
        <f>IF(Risultati!AB374&gt;0,(+Risultati!AG374/Risultati!AB374),"0")</f>
        <v>0</v>
      </c>
      <c r="BY375" s="22" t="str">
        <f>IF(OR(E375="abbreviato",Risultati!G374=0),"0",(((Risultati!AK374-(Risultati!AL374+Risultati!AM374))/Risultati!G374)))</f>
        <v>0</v>
      </c>
      <c r="BZ375" s="16" t="str">
        <f>IF(Risultati!G374&gt;0,(Risultati!AJ374/Risultati!G374),"0")</f>
        <v>0</v>
      </c>
      <c r="CA375" s="8"/>
      <c r="CB375" s="9">
        <f>+Risultati!AP374</f>
        <v>0</v>
      </c>
      <c r="CC375" s="31" t="str">
        <f t="shared" si="312"/>
        <v>0</v>
      </c>
      <c r="CD375" s="9">
        <f>+Risultati!AQ374</f>
        <v>0</v>
      </c>
      <c r="CE375" s="31" t="str">
        <f t="shared" si="313"/>
        <v>0</v>
      </c>
      <c r="CF375" s="9">
        <f>+Risultati!AR374</f>
        <v>0</v>
      </c>
      <c r="CG375" s="31" t="str">
        <f t="shared" si="314"/>
        <v>0</v>
      </c>
      <c r="CH375" s="9">
        <f>+Risultati!AS374</f>
        <v>0</v>
      </c>
      <c r="CI375" s="31" t="str">
        <f t="shared" si="315"/>
        <v>0</v>
      </c>
      <c r="CJ375" s="9">
        <f t="shared" si="316"/>
        <v>0</v>
      </c>
      <c r="CK375" s="31" t="str">
        <f t="shared" si="317"/>
        <v>0</v>
      </c>
      <c r="CL375" s="10">
        <f>+Risultati!AE374+Risultati!AF374</f>
        <v>0</v>
      </c>
      <c r="CM375" s="31" t="str">
        <f t="shared" si="318"/>
        <v>0</v>
      </c>
      <c r="CN375" s="9">
        <f>+Risultati!AT374</f>
        <v>0</v>
      </c>
      <c r="CO375" s="31" t="str">
        <f t="shared" si="319"/>
        <v>0</v>
      </c>
      <c r="CP375" s="9">
        <f>+Risultati!AU374</f>
        <v>0</v>
      </c>
      <c r="CQ375" s="31" t="str">
        <f t="shared" si="320"/>
        <v>0</v>
      </c>
      <c r="CR375" s="9">
        <f>+Risultati!AL374</f>
        <v>0</v>
      </c>
      <c r="CS375" s="31" t="str">
        <f t="shared" si="321"/>
        <v>0</v>
      </c>
      <c r="CT375" s="9">
        <f t="shared" si="322"/>
        <v>0</v>
      </c>
      <c r="CU375" s="31" t="str">
        <f t="shared" si="323"/>
        <v>0</v>
      </c>
      <c r="CV375" s="9">
        <f>+Risultati!AX374</f>
        <v>0</v>
      </c>
      <c r="CW375" s="31" t="str">
        <f t="shared" si="324"/>
        <v>0</v>
      </c>
      <c r="CX375" s="9">
        <f t="shared" si="325"/>
        <v>0</v>
      </c>
      <c r="CY375" s="31" t="str">
        <f t="shared" si="326"/>
        <v>0</v>
      </c>
      <c r="CZ375" s="9">
        <f>+Risultati!AG374</f>
        <v>0</v>
      </c>
      <c r="DA375" s="31" t="str">
        <f t="shared" si="327"/>
        <v>0</v>
      </c>
      <c r="DB375" s="9">
        <f t="shared" si="328"/>
        <v>0</v>
      </c>
      <c r="DC375" s="31" t="str">
        <f t="shared" si="329"/>
        <v>0</v>
      </c>
      <c r="DD375" s="9">
        <f>+Risultati!AV374</f>
        <v>0</v>
      </c>
      <c r="DE375" s="31" t="str">
        <f t="shared" si="330"/>
        <v>0</v>
      </c>
      <c r="DF375" s="9">
        <f>+Risultati!AJ374</f>
        <v>0</v>
      </c>
      <c r="DG375" s="31" t="str">
        <f t="shared" si="331"/>
        <v>0</v>
      </c>
      <c r="DH375" s="9">
        <f t="shared" si="332"/>
        <v>0</v>
      </c>
      <c r="DI375" s="31" t="str">
        <f t="shared" si="333"/>
        <v>0</v>
      </c>
      <c r="DJ375" s="9">
        <f>+Risultati!AW374</f>
        <v>0</v>
      </c>
      <c r="DK375" s="31" t="str">
        <f t="shared" si="334"/>
        <v>0</v>
      </c>
      <c r="DL375" s="10">
        <f t="shared" si="305"/>
        <v>0</v>
      </c>
      <c r="DM375" s="31" t="str">
        <f t="shared" si="335"/>
        <v>0</v>
      </c>
      <c r="DO375" s="30"/>
      <c r="DP375" s="30"/>
    </row>
    <row r="376" spans="1:120" x14ac:dyDescent="0.2">
      <c r="A376" s="5"/>
      <c r="B376" s="6">
        <f>+Risultati!B375</f>
        <v>0</v>
      </c>
      <c r="C376" s="6">
        <f>+Risultati!C375</f>
        <v>0</v>
      </c>
      <c r="D376" s="26" t="str">
        <f>IF(YEAR(Risultati!D375)=1900,(MID(Risultati!$AP$1,29,4)),YEAR(Risultati!D375))</f>
        <v/>
      </c>
      <c r="E376" s="6">
        <f>+Risultati!E375</f>
        <v>0</v>
      </c>
      <c r="F376" s="8" t="e">
        <f>(LEFT(Risultati!AN375,2)&amp;"-")&amp;VLOOKUP((LEFT(Risultati!AN375,2)),ateco!$B$4:$C$93,2,FALSE)</f>
        <v>#N/A</v>
      </c>
      <c r="G376" s="8" t="str">
        <f>SUBSTITUTE((Risultati!AN375&amp;"-"&amp;Risultati!AO375),",",";")</f>
        <v>-</v>
      </c>
      <c r="I376" s="10">
        <f>+Risultati!G375</f>
        <v>0</v>
      </c>
      <c r="J376" s="11" t="str">
        <f t="shared" si="287"/>
        <v>0</v>
      </c>
      <c r="K376" s="12"/>
      <c r="L376" s="10">
        <f>+Risultati!G375+Risultati!H375</f>
        <v>0</v>
      </c>
      <c r="M376" s="11" t="str">
        <f t="shared" si="288"/>
        <v>0</v>
      </c>
      <c r="N376" s="12"/>
      <c r="O376" s="10">
        <f>+Risultati!I375+Risultati!J375</f>
        <v>0</v>
      </c>
      <c r="P376" s="11" t="str">
        <f t="shared" si="289"/>
        <v>0</v>
      </c>
      <c r="Q376" s="12"/>
      <c r="R376" s="13">
        <f t="shared" si="306"/>
        <v>0</v>
      </c>
      <c r="S376" s="11" t="str">
        <f t="shared" si="290"/>
        <v>0</v>
      </c>
      <c r="T376" s="12"/>
      <c r="U376" s="10">
        <f>+Risultati!F375-(Risultati!G375+Risultati!H375)</f>
        <v>0</v>
      </c>
      <c r="V376" s="12" t="str">
        <f t="shared" si="291"/>
        <v>0</v>
      </c>
      <c r="W376" s="12"/>
      <c r="X376" s="10">
        <f t="shared" si="307"/>
        <v>0</v>
      </c>
      <c r="Y376" s="12" t="str">
        <f t="shared" si="292"/>
        <v>0</v>
      </c>
      <c r="Z376" s="12"/>
      <c r="AA376" s="10">
        <f>+Risultati!K375</f>
        <v>0</v>
      </c>
      <c r="AB376" s="12" t="str">
        <f t="shared" si="293"/>
        <v>0</v>
      </c>
      <c r="AC376" s="12"/>
      <c r="AD376" s="10">
        <f>+Risultati!L375</f>
        <v>0</v>
      </c>
      <c r="AE376" s="12" t="str">
        <f t="shared" si="294"/>
        <v>0</v>
      </c>
      <c r="AF376" s="12"/>
      <c r="AG376" s="10">
        <f>+Risultati!M375+Risultati!P375+Risultati!Q375</f>
        <v>0</v>
      </c>
      <c r="AH376" s="12" t="str">
        <f t="shared" si="295"/>
        <v>0</v>
      </c>
      <c r="AI376" s="12"/>
      <c r="AJ376" s="13">
        <f t="shared" si="308"/>
        <v>0</v>
      </c>
      <c r="AK376" s="11" t="str">
        <f t="shared" si="296"/>
        <v>0</v>
      </c>
      <c r="AL376" s="12"/>
      <c r="AM376" s="10">
        <f>+Risultati!N375</f>
        <v>0</v>
      </c>
      <c r="AN376" s="12" t="str">
        <f t="shared" si="297"/>
        <v>0</v>
      </c>
      <c r="AO376" s="12"/>
      <c r="AP376" s="10">
        <f t="shared" si="309"/>
        <v>0</v>
      </c>
      <c r="AQ376" s="41" t="str">
        <f t="shared" si="298"/>
        <v>0</v>
      </c>
      <c r="AR376" s="12"/>
      <c r="AS376" s="10">
        <f>+Risultati!O375</f>
        <v>0</v>
      </c>
      <c r="AT376" s="12" t="str">
        <f t="shared" si="299"/>
        <v>0</v>
      </c>
      <c r="AU376" s="12"/>
      <c r="AV376" s="10">
        <f t="shared" si="310"/>
        <v>0</v>
      </c>
      <c r="AW376" s="12" t="str">
        <f t="shared" si="300"/>
        <v>0</v>
      </c>
      <c r="AX376" s="12"/>
      <c r="AY376" s="10">
        <f>+Risultati!R375+Risultati!S375</f>
        <v>0</v>
      </c>
      <c r="AZ376" s="12" t="str">
        <f t="shared" si="301"/>
        <v>0</v>
      </c>
      <c r="BA376" s="12"/>
      <c r="BB376" s="10">
        <f>+Risultati!T375</f>
        <v>0</v>
      </c>
      <c r="BC376" s="12" t="str">
        <f t="shared" si="302"/>
        <v>0</v>
      </c>
      <c r="BD376" s="12"/>
      <c r="BE376" s="10">
        <f>+Risultati!U375</f>
        <v>0</v>
      </c>
      <c r="BF376" s="12" t="str">
        <f t="shared" si="303"/>
        <v>0</v>
      </c>
      <c r="BG376" s="12"/>
      <c r="BH376" s="10">
        <f t="shared" si="311"/>
        <v>0</v>
      </c>
      <c r="BI376" s="12" t="str">
        <f t="shared" si="304"/>
        <v>0</v>
      </c>
      <c r="BK376" s="16">
        <f>IF(ISNUMBER(Risultati!X375/100),(Risultati!X375/100))</f>
        <v>0</v>
      </c>
      <c r="BL376" s="16">
        <f>IF(ISNUMBER(Risultati!Y375/100),(Risultati!Y375/100))</f>
        <v>0</v>
      </c>
      <c r="BM376" s="16">
        <f>IF(ISNUMBER(Risultati!Z375/100),(Risultati!Z375/100))</f>
        <v>0</v>
      </c>
      <c r="BN376" s="16">
        <f>IF(AND(Risultati!AY375&lt;0,calcoli!AP376&lt;0),-IF(ISNUMBER(Risultati!AA375/100),(Risultati!AA375/100)),IF(ISNUMBER(Risultati!AA375/100),(Risultati!AA375/100)))</f>
        <v>0</v>
      </c>
      <c r="BO376" s="16" t="str">
        <f t="shared" si="285"/>
        <v>0</v>
      </c>
      <c r="BP376" s="16" t="str">
        <f>IF(Risultati!AB375&gt;0,(AV376/Risultati!AB375),"0")</f>
        <v>0</v>
      </c>
      <c r="BQ376" s="16" t="str">
        <f>IF(Risultati!AG375&lt;&gt;0,(BH376/Risultati!AG375),"0")</f>
        <v>0</v>
      </c>
      <c r="BR376" s="16" t="str">
        <f t="shared" si="286"/>
        <v>0</v>
      </c>
      <c r="BS376" s="14" t="str">
        <f>IF(Risultati!AB375&gt;0,(Risultati!G375/Risultati!AB375),"0")</f>
        <v>0</v>
      </c>
      <c r="BT376" s="15" t="str">
        <f>IF(Risultati!AG375&lt;&gt;0,(Risultati!AB375/Risultati!AG375),"0")</f>
        <v>0</v>
      </c>
      <c r="BU376" s="23" t="str">
        <f>IF(AND(Risultati!G375&gt;0,(Risultati!AE375-Risultati!AF375)&gt;=0),((Risultati!AE375-Risultati!AF375)/Risultati!G375*360),"0")</f>
        <v>0</v>
      </c>
      <c r="BV376" s="21" t="str">
        <f>IF(OR(E376="abbreviato",Risultati!G375=0),"0",((Risultati!AC375+Risultati!AD375)/Risultati!G375*360))</f>
        <v>0</v>
      </c>
      <c r="BW376" s="21" t="str">
        <f>IF(OR(E376="abbreviato",Risultati!G375=0,SUM(Risultati!I375+Risultati!K375+Risultati!M375)=0),"0",(((Risultati!AH375+Risultati!AI375)/(Risultati!I375+Risultati!K375+Risultati!N375)*360)))</f>
        <v>0</v>
      </c>
      <c r="BX376" s="16" t="str">
        <f>IF(Risultati!AB375&gt;0,(+Risultati!AG375/Risultati!AB375),"0")</f>
        <v>0</v>
      </c>
      <c r="BY376" s="22" t="str">
        <f>IF(OR(E376="abbreviato",Risultati!G375=0),"0",(((Risultati!AK375-(Risultati!AL375+Risultati!AM375))/Risultati!G375)))</f>
        <v>0</v>
      </c>
      <c r="BZ376" s="16" t="str">
        <f>IF(Risultati!G375&gt;0,(Risultati!AJ375/Risultati!G375),"0")</f>
        <v>0</v>
      </c>
      <c r="CA376" s="8"/>
      <c r="CB376" s="9">
        <f>+Risultati!AP375</f>
        <v>0</v>
      </c>
      <c r="CC376" s="31" t="str">
        <f t="shared" si="312"/>
        <v>0</v>
      </c>
      <c r="CD376" s="9">
        <f>+Risultati!AQ375</f>
        <v>0</v>
      </c>
      <c r="CE376" s="31" t="str">
        <f t="shared" si="313"/>
        <v>0</v>
      </c>
      <c r="CF376" s="9">
        <f>+Risultati!AR375</f>
        <v>0</v>
      </c>
      <c r="CG376" s="31" t="str">
        <f t="shared" si="314"/>
        <v>0</v>
      </c>
      <c r="CH376" s="9">
        <f>+Risultati!AS375</f>
        <v>0</v>
      </c>
      <c r="CI376" s="31" t="str">
        <f t="shared" si="315"/>
        <v>0</v>
      </c>
      <c r="CJ376" s="9">
        <f t="shared" si="316"/>
        <v>0</v>
      </c>
      <c r="CK376" s="31" t="str">
        <f t="shared" si="317"/>
        <v>0</v>
      </c>
      <c r="CL376" s="10">
        <f>+Risultati!AE375+Risultati!AF375</f>
        <v>0</v>
      </c>
      <c r="CM376" s="31" t="str">
        <f t="shared" si="318"/>
        <v>0</v>
      </c>
      <c r="CN376" s="9">
        <f>+Risultati!AT375</f>
        <v>0</v>
      </c>
      <c r="CO376" s="31" t="str">
        <f t="shared" si="319"/>
        <v>0</v>
      </c>
      <c r="CP376" s="9">
        <f>+Risultati!AU375</f>
        <v>0</v>
      </c>
      <c r="CQ376" s="31" t="str">
        <f t="shared" si="320"/>
        <v>0</v>
      </c>
      <c r="CR376" s="9">
        <f>+Risultati!AL375</f>
        <v>0</v>
      </c>
      <c r="CS376" s="31" t="str">
        <f t="shared" si="321"/>
        <v>0</v>
      </c>
      <c r="CT376" s="9">
        <f t="shared" si="322"/>
        <v>0</v>
      </c>
      <c r="CU376" s="31" t="str">
        <f t="shared" si="323"/>
        <v>0</v>
      </c>
      <c r="CV376" s="9">
        <f>+Risultati!AX375</f>
        <v>0</v>
      </c>
      <c r="CW376" s="31" t="str">
        <f t="shared" si="324"/>
        <v>0</v>
      </c>
      <c r="CX376" s="9">
        <f t="shared" si="325"/>
        <v>0</v>
      </c>
      <c r="CY376" s="31" t="str">
        <f t="shared" si="326"/>
        <v>0</v>
      </c>
      <c r="CZ376" s="9">
        <f>+Risultati!AG375</f>
        <v>0</v>
      </c>
      <c r="DA376" s="31" t="str">
        <f t="shared" si="327"/>
        <v>0</v>
      </c>
      <c r="DB376" s="9">
        <f t="shared" si="328"/>
        <v>0</v>
      </c>
      <c r="DC376" s="31" t="str">
        <f t="shared" si="329"/>
        <v>0</v>
      </c>
      <c r="DD376" s="9">
        <f>+Risultati!AV375</f>
        <v>0</v>
      </c>
      <c r="DE376" s="31" t="str">
        <f t="shared" si="330"/>
        <v>0</v>
      </c>
      <c r="DF376" s="9">
        <f>+Risultati!AJ375</f>
        <v>0</v>
      </c>
      <c r="DG376" s="31" t="str">
        <f t="shared" si="331"/>
        <v>0</v>
      </c>
      <c r="DH376" s="9">
        <f t="shared" si="332"/>
        <v>0</v>
      </c>
      <c r="DI376" s="31" t="str">
        <f t="shared" si="333"/>
        <v>0</v>
      </c>
      <c r="DJ376" s="9">
        <f>+Risultati!AW375</f>
        <v>0</v>
      </c>
      <c r="DK376" s="31" t="str">
        <f t="shared" si="334"/>
        <v>0</v>
      </c>
      <c r="DL376" s="10">
        <f t="shared" si="305"/>
        <v>0</v>
      </c>
      <c r="DM376" s="31" t="str">
        <f t="shared" si="335"/>
        <v>0</v>
      </c>
      <c r="DO376" s="30"/>
      <c r="DP376" s="30"/>
    </row>
    <row r="377" spans="1:120" x14ac:dyDescent="0.2">
      <c r="A377" s="5"/>
      <c r="B377" s="6">
        <f>+Risultati!B376</f>
        <v>0</v>
      </c>
      <c r="C377" s="6">
        <f>+Risultati!C376</f>
        <v>0</v>
      </c>
      <c r="D377" s="26" t="str">
        <f>IF(YEAR(Risultati!D376)=1900,(MID(Risultati!$AP$1,29,4)),YEAR(Risultati!D376))</f>
        <v/>
      </c>
      <c r="E377" s="6">
        <f>+Risultati!E376</f>
        <v>0</v>
      </c>
      <c r="F377" s="8" t="e">
        <f>(LEFT(Risultati!AN376,2)&amp;"-")&amp;VLOOKUP((LEFT(Risultati!AN376,2)),ateco!$B$4:$C$93,2,FALSE)</f>
        <v>#N/A</v>
      </c>
      <c r="G377" s="8" t="str">
        <f>SUBSTITUTE((Risultati!AN376&amp;"-"&amp;Risultati!AO376),",",";")</f>
        <v>-</v>
      </c>
      <c r="I377" s="10">
        <f>+Risultati!G376</f>
        <v>0</v>
      </c>
      <c r="J377" s="11" t="str">
        <f t="shared" si="287"/>
        <v>0</v>
      </c>
      <c r="K377" s="12"/>
      <c r="L377" s="10">
        <f>+Risultati!G376+Risultati!H376</f>
        <v>0</v>
      </c>
      <c r="M377" s="11" t="str">
        <f t="shared" si="288"/>
        <v>0</v>
      </c>
      <c r="N377" s="12"/>
      <c r="O377" s="10">
        <f>+Risultati!I376+Risultati!J376</f>
        <v>0</v>
      </c>
      <c r="P377" s="11" t="str">
        <f t="shared" si="289"/>
        <v>0</v>
      </c>
      <c r="Q377" s="12"/>
      <c r="R377" s="13">
        <f t="shared" si="306"/>
        <v>0</v>
      </c>
      <c r="S377" s="11" t="str">
        <f t="shared" si="290"/>
        <v>0</v>
      </c>
      <c r="T377" s="12"/>
      <c r="U377" s="10">
        <f>+Risultati!F376-(Risultati!G376+Risultati!H376)</f>
        <v>0</v>
      </c>
      <c r="V377" s="12" t="str">
        <f t="shared" si="291"/>
        <v>0</v>
      </c>
      <c r="W377" s="12"/>
      <c r="X377" s="10">
        <f t="shared" si="307"/>
        <v>0</v>
      </c>
      <c r="Y377" s="12" t="str">
        <f t="shared" si="292"/>
        <v>0</v>
      </c>
      <c r="Z377" s="12"/>
      <c r="AA377" s="10">
        <f>+Risultati!K376</f>
        <v>0</v>
      </c>
      <c r="AB377" s="12" t="str">
        <f t="shared" si="293"/>
        <v>0</v>
      </c>
      <c r="AC377" s="12"/>
      <c r="AD377" s="10">
        <f>+Risultati!L376</f>
        <v>0</v>
      </c>
      <c r="AE377" s="12" t="str">
        <f t="shared" si="294"/>
        <v>0</v>
      </c>
      <c r="AF377" s="12"/>
      <c r="AG377" s="10">
        <f>+Risultati!M376+Risultati!P376+Risultati!Q376</f>
        <v>0</v>
      </c>
      <c r="AH377" s="12" t="str">
        <f t="shared" si="295"/>
        <v>0</v>
      </c>
      <c r="AI377" s="12"/>
      <c r="AJ377" s="13">
        <f t="shared" si="308"/>
        <v>0</v>
      </c>
      <c r="AK377" s="11" t="str">
        <f t="shared" si="296"/>
        <v>0</v>
      </c>
      <c r="AL377" s="12"/>
      <c r="AM377" s="10">
        <f>+Risultati!N376</f>
        <v>0</v>
      </c>
      <c r="AN377" s="12" t="str">
        <f t="shared" si="297"/>
        <v>0</v>
      </c>
      <c r="AO377" s="12"/>
      <c r="AP377" s="10">
        <f t="shared" si="309"/>
        <v>0</v>
      </c>
      <c r="AQ377" s="41" t="str">
        <f t="shared" si="298"/>
        <v>0</v>
      </c>
      <c r="AR377" s="12"/>
      <c r="AS377" s="10">
        <f>+Risultati!O376</f>
        <v>0</v>
      </c>
      <c r="AT377" s="12" t="str">
        <f t="shared" si="299"/>
        <v>0</v>
      </c>
      <c r="AU377" s="12"/>
      <c r="AV377" s="10">
        <f t="shared" si="310"/>
        <v>0</v>
      </c>
      <c r="AW377" s="12" t="str">
        <f t="shared" si="300"/>
        <v>0</v>
      </c>
      <c r="AX377" s="12"/>
      <c r="AY377" s="10">
        <f>+Risultati!R376+Risultati!S376</f>
        <v>0</v>
      </c>
      <c r="AZ377" s="12" t="str">
        <f t="shared" si="301"/>
        <v>0</v>
      </c>
      <c r="BA377" s="12"/>
      <c r="BB377" s="10">
        <f>+Risultati!T376</f>
        <v>0</v>
      </c>
      <c r="BC377" s="12" t="str">
        <f t="shared" si="302"/>
        <v>0</v>
      </c>
      <c r="BD377" s="12"/>
      <c r="BE377" s="10">
        <f>+Risultati!U376</f>
        <v>0</v>
      </c>
      <c r="BF377" s="12" t="str">
        <f t="shared" si="303"/>
        <v>0</v>
      </c>
      <c r="BG377" s="12"/>
      <c r="BH377" s="10">
        <f t="shared" si="311"/>
        <v>0</v>
      </c>
      <c r="BI377" s="12" t="str">
        <f t="shared" si="304"/>
        <v>0</v>
      </c>
      <c r="BK377" s="16">
        <f>IF(ISNUMBER(Risultati!X376/100),(Risultati!X376/100))</f>
        <v>0</v>
      </c>
      <c r="BL377" s="16">
        <f>IF(ISNUMBER(Risultati!Y376/100),(Risultati!Y376/100))</f>
        <v>0</v>
      </c>
      <c r="BM377" s="16">
        <f>IF(ISNUMBER(Risultati!Z376/100),(Risultati!Z376/100))</f>
        <v>0</v>
      </c>
      <c r="BN377" s="16">
        <f>IF(AND(Risultati!AY376&lt;0,calcoli!AP377&lt;0),-IF(ISNUMBER(Risultati!AA376/100),(Risultati!AA376/100)),IF(ISNUMBER(Risultati!AA376/100),(Risultati!AA376/100)))</f>
        <v>0</v>
      </c>
      <c r="BO377" s="16" t="str">
        <f t="shared" si="285"/>
        <v>0</v>
      </c>
      <c r="BP377" s="16" t="str">
        <f>IF(Risultati!AB376&gt;0,(AV377/Risultati!AB376),"0")</f>
        <v>0</v>
      </c>
      <c r="BQ377" s="16" t="str">
        <f>IF(Risultati!AG376&lt;&gt;0,(BH377/Risultati!AG376),"0")</f>
        <v>0</v>
      </c>
      <c r="BR377" s="16" t="str">
        <f t="shared" si="286"/>
        <v>0</v>
      </c>
      <c r="BS377" s="14" t="str">
        <f>IF(Risultati!AB376&gt;0,(Risultati!G376/Risultati!AB376),"0")</f>
        <v>0</v>
      </c>
      <c r="BT377" s="15" t="str">
        <f>IF(Risultati!AG376&lt;&gt;0,(Risultati!AB376/Risultati!AG376),"0")</f>
        <v>0</v>
      </c>
      <c r="BU377" s="23" t="str">
        <f>IF(AND(Risultati!G376&gt;0,(Risultati!AE376-Risultati!AF376)&gt;=0),((Risultati!AE376-Risultati!AF376)/Risultati!G376*360),"0")</f>
        <v>0</v>
      </c>
      <c r="BV377" s="21" t="str">
        <f>IF(OR(E377="abbreviato",Risultati!G376=0),"0",((Risultati!AC376+Risultati!AD376)/Risultati!G376*360))</f>
        <v>0</v>
      </c>
      <c r="BW377" s="21" t="str">
        <f>IF(OR(E377="abbreviato",Risultati!G376=0,SUM(Risultati!I376+Risultati!K376+Risultati!M376)=0),"0",(((Risultati!AH376+Risultati!AI376)/(Risultati!I376+Risultati!K376+Risultati!N376)*360)))</f>
        <v>0</v>
      </c>
      <c r="BX377" s="16" t="str">
        <f>IF(Risultati!AB376&gt;0,(+Risultati!AG376/Risultati!AB376),"0")</f>
        <v>0</v>
      </c>
      <c r="BY377" s="22" t="str">
        <f>IF(OR(E377="abbreviato",Risultati!G376=0),"0",(((Risultati!AK376-(Risultati!AL376+Risultati!AM376))/Risultati!G376)))</f>
        <v>0</v>
      </c>
      <c r="BZ377" s="16" t="str">
        <f>IF(Risultati!G376&gt;0,(Risultati!AJ376/Risultati!G376),"0")</f>
        <v>0</v>
      </c>
      <c r="CA377" s="8"/>
      <c r="CB377" s="9">
        <f>+Risultati!AP376</f>
        <v>0</v>
      </c>
      <c r="CC377" s="31" t="str">
        <f t="shared" si="312"/>
        <v>0</v>
      </c>
      <c r="CD377" s="9">
        <f>+Risultati!AQ376</f>
        <v>0</v>
      </c>
      <c r="CE377" s="31" t="str">
        <f t="shared" si="313"/>
        <v>0</v>
      </c>
      <c r="CF377" s="9">
        <f>+Risultati!AR376</f>
        <v>0</v>
      </c>
      <c r="CG377" s="31" t="str">
        <f t="shared" si="314"/>
        <v>0</v>
      </c>
      <c r="CH377" s="9">
        <f>+Risultati!AS376</f>
        <v>0</v>
      </c>
      <c r="CI377" s="31" t="str">
        <f t="shared" si="315"/>
        <v>0</v>
      </c>
      <c r="CJ377" s="9">
        <f t="shared" si="316"/>
        <v>0</v>
      </c>
      <c r="CK377" s="31" t="str">
        <f t="shared" si="317"/>
        <v>0</v>
      </c>
      <c r="CL377" s="10">
        <f>+Risultati!AE376+Risultati!AF376</f>
        <v>0</v>
      </c>
      <c r="CM377" s="31" t="str">
        <f t="shared" si="318"/>
        <v>0</v>
      </c>
      <c r="CN377" s="9">
        <f>+Risultati!AT376</f>
        <v>0</v>
      </c>
      <c r="CO377" s="31" t="str">
        <f t="shared" si="319"/>
        <v>0</v>
      </c>
      <c r="CP377" s="9">
        <f>+Risultati!AU376</f>
        <v>0</v>
      </c>
      <c r="CQ377" s="31" t="str">
        <f t="shared" si="320"/>
        <v>0</v>
      </c>
      <c r="CR377" s="9">
        <f>+Risultati!AL376</f>
        <v>0</v>
      </c>
      <c r="CS377" s="31" t="str">
        <f t="shared" si="321"/>
        <v>0</v>
      </c>
      <c r="CT377" s="9">
        <f t="shared" si="322"/>
        <v>0</v>
      </c>
      <c r="CU377" s="31" t="str">
        <f t="shared" si="323"/>
        <v>0</v>
      </c>
      <c r="CV377" s="9">
        <f>+Risultati!AX376</f>
        <v>0</v>
      </c>
      <c r="CW377" s="31" t="str">
        <f t="shared" si="324"/>
        <v>0</v>
      </c>
      <c r="CX377" s="9">
        <f t="shared" si="325"/>
        <v>0</v>
      </c>
      <c r="CY377" s="31" t="str">
        <f t="shared" si="326"/>
        <v>0</v>
      </c>
      <c r="CZ377" s="9">
        <f>+Risultati!AG376</f>
        <v>0</v>
      </c>
      <c r="DA377" s="31" t="str">
        <f t="shared" si="327"/>
        <v>0</v>
      </c>
      <c r="DB377" s="9">
        <f t="shared" si="328"/>
        <v>0</v>
      </c>
      <c r="DC377" s="31" t="str">
        <f t="shared" si="329"/>
        <v>0</v>
      </c>
      <c r="DD377" s="9">
        <f>+Risultati!AV376</f>
        <v>0</v>
      </c>
      <c r="DE377" s="31" t="str">
        <f t="shared" si="330"/>
        <v>0</v>
      </c>
      <c r="DF377" s="9">
        <f>+Risultati!AJ376</f>
        <v>0</v>
      </c>
      <c r="DG377" s="31" t="str">
        <f t="shared" si="331"/>
        <v>0</v>
      </c>
      <c r="DH377" s="9">
        <f t="shared" si="332"/>
        <v>0</v>
      </c>
      <c r="DI377" s="31" t="str">
        <f t="shared" si="333"/>
        <v>0</v>
      </c>
      <c r="DJ377" s="9">
        <f>+Risultati!AW376</f>
        <v>0</v>
      </c>
      <c r="DK377" s="31" t="str">
        <f t="shared" si="334"/>
        <v>0</v>
      </c>
      <c r="DL377" s="10">
        <f t="shared" si="305"/>
        <v>0</v>
      </c>
      <c r="DM377" s="31" t="str">
        <f t="shared" si="335"/>
        <v>0</v>
      </c>
      <c r="DO377" s="30"/>
      <c r="DP377" s="30"/>
    </row>
    <row r="378" spans="1:120" x14ac:dyDescent="0.2">
      <c r="A378" s="5"/>
      <c r="B378" s="6">
        <f>+Risultati!B377</f>
        <v>0</v>
      </c>
      <c r="C378" s="6">
        <f>+Risultati!C377</f>
        <v>0</v>
      </c>
      <c r="D378" s="26" t="str">
        <f>IF(YEAR(Risultati!D377)=1900,(MID(Risultati!$AP$1,29,4)),YEAR(Risultati!D377))</f>
        <v/>
      </c>
      <c r="E378" s="6">
        <f>+Risultati!E377</f>
        <v>0</v>
      </c>
      <c r="F378" s="8" t="e">
        <f>(LEFT(Risultati!AN377,2)&amp;"-")&amp;VLOOKUP((LEFT(Risultati!AN377,2)),ateco!$B$4:$C$93,2,FALSE)</f>
        <v>#N/A</v>
      </c>
      <c r="G378" s="8" t="str">
        <f>SUBSTITUTE((Risultati!AN377&amp;"-"&amp;Risultati!AO377),",",";")</f>
        <v>-</v>
      </c>
      <c r="I378" s="10">
        <f>+Risultati!G377</f>
        <v>0</v>
      </c>
      <c r="J378" s="11" t="str">
        <f t="shared" si="287"/>
        <v>0</v>
      </c>
      <c r="K378" s="12"/>
      <c r="L378" s="10">
        <f>+Risultati!G377+Risultati!H377</f>
        <v>0</v>
      </c>
      <c r="M378" s="11" t="str">
        <f t="shared" si="288"/>
        <v>0</v>
      </c>
      <c r="N378" s="12"/>
      <c r="O378" s="10">
        <f>+Risultati!I377+Risultati!J377</f>
        <v>0</v>
      </c>
      <c r="P378" s="11" t="str">
        <f t="shared" si="289"/>
        <v>0</v>
      </c>
      <c r="Q378" s="12"/>
      <c r="R378" s="13">
        <f t="shared" si="306"/>
        <v>0</v>
      </c>
      <c r="S378" s="11" t="str">
        <f t="shared" si="290"/>
        <v>0</v>
      </c>
      <c r="T378" s="12"/>
      <c r="U378" s="10">
        <f>+Risultati!F377-(Risultati!G377+Risultati!H377)</f>
        <v>0</v>
      </c>
      <c r="V378" s="12" t="str">
        <f t="shared" si="291"/>
        <v>0</v>
      </c>
      <c r="W378" s="12"/>
      <c r="X378" s="10">
        <f t="shared" si="307"/>
        <v>0</v>
      </c>
      <c r="Y378" s="12" t="str">
        <f t="shared" si="292"/>
        <v>0</v>
      </c>
      <c r="Z378" s="12"/>
      <c r="AA378" s="10">
        <f>+Risultati!K377</f>
        <v>0</v>
      </c>
      <c r="AB378" s="12" t="str">
        <f t="shared" si="293"/>
        <v>0</v>
      </c>
      <c r="AC378" s="12"/>
      <c r="AD378" s="10">
        <f>+Risultati!L377</f>
        <v>0</v>
      </c>
      <c r="AE378" s="12" t="str">
        <f t="shared" si="294"/>
        <v>0</v>
      </c>
      <c r="AF378" s="12"/>
      <c r="AG378" s="10">
        <f>+Risultati!M377+Risultati!P377+Risultati!Q377</f>
        <v>0</v>
      </c>
      <c r="AH378" s="12" t="str">
        <f t="shared" si="295"/>
        <v>0</v>
      </c>
      <c r="AI378" s="12"/>
      <c r="AJ378" s="13">
        <f t="shared" si="308"/>
        <v>0</v>
      </c>
      <c r="AK378" s="11" t="str">
        <f t="shared" si="296"/>
        <v>0</v>
      </c>
      <c r="AL378" s="12"/>
      <c r="AM378" s="10">
        <f>+Risultati!N377</f>
        <v>0</v>
      </c>
      <c r="AN378" s="12" t="str">
        <f t="shared" si="297"/>
        <v>0</v>
      </c>
      <c r="AO378" s="12"/>
      <c r="AP378" s="10">
        <f t="shared" si="309"/>
        <v>0</v>
      </c>
      <c r="AQ378" s="41" t="str">
        <f t="shared" si="298"/>
        <v>0</v>
      </c>
      <c r="AR378" s="12"/>
      <c r="AS378" s="10">
        <f>+Risultati!O377</f>
        <v>0</v>
      </c>
      <c r="AT378" s="12" t="str">
        <f t="shared" si="299"/>
        <v>0</v>
      </c>
      <c r="AU378" s="12"/>
      <c r="AV378" s="10">
        <f t="shared" si="310"/>
        <v>0</v>
      </c>
      <c r="AW378" s="12" t="str">
        <f t="shared" si="300"/>
        <v>0</v>
      </c>
      <c r="AX378" s="12"/>
      <c r="AY378" s="10">
        <f>+Risultati!R377+Risultati!S377</f>
        <v>0</v>
      </c>
      <c r="AZ378" s="12" t="str">
        <f t="shared" si="301"/>
        <v>0</v>
      </c>
      <c r="BA378" s="12"/>
      <c r="BB378" s="10">
        <f>+Risultati!T377</f>
        <v>0</v>
      </c>
      <c r="BC378" s="12" t="str">
        <f t="shared" si="302"/>
        <v>0</v>
      </c>
      <c r="BD378" s="12"/>
      <c r="BE378" s="10">
        <f>+Risultati!U377</f>
        <v>0</v>
      </c>
      <c r="BF378" s="12" t="str">
        <f t="shared" si="303"/>
        <v>0</v>
      </c>
      <c r="BG378" s="12"/>
      <c r="BH378" s="10">
        <f t="shared" si="311"/>
        <v>0</v>
      </c>
      <c r="BI378" s="12" t="str">
        <f t="shared" si="304"/>
        <v>0</v>
      </c>
      <c r="BK378" s="16">
        <f>IF(ISNUMBER(Risultati!X377/100),(Risultati!X377/100))</f>
        <v>0</v>
      </c>
      <c r="BL378" s="16">
        <f>IF(ISNUMBER(Risultati!Y377/100),(Risultati!Y377/100))</f>
        <v>0</v>
      </c>
      <c r="BM378" s="16">
        <f>IF(ISNUMBER(Risultati!Z377/100),(Risultati!Z377/100))</f>
        <v>0</v>
      </c>
      <c r="BN378" s="16">
        <f>IF(AND(Risultati!AY377&lt;0,calcoli!AP378&lt;0),-IF(ISNUMBER(Risultati!AA377/100),(Risultati!AA377/100)),IF(ISNUMBER(Risultati!AA377/100),(Risultati!AA377/100)))</f>
        <v>0</v>
      </c>
      <c r="BO378" s="16" t="str">
        <f t="shared" si="285"/>
        <v>0</v>
      </c>
      <c r="BP378" s="16" t="str">
        <f>IF(Risultati!AB377&gt;0,(AV378/Risultati!AB377),"0")</f>
        <v>0</v>
      </c>
      <c r="BQ378" s="16" t="str">
        <f>IF(Risultati!AG377&lt;&gt;0,(BH378/Risultati!AG377),"0")</f>
        <v>0</v>
      </c>
      <c r="BR378" s="16" t="str">
        <f t="shared" si="286"/>
        <v>0</v>
      </c>
      <c r="BS378" s="14" t="str">
        <f>IF(Risultati!AB377&gt;0,(Risultati!G377/Risultati!AB377),"0")</f>
        <v>0</v>
      </c>
      <c r="BT378" s="15" t="str">
        <f>IF(Risultati!AG377&lt;&gt;0,(Risultati!AB377/Risultati!AG377),"0")</f>
        <v>0</v>
      </c>
      <c r="BU378" s="23" t="str">
        <f>IF(AND(Risultati!G377&gt;0,(Risultati!AE377-Risultati!AF377)&gt;=0),((Risultati!AE377-Risultati!AF377)/Risultati!G377*360),"0")</f>
        <v>0</v>
      </c>
      <c r="BV378" s="21" t="str">
        <f>IF(OR(E378="abbreviato",Risultati!G377=0),"0",((Risultati!AC377+Risultati!AD377)/Risultati!G377*360))</f>
        <v>0</v>
      </c>
      <c r="BW378" s="21" t="str">
        <f>IF(OR(E378="abbreviato",Risultati!G377=0,SUM(Risultati!I377+Risultati!K377+Risultati!M377)=0),"0",(((Risultati!AH377+Risultati!AI377)/(Risultati!I377+Risultati!K377+Risultati!N377)*360)))</f>
        <v>0</v>
      </c>
      <c r="BX378" s="16" t="str">
        <f>IF(Risultati!AB377&gt;0,(+Risultati!AG377/Risultati!AB377),"0")</f>
        <v>0</v>
      </c>
      <c r="BY378" s="22" t="str">
        <f>IF(OR(E378="abbreviato",Risultati!G377=0),"0",(((Risultati!AK377-(Risultati!AL377+Risultati!AM377))/Risultati!G377)))</f>
        <v>0</v>
      </c>
      <c r="BZ378" s="16" t="str">
        <f>IF(Risultati!G377&gt;0,(Risultati!AJ377/Risultati!G377),"0")</f>
        <v>0</v>
      </c>
      <c r="CA378" s="8"/>
      <c r="CB378" s="9">
        <f>+Risultati!AP377</f>
        <v>0</v>
      </c>
      <c r="CC378" s="31" t="str">
        <f t="shared" si="312"/>
        <v>0</v>
      </c>
      <c r="CD378" s="9">
        <f>+Risultati!AQ377</f>
        <v>0</v>
      </c>
      <c r="CE378" s="31" t="str">
        <f t="shared" si="313"/>
        <v>0</v>
      </c>
      <c r="CF378" s="9">
        <f>+Risultati!AR377</f>
        <v>0</v>
      </c>
      <c r="CG378" s="31" t="str">
        <f t="shared" si="314"/>
        <v>0</v>
      </c>
      <c r="CH378" s="9">
        <f>+Risultati!AS377</f>
        <v>0</v>
      </c>
      <c r="CI378" s="31" t="str">
        <f t="shared" si="315"/>
        <v>0</v>
      </c>
      <c r="CJ378" s="9">
        <f t="shared" si="316"/>
        <v>0</v>
      </c>
      <c r="CK378" s="31" t="str">
        <f t="shared" si="317"/>
        <v>0</v>
      </c>
      <c r="CL378" s="10">
        <f>+Risultati!AE377+Risultati!AF377</f>
        <v>0</v>
      </c>
      <c r="CM378" s="31" t="str">
        <f t="shared" si="318"/>
        <v>0</v>
      </c>
      <c r="CN378" s="9">
        <f>+Risultati!AT377</f>
        <v>0</v>
      </c>
      <c r="CO378" s="31" t="str">
        <f t="shared" si="319"/>
        <v>0</v>
      </c>
      <c r="CP378" s="9">
        <f>+Risultati!AU377</f>
        <v>0</v>
      </c>
      <c r="CQ378" s="31" t="str">
        <f t="shared" si="320"/>
        <v>0</v>
      </c>
      <c r="CR378" s="9">
        <f>+Risultati!AL377</f>
        <v>0</v>
      </c>
      <c r="CS378" s="31" t="str">
        <f t="shared" si="321"/>
        <v>0</v>
      </c>
      <c r="CT378" s="9">
        <f t="shared" si="322"/>
        <v>0</v>
      </c>
      <c r="CU378" s="31" t="str">
        <f t="shared" si="323"/>
        <v>0</v>
      </c>
      <c r="CV378" s="9">
        <f>+Risultati!AX377</f>
        <v>0</v>
      </c>
      <c r="CW378" s="31" t="str">
        <f t="shared" si="324"/>
        <v>0</v>
      </c>
      <c r="CX378" s="9">
        <f t="shared" si="325"/>
        <v>0</v>
      </c>
      <c r="CY378" s="31" t="str">
        <f t="shared" si="326"/>
        <v>0</v>
      </c>
      <c r="CZ378" s="9">
        <f>+Risultati!AG377</f>
        <v>0</v>
      </c>
      <c r="DA378" s="31" t="str">
        <f t="shared" si="327"/>
        <v>0</v>
      </c>
      <c r="DB378" s="9">
        <f t="shared" si="328"/>
        <v>0</v>
      </c>
      <c r="DC378" s="31" t="str">
        <f t="shared" si="329"/>
        <v>0</v>
      </c>
      <c r="DD378" s="9">
        <f>+Risultati!AV377</f>
        <v>0</v>
      </c>
      <c r="DE378" s="31" t="str">
        <f t="shared" si="330"/>
        <v>0</v>
      </c>
      <c r="DF378" s="9">
        <f>+Risultati!AJ377</f>
        <v>0</v>
      </c>
      <c r="DG378" s="31" t="str">
        <f t="shared" si="331"/>
        <v>0</v>
      </c>
      <c r="DH378" s="9">
        <f t="shared" si="332"/>
        <v>0</v>
      </c>
      <c r="DI378" s="31" t="str">
        <f t="shared" si="333"/>
        <v>0</v>
      </c>
      <c r="DJ378" s="9">
        <f>+Risultati!AW377</f>
        <v>0</v>
      </c>
      <c r="DK378" s="31" t="str">
        <f t="shared" si="334"/>
        <v>0</v>
      </c>
      <c r="DL378" s="10">
        <f t="shared" si="305"/>
        <v>0</v>
      </c>
      <c r="DM378" s="31" t="str">
        <f t="shared" si="335"/>
        <v>0</v>
      </c>
      <c r="DO378" s="30"/>
      <c r="DP378" s="30"/>
    </row>
    <row r="379" spans="1:120" x14ac:dyDescent="0.2">
      <c r="A379" s="5"/>
      <c r="B379" s="6">
        <f>+Risultati!B378</f>
        <v>0</v>
      </c>
      <c r="C379" s="6">
        <f>+Risultati!C378</f>
        <v>0</v>
      </c>
      <c r="D379" s="26" t="str">
        <f>IF(YEAR(Risultati!D378)=1900,(MID(Risultati!$AP$1,29,4)),YEAR(Risultati!D378))</f>
        <v/>
      </c>
      <c r="E379" s="6">
        <f>+Risultati!E378</f>
        <v>0</v>
      </c>
      <c r="F379" s="8" t="e">
        <f>(LEFT(Risultati!AN378,2)&amp;"-")&amp;VLOOKUP((LEFT(Risultati!AN378,2)),ateco!$B$4:$C$93,2,FALSE)</f>
        <v>#N/A</v>
      </c>
      <c r="G379" s="8" t="str">
        <f>SUBSTITUTE((Risultati!AN378&amp;"-"&amp;Risultati!AO378),",",";")</f>
        <v>-</v>
      </c>
      <c r="I379" s="10">
        <f>+Risultati!G378</f>
        <v>0</v>
      </c>
      <c r="J379" s="11" t="str">
        <f t="shared" si="287"/>
        <v>0</v>
      </c>
      <c r="K379" s="12"/>
      <c r="L379" s="10">
        <f>+Risultati!G378+Risultati!H378</f>
        <v>0</v>
      </c>
      <c r="M379" s="11" t="str">
        <f t="shared" si="288"/>
        <v>0</v>
      </c>
      <c r="N379" s="12"/>
      <c r="O379" s="10">
        <f>+Risultati!I378+Risultati!J378</f>
        <v>0</v>
      </c>
      <c r="P379" s="11" t="str">
        <f t="shared" si="289"/>
        <v>0</v>
      </c>
      <c r="Q379" s="12"/>
      <c r="R379" s="13">
        <f t="shared" si="306"/>
        <v>0</v>
      </c>
      <c r="S379" s="11" t="str">
        <f t="shared" si="290"/>
        <v>0</v>
      </c>
      <c r="T379" s="12"/>
      <c r="U379" s="10">
        <f>+Risultati!F378-(Risultati!G378+Risultati!H378)</f>
        <v>0</v>
      </c>
      <c r="V379" s="12" t="str">
        <f t="shared" si="291"/>
        <v>0</v>
      </c>
      <c r="W379" s="12"/>
      <c r="X379" s="10">
        <f t="shared" si="307"/>
        <v>0</v>
      </c>
      <c r="Y379" s="12" t="str">
        <f t="shared" si="292"/>
        <v>0</v>
      </c>
      <c r="Z379" s="12"/>
      <c r="AA379" s="10">
        <f>+Risultati!K378</f>
        <v>0</v>
      </c>
      <c r="AB379" s="12" t="str">
        <f t="shared" si="293"/>
        <v>0</v>
      </c>
      <c r="AC379" s="12"/>
      <c r="AD379" s="10">
        <f>+Risultati!L378</f>
        <v>0</v>
      </c>
      <c r="AE379" s="12" t="str">
        <f t="shared" si="294"/>
        <v>0</v>
      </c>
      <c r="AF379" s="12"/>
      <c r="AG379" s="10">
        <f>+Risultati!M378+Risultati!P378+Risultati!Q378</f>
        <v>0</v>
      </c>
      <c r="AH379" s="12" t="str">
        <f t="shared" si="295"/>
        <v>0</v>
      </c>
      <c r="AI379" s="12"/>
      <c r="AJ379" s="13">
        <f t="shared" si="308"/>
        <v>0</v>
      </c>
      <c r="AK379" s="11" t="str">
        <f t="shared" si="296"/>
        <v>0</v>
      </c>
      <c r="AL379" s="12"/>
      <c r="AM379" s="10">
        <f>+Risultati!N378</f>
        <v>0</v>
      </c>
      <c r="AN379" s="12" t="str">
        <f t="shared" si="297"/>
        <v>0</v>
      </c>
      <c r="AO379" s="12"/>
      <c r="AP379" s="10">
        <f t="shared" si="309"/>
        <v>0</v>
      </c>
      <c r="AQ379" s="41" t="str">
        <f t="shared" si="298"/>
        <v>0</v>
      </c>
      <c r="AR379" s="12"/>
      <c r="AS379" s="10">
        <f>+Risultati!O378</f>
        <v>0</v>
      </c>
      <c r="AT379" s="12" t="str">
        <f t="shared" si="299"/>
        <v>0</v>
      </c>
      <c r="AU379" s="12"/>
      <c r="AV379" s="10">
        <f t="shared" si="310"/>
        <v>0</v>
      </c>
      <c r="AW379" s="12" t="str">
        <f t="shared" si="300"/>
        <v>0</v>
      </c>
      <c r="AX379" s="12"/>
      <c r="AY379" s="10">
        <f>+Risultati!R378+Risultati!S378</f>
        <v>0</v>
      </c>
      <c r="AZ379" s="12" t="str">
        <f t="shared" si="301"/>
        <v>0</v>
      </c>
      <c r="BA379" s="12"/>
      <c r="BB379" s="10">
        <f>+Risultati!T378</f>
        <v>0</v>
      </c>
      <c r="BC379" s="12" t="str">
        <f t="shared" si="302"/>
        <v>0</v>
      </c>
      <c r="BD379" s="12"/>
      <c r="BE379" s="10">
        <f>+Risultati!U378</f>
        <v>0</v>
      </c>
      <c r="BF379" s="12" t="str">
        <f t="shared" si="303"/>
        <v>0</v>
      </c>
      <c r="BG379" s="12"/>
      <c r="BH379" s="10">
        <f t="shared" si="311"/>
        <v>0</v>
      </c>
      <c r="BI379" s="12" t="str">
        <f t="shared" si="304"/>
        <v>0</v>
      </c>
      <c r="BK379" s="16">
        <f>IF(ISNUMBER(Risultati!X378/100),(Risultati!X378/100))</f>
        <v>0</v>
      </c>
      <c r="BL379" s="16">
        <f>IF(ISNUMBER(Risultati!Y378/100),(Risultati!Y378/100))</f>
        <v>0</v>
      </c>
      <c r="BM379" s="16">
        <f>IF(ISNUMBER(Risultati!Z378/100),(Risultati!Z378/100))</f>
        <v>0</v>
      </c>
      <c r="BN379" s="16">
        <f>IF(AND(Risultati!AY378&lt;0,calcoli!AP379&lt;0),-IF(ISNUMBER(Risultati!AA378/100),(Risultati!AA378/100)),IF(ISNUMBER(Risultati!AA378/100),(Risultati!AA378/100)))</f>
        <v>0</v>
      </c>
      <c r="BO379" s="16" t="str">
        <f t="shared" si="285"/>
        <v>0</v>
      </c>
      <c r="BP379" s="16" t="str">
        <f>IF(Risultati!AB378&gt;0,(AV379/Risultati!AB378),"0")</f>
        <v>0</v>
      </c>
      <c r="BQ379" s="16" t="str">
        <f>IF(Risultati!AG378&lt;&gt;0,(BH379/Risultati!AG378),"0")</f>
        <v>0</v>
      </c>
      <c r="BR379" s="16" t="str">
        <f t="shared" si="286"/>
        <v>0</v>
      </c>
      <c r="BS379" s="14" t="str">
        <f>IF(Risultati!AB378&gt;0,(Risultati!G378/Risultati!AB378),"0")</f>
        <v>0</v>
      </c>
      <c r="BT379" s="15" t="str">
        <f>IF(Risultati!AG378&lt;&gt;0,(Risultati!AB378/Risultati!AG378),"0")</f>
        <v>0</v>
      </c>
      <c r="BU379" s="23" t="str">
        <f>IF(AND(Risultati!G378&gt;0,(Risultati!AE378-Risultati!AF378)&gt;=0),((Risultati!AE378-Risultati!AF378)/Risultati!G378*360),"0")</f>
        <v>0</v>
      </c>
      <c r="BV379" s="21" t="str">
        <f>IF(OR(E379="abbreviato",Risultati!G378=0),"0",((Risultati!AC378+Risultati!AD378)/Risultati!G378*360))</f>
        <v>0</v>
      </c>
      <c r="BW379" s="21" t="str">
        <f>IF(OR(E379="abbreviato",Risultati!G378=0,SUM(Risultati!I378+Risultati!K378+Risultati!M378)=0),"0",(((Risultati!AH378+Risultati!AI378)/(Risultati!I378+Risultati!K378+Risultati!N378)*360)))</f>
        <v>0</v>
      </c>
      <c r="BX379" s="16" t="str">
        <f>IF(Risultati!AB378&gt;0,(+Risultati!AG378/Risultati!AB378),"0")</f>
        <v>0</v>
      </c>
      <c r="BY379" s="22" t="str">
        <f>IF(OR(E379="abbreviato",Risultati!G378=0),"0",(((Risultati!AK378-(Risultati!AL378+Risultati!AM378))/Risultati!G378)))</f>
        <v>0</v>
      </c>
      <c r="BZ379" s="16" t="str">
        <f>IF(Risultati!G378&gt;0,(Risultati!AJ378/Risultati!G378),"0")</f>
        <v>0</v>
      </c>
      <c r="CA379" s="8"/>
      <c r="CB379" s="9">
        <f>+Risultati!AP378</f>
        <v>0</v>
      </c>
      <c r="CC379" s="31" t="str">
        <f t="shared" si="312"/>
        <v>0</v>
      </c>
      <c r="CD379" s="9">
        <f>+Risultati!AQ378</f>
        <v>0</v>
      </c>
      <c r="CE379" s="31" t="str">
        <f t="shared" si="313"/>
        <v>0</v>
      </c>
      <c r="CF379" s="9">
        <f>+Risultati!AR378</f>
        <v>0</v>
      </c>
      <c r="CG379" s="31" t="str">
        <f t="shared" si="314"/>
        <v>0</v>
      </c>
      <c r="CH379" s="9">
        <f>+Risultati!AS378</f>
        <v>0</v>
      </c>
      <c r="CI379" s="31" t="str">
        <f t="shared" si="315"/>
        <v>0</v>
      </c>
      <c r="CJ379" s="9">
        <f t="shared" si="316"/>
        <v>0</v>
      </c>
      <c r="CK379" s="31" t="str">
        <f t="shared" si="317"/>
        <v>0</v>
      </c>
      <c r="CL379" s="10">
        <f>+Risultati!AE378+Risultati!AF378</f>
        <v>0</v>
      </c>
      <c r="CM379" s="31" t="str">
        <f t="shared" si="318"/>
        <v>0</v>
      </c>
      <c r="CN379" s="9">
        <f>+Risultati!AT378</f>
        <v>0</v>
      </c>
      <c r="CO379" s="31" t="str">
        <f t="shared" si="319"/>
        <v>0</v>
      </c>
      <c r="CP379" s="9">
        <f>+Risultati!AU378</f>
        <v>0</v>
      </c>
      <c r="CQ379" s="31" t="str">
        <f t="shared" si="320"/>
        <v>0</v>
      </c>
      <c r="CR379" s="9">
        <f>+Risultati!AL378</f>
        <v>0</v>
      </c>
      <c r="CS379" s="31" t="str">
        <f t="shared" si="321"/>
        <v>0</v>
      </c>
      <c r="CT379" s="9">
        <f t="shared" si="322"/>
        <v>0</v>
      </c>
      <c r="CU379" s="31" t="str">
        <f t="shared" si="323"/>
        <v>0</v>
      </c>
      <c r="CV379" s="9">
        <f>+Risultati!AX378</f>
        <v>0</v>
      </c>
      <c r="CW379" s="31" t="str">
        <f t="shared" si="324"/>
        <v>0</v>
      </c>
      <c r="CX379" s="9">
        <f t="shared" si="325"/>
        <v>0</v>
      </c>
      <c r="CY379" s="31" t="str">
        <f t="shared" si="326"/>
        <v>0</v>
      </c>
      <c r="CZ379" s="9">
        <f>+Risultati!AG378</f>
        <v>0</v>
      </c>
      <c r="DA379" s="31" t="str">
        <f t="shared" si="327"/>
        <v>0</v>
      </c>
      <c r="DB379" s="9">
        <f t="shared" si="328"/>
        <v>0</v>
      </c>
      <c r="DC379" s="31" t="str">
        <f t="shared" si="329"/>
        <v>0</v>
      </c>
      <c r="DD379" s="9">
        <f>+Risultati!AV378</f>
        <v>0</v>
      </c>
      <c r="DE379" s="31" t="str">
        <f t="shared" si="330"/>
        <v>0</v>
      </c>
      <c r="DF379" s="9">
        <f>+Risultati!AJ378</f>
        <v>0</v>
      </c>
      <c r="DG379" s="31" t="str">
        <f t="shared" si="331"/>
        <v>0</v>
      </c>
      <c r="DH379" s="9">
        <f t="shared" si="332"/>
        <v>0</v>
      </c>
      <c r="DI379" s="31" t="str">
        <f t="shared" si="333"/>
        <v>0</v>
      </c>
      <c r="DJ379" s="9">
        <f>+Risultati!AW378</f>
        <v>0</v>
      </c>
      <c r="DK379" s="31" t="str">
        <f t="shared" si="334"/>
        <v>0</v>
      </c>
      <c r="DL379" s="10">
        <f t="shared" si="305"/>
        <v>0</v>
      </c>
      <c r="DM379" s="31" t="str">
        <f t="shared" si="335"/>
        <v>0</v>
      </c>
      <c r="DO379" s="30"/>
      <c r="DP379" s="30"/>
    </row>
    <row r="380" spans="1:120" x14ac:dyDescent="0.2">
      <c r="A380" s="5"/>
      <c r="B380" s="6">
        <f>+Risultati!B379</f>
        <v>0</v>
      </c>
      <c r="C380" s="6">
        <f>+Risultati!C379</f>
        <v>0</v>
      </c>
      <c r="D380" s="26" t="str">
        <f>IF(YEAR(Risultati!D379)=1900,(MID(Risultati!$AP$1,29,4)),YEAR(Risultati!D379))</f>
        <v/>
      </c>
      <c r="E380" s="6">
        <f>+Risultati!E379</f>
        <v>0</v>
      </c>
      <c r="F380" s="8" t="e">
        <f>(LEFT(Risultati!AN379,2)&amp;"-")&amp;VLOOKUP((LEFT(Risultati!AN379,2)),ateco!$B$4:$C$93,2,FALSE)</f>
        <v>#N/A</v>
      </c>
      <c r="G380" s="8" t="str">
        <f>SUBSTITUTE((Risultati!AN379&amp;"-"&amp;Risultati!AO379),",",";")</f>
        <v>-</v>
      </c>
      <c r="I380" s="10">
        <f>+Risultati!G379</f>
        <v>0</v>
      </c>
      <c r="J380" s="11" t="str">
        <f t="shared" si="287"/>
        <v>0</v>
      </c>
      <c r="K380" s="12"/>
      <c r="L380" s="10">
        <f>+Risultati!G379+Risultati!H379</f>
        <v>0</v>
      </c>
      <c r="M380" s="11" t="str">
        <f t="shared" si="288"/>
        <v>0</v>
      </c>
      <c r="N380" s="12"/>
      <c r="O380" s="10">
        <f>+Risultati!I379+Risultati!J379</f>
        <v>0</v>
      </c>
      <c r="P380" s="11" t="str">
        <f t="shared" si="289"/>
        <v>0</v>
      </c>
      <c r="Q380" s="12"/>
      <c r="R380" s="13">
        <f t="shared" si="306"/>
        <v>0</v>
      </c>
      <c r="S380" s="11" t="str">
        <f t="shared" si="290"/>
        <v>0</v>
      </c>
      <c r="T380" s="12"/>
      <c r="U380" s="10">
        <f>+Risultati!F379-(Risultati!G379+Risultati!H379)</f>
        <v>0</v>
      </c>
      <c r="V380" s="12" t="str">
        <f t="shared" si="291"/>
        <v>0</v>
      </c>
      <c r="W380" s="12"/>
      <c r="X380" s="10">
        <f t="shared" si="307"/>
        <v>0</v>
      </c>
      <c r="Y380" s="12" t="str">
        <f t="shared" si="292"/>
        <v>0</v>
      </c>
      <c r="Z380" s="12"/>
      <c r="AA380" s="10">
        <f>+Risultati!K379</f>
        <v>0</v>
      </c>
      <c r="AB380" s="12" t="str">
        <f t="shared" si="293"/>
        <v>0</v>
      </c>
      <c r="AC380" s="12"/>
      <c r="AD380" s="10">
        <f>+Risultati!L379</f>
        <v>0</v>
      </c>
      <c r="AE380" s="12" t="str">
        <f t="shared" si="294"/>
        <v>0</v>
      </c>
      <c r="AF380" s="12"/>
      <c r="AG380" s="10">
        <f>+Risultati!M379+Risultati!P379+Risultati!Q379</f>
        <v>0</v>
      </c>
      <c r="AH380" s="12" t="str">
        <f t="shared" si="295"/>
        <v>0</v>
      </c>
      <c r="AI380" s="12"/>
      <c r="AJ380" s="13">
        <f t="shared" si="308"/>
        <v>0</v>
      </c>
      <c r="AK380" s="11" t="str">
        <f t="shared" si="296"/>
        <v>0</v>
      </c>
      <c r="AL380" s="12"/>
      <c r="AM380" s="10">
        <f>+Risultati!N379</f>
        <v>0</v>
      </c>
      <c r="AN380" s="12" t="str">
        <f t="shared" si="297"/>
        <v>0</v>
      </c>
      <c r="AO380" s="12"/>
      <c r="AP380" s="10">
        <f t="shared" si="309"/>
        <v>0</v>
      </c>
      <c r="AQ380" s="41" t="str">
        <f t="shared" si="298"/>
        <v>0</v>
      </c>
      <c r="AR380" s="12"/>
      <c r="AS380" s="10">
        <f>+Risultati!O379</f>
        <v>0</v>
      </c>
      <c r="AT380" s="12" t="str">
        <f t="shared" si="299"/>
        <v>0</v>
      </c>
      <c r="AU380" s="12"/>
      <c r="AV380" s="10">
        <f t="shared" si="310"/>
        <v>0</v>
      </c>
      <c r="AW380" s="12" t="str">
        <f t="shared" si="300"/>
        <v>0</v>
      </c>
      <c r="AX380" s="12"/>
      <c r="AY380" s="10">
        <f>+Risultati!R379+Risultati!S379</f>
        <v>0</v>
      </c>
      <c r="AZ380" s="12" t="str">
        <f t="shared" si="301"/>
        <v>0</v>
      </c>
      <c r="BA380" s="12"/>
      <c r="BB380" s="10">
        <f>+Risultati!T379</f>
        <v>0</v>
      </c>
      <c r="BC380" s="12" t="str">
        <f t="shared" si="302"/>
        <v>0</v>
      </c>
      <c r="BD380" s="12"/>
      <c r="BE380" s="10">
        <f>+Risultati!U379</f>
        <v>0</v>
      </c>
      <c r="BF380" s="12" t="str">
        <f t="shared" si="303"/>
        <v>0</v>
      </c>
      <c r="BG380" s="12"/>
      <c r="BH380" s="10">
        <f t="shared" si="311"/>
        <v>0</v>
      </c>
      <c r="BI380" s="12" t="str">
        <f t="shared" si="304"/>
        <v>0</v>
      </c>
      <c r="BK380" s="16">
        <f>IF(ISNUMBER(Risultati!X379/100),(Risultati!X379/100))</f>
        <v>0</v>
      </c>
      <c r="BL380" s="16">
        <f>IF(ISNUMBER(Risultati!Y379/100),(Risultati!Y379/100))</f>
        <v>0</v>
      </c>
      <c r="BM380" s="16">
        <f>IF(ISNUMBER(Risultati!Z379/100),(Risultati!Z379/100))</f>
        <v>0</v>
      </c>
      <c r="BN380" s="16">
        <f>IF(AND(Risultati!AY379&lt;0,calcoli!AP380&lt;0),-IF(ISNUMBER(Risultati!AA379/100),(Risultati!AA379/100)),IF(ISNUMBER(Risultati!AA379/100),(Risultati!AA379/100)))</f>
        <v>0</v>
      </c>
      <c r="BO380" s="16" t="str">
        <f t="shared" si="285"/>
        <v>0</v>
      </c>
      <c r="BP380" s="16" t="str">
        <f>IF(Risultati!AB379&gt;0,(AV380/Risultati!AB379),"0")</f>
        <v>0</v>
      </c>
      <c r="BQ380" s="16" t="str">
        <f>IF(Risultati!AG379&lt;&gt;0,(BH380/Risultati!AG379),"0")</f>
        <v>0</v>
      </c>
      <c r="BR380" s="16" t="str">
        <f t="shared" si="286"/>
        <v>0</v>
      </c>
      <c r="BS380" s="14" t="str">
        <f>IF(Risultati!AB379&gt;0,(Risultati!G379/Risultati!AB379),"0")</f>
        <v>0</v>
      </c>
      <c r="BT380" s="15" t="str">
        <f>IF(Risultati!AG379&lt;&gt;0,(Risultati!AB379/Risultati!AG379),"0")</f>
        <v>0</v>
      </c>
      <c r="BU380" s="23" t="str">
        <f>IF(AND(Risultati!G379&gt;0,(Risultati!AE379-Risultati!AF379)&gt;=0),((Risultati!AE379-Risultati!AF379)/Risultati!G379*360),"0")</f>
        <v>0</v>
      </c>
      <c r="BV380" s="21" t="str">
        <f>IF(OR(E380="abbreviato",Risultati!G379=0),"0",((Risultati!AC379+Risultati!AD379)/Risultati!G379*360))</f>
        <v>0</v>
      </c>
      <c r="BW380" s="21" t="str">
        <f>IF(OR(E380="abbreviato",Risultati!G379=0,SUM(Risultati!I379+Risultati!K379+Risultati!M379)=0),"0",(((Risultati!AH379+Risultati!AI379)/(Risultati!I379+Risultati!K379+Risultati!N379)*360)))</f>
        <v>0</v>
      </c>
      <c r="BX380" s="16" t="str">
        <f>IF(Risultati!AB379&gt;0,(+Risultati!AG379/Risultati!AB379),"0")</f>
        <v>0</v>
      </c>
      <c r="BY380" s="22" t="str">
        <f>IF(OR(E380="abbreviato",Risultati!G379=0),"0",(((Risultati!AK379-(Risultati!AL379+Risultati!AM379))/Risultati!G379)))</f>
        <v>0</v>
      </c>
      <c r="BZ380" s="16" t="str">
        <f>IF(Risultati!G379&gt;0,(Risultati!AJ379/Risultati!G379),"0")</f>
        <v>0</v>
      </c>
      <c r="CA380" s="8"/>
      <c r="CB380" s="9">
        <f>+Risultati!AP379</f>
        <v>0</v>
      </c>
      <c r="CC380" s="31" t="str">
        <f t="shared" si="312"/>
        <v>0</v>
      </c>
      <c r="CD380" s="9">
        <f>+Risultati!AQ379</f>
        <v>0</v>
      </c>
      <c r="CE380" s="31" t="str">
        <f t="shared" si="313"/>
        <v>0</v>
      </c>
      <c r="CF380" s="9">
        <f>+Risultati!AR379</f>
        <v>0</v>
      </c>
      <c r="CG380" s="31" t="str">
        <f t="shared" si="314"/>
        <v>0</v>
      </c>
      <c r="CH380" s="9">
        <f>+Risultati!AS379</f>
        <v>0</v>
      </c>
      <c r="CI380" s="31" t="str">
        <f t="shared" si="315"/>
        <v>0</v>
      </c>
      <c r="CJ380" s="9">
        <f t="shared" si="316"/>
        <v>0</v>
      </c>
      <c r="CK380" s="31" t="str">
        <f t="shared" si="317"/>
        <v>0</v>
      </c>
      <c r="CL380" s="10">
        <f>+Risultati!AE379+Risultati!AF379</f>
        <v>0</v>
      </c>
      <c r="CM380" s="31" t="str">
        <f t="shared" si="318"/>
        <v>0</v>
      </c>
      <c r="CN380" s="9">
        <f>+Risultati!AT379</f>
        <v>0</v>
      </c>
      <c r="CO380" s="31" t="str">
        <f t="shared" si="319"/>
        <v>0</v>
      </c>
      <c r="CP380" s="9">
        <f>+Risultati!AU379</f>
        <v>0</v>
      </c>
      <c r="CQ380" s="31" t="str">
        <f t="shared" si="320"/>
        <v>0</v>
      </c>
      <c r="CR380" s="9">
        <f>+Risultati!AL379</f>
        <v>0</v>
      </c>
      <c r="CS380" s="31" t="str">
        <f t="shared" si="321"/>
        <v>0</v>
      </c>
      <c r="CT380" s="9">
        <f t="shared" si="322"/>
        <v>0</v>
      </c>
      <c r="CU380" s="31" t="str">
        <f t="shared" si="323"/>
        <v>0</v>
      </c>
      <c r="CV380" s="9">
        <f>+Risultati!AX379</f>
        <v>0</v>
      </c>
      <c r="CW380" s="31" t="str">
        <f t="shared" si="324"/>
        <v>0</v>
      </c>
      <c r="CX380" s="9">
        <f t="shared" si="325"/>
        <v>0</v>
      </c>
      <c r="CY380" s="31" t="str">
        <f t="shared" si="326"/>
        <v>0</v>
      </c>
      <c r="CZ380" s="9">
        <f>+Risultati!AG379</f>
        <v>0</v>
      </c>
      <c r="DA380" s="31" t="str">
        <f t="shared" si="327"/>
        <v>0</v>
      </c>
      <c r="DB380" s="9">
        <f t="shared" si="328"/>
        <v>0</v>
      </c>
      <c r="DC380" s="31" t="str">
        <f t="shared" si="329"/>
        <v>0</v>
      </c>
      <c r="DD380" s="9">
        <f>+Risultati!AV379</f>
        <v>0</v>
      </c>
      <c r="DE380" s="31" t="str">
        <f t="shared" si="330"/>
        <v>0</v>
      </c>
      <c r="DF380" s="9">
        <f>+Risultati!AJ379</f>
        <v>0</v>
      </c>
      <c r="DG380" s="31" t="str">
        <f t="shared" si="331"/>
        <v>0</v>
      </c>
      <c r="DH380" s="9">
        <f t="shared" si="332"/>
        <v>0</v>
      </c>
      <c r="DI380" s="31" t="str">
        <f t="shared" si="333"/>
        <v>0</v>
      </c>
      <c r="DJ380" s="9">
        <f>+Risultati!AW379</f>
        <v>0</v>
      </c>
      <c r="DK380" s="31" t="str">
        <f t="shared" si="334"/>
        <v>0</v>
      </c>
      <c r="DL380" s="10">
        <f t="shared" si="305"/>
        <v>0</v>
      </c>
      <c r="DM380" s="31" t="str">
        <f t="shared" si="335"/>
        <v>0</v>
      </c>
      <c r="DO380" s="30"/>
      <c r="DP380" s="30"/>
    </row>
    <row r="381" spans="1:120" x14ac:dyDescent="0.2">
      <c r="A381" s="5"/>
      <c r="B381" s="6">
        <f>+Risultati!B380</f>
        <v>0</v>
      </c>
      <c r="C381" s="6">
        <f>+Risultati!C380</f>
        <v>0</v>
      </c>
      <c r="D381" s="26" t="str">
        <f>IF(YEAR(Risultati!D380)=1900,(MID(Risultati!$AP$1,29,4)),YEAR(Risultati!D380))</f>
        <v/>
      </c>
      <c r="E381" s="6">
        <f>+Risultati!E380</f>
        <v>0</v>
      </c>
      <c r="F381" s="8" t="e">
        <f>(LEFT(Risultati!AN380,2)&amp;"-")&amp;VLOOKUP((LEFT(Risultati!AN380,2)),ateco!$B$4:$C$93,2,FALSE)</f>
        <v>#N/A</v>
      </c>
      <c r="G381" s="8" t="str">
        <f>SUBSTITUTE((Risultati!AN380&amp;"-"&amp;Risultati!AO380),",",";")</f>
        <v>-</v>
      </c>
      <c r="I381" s="10">
        <f>+Risultati!G380</f>
        <v>0</v>
      </c>
      <c r="J381" s="11" t="str">
        <f t="shared" si="287"/>
        <v>0</v>
      </c>
      <c r="K381" s="12"/>
      <c r="L381" s="10">
        <f>+Risultati!G380+Risultati!H380</f>
        <v>0</v>
      </c>
      <c r="M381" s="11" t="str">
        <f t="shared" si="288"/>
        <v>0</v>
      </c>
      <c r="N381" s="12"/>
      <c r="O381" s="10">
        <f>+Risultati!I380+Risultati!J380</f>
        <v>0</v>
      </c>
      <c r="P381" s="11" t="str">
        <f t="shared" si="289"/>
        <v>0</v>
      </c>
      <c r="Q381" s="12"/>
      <c r="R381" s="13">
        <f t="shared" si="306"/>
        <v>0</v>
      </c>
      <c r="S381" s="11" t="str">
        <f t="shared" si="290"/>
        <v>0</v>
      </c>
      <c r="T381" s="12"/>
      <c r="U381" s="10">
        <f>+Risultati!F380-(Risultati!G380+Risultati!H380)</f>
        <v>0</v>
      </c>
      <c r="V381" s="12" t="str">
        <f t="shared" si="291"/>
        <v>0</v>
      </c>
      <c r="W381" s="12"/>
      <c r="X381" s="10">
        <f t="shared" si="307"/>
        <v>0</v>
      </c>
      <c r="Y381" s="12" t="str">
        <f t="shared" si="292"/>
        <v>0</v>
      </c>
      <c r="Z381" s="12"/>
      <c r="AA381" s="10">
        <f>+Risultati!K380</f>
        <v>0</v>
      </c>
      <c r="AB381" s="12" t="str">
        <f t="shared" si="293"/>
        <v>0</v>
      </c>
      <c r="AC381" s="12"/>
      <c r="AD381" s="10">
        <f>+Risultati!L380</f>
        <v>0</v>
      </c>
      <c r="AE381" s="12" t="str">
        <f t="shared" si="294"/>
        <v>0</v>
      </c>
      <c r="AF381" s="12"/>
      <c r="AG381" s="10">
        <f>+Risultati!M380+Risultati!P380+Risultati!Q380</f>
        <v>0</v>
      </c>
      <c r="AH381" s="12" t="str">
        <f t="shared" si="295"/>
        <v>0</v>
      </c>
      <c r="AI381" s="12"/>
      <c r="AJ381" s="13">
        <f t="shared" si="308"/>
        <v>0</v>
      </c>
      <c r="AK381" s="11" t="str">
        <f t="shared" si="296"/>
        <v>0</v>
      </c>
      <c r="AL381" s="12"/>
      <c r="AM381" s="10">
        <f>+Risultati!N380</f>
        <v>0</v>
      </c>
      <c r="AN381" s="12" t="str">
        <f t="shared" si="297"/>
        <v>0</v>
      </c>
      <c r="AO381" s="12"/>
      <c r="AP381" s="10">
        <f t="shared" si="309"/>
        <v>0</v>
      </c>
      <c r="AQ381" s="41" t="str">
        <f t="shared" si="298"/>
        <v>0</v>
      </c>
      <c r="AR381" s="12"/>
      <c r="AS381" s="10">
        <f>+Risultati!O380</f>
        <v>0</v>
      </c>
      <c r="AT381" s="12" t="str">
        <f t="shared" si="299"/>
        <v>0</v>
      </c>
      <c r="AU381" s="12"/>
      <c r="AV381" s="10">
        <f t="shared" si="310"/>
        <v>0</v>
      </c>
      <c r="AW381" s="12" t="str">
        <f t="shared" si="300"/>
        <v>0</v>
      </c>
      <c r="AX381" s="12"/>
      <c r="AY381" s="10">
        <f>+Risultati!R380+Risultati!S380</f>
        <v>0</v>
      </c>
      <c r="AZ381" s="12" t="str">
        <f t="shared" si="301"/>
        <v>0</v>
      </c>
      <c r="BA381" s="12"/>
      <c r="BB381" s="10">
        <f>+Risultati!T380</f>
        <v>0</v>
      </c>
      <c r="BC381" s="12" t="str">
        <f t="shared" si="302"/>
        <v>0</v>
      </c>
      <c r="BD381" s="12"/>
      <c r="BE381" s="10">
        <f>+Risultati!U380</f>
        <v>0</v>
      </c>
      <c r="BF381" s="12" t="str">
        <f t="shared" si="303"/>
        <v>0</v>
      </c>
      <c r="BG381" s="12"/>
      <c r="BH381" s="10">
        <f t="shared" si="311"/>
        <v>0</v>
      </c>
      <c r="BI381" s="12" t="str">
        <f t="shared" si="304"/>
        <v>0</v>
      </c>
      <c r="BK381" s="16">
        <f>IF(ISNUMBER(Risultati!X380/100),(Risultati!X380/100))</f>
        <v>0</v>
      </c>
      <c r="BL381" s="16">
        <f>IF(ISNUMBER(Risultati!Y380/100),(Risultati!Y380/100))</f>
        <v>0</v>
      </c>
      <c r="BM381" s="16">
        <f>IF(ISNUMBER(Risultati!Z380/100),(Risultati!Z380/100))</f>
        <v>0</v>
      </c>
      <c r="BN381" s="16">
        <f>IF(AND(Risultati!AY380&lt;0,calcoli!AP381&lt;0),-IF(ISNUMBER(Risultati!AA380/100),(Risultati!AA380/100)),IF(ISNUMBER(Risultati!AA380/100),(Risultati!AA380/100)))</f>
        <v>0</v>
      </c>
      <c r="BO381" s="16" t="str">
        <f t="shared" si="285"/>
        <v>0</v>
      </c>
      <c r="BP381" s="16" t="str">
        <f>IF(Risultati!AB380&gt;0,(AV381/Risultati!AB380),"0")</f>
        <v>0</v>
      </c>
      <c r="BQ381" s="16" t="str">
        <f>IF(Risultati!AG380&lt;&gt;0,(BH381/Risultati!AG380),"0")</f>
        <v>0</v>
      </c>
      <c r="BR381" s="16" t="str">
        <f t="shared" si="286"/>
        <v>0</v>
      </c>
      <c r="BS381" s="14" t="str">
        <f>IF(Risultati!AB380&gt;0,(Risultati!G380/Risultati!AB380),"0")</f>
        <v>0</v>
      </c>
      <c r="BT381" s="15" t="str">
        <f>IF(Risultati!AG380&lt;&gt;0,(Risultati!AB380/Risultati!AG380),"0")</f>
        <v>0</v>
      </c>
      <c r="BU381" s="23" t="str">
        <f>IF(AND(Risultati!G380&gt;0,(Risultati!AE380-Risultati!AF380)&gt;=0),((Risultati!AE380-Risultati!AF380)/Risultati!G380*360),"0")</f>
        <v>0</v>
      </c>
      <c r="BV381" s="21" t="str">
        <f>IF(OR(E381="abbreviato",Risultati!G380=0),"0",((Risultati!AC380+Risultati!AD380)/Risultati!G380*360))</f>
        <v>0</v>
      </c>
      <c r="BW381" s="21" t="str">
        <f>IF(OR(E381="abbreviato",Risultati!G380=0,SUM(Risultati!I380+Risultati!K380+Risultati!M380)=0),"0",(((Risultati!AH380+Risultati!AI380)/(Risultati!I380+Risultati!K380+Risultati!N380)*360)))</f>
        <v>0</v>
      </c>
      <c r="BX381" s="16" t="str">
        <f>IF(Risultati!AB380&gt;0,(+Risultati!AG380/Risultati!AB380),"0")</f>
        <v>0</v>
      </c>
      <c r="BY381" s="22" t="str">
        <f>IF(OR(E381="abbreviato",Risultati!G380=0),"0",(((Risultati!AK380-(Risultati!AL380+Risultati!AM380))/Risultati!G380)))</f>
        <v>0</v>
      </c>
      <c r="BZ381" s="16" t="str">
        <f>IF(Risultati!G380&gt;0,(Risultati!AJ380/Risultati!G380),"0")</f>
        <v>0</v>
      </c>
      <c r="CA381" s="8"/>
      <c r="CB381" s="9">
        <f>+Risultati!AP380</f>
        <v>0</v>
      </c>
      <c r="CC381" s="31" t="str">
        <f t="shared" si="312"/>
        <v>0</v>
      </c>
      <c r="CD381" s="9">
        <f>+Risultati!AQ380</f>
        <v>0</v>
      </c>
      <c r="CE381" s="31" t="str">
        <f t="shared" si="313"/>
        <v>0</v>
      </c>
      <c r="CF381" s="9">
        <f>+Risultati!AR380</f>
        <v>0</v>
      </c>
      <c r="CG381" s="31" t="str">
        <f t="shared" si="314"/>
        <v>0</v>
      </c>
      <c r="CH381" s="9">
        <f>+Risultati!AS380</f>
        <v>0</v>
      </c>
      <c r="CI381" s="31" t="str">
        <f t="shared" si="315"/>
        <v>0</v>
      </c>
      <c r="CJ381" s="9">
        <f t="shared" si="316"/>
        <v>0</v>
      </c>
      <c r="CK381" s="31" t="str">
        <f t="shared" si="317"/>
        <v>0</v>
      </c>
      <c r="CL381" s="10">
        <f>+Risultati!AE380+Risultati!AF380</f>
        <v>0</v>
      </c>
      <c r="CM381" s="31" t="str">
        <f t="shared" si="318"/>
        <v>0</v>
      </c>
      <c r="CN381" s="9">
        <f>+Risultati!AT380</f>
        <v>0</v>
      </c>
      <c r="CO381" s="31" t="str">
        <f t="shared" si="319"/>
        <v>0</v>
      </c>
      <c r="CP381" s="9">
        <f>+Risultati!AU380</f>
        <v>0</v>
      </c>
      <c r="CQ381" s="31" t="str">
        <f t="shared" si="320"/>
        <v>0</v>
      </c>
      <c r="CR381" s="9">
        <f>+Risultati!AL380</f>
        <v>0</v>
      </c>
      <c r="CS381" s="31" t="str">
        <f t="shared" si="321"/>
        <v>0</v>
      </c>
      <c r="CT381" s="9">
        <f t="shared" si="322"/>
        <v>0</v>
      </c>
      <c r="CU381" s="31" t="str">
        <f t="shared" si="323"/>
        <v>0</v>
      </c>
      <c r="CV381" s="9">
        <f>+Risultati!AX380</f>
        <v>0</v>
      </c>
      <c r="CW381" s="31" t="str">
        <f t="shared" si="324"/>
        <v>0</v>
      </c>
      <c r="CX381" s="9">
        <f t="shared" si="325"/>
        <v>0</v>
      </c>
      <c r="CY381" s="31" t="str">
        <f t="shared" si="326"/>
        <v>0</v>
      </c>
      <c r="CZ381" s="9">
        <f>+Risultati!AG380</f>
        <v>0</v>
      </c>
      <c r="DA381" s="31" t="str">
        <f t="shared" si="327"/>
        <v>0</v>
      </c>
      <c r="DB381" s="9">
        <f t="shared" si="328"/>
        <v>0</v>
      </c>
      <c r="DC381" s="31" t="str">
        <f t="shared" si="329"/>
        <v>0</v>
      </c>
      <c r="DD381" s="9">
        <f>+Risultati!AV380</f>
        <v>0</v>
      </c>
      <c r="DE381" s="31" t="str">
        <f t="shared" si="330"/>
        <v>0</v>
      </c>
      <c r="DF381" s="9">
        <f>+Risultati!AJ380</f>
        <v>0</v>
      </c>
      <c r="DG381" s="31" t="str">
        <f t="shared" si="331"/>
        <v>0</v>
      </c>
      <c r="DH381" s="9">
        <f t="shared" si="332"/>
        <v>0</v>
      </c>
      <c r="DI381" s="31" t="str">
        <f t="shared" si="333"/>
        <v>0</v>
      </c>
      <c r="DJ381" s="9">
        <f>+Risultati!AW380</f>
        <v>0</v>
      </c>
      <c r="DK381" s="31" t="str">
        <f t="shared" si="334"/>
        <v>0</v>
      </c>
      <c r="DL381" s="10">
        <f t="shared" si="305"/>
        <v>0</v>
      </c>
      <c r="DM381" s="31" t="str">
        <f t="shared" si="335"/>
        <v>0</v>
      </c>
      <c r="DO381" s="30"/>
      <c r="DP381" s="30"/>
    </row>
    <row r="382" spans="1:120" x14ac:dyDescent="0.2">
      <c r="A382" s="5"/>
      <c r="B382" s="6">
        <f>+Risultati!B381</f>
        <v>0</v>
      </c>
      <c r="C382" s="6">
        <f>+Risultati!C381</f>
        <v>0</v>
      </c>
      <c r="D382" s="26" t="str">
        <f>IF(YEAR(Risultati!D381)=1900,(MID(Risultati!$AP$1,29,4)),YEAR(Risultati!D381))</f>
        <v/>
      </c>
      <c r="E382" s="6">
        <f>+Risultati!E381</f>
        <v>0</v>
      </c>
      <c r="F382" s="8" t="e">
        <f>(LEFT(Risultati!AN381,2)&amp;"-")&amp;VLOOKUP((LEFT(Risultati!AN381,2)),ateco!$B$4:$C$93,2,FALSE)</f>
        <v>#N/A</v>
      </c>
      <c r="G382" s="8" t="str">
        <f>SUBSTITUTE((Risultati!AN381&amp;"-"&amp;Risultati!AO381),",",";")</f>
        <v>-</v>
      </c>
      <c r="I382" s="10">
        <f>+Risultati!G381</f>
        <v>0</v>
      </c>
      <c r="J382" s="11" t="str">
        <f t="shared" si="287"/>
        <v>0</v>
      </c>
      <c r="K382" s="12"/>
      <c r="L382" s="10">
        <f>+Risultati!G381+Risultati!H381</f>
        <v>0</v>
      </c>
      <c r="M382" s="11" t="str">
        <f t="shared" si="288"/>
        <v>0</v>
      </c>
      <c r="N382" s="12"/>
      <c r="O382" s="10">
        <f>+Risultati!I381+Risultati!J381</f>
        <v>0</v>
      </c>
      <c r="P382" s="11" t="str">
        <f t="shared" si="289"/>
        <v>0</v>
      </c>
      <c r="Q382" s="12"/>
      <c r="R382" s="13">
        <f t="shared" si="306"/>
        <v>0</v>
      </c>
      <c r="S382" s="11" t="str">
        <f t="shared" si="290"/>
        <v>0</v>
      </c>
      <c r="T382" s="12"/>
      <c r="U382" s="10">
        <f>+Risultati!F381-(Risultati!G381+Risultati!H381)</f>
        <v>0</v>
      </c>
      <c r="V382" s="12" t="str">
        <f t="shared" si="291"/>
        <v>0</v>
      </c>
      <c r="W382" s="12"/>
      <c r="X382" s="10">
        <f t="shared" si="307"/>
        <v>0</v>
      </c>
      <c r="Y382" s="12" t="str">
        <f t="shared" si="292"/>
        <v>0</v>
      </c>
      <c r="Z382" s="12"/>
      <c r="AA382" s="10">
        <f>+Risultati!K381</f>
        <v>0</v>
      </c>
      <c r="AB382" s="12" t="str">
        <f t="shared" si="293"/>
        <v>0</v>
      </c>
      <c r="AC382" s="12"/>
      <c r="AD382" s="10">
        <f>+Risultati!L381</f>
        <v>0</v>
      </c>
      <c r="AE382" s="12" t="str">
        <f t="shared" si="294"/>
        <v>0</v>
      </c>
      <c r="AF382" s="12"/>
      <c r="AG382" s="10">
        <f>+Risultati!M381+Risultati!P381+Risultati!Q381</f>
        <v>0</v>
      </c>
      <c r="AH382" s="12" t="str">
        <f t="shared" si="295"/>
        <v>0</v>
      </c>
      <c r="AI382" s="12"/>
      <c r="AJ382" s="13">
        <f t="shared" si="308"/>
        <v>0</v>
      </c>
      <c r="AK382" s="11" t="str">
        <f t="shared" si="296"/>
        <v>0</v>
      </c>
      <c r="AL382" s="12"/>
      <c r="AM382" s="10">
        <f>+Risultati!N381</f>
        <v>0</v>
      </c>
      <c r="AN382" s="12" t="str">
        <f t="shared" si="297"/>
        <v>0</v>
      </c>
      <c r="AO382" s="12"/>
      <c r="AP382" s="10">
        <f t="shared" si="309"/>
        <v>0</v>
      </c>
      <c r="AQ382" s="41" t="str">
        <f t="shared" si="298"/>
        <v>0</v>
      </c>
      <c r="AR382" s="12"/>
      <c r="AS382" s="10">
        <f>+Risultati!O381</f>
        <v>0</v>
      </c>
      <c r="AT382" s="12" t="str">
        <f t="shared" si="299"/>
        <v>0</v>
      </c>
      <c r="AU382" s="12"/>
      <c r="AV382" s="10">
        <f t="shared" si="310"/>
        <v>0</v>
      </c>
      <c r="AW382" s="12" t="str">
        <f t="shared" si="300"/>
        <v>0</v>
      </c>
      <c r="AX382" s="12"/>
      <c r="AY382" s="10">
        <f>+Risultati!R381+Risultati!S381</f>
        <v>0</v>
      </c>
      <c r="AZ382" s="12" t="str">
        <f t="shared" si="301"/>
        <v>0</v>
      </c>
      <c r="BA382" s="12"/>
      <c r="BB382" s="10">
        <f>+Risultati!T381</f>
        <v>0</v>
      </c>
      <c r="BC382" s="12" t="str">
        <f t="shared" si="302"/>
        <v>0</v>
      </c>
      <c r="BD382" s="12"/>
      <c r="BE382" s="10">
        <f>+Risultati!U381</f>
        <v>0</v>
      </c>
      <c r="BF382" s="12" t="str">
        <f t="shared" si="303"/>
        <v>0</v>
      </c>
      <c r="BG382" s="12"/>
      <c r="BH382" s="10">
        <f t="shared" si="311"/>
        <v>0</v>
      </c>
      <c r="BI382" s="12" t="str">
        <f t="shared" si="304"/>
        <v>0</v>
      </c>
      <c r="BK382" s="16">
        <f>IF(ISNUMBER(Risultati!X381/100),(Risultati!X381/100))</f>
        <v>0</v>
      </c>
      <c r="BL382" s="16">
        <f>IF(ISNUMBER(Risultati!Y381/100),(Risultati!Y381/100))</f>
        <v>0</v>
      </c>
      <c r="BM382" s="16">
        <f>IF(ISNUMBER(Risultati!Z381/100),(Risultati!Z381/100))</f>
        <v>0</v>
      </c>
      <c r="BN382" s="16">
        <f>IF(AND(Risultati!AY381&lt;0,calcoli!AP382&lt;0),-IF(ISNUMBER(Risultati!AA381/100),(Risultati!AA381/100)),IF(ISNUMBER(Risultati!AA381/100),(Risultati!AA381/100)))</f>
        <v>0</v>
      </c>
      <c r="BO382" s="16" t="str">
        <f t="shared" si="285"/>
        <v>0</v>
      </c>
      <c r="BP382" s="16" t="str">
        <f>IF(Risultati!AB381&gt;0,(AV382/Risultati!AB381),"0")</f>
        <v>0</v>
      </c>
      <c r="BQ382" s="16" t="str">
        <f>IF(Risultati!AG381&lt;&gt;0,(BH382/Risultati!AG381),"0")</f>
        <v>0</v>
      </c>
      <c r="BR382" s="16" t="str">
        <f t="shared" si="286"/>
        <v>0</v>
      </c>
      <c r="BS382" s="14" t="str">
        <f>IF(Risultati!AB381&gt;0,(Risultati!G381/Risultati!AB381),"0")</f>
        <v>0</v>
      </c>
      <c r="BT382" s="15" t="str">
        <f>IF(Risultati!AG381&lt;&gt;0,(Risultati!AB381/Risultati!AG381),"0")</f>
        <v>0</v>
      </c>
      <c r="BU382" s="23" t="str">
        <f>IF(AND(Risultati!G381&gt;0,(Risultati!AE381-Risultati!AF381)&gt;=0),((Risultati!AE381-Risultati!AF381)/Risultati!G381*360),"0")</f>
        <v>0</v>
      </c>
      <c r="BV382" s="21" t="str">
        <f>IF(OR(E382="abbreviato",Risultati!G381=0),"0",((Risultati!AC381+Risultati!AD381)/Risultati!G381*360))</f>
        <v>0</v>
      </c>
      <c r="BW382" s="21" t="str">
        <f>IF(OR(E382="abbreviato",Risultati!G381=0,SUM(Risultati!I381+Risultati!K381+Risultati!M381)=0),"0",(((Risultati!AH381+Risultati!AI381)/(Risultati!I381+Risultati!K381+Risultati!N381)*360)))</f>
        <v>0</v>
      </c>
      <c r="BX382" s="16" t="str">
        <f>IF(Risultati!AB381&gt;0,(+Risultati!AG381/Risultati!AB381),"0")</f>
        <v>0</v>
      </c>
      <c r="BY382" s="22" t="str">
        <f>IF(OR(E382="abbreviato",Risultati!G381=0),"0",(((Risultati!AK381-(Risultati!AL381+Risultati!AM381))/Risultati!G381)))</f>
        <v>0</v>
      </c>
      <c r="BZ382" s="16" t="str">
        <f>IF(Risultati!G381&gt;0,(Risultati!AJ381/Risultati!G381),"0")</f>
        <v>0</v>
      </c>
      <c r="CA382" s="8"/>
      <c r="CB382" s="9">
        <f>+Risultati!AP381</f>
        <v>0</v>
      </c>
      <c r="CC382" s="31" t="str">
        <f t="shared" si="312"/>
        <v>0</v>
      </c>
      <c r="CD382" s="9">
        <f>+Risultati!AQ381</f>
        <v>0</v>
      </c>
      <c r="CE382" s="31" t="str">
        <f t="shared" si="313"/>
        <v>0</v>
      </c>
      <c r="CF382" s="9">
        <f>+Risultati!AR381</f>
        <v>0</v>
      </c>
      <c r="CG382" s="31" t="str">
        <f t="shared" si="314"/>
        <v>0</v>
      </c>
      <c r="CH382" s="9">
        <f>+Risultati!AS381</f>
        <v>0</v>
      </c>
      <c r="CI382" s="31" t="str">
        <f t="shared" si="315"/>
        <v>0</v>
      </c>
      <c r="CJ382" s="9">
        <f t="shared" si="316"/>
        <v>0</v>
      </c>
      <c r="CK382" s="31" t="str">
        <f t="shared" si="317"/>
        <v>0</v>
      </c>
      <c r="CL382" s="10">
        <f>+Risultati!AE381+Risultati!AF381</f>
        <v>0</v>
      </c>
      <c r="CM382" s="31" t="str">
        <f t="shared" si="318"/>
        <v>0</v>
      </c>
      <c r="CN382" s="9">
        <f>+Risultati!AT381</f>
        <v>0</v>
      </c>
      <c r="CO382" s="31" t="str">
        <f t="shared" si="319"/>
        <v>0</v>
      </c>
      <c r="CP382" s="9">
        <f>+Risultati!AU381</f>
        <v>0</v>
      </c>
      <c r="CQ382" s="31" t="str">
        <f t="shared" si="320"/>
        <v>0</v>
      </c>
      <c r="CR382" s="9">
        <f>+Risultati!AL381</f>
        <v>0</v>
      </c>
      <c r="CS382" s="31" t="str">
        <f t="shared" si="321"/>
        <v>0</v>
      </c>
      <c r="CT382" s="9">
        <f t="shared" si="322"/>
        <v>0</v>
      </c>
      <c r="CU382" s="31" t="str">
        <f t="shared" si="323"/>
        <v>0</v>
      </c>
      <c r="CV382" s="9">
        <f>+Risultati!AX381</f>
        <v>0</v>
      </c>
      <c r="CW382" s="31" t="str">
        <f t="shared" si="324"/>
        <v>0</v>
      </c>
      <c r="CX382" s="9">
        <f t="shared" si="325"/>
        <v>0</v>
      </c>
      <c r="CY382" s="31" t="str">
        <f t="shared" si="326"/>
        <v>0</v>
      </c>
      <c r="CZ382" s="9">
        <f>+Risultati!AG381</f>
        <v>0</v>
      </c>
      <c r="DA382" s="31" t="str">
        <f t="shared" si="327"/>
        <v>0</v>
      </c>
      <c r="DB382" s="9">
        <f t="shared" si="328"/>
        <v>0</v>
      </c>
      <c r="DC382" s="31" t="str">
        <f t="shared" si="329"/>
        <v>0</v>
      </c>
      <c r="DD382" s="9">
        <f>+Risultati!AV381</f>
        <v>0</v>
      </c>
      <c r="DE382" s="31" t="str">
        <f t="shared" si="330"/>
        <v>0</v>
      </c>
      <c r="DF382" s="9">
        <f>+Risultati!AJ381</f>
        <v>0</v>
      </c>
      <c r="DG382" s="31" t="str">
        <f t="shared" si="331"/>
        <v>0</v>
      </c>
      <c r="DH382" s="9">
        <f t="shared" si="332"/>
        <v>0</v>
      </c>
      <c r="DI382" s="31" t="str">
        <f t="shared" si="333"/>
        <v>0</v>
      </c>
      <c r="DJ382" s="9">
        <f>+Risultati!AW381</f>
        <v>0</v>
      </c>
      <c r="DK382" s="31" t="str">
        <f t="shared" si="334"/>
        <v>0</v>
      </c>
      <c r="DL382" s="10">
        <f t="shared" si="305"/>
        <v>0</v>
      </c>
      <c r="DM382" s="31" t="str">
        <f t="shared" si="335"/>
        <v>0</v>
      </c>
      <c r="DO382" s="30"/>
      <c r="DP382" s="30"/>
    </row>
    <row r="383" spans="1:120" x14ac:dyDescent="0.2">
      <c r="A383" s="5"/>
      <c r="B383" s="6">
        <f>+Risultati!B382</f>
        <v>0</v>
      </c>
      <c r="C383" s="6">
        <f>+Risultati!C382</f>
        <v>0</v>
      </c>
      <c r="D383" s="26" t="str">
        <f>IF(YEAR(Risultati!D382)=1900,(MID(Risultati!$AP$1,29,4)),YEAR(Risultati!D382))</f>
        <v/>
      </c>
      <c r="E383" s="6">
        <f>+Risultati!E382</f>
        <v>0</v>
      </c>
      <c r="F383" s="8" t="e">
        <f>(LEFT(Risultati!AN382,2)&amp;"-")&amp;VLOOKUP((LEFT(Risultati!AN382,2)),ateco!$B$4:$C$93,2,FALSE)</f>
        <v>#N/A</v>
      </c>
      <c r="G383" s="8" t="str">
        <f>SUBSTITUTE((Risultati!AN382&amp;"-"&amp;Risultati!AO382),",",";")</f>
        <v>-</v>
      </c>
      <c r="I383" s="10">
        <f>+Risultati!G382</f>
        <v>0</v>
      </c>
      <c r="J383" s="11" t="str">
        <f t="shared" si="287"/>
        <v>0</v>
      </c>
      <c r="K383" s="12"/>
      <c r="L383" s="10">
        <f>+Risultati!G382+Risultati!H382</f>
        <v>0</v>
      </c>
      <c r="M383" s="11" t="str">
        <f t="shared" si="288"/>
        <v>0</v>
      </c>
      <c r="N383" s="12"/>
      <c r="O383" s="10">
        <f>+Risultati!I382+Risultati!J382</f>
        <v>0</v>
      </c>
      <c r="P383" s="11" t="str">
        <f t="shared" si="289"/>
        <v>0</v>
      </c>
      <c r="Q383" s="12"/>
      <c r="R383" s="13">
        <f t="shared" si="306"/>
        <v>0</v>
      </c>
      <c r="S383" s="11" t="str">
        <f t="shared" si="290"/>
        <v>0</v>
      </c>
      <c r="T383" s="12"/>
      <c r="U383" s="10">
        <f>+Risultati!F382-(Risultati!G382+Risultati!H382)</f>
        <v>0</v>
      </c>
      <c r="V383" s="12" t="str">
        <f t="shared" si="291"/>
        <v>0</v>
      </c>
      <c r="W383" s="12"/>
      <c r="X383" s="10">
        <f t="shared" si="307"/>
        <v>0</v>
      </c>
      <c r="Y383" s="12" t="str">
        <f t="shared" si="292"/>
        <v>0</v>
      </c>
      <c r="Z383" s="12"/>
      <c r="AA383" s="10">
        <f>+Risultati!K382</f>
        <v>0</v>
      </c>
      <c r="AB383" s="12" t="str">
        <f t="shared" si="293"/>
        <v>0</v>
      </c>
      <c r="AC383" s="12"/>
      <c r="AD383" s="10">
        <f>+Risultati!L382</f>
        <v>0</v>
      </c>
      <c r="AE383" s="12" t="str">
        <f t="shared" si="294"/>
        <v>0</v>
      </c>
      <c r="AF383" s="12"/>
      <c r="AG383" s="10">
        <f>+Risultati!M382+Risultati!P382+Risultati!Q382</f>
        <v>0</v>
      </c>
      <c r="AH383" s="12" t="str">
        <f t="shared" si="295"/>
        <v>0</v>
      </c>
      <c r="AI383" s="12"/>
      <c r="AJ383" s="13">
        <f t="shared" si="308"/>
        <v>0</v>
      </c>
      <c r="AK383" s="11" t="str">
        <f t="shared" si="296"/>
        <v>0</v>
      </c>
      <c r="AL383" s="12"/>
      <c r="AM383" s="10">
        <f>+Risultati!N382</f>
        <v>0</v>
      </c>
      <c r="AN383" s="12" t="str">
        <f t="shared" si="297"/>
        <v>0</v>
      </c>
      <c r="AO383" s="12"/>
      <c r="AP383" s="10">
        <f t="shared" si="309"/>
        <v>0</v>
      </c>
      <c r="AQ383" s="41" t="str">
        <f t="shared" si="298"/>
        <v>0</v>
      </c>
      <c r="AR383" s="12"/>
      <c r="AS383" s="10">
        <f>+Risultati!O382</f>
        <v>0</v>
      </c>
      <c r="AT383" s="12" t="str">
        <f t="shared" si="299"/>
        <v>0</v>
      </c>
      <c r="AU383" s="12"/>
      <c r="AV383" s="10">
        <f t="shared" si="310"/>
        <v>0</v>
      </c>
      <c r="AW383" s="12" t="str">
        <f t="shared" si="300"/>
        <v>0</v>
      </c>
      <c r="AX383" s="12"/>
      <c r="AY383" s="10">
        <f>+Risultati!R382+Risultati!S382</f>
        <v>0</v>
      </c>
      <c r="AZ383" s="12" t="str">
        <f t="shared" si="301"/>
        <v>0</v>
      </c>
      <c r="BA383" s="12"/>
      <c r="BB383" s="10">
        <f>+Risultati!T382</f>
        <v>0</v>
      </c>
      <c r="BC383" s="12" t="str">
        <f t="shared" si="302"/>
        <v>0</v>
      </c>
      <c r="BD383" s="12"/>
      <c r="BE383" s="10">
        <f>+Risultati!U382</f>
        <v>0</v>
      </c>
      <c r="BF383" s="12" t="str">
        <f t="shared" si="303"/>
        <v>0</v>
      </c>
      <c r="BG383" s="12"/>
      <c r="BH383" s="10">
        <f t="shared" si="311"/>
        <v>0</v>
      </c>
      <c r="BI383" s="12" t="str">
        <f t="shared" si="304"/>
        <v>0</v>
      </c>
      <c r="BK383" s="16">
        <f>IF(ISNUMBER(Risultati!X382/100),(Risultati!X382/100))</f>
        <v>0</v>
      </c>
      <c r="BL383" s="16">
        <f>IF(ISNUMBER(Risultati!Y382/100),(Risultati!Y382/100))</f>
        <v>0</v>
      </c>
      <c r="BM383" s="16">
        <f>IF(ISNUMBER(Risultati!Z382/100),(Risultati!Z382/100))</f>
        <v>0</v>
      </c>
      <c r="BN383" s="16">
        <f>IF(AND(Risultati!AY382&lt;0,calcoli!AP383&lt;0),-IF(ISNUMBER(Risultati!AA382/100),(Risultati!AA382/100)),IF(ISNUMBER(Risultati!AA382/100),(Risultati!AA382/100)))</f>
        <v>0</v>
      </c>
      <c r="BO383" s="16" t="str">
        <f t="shared" si="285"/>
        <v>0</v>
      </c>
      <c r="BP383" s="16" t="str">
        <f>IF(Risultati!AB382&gt;0,(AV383/Risultati!AB382),"0")</f>
        <v>0</v>
      </c>
      <c r="BQ383" s="16" t="str">
        <f>IF(Risultati!AG382&lt;&gt;0,(BH383/Risultati!AG382),"0")</f>
        <v>0</v>
      </c>
      <c r="BR383" s="16" t="str">
        <f t="shared" si="286"/>
        <v>0</v>
      </c>
      <c r="BS383" s="14" t="str">
        <f>IF(Risultati!AB382&gt;0,(Risultati!G382/Risultati!AB382),"0")</f>
        <v>0</v>
      </c>
      <c r="BT383" s="15" t="str">
        <f>IF(Risultati!AG382&lt;&gt;0,(Risultati!AB382/Risultati!AG382),"0")</f>
        <v>0</v>
      </c>
      <c r="BU383" s="23" t="str">
        <f>IF(AND(Risultati!G382&gt;0,(Risultati!AE382-Risultati!AF382)&gt;=0),((Risultati!AE382-Risultati!AF382)/Risultati!G382*360),"0")</f>
        <v>0</v>
      </c>
      <c r="BV383" s="21" t="str">
        <f>IF(OR(E383="abbreviato",Risultati!G382=0),"0",((Risultati!AC382+Risultati!AD382)/Risultati!G382*360))</f>
        <v>0</v>
      </c>
      <c r="BW383" s="21" t="str">
        <f>IF(OR(E383="abbreviato",Risultati!G382=0,SUM(Risultati!I382+Risultati!K382+Risultati!M382)=0),"0",(((Risultati!AH382+Risultati!AI382)/(Risultati!I382+Risultati!K382+Risultati!N382)*360)))</f>
        <v>0</v>
      </c>
      <c r="BX383" s="16" t="str">
        <f>IF(Risultati!AB382&gt;0,(+Risultati!AG382/Risultati!AB382),"0")</f>
        <v>0</v>
      </c>
      <c r="BY383" s="22" t="str">
        <f>IF(OR(E383="abbreviato",Risultati!G382=0),"0",(((Risultati!AK382-(Risultati!AL382+Risultati!AM382))/Risultati!G382)))</f>
        <v>0</v>
      </c>
      <c r="BZ383" s="16" t="str">
        <f>IF(Risultati!G382&gt;0,(Risultati!AJ382/Risultati!G382),"0")</f>
        <v>0</v>
      </c>
      <c r="CA383" s="8"/>
      <c r="CB383" s="9">
        <f>+Risultati!AP382</f>
        <v>0</v>
      </c>
      <c r="CC383" s="31" t="str">
        <f t="shared" si="312"/>
        <v>0</v>
      </c>
      <c r="CD383" s="9">
        <f>+Risultati!AQ382</f>
        <v>0</v>
      </c>
      <c r="CE383" s="31" t="str">
        <f t="shared" si="313"/>
        <v>0</v>
      </c>
      <c r="CF383" s="9">
        <f>+Risultati!AR382</f>
        <v>0</v>
      </c>
      <c r="CG383" s="31" t="str">
        <f t="shared" si="314"/>
        <v>0</v>
      </c>
      <c r="CH383" s="9">
        <f>+Risultati!AS382</f>
        <v>0</v>
      </c>
      <c r="CI383" s="31" t="str">
        <f t="shared" si="315"/>
        <v>0</v>
      </c>
      <c r="CJ383" s="9">
        <f t="shared" si="316"/>
        <v>0</v>
      </c>
      <c r="CK383" s="31" t="str">
        <f t="shared" si="317"/>
        <v>0</v>
      </c>
      <c r="CL383" s="10">
        <f>+Risultati!AE382+Risultati!AF382</f>
        <v>0</v>
      </c>
      <c r="CM383" s="31" t="str">
        <f t="shared" si="318"/>
        <v>0</v>
      </c>
      <c r="CN383" s="9">
        <f>+Risultati!AT382</f>
        <v>0</v>
      </c>
      <c r="CO383" s="31" t="str">
        <f t="shared" si="319"/>
        <v>0</v>
      </c>
      <c r="CP383" s="9">
        <f>+Risultati!AU382</f>
        <v>0</v>
      </c>
      <c r="CQ383" s="31" t="str">
        <f t="shared" si="320"/>
        <v>0</v>
      </c>
      <c r="CR383" s="9">
        <f>+Risultati!AL382</f>
        <v>0</v>
      </c>
      <c r="CS383" s="31" t="str">
        <f t="shared" si="321"/>
        <v>0</v>
      </c>
      <c r="CT383" s="9">
        <f t="shared" si="322"/>
        <v>0</v>
      </c>
      <c r="CU383" s="31" t="str">
        <f t="shared" si="323"/>
        <v>0</v>
      </c>
      <c r="CV383" s="9">
        <f>+Risultati!AX382</f>
        <v>0</v>
      </c>
      <c r="CW383" s="31" t="str">
        <f t="shared" si="324"/>
        <v>0</v>
      </c>
      <c r="CX383" s="9">
        <f t="shared" si="325"/>
        <v>0</v>
      </c>
      <c r="CY383" s="31" t="str">
        <f t="shared" si="326"/>
        <v>0</v>
      </c>
      <c r="CZ383" s="9">
        <f>+Risultati!AG382</f>
        <v>0</v>
      </c>
      <c r="DA383" s="31" t="str">
        <f t="shared" si="327"/>
        <v>0</v>
      </c>
      <c r="DB383" s="9">
        <f t="shared" si="328"/>
        <v>0</v>
      </c>
      <c r="DC383" s="31" t="str">
        <f t="shared" si="329"/>
        <v>0</v>
      </c>
      <c r="DD383" s="9">
        <f>+Risultati!AV382</f>
        <v>0</v>
      </c>
      <c r="DE383" s="31" t="str">
        <f t="shared" si="330"/>
        <v>0</v>
      </c>
      <c r="DF383" s="9">
        <f>+Risultati!AJ382</f>
        <v>0</v>
      </c>
      <c r="DG383" s="31" t="str">
        <f t="shared" si="331"/>
        <v>0</v>
      </c>
      <c r="DH383" s="9">
        <f t="shared" si="332"/>
        <v>0</v>
      </c>
      <c r="DI383" s="31" t="str">
        <f t="shared" si="333"/>
        <v>0</v>
      </c>
      <c r="DJ383" s="9">
        <f>+Risultati!AW382</f>
        <v>0</v>
      </c>
      <c r="DK383" s="31" t="str">
        <f t="shared" si="334"/>
        <v>0</v>
      </c>
      <c r="DL383" s="10">
        <f t="shared" si="305"/>
        <v>0</v>
      </c>
      <c r="DM383" s="31" t="str">
        <f t="shared" si="335"/>
        <v>0</v>
      </c>
      <c r="DO383" s="30"/>
      <c r="DP383" s="30"/>
    </row>
    <row r="384" spans="1:120" x14ac:dyDescent="0.2">
      <c r="A384" s="5"/>
      <c r="B384" s="6">
        <f>+Risultati!B383</f>
        <v>0</v>
      </c>
      <c r="C384" s="6">
        <f>+Risultati!C383</f>
        <v>0</v>
      </c>
      <c r="D384" s="26" t="str">
        <f>IF(YEAR(Risultati!D383)=1900,(MID(Risultati!$AP$1,29,4)),YEAR(Risultati!D383))</f>
        <v/>
      </c>
      <c r="E384" s="6">
        <f>+Risultati!E383</f>
        <v>0</v>
      </c>
      <c r="F384" s="8" t="e">
        <f>(LEFT(Risultati!AN383,2)&amp;"-")&amp;VLOOKUP((LEFT(Risultati!AN383,2)),ateco!$B$4:$C$93,2,FALSE)</f>
        <v>#N/A</v>
      </c>
      <c r="G384" s="8" t="str">
        <f>SUBSTITUTE((Risultati!AN383&amp;"-"&amp;Risultati!AO383),",",";")</f>
        <v>-</v>
      </c>
      <c r="I384" s="10">
        <f>+Risultati!G383</f>
        <v>0</v>
      </c>
      <c r="J384" s="11" t="str">
        <f t="shared" si="287"/>
        <v>0</v>
      </c>
      <c r="K384" s="12"/>
      <c r="L384" s="10">
        <f>+Risultati!G383+Risultati!H383</f>
        <v>0</v>
      </c>
      <c r="M384" s="11" t="str">
        <f t="shared" si="288"/>
        <v>0</v>
      </c>
      <c r="N384" s="12"/>
      <c r="O384" s="10">
        <f>+Risultati!I383+Risultati!J383</f>
        <v>0</v>
      </c>
      <c r="P384" s="11" t="str">
        <f t="shared" si="289"/>
        <v>0</v>
      </c>
      <c r="Q384" s="12"/>
      <c r="R384" s="13">
        <f t="shared" si="306"/>
        <v>0</v>
      </c>
      <c r="S384" s="11" t="str">
        <f t="shared" si="290"/>
        <v>0</v>
      </c>
      <c r="T384" s="12"/>
      <c r="U384" s="10">
        <f>+Risultati!F383-(Risultati!G383+Risultati!H383)</f>
        <v>0</v>
      </c>
      <c r="V384" s="12" t="str">
        <f t="shared" si="291"/>
        <v>0</v>
      </c>
      <c r="W384" s="12"/>
      <c r="X384" s="10">
        <f t="shared" si="307"/>
        <v>0</v>
      </c>
      <c r="Y384" s="12" t="str">
        <f t="shared" si="292"/>
        <v>0</v>
      </c>
      <c r="Z384" s="12"/>
      <c r="AA384" s="10">
        <f>+Risultati!K383</f>
        <v>0</v>
      </c>
      <c r="AB384" s="12" t="str">
        <f t="shared" si="293"/>
        <v>0</v>
      </c>
      <c r="AC384" s="12"/>
      <c r="AD384" s="10">
        <f>+Risultati!L383</f>
        <v>0</v>
      </c>
      <c r="AE384" s="12" t="str">
        <f t="shared" si="294"/>
        <v>0</v>
      </c>
      <c r="AF384" s="12"/>
      <c r="AG384" s="10">
        <f>+Risultati!M383+Risultati!P383+Risultati!Q383</f>
        <v>0</v>
      </c>
      <c r="AH384" s="12" t="str">
        <f t="shared" si="295"/>
        <v>0</v>
      </c>
      <c r="AI384" s="12"/>
      <c r="AJ384" s="13">
        <f t="shared" si="308"/>
        <v>0</v>
      </c>
      <c r="AK384" s="11" t="str">
        <f t="shared" si="296"/>
        <v>0</v>
      </c>
      <c r="AL384" s="12"/>
      <c r="AM384" s="10">
        <f>+Risultati!N383</f>
        <v>0</v>
      </c>
      <c r="AN384" s="12" t="str">
        <f t="shared" si="297"/>
        <v>0</v>
      </c>
      <c r="AO384" s="12"/>
      <c r="AP384" s="10">
        <f t="shared" si="309"/>
        <v>0</v>
      </c>
      <c r="AQ384" s="41" t="str">
        <f t="shared" si="298"/>
        <v>0</v>
      </c>
      <c r="AR384" s="12"/>
      <c r="AS384" s="10">
        <f>+Risultati!O383</f>
        <v>0</v>
      </c>
      <c r="AT384" s="12" t="str">
        <f t="shared" si="299"/>
        <v>0</v>
      </c>
      <c r="AU384" s="12"/>
      <c r="AV384" s="10">
        <f t="shared" si="310"/>
        <v>0</v>
      </c>
      <c r="AW384" s="12" t="str">
        <f t="shared" si="300"/>
        <v>0</v>
      </c>
      <c r="AX384" s="12"/>
      <c r="AY384" s="10">
        <f>+Risultati!R383+Risultati!S383</f>
        <v>0</v>
      </c>
      <c r="AZ384" s="12" t="str">
        <f t="shared" si="301"/>
        <v>0</v>
      </c>
      <c r="BA384" s="12"/>
      <c r="BB384" s="10">
        <f>+Risultati!T383</f>
        <v>0</v>
      </c>
      <c r="BC384" s="12" t="str">
        <f t="shared" si="302"/>
        <v>0</v>
      </c>
      <c r="BD384" s="12"/>
      <c r="BE384" s="10">
        <f>+Risultati!U383</f>
        <v>0</v>
      </c>
      <c r="BF384" s="12" t="str">
        <f t="shared" si="303"/>
        <v>0</v>
      </c>
      <c r="BG384" s="12"/>
      <c r="BH384" s="10">
        <f t="shared" si="311"/>
        <v>0</v>
      </c>
      <c r="BI384" s="12" t="str">
        <f t="shared" si="304"/>
        <v>0</v>
      </c>
      <c r="BK384" s="16">
        <f>IF(ISNUMBER(Risultati!X383/100),(Risultati!X383/100))</f>
        <v>0</v>
      </c>
      <c r="BL384" s="16">
        <f>IF(ISNUMBER(Risultati!Y383/100),(Risultati!Y383/100))</f>
        <v>0</v>
      </c>
      <c r="BM384" s="16">
        <f>IF(ISNUMBER(Risultati!Z383/100),(Risultati!Z383/100))</f>
        <v>0</v>
      </c>
      <c r="BN384" s="16">
        <f>IF(AND(Risultati!AY383&lt;0,calcoli!AP384&lt;0),-IF(ISNUMBER(Risultati!AA383/100),(Risultati!AA383/100)),IF(ISNUMBER(Risultati!AA383/100),(Risultati!AA383/100)))</f>
        <v>0</v>
      </c>
      <c r="BO384" s="16" t="str">
        <f t="shared" si="285"/>
        <v>0</v>
      </c>
      <c r="BP384" s="16" t="str">
        <f>IF(Risultati!AB383&gt;0,(AV384/Risultati!AB383),"0")</f>
        <v>0</v>
      </c>
      <c r="BQ384" s="16" t="str">
        <f>IF(Risultati!AG383&lt;&gt;0,(BH384/Risultati!AG383),"0")</f>
        <v>0</v>
      </c>
      <c r="BR384" s="16" t="str">
        <f t="shared" si="286"/>
        <v>0</v>
      </c>
      <c r="BS384" s="14" t="str">
        <f>IF(Risultati!AB383&gt;0,(Risultati!G383/Risultati!AB383),"0")</f>
        <v>0</v>
      </c>
      <c r="BT384" s="15" t="str">
        <f>IF(Risultati!AG383&lt;&gt;0,(Risultati!AB383/Risultati!AG383),"0")</f>
        <v>0</v>
      </c>
      <c r="BU384" s="23" t="str">
        <f>IF(AND(Risultati!G383&gt;0,(Risultati!AE383-Risultati!AF383)&gt;=0),((Risultati!AE383-Risultati!AF383)/Risultati!G383*360),"0")</f>
        <v>0</v>
      </c>
      <c r="BV384" s="21" t="str">
        <f>IF(OR(E384="abbreviato",Risultati!G383=0),"0",((Risultati!AC383+Risultati!AD383)/Risultati!G383*360))</f>
        <v>0</v>
      </c>
      <c r="BW384" s="21" t="str">
        <f>IF(OR(E384="abbreviato",Risultati!G383=0,SUM(Risultati!I383+Risultati!K383+Risultati!M383)=0),"0",(((Risultati!AH383+Risultati!AI383)/(Risultati!I383+Risultati!K383+Risultati!N383)*360)))</f>
        <v>0</v>
      </c>
      <c r="BX384" s="16" t="str">
        <f>IF(Risultati!AB383&gt;0,(+Risultati!AG383/Risultati!AB383),"0")</f>
        <v>0</v>
      </c>
      <c r="BY384" s="22" t="str">
        <f>IF(OR(E384="abbreviato",Risultati!G383=0),"0",(((Risultati!AK383-(Risultati!AL383+Risultati!AM383))/Risultati!G383)))</f>
        <v>0</v>
      </c>
      <c r="BZ384" s="16" t="str">
        <f>IF(Risultati!G383&gt;0,(Risultati!AJ383/Risultati!G383),"0")</f>
        <v>0</v>
      </c>
      <c r="CA384" s="8"/>
      <c r="CB384" s="9">
        <f>+Risultati!AP383</f>
        <v>0</v>
      </c>
      <c r="CC384" s="31" t="str">
        <f t="shared" si="312"/>
        <v>0</v>
      </c>
      <c r="CD384" s="9">
        <f>+Risultati!AQ383</f>
        <v>0</v>
      </c>
      <c r="CE384" s="31" t="str">
        <f t="shared" si="313"/>
        <v>0</v>
      </c>
      <c r="CF384" s="9">
        <f>+Risultati!AR383</f>
        <v>0</v>
      </c>
      <c r="CG384" s="31" t="str">
        <f t="shared" si="314"/>
        <v>0</v>
      </c>
      <c r="CH384" s="9">
        <f>+Risultati!AS383</f>
        <v>0</v>
      </c>
      <c r="CI384" s="31" t="str">
        <f t="shared" si="315"/>
        <v>0</v>
      </c>
      <c r="CJ384" s="9">
        <f t="shared" si="316"/>
        <v>0</v>
      </c>
      <c r="CK384" s="31" t="str">
        <f t="shared" si="317"/>
        <v>0</v>
      </c>
      <c r="CL384" s="10">
        <f>+Risultati!AE383+Risultati!AF383</f>
        <v>0</v>
      </c>
      <c r="CM384" s="31" t="str">
        <f t="shared" si="318"/>
        <v>0</v>
      </c>
      <c r="CN384" s="9">
        <f>+Risultati!AT383</f>
        <v>0</v>
      </c>
      <c r="CO384" s="31" t="str">
        <f t="shared" si="319"/>
        <v>0</v>
      </c>
      <c r="CP384" s="9">
        <f>+Risultati!AU383</f>
        <v>0</v>
      </c>
      <c r="CQ384" s="31" t="str">
        <f t="shared" si="320"/>
        <v>0</v>
      </c>
      <c r="CR384" s="9">
        <f>+Risultati!AL383</f>
        <v>0</v>
      </c>
      <c r="CS384" s="31" t="str">
        <f t="shared" si="321"/>
        <v>0</v>
      </c>
      <c r="CT384" s="9">
        <f t="shared" si="322"/>
        <v>0</v>
      </c>
      <c r="CU384" s="31" t="str">
        <f t="shared" si="323"/>
        <v>0</v>
      </c>
      <c r="CV384" s="9">
        <f>+Risultati!AX383</f>
        <v>0</v>
      </c>
      <c r="CW384" s="31" t="str">
        <f t="shared" si="324"/>
        <v>0</v>
      </c>
      <c r="CX384" s="9">
        <f t="shared" si="325"/>
        <v>0</v>
      </c>
      <c r="CY384" s="31" t="str">
        <f t="shared" si="326"/>
        <v>0</v>
      </c>
      <c r="CZ384" s="9">
        <f>+Risultati!AG383</f>
        <v>0</v>
      </c>
      <c r="DA384" s="31" t="str">
        <f t="shared" si="327"/>
        <v>0</v>
      </c>
      <c r="DB384" s="9">
        <f t="shared" si="328"/>
        <v>0</v>
      </c>
      <c r="DC384" s="31" t="str">
        <f t="shared" si="329"/>
        <v>0</v>
      </c>
      <c r="DD384" s="9">
        <f>+Risultati!AV383</f>
        <v>0</v>
      </c>
      <c r="DE384" s="31" t="str">
        <f t="shared" si="330"/>
        <v>0</v>
      </c>
      <c r="DF384" s="9">
        <f>+Risultati!AJ383</f>
        <v>0</v>
      </c>
      <c r="DG384" s="31" t="str">
        <f t="shared" si="331"/>
        <v>0</v>
      </c>
      <c r="DH384" s="9">
        <f t="shared" si="332"/>
        <v>0</v>
      </c>
      <c r="DI384" s="31" t="str">
        <f t="shared" si="333"/>
        <v>0</v>
      </c>
      <c r="DJ384" s="9">
        <f>+Risultati!AW383</f>
        <v>0</v>
      </c>
      <c r="DK384" s="31" t="str">
        <f t="shared" si="334"/>
        <v>0</v>
      </c>
      <c r="DL384" s="10">
        <f t="shared" si="305"/>
        <v>0</v>
      </c>
      <c r="DM384" s="31" t="str">
        <f t="shared" si="335"/>
        <v>0</v>
      </c>
      <c r="DO384" s="30"/>
      <c r="DP384" s="30"/>
    </row>
    <row r="385" spans="1:120" x14ac:dyDescent="0.2">
      <c r="A385" s="5"/>
      <c r="B385" s="6">
        <f>+Risultati!B384</f>
        <v>0</v>
      </c>
      <c r="C385" s="6">
        <f>+Risultati!C384</f>
        <v>0</v>
      </c>
      <c r="D385" s="26" t="str">
        <f>IF(YEAR(Risultati!D384)=1900,(MID(Risultati!$AP$1,29,4)),YEAR(Risultati!D384))</f>
        <v/>
      </c>
      <c r="E385" s="6">
        <f>+Risultati!E384</f>
        <v>0</v>
      </c>
      <c r="F385" s="8" t="e">
        <f>(LEFT(Risultati!AN384,2)&amp;"-")&amp;VLOOKUP((LEFT(Risultati!AN384,2)),ateco!$B$4:$C$93,2,FALSE)</f>
        <v>#N/A</v>
      </c>
      <c r="G385" s="8" t="str">
        <f>SUBSTITUTE((Risultati!AN384&amp;"-"&amp;Risultati!AO384),",",";")</f>
        <v>-</v>
      </c>
      <c r="I385" s="10">
        <f>+Risultati!G384</f>
        <v>0</v>
      </c>
      <c r="J385" s="11" t="str">
        <f t="shared" si="287"/>
        <v>0</v>
      </c>
      <c r="K385" s="12"/>
      <c r="L385" s="10">
        <f>+Risultati!G384+Risultati!H384</f>
        <v>0</v>
      </c>
      <c r="M385" s="11" t="str">
        <f t="shared" si="288"/>
        <v>0</v>
      </c>
      <c r="N385" s="12"/>
      <c r="O385" s="10">
        <f>+Risultati!I384+Risultati!J384</f>
        <v>0</v>
      </c>
      <c r="P385" s="11" t="str">
        <f t="shared" si="289"/>
        <v>0</v>
      </c>
      <c r="Q385" s="12"/>
      <c r="R385" s="13">
        <f t="shared" si="306"/>
        <v>0</v>
      </c>
      <c r="S385" s="11" t="str">
        <f t="shared" si="290"/>
        <v>0</v>
      </c>
      <c r="T385" s="12"/>
      <c r="U385" s="10">
        <f>+Risultati!F384-(Risultati!G384+Risultati!H384)</f>
        <v>0</v>
      </c>
      <c r="V385" s="12" t="str">
        <f t="shared" si="291"/>
        <v>0</v>
      </c>
      <c r="W385" s="12"/>
      <c r="X385" s="10">
        <f t="shared" si="307"/>
        <v>0</v>
      </c>
      <c r="Y385" s="12" t="str">
        <f t="shared" si="292"/>
        <v>0</v>
      </c>
      <c r="Z385" s="12"/>
      <c r="AA385" s="10">
        <f>+Risultati!K384</f>
        <v>0</v>
      </c>
      <c r="AB385" s="12" t="str">
        <f t="shared" si="293"/>
        <v>0</v>
      </c>
      <c r="AC385" s="12"/>
      <c r="AD385" s="10">
        <f>+Risultati!L384</f>
        <v>0</v>
      </c>
      <c r="AE385" s="12" t="str">
        <f t="shared" si="294"/>
        <v>0</v>
      </c>
      <c r="AF385" s="12"/>
      <c r="AG385" s="10">
        <f>+Risultati!M384+Risultati!P384+Risultati!Q384</f>
        <v>0</v>
      </c>
      <c r="AH385" s="12" t="str">
        <f t="shared" si="295"/>
        <v>0</v>
      </c>
      <c r="AI385" s="12"/>
      <c r="AJ385" s="13">
        <f t="shared" si="308"/>
        <v>0</v>
      </c>
      <c r="AK385" s="11" t="str">
        <f t="shared" si="296"/>
        <v>0</v>
      </c>
      <c r="AL385" s="12"/>
      <c r="AM385" s="10">
        <f>+Risultati!N384</f>
        <v>0</v>
      </c>
      <c r="AN385" s="12" t="str">
        <f t="shared" si="297"/>
        <v>0</v>
      </c>
      <c r="AO385" s="12"/>
      <c r="AP385" s="10">
        <f t="shared" si="309"/>
        <v>0</v>
      </c>
      <c r="AQ385" s="41" t="str">
        <f t="shared" si="298"/>
        <v>0</v>
      </c>
      <c r="AR385" s="12"/>
      <c r="AS385" s="10">
        <f>+Risultati!O384</f>
        <v>0</v>
      </c>
      <c r="AT385" s="12" t="str">
        <f t="shared" si="299"/>
        <v>0</v>
      </c>
      <c r="AU385" s="12"/>
      <c r="AV385" s="10">
        <f t="shared" si="310"/>
        <v>0</v>
      </c>
      <c r="AW385" s="12" t="str">
        <f t="shared" si="300"/>
        <v>0</v>
      </c>
      <c r="AX385" s="12"/>
      <c r="AY385" s="10">
        <f>+Risultati!R384+Risultati!S384</f>
        <v>0</v>
      </c>
      <c r="AZ385" s="12" t="str">
        <f t="shared" si="301"/>
        <v>0</v>
      </c>
      <c r="BA385" s="12"/>
      <c r="BB385" s="10">
        <f>+Risultati!T384</f>
        <v>0</v>
      </c>
      <c r="BC385" s="12" t="str">
        <f t="shared" si="302"/>
        <v>0</v>
      </c>
      <c r="BD385" s="12"/>
      <c r="BE385" s="10">
        <f>+Risultati!U384</f>
        <v>0</v>
      </c>
      <c r="BF385" s="12" t="str">
        <f t="shared" si="303"/>
        <v>0</v>
      </c>
      <c r="BG385" s="12"/>
      <c r="BH385" s="10">
        <f t="shared" si="311"/>
        <v>0</v>
      </c>
      <c r="BI385" s="12" t="str">
        <f t="shared" si="304"/>
        <v>0</v>
      </c>
      <c r="BK385" s="16">
        <f>IF(ISNUMBER(Risultati!X384/100),(Risultati!X384/100))</f>
        <v>0</v>
      </c>
      <c r="BL385" s="16">
        <f>IF(ISNUMBER(Risultati!Y384/100),(Risultati!Y384/100))</f>
        <v>0</v>
      </c>
      <c r="BM385" s="16">
        <f>IF(ISNUMBER(Risultati!Z384/100),(Risultati!Z384/100))</f>
        <v>0</v>
      </c>
      <c r="BN385" s="16">
        <f>IF(AND(Risultati!AY384&lt;0,calcoli!AP385&lt;0),-IF(ISNUMBER(Risultati!AA384/100),(Risultati!AA384/100)),IF(ISNUMBER(Risultati!AA384/100),(Risultati!AA384/100)))</f>
        <v>0</v>
      </c>
      <c r="BO385" s="16" t="str">
        <f t="shared" si="285"/>
        <v>0</v>
      </c>
      <c r="BP385" s="16" t="str">
        <f>IF(Risultati!AB384&gt;0,(AV385/Risultati!AB384),"0")</f>
        <v>0</v>
      </c>
      <c r="BQ385" s="16" t="str">
        <f>IF(Risultati!AG384&lt;&gt;0,(BH385/Risultati!AG384),"0")</f>
        <v>0</v>
      </c>
      <c r="BR385" s="16" t="str">
        <f t="shared" si="286"/>
        <v>0</v>
      </c>
      <c r="BS385" s="14" t="str">
        <f>IF(Risultati!AB384&gt;0,(Risultati!G384/Risultati!AB384),"0")</f>
        <v>0</v>
      </c>
      <c r="BT385" s="15" t="str">
        <f>IF(Risultati!AG384&lt;&gt;0,(Risultati!AB384/Risultati!AG384),"0")</f>
        <v>0</v>
      </c>
      <c r="BU385" s="23" t="str">
        <f>IF(AND(Risultati!G384&gt;0,(Risultati!AE384-Risultati!AF384)&gt;=0),((Risultati!AE384-Risultati!AF384)/Risultati!G384*360),"0")</f>
        <v>0</v>
      </c>
      <c r="BV385" s="21" t="str">
        <f>IF(OR(E385="abbreviato",Risultati!G384=0),"0",((Risultati!AC384+Risultati!AD384)/Risultati!G384*360))</f>
        <v>0</v>
      </c>
      <c r="BW385" s="21" t="str">
        <f>IF(OR(E385="abbreviato",Risultati!G384=0,SUM(Risultati!I384+Risultati!K384+Risultati!M384)=0),"0",(((Risultati!AH384+Risultati!AI384)/(Risultati!I384+Risultati!K384+Risultati!N384)*360)))</f>
        <v>0</v>
      </c>
      <c r="BX385" s="16" t="str">
        <f>IF(Risultati!AB384&gt;0,(+Risultati!AG384/Risultati!AB384),"0")</f>
        <v>0</v>
      </c>
      <c r="BY385" s="22" t="str">
        <f>IF(OR(E385="abbreviato",Risultati!G384=0),"0",(((Risultati!AK384-(Risultati!AL384+Risultati!AM384))/Risultati!G384)))</f>
        <v>0</v>
      </c>
      <c r="BZ385" s="16" t="str">
        <f>IF(Risultati!G384&gt;0,(Risultati!AJ384/Risultati!G384),"0")</f>
        <v>0</v>
      </c>
      <c r="CA385" s="8"/>
      <c r="CB385" s="9">
        <f>+Risultati!AP384</f>
        <v>0</v>
      </c>
      <c r="CC385" s="31" t="str">
        <f t="shared" si="312"/>
        <v>0</v>
      </c>
      <c r="CD385" s="9">
        <f>+Risultati!AQ384</f>
        <v>0</v>
      </c>
      <c r="CE385" s="31" t="str">
        <f t="shared" si="313"/>
        <v>0</v>
      </c>
      <c r="CF385" s="9">
        <f>+Risultati!AR384</f>
        <v>0</v>
      </c>
      <c r="CG385" s="31" t="str">
        <f t="shared" si="314"/>
        <v>0</v>
      </c>
      <c r="CH385" s="9">
        <f>+Risultati!AS384</f>
        <v>0</v>
      </c>
      <c r="CI385" s="31" t="str">
        <f t="shared" si="315"/>
        <v>0</v>
      </c>
      <c r="CJ385" s="9">
        <f t="shared" si="316"/>
        <v>0</v>
      </c>
      <c r="CK385" s="31" t="str">
        <f t="shared" si="317"/>
        <v>0</v>
      </c>
      <c r="CL385" s="10">
        <f>+Risultati!AE384+Risultati!AF384</f>
        <v>0</v>
      </c>
      <c r="CM385" s="31" t="str">
        <f t="shared" si="318"/>
        <v>0</v>
      </c>
      <c r="CN385" s="9">
        <f>+Risultati!AT384</f>
        <v>0</v>
      </c>
      <c r="CO385" s="31" t="str">
        <f t="shared" si="319"/>
        <v>0</v>
      </c>
      <c r="CP385" s="9">
        <f>+Risultati!AU384</f>
        <v>0</v>
      </c>
      <c r="CQ385" s="31" t="str">
        <f t="shared" si="320"/>
        <v>0</v>
      </c>
      <c r="CR385" s="9">
        <f>+Risultati!AL384</f>
        <v>0</v>
      </c>
      <c r="CS385" s="31" t="str">
        <f t="shared" si="321"/>
        <v>0</v>
      </c>
      <c r="CT385" s="9">
        <f t="shared" si="322"/>
        <v>0</v>
      </c>
      <c r="CU385" s="31" t="str">
        <f t="shared" si="323"/>
        <v>0</v>
      </c>
      <c r="CV385" s="9">
        <f>+Risultati!AX384</f>
        <v>0</v>
      </c>
      <c r="CW385" s="31" t="str">
        <f t="shared" si="324"/>
        <v>0</v>
      </c>
      <c r="CX385" s="9">
        <f t="shared" si="325"/>
        <v>0</v>
      </c>
      <c r="CY385" s="31" t="str">
        <f t="shared" si="326"/>
        <v>0</v>
      </c>
      <c r="CZ385" s="9">
        <f>+Risultati!AG384</f>
        <v>0</v>
      </c>
      <c r="DA385" s="31" t="str">
        <f t="shared" si="327"/>
        <v>0</v>
      </c>
      <c r="DB385" s="9">
        <f t="shared" si="328"/>
        <v>0</v>
      </c>
      <c r="DC385" s="31" t="str">
        <f t="shared" si="329"/>
        <v>0</v>
      </c>
      <c r="DD385" s="9">
        <f>+Risultati!AV384</f>
        <v>0</v>
      </c>
      <c r="DE385" s="31" t="str">
        <f t="shared" si="330"/>
        <v>0</v>
      </c>
      <c r="DF385" s="9">
        <f>+Risultati!AJ384</f>
        <v>0</v>
      </c>
      <c r="DG385" s="31" t="str">
        <f t="shared" si="331"/>
        <v>0</v>
      </c>
      <c r="DH385" s="9">
        <f t="shared" si="332"/>
        <v>0</v>
      </c>
      <c r="DI385" s="31" t="str">
        <f t="shared" si="333"/>
        <v>0</v>
      </c>
      <c r="DJ385" s="9">
        <f>+Risultati!AW384</f>
        <v>0</v>
      </c>
      <c r="DK385" s="31" t="str">
        <f t="shared" si="334"/>
        <v>0</v>
      </c>
      <c r="DL385" s="10">
        <f t="shared" si="305"/>
        <v>0</v>
      </c>
      <c r="DM385" s="31" t="str">
        <f t="shared" si="335"/>
        <v>0</v>
      </c>
      <c r="DO385" s="30"/>
      <c r="DP385" s="30"/>
    </row>
    <row r="386" spans="1:120" x14ac:dyDescent="0.2">
      <c r="A386" s="5"/>
      <c r="B386" s="6">
        <f>+Risultati!B385</f>
        <v>0</v>
      </c>
      <c r="C386" s="6">
        <f>+Risultati!C385</f>
        <v>0</v>
      </c>
      <c r="D386" s="26" t="str">
        <f>IF(YEAR(Risultati!D385)=1900,(MID(Risultati!$AP$1,29,4)),YEAR(Risultati!D385))</f>
        <v/>
      </c>
      <c r="E386" s="6">
        <f>+Risultati!E385</f>
        <v>0</v>
      </c>
      <c r="F386" s="8" t="e">
        <f>(LEFT(Risultati!AN385,2)&amp;"-")&amp;VLOOKUP((LEFT(Risultati!AN385,2)),ateco!$B$4:$C$93,2,FALSE)</f>
        <v>#N/A</v>
      </c>
      <c r="G386" s="8" t="str">
        <f>SUBSTITUTE((Risultati!AN385&amp;"-"&amp;Risultati!AO385),",",";")</f>
        <v>-</v>
      </c>
      <c r="I386" s="10">
        <f>+Risultati!G385</f>
        <v>0</v>
      </c>
      <c r="J386" s="11" t="str">
        <f t="shared" si="287"/>
        <v>0</v>
      </c>
      <c r="K386" s="12"/>
      <c r="L386" s="10">
        <f>+Risultati!G385+Risultati!H385</f>
        <v>0</v>
      </c>
      <c r="M386" s="11" t="str">
        <f t="shared" si="288"/>
        <v>0</v>
      </c>
      <c r="N386" s="12"/>
      <c r="O386" s="10">
        <f>+Risultati!I385+Risultati!J385</f>
        <v>0</v>
      </c>
      <c r="P386" s="11" t="str">
        <f t="shared" si="289"/>
        <v>0</v>
      </c>
      <c r="Q386" s="12"/>
      <c r="R386" s="13">
        <f t="shared" si="306"/>
        <v>0</v>
      </c>
      <c r="S386" s="11" t="str">
        <f t="shared" si="290"/>
        <v>0</v>
      </c>
      <c r="T386" s="12"/>
      <c r="U386" s="10">
        <f>+Risultati!F385-(Risultati!G385+Risultati!H385)</f>
        <v>0</v>
      </c>
      <c r="V386" s="12" t="str">
        <f t="shared" si="291"/>
        <v>0</v>
      </c>
      <c r="W386" s="12"/>
      <c r="X386" s="10">
        <f t="shared" si="307"/>
        <v>0</v>
      </c>
      <c r="Y386" s="12" t="str">
        <f t="shared" si="292"/>
        <v>0</v>
      </c>
      <c r="Z386" s="12"/>
      <c r="AA386" s="10">
        <f>+Risultati!K385</f>
        <v>0</v>
      </c>
      <c r="AB386" s="12" t="str">
        <f t="shared" si="293"/>
        <v>0</v>
      </c>
      <c r="AC386" s="12"/>
      <c r="AD386" s="10">
        <f>+Risultati!L385</f>
        <v>0</v>
      </c>
      <c r="AE386" s="12" t="str">
        <f t="shared" si="294"/>
        <v>0</v>
      </c>
      <c r="AF386" s="12"/>
      <c r="AG386" s="10">
        <f>+Risultati!M385+Risultati!P385+Risultati!Q385</f>
        <v>0</v>
      </c>
      <c r="AH386" s="12" t="str">
        <f t="shared" si="295"/>
        <v>0</v>
      </c>
      <c r="AI386" s="12"/>
      <c r="AJ386" s="13">
        <f t="shared" si="308"/>
        <v>0</v>
      </c>
      <c r="AK386" s="11" t="str">
        <f t="shared" si="296"/>
        <v>0</v>
      </c>
      <c r="AL386" s="12"/>
      <c r="AM386" s="10">
        <f>+Risultati!N385</f>
        <v>0</v>
      </c>
      <c r="AN386" s="12" t="str">
        <f t="shared" si="297"/>
        <v>0</v>
      </c>
      <c r="AO386" s="12"/>
      <c r="AP386" s="10">
        <f t="shared" si="309"/>
        <v>0</v>
      </c>
      <c r="AQ386" s="41" t="str">
        <f t="shared" si="298"/>
        <v>0</v>
      </c>
      <c r="AR386" s="12"/>
      <c r="AS386" s="10">
        <f>+Risultati!O385</f>
        <v>0</v>
      </c>
      <c r="AT386" s="12" t="str">
        <f t="shared" si="299"/>
        <v>0</v>
      </c>
      <c r="AU386" s="12"/>
      <c r="AV386" s="10">
        <f t="shared" si="310"/>
        <v>0</v>
      </c>
      <c r="AW386" s="12" t="str">
        <f t="shared" si="300"/>
        <v>0</v>
      </c>
      <c r="AX386" s="12"/>
      <c r="AY386" s="10">
        <f>+Risultati!R385+Risultati!S385</f>
        <v>0</v>
      </c>
      <c r="AZ386" s="12" t="str">
        <f t="shared" si="301"/>
        <v>0</v>
      </c>
      <c r="BA386" s="12"/>
      <c r="BB386" s="10">
        <f>+Risultati!T385</f>
        <v>0</v>
      </c>
      <c r="BC386" s="12" t="str">
        <f t="shared" si="302"/>
        <v>0</v>
      </c>
      <c r="BD386" s="12"/>
      <c r="BE386" s="10">
        <f>+Risultati!U385</f>
        <v>0</v>
      </c>
      <c r="BF386" s="12" t="str">
        <f t="shared" si="303"/>
        <v>0</v>
      </c>
      <c r="BG386" s="12"/>
      <c r="BH386" s="10">
        <f t="shared" si="311"/>
        <v>0</v>
      </c>
      <c r="BI386" s="12" t="str">
        <f t="shared" si="304"/>
        <v>0</v>
      </c>
      <c r="BK386" s="16">
        <f>IF(ISNUMBER(Risultati!X385/100),(Risultati!X385/100))</f>
        <v>0</v>
      </c>
      <c r="BL386" s="16">
        <f>IF(ISNUMBER(Risultati!Y385/100),(Risultati!Y385/100))</f>
        <v>0</v>
      </c>
      <c r="BM386" s="16">
        <f>IF(ISNUMBER(Risultati!Z385/100),(Risultati!Z385/100))</f>
        <v>0</v>
      </c>
      <c r="BN386" s="16">
        <f>IF(AND(Risultati!AY385&lt;0,calcoli!AP386&lt;0),-IF(ISNUMBER(Risultati!AA385/100),(Risultati!AA385/100)),IF(ISNUMBER(Risultati!AA385/100),(Risultati!AA385/100)))</f>
        <v>0</v>
      </c>
      <c r="BO386" s="16" t="str">
        <f t="shared" si="285"/>
        <v>0</v>
      </c>
      <c r="BP386" s="16" t="str">
        <f>IF(Risultati!AB385&gt;0,(AV386/Risultati!AB385),"0")</f>
        <v>0</v>
      </c>
      <c r="BQ386" s="16" t="str">
        <f>IF(Risultati!AG385&lt;&gt;0,(BH386/Risultati!AG385),"0")</f>
        <v>0</v>
      </c>
      <c r="BR386" s="16" t="str">
        <f t="shared" si="286"/>
        <v>0</v>
      </c>
      <c r="BS386" s="14" t="str">
        <f>IF(Risultati!AB385&gt;0,(Risultati!G385/Risultati!AB385),"0")</f>
        <v>0</v>
      </c>
      <c r="BT386" s="15" t="str">
        <f>IF(Risultati!AG385&lt;&gt;0,(Risultati!AB385/Risultati!AG385),"0")</f>
        <v>0</v>
      </c>
      <c r="BU386" s="23" t="str">
        <f>IF(AND(Risultati!G385&gt;0,(Risultati!AE385-Risultati!AF385)&gt;=0),((Risultati!AE385-Risultati!AF385)/Risultati!G385*360),"0")</f>
        <v>0</v>
      </c>
      <c r="BV386" s="21" t="str">
        <f>IF(OR(E386="abbreviato",Risultati!G385=0),"0",((Risultati!AC385+Risultati!AD385)/Risultati!G385*360))</f>
        <v>0</v>
      </c>
      <c r="BW386" s="21" t="str">
        <f>IF(OR(E386="abbreviato",Risultati!G385=0,SUM(Risultati!I385+Risultati!K385+Risultati!M385)=0),"0",(((Risultati!AH385+Risultati!AI385)/(Risultati!I385+Risultati!K385+Risultati!N385)*360)))</f>
        <v>0</v>
      </c>
      <c r="BX386" s="16" t="str">
        <f>IF(Risultati!AB385&gt;0,(+Risultati!AG385/Risultati!AB385),"0")</f>
        <v>0</v>
      </c>
      <c r="BY386" s="22" t="str">
        <f>IF(OR(E386="abbreviato",Risultati!G385=0),"0",(((Risultati!AK385-(Risultati!AL385+Risultati!AM385))/Risultati!G385)))</f>
        <v>0</v>
      </c>
      <c r="BZ386" s="16" t="str">
        <f>IF(Risultati!G385&gt;0,(Risultati!AJ385/Risultati!G385),"0")</f>
        <v>0</v>
      </c>
      <c r="CA386" s="8"/>
      <c r="CB386" s="9">
        <f>+Risultati!AP385</f>
        <v>0</v>
      </c>
      <c r="CC386" s="31" t="str">
        <f t="shared" si="312"/>
        <v>0</v>
      </c>
      <c r="CD386" s="9">
        <f>+Risultati!AQ385</f>
        <v>0</v>
      </c>
      <c r="CE386" s="31" t="str">
        <f t="shared" si="313"/>
        <v>0</v>
      </c>
      <c r="CF386" s="9">
        <f>+Risultati!AR385</f>
        <v>0</v>
      </c>
      <c r="CG386" s="31" t="str">
        <f t="shared" si="314"/>
        <v>0</v>
      </c>
      <c r="CH386" s="9">
        <f>+Risultati!AS385</f>
        <v>0</v>
      </c>
      <c r="CI386" s="31" t="str">
        <f t="shared" si="315"/>
        <v>0</v>
      </c>
      <c r="CJ386" s="9">
        <f t="shared" si="316"/>
        <v>0</v>
      </c>
      <c r="CK386" s="31" t="str">
        <f t="shared" si="317"/>
        <v>0</v>
      </c>
      <c r="CL386" s="10">
        <f>+Risultati!AE385+Risultati!AF385</f>
        <v>0</v>
      </c>
      <c r="CM386" s="31" t="str">
        <f t="shared" si="318"/>
        <v>0</v>
      </c>
      <c r="CN386" s="9">
        <f>+Risultati!AT385</f>
        <v>0</v>
      </c>
      <c r="CO386" s="31" t="str">
        <f t="shared" si="319"/>
        <v>0</v>
      </c>
      <c r="CP386" s="9">
        <f>+Risultati!AU385</f>
        <v>0</v>
      </c>
      <c r="CQ386" s="31" t="str">
        <f t="shared" si="320"/>
        <v>0</v>
      </c>
      <c r="CR386" s="9">
        <f>+Risultati!AL385</f>
        <v>0</v>
      </c>
      <c r="CS386" s="31" t="str">
        <f t="shared" si="321"/>
        <v>0</v>
      </c>
      <c r="CT386" s="9">
        <f t="shared" si="322"/>
        <v>0</v>
      </c>
      <c r="CU386" s="31" t="str">
        <f t="shared" si="323"/>
        <v>0</v>
      </c>
      <c r="CV386" s="9">
        <f>+Risultati!AX385</f>
        <v>0</v>
      </c>
      <c r="CW386" s="31" t="str">
        <f t="shared" si="324"/>
        <v>0</v>
      </c>
      <c r="CX386" s="9">
        <f t="shared" si="325"/>
        <v>0</v>
      </c>
      <c r="CY386" s="31" t="str">
        <f t="shared" si="326"/>
        <v>0</v>
      </c>
      <c r="CZ386" s="9">
        <f>+Risultati!AG385</f>
        <v>0</v>
      </c>
      <c r="DA386" s="31" t="str">
        <f t="shared" si="327"/>
        <v>0</v>
      </c>
      <c r="DB386" s="9">
        <f t="shared" si="328"/>
        <v>0</v>
      </c>
      <c r="DC386" s="31" t="str">
        <f t="shared" si="329"/>
        <v>0</v>
      </c>
      <c r="DD386" s="9">
        <f>+Risultati!AV385</f>
        <v>0</v>
      </c>
      <c r="DE386" s="31" t="str">
        <f t="shared" si="330"/>
        <v>0</v>
      </c>
      <c r="DF386" s="9">
        <f>+Risultati!AJ385</f>
        <v>0</v>
      </c>
      <c r="DG386" s="31" t="str">
        <f t="shared" si="331"/>
        <v>0</v>
      </c>
      <c r="DH386" s="9">
        <f t="shared" si="332"/>
        <v>0</v>
      </c>
      <c r="DI386" s="31" t="str">
        <f t="shared" si="333"/>
        <v>0</v>
      </c>
      <c r="DJ386" s="9">
        <f>+Risultati!AW385</f>
        <v>0</v>
      </c>
      <c r="DK386" s="31" t="str">
        <f t="shared" si="334"/>
        <v>0</v>
      </c>
      <c r="DL386" s="10">
        <f t="shared" si="305"/>
        <v>0</v>
      </c>
      <c r="DM386" s="31" t="str">
        <f t="shared" si="335"/>
        <v>0</v>
      </c>
      <c r="DO386" s="30"/>
      <c r="DP386" s="30"/>
    </row>
    <row r="387" spans="1:120" x14ac:dyDescent="0.2">
      <c r="A387" s="5"/>
      <c r="B387" s="6">
        <f>+Risultati!B386</f>
        <v>0</v>
      </c>
      <c r="C387" s="6">
        <f>+Risultati!C386</f>
        <v>0</v>
      </c>
      <c r="D387" s="26" t="str">
        <f>IF(YEAR(Risultati!D386)=1900,(MID(Risultati!$AP$1,29,4)),YEAR(Risultati!D386))</f>
        <v/>
      </c>
      <c r="E387" s="6">
        <f>+Risultati!E386</f>
        <v>0</v>
      </c>
      <c r="F387" s="8" t="e">
        <f>(LEFT(Risultati!AN386,2)&amp;"-")&amp;VLOOKUP((LEFT(Risultati!AN386,2)),ateco!$B$4:$C$93,2,FALSE)</f>
        <v>#N/A</v>
      </c>
      <c r="G387" s="8" t="str">
        <f>SUBSTITUTE((Risultati!AN386&amp;"-"&amp;Risultati!AO386),",",";")</f>
        <v>-</v>
      </c>
      <c r="I387" s="10">
        <f>+Risultati!G386</f>
        <v>0</v>
      </c>
      <c r="J387" s="11" t="str">
        <f t="shared" si="287"/>
        <v>0</v>
      </c>
      <c r="K387" s="12"/>
      <c r="L387" s="10">
        <f>+Risultati!G386+Risultati!H386</f>
        <v>0</v>
      </c>
      <c r="M387" s="11" t="str">
        <f t="shared" si="288"/>
        <v>0</v>
      </c>
      <c r="N387" s="12"/>
      <c r="O387" s="10">
        <f>+Risultati!I386+Risultati!J386</f>
        <v>0</v>
      </c>
      <c r="P387" s="11" t="str">
        <f t="shared" si="289"/>
        <v>0</v>
      </c>
      <c r="Q387" s="12"/>
      <c r="R387" s="13">
        <f t="shared" si="306"/>
        <v>0</v>
      </c>
      <c r="S387" s="11" t="str">
        <f t="shared" si="290"/>
        <v>0</v>
      </c>
      <c r="T387" s="12"/>
      <c r="U387" s="10">
        <f>+Risultati!F386-(Risultati!G386+Risultati!H386)</f>
        <v>0</v>
      </c>
      <c r="V387" s="12" t="str">
        <f t="shared" si="291"/>
        <v>0</v>
      </c>
      <c r="W387" s="12"/>
      <c r="X387" s="10">
        <f t="shared" si="307"/>
        <v>0</v>
      </c>
      <c r="Y387" s="12" t="str">
        <f t="shared" si="292"/>
        <v>0</v>
      </c>
      <c r="Z387" s="12"/>
      <c r="AA387" s="10">
        <f>+Risultati!K386</f>
        <v>0</v>
      </c>
      <c r="AB387" s="12" t="str">
        <f t="shared" si="293"/>
        <v>0</v>
      </c>
      <c r="AC387" s="12"/>
      <c r="AD387" s="10">
        <f>+Risultati!L386</f>
        <v>0</v>
      </c>
      <c r="AE387" s="12" t="str">
        <f t="shared" si="294"/>
        <v>0</v>
      </c>
      <c r="AF387" s="12"/>
      <c r="AG387" s="10">
        <f>+Risultati!M386+Risultati!P386+Risultati!Q386</f>
        <v>0</v>
      </c>
      <c r="AH387" s="12" t="str">
        <f t="shared" si="295"/>
        <v>0</v>
      </c>
      <c r="AI387" s="12"/>
      <c r="AJ387" s="13">
        <f t="shared" si="308"/>
        <v>0</v>
      </c>
      <c r="AK387" s="11" t="str">
        <f t="shared" si="296"/>
        <v>0</v>
      </c>
      <c r="AL387" s="12"/>
      <c r="AM387" s="10">
        <f>+Risultati!N386</f>
        <v>0</v>
      </c>
      <c r="AN387" s="12" t="str">
        <f t="shared" si="297"/>
        <v>0</v>
      </c>
      <c r="AO387" s="12"/>
      <c r="AP387" s="10">
        <f t="shared" si="309"/>
        <v>0</v>
      </c>
      <c r="AQ387" s="41" t="str">
        <f t="shared" si="298"/>
        <v>0</v>
      </c>
      <c r="AR387" s="12"/>
      <c r="AS387" s="10">
        <f>+Risultati!O386</f>
        <v>0</v>
      </c>
      <c r="AT387" s="12" t="str">
        <f t="shared" si="299"/>
        <v>0</v>
      </c>
      <c r="AU387" s="12"/>
      <c r="AV387" s="10">
        <f t="shared" si="310"/>
        <v>0</v>
      </c>
      <c r="AW387" s="12" t="str">
        <f t="shared" si="300"/>
        <v>0</v>
      </c>
      <c r="AX387" s="12"/>
      <c r="AY387" s="10">
        <f>+Risultati!R386+Risultati!S386</f>
        <v>0</v>
      </c>
      <c r="AZ387" s="12" t="str">
        <f t="shared" si="301"/>
        <v>0</v>
      </c>
      <c r="BA387" s="12"/>
      <c r="BB387" s="10">
        <f>+Risultati!T386</f>
        <v>0</v>
      </c>
      <c r="BC387" s="12" t="str">
        <f t="shared" si="302"/>
        <v>0</v>
      </c>
      <c r="BD387" s="12"/>
      <c r="BE387" s="10">
        <f>+Risultati!U386</f>
        <v>0</v>
      </c>
      <c r="BF387" s="12" t="str">
        <f t="shared" si="303"/>
        <v>0</v>
      </c>
      <c r="BG387" s="12"/>
      <c r="BH387" s="10">
        <f t="shared" si="311"/>
        <v>0</v>
      </c>
      <c r="BI387" s="12" t="str">
        <f t="shared" si="304"/>
        <v>0</v>
      </c>
      <c r="BK387" s="16">
        <f>IF(ISNUMBER(Risultati!X386/100),(Risultati!X386/100))</f>
        <v>0</v>
      </c>
      <c r="BL387" s="16">
        <f>IF(ISNUMBER(Risultati!Y386/100),(Risultati!Y386/100))</f>
        <v>0</v>
      </c>
      <c r="BM387" s="16">
        <f>IF(ISNUMBER(Risultati!Z386/100),(Risultati!Z386/100))</f>
        <v>0</v>
      </c>
      <c r="BN387" s="16">
        <f>IF(AND(Risultati!AY386&lt;0,calcoli!AP387&lt;0),-IF(ISNUMBER(Risultati!AA386/100),(Risultati!AA386/100)),IF(ISNUMBER(Risultati!AA386/100),(Risultati!AA386/100)))</f>
        <v>0</v>
      </c>
      <c r="BO387" s="16" t="str">
        <f t="shared" ref="BO387:BO450" si="336">+BI387</f>
        <v>0</v>
      </c>
      <c r="BP387" s="16" t="str">
        <f>IF(Risultati!AB386&gt;0,(AV387/Risultati!AB386),"0")</f>
        <v>0</v>
      </c>
      <c r="BQ387" s="16" t="str">
        <f>IF(Risultati!AG386&lt;&gt;0,(BH387/Risultati!AG386),"0")</f>
        <v>0</v>
      </c>
      <c r="BR387" s="16" t="str">
        <f t="shared" ref="BR387:BR450" si="337">+BI387</f>
        <v>0</v>
      </c>
      <c r="BS387" s="14" t="str">
        <f>IF(Risultati!AB386&gt;0,(Risultati!G386/Risultati!AB386),"0")</f>
        <v>0</v>
      </c>
      <c r="BT387" s="15" t="str">
        <f>IF(Risultati!AG386&lt;&gt;0,(Risultati!AB386/Risultati!AG386),"0")</f>
        <v>0</v>
      </c>
      <c r="BU387" s="23" t="str">
        <f>IF(AND(Risultati!G386&gt;0,(Risultati!AE386-Risultati!AF386)&gt;=0),((Risultati!AE386-Risultati!AF386)/Risultati!G386*360),"0")</f>
        <v>0</v>
      </c>
      <c r="BV387" s="21" t="str">
        <f>IF(OR(E387="abbreviato",Risultati!G386=0),"0",((Risultati!AC386+Risultati!AD386)/Risultati!G386*360))</f>
        <v>0</v>
      </c>
      <c r="BW387" s="21" t="str">
        <f>IF(OR(E387="abbreviato",Risultati!G386=0,SUM(Risultati!I386+Risultati!K386+Risultati!M386)=0),"0",(((Risultati!AH386+Risultati!AI386)/(Risultati!I386+Risultati!K386+Risultati!N386)*360)))</f>
        <v>0</v>
      </c>
      <c r="BX387" s="16" t="str">
        <f>IF(Risultati!AB386&gt;0,(+Risultati!AG386/Risultati!AB386),"0")</f>
        <v>0</v>
      </c>
      <c r="BY387" s="22" t="str">
        <f>IF(OR(E387="abbreviato",Risultati!G386=0),"0",(((Risultati!AK386-(Risultati!AL386+Risultati!AM386))/Risultati!G386)))</f>
        <v>0</v>
      </c>
      <c r="BZ387" s="16" t="str">
        <f>IF(Risultati!G386&gt;0,(Risultati!AJ386/Risultati!G386),"0")</f>
        <v>0</v>
      </c>
      <c r="CA387" s="8"/>
      <c r="CB387" s="9">
        <f>+Risultati!AP386</f>
        <v>0</v>
      </c>
      <c r="CC387" s="31" t="str">
        <f t="shared" si="312"/>
        <v>0</v>
      </c>
      <c r="CD387" s="9">
        <f>+Risultati!AQ386</f>
        <v>0</v>
      </c>
      <c r="CE387" s="31" t="str">
        <f t="shared" si="313"/>
        <v>0</v>
      </c>
      <c r="CF387" s="9">
        <f>+Risultati!AR386</f>
        <v>0</v>
      </c>
      <c r="CG387" s="31" t="str">
        <f t="shared" si="314"/>
        <v>0</v>
      </c>
      <c r="CH387" s="9">
        <f>+Risultati!AS386</f>
        <v>0</v>
      </c>
      <c r="CI387" s="31" t="str">
        <f t="shared" si="315"/>
        <v>0</v>
      </c>
      <c r="CJ387" s="9">
        <f t="shared" si="316"/>
        <v>0</v>
      </c>
      <c r="CK387" s="31" t="str">
        <f t="shared" si="317"/>
        <v>0</v>
      </c>
      <c r="CL387" s="10">
        <f>+Risultati!AE386+Risultati!AF386</f>
        <v>0</v>
      </c>
      <c r="CM387" s="31" t="str">
        <f t="shared" si="318"/>
        <v>0</v>
      </c>
      <c r="CN387" s="9">
        <f>+Risultati!AT386</f>
        <v>0</v>
      </c>
      <c r="CO387" s="31" t="str">
        <f t="shared" si="319"/>
        <v>0</v>
      </c>
      <c r="CP387" s="9">
        <f>+Risultati!AU386</f>
        <v>0</v>
      </c>
      <c r="CQ387" s="31" t="str">
        <f t="shared" si="320"/>
        <v>0</v>
      </c>
      <c r="CR387" s="9">
        <f>+Risultati!AL386</f>
        <v>0</v>
      </c>
      <c r="CS387" s="31" t="str">
        <f t="shared" si="321"/>
        <v>0</v>
      </c>
      <c r="CT387" s="9">
        <f t="shared" si="322"/>
        <v>0</v>
      </c>
      <c r="CU387" s="31" t="str">
        <f t="shared" si="323"/>
        <v>0</v>
      </c>
      <c r="CV387" s="9">
        <f>+Risultati!AX386</f>
        <v>0</v>
      </c>
      <c r="CW387" s="31" t="str">
        <f t="shared" si="324"/>
        <v>0</v>
      </c>
      <c r="CX387" s="9">
        <f t="shared" si="325"/>
        <v>0</v>
      </c>
      <c r="CY387" s="31" t="str">
        <f t="shared" si="326"/>
        <v>0</v>
      </c>
      <c r="CZ387" s="9">
        <f>+Risultati!AG386</f>
        <v>0</v>
      </c>
      <c r="DA387" s="31" t="str">
        <f t="shared" si="327"/>
        <v>0</v>
      </c>
      <c r="DB387" s="9">
        <f t="shared" si="328"/>
        <v>0</v>
      </c>
      <c r="DC387" s="31" t="str">
        <f t="shared" si="329"/>
        <v>0</v>
      </c>
      <c r="DD387" s="9">
        <f>+Risultati!AV386</f>
        <v>0</v>
      </c>
      <c r="DE387" s="31" t="str">
        <f t="shared" si="330"/>
        <v>0</v>
      </c>
      <c r="DF387" s="9">
        <f>+Risultati!AJ386</f>
        <v>0</v>
      </c>
      <c r="DG387" s="31" t="str">
        <f t="shared" si="331"/>
        <v>0</v>
      </c>
      <c r="DH387" s="9">
        <f t="shared" si="332"/>
        <v>0</v>
      </c>
      <c r="DI387" s="31" t="str">
        <f t="shared" si="333"/>
        <v>0</v>
      </c>
      <c r="DJ387" s="9">
        <f>+Risultati!AW386</f>
        <v>0</v>
      </c>
      <c r="DK387" s="31" t="str">
        <f t="shared" si="334"/>
        <v>0</v>
      </c>
      <c r="DL387" s="10">
        <f t="shared" si="305"/>
        <v>0</v>
      </c>
      <c r="DM387" s="31" t="str">
        <f t="shared" si="335"/>
        <v>0</v>
      </c>
      <c r="DO387" s="30"/>
      <c r="DP387" s="30"/>
    </row>
    <row r="388" spans="1:120" x14ac:dyDescent="0.2">
      <c r="A388" s="5"/>
      <c r="B388" s="6">
        <f>+Risultati!B387</f>
        <v>0</v>
      </c>
      <c r="C388" s="6">
        <f>+Risultati!C387</f>
        <v>0</v>
      </c>
      <c r="D388" s="26" t="str">
        <f>IF(YEAR(Risultati!D387)=1900,(MID(Risultati!$AP$1,29,4)),YEAR(Risultati!D387))</f>
        <v/>
      </c>
      <c r="E388" s="6">
        <f>+Risultati!E387</f>
        <v>0</v>
      </c>
      <c r="F388" s="8" t="e">
        <f>(LEFT(Risultati!AN387,2)&amp;"-")&amp;VLOOKUP((LEFT(Risultati!AN387,2)),ateco!$B$4:$C$93,2,FALSE)</f>
        <v>#N/A</v>
      </c>
      <c r="G388" s="8" t="str">
        <f>SUBSTITUTE((Risultati!AN387&amp;"-"&amp;Risultati!AO387),",",";")</f>
        <v>-</v>
      </c>
      <c r="I388" s="10">
        <f>+Risultati!G387</f>
        <v>0</v>
      </c>
      <c r="J388" s="11" t="str">
        <f t="shared" ref="J388:J451" si="338">IF(L388&lt;&gt;0,(I388/L388),"0")</f>
        <v>0</v>
      </c>
      <c r="K388" s="12"/>
      <c r="L388" s="10">
        <f>+Risultati!G387+Risultati!H387</f>
        <v>0</v>
      </c>
      <c r="M388" s="11" t="str">
        <f t="shared" ref="M388:M451" si="339">IF(L388&lt;&gt;0,(L388/(L388+U388)),"0")</f>
        <v>0</v>
      </c>
      <c r="N388" s="12"/>
      <c r="O388" s="10">
        <f>+Risultati!I387+Risultati!J387</f>
        <v>0</v>
      </c>
      <c r="P388" s="11" t="str">
        <f t="shared" ref="P388:P451" si="340">IF(L388&lt;&gt;0,(O388/(L388+U388)),"0")</f>
        <v>0</v>
      </c>
      <c r="Q388" s="12"/>
      <c r="R388" s="13">
        <f t="shared" si="306"/>
        <v>0</v>
      </c>
      <c r="S388" s="11" t="str">
        <f t="shared" ref="S388:S451" si="341">IF(L388&lt;&gt;0,(R388/(L388+U388)),"0")</f>
        <v>0</v>
      </c>
      <c r="T388" s="12"/>
      <c r="U388" s="10">
        <f>+Risultati!F387-(Risultati!G387+Risultati!H387)</f>
        <v>0</v>
      </c>
      <c r="V388" s="12" t="str">
        <f t="shared" ref="V388:V451" si="342">IF(L388&lt;&gt;0,(U388/(L388+U388)),"0")</f>
        <v>0</v>
      </c>
      <c r="W388" s="12"/>
      <c r="X388" s="10">
        <f t="shared" si="307"/>
        <v>0</v>
      </c>
      <c r="Y388" s="12" t="str">
        <f t="shared" ref="Y388:Y451" si="343">IF(L388&lt;&gt;0,(X388/(L388+U388)),"0")</f>
        <v>0</v>
      </c>
      <c r="Z388" s="12"/>
      <c r="AA388" s="10">
        <f>+Risultati!K387</f>
        <v>0</v>
      </c>
      <c r="AB388" s="12" t="str">
        <f t="shared" ref="AB388:AB451" si="344">IF(L388&lt;&gt;0,(AA388/(L388+U388)),"0")</f>
        <v>0</v>
      </c>
      <c r="AC388" s="12"/>
      <c r="AD388" s="10">
        <f>+Risultati!L387</f>
        <v>0</v>
      </c>
      <c r="AE388" s="12" t="str">
        <f t="shared" ref="AE388:AE451" si="345">IF(L388&lt;&gt;0,(AD388/(L388+U388)),"0")</f>
        <v>0</v>
      </c>
      <c r="AF388" s="12"/>
      <c r="AG388" s="10">
        <f>+Risultati!M387+Risultati!P387+Risultati!Q387</f>
        <v>0</v>
      </c>
      <c r="AH388" s="12" t="str">
        <f t="shared" ref="AH388:AH451" si="346">IF(L388&lt;&gt;0,(AG388/(L388+U388)),"0")</f>
        <v>0</v>
      </c>
      <c r="AI388" s="12"/>
      <c r="AJ388" s="13">
        <f t="shared" si="308"/>
        <v>0</v>
      </c>
      <c r="AK388" s="11" t="str">
        <f t="shared" ref="AK388:AK451" si="347">IF(L388&lt;&gt;0,(AJ388/(L388+U388)),"0")</f>
        <v>0</v>
      </c>
      <c r="AL388" s="12"/>
      <c r="AM388" s="10">
        <f>+Risultati!N387</f>
        <v>0</v>
      </c>
      <c r="AN388" s="12" t="str">
        <f t="shared" ref="AN388:AN451" si="348">IF(L388&lt;&gt;0,(AM388/(L388+U388)),"0")</f>
        <v>0</v>
      </c>
      <c r="AO388" s="12"/>
      <c r="AP388" s="10">
        <f t="shared" si="309"/>
        <v>0</v>
      </c>
      <c r="AQ388" s="41" t="str">
        <f t="shared" ref="AQ388:AQ451" si="349">IF(L388&lt;&gt;0,(AP388/(L388+U388)),"0")</f>
        <v>0</v>
      </c>
      <c r="AR388" s="12"/>
      <c r="AS388" s="10">
        <f>+Risultati!O387</f>
        <v>0</v>
      </c>
      <c r="AT388" s="12" t="str">
        <f t="shared" ref="AT388:AT451" si="350">IF(L388&lt;&gt;0,(AS388/(L388+U388)),"0")</f>
        <v>0</v>
      </c>
      <c r="AU388" s="12"/>
      <c r="AV388" s="10">
        <f t="shared" si="310"/>
        <v>0</v>
      </c>
      <c r="AW388" s="12" t="str">
        <f t="shared" ref="AW388:AW451" si="351">IF(L388&lt;&gt;0,(AV388/(L388+U388)),"0")</f>
        <v>0</v>
      </c>
      <c r="AX388" s="12"/>
      <c r="AY388" s="10">
        <f>+Risultati!R387+Risultati!S387</f>
        <v>0</v>
      </c>
      <c r="AZ388" s="12" t="str">
        <f t="shared" ref="AZ388:AZ451" si="352">IF(L388&lt;&gt;0,(AY388/(L388+U388)),"0")</f>
        <v>0</v>
      </c>
      <c r="BA388" s="12"/>
      <c r="BB388" s="10">
        <f>+Risultati!T387</f>
        <v>0</v>
      </c>
      <c r="BC388" s="12" t="str">
        <f t="shared" ref="BC388:BC451" si="353">IF(L388&lt;&gt;0,(BB388/(L388+U388)),"0")</f>
        <v>0</v>
      </c>
      <c r="BD388" s="12"/>
      <c r="BE388" s="10">
        <f>+Risultati!U387</f>
        <v>0</v>
      </c>
      <c r="BF388" s="12" t="str">
        <f t="shared" ref="BF388:BF451" si="354">IF(L388&lt;&gt;0,(BE388/(L388+U388)),"0")</f>
        <v>0</v>
      </c>
      <c r="BG388" s="12"/>
      <c r="BH388" s="10">
        <f t="shared" si="311"/>
        <v>0</v>
      </c>
      <c r="BI388" s="12" t="str">
        <f t="shared" ref="BI388:BI451" si="355">IF(L388&lt;&gt;0,(+BH388/(L388+U388)),"0")</f>
        <v>0</v>
      </c>
      <c r="BK388" s="16">
        <f>IF(ISNUMBER(Risultati!X387/100),(Risultati!X387/100))</f>
        <v>0</v>
      </c>
      <c r="BL388" s="16">
        <f>IF(ISNUMBER(Risultati!Y387/100),(Risultati!Y387/100))</f>
        <v>0</v>
      </c>
      <c r="BM388" s="16">
        <f>IF(ISNUMBER(Risultati!Z387/100),(Risultati!Z387/100))</f>
        <v>0</v>
      </c>
      <c r="BN388" s="16">
        <f>IF(AND(Risultati!AY387&lt;0,calcoli!AP388&lt;0),-IF(ISNUMBER(Risultati!AA387/100),(Risultati!AA387/100)),IF(ISNUMBER(Risultati!AA387/100),(Risultati!AA387/100)))</f>
        <v>0</v>
      </c>
      <c r="BO388" s="16" t="str">
        <f t="shared" si="336"/>
        <v>0</v>
      </c>
      <c r="BP388" s="16" t="str">
        <f>IF(Risultati!AB387&gt;0,(AV388/Risultati!AB387),"0")</f>
        <v>0</v>
      </c>
      <c r="BQ388" s="16" t="str">
        <f>IF(Risultati!AG387&lt;&gt;0,(BH388/Risultati!AG387),"0")</f>
        <v>0</v>
      </c>
      <c r="BR388" s="16" t="str">
        <f t="shared" si="337"/>
        <v>0</v>
      </c>
      <c r="BS388" s="14" t="str">
        <f>IF(Risultati!AB387&gt;0,(Risultati!G387/Risultati!AB387),"0")</f>
        <v>0</v>
      </c>
      <c r="BT388" s="15" t="str">
        <f>IF(Risultati!AG387&lt;&gt;0,(Risultati!AB387/Risultati!AG387),"0")</f>
        <v>0</v>
      </c>
      <c r="BU388" s="23" t="str">
        <f>IF(AND(Risultati!G387&gt;0,(Risultati!AE387-Risultati!AF387)&gt;=0),((Risultati!AE387-Risultati!AF387)/Risultati!G387*360),"0")</f>
        <v>0</v>
      </c>
      <c r="BV388" s="21" t="str">
        <f>IF(OR(E388="abbreviato",Risultati!G387=0),"0",((Risultati!AC387+Risultati!AD387)/Risultati!G387*360))</f>
        <v>0</v>
      </c>
      <c r="BW388" s="21" t="str">
        <f>IF(OR(E388="abbreviato",Risultati!G387=0,SUM(Risultati!I387+Risultati!K387+Risultati!M387)=0),"0",(((Risultati!AH387+Risultati!AI387)/(Risultati!I387+Risultati!K387+Risultati!N387)*360)))</f>
        <v>0</v>
      </c>
      <c r="BX388" s="16" t="str">
        <f>IF(Risultati!AB387&gt;0,(+Risultati!AG387/Risultati!AB387),"0")</f>
        <v>0</v>
      </c>
      <c r="BY388" s="22" t="str">
        <f>IF(OR(E388="abbreviato",Risultati!G387=0),"0",(((Risultati!AK387-(Risultati!AL387+Risultati!AM387))/Risultati!G387)))</f>
        <v>0</v>
      </c>
      <c r="BZ388" s="16" t="str">
        <f>IF(Risultati!G387&gt;0,(Risultati!AJ387/Risultati!G387),"0")</f>
        <v>0</v>
      </c>
      <c r="CA388" s="8"/>
      <c r="CB388" s="9">
        <f>+Risultati!AP387</f>
        <v>0</v>
      </c>
      <c r="CC388" s="31" t="str">
        <f t="shared" si="312"/>
        <v>0</v>
      </c>
      <c r="CD388" s="9">
        <f>+Risultati!AQ387</f>
        <v>0</v>
      </c>
      <c r="CE388" s="31" t="str">
        <f t="shared" si="313"/>
        <v>0</v>
      </c>
      <c r="CF388" s="9">
        <f>+Risultati!AR387</f>
        <v>0</v>
      </c>
      <c r="CG388" s="31" t="str">
        <f t="shared" si="314"/>
        <v>0</v>
      </c>
      <c r="CH388" s="9">
        <f>+Risultati!AS387</f>
        <v>0</v>
      </c>
      <c r="CI388" s="31" t="str">
        <f t="shared" si="315"/>
        <v>0</v>
      </c>
      <c r="CJ388" s="9">
        <f t="shared" si="316"/>
        <v>0</v>
      </c>
      <c r="CK388" s="31" t="str">
        <f t="shared" si="317"/>
        <v>0</v>
      </c>
      <c r="CL388" s="10">
        <f>+Risultati!AE387+Risultati!AF387</f>
        <v>0</v>
      </c>
      <c r="CM388" s="31" t="str">
        <f t="shared" si="318"/>
        <v>0</v>
      </c>
      <c r="CN388" s="9">
        <f>+Risultati!AT387</f>
        <v>0</v>
      </c>
      <c r="CO388" s="31" t="str">
        <f t="shared" si="319"/>
        <v>0</v>
      </c>
      <c r="CP388" s="9">
        <f>+Risultati!AU387</f>
        <v>0</v>
      </c>
      <c r="CQ388" s="31" t="str">
        <f t="shared" si="320"/>
        <v>0</v>
      </c>
      <c r="CR388" s="9">
        <f>+Risultati!AL387</f>
        <v>0</v>
      </c>
      <c r="CS388" s="31" t="str">
        <f t="shared" si="321"/>
        <v>0</v>
      </c>
      <c r="CT388" s="9">
        <f t="shared" si="322"/>
        <v>0</v>
      </c>
      <c r="CU388" s="31" t="str">
        <f t="shared" si="323"/>
        <v>0</v>
      </c>
      <c r="CV388" s="9">
        <f>+Risultati!AX387</f>
        <v>0</v>
      </c>
      <c r="CW388" s="31" t="str">
        <f t="shared" si="324"/>
        <v>0</v>
      </c>
      <c r="CX388" s="9">
        <f t="shared" si="325"/>
        <v>0</v>
      </c>
      <c r="CY388" s="31" t="str">
        <f t="shared" si="326"/>
        <v>0</v>
      </c>
      <c r="CZ388" s="9">
        <f>+Risultati!AG387</f>
        <v>0</v>
      </c>
      <c r="DA388" s="31" t="str">
        <f t="shared" si="327"/>
        <v>0</v>
      </c>
      <c r="DB388" s="9">
        <f t="shared" si="328"/>
        <v>0</v>
      </c>
      <c r="DC388" s="31" t="str">
        <f t="shared" si="329"/>
        <v>0</v>
      </c>
      <c r="DD388" s="9">
        <f>+Risultati!AV387</f>
        <v>0</v>
      </c>
      <c r="DE388" s="31" t="str">
        <f t="shared" si="330"/>
        <v>0</v>
      </c>
      <c r="DF388" s="9">
        <f>+Risultati!AJ387</f>
        <v>0</v>
      </c>
      <c r="DG388" s="31" t="str">
        <f t="shared" si="331"/>
        <v>0</v>
      </c>
      <c r="DH388" s="9">
        <f t="shared" si="332"/>
        <v>0</v>
      </c>
      <c r="DI388" s="31" t="str">
        <f t="shared" si="333"/>
        <v>0</v>
      </c>
      <c r="DJ388" s="9">
        <f>+Risultati!AW387</f>
        <v>0</v>
      </c>
      <c r="DK388" s="31" t="str">
        <f t="shared" si="334"/>
        <v>0</v>
      </c>
      <c r="DL388" s="10">
        <f t="shared" ref="DL388:DL451" si="356">+CX388</f>
        <v>0</v>
      </c>
      <c r="DM388" s="31" t="str">
        <f t="shared" si="335"/>
        <v>0</v>
      </c>
      <c r="DO388" s="30"/>
      <c r="DP388" s="30"/>
    </row>
    <row r="389" spans="1:120" x14ac:dyDescent="0.2">
      <c r="A389" s="5"/>
      <c r="B389" s="6">
        <f>+Risultati!B388</f>
        <v>0</v>
      </c>
      <c r="C389" s="6">
        <f>+Risultati!C388</f>
        <v>0</v>
      </c>
      <c r="D389" s="26" t="str">
        <f>IF(YEAR(Risultati!D388)=1900,(MID(Risultati!$AP$1,29,4)),YEAR(Risultati!D388))</f>
        <v/>
      </c>
      <c r="E389" s="6">
        <f>+Risultati!E388</f>
        <v>0</v>
      </c>
      <c r="F389" s="8" t="e">
        <f>(LEFT(Risultati!AN388,2)&amp;"-")&amp;VLOOKUP((LEFT(Risultati!AN388,2)),ateco!$B$4:$C$93,2,FALSE)</f>
        <v>#N/A</v>
      </c>
      <c r="G389" s="8" t="str">
        <f>SUBSTITUTE((Risultati!AN388&amp;"-"&amp;Risultati!AO388),",",";")</f>
        <v>-</v>
      </c>
      <c r="I389" s="10">
        <f>+Risultati!G388</f>
        <v>0</v>
      </c>
      <c r="J389" s="11" t="str">
        <f t="shared" si="338"/>
        <v>0</v>
      </c>
      <c r="K389" s="12"/>
      <c r="L389" s="10">
        <f>+Risultati!G388+Risultati!H388</f>
        <v>0</v>
      </c>
      <c r="M389" s="11" t="str">
        <f t="shared" si="339"/>
        <v>0</v>
      </c>
      <c r="N389" s="12"/>
      <c r="O389" s="10">
        <f>+Risultati!I388+Risultati!J388</f>
        <v>0</v>
      </c>
      <c r="P389" s="11" t="str">
        <f t="shared" si="340"/>
        <v>0</v>
      </c>
      <c r="Q389" s="12"/>
      <c r="R389" s="13">
        <f t="shared" si="306"/>
        <v>0</v>
      </c>
      <c r="S389" s="11" t="str">
        <f t="shared" si="341"/>
        <v>0</v>
      </c>
      <c r="T389" s="12"/>
      <c r="U389" s="10">
        <f>+Risultati!F388-(Risultati!G388+Risultati!H388)</f>
        <v>0</v>
      </c>
      <c r="V389" s="12" t="str">
        <f t="shared" si="342"/>
        <v>0</v>
      </c>
      <c r="W389" s="12"/>
      <c r="X389" s="10">
        <f t="shared" si="307"/>
        <v>0</v>
      </c>
      <c r="Y389" s="12" t="str">
        <f t="shared" si="343"/>
        <v>0</v>
      </c>
      <c r="Z389" s="12"/>
      <c r="AA389" s="10">
        <f>+Risultati!K388</f>
        <v>0</v>
      </c>
      <c r="AB389" s="12" t="str">
        <f t="shared" si="344"/>
        <v>0</v>
      </c>
      <c r="AC389" s="12"/>
      <c r="AD389" s="10">
        <f>+Risultati!L388</f>
        <v>0</v>
      </c>
      <c r="AE389" s="12" t="str">
        <f t="shared" si="345"/>
        <v>0</v>
      </c>
      <c r="AF389" s="12"/>
      <c r="AG389" s="10">
        <f>+Risultati!M388+Risultati!P388+Risultati!Q388</f>
        <v>0</v>
      </c>
      <c r="AH389" s="12" t="str">
        <f t="shared" si="346"/>
        <v>0</v>
      </c>
      <c r="AI389" s="12"/>
      <c r="AJ389" s="13">
        <f t="shared" si="308"/>
        <v>0</v>
      </c>
      <c r="AK389" s="11" t="str">
        <f t="shared" si="347"/>
        <v>0</v>
      </c>
      <c r="AL389" s="12"/>
      <c r="AM389" s="10">
        <f>+Risultati!N388</f>
        <v>0</v>
      </c>
      <c r="AN389" s="12" t="str">
        <f t="shared" si="348"/>
        <v>0</v>
      </c>
      <c r="AO389" s="12"/>
      <c r="AP389" s="10">
        <f t="shared" si="309"/>
        <v>0</v>
      </c>
      <c r="AQ389" s="41" t="str">
        <f t="shared" si="349"/>
        <v>0</v>
      </c>
      <c r="AR389" s="12"/>
      <c r="AS389" s="10">
        <f>+Risultati!O388</f>
        <v>0</v>
      </c>
      <c r="AT389" s="12" t="str">
        <f t="shared" si="350"/>
        <v>0</v>
      </c>
      <c r="AU389" s="12"/>
      <c r="AV389" s="10">
        <f t="shared" si="310"/>
        <v>0</v>
      </c>
      <c r="AW389" s="12" t="str">
        <f t="shared" si="351"/>
        <v>0</v>
      </c>
      <c r="AX389" s="12"/>
      <c r="AY389" s="10">
        <f>+Risultati!R388+Risultati!S388</f>
        <v>0</v>
      </c>
      <c r="AZ389" s="12" t="str">
        <f t="shared" si="352"/>
        <v>0</v>
      </c>
      <c r="BA389" s="12"/>
      <c r="BB389" s="10">
        <f>+Risultati!T388</f>
        <v>0</v>
      </c>
      <c r="BC389" s="12" t="str">
        <f t="shared" si="353"/>
        <v>0</v>
      </c>
      <c r="BD389" s="12"/>
      <c r="BE389" s="10">
        <f>+Risultati!U388</f>
        <v>0</v>
      </c>
      <c r="BF389" s="12" t="str">
        <f t="shared" si="354"/>
        <v>0</v>
      </c>
      <c r="BG389" s="12"/>
      <c r="BH389" s="10">
        <f t="shared" si="311"/>
        <v>0</v>
      </c>
      <c r="BI389" s="12" t="str">
        <f t="shared" si="355"/>
        <v>0</v>
      </c>
      <c r="BK389" s="16">
        <f>IF(ISNUMBER(Risultati!X388/100),(Risultati!X388/100))</f>
        <v>0</v>
      </c>
      <c r="BL389" s="16">
        <f>IF(ISNUMBER(Risultati!Y388/100),(Risultati!Y388/100))</f>
        <v>0</v>
      </c>
      <c r="BM389" s="16">
        <f>IF(ISNUMBER(Risultati!Z388/100),(Risultati!Z388/100))</f>
        <v>0</v>
      </c>
      <c r="BN389" s="16">
        <f>IF(AND(Risultati!AY388&lt;0,calcoli!AP389&lt;0),-IF(ISNUMBER(Risultati!AA388/100),(Risultati!AA388/100)),IF(ISNUMBER(Risultati!AA388/100),(Risultati!AA388/100)))</f>
        <v>0</v>
      </c>
      <c r="BO389" s="16" t="str">
        <f t="shared" si="336"/>
        <v>0</v>
      </c>
      <c r="BP389" s="16" t="str">
        <f>IF(Risultati!AB388&gt;0,(AV389/Risultati!AB388),"0")</f>
        <v>0</v>
      </c>
      <c r="BQ389" s="16" t="str">
        <f>IF(Risultati!AG388&lt;&gt;0,(BH389/Risultati!AG388),"0")</f>
        <v>0</v>
      </c>
      <c r="BR389" s="16" t="str">
        <f t="shared" si="337"/>
        <v>0</v>
      </c>
      <c r="BS389" s="14" t="str">
        <f>IF(Risultati!AB388&gt;0,(Risultati!G388/Risultati!AB388),"0")</f>
        <v>0</v>
      </c>
      <c r="BT389" s="15" t="str">
        <f>IF(Risultati!AG388&lt;&gt;0,(Risultati!AB388/Risultati!AG388),"0")</f>
        <v>0</v>
      </c>
      <c r="BU389" s="23" t="str">
        <f>IF(AND(Risultati!G388&gt;0,(Risultati!AE388-Risultati!AF388)&gt;=0),((Risultati!AE388-Risultati!AF388)/Risultati!G388*360),"0")</f>
        <v>0</v>
      </c>
      <c r="BV389" s="21" t="str">
        <f>IF(OR(E389="abbreviato",Risultati!G388=0),"0",((Risultati!AC388+Risultati!AD388)/Risultati!G388*360))</f>
        <v>0</v>
      </c>
      <c r="BW389" s="21" t="str">
        <f>IF(OR(E389="abbreviato",Risultati!G388=0,SUM(Risultati!I388+Risultati!K388+Risultati!M388)=0),"0",(((Risultati!AH388+Risultati!AI388)/(Risultati!I388+Risultati!K388+Risultati!N388)*360)))</f>
        <v>0</v>
      </c>
      <c r="BX389" s="16" t="str">
        <f>IF(Risultati!AB388&gt;0,(+Risultati!AG388/Risultati!AB388),"0")</f>
        <v>0</v>
      </c>
      <c r="BY389" s="22" t="str">
        <f>IF(OR(E389="abbreviato",Risultati!G388=0),"0",(((Risultati!AK388-(Risultati!AL388+Risultati!AM388))/Risultati!G388)))</f>
        <v>0</v>
      </c>
      <c r="BZ389" s="16" t="str">
        <f>IF(Risultati!G388&gt;0,(Risultati!AJ388/Risultati!G388),"0")</f>
        <v>0</v>
      </c>
      <c r="CA389" s="8"/>
      <c r="CB389" s="9">
        <f>+Risultati!AP388</f>
        <v>0</v>
      </c>
      <c r="CC389" s="31" t="str">
        <f t="shared" si="312"/>
        <v>0</v>
      </c>
      <c r="CD389" s="9">
        <f>+Risultati!AQ388</f>
        <v>0</v>
      </c>
      <c r="CE389" s="31" t="str">
        <f t="shared" si="313"/>
        <v>0</v>
      </c>
      <c r="CF389" s="9">
        <f>+Risultati!AR388</f>
        <v>0</v>
      </c>
      <c r="CG389" s="31" t="str">
        <f t="shared" si="314"/>
        <v>0</v>
      </c>
      <c r="CH389" s="9">
        <f>+Risultati!AS388</f>
        <v>0</v>
      </c>
      <c r="CI389" s="31" t="str">
        <f t="shared" si="315"/>
        <v>0</v>
      </c>
      <c r="CJ389" s="9">
        <f t="shared" si="316"/>
        <v>0</v>
      </c>
      <c r="CK389" s="31" t="str">
        <f t="shared" si="317"/>
        <v>0</v>
      </c>
      <c r="CL389" s="10">
        <f>+Risultati!AE388+Risultati!AF388</f>
        <v>0</v>
      </c>
      <c r="CM389" s="31" t="str">
        <f t="shared" si="318"/>
        <v>0</v>
      </c>
      <c r="CN389" s="9">
        <f>+Risultati!AT388</f>
        <v>0</v>
      </c>
      <c r="CO389" s="31" t="str">
        <f t="shared" si="319"/>
        <v>0</v>
      </c>
      <c r="CP389" s="9">
        <f>+Risultati!AU388</f>
        <v>0</v>
      </c>
      <c r="CQ389" s="31" t="str">
        <f t="shared" si="320"/>
        <v>0</v>
      </c>
      <c r="CR389" s="9">
        <f>+Risultati!AL388</f>
        <v>0</v>
      </c>
      <c r="CS389" s="31" t="str">
        <f t="shared" si="321"/>
        <v>0</v>
      </c>
      <c r="CT389" s="9">
        <f t="shared" si="322"/>
        <v>0</v>
      </c>
      <c r="CU389" s="31" t="str">
        <f t="shared" si="323"/>
        <v>0</v>
      </c>
      <c r="CV389" s="9">
        <f>+Risultati!AX388</f>
        <v>0</v>
      </c>
      <c r="CW389" s="31" t="str">
        <f t="shared" si="324"/>
        <v>0</v>
      </c>
      <c r="CX389" s="9">
        <f t="shared" si="325"/>
        <v>0</v>
      </c>
      <c r="CY389" s="31" t="str">
        <f t="shared" si="326"/>
        <v>0</v>
      </c>
      <c r="CZ389" s="9">
        <f>+Risultati!AG388</f>
        <v>0</v>
      </c>
      <c r="DA389" s="31" t="str">
        <f t="shared" si="327"/>
        <v>0</v>
      </c>
      <c r="DB389" s="9">
        <f t="shared" si="328"/>
        <v>0</v>
      </c>
      <c r="DC389" s="31" t="str">
        <f t="shared" si="329"/>
        <v>0</v>
      </c>
      <c r="DD389" s="9">
        <f>+Risultati!AV388</f>
        <v>0</v>
      </c>
      <c r="DE389" s="31" t="str">
        <f t="shared" si="330"/>
        <v>0</v>
      </c>
      <c r="DF389" s="9">
        <f>+Risultati!AJ388</f>
        <v>0</v>
      </c>
      <c r="DG389" s="31" t="str">
        <f t="shared" si="331"/>
        <v>0</v>
      </c>
      <c r="DH389" s="9">
        <f t="shared" si="332"/>
        <v>0</v>
      </c>
      <c r="DI389" s="31" t="str">
        <f t="shared" si="333"/>
        <v>0</v>
      </c>
      <c r="DJ389" s="9">
        <f>+Risultati!AW388</f>
        <v>0</v>
      </c>
      <c r="DK389" s="31" t="str">
        <f t="shared" si="334"/>
        <v>0</v>
      </c>
      <c r="DL389" s="10">
        <f t="shared" si="356"/>
        <v>0</v>
      </c>
      <c r="DM389" s="31" t="str">
        <f t="shared" si="335"/>
        <v>0</v>
      </c>
      <c r="DO389" s="30"/>
      <c r="DP389" s="30"/>
    </row>
    <row r="390" spans="1:120" x14ac:dyDescent="0.2">
      <c r="A390" s="5"/>
      <c r="B390" s="6">
        <f>+Risultati!B389</f>
        <v>0</v>
      </c>
      <c r="C390" s="6">
        <f>+Risultati!C389</f>
        <v>0</v>
      </c>
      <c r="D390" s="26" t="str">
        <f>IF(YEAR(Risultati!D389)=1900,(MID(Risultati!$AP$1,29,4)),YEAR(Risultati!D389))</f>
        <v/>
      </c>
      <c r="E390" s="6">
        <f>+Risultati!E389</f>
        <v>0</v>
      </c>
      <c r="F390" s="8" t="e">
        <f>(LEFT(Risultati!AN389,2)&amp;"-")&amp;VLOOKUP((LEFT(Risultati!AN389,2)),ateco!$B$4:$C$93,2,FALSE)</f>
        <v>#N/A</v>
      </c>
      <c r="G390" s="8" t="str">
        <f>SUBSTITUTE((Risultati!AN389&amp;"-"&amp;Risultati!AO389),",",";")</f>
        <v>-</v>
      </c>
      <c r="I390" s="10">
        <f>+Risultati!G389</f>
        <v>0</v>
      </c>
      <c r="J390" s="11" t="str">
        <f t="shared" si="338"/>
        <v>0</v>
      </c>
      <c r="K390" s="12"/>
      <c r="L390" s="10">
        <f>+Risultati!G389+Risultati!H389</f>
        <v>0</v>
      </c>
      <c r="M390" s="11" t="str">
        <f t="shared" si="339"/>
        <v>0</v>
      </c>
      <c r="N390" s="12"/>
      <c r="O390" s="10">
        <f>+Risultati!I389+Risultati!J389</f>
        <v>0</v>
      </c>
      <c r="P390" s="11" t="str">
        <f t="shared" si="340"/>
        <v>0</v>
      </c>
      <c r="Q390" s="12"/>
      <c r="R390" s="13">
        <f t="shared" si="306"/>
        <v>0</v>
      </c>
      <c r="S390" s="11" t="str">
        <f t="shared" si="341"/>
        <v>0</v>
      </c>
      <c r="T390" s="12"/>
      <c r="U390" s="10">
        <f>+Risultati!F389-(Risultati!G389+Risultati!H389)</f>
        <v>0</v>
      </c>
      <c r="V390" s="12" t="str">
        <f t="shared" si="342"/>
        <v>0</v>
      </c>
      <c r="W390" s="12"/>
      <c r="X390" s="10">
        <f t="shared" si="307"/>
        <v>0</v>
      </c>
      <c r="Y390" s="12" t="str">
        <f t="shared" si="343"/>
        <v>0</v>
      </c>
      <c r="Z390" s="12"/>
      <c r="AA390" s="10">
        <f>+Risultati!K389</f>
        <v>0</v>
      </c>
      <c r="AB390" s="12" t="str">
        <f t="shared" si="344"/>
        <v>0</v>
      </c>
      <c r="AC390" s="12"/>
      <c r="AD390" s="10">
        <f>+Risultati!L389</f>
        <v>0</v>
      </c>
      <c r="AE390" s="12" t="str">
        <f t="shared" si="345"/>
        <v>0</v>
      </c>
      <c r="AF390" s="12"/>
      <c r="AG390" s="10">
        <f>+Risultati!M389+Risultati!P389+Risultati!Q389</f>
        <v>0</v>
      </c>
      <c r="AH390" s="12" t="str">
        <f t="shared" si="346"/>
        <v>0</v>
      </c>
      <c r="AI390" s="12"/>
      <c r="AJ390" s="13">
        <f t="shared" si="308"/>
        <v>0</v>
      </c>
      <c r="AK390" s="11" t="str">
        <f t="shared" si="347"/>
        <v>0</v>
      </c>
      <c r="AL390" s="12"/>
      <c r="AM390" s="10">
        <f>+Risultati!N389</f>
        <v>0</v>
      </c>
      <c r="AN390" s="12" t="str">
        <f t="shared" si="348"/>
        <v>0</v>
      </c>
      <c r="AO390" s="12"/>
      <c r="AP390" s="10">
        <f t="shared" si="309"/>
        <v>0</v>
      </c>
      <c r="AQ390" s="41" t="str">
        <f t="shared" si="349"/>
        <v>0</v>
      </c>
      <c r="AR390" s="12"/>
      <c r="AS390" s="10">
        <f>+Risultati!O389</f>
        <v>0</v>
      </c>
      <c r="AT390" s="12" t="str">
        <f t="shared" si="350"/>
        <v>0</v>
      </c>
      <c r="AU390" s="12"/>
      <c r="AV390" s="10">
        <f t="shared" si="310"/>
        <v>0</v>
      </c>
      <c r="AW390" s="12" t="str">
        <f t="shared" si="351"/>
        <v>0</v>
      </c>
      <c r="AX390" s="12"/>
      <c r="AY390" s="10">
        <f>+Risultati!R389+Risultati!S389</f>
        <v>0</v>
      </c>
      <c r="AZ390" s="12" t="str">
        <f t="shared" si="352"/>
        <v>0</v>
      </c>
      <c r="BA390" s="12"/>
      <c r="BB390" s="10">
        <f>+Risultati!T389</f>
        <v>0</v>
      </c>
      <c r="BC390" s="12" t="str">
        <f t="shared" si="353"/>
        <v>0</v>
      </c>
      <c r="BD390" s="12"/>
      <c r="BE390" s="10">
        <f>+Risultati!U389</f>
        <v>0</v>
      </c>
      <c r="BF390" s="12" t="str">
        <f t="shared" si="354"/>
        <v>0</v>
      </c>
      <c r="BG390" s="12"/>
      <c r="BH390" s="10">
        <f t="shared" si="311"/>
        <v>0</v>
      </c>
      <c r="BI390" s="12" t="str">
        <f t="shared" si="355"/>
        <v>0</v>
      </c>
      <c r="BK390" s="16">
        <f>IF(ISNUMBER(Risultati!X389/100),(Risultati!X389/100))</f>
        <v>0</v>
      </c>
      <c r="BL390" s="16">
        <f>IF(ISNUMBER(Risultati!Y389/100),(Risultati!Y389/100))</f>
        <v>0</v>
      </c>
      <c r="BM390" s="16">
        <f>IF(ISNUMBER(Risultati!Z389/100),(Risultati!Z389/100))</f>
        <v>0</v>
      </c>
      <c r="BN390" s="16">
        <f>IF(AND(Risultati!AY389&lt;0,calcoli!AP390&lt;0),-IF(ISNUMBER(Risultati!AA389/100),(Risultati!AA389/100)),IF(ISNUMBER(Risultati!AA389/100),(Risultati!AA389/100)))</f>
        <v>0</v>
      </c>
      <c r="BO390" s="16" t="str">
        <f t="shared" si="336"/>
        <v>0</v>
      </c>
      <c r="BP390" s="16" t="str">
        <f>IF(Risultati!AB389&gt;0,(AV390/Risultati!AB389),"0")</f>
        <v>0</v>
      </c>
      <c r="BQ390" s="16" t="str">
        <f>IF(Risultati!AG389&lt;&gt;0,(BH390/Risultati!AG389),"0")</f>
        <v>0</v>
      </c>
      <c r="BR390" s="16" t="str">
        <f t="shared" si="337"/>
        <v>0</v>
      </c>
      <c r="BS390" s="14" t="str">
        <f>IF(Risultati!AB389&gt;0,(Risultati!G389/Risultati!AB389),"0")</f>
        <v>0</v>
      </c>
      <c r="BT390" s="15" t="str">
        <f>IF(Risultati!AG389&lt;&gt;0,(Risultati!AB389/Risultati!AG389),"0")</f>
        <v>0</v>
      </c>
      <c r="BU390" s="23" t="str">
        <f>IF(AND(Risultati!G389&gt;0,(Risultati!AE389-Risultati!AF389)&gt;=0),((Risultati!AE389-Risultati!AF389)/Risultati!G389*360),"0")</f>
        <v>0</v>
      </c>
      <c r="BV390" s="21" t="str">
        <f>IF(OR(E390="abbreviato",Risultati!G389=0),"0",((Risultati!AC389+Risultati!AD389)/Risultati!G389*360))</f>
        <v>0</v>
      </c>
      <c r="BW390" s="21" t="str">
        <f>IF(OR(E390="abbreviato",Risultati!G389=0,SUM(Risultati!I389+Risultati!K389+Risultati!M389)=0),"0",(((Risultati!AH389+Risultati!AI389)/(Risultati!I389+Risultati!K389+Risultati!N389)*360)))</f>
        <v>0</v>
      </c>
      <c r="BX390" s="16" t="str">
        <f>IF(Risultati!AB389&gt;0,(+Risultati!AG389/Risultati!AB389),"0")</f>
        <v>0</v>
      </c>
      <c r="BY390" s="22" t="str">
        <f>IF(OR(E390="abbreviato",Risultati!G389=0),"0",(((Risultati!AK389-(Risultati!AL389+Risultati!AM389))/Risultati!G389)))</f>
        <v>0</v>
      </c>
      <c r="BZ390" s="16" t="str">
        <f>IF(Risultati!G389&gt;0,(Risultati!AJ389/Risultati!G389),"0")</f>
        <v>0</v>
      </c>
      <c r="CA390" s="8"/>
      <c r="CB390" s="9">
        <f>+Risultati!AP389</f>
        <v>0</v>
      </c>
      <c r="CC390" s="31" t="str">
        <f t="shared" si="312"/>
        <v>0</v>
      </c>
      <c r="CD390" s="9">
        <f>+Risultati!AQ389</f>
        <v>0</v>
      </c>
      <c r="CE390" s="31" t="str">
        <f t="shared" si="313"/>
        <v>0</v>
      </c>
      <c r="CF390" s="9">
        <f>+Risultati!AR389</f>
        <v>0</v>
      </c>
      <c r="CG390" s="31" t="str">
        <f t="shared" si="314"/>
        <v>0</v>
      </c>
      <c r="CH390" s="9">
        <f>+Risultati!AS389</f>
        <v>0</v>
      </c>
      <c r="CI390" s="31" t="str">
        <f t="shared" si="315"/>
        <v>0</v>
      </c>
      <c r="CJ390" s="9">
        <f t="shared" si="316"/>
        <v>0</v>
      </c>
      <c r="CK390" s="31" t="str">
        <f t="shared" si="317"/>
        <v>0</v>
      </c>
      <c r="CL390" s="10">
        <f>+Risultati!AE389+Risultati!AF389</f>
        <v>0</v>
      </c>
      <c r="CM390" s="31" t="str">
        <f t="shared" si="318"/>
        <v>0</v>
      </c>
      <c r="CN390" s="9">
        <f>+Risultati!AT389</f>
        <v>0</v>
      </c>
      <c r="CO390" s="31" t="str">
        <f t="shared" si="319"/>
        <v>0</v>
      </c>
      <c r="CP390" s="9">
        <f>+Risultati!AU389</f>
        <v>0</v>
      </c>
      <c r="CQ390" s="31" t="str">
        <f t="shared" si="320"/>
        <v>0</v>
      </c>
      <c r="CR390" s="9">
        <f>+Risultati!AL389</f>
        <v>0</v>
      </c>
      <c r="CS390" s="31" t="str">
        <f t="shared" si="321"/>
        <v>0</v>
      </c>
      <c r="CT390" s="9">
        <f t="shared" si="322"/>
        <v>0</v>
      </c>
      <c r="CU390" s="31" t="str">
        <f t="shared" si="323"/>
        <v>0</v>
      </c>
      <c r="CV390" s="9">
        <f>+Risultati!AX389</f>
        <v>0</v>
      </c>
      <c r="CW390" s="31" t="str">
        <f t="shared" si="324"/>
        <v>0</v>
      </c>
      <c r="CX390" s="9">
        <f t="shared" si="325"/>
        <v>0</v>
      </c>
      <c r="CY390" s="31" t="str">
        <f t="shared" si="326"/>
        <v>0</v>
      </c>
      <c r="CZ390" s="9">
        <f>+Risultati!AG389</f>
        <v>0</v>
      </c>
      <c r="DA390" s="31" t="str">
        <f t="shared" si="327"/>
        <v>0</v>
      </c>
      <c r="DB390" s="9">
        <f t="shared" si="328"/>
        <v>0</v>
      </c>
      <c r="DC390" s="31" t="str">
        <f t="shared" si="329"/>
        <v>0</v>
      </c>
      <c r="DD390" s="9">
        <f>+Risultati!AV389</f>
        <v>0</v>
      </c>
      <c r="DE390" s="31" t="str">
        <f t="shared" si="330"/>
        <v>0</v>
      </c>
      <c r="DF390" s="9">
        <f>+Risultati!AJ389</f>
        <v>0</v>
      </c>
      <c r="DG390" s="31" t="str">
        <f t="shared" si="331"/>
        <v>0</v>
      </c>
      <c r="DH390" s="9">
        <f t="shared" si="332"/>
        <v>0</v>
      </c>
      <c r="DI390" s="31" t="str">
        <f t="shared" si="333"/>
        <v>0</v>
      </c>
      <c r="DJ390" s="9">
        <f>+Risultati!AW389</f>
        <v>0</v>
      </c>
      <c r="DK390" s="31" t="str">
        <f t="shared" si="334"/>
        <v>0</v>
      </c>
      <c r="DL390" s="10">
        <f t="shared" si="356"/>
        <v>0</v>
      </c>
      <c r="DM390" s="31" t="str">
        <f t="shared" si="335"/>
        <v>0</v>
      </c>
      <c r="DO390" s="30"/>
      <c r="DP390" s="30"/>
    </row>
    <row r="391" spans="1:120" x14ac:dyDescent="0.2">
      <c r="A391" s="5"/>
      <c r="B391" s="6">
        <f>+Risultati!B390</f>
        <v>0</v>
      </c>
      <c r="C391" s="6">
        <f>+Risultati!C390</f>
        <v>0</v>
      </c>
      <c r="D391" s="26" t="str">
        <f>IF(YEAR(Risultati!D390)=1900,(MID(Risultati!$AP$1,29,4)),YEAR(Risultati!D390))</f>
        <v/>
      </c>
      <c r="E391" s="6">
        <f>+Risultati!E390</f>
        <v>0</v>
      </c>
      <c r="F391" s="8" t="e">
        <f>(LEFT(Risultati!AN390,2)&amp;"-")&amp;VLOOKUP((LEFT(Risultati!AN390,2)),ateco!$B$4:$C$93,2,FALSE)</f>
        <v>#N/A</v>
      </c>
      <c r="G391" s="8" t="str">
        <f>SUBSTITUTE((Risultati!AN390&amp;"-"&amp;Risultati!AO390),",",";")</f>
        <v>-</v>
      </c>
      <c r="I391" s="10">
        <f>+Risultati!G390</f>
        <v>0</v>
      </c>
      <c r="J391" s="11" t="str">
        <f t="shared" si="338"/>
        <v>0</v>
      </c>
      <c r="K391" s="12"/>
      <c r="L391" s="10">
        <f>+Risultati!G390+Risultati!H390</f>
        <v>0</v>
      </c>
      <c r="M391" s="11" t="str">
        <f t="shared" si="339"/>
        <v>0</v>
      </c>
      <c r="N391" s="12"/>
      <c r="O391" s="10">
        <f>+Risultati!I390+Risultati!J390</f>
        <v>0</v>
      </c>
      <c r="P391" s="11" t="str">
        <f t="shared" si="340"/>
        <v>0</v>
      </c>
      <c r="Q391" s="12"/>
      <c r="R391" s="13">
        <f t="shared" si="306"/>
        <v>0</v>
      </c>
      <c r="S391" s="11" t="str">
        <f t="shared" si="341"/>
        <v>0</v>
      </c>
      <c r="T391" s="12"/>
      <c r="U391" s="10">
        <f>+Risultati!F390-(Risultati!G390+Risultati!H390)</f>
        <v>0</v>
      </c>
      <c r="V391" s="12" t="str">
        <f t="shared" si="342"/>
        <v>0</v>
      </c>
      <c r="W391" s="12"/>
      <c r="X391" s="10">
        <f t="shared" si="307"/>
        <v>0</v>
      </c>
      <c r="Y391" s="12" t="str">
        <f t="shared" si="343"/>
        <v>0</v>
      </c>
      <c r="Z391" s="12"/>
      <c r="AA391" s="10">
        <f>+Risultati!K390</f>
        <v>0</v>
      </c>
      <c r="AB391" s="12" t="str">
        <f t="shared" si="344"/>
        <v>0</v>
      </c>
      <c r="AC391" s="12"/>
      <c r="AD391" s="10">
        <f>+Risultati!L390</f>
        <v>0</v>
      </c>
      <c r="AE391" s="12" t="str">
        <f t="shared" si="345"/>
        <v>0</v>
      </c>
      <c r="AF391" s="12"/>
      <c r="AG391" s="10">
        <f>+Risultati!M390+Risultati!P390+Risultati!Q390</f>
        <v>0</v>
      </c>
      <c r="AH391" s="12" t="str">
        <f t="shared" si="346"/>
        <v>0</v>
      </c>
      <c r="AI391" s="12"/>
      <c r="AJ391" s="13">
        <f t="shared" si="308"/>
        <v>0</v>
      </c>
      <c r="AK391" s="11" t="str">
        <f t="shared" si="347"/>
        <v>0</v>
      </c>
      <c r="AL391" s="12"/>
      <c r="AM391" s="10">
        <f>+Risultati!N390</f>
        <v>0</v>
      </c>
      <c r="AN391" s="12" t="str">
        <f t="shared" si="348"/>
        <v>0</v>
      </c>
      <c r="AO391" s="12"/>
      <c r="AP391" s="10">
        <f t="shared" si="309"/>
        <v>0</v>
      </c>
      <c r="AQ391" s="41" t="str">
        <f t="shared" si="349"/>
        <v>0</v>
      </c>
      <c r="AR391" s="12"/>
      <c r="AS391" s="10">
        <f>+Risultati!O390</f>
        <v>0</v>
      </c>
      <c r="AT391" s="12" t="str">
        <f t="shared" si="350"/>
        <v>0</v>
      </c>
      <c r="AU391" s="12"/>
      <c r="AV391" s="10">
        <f t="shared" si="310"/>
        <v>0</v>
      </c>
      <c r="AW391" s="12" t="str">
        <f t="shared" si="351"/>
        <v>0</v>
      </c>
      <c r="AX391" s="12"/>
      <c r="AY391" s="10">
        <f>+Risultati!R390+Risultati!S390</f>
        <v>0</v>
      </c>
      <c r="AZ391" s="12" t="str">
        <f t="shared" si="352"/>
        <v>0</v>
      </c>
      <c r="BA391" s="12"/>
      <c r="BB391" s="10">
        <f>+Risultati!T390</f>
        <v>0</v>
      </c>
      <c r="BC391" s="12" t="str">
        <f t="shared" si="353"/>
        <v>0</v>
      </c>
      <c r="BD391" s="12"/>
      <c r="BE391" s="10">
        <f>+Risultati!U390</f>
        <v>0</v>
      </c>
      <c r="BF391" s="12" t="str">
        <f t="shared" si="354"/>
        <v>0</v>
      </c>
      <c r="BG391" s="12"/>
      <c r="BH391" s="10">
        <f t="shared" si="311"/>
        <v>0</v>
      </c>
      <c r="BI391" s="12" t="str">
        <f t="shared" si="355"/>
        <v>0</v>
      </c>
      <c r="BK391" s="16">
        <f>IF(ISNUMBER(Risultati!X390/100),(Risultati!X390/100))</f>
        <v>0</v>
      </c>
      <c r="BL391" s="16">
        <f>IF(ISNUMBER(Risultati!Y390/100),(Risultati!Y390/100))</f>
        <v>0</v>
      </c>
      <c r="BM391" s="16">
        <f>IF(ISNUMBER(Risultati!Z390/100),(Risultati!Z390/100))</f>
        <v>0</v>
      </c>
      <c r="BN391" s="16">
        <f>IF(AND(Risultati!AY390&lt;0,calcoli!AP391&lt;0),-IF(ISNUMBER(Risultati!AA390/100),(Risultati!AA390/100)),IF(ISNUMBER(Risultati!AA390/100),(Risultati!AA390/100)))</f>
        <v>0</v>
      </c>
      <c r="BO391" s="16" t="str">
        <f t="shared" si="336"/>
        <v>0</v>
      </c>
      <c r="BP391" s="16" t="str">
        <f>IF(Risultati!AB390&gt;0,(AV391/Risultati!AB390),"0")</f>
        <v>0</v>
      </c>
      <c r="BQ391" s="16" t="str">
        <f>IF(Risultati!AG390&lt;&gt;0,(BH391/Risultati!AG390),"0")</f>
        <v>0</v>
      </c>
      <c r="BR391" s="16" t="str">
        <f t="shared" si="337"/>
        <v>0</v>
      </c>
      <c r="BS391" s="14" t="str">
        <f>IF(Risultati!AB390&gt;0,(Risultati!G390/Risultati!AB390),"0")</f>
        <v>0</v>
      </c>
      <c r="BT391" s="15" t="str">
        <f>IF(Risultati!AG390&lt;&gt;0,(Risultati!AB390/Risultati!AG390),"0")</f>
        <v>0</v>
      </c>
      <c r="BU391" s="23" t="str">
        <f>IF(AND(Risultati!G390&gt;0,(Risultati!AE390-Risultati!AF390)&gt;=0),((Risultati!AE390-Risultati!AF390)/Risultati!G390*360),"0")</f>
        <v>0</v>
      </c>
      <c r="BV391" s="21" t="str">
        <f>IF(OR(E391="abbreviato",Risultati!G390=0),"0",((Risultati!AC390+Risultati!AD390)/Risultati!G390*360))</f>
        <v>0</v>
      </c>
      <c r="BW391" s="21" t="str">
        <f>IF(OR(E391="abbreviato",Risultati!G390=0,SUM(Risultati!I390+Risultati!K390+Risultati!M390)=0),"0",(((Risultati!AH390+Risultati!AI390)/(Risultati!I390+Risultati!K390+Risultati!N390)*360)))</f>
        <v>0</v>
      </c>
      <c r="BX391" s="16" t="str">
        <f>IF(Risultati!AB390&gt;0,(+Risultati!AG390/Risultati!AB390),"0")</f>
        <v>0</v>
      </c>
      <c r="BY391" s="22" t="str">
        <f>IF(OR(E391="abbreviato",Risultati!G390=0),"0",(((Risultati!AK390-(Risultati!AL390+Risultati!AM390))/Risultati!G390)))</f>
        <v>0</v>
      </c>
      <c r="BZ391" s="16" t="str">
        <f>IF(Risultati!G390&gt;0,(Risultati!AJ390/Risultati!G390),"0")</f>
        <v>0</v>
      </c>
      <c r="CA391" s="8"/>
      <c r="CB391" s="9">
        <f>+Risultati!AP390</f>
        <v>0</v>
      </c>
      <c r="CC391" s="31" t="str">
        <f t="shared" si="312"/>
        <v>0</v>
      </c>
      <c r="CD391" s="9">
        <f>+Risultati!AQ390</f>
        <v>0</v>
      </c>
      <c r="CE391" s="31" t="str">
        <f t="shared" si="313"/>
        <v>0</v>
      </c>
      <c r="CF391" s="9">
        <f>+Risultati!AR390</f>
        <v>0</v>
      </c>
      <c r="CG391" s="31" t="str">
        <f t="shared" si="314"/>
        <v>0</v>
      </c>
      <c r="CH391" s="9">
        <f>+Risultati!AS390</f>
        <v>0</v>
      </c>
      <c r="CI391" s="31" t="str">
        <f t="shared" si="315"/>
        <v>0</v>
      </c>
      <c r="CJ391" s="9">
        <f t="shared" si="316"/>
        <v>0</v>
      </c>
      <c r="CK391" s="31" t="str">
        <f t="shared" si="317"/>
        <v>0</v>
      </c>
      <c r="CL391" s="10">
        <f>+Risultati!AE390+Risultati!AF390</f>
        <v>0</v>
      </c>
      <c r="CM391" s="31" t="str">
        <f t="shared" si="318"/>
        <v>0</v>
      </c>
      <c r="CN391" s="9">
        <f>+Risultati!AT390</f>
        <v>0</v>
      </c>
      <c r="CO391" s="31" t="str">
        <f t="shared" si="319"/>
        <v>0</v>
      </c>
      <c r="CP391" s="9">
        <f>+Risultati!AU390</f>
        <v>0</v>
      </c>
      <c r="CQ391" s="31" t="str">
        <f t="shared" si="320"/>
        <v>0</v>
      </c>
      <c r="CR391" s="9">
        <f>+Risultati!AL390</f>
        <v>0</v>
      </c>
      <c r="CS391" s="31" t="str">
        <f t="shared" si="321"/>
        <v>0</v>
      </c>
      <c r="CT391" s="9">
        <f t="shared" si="322"/>
        <v>0</v>
      </c>
      <c r="CU391" s="31" t="str">
        <f t="shared" si="323"/>
        <v>0</v>
      </c>
      <c r="CV391" s="9">
        <f>+Risultati!AX390</f>
        <v>0</v>
      </c>
      <c r="CW391" s="31" t="str">
        <f t="shared" si="324"/>
        <v>0</v>
      </c>
      <c r="CX391" s="9">
        <f t="shared" si="325"/>
        <v>0</v>
      </c>
      <c r="CY391" s="31" t="str">
        <f t="shared" si="326"/>
        <v>0</v>
      </c>
      <c r="CZ391" s="9">
        <f>+Risultati!AG390</f>
        <v>0</v>
      </c>
      <c r="DA391" s="31" t="str">
        <f t="shared" si="327"/>
        <v>0</v>
      </c>
      <c r="DB391" s="9">
        <f t="shared" si="328"/>
        <v>0</v>
      </c>
      <c r="DC391" s="31" t="str">
        <f t="shared" si="329"/>
        <v>0</v>
      </c>
      <c r="DD391" s="9">
        <f>+Risultati!AV390</f>
        <v>0</v>
      </c>
      <c r="DE391" s="31" t="str">
        <f t="shared" si="330"/>
        <v>0</v>
      </c>
      <c r="DF391" s="9">
        <f>+Risultati!AJ390</f>
        <v>0</v>
      </c>
      <c r="DG391" s="31" t="str">
        <f t="shared" si="331"/>
        <v>0</v>
      </c>
      <c r="DH391" s="9">
        <f t="shared" si="332"/>
        <v>0</v>
      </c>
      <c r="DI391" s="31" t="str">
        <f t="shared" si="333"/>
        <v>0</v>
      </c>
      <c r="DJ391" s="9">
        <f>+Risultati!AW390</f>
        <v>0</v>
      </c>
      <c r="DK391" s="31" t="str">
        <f t="shared" si="334"/>
        <v>0</v>
      </c>
      <c r="DL391" s="10">
        <f t="shared" si="356"/>
        <v>0</v>
      </c>
      <c r="DM391" s="31" t="str">
        <f t="shared" si="335"/>
        <v>0</v>
      </c>
      <c r="DO391" s="30"/>
      <c r="DP391" s="30"/>
    </row>
    <row r="392" spans="1:120" x14ac:dyDescent="0.2">
      <c r="A392" s="5"/>
      <c r="B392" s="6">
        <f>+Risultati!B391</f>
        <v>0</v>
      </c>
      <c r="C392" s="6">
        <f>+Risultati!C391</f>
        <v>0</v>
      </c>
      <c r="D392" s="26" t="str">
        <f>IF(YEAR(Risultati!D391)=1900,(MID(Risultati!$AP$1,29,4)),YEAR(Risultati!D391))</f>
        <v/>
      </c>
      <c r="E392" s="6">
        <f>+Risultati!E391</f>
        <v>0</v>
      </c>
      <c r="F392" s="8" t="e">
        <f>(LEFT(Risultati!AN391,2)&amp;"-")&amp;VLOOKUP((LEFT(Risultati!AN391,2)),ateco!$B$4:$C$93,2,FALSE)</f>
        <v>#N/A</v>
      </c>
      <c r="G392" s="8" t="str">
        <f>SUBSTITUTE((Risultati!AN391&amp;"-"&amp;Risultati!AO391),",",";")</f>
        <v>-</v>
      </c>
      <c r="I392" s="10">
        <f>+Risultati!G391</f>
        <v>0</v>
      </c>
      <c r="J392" s="11" t="str">
        <f t="shared" si="338"/>
        <v>0</v>
      </c>
      <c r="K392" s="12"/>
      <c r="L392" s="10">
        <f>+Risultati!G391+Risultati!H391</f>
        <v>0</v>
      </c>
      <c r="M392" s="11" t="str">
        <f t="shared" si="339"/>
        <v>0</v>
      </c>
      <c r="N392" s="12"/>
      <c r="O392" s="10">
        <f>+Risultati!I391+Risultati!J391</f>
        <v>0</v>
      </c>
      <c r="P392" s="11" t="str">
        <f t="shared" si="340"/>
        <v>0</v>
      </c>
      <c r="Q392" s="12"/>
      <c r="R392" s="13">
        <f t="shared" si="306"/>
        <v>0</v>
      </c>
      <c r="S392" s="11" t="str">
        <f t="shared" si="341"/>
        <v>0</v>
      </c>
      <c r="T392" s="12"/>
      <c r="U392" s="10">
        <f>+Risultati!F391-(Risultati!G391+Risultati!H391)</f>
        <v>0</v>
      </c>
      <c r="V392" s="12" t="str">
        <f t="shared" si="342"/>
        <v>0</v>
      </c>
      <c r="W392" s="12"/>
      <c r="X392" s="10">
        <f t="shared" si="307"/>
        <v>0</v>
      </c>
      <c r="Y392" s="12" t="str">
        <f t="shared" si="343"/>
        <v>0</v>
      </c>
      <c r="Z392" s="12"/>
      <c r="AA392" s="10">
        <f>+Risultati!K391</f>
        <v>0</v>
      </c>
      <c r="AB392" s="12" t="str">
        <f t="shared" si="344"/>
        <v>0</v>
      </c>
      <c r="AC392" s="12"/>
      <c r="AD392" s="10">
        <f>+Risultati!L391</f>
        <v>0</v>
      </c>
      <c r="AE392" s="12" t="str">
        <f t="shared" si="345"/>
        <v>0</v>
      </c>
      <c r="AF392" s="12"/>
      <c r="AG392" s="10">
        <f>+Risultati!M391+Risultati!P391+Risultati!Q391</f>
        <v>0</v>
      </c>
      <c r="AH392" s="12" t="str">
        <f t="shared" si="346"/>
        <v>0</v>
      </c>
      <c r="AI392" s="12"/>
      <c r="AJ392" s="13">
        <f t="shared" si="308"/>
        <v>0</v>
      </c>
      <c r="AK392" s="11" t="str">
        <f t="shared" si="347"/>
        <v>0</v>
      </c>
      <c r="AL392" s="12"/>
      <c r="AM392" s="10">
        <f>+Risultati!N391</f>
        <v>0</v>
      </c>
      <c r="AN392" s="12" t="str">
        <f t="shared" si="348"/>
        <v>0</v>
      </c>
      <c r="AO392" s="12"/>
      <c r="AP392" s="10">
        <f t="shared" si="309"/>
        <v>0</v>
      </c>
      <c r="AQ392" s="41" t="str">
        <f t="shared" si="349"/>
        <v>0</v>
      </c>
      <c r="AR392" s="12"/>
      <c r="AS392" s="10">
        <f>+Risultati!O391</f>
        <v>0</v>
      </c>
      <c r="AT392" s="12" t="str">
        <f t="shared" si="350"/>
        <v>0</v>
      </c>
      <c r="AU392" s="12"/>
      <c r="AV392" s="10">
        <f t="shared" si="310"/>
        <v>0</v>
      </c>
      <c r="AW392" s="12" t="str">
        <f t="shared" si="351"/>
        <v>0</v>
      </c>
      <c r="AX392" s="12"/>
      <c r="AY392" s="10">
        <f>+Risultati!R391+Risultati!S391</f>
        <v>0</v>
      </c>
      <c r="AZ392" s="12" t="str">
        <f t="shared" si="352"/>
        <v>0</v>
      </c>
      <c r="BA392" s="12"/>
      <c r="BB392" s="10">
        <f>+Risultati!T391</f>
        <v>0</v>
      </c>
      <c r="BC392" s="12" t="str">
        <f t="shared" si="353"/>
        <v>0</v>
      </c>
      <c r="BD392" s="12"/>
      <c r="BE392" s="10">
        <f>+Risultati!U391</f>
        <v>0</v>
      </c>
      <c r="BF392" s="12" t="str">
        <f t="shared" si="354"/>
        <v>0</v>
      </c>
      <c r="BG392" s="12"/>
      <c r="BH392" s="10">
        <f t="shared" si="311"/>
        <v>0</v>
      </c>
      <c r="BI392" s="12" t="str">
        <f t="shared" si="355"/>
        <v>0</v>
      </c>
      <c r="BK392" s="16">
        <f>IF(ISNUMBER(Risultati!X391/100),(Risultati!X391/100))</f>
        <v>0</v>
      </c>
      <c r="BL392" s="16">
        <f>IF(ISNUMBER(Risultati!Y391/100),(Risultati!Y391/100))</f>
        <v>0</v>
      </c>
      <c r="BM392" s="16">
        <f>IF(ISNUMBER(Risultati!Z391/100),(Risultati!Z391/100))</f>
        <v>0</v>
      </c>
      <c r="BN392" s="16">
        <f>IF(AND(Risultati!AY391&lt;0,calcoli!AP392&lt;0),-IF(ISNUMBER(Risultati!AA391/100),(Risultati!AA391/100)),IF(ISNUMBER(Risultati!AA391/100),(Risultati!AA391/100)))</f>
        <v>0</v>
      </c>
      <c r="BO392" s="16" t="str">
        <f t="shared" si="336"/>
        <v>0</v>
      </c>
      <c r="BP392" s="16" t="str">
        <f>IF(Risultati!AB391&gt;0,(AV392/Risultati!AB391),"0")</f>
        <v>0</v>
      </c>
      <c r="BQ392" s="16" t="str">
        <f>IF(Risultati!AG391&lt;&gt;0,(BH392/Risultati!AG391),"0")</f>
        <v>0</v>
      </c>
      <c r="BR392" s="16" t="str">
        <f t="shared" si="337"/>
        <v>0</v>
      </c>
      <c r="BS392" s="14" t="str">
        <f>IF(Risultati!AB391&gt;0,(Risultati!G391/Risultati!AB391),"0")</f>
        <v>0</v>
      </c>
      <c r="BT392" s="15" t="str">
        <f>IF(Risultati!AG391&lt;&gt;0,(Risultati!AB391/Risultati!AG391),"0")</f>
        <v>0</v>
      </c>
      <c r="BU392" s="23" t="str">
        <f>IF(AND(Risultati!G391&gt;0,(Risultati!AE391-Risultati!AF391)&gt;=0),((Risultati!AE391-Risultati!AF391)/Risultati!G391*360),"0")</f>
        <v>0</v>
      </c>
      <c r="BV392" s="21" t="str">
        <f>IF(OR(E392="abbreviato",Risultati!G391=0),"0",((Risultati!AC391+Risultati!AD391)/Risultati!G391*360))</f>
        <v>0</v>
      </c>
      <c r="BW392" s="21" t="str">
        <f>IF(OR(E392="abbreviato",Risultati!G391=0,SUM(Risultati!I391+Risultati!K391+Risultati!M391)=0),"0",(((Risultati!AH391+Risultati!AI391)/(Risultati!I391+Risultati!K391+Risultati!N391)*360)))</f>
        <v>0</v>
      </c>
      <c r="BX392" s="16" t="str">
        <f>IF(Risultati!AB391&gt;0,(+Risultati!AG391/Risultati!AB391),"0")</f>
        <v>0</v>
      </c>
      <c r="BY392" s="22" t="str">
        <f>IF(OR(E392="abbreviato",Risultati!G391=0),"0",(((Risultati!AK391-(Risultati!AL391+Risultati!AM391))/Risultati!G391)))</f>
        <v>0</v>
      </c>
      <c r="BZ392" s="16" t="str">
        <f>IF(Risultati!G391&gt;0,(Risultati!AJ391/Risultati!G391),"0")</f>
        <v>0</v>
      </c>
      <c r="CA392" s="8"/>
      <c r="CB392" s="9">
        <f>+Risultati!AP391</f>
        <v>0</v>
      </c>
      <c r="CC392" s="31" t="str">
        <f t="shared" si="312"/>
        <v>0</v>
      </c>
      <c r="CD392" s="9">
        <f>+Risultati!AQ391</f>
        <v>0</v>
      </c>
      <c r="CE392" s="31" t="str">
        <f t="shared" si="313"/>
        <v>0</v>
      </c>
      <c r="CF392" s="9">
        <f>+Risultati!AR391</f>
        <v>0</v>
      </c>
      <c r="CG392" s="31" t="str">
        <f t="shared" si="314"/>
        <v>0</v>
      </c>
      <c r="CH392" s="9">
        <f>+Risultati!AS391</f>
        <v>0</v>
      </c>
      <c r="CI392" s="31" t="str">
        <f t="shared" si="315"/>
        <v>0</v>
      </c>
      <c r="CJ392" s="9">
        <f t="shared" si="316"/>
        <v>0</v>
      </c>
      <c r="CK392" s="31" t="str">
        <f t="shared" si="317"/>
        <v>0</v>
      </c>
      <c r="CL392" s="10">
        <f>+Risultati!AE391+Risultati!AF391</f>
        <v>0</v>
      </c>
      <c r="CM392" s="31" t="str">
        <f t="shared" si="318"/>
        <v>0</v>
      </c>
      <c r="CN392" s="9">
        <f>+Risultati!AT391</f>
        <v>0</v>
      </c>
      <c r="CO392" s="31" t="str">
        <f t="shared" si="319"/>
        <v>0</v>
      </c>
      <c r="CP392" s="9">
        <f>+Risultati!AU391</f>
        <v>0</v>
      </c>
      <c r="CQ392" s="31" t="str">
        <f t="shared" si="320"/>
        <v>0</v>
      </c>
      <c r="CR392" s="9">
        <f>+Risultati!AL391</f>
        <v>0</v>
      </c>
      <c r="CS392" s="31" t="str">
        <f t="shared" si="321"/>
        <v>0</v>
      </c>
      <c r="CT392" s="9">
        <f t="shared" si="322"/>
        <v>0</v>
      </c>
      <c r="CU392" s="31" t="str">
        <f t="shared" si="323"/>
        <v>0</v>
      </c>
      <c r="CV392" s="9">
        <f>+Risultati!AX391</f>
        <v>0</v>
      </c>
      <c r="CW392" s="31" t="str">
        <f t="shared" si="324"/>
        <v>0</v>
      </c>
      <c r="CX392" s="9">
        <f t="shared" si="325"/>
        <v>0</v>
      </c>
      <c r="CY392" s="31" t="str">
        <f t="shared" si="326"/>
        <v>0</v>
      </c>
      <c r="CZ392" s="9">
        <f>+Risultati!AG391</f>
        <v>0</v>
      </c>
      <c r="DA392" s="31" t="str">
        <f t="shared" si="327"/>
        <v>0</v>
      </c>
      <c r="DB392" s="9">
        <f t="shared" si="328"/>
        <v>0</v>
      </c>
      <c r="DC392" s="31" t="str">
        <f t="shared" si="329"/>
        <v>0</v>
      </c>
      <c r="DD392" s="9">
        <f>+Risultati!AV391</f>
        <v>0</v>
      </c>
      <c r="DE392" s="31" t="str">
        <f t="shared" si="330"/>
        <v>0</v>
      </c>
      <c r="DF392" s="9">
        <f>+Risultati!AJ391</f>
        <v>0</v>
      </c>
      <c r="DG392" s="31" t="str">
        <f t="shared" si="331"/>
        <v>0</v>
      </c>
      <c r="DH392" s="9">
        <f t="shared" si="332"/>
        <v>0</v>
      </c>
      <c r="DI392" s="31" t="str">
        <f t="shared" si="333"/>
        <v>0</v>
      </c>
      <c r="DJ392" s="9">
        <f>+Risultati!AW391</f>
        <v>0</v>
      </c>
      <c r="DK392" s="31" t="str">
        <f t="shared" si="334"/>
        <v>0</v>
      </c>
      <c r="DL392" s="10">
        <f t="shared" si="356"/>
        <v>0</v>
      </c>
      <c r="DM392" s="31" t="str">
        <f t="shared" si="335"/>
        <v>0</v>
      </c>
      <c r="DO392" s="30"/>
      <c r="DP392" s="30"/>
    </row>
    <row r="393" spans="1:120" x14ac:dyDescent="0.2">
      <c r="A393" s="5"/>
      <c r="B393" s="6">
        <f>+Risultati!B392</f>
        <v>0</v>
      </c>
      <c r="C393" s="6">
        <f>+Risultati!C392</f>
        <v>0</v>
      </c>
      <c r="D393" s="26" t="str">
        <f>IF(YEAR(Risultati!D392)=1900,(MID(Risultati!$AP$1,29,4)),YEAR(Risultati!D392))</f>
        <v/>
      </c>
      <c r="E393" s="6">
        <f>+Risultati!E392</f>
        <v>0</v>
      </c>
      <c r="F393" s="8" t="e">
        <f>(LEFT(Risultati!AN392,2)&amp;"-")&amp;VLOOKUP((LEFT(Risultati!AN392,2)),ateco!$B$4:$C$93,2,FALSE)</f>
        <v>#N/A</v>
      </c>
      <c r="G393" s="8" t="str">
        <f>SUBSTITUTE((Risultati!AN392&amp;"-"&amp;Risultati!AO392),",",";")</f>
        <v>-</v>
      </c>
      <c r="I393" s="10">
        <f>+Risultati!G392</f>
        <v>0</v>
      </c>
      <c r="J393" s="11" t="str">
        <f t="shared" si="338"/>
        <v>0</v>
      </c>
      <c r="K393" s="12"/>
      <c r="L393" s="10">
        <f>+Risultati!G392+Risultati!H392</f>
        <v>0</v>
      </c>
      <c r="M393" s="11" t="str">
        <f t="shared" si="339"/>
        <v>0</v>
      </c>
      <c r="N393" s="12"/>
      <c r="O393" s="10">
        <f>+Risultati!I392+Risultati!J392</f>
        <v>0</v>
      </c>
      <c r="P393" s="11" t="str">
        <f t="shared" si="340"/>
        <v>0</v>
      </c>
      <c r="Q393" s="12"/>
      <c r="R393" s="13">
        <f t="shared" si="306"/>
        <v>0</v>
      </c>
      <c r="S393" s="11" t="str">
        <f t="shared" si="341"/>
        <v>0</v>
      </c>
      <c r="T393" s="12"/>
      <c r="U393" s="10">
        <f>+Risultati!F392-(Risultati!G392+Risultati!H392)</f>
        <v>0</v>
      </c>
      <c r="V393" s="12" t="str">
        <f t="shared" si="342"/>
        <v>0</v>
      </c>
      <c r="W393" s="12"/>
      <c r="X393" s="10">
        <f t="shared" si="307"/>
        <v>0</v>
      </c>
      <c r="Y393" s="12" t="str">
        <f t="shared" si="343"/>
        <v>0</v>
      </c>
      <c r="Z393" s="12"/>
      <c r="AA393" s="10">
        <f>+Risultati!K392</f>
        <v>0</v>
      </c>
      <c r="AB393" s="12" t="str">
        <f t="shared" si="344"/>
        <v>0</v>
      </c>
      <c r="AC393" s="12"/>
      <c r="AD393" s="10">
        <f>+Risultati!L392</f>
        <v>0</v>
      </c>
      <c r="AE393" s="12" t="str">
        <f t="shared" si="345"/>
        <v>0</v>
      </c>
      <c r="AF393" s="12"/>
      <c r="AG393" s="10">
        <f>+Risultati!M392+Risultati!P392+Risultati!Q392</f>
        <v>0</v>
      </c>
      <c r="AH393" s="12" t="str">
        <f t="shared" si="346"/>
        <v>0</v>
      </c>
      <c r="AI393" s="12"/>
      <c r="AJ393" s="13">
        <f t="shared" si="308"/>
        <v>0</v>
      </c>
      <c r="AK393" s="11" t="str">
        <f t="shared" si="347"/>
        <v>0</v>
      </c>
      <c r="AL393" s="12"/>
      <c r="AM393" s="10">
        <f>+Risultati!N392</f>
        <v>0</v>
      </c>
      <c r="AN393" s="12" t="str">
        <f t="shared" si="348"/>
        <v>0</v>
      </c>
      <c r="AO393" s="12"/>
      <c r="AP393" s="10">
        <f t="shared" si="309"/>
        <v>0</v>
      </c>
      <c r="AQ393" s="41" t="str">
        <f t="shared" si="349"/>
        <v>0</v>
      </c>
      <c r="AR393" s="12"/>
      <c r="AS393" s="10">
        <f>+Risultati!O392</f>
        <v>0</v>
      </c>
      <c r="AT393" s="12" t="str">
        <f t="shared" si="350"/>
        <v>0</v>
      </c>
      <c r="AU393" s="12"/>
      <c r="AV393" s="10">
        <f t="shared" si="310"/>
        <v>0</v>
      </c>
      <c r="AW393" s="12" t="str">
        <f t="shared" si="351"/>
        <v>0</v>
      </c>
      <c r="AX393" s="12"/>
      <c r="AY393" s="10">
        <f>+Risultati!R392+Risultati!S392</f>
        <v>0</v>
      </c>
      <c r="AZ393" s="12" t="str">
        <f t="shared" si="352"/>
        <v>0</v>
      </c>
      <c r="BA393" s="12"/>
      <c r="BB393" s="10">
        <f>+Risultati!T392</f>
        <v>0</v>
      </c>
      <c r="BC393" s="12" t="str">
        <f t="shared" si="353"/>
        <v>0</v>
      </c>
      <c r="BD393" s="12"/>
      <c r="BE393" s="10">
        <f>+Risultati!U392</f>
        <v>0</v>
      </c>
      <c r="BF393" s="12" t="str">
        <f t="shared" si="354"/>
        <v>0</v>
      </c>
      <c r="BG393" s="12"/>
      <c r="BH393" s="10">
        <f t="shared" si="311"/>
        <v>0</v>
      </c>
      <c r="BI393" s="12" t="str">
        <f t="shared" si="355"/>
        <v>0</v>
      </c>
      <c r="BK393" s="16">
        <f>IF(ISNUMBER(Risultati!X392/100),(Risultati!X392/100))</f>
        <v>0</v>
      </c>
      <c r="BL393" s="16">
        <f>IF(ISNUMBER(Risultati!Y392/100),(Risultati!Y392/100))</f>
        <v>0</v>
      </c>
      <c r="BM393" s="16">
        <f>IF(ISNUMBER(Risultati!Z392/100),(Risultati!Z392/100))</f>
        <v>0</v>
      </c>
      <c r="BN393" s="16">
        <f>IF(AND(Risultati!AY392&lt;0,calcoli!AP393&lt;0),-IF(ISNUMBER(Risultati!AA392/100),(Risultati!AA392/100)),IF(ISNUMBER(Risultati!AA392/100),(Risultati!AA392/100)))</f>
        <v>0</v>
      </c>
      <c r="BO393" s="16" t="str">
        <f t="shared" si="336"/>
        <v>0</v>
      </c>
      <c r="BP393" s="16" t="str">
        <f>IF(Risultati!AB392&gt;0,(AV393/Risultati!AB392),"0")</f>
        <v>0</v>
      </c>
      <c r="BQ393" s="16" t="str">
        <f>IF(Risultati!AG392&lt;&gt;0,(BH393/Risultati!AG392),"0")</f>
        <v>0</v>
      </c>
      <c r="BR393" s="16" t="str">
        <f t="shared" si="337"/>
        <v>0</v>
      </c>
      <c r="BS393" s="14" t="str">
        <f>IF(Risultati!AB392&gt;0,(Risultati!G392/Risultati!AB392),"0")</f>
        <v>0</v>
      </c>
      <c r="BT393" s="15" t="str">
        <f>IF(Risultati!AG392&lt;&gt;0,(Risultati!AB392/Risultati!AG392),"0")</f>
        <v>0</v>
      </c>
      <c r="BU393" s="23" t="str">
        <f>IF(AND(Risultati!G392&gt;0,(Risultati!AE392-Risultati!AF392)&gt;=0),((Risultati!AE392-Risultati!AF392)/Risultati!G392*360),"0")</f>
        <v>0</v>
      </c>
      <c r="BV393" s="21" t="str">
        <f>IF(OR(E393="abbreviato",Risultati!G392=0),"0",((Risultati!AC392+Risultati!AD392)/Risultati!G392*360))</f>
        <v>0</v>
      </c>
      <c r="BW393" s="21" t="str">
        <f>IF(OR(E393="abbreviato",Risultati!G392=0,SUM(Risultati!I392+Risultati!K392+Risultati!M392)=0),"0",(((Risultati!AH392+Risultati!AI392)/(Risultati!I392+Risultati!K392+Risultati!N392)*360)))</f>
        <v>0</v>
      </c>
      <c r="BX393" s="16" t="str">
        <f>IF(Risultati!AB392&gt;0,(+Risultati!AG392/Risultati!AB392),"0")</f>
        <v>0</v>
      </c>
      <c r="BY393" s="22" t="str">
        <f>IF(OR(E393="abbreviato",Risultati!G392=0),"0",(((Risultati!AK392-(Risultati!AL392+Risultati!AM392))/Risultati!G392)))</f>
        <v>0</v>
      </c>
      <c r="BZ393" s="16" t="str">
        <f>IF(Risultati!G392&gt;0,(Risultati!AJ392/Risultati!G392),"0")</f>
        <v>0</v>
      </c>
      <c r="CA393" s="8"/>
      <c r="CB393" s="9">
        <f>+Risultati!AP392</f>
        <v>0</v>
      </c>
      <c r="CC393" s="31" t="str">
        <f t="shared" si="312"/>
        <v>0</v>
      </c>
      <c r="CD393" s="9">
        <f>+Risultati!AQ392</f>
        <v>0</v>
      </c>
      <c r="CE393" s="31" t="str">
        <f t="shared" si="313"/>
        <v>0</v>
      </c>
      <c r="CF393" s="9">
        <f>+Risultati!AR392</f>
        <v>0</v>
      </c>
      <c r="CG393" s="31" t="str">
        <f t="shared" si="314"/>
        <v>0</v>
      </c>
      <c r="CH393" s="9">
        <f>+Risultati!AS392</f>
        <v>0</v>
      </c>
      <c r="CI393" s="31" t="str">
        <f t="shared" si="315"/>
        <v>0</v>
      </c>
      <c r="CJ393" s="9">
        <f t="shared" si="316"/>
        <v>0</v>
      </c>
      <c r="CK393" s="31" t="str">
        <f t="shared" si="317"/>
        <v>0</v>
      </c>
      <c r="CL393" s="10">
        <f>+Risultati!AE392+Risultati!AF392</f>
        <v>0</v>
      </c>
      <c r="CM393" s="31" t="str">
        <f t="shared" si="318"/>
        <v>0</v>
      </c>
      <c r="CN393" s="9">
        <f>+Risultati!AT392</f>
        <v>0</v>
      </c>
      <c r="CO393" s="31" t="str">
        <f t="shared" si="319"/>
        <v>0</v>
      </c>
      <c r="CP393" s="9">
        <f>+Risultati!AU392</f>
        <v>0</v>
      </c>
      <c r="CQ393" s="31" t="str">
        <f t="shared" si="320"/>
        <v>0</v>
      </c>
      <c r="CR393" s="9">
        <f>+Risultati!AL392</f>
        <v>0</v>
      </c>
      <c r="CS393" s="31" t="str">
        <f t="shared" si="321"/>
        <v>0</v>
      </c>
      <c r="CT393" s="9">
        <f t="shared" si="322"/>
        <v>0</v>
      </c>
      <c r="CU393" s="31" t="str">
        <f t="shared" si="323"/>
        <v>0</v>
      </c>
      <c r="CV393" s="9">
        <f>+Risultati!AX392</f>
        <v>0</v>
      </c>
      <c r="CW393" s="31" t="str">
        <f t="shared" si="324"/>
        <v>0</v>
      </c>
      <c r="CX393" s="9">
        <f t="shared" si="325"/>
        <v>0</v>
      </c>
      <c r="CY393" s="31" t="str">
        <f t="shared" si="326"/>
        <v>0</v>
      </c>
      <c r="CZ393" s="9">
        <f>+Risultati!AG392</f>
        <v>0</v>
      </c>
      <c r="DA393" s="31" t="str">
        <f t="shared" si="327"/>
        <v>0</v>
      </c>
      <c r="DB393" s="9">
        <f t="shared" si="328"/>
        <v>0</v>
      </c>
      <c r="DC393" s="31" t="str">
        <f t="shared" si="329"/>
        <v>0</v>
      </c>
      <c r="DD393" s="9">
        <f>+Risultati!AV392</f>
        <v>0</v>
      </c>
      <c r="DE393" s="31" t="str">
        <f t="shared" si="330"/>
        <v>0</v>
      </c>
      <c r="DF393" s="9">
        <f>+Risultati!AJ392</f>
        <v>0</v>
      </c>
      <c r="DG393" s="31" t="str">
        <f t="shared" si="331"/>
        <v>0</v>
      </c>
      <c r="DH393" s="9">
        <f t="shared" si="332"/>
        <v>0</v>
      </c>
      <c r="DI393" s="31" t="str">
        <f t="shared" si="333"/>
        <v>0</v>
      </c>
      <c r="DJ393" s="9">
        <f>+Risultati!AW392</f>
        <v>0</v>
      </c>
      <c r="DK393" s="31" t="str">
        <f t="shared" si="334"/>
        <v>0</v>
      </c>
      <c r="DL393" s="10">
        <f t="shared" si="356"/>
        <v>0</v>
      </c>
      <c r="DM393" s="31" t="str">
        <f t="shared" si="335"/>
        <v>0</v>
      </c>
      <c r="DO393" s="30"/>
      <c r="DP393" s="30"/>
    </row>
    <row r="394" spans="1:120" x14ac:dyDescent="0.2">
      <c r="A394" s="5"/>
      <c r="B394" s="6">
        <f>+Risultati!B393</f>
        <v>0</v>
      </c>
      <c r="C394" s="6">
        <f>+Risultati!C393</f>
        <v>0</v>
      </c>
      <c r="D394" s="26" t="str">
        <f>IF(YEAR(Risultati!D393)=1900,(MID(Risultati!$AP$1,29,4)),YEAR(Risultati!D393))</f>
        <v/>
      </c>
      <c r="E394" s="6">
        <f>+Risultati!E393</f>
        <v>0</v>
      </c>
      <c r="F394" s="8" t="e">
        <f>(LEFT(Risultati!AN393,2)&amp;"-")&amp;VLOOKUP((LEFT(Risultati!AN393,2)),ateco!$B$4:$C$93,2,FALSE)</f>
        <v>#N/A</v>
      </c>
      <c r="G394" s="8" t="str">
        <f>SUBSTITUTE((Risultati!AN393&amp;"-"&amp;Risultati!AO393),",",";")</f>
        <v>-</v>
      </c>
      <c r="I394" s="10">
        <f>+Risultati!G393</f>
        <v>0</v>
      </c>
      <c r="J394" s="11" t="str">
        <f t="shared" si="338"/>
        <v>0</v>
      </c>
      <c r="K394" s="12"/>
      <c r="L394" s="10">
        <f>+Risultati!G393+Risultati!H393</f>
        <v>0</v>
      </c>
      <c r="M394" s="11" t="str">
        <f t="shared" si="339"/>
        <v>0</v>
      </c>
      <c r="N394" s="12"/>
      <c r="O394" s="10">
        <f>+Risultati!I393+Risultati!J393</f>
        <v>0</v>
      </c>
      <c r="P394" s="11" t="str">
        <f t="shared" si="340"/>
        <v>0</v>
      </c>
      <c r="Q394" s="12"/>
      <c r="R394" s="13">
        <f t="shared" si="306"/>
        <v>0</v>
      </c>
      <c r="S394" s="11" t="str">
        <f t="shared" si="341"/>
        <v>0</v>
      </c>
      <c r="T394" s="12"/>
      <c r="U394" s="10">
        <f>+Risultati!F393-(Risultati!G393+Risultati!H393)</f>
        <v>0</v>
      </c>
      <c r="V394" s="12" t="str">
        <f t="shared" si="342"/>
        <v>0</v>
      </c>
      <c r="W394" s="12"/>
      <c r="X394" s="10">
        <f t="shared" si="307"/>
        <v>0</v>
      </c>
      <c r="Y394" s="12" t="str">
        <f t="shared" si="343"/>
        <v>0</v>
      </c>
      <c r="Z394" s="12"/>
      <c r="AA394" s="10">
        <f>+Risultati!K393</f>
        <v>0</v>
      </c>
      <c r="AB394" s="12" t="str">
        <f t="shared" si="344"/>
        <v>0</v>
      </c>
      <c r="AC394" s="12"/>
      <c r="AD394" s="10">
        <f>+Risultati!L393</f>
        <v>0</v>
      </c>
      <c r="AE394" s="12" t="str">
        <f t="shared" si="345"/>
        <v>0</v>
      </c>
      <c r="AF394" s="12"/>
      <c r="AG394" s="10">
        <f>+Risultati!M393+Risultati!P393+Risultati!Q393</f>
        <v>0</v>
      </c>
      <c r="AH394" s="12" t="str">
        <f t="shared" si="346"/>
        <v>0</v>
      </c>
      <c r="AI394" s="12"/>
      <c r="AJ394" s="13">
        <f t="shared" si="308"/>
        <v>0</v>
      </c>
      <c r="AK394" s="11" t="str">
        <f t="shared" si="347"/>
        <v>0</v>
      </c>
      <c r="AL394" s="12"/>
      <c r="AM394" s="10">
        <f>+Risultati!N393</f>
        <v>0</v>
      </c>
      <c r="AN394" s="12" t="str">
        <f t="shared" si="348"/>
        <v>0</v>
      </c>
      <c r="AO394" s="12"/>
      <c r="AP394" s="10">
        <f t="shared" si="309"/>
        <v>0</v>
      </c>
      <c r="AQ394" s="41" t="str">
        <f t="shared" si="349"/>
        <v>0</v>
      </c>
      <c r="AR394" s="12"/>
      <c r="AS394" s="10">
        <f>+Risultati!O393</f>
        <v>0</v>
      </c>
      <c r="AT394" s="12" t="str">
        <f t="shared" si="350"/>
        <v>0</v>
      </c>
      <c r="AU394" s="12"/>
      <c r="AV394" s="10">
        <f t="shared" si="310"/>
        <v>0</v>
      </c>
      <c r="AW394" s="12" t="str">
        <f t="shared" si="351"/>
        <v>0</v>
      </c>
      <c r="AX394" s="12"/>
      <c r="AY394" s="10">
        <f>+Risultati!R393+Risultati!S393</f>
        <v>0</v>
      </c>
      <c r="AZ394" s="12" t="str">
        <f t="shared" si="352"/>
        <v>0</v>
      </c>
      <c r="BA394" s="12"/>
      <c r="BB394" s="10">
        <f>+Risultati!T393</f>
        <v>0</v>
      </c>
      <c r="BC394" s="12" t="str">
        <f t="shared" si="353"/>
        <v>0</v>
      </c>
      <c r="BD394" s="12"/>
      <c r="BE394" s="10">
        <f>+Risultati!U393</f>
        <v>0</v>
      </c>
      <c r="BF394" s="12" t="str">
        <f t="shared" si="354"/>
        <v>0</v>
      </c>
      <c r="BG394" s="12"/>
      <c r="BH394" s="10">
        <f t="shared" si="311"/>
        <v>0</v>
      </c>
      <c r="BI394" s="12" t="str">
        <f t="shared" si="355"/>
        <v>0</v>
      </c>
      <c r="BK394" s="16">
        <f>IF(ISNUMBER(Risultati!X393/100),(Risultati!X393/100))</f>
        <v>0</v>
      </c>
      <c r="BL394" s="16">
        <f>IF(ISNUMBER(Risultati!Y393/100),(Risultati!Y393/100))</f>
        <v>0</v>
      </c>
      <c r="BM394" s="16">
        <f>IF(ISNUMBER(Risultati!Z393/100),(Risultati!Z393/100))</f>
        <v>0</v>
      </c>
      <c r="BN394" s="16">
        <f>IF(AND(Risultati!AY393&lt;0,calcoli!AP394&lt;0),-IF(ISNUMBER(Risultati!AA393/100),(Risultati!AA393/100)),IF(ISNUMBER(Risultati!AA393/100),(Risultati!AA393/100)))</f>
        <v>0</v>
      </c>
      <c r="BO394" s="16" t="str">
        <f t="shared" si="336"/>
        <v>0</v>
      </c>
      <c r="BP394" s="16" t="str">
        <f>IF(Risultati!AB393&gt;0,(AV394/Risultati!AB393),"0")</f>
        <v>0</v>
      </c>
      <c r="BQ394" s="16" t="str">
        <f>IF(Risultati!AG393&lt;&gt;0,(BH394/Risultati!AG393),"0")</f>
        <v>0</v>
      </c>
      <c r="BR394" s="16" t="str">
        <f t="shared" si="337"/>
        <v>0</v>
      </c>
      <c r="BS394" s="14" t="str">
        <f>IF(Risultati!AB393&gt;0,(Risultati!G393/Risultati!AB393),"0")</f>
        <v>0</v>
      </c>
      <c r="BT394" s="15" t="str">
        <f>IF(Risultati!AG393&lt;&gt;0,(Risultati!AB393/Risultati!AG393),"0")</f>
        <v>0</v>
      </c>
      <c r="BU394" s="23" t="str">
        <f>IF(AND(Risultati!G393&gt;0,(Risultati!AE393-Risultati!AF393)&gt;=0),((Risultati!AE393-Risultati!AF393)/Risultati!G393*360),"0")</f>
        <v>0</v>
      </c>
      <c r="BV394" s="21" t="str">
        <f>IF(OR(E394="abbreviato",Risultati!G393=0),"0",((Risultati!AC393+Risultati!AD393)/Risultati!G393*360))</f>
        <v>0</v>
      </c>
      <c r="BW394" s="21" t="str">
        <f>IF(OR(E394="abbreviato",Risultati!G393=0,SUM(Risultati!I393+Risultati!K393+Risultati!M393)=0),"0",(((Risultati!AH393+Risultati!AI393)/(Risultati!I393+Risultati!K393+Risultati!N393)*360)))</f>
        <v>0</v>
      </c>
      <c r="BX394" s="16" t="str">
        <f>IF(Risultati!AB393&gt;0,(+Risultati!AG393/Risultati!AB393),"0")</f>
        <v>0</v>
      </c>
      <c r="BY394" s="22" t="str">
        <f>IF(OR(E394="abbreviato",Risultati!G393=0),"0",(((Risultati!AK393-(Risultati!AL393+Risultati!AM393))/Risultati!G393)))</f>
        <v>0</v>
      </c>
      <c r="BZ394" s="16" t="str">
        <f>IF(Risultati!G393&gt;0,(Risultati!AJ393/Risultati!G393),"0")</f>
        <v>0</v>
      </c>
      <c r="CA394" s="8"/>
      <c r="CB394" s="9">
        <f>+Risultati!AP393</f>
        <v>0</v>
      </c>
      <c r="CC394" s="31" t="str">
        <f t="shared" si="312"/>
        <v>0</v>
      </c>
      <c r="CD394" s="9">
        <f>+Risultati!AQ393</f>
        <v>0</v>
      </c>
      <c r="CE394" s="31" t="str">
        <f t="shared" si="313"/>
        <v>0</v>
      </c>
      <c r="CF394" s="9">
        <f>+Risultati!AR393</f>
        <v>0</v>
      </c>
      <c r="CG394" s="31" t="str">
        <f t="shared" si="314"/>
        <v>0</v>
      </c>
      <c r="CH394" s="9">
        <f>+Risultati!AS393</f>
        <v>0</v>
      </c>
      <c r="CI394" s="31" t="str">
        <f t="shared" si="315"/>
        <v>0</v>
      </c>
      <c r="CJ394" s="9">
        <f t="shared" si="316"/>
        <v>0</v>
      </c>
      <c r="CK394" s="31" t="str">
        <f t="shared" si="317"/>
        <v>0</v>
      </c>
      <c r="CL394" s="10">
        <f>+Risultati!AE393+Risultati!AF393</f>
        <v>0</v>
      </c>
      <c r="CM394" s="31" t="str">
        <f t="shared" si="318"/>
        <v>0</v>
      </c>
      <c r="CN394" s="9">
        <f>+Risultati!AT393</f>
        <v>0</v>
      </c>
      <c r="CO394" s="31" t="str">
        <f t="shared" si="319"/>
        <v>0</v>
      </c>
      <c r="CP394" s="9">
        <f>+Risultati!AU393</f>
        <v>0</v>
      </c>
      <c r="CQ394" s="31" t="str">
        <f t="shared" si="320"/>
        <v>0</v>
      </c>
      <c r="CR394" s="9">
        <f>+Risultati!AL393</f>
        <v>0</v>
      </c>
      <c r="CS394" s="31" t="str">
        <f t="shared" si="321"/>
        <v>0</v>
      </c>
      <c r="CT394" s="9">
        <f t="shared" si="322"/>
        <v>0</v>
      </c>
      <c r="CU394" s="31" t="str">
        <f t="shared" si="323"/>
        <v>0</v>
      </c>
      <c r="CV394" s="9">
        <f>+Risultati!AX393</f>
        <v>0</v>
      </c>
      <c r="CW394" s="31" t="str">
        <f t="shared" si="324"/>
        <v>0</v>
      </c>
      <c r="CX394" s="9">
        <f t="shared" si="325"/>
        <v>0</v>
      </c>
      <c r="CY394" s="31" t="str">
        <f t="shared" si="326"/>
        <v>0</v>
      </c>
      <c r="CZ394" s="9">
        <f>+Risultati!AG393</f>
        <v>0</v>
      </c>
      <c r="DA394" s="31" t="str">
        <f t="shared" si="327"/>
        <v>0</v>
      </c>
      <c r="DB394" s="9">
        <f t="shared" si="328"/>
        <v>0</v>
      </c>
      <c r="DC394" s="31" t="str">
        <f t="shared" si="329"/>
        <v>0</v>
      </c>
      <c r="DD394" s="9">
        <f>+Risultati!AV393</f>
        <v>0</v>
      </c>
      <c r="DE394" s="31" t="str">
        <f t="shared" si="330"/>
        <v>0</v>
      </c>
      <c r="DF394" s="9">
        <f>+Risultati!AJ393</f>
        <v>0</v>
      </c>
      <c r="DG394" s="31" t="str">
        <f t="shared" si="331"/>
        <v>0</v>
      </c>
      <c r="DH394" s="9">
        <f t="shared" si="332"/>
        <v>0</v>
      </c>
      <c r="DI394" s="31" t="str">
        <f t="shared" si="333"/>
        <v>0</v>
      </c>
      <c r="DJ394" s="9">
        <f>+Risultati!AW393</f>
        <v>0</v>
      </c>
      <c r="DK394" s="31" t="str">
        <f t="shared" si="334"/>
        <v>0</v>
      </c>
      <c r="DL394" s="10">
        <f t="shared" si="356"/>
        <v>0</v>
      </c>
      <c r="DM394" s="31" t="str">
        <f t="shared" si="335"/>
        <v>0</v>
      </c>
      <c r="DO394" s="30"/>
      <c r="DP394" s="30"/>
    </row>
    <row r="395" spans="1:120" x14ac:dyDescent="0.2">
      <c r="A395" s="5"/>
      <c r="B395" s="6">
        <f>+Risultati!B394</f>
        <v>0</v>
      </c>
      <c r="C395" s="6">
        <f>+Risultati!C394</f>
        <v>0</v>
      </c>
      <c r="D395" s="26" t="str">
        <f>IF(YEAR(Risultati!D394)=1900,(MID(Risultati!$AP$1,29,4)),YEAR(Risultati!D394))</f>
        <v/>
      </c>
      <c r="E395" s="6">
        <f>+Risultati!E394</f>
        <v>0</v>
      </c>
      <c r="F395" s="8" t="e">
        <f>(LEFT(Risultati!AN394,2)&amp;"-")&amp;VLOOKUP((LEFT(Risultati!AN394,2)),ateco!$B$4:$C$93,2,FALSE)</f>
        <v>#N/A</v>
      </c>
      <c r="G395" s="8" t="str">
        <f>SUBSTITUTE((Risultati!AN394&amp;"-"&amp;Risultati!AO394),",",";")</f>
        <v>-</v>
      </c>
      <c r="I395" s="10">
        <f>+Risultati!G394</f>
        <v>0</v>
      </c>
      <c r="J395" s="11" t="str">
        <f t="shared" si="338"/>
        <v>0</v>
      </c>
      <c r="K395" s="12"/>
      <c r="L395" s="10">
        <f>+Risultati!G394+Risultati!H394</f>
        <v>0</v>
      </c>
      <c r="M395" s="11" t="str">
        <f t="shared" si="339"/>
        <v>0</v>
      </c>
      <c r="N395" s="12"/>
      <c r="O395" s="10">
        <f>+Risultati!I394+Risultati!J394</f>
        <v>0</v>
      </c>
      <c r="P395" s="11" t="str">
        <f t="shared" si="340"/>
        <v>0</v>
      </c>
      <c r="Q395" s="12"/>
      <c r="R395" s="13">
        <f t="shared" si="306"/>
        <v>0</v>
      </c>
      <c r="S395" s="11" t="str">
        <f t="shared" si="341"/>
        <v>0</v>
      </c>
      <c r="T395" s="12"/>
      <c r="U395" s="10">
        <f>+Risultati!F394-(Risultati!G394+Risultati!H394)</f>
        <v>0</v>
      </c>
      <c r="V395" s="12" t="str">
        <f t="shared" si="342"/>
        <v>0</v>
      </c>
      <c r="W395" s="12"/>
      <c r="X395" s="10">
        <f t="shared" si="307"/>
        <v>0</v>
      </c>
      <c r="Y395" s="12" t="str">
        <f t="shared" si="343"/>
        <v>0</v>
      </c>
      <c r="Z395" s="12"/>
      <c r="AA395" s="10">
        <f>+Risultati!K394</f>
        <v>0</v>
      </c>
      <c r="AB395" s="12" t="str">
        <f t="shared" si="344"/>
        <v>0</v>
      </c>
      <c r="AC395" s="12"/>
      <c r="AD395" s="10">
        <f>+Risultati!L394</f>
        <v>0</v>
      </c>
      <c r="AE395" s="12" t="str">
        <f t="shared" si="345"/>
        <v>0</v>
      </c>
      <c r="AF395" s="12"/>
      <c r="AG395" s="10">
        <f>+Risultati!M394+Risultati!P394+Risultati!Q394</f>
        <v>0</v>
      </c>
      <c r="AH395" s="12" t="str">
        <f t="shared" si="346"/>
        <v>0</v>
      </c>
      <c r="AI395" s="12"/>
      <c r="AJ395" s="13">
        <f t="shared" si="308"/>
        <v>0</v>
      </c>
      <c r="AK395" s="11" t="str">
        <f t="shared" si="347"/>
        <v>0</v>
      </c>
      <c r="AL395" s="12"/>
      <c r="AM395" s="10">
        <f>+Risultati!N394</f>
        <v>0</v>
      </c>
      <c r="AN395" s="12" t="str">
        <f t="shared" si="348"/>
        <v>0</v>
      </c>
      <c r="AO395" s="12"/>
      <c r="AP395" s="10">
        <f t="shared" si="309"/>
        <v>0</v>
      </c>
      <c r="AQ395" s="41" t="str">
        <f t="shared" si="349"/>
        <v>0</v>
      </c>
      <c r="AR395" s="12"/>
      <c r="AS395" s="10">
        <f>+Risultati!O394</f>
        <v>0</v>
      </c>
      <c r="AT395" s="12" t="str">
        <f t="shared" si="350"/>
        <v>0</v>
      </c>
      <c r="AU395" s="12"/>
      <c r="AV395" s="10">
        <f t="shared" si="310"/>
        <v>0</v>
      </c>
      <c r="AW395" s="12" t="str">
        <f t="shared" si="351"/>
        <v>0</v>
      </c>
      <c r="AX395" s="12"/>
      <c r="AY395" s="10">
        <f>+Risultati!R394+Risultati!S394</f>
        <v>0</v>
      </c>
      <c r="AZ395" s="12" t="str">
        <f t="shared" si="352"/>
        <v>0</v>
      </c>
      <c r="BA395" s="12"/>
      <c r="BB395" s="10">
        <f>+Risultati!T394</f>
        <v>0</v>
      </c>
      <c r="BC395" s="12" t="str">
        <f t="shared" si="353"/>
        <v>0</v>
      </c>
      <c r="BD395" s="12"/>
      <c r="BE395" s="10">
        <f>+Risultati!U394</f>
        <v>0</v>
      </c>
      <c r="BF395" s="12" t="str">
        <f t="shared" si="354"/>
        <v>0</v>
      </c>
      <c r="BG395" s="12"/>
      <c r="BH395" s="10">
        <f t="shared" si="311"/>
        <v>0</v>
      </c>
      <c r="BI395" s="12" t="str">
        <f t="shared" si="355"/>
        <v>0</v>
      </c>
      <c r="BK395" s="16">
        <f>IF(ISNUMBER(Risultati!X394/100),(Risultati!X394/100))</f>
        <v>0</v>
      </c>
      <c r="BL395" s="16">
        <f>IF(ISNUMBER(Risultati!Y394/100),(Risultati!Y394/100))</f>
        <v>0</v>
      </c>
      <c r="BM395" s="16">
        <f>IF(ISNUMBER(Risultati!Z394/100),(Risultati!Z394/100))</f>
        <v>0</v>
      </c>
      <c r="BN395" s="16">
        <f>IF(AND(Risultati!AY394&lt;0,calcoli!AP395&lt;0),-IF(ISNUMBER(Risultati!AA394/100),(Risultati!AA394/100)),IF(ISNUMBER(Risultati!AA394/100),(Risultati!AA394/100)))</f>
        <v>0</v>
      </c>
      <c r="BO395" s="16" t="str">
        <f t="shared" si="336"/>
        <v>0</v>
      </c>
      <c r="BP395" s="16" t="str">
        <f>IF(Risultati!AB394&gt;0,(AV395/Risultati!AB394),"0")</f>
        <v>0</v>
      </c>
      <c r="BQ395" s="16" t="str">
        <f>IF(Risultati!AG394&lt;&gt;0,(BH395/Risultati!AG394),"0")</f>
        <v>0</v>
      </c>
      <c r="BR395" s="16" t="str">
        <f t="shared" si="337"/>
        <v>0</v>
      </c>
      <c r="BS395" s="14" t="str">
        <f>IF(Risultati!AB394&gt;0,(Risultati!G394/Risultati!AB394),"0")</f>
        <v>0</v>
      </c>
      <c r="BT395" s="15" t="str">
        <f>IF(Risultati!AG394&lt;&gt;0,(Risultati!AB394/Risultati!AG394),"0")</f>
        <v>0</v>
      </c>
      <c r="BU395" s="23" t="str">
        <f>IF(AND(Risultati!G394&gt;0,(Risultati!AE394-Risultati!AF394)&gt;=0),((Risultati!AE394-Risultati!AF394)/Risultati!G394*360),"0")</f>
        <v>0</v>
      </c>
      <c r="BV395" s="21" t="str">
        <f>IF(OR(E395="abbreviato",Risultati!G394=0),"0",((Risultati!AC394+Risultati!AD394)/Risultati!G394*360))</f>
        <v>0</v>
      </c>
      <c r="BW395" s="21" t="str">
        <f>IF(OR(E395="abbreviato",Risultati!G394=0,SUM(Risultati!I394+Risultati!K394+Risultati!M394)=0),"0",(((Risultati!AH394+Risultati!AI394)/(Risultati!I394+Risultati!K394+Risultati!N394)*360)))</f>
        <v>0</v>
      </c>
      <c r="BX395" s="16" t="str">
        <f>IF(Risultati!AB394&gt;0,(+Risultati!AG394/Risultati!AB394),"0")</f>
        <v>0</v>
      </c>
      <c r="BY395" s="22" t="str">
        <f>IF(OR(E395="abbreviato",Risultati!G394=0),"0",(((Risultati!AK394-(Risultati!AL394+Risultati!AM394))/Risultati!G394)))</f>
        <v>0</v>
      </c>
      <c r="BZ395" s="16" t="str">
        <f>IF(Risultati!G394&gt;0,(Risultati!AJ394/Risultati!G394),"0")</f>
        <v>0</v>
      </c>
      <c r="CA395" s="8"/>
      <c r="CB395" s="9">
        <f>+Risultati!AP394</f>
        <v>0</v>
      </c>
      <c r="CC395" s="31" t="str">
        <f t="shared" si="312"/>
        <v>0</v>
      </c>
      <c r="CD395" s="9">
        <f>+Risultati!AQ394</f>
        <v>0</v>
      </c>
      <c r="CE395" s="31" t="str">
        <f t="shared" si="313"/>
        <v>0</v>
      </c>
      <c r="CF395" s="9">
        <f>+Risultati!AR394</f>
        <v>0</v>
      </c>
      <c r="CG395" s="31" t="str">
        <f t="shared" si="314"/>
        <v>0</v>
      </c>
      <c r="CH395" s="9">
        <f>+Risultati!AS394</f>
        <v>0</v>
      </c>
      <c r="CI395" s="31" t="str">
        <f t="shared" si="315"/>
        <v>0</v>
      </c>
      <c r="CJ395" s="9">
        <f t="shared" si="316"/>
        <v>0</v>
      </c>
      <c r="CK395" s="31" t="str">
        <f t="shared" si="317"/>
        <v>0</v>
      </c>
      <c r="CL395" s="10">
        <f>+Risultati!AE394+Risultati!AF394</f>
        <v>0</v>
      </c>
      <c r="CM395" s="31" t="str">
        <f t="shared" si="318"/>
        <v>0</v>
      </c>
      <c r="CN395" s="9">
        <f>+Risultati!AT394</f>
        <v>0</v>
      </c>
      <c r="CO395" s="31" t="str">
        <f t="shared" si="319"/>
        <v>0</v>
      </c>
      <c r="CP395" s="9">
        <f>+Risultati!AU394</f>
        <v>0</v>
      </c>
      <c r="CQ395" s="31" t="str">
        <f t="shared" si="320"/>
        <v>0</v>
      </c>
      <c r="CR395" s="9">
        <f>+Risultati!AL394</f>
        <v>0</v>
      </c>
      <c r="CS395" s="31" t="str">
        <f t="shared" si="321"/>
        <v>0</v>
      </c>
      <c r="CT395" s="9">
        <f t="shared" si="322"/>
        <v>0</v>
      </c>
      <c r="CU395" s="31" t="str">
        <f t="shared" si="323"/>
        <v>0</v>
      </c>
      <c r="CV395" s="9">
        <f>+Risultati!AX394</f>
        <v>0</v>
      </c>
      <c r="CW395" s="31" t="str">
        <f t="shared" si="324"/>
        <v>0</v>
      </c>
      <c r="CX395" s="9">
        <f t="shared" si="325"/>
        <v>0</v>
      </c>
      <c r="CY395" s="31" t="str">
        <f t="shared" si="326"/>
        <v>0</v>
      </c>
      <c r="CZ395" s="9">
        <f>+Risultati!AG394</f>
        <v>0</v>
      </c>
      <c r="DA395" s="31" t="str">
        <f t="shared" si="327"/>
        <v>0</v>
      </c>
      <c r="DB395" s="9">
        <f t="shared" si="328"/>
        <v>0</v>
      </c>
      <c r="DC395" s="31" t="str">
        <f t="shared" si="329"/>
        <v>0</v>
      </c>
      <c r="DD395" s="9">
        <f>+Risultati!AV394</f>
        <v>0</v>
      </c>
      <c r="DE395" s="31" t="str">
        <f t="shared" si="330"/>
        <v>0</v>
      </c>
      <c r="DF395" s="9">
        <f>+Risultati!AJ394</f>
        <v>0</v>
      </c>
      <c r="DG395" s="31" t="str">
        <f t="shared" si="331"/>
        <v>0</v>
      </c>
      <c r="DH395" s="9">
        <f t="shared" si="332"/>
        <v>0</v>
      </c>
      <c r="DI395" s="31" t="str">
        <f t="shared" si="333"/>
        <v>0</v>
      </c>
      <c r="DJ395" s="9">
        <f>+Risultati!AW394</f>
        <v>0</v>
      </c>
      <c r="DK395" s="31" t="str">
        <f t="shared" si="334"/>
        <v>0</v>
      </c>
      <c r="DL395" s="10">
        <f t="shared" si="356"/>
        <v>0</v>
      </c>
      <c r="DM395" s="31" t="str">
        <f t="shared" si="335"/>
        <v>0</v>
      </c>
      <c r="DO395" s="30"/>
      <c r="DP395" s="30"/>
    </row>
    <row r="396" spans="1:120" x14ac:dyDescent="0.2">
      <c r="A396" s="5"/>
      <c r="B396" s="6">
        <f>+Risultati!B395</f>
        <v>0</v>
      </c>
      <c r="C396" s="6">
        <f>+Risultati!C395</f>
        <v>0</v>
      </c>
      <c r="D396" s="26" t="str">
        <f>IF(YEAR(Risultati!D395)=1900,(MID(Risultati!$AP$1,29,4)),YEAR(Risultati!D395))</f>
        <v/>
      </c>
      <c r="E396" s="6">
        <f>+Risultati!E395</f>
        <v>0</v>
      </c>
      <c r="F396" s="8" t="e">
        <f>(LEFT(Risultati!AN395,2)&amp;"-")&amp;VLOOKUP((LEFT(Risultati!AN395,2)),ateco!$B$4:$C$93,2,FALSE)</f>
        <v>#N/A</v>
      </c>
      <c r="G396" s="8" t="str">
        <f>SUBSTITUTE((Risultati!AN395&amp;"-"&amp;Risultati!AO395),",",";")</f>
        <v>-</v>
      </c>
      <c r="I396" s="10">
        <f>+Risultati!G395</f>
        <v>0</v>
      </c>
      <c r="J396" s="11" t="str">
        <f t="shared" si="338"/>
        <v>0</v>
      </c>
      <c r="K396" s="12"/>
      <c r="L396" s="10">
        <f>+Risultati!G395+Risultati!H395</f>
        <v>0</v>
      </c>
      <c r="M396" s="11" t="str">
        <f t="shared" si="339"/>
        <v>0</v>
      </c>
      <c r="N396" s="12"/>
      <c r="O396" s="10">
        <f>+Risultati!I395+Risultati!J395</f>
        <v>0</v>
      </c>
      <c r="P396" s="11" t="str">
        <f t="shared" si="340"/>
        <v>0</v>
      </c>
      <c r="Q396" s="12"/>
      <c r="R396" s="13">
        <f t="shared" si="306"/>
        <v>0</v>
      </c>
      <c r="S396" s="11" t="str">
        <f t="shared" si="341"/>
        <v>0</v>
      </c>
      <c r="T396" s="12"/>
      <c r="U396" s="10">
        <f>+Risultati!F395-(Risultati!G395+Risultati!H395)</f>
        <v>0</v>
      </c>
      <c r="V396" s="12" t="str">
        <f t="shared" si="342"/>
        <v>0</v>
      </c>
      <c r="W396" s="12"/>
      <c r="X396" s="10">
        <f t="shared" si="307"/>
        <v>0</v>
      </c>
      <c r="Y396" s="12" t="str">
        <f t="shared" si="343"/>
        <v>0</v>
      </c>
      <c r="Z396" s="12"/>
      <c r="AA396" s="10">
        <f>+Risultati!K395</f>
        <v>0</v>
      </c>
      <c r="AB396" s="12" t="str">
        <f t="shared" si="344"/>
        <v>0</v>
      </c>
      <c r="AC396" s="12"/>
      <c r="AD396" s="10">
        <f>+Risultati!L395</f>
        <v>0</v>
      </c>
      <c r="AE396" s="12" t="str">
        <f t="shared" si="345"/>
        <v>0</v>
      </c>
      <c r="AF396" s="12"/>
      <c r="AG396" s="10">
        <f>+Risultati!M395+Risultati!P395+Risultati!Q395</f>
        <v>0</v>
      </c>
      <c r="AH396" s="12" t="str">
        <f t="shared" si="346"/>
        <v>0</v>
      </c>
      <c r="AI396" s="12"/>
      <c r="AJ396" s="13">
        <f t="shared" si="308"/>
        <v>0</v>
      </c>
      <c r="AK396" s="11" t="str">
        <f t="shared" si="347"/>
        <v>0</v>
      </c>
      <c r="AL396" s="12"/>
      <c r="AM396" s="10">
        <f>+Risultati!N395</f>
        <v>0</v>
      </c>
      <c r="AN396" s="12" t="str">
        <f t="shared" si="348"/>
        <v>0</v>
      </c>
      <c r="AO396" s="12"/>
      <c r="AP396" s="10">
        <f t="shared" si="309"/>
        <v>0</v>
      </c>
      <c r="AQ396" s="41" t="str">
        <f t="shared" si="349"/>
        <v>0</v>
      </c>
      <c r="AR396" s="12"/>
      <c r="AS396" s="10">
        <f>+Risultati!O395</f>
        <v>0</v>
      </c>
      <c r="AT396" s="12" t="str">
        <f t="shared" si="350"/>
        <v>0</v>
      </c>
      <c r="AU396" s="12"/>
      <c r="AV396" s="10">
        <f t="shared" si="310"/>
        <v>0</v>
      </c>
      <c r="AW396" s="12" t="str">
        <f t="shared" si="351"/>
        <v>0</v>
      </c>
      <c r="AX396" s="12"/>
      <c r="AY396" s="10">
        <f>+Risultati!R395+Risultati!S395</f>
        <v>0</v>
      </c>
      <c r="AZ396" s="12" t="str">
        <f t="shared" si="352"/>
        <v>0</v>
      </c>
      <c r="BA396" s="12"/>
      <c r="BB396" s="10">
        <f>+Risultati!T395</f>
        <v>0</v>
      </c>
      <c r="BC396" s="12" t="str">
        <f t="shared" si="353"/>
        <v>0</v>
      </c>
      <c r="BD396" s="12"/>
      <c r="BE396" s="10">
        <f>+Risultati!U395</f>
        <v>0</v>
      </c>
      <c r="BF396" s="12" t="str">
        <f t="shared" si="354"/>
        <v>0</v>
      </c>
      <c r="BG396" s="12"/>
      <c r="BH396" s="10">
        <f t="shared" si="311"/>
        <v>0</v>
      </c>
      <c r="BI396" s="12" t="str">
        <f t="shared" si="355"/>
        <v>0</v>
      </c>
      <c r="BK396" s="16">
        <f>IF(ISNUMBER(Risultati!X395/100),(Risultati!X395/100))</f>
        <v>0</v>
      </c>
      <c r="BL396" s="16">
        <f>IF(ISNUMBER(Risultati!Y395/100),(Risultati!Y395/100))</f>
        <v>0</v>
      </c>
      <c r="BM396" s="16">
        <f>IF(ISNUMBER(Risultati!Z395/100),(Risultati!Z395/100))</f>
        <v>0</v>
      </c>
      <c r="BN396" s="16">
        <f>IF(AND(Risultati!AY395&lt;0,calcoli!AP396&lt;0),-IF(ISNUMBER(Risultati!AA395/100),(Risultati!AA395/100)),IF(ISNUMBER(Risultati!AA395/100),(Risultati!AA395/100)))</f>
        <v>0</v>
      </c>
      <c r="BO396" s="16" t="str">
        <f t="shared" si="336"/>
        <v>0</v>
      </c>
      <c r="BP396" s="16" t="str">
        <f>IF(Risultati!AB395&gt;0,(AV396/Risultati!AB395),"0")</f>
        <v>0</v>
      </c>
      <c r="BQ396" s="16" t="str">
        <f>IF(Risultati!AG395&lt;&gt;0,(BH396/Risultati!AG395),"0")</f>
        <v>0</v>
      </c>
      <c r="BR396" s="16" t="str">
        <f t="shared" si="337"/>
        <v>0</v>
      </c>
      <c r="BS396" s="14" t="str">
        <f>IF(Risultati!AB395&gt;0,(Risultati!G395/Risultati!AB395),"0")</f>
        <v>0</v>
      </c>
      <c r="BT396" s="15" t="str">
        <f>IF(Risultati!AG395&lt;&gt;0,(Risultati!AB395/Risultati!AG395),"0")</f>
        <v>0</v>
      </c>
      <c r="BU396" s="23" t="str">
        <f>IF(AND(Risultati!G395&gt;0,(Risultati!AE395-Risultati!AF395)&gt;=0),((Risultati!AE395-Risultati!AF395)/Risultati!G395*360),"0")</f>
        <v>0</v>
      </c>
      <c r="BV396" s="21" t="str">
        <f>IF(OR(E396="abbreviato",Risultati!G395=0),"0",((Risultati!AC395+Risultati!AD395)/Risultati!G395*360))</f>
        <v>0</v>
      </c>
      <c r="BW396" s="21" t="str">
        <f>IF(OR(E396="abbreviato",Risultati!G395=0,SUM(Risultati!I395+Risultati!K395+Risultati!M395)=0),"0",(((Risultati!AH395+Risultati!AI395)/(Risultati!I395+Risultati!K395+Risultati!N395)*360)))</f>
        <v>0</v>
      </c>
      <c r="BX396" s="16" t="str">
        <f>IF(Risultati!AB395&gt;0,(+Risultati!AG395/Risultati!AB395),"0")</f>
        <v>0</v>
      </c>
      <c r="BY396" s="22" t="str">
        <f>IF(OR(E396="abbreviato",Risultati!G395=0),"0",(((Risultati!AK395-(Risultati!AL395+Risultati!AM395))/Risultati!G395)))</f>
        <v>0</v>
      </c>
      <c r="BZ396" s="16" t="str">
        <f>IF(Risultati!G395&gt;0,(Risultati!AJ395/Risultati!G395),"0")</f>
        <v>0</v>
      </c>
      <c r="CA396" s="8"/>
      <c r="CB396" s="9">
        <f>+Risultati!AP395</f>
        <v>0</v>
      </c>
      <c r="CC396" s="31" t="str">
        <f t="shared" si="312"/>
        <v>0</v>
      </c>
      <c r="CD396" s="9">
        <f>+Risultati!AQ395</f>
        <v>0</v>
      </c>
      <c r="CE396" s="31" t="str">
        <f t="shared" si="313"/>
        <v>0</v>
      </c>
      <c r="CF396" s="9">
        <f>+Risultati!AR395</f>
        <v>0</v>
      </c>
      <c r="CG396" s="31" t="str">
        <f t="shared" si="314"/>
        <v>0</v>
      </c>
      <c r="CH396" s="9">
        <f>+Risultati!AS395</f>
        <v>0</v>
      </c>
      <c r="CI396" s="31" t="str">
        <f t="shared" si="315"/>
        <v>0</v>
      </c>
      <c r="CJ396" s="9">
        <f t="shared" si="316"/>
        <v>0</v>
      </c>
      <c r="CK396" s="31" t="str">
        <f t="shared" si="317"/>
        <v>0</v>
      </c>
      <c r="CL396" s="10">
        <f>+Risultati!AE395+Risultati!AF395</f>
        <v>0</v>
      </c>
      <c r="CM396" s="31" t="str">
        <f t="shared" si="318"/>
        <v>0</v>
      </c>
      <c r="CN396" s="9">
        <f>+Risultati!AT395</f>
        <v>0</v>
      </c>
      <c r="CO396" s="31" t="str">
        <f t="shared" si="319"/>
        <v>0</v>
      </c>
      <c r="CP396" s="9">
        <f>+Risultati!AU395</f>
        <v>0</v>
      </c>
      <c r="CQ396" s="31" t="str">
        <f t="shared" si="320"/>
        <v>0</v>
      </c>
      <c r="CR396" s="9">
        <f>+Risultati!AL395</f>
        <v>0</v>
      </c>
      <c r="CS396" s="31" t="str">
        <f t="shared" si="321"/>
        <v>0</v>
      </c>
      <c r="CT396" s="9">
        <f t="shared" si="322"/>
        <v>0</v>
      </c>
      <c r="CU396" s="31" t="str">
        <f t="shared" si="323"/>
        <v>0</v>
      </c>
      <c r="CV396" s="9">
        <f>+Risultati!AX395</f>
        <v>0</v>
      </c>
      <c r="CW396" s="31" t="str">
        <f t="shared" si="324"/>
        <v>0</v>
      </c>
      <c r="CX396" s="9">
        <f t="shared" si="325"/>
        <v>0</v>
      </c>
      <c r="CY396" s="31" t="str">
        <f t="shared" si="326"/>
        <v>0</v>
      </c>
      <c r="CZ396" s="9">
        <f>+Risultati!AG395</f>
        <v>0</v>
      </c>
      <c r="DA396" s="31" t="str">
        <f t="shared" si="327"/>
        <v>0</v>
      </c>
      <c r="DB396" s="9">
        <f t="shared" si="328"/>
        <v>0</v>
      </c>
      <c r="DC396" s="31" t="str">
        <f t="shared" si="329"/>
        <v>0</v>
      </c>
      <c r="DD396" s="9">
        <f>+Risultati!AV395</f>
        <v>0</v>
      </c>
      <c r="DE396" s="31" t="str">
        <f t="shared" si="330"/>
        <v>0</v>
      </c>
      <c r="DF396" s="9">
        <f>+Risultati!AJ395</f>
        <v>0</v>
      </c>
      <c r="DG396" s="31" t="str">
        <f t="shared" si="331"/>
        <v>0</v>
      </c>
      <c r="DH396" s="9">
        <f t="shared" si="332"/>
        <v>0</v>
      </c>
      <c r="DI396" s="31" t="str">
        <f t="shared" si="333"/>
        <v>0</v>
      </c>
      <c r="DJ396" s="9">
        <f>+Risultati!AW395</f>
        <v>0</v>
      </c>
      <c r="DK396" s="31" t="str">
        <f t="shared" si="334"/>
        <v>0</v>
      </c>
      <c r="DL396" s="10">
        <f t="shared" si="356"/>
        <v>0</v>
      </c>
      <c r="DM396" s="31" t="str">
        <f t="shared" si="335"/>
        <v>0</v>
      </c>
      <c r="DO396" s="30"/>
      <c r="DP396" s="30"/>
    </row>
    <row r="397" spans="1:120" x14ac:dyDescent="0.2">
      <c r="A397" s="5"/>
      <c r="B397" s="6">
        <f>+Risultati!B396</f>
        <v>0</v>
      </c>
      <c r="C397" s="6">
        <f>+Risultati!C396</f>
        <v>0</v>
      </c>
      <c r="D397" s="26" t="str">
        <f>IF(YEAR(Risultati!D396)=1900,(MID(Risultati!$AP$1,29,4)),YEAR(Risultati!D396))</f>
        <v/>
      </c>
      <c r="E397" s="6">
        <f>+Risultati!E396</f>
        <v>0</v>
      </c>
      <c r="F397" s="8" t="e">
        <f>(LEFT(Risultati!AN396,2)&amp;"-")&amp;VLOOKUP((LEFT(Risultati!AN396,2)),ateco!$B$4:$C$93,2,FALSE)</f>
        <v>#N/A</v>
      </c>
      <c r="G397" s="8" t="str">
        <f>SUBSTITUTE((Risultati!AN396&amp;"-"&amp;Risultati!AO396),",",";")</f>
        <v>-</v>
      </c>
      <c r="I397" s="10">
        <f>+Risultati!G396</f>
        <v>0</v>
      </c>
      <c r="J397" s="11" t="str">
        <f t="shared" si="338"/>
        <v>0</v>
      </c>
      <c r="K397" s="12"/>
      <c r="L397" s="10">
        <f>+Risultati!G396+Risultati!H396</f>
        <v>0</v>
      </c>
      <c r="M397" s="11" t="str">
        <f t="shared" si="339"/>
        <v>0</v>
      </c>
      <c r="N397" s="12"/>
      <c r="O397" s="10">
        <f>+Risultati!I396+Risultati!J396</f>
        <v>0</v>
      </c>
      <c r="P397" s="11" t="str">
        <f t="shared" si="340"/>
        <v>0</v>
      </c>
      <c r="Q397" s="12"/>
      <c r="R397" s="13">
        <f t="shared" si="306"/>
        <v>0</v>
      </c>
      <c r="S397" s="11" t="str">
        <f t="shared" si="341"/>
        <v>0</v>
      </c>
      <c r="T397" s="12"/>
      <c r="U397" s="10">
        <f>+Risultati!F396-(Risultati!G396+Risultati!H396)</f>
        <v>0</v>
      </c>
      <c r="V397" s="12" t="str">
        <f t="shared" si="342"/>
        <v>0</v>
      </c>
      <c r="W397" s="12"/>
      <c r="X397" s="10">
        <f t="shared" si="307"/>
        <v>0</v>
      </c>
      <c r="Y397" s="12" t="str">
        <f t="shared" si="343"/>
        <v>0</v>
      </c>
      <c r="Z397" s="12"/>
      <c r="AA397" s="10">
        <f>+Risultati!K396</f>
        <v>0</v>
      </c>
      <c r="AB397" s="12" t="str">
        <f t="shared" si="344"/>
        <v>0</v>
      </c>
      <c r="AC397" s="12"/>
      <c r="AD397" s="10">
        <f>+Risultati!L396</f>
        <v>0</v>
      </c>
      <c r="AE397" s="12" t="str">
        <f t="shared" si="345"/>
        <v>0</v>
      </c>
      <c r="AF397" s="12"/>
      <c r="AG397" s="10">
        <f>+Risultati!M396+Risultati!P396+Risultati!Q396</f>
        <v>0</v>
      </c>
      <c r="AH397" s="12" t="str">
        <f t="shared" si="346"/>
        <v>0</v>
      </c>
      <c r="AI397" s="12"/>
      <c r="AJ397" s="13">
        <f t="shared" si="308"/>
        <v>0</v>
      </c>
      <c r="AK397" s="11" t="str">
        <f t="shared" si="347"/>
        <v>0</v>
      </c>
      <c r="AL397" s="12"/>
      <c r="AM397" s="10">
        <f>+Risultati!N396</f>
        <v>0</v>
      </c>
      <c r="AN397" s="12" t="str">
        <f t="shared" si="348"/>
        <v>0</v>
      </c>
      <c r="AO397" s="12"/>
      <c r="AP397" s="10">
        <f t="shared" si="309"/>
        <v>0</v>
      </c>
      <c r="AQ397" s="41" t="str">
        <f t="shared" si="349"/>
        <v>0</v>
      </c>
      <c r="AR397" s="12"/>
      <c r="AS397" s="10">
        <f>+Risultati!O396</f>
        <v>0</v>
      </c>
      <c r="AT397" s="12" t="str">
        <f t="shared" si="350"/>
        <v>0</v>
      </c>
      <c r="AU397" s="12"/>
      <c r="AV397" s="10">
        <f t="shared" si="310"/>
        <v>0</v>
      </c>
      <c r="AW397" s="12" t="str">
        <f t="shared" si="351"/>
        <v>0</v>
      </c>
      <c r="AX397" s="12"/>
      <c r="AY397" s="10">
        <f>+Risultati!R396+Risultati!S396</f>
        <v>0</v>
      </c>
      <c r="AZ397" s="12" t="str">
        <f t="shared" si="352"/>
        <v>0</v>
      </c>
      <c r="BA397" s="12"/>
      <c r="BB397" s="10">
        <f>+Risultati!T396</f>
        <v>0</v>
      </c>
      <c r="BC397" s="12" t="str">
        <f t="shared" si="353"/>
        <v>0</v>
      </c>
      <c r="BD397" s="12"/>
      <c r="BE397" s="10">
        <f>+Risultati!U396</f>
        <v>0</v>
      </c>
      <c r="BF397" s="12" t="str">
        <f t="shared" si="354"/>
        <v>0</v>
      </c>
      <c r="BG397" s="12"/>
      <c r="BH397" s="10">
        <f t="shared" si="311"/>
        <v>0</v>
      </c>
      <c r="BI397" s="12" t="str">
        <f t="shared" si="355"/>
        <v>0</v>
      </c>
      <c r="BK397" s="16">
        <f>IF(ISNUMBER(Risultati!X396/100),(Risultati!X396/100))</f>
        <v>0</v>
      </c>
      <c r="BL397" s="16">
        <f>IF(ISNUMBER(Risultati!Y396/100),(Risultati!Y396/100))</f>
        <v>0</v>
      </c>
      <c r="BM397" s="16">
        <f>IF(ISNUMBER(Risultati!Z396/100),(Risultati!Z396/100))</f>
        <v>0</v>
      </c>
      <c r="BN397" s="16">
        <f>IF(AND(Risultati!AY396&lt;0,calcoli!AP397&lt;0),-IF(ISNUMBER(Risultati!AA396/100),(Risultati!AA396/100)),IF(ISNUMBER(Risultati!AA396/100),(Risultati!AA396/100)))</f>
        <v>0</v>
      </c>
      <c r="BO397" s="16" t="str">
        <f t="shared" si="336"/>
        <v>0</v>
      </c>
      <c r="BP397" s="16" t="str">
        <f>IF(Risultati!AB396&gt;0,(AV397/Risultati!AB396),"0")</f>
        <v>0</v>
      </c>
      <c r="BQ397" s="16" t="str">
        <f>IF(Risultati!AG396&lt;&gt;0,(BH397/Risultati!AG396),"0")</f>
        <v>0</v>
      </c>
      <c r="BR397" s="16" t="str">
        <f t="shared" si="337"/>
        <v>0</v>
      </c>
      <c r="BS397" s="14" t="str">
        <f>IF(Risultati!AB396&gt;0,(Risultati!G396/Risultati!AB396),"0")</f>
        <v>0</v>
      </c>
      <c r="BT397" s="15" t="str">
        <f>IF(Risultati!AG396&lt;&gt;0,(Risultati!AB396/Risultati!AG396),"0")</f>
        <v>0</v>
      </c>
      <c r="BU397" s="23" t="str">
        <f>IF(AND(Risultati!G396&gt;0,(Risultati!AE396-Risultati!AF396)&gt;=0),((Risultati!AE396-Risultati!AF396)/Risultati!G396*360),"0")</f>
        <v>0</v>
      </c>
      <c r="BV397" s="21" t="str">
        <f>IF(OR(E397="abbreviato",Risultati!G396=0),"0",((Risultati!AC396+Risultati!AD396)/Risultati!G396*360))</f>
        <v>0</v>
      </c>
      <c r="BW397" s="21" t="str">
        <f>IF(OR(E397="abbreviato",Risultati!G396=0,SUM(Risultati!I396+Risultati!K396+Risultati!M396)=0),"0",(((Risultati!AH396+Risultati!AI396)/(Risultati!I396+Risultati!K396+Risultati!N396)*360)))</f>
        <v>0</v>
      </c>
      <c r="BX397" s="16" t="str">
        <f>IF(Risultati!AB396&gt;0,(+Risultati!AG396/Risultati!AB396),"0")</f>
        <v>0</v>
      </c>
      <c r="BY397" s="22" t="str">
        <f>IF(OR(E397="abbreviato",Risultati!G396=0),"0",(((Risultati!AK396-(Risultati!AL396+Risultati!AM396))/Risultati!G396)))</f>
        <v>0</v>
      </c>
      <c r="BZ397" s="16" t="str">
        <f>IF(Risultati!G396&gt;0,(Risultati!AJ396/Risultati!G396),"0")</f>
        <v>0</v>
      </c>
      <c r="CA397" s="8"/>
      <c r="CB397" s="9">
        <f>+Risultati!AP396</f>
        <v>0</v>
      </c>
      <c r="CC397" s="31" t="str">
        <f t="shared" si="312"/>
        <v>0</v>
      </c>
      <c r="CD397" s="9">
        <f>+Risultati!AQ396</f>
        <v>0</v>
      </c>
      <c r="CE397" s="31" t="str">
        <f t="shared" si="313"/>
        <v>0</v>
      </c>
      <c r="CF397" s="9">
        <f>+Risultati!AR396</f>
        <v>0</v>
      </c>
      <c r="CG397" s="31" t="str">
        <f t="shared" si="314"/>
        <v>0</v>
      </c>
      <c r="CH397" s="9">
        <f>+Risultati!AS396</f>
        <v>0</v>
      </c>
      <c r="CI397" s="31" t="str">
        <f t="shared" si="315"/>
        <v>0</v>
      </c>
      <c r="CJ397" s="9">
        <f t="shared" si="316"/>
        <v>0</v>
      </c>
      <c r="CK397" s="31" t="str">
        <f t="shared" si="317"/>
        <v>0</v>
      </c>
      <c r="CL397" s="10">
        <f>+Risultati!AE396+Risultati!AF396</f>
        <v>0</v>
      </c>
      <c r="CM397" s="31" t="str">
        <f t="shared" si="318"/>
        <v>0</v>
      </c>
      <c r="CN397" s="9">
        <f>+Risultati!AT396</f>
        <v>0</v>
      </c>
      <c r="CO397" s="31" t="str">
        <f t="shared" si="319"/>
        <v>0</v>
      </c>
      <c r="CP397" s="9">
        <f>+Risultati!AU396</f>
        <v>0</v>
      </c>
      <c r="CQ397" s="31" t="str">
        <f t="shared" si="320"/>
        <v>0</v>
      </c>
      <c r="CR397" s="9">
        <f>+Risultati!AL396</f>
        <v>0</v>
      </c>
      <c r="CS397" s="31" t="str">
        <f t="shared" si="321"/>
        <v>0</v>
      </c>
      <c r="CT397" s="9">
        <f t="shared" si="322"/>
        <v>0</v>
      </c>
      <c r="CU397" s="31" t="str">
        <f t="shared" si="323"/>
        <v>0</v>
      </c>
      <c r="CV397" s="9">
        <f>+Risultati!AX396</f>
        <v>0</v>
      </c>
      <c r="CW397" s="31" t="str">
        <f t="shared" si="324"/>
        <v>0</v>
      </c>
      <c r="CX397" s="9">
        <f t="shared" si="325"/>
        <v>0</v>
      </c>
      <c r="CY397" s="31" t="str">
        <f t="shared" si="326"/>
        <v>0</v>
      </c>
      <c r="CZ397" s="9">
        <f>+Risultati!AG396</f>
        <v>0</v>
      </c>
      <c r="DA397" s="31" t="str">
        <f t="shared" si="327"/>
        <v>0</v>
      </c>
      <c r="DB397" s="9">
        <f t="shared" si="328"/>
        <v>0</v>
      </c>
      <c r="DC397" s="31" t="str">
        <f t="shared" si="329"/>
        <v>0</v>
      </c>
      <c r="DD397" s="9">
        <f>+Risultati!AV396</f>
        <v>0</v>
      </c>
      <c r="DE397" s="31" t="str">
        <f t="shared" si="330"/>
        <v>0</v>
      </c>
      <c r="DF397" s="9">
        <f>+Risultati!AJ396</f>
        <v>0</v>
      </c>
      <c r="DG397" s="31" t="str">
        <f t="shared" si="331"/>
        <v>0</v>
      </c>
      <c r="DH397" s="9">
        <f t="shared" si="332"/>
        <v>0</v>
      </c>
      <c r="DI397" s="31" t="str">
        <f t="shared" si="333"/>
        <v>0</v>
      </c>
      <c r="DJ397" s="9">
        <f>+Risultati!AW396</f>
        <v>0</v>
      </c>
      <c r="DK397" s="31" t="str">
        <f t="shared" si="334"/>
        <v>0</v>
      </c>
      <c r="DL397" s="10">
        <f t="shared" si="356"/>
        <v>0</v>
      </c>
      <c r="DM397" s="31" t="str">
        <f t="shared" si="335"/>
        <v>0</v>
      </c>
      <c r="DO397" s="30"/>
      <c r="DP397" s="30"/>
    </row>
    <row r="398" spans="1:120" x14ac:dyDescent="0.2">
      <c r="A398" s="5"/>
      <c r="B398" s="6">
        <f>+Risultati!B397</f>
        <v>0</v>
      </c>
      <c r="C398" s="6">
        <f>+Risultati!C397</f>
        <v>0</v>
      </c>
      <c r="D398" s="26" t="str">
        <f>IF(YEAR(Risultati!D397)=1900,(MID(Risultati!$AP$1,29,4)),YEAR(Risultati!D397))</f>
        <v/>
      </c>
      <c r="E398" s="6">
        <f>+Risultati!E397</f>
        <v>0</v>
      </c>
      <c r="F398" s="8" t="e">
        <f>(LEFT(Risultati!AN397,2)&amp;"-")&amp;VLOOKUP((LEFT(Risultati!AN397,2)),ateco!$B$4:$C$93,2,FALSE)</f>
        <v>#N/A</v>
      </c>
      <c r="G398" s="8" t="str">
        <f>SUBSTITUTE((Risultati!AN397&amp;"-"&amp;Risultati!AO397),",",";")</f>
        <v>-</v>
      </c>
      <c r="I398" s="10">
        <f>+Risultati!G397</f>
        <v>0</v>
      </c>
      <c r="J398" s="11" t="str">
        <f t="shared" si="338"/>
        <v>0</v>
      </c>
      <c r="K398" s="12"/>
      <c r="L398" s="10">
        <f>+Risultati!G397+Risultati!H397</f>
        <v>0</v>
      </c>
      <c r="M398" s="11" t="str">
        <f t="shared" si="339"/>
        <v>0</v>
      </c>
      <c r="N398" s="12"/>
      <c r="O398" s="10">
        <f>+Risultati!I397+Risultati!J397</f>
        <v>0</v>
      </c>
      <c r="P398" s="11" t="str">
        <f t="shared" si="340"/>
        <v>0</v>
      </c>
      <c r="Q398" s="12"/>
      <c r="R398" s="13">
        <f t="shared" si="306"/>
        <v>0</v>
      </c>
      <c r="S398" s="11" t="str">
        <f t="shared" si="341"/>
        <v>0</v>
      </c>
      <c r="T398" s="12"/>
      <c r="U398" s="10">
        <f>+Risultati!F397-(Risultati!G397+Risultati!H397)</f>
        <v>0</v>
      </c>
      <c r="V398" s="12" t="str">
        <f t="shared" si="342"/>
        <v>0</v>
      </c>
      <c r="W398" s="12"/>
      <c r="X398" s="10">
        <f t="shared" si="307"/>
        <v>0</v>
      </c>
      <c r="Y398" s="12" t="str">
        <f t="shared" si="343"/>
        <v>0</v>
      </c>
      <c r="Z398" s="12"/>
      <c r="AA398" s="10">
        <f>+Risultati!K397</f>
        <v>0</v>
      </c>
      <c r="AB398" s="12" t="str">
        <f t="shared" si="344"/>
        <v>0</v>
      </c>
      <c r="AC398" s="12"/>
      <c r="AD398" s="10">
        <f>+Risultati!L397</f>
        <v>0</v>
      </c>
      <c r="AE398" s="12" t="str">
        <f t="shared" si="345"/>
        <v>0</v>
      </c>
      <c r="AF398" s="12"/>
      <c r="AG398" s="10">
        <f>+Risultati!M397+Risultati!P397+Risultati!Q397</f>
        <v>0</v>
      </c>
      <c r="AH398" s="12" t="str">
        <f t="shared" si="346"/>
        <v>0</v>
      </c>
      <c r="AI398" s="12"/>
      <c r="AJ398" s="13">
        <f t="shared" si="308"/>
        <v>0</v>
      </c>
      <c r="AK398" s="11" t="str">
        <f t="shared" si="347"/>
        <v>0</v>
      </c>
      <c r="AL398" s="12"/>
      <c r="AM398" s="10">
        <f>+Risultati!N397</f>
        <v>0</v>
      </c>
      <c r="AN398" s="12" t="str">
        <f t="shared" si="348"/>
        <v>0</v>
      </c>
      <c r="AO398" s="12"/>
      <c r="AP398" s="10">
        <f t="shared" si="309"/>
        <v>0</v>
      </c>
      <c r="AQ398" s="41" t="str">
        <f t="shared" si="349"/>
        <v>0</v>
      </c>
      <c r="AR398" s="12"/>
      <c r="AS398" s="10">
        <f>+Risultati!O397</f>
        <v>0</v>
      </c>
      <c r="AT398" s="12" t="str">
        <f t="shared" si="350"/>
        <v>0</v>
      </c>
      <c r="AU398" s="12"/>
      <c r="AV398" s="10">
        <f t="shared" si="310"/>
        <v>0</v>
      </c>
      <c r="AW398" s="12" t="str">
        <f t="shared" si="351"/>
        <v>0</v>
      </c>
      <c r="AX398" s="12"/>
      <c r="AY398" s="10">
        <f>+Risultati!R397+Risultati!S397</f>
        <v>0</v>
      </c>
      <c r="AZ398" s="12" t="str">
        <f t="shared" si="352"/>
        <v>0</v>
      </c>
      <c r="BA398" s="12"/>
      <c r="BB398" s="10">
        <f>+Risultati!T397</f>
        <v>0</v>
      </c>
      <c r="BC398" s="12" t="str">
        <f t="shared" si="353"/>
        <v>0</v>
      </c>
      <c r="BD398" s="12"/>
      <c r="BE398" s="10">
        <f>+Risultati!U397</f>
        <v>0</v>
      </c>
      <c r="BF398" s="12" t="str">
        <f t="shared" si="354"/>
        <v>0</v>
      </c>
      <c r="BG398" s="12"/>
      <c r="BH398" s="10">
        <f t="shared" si="311"/>
        <v>0</v>
      </c>
      <c r="BI398" s="12" t="str">
        <f t="shared" si="355"/>
        <v>0</v>
      </c>
      <c r="BK398" s="16">
        <f>IF(ISNUMBER(Risultati!X397/100),(Risultati!X397/100))</f>
        <v>0</v>
      </c>
      <c r="BL398" s="16">
        <f>IF(ISNUMBER(Risultati!Y397/100),(Risultati!Y397/100))</f>
        <v>0</v>
      </c>
      <c r="BM398" s="16">
        <f>IF(ISNUMBER(Risultati!Z397/100),(Risultati!Z397/100))</f>
        <v>0</v>
      </c>
      <c r="BN398" s="16">
        <f>IF(AND(Risultati!AY397&lt;0,calcoli!AP398&lt;0),-IF(ISNUMBER(Risultati!AA397/100),(Risultati!AA397/100)),IF(ISNUMBER(Risultati!AA397/100),(Risultati!AA397/100)))</f>
        <v>0</v>
      </c>
      <c r="BO398" s="16" t="str">
        <f t="shared" si="336"/>
        <v>0</v>
      </c>
      <c r="BP398" s="16" t="str">
        <f>IF(Risultati!AB397&gt;0,(AV398/Risultati!AB397),"0")</f>
        <v>0</v>
      </c>
      <c r="BQ398" s="16" t="str">
        <f>IF(Risultati!AG397&lt;&gt;0,(BH398/Risultati!AG397),"0")</f>
        <v>0</v>
      </c>
      <c r="BR398" s="16" t="str">
        <f t="shared" si="337"/>
        <v>0</v>
      </c>
      <c r="BS398" s="14" t="str">
        <f>IF(Risultati!AB397&gt;0,(Risultati!G397/Risultati!AB397),"0")</f>
        <v>0</v>
      </c>
      <c r="BT398" s="15" t="str">
        <f>IF(Risultati!AG397&lt;&gt;0,(Risultati!AB397/Risultati!AG397),"0")</f>
        <v>0</v>
      </c>
      <c r="BU398" s="23" t="str">
        <f>IF(AND(Risultati!G397&gt;0,(Risultati!AE397-Risultati!AF397)&gt;=0),((Risultati!AE397-Risultati!AF397)/Risultati!G397*360),"0")</f>
        <v>0</v>
      </c>
      <c r="BV398" s="21" t="str">
        <f>IF(OR(E398="abbreviato",Risultati!G397=0),"0",((Risultati!AC397+Risultati!AD397)/Risultati!G397*360))</f>
        <v>0</v>
      </c>
      <c r="BW398" s="21" t="str">
        <f>IF(OR(E398="abbreviato",Risultati!G397=0,SUM(Risultati!I397+Risultati!K397+Risultati!M397)=0),"0",(((Risultati!AH397+Risultati!AI397)/(Risultati!I397+Risultati!K397+Risultati!N397)*360)))</f>
        <v>0</v>
      </c>
      <c r="BX398" s="16" t="str">
        <f>IF(Risultati!AB397&gt;0,(+Risultati!AG397/Risultati!AB397),"0")</f>
        <v>0</v>
      </c>
      <c r="BY398" s="22" t="str">
        <f>IF(OR(E398="abbreviato",Risultati!G397=0),"0",(((Risultati!AK397-(Risultati!AL397+Risultati!AM397))/Risultati!G397)))</f>
        <v>0</v>
      </c>
      <c r="BZ398" s="16" t="str">
        <f>IF(Risultati!G397&gt;0,(Risultati!AJ397/Risultati!G397),"0")</f>
        <v>0</v>
      </c>
      <c r="CA398" s="8"/>
      <c r="CB398" s="9">
        <f>+Risultati!AP397</f>
        <v>0</v>
      </c>
      <c r="CC398" s="31" t="str">
        <f t="shared" si="312"/>
        <v>0</v>
      </c>
      <c r="CD398" s="9">
        <f>+Risultati!AQ397</f>
        <v>0</v>
      </c>
      <c r="CE398" s="31" t="str">
        <f t="shared" si="313"/>
        <v>0</v>
      </c>
      <c r="CF398" s="9">
        <f>+Risultati!AR397</f>
        <v>0</v>
      </c>
      <c r="CG398" s="31" t="str">
        <f t="shared" si="314"/>
        <v>0</v>
      </c>
      <c r="CH398" s="9">
        <f>+Risultati!AS397</f>
        <v>0</v>
      </c>
      <c r="CI398" s="31" t="str">
        <f t="shared" si="315"/>
        <v>0</v>
      </c>
      <c r="CJ398" s="9">
        <f t="shared" si="316"/>
        <v>0</v>
      </c>
      <c r="CK398" s="31" t="str">
        <f t="shared" si="317"/>
        <v>0</v>
      </c>
      <c r="CL398" s="10">
        <f>+Risultati!AE397+Risultati!AF397</f>
        <v>0</v>
      </c>
      <c r="CM398" s="31" t="str">
        <f t="shared" si="318"/>
        <v>0</v>
      </c>
      <c r="CN398" s="9">
        <f>+Risultati!AT397</f>
        <v>0</v>
      </c>
      <c r="CO398" s="31" t="str">
        <f t="shared" si="319"/>
        <v>0</v>
      </c>
      <c r="CP398" s="9">
        <f>+Risultati!AU397</f>
        <v>0</v>
      </c>
      <c r="CQ398" s="31" t="str">
        <f t="shared" si="320"/>
        <v>0</v>
      </c>
      <c r="CR398" s="9">
        <f>+Risultati!AL397</f>
        <v>0</v>
      </c>
      <c r="CS398" s="31" t="str">
        <f t="shared" si="321"/>
        <v>0</v>
      </c>
      <c r="CT398" s="9">
        <f t="shared" si="322"/>
        <v>0</v>
      </c>
      <c r="CU398" s="31" t="str">
        <f t="shared" si="323"/>
        <v>0</v>
      </c>
      <c r="CV398" s="9">
        <f>+Risultati!AX397</f>
        <v>0</v>
      </c>
      <c r="CW398" s="31" t="str">
        <f t="shared" si="324"/>
        <v>0</v>
      </c>
      <c r="CX398" s="9">
        <f t="shared" si="325"/>
        <v>0</v>
      </c>
      <c r="CY398" s="31" t="str">
        <f t="shared" si="326"/>
        <v>0</v>
      </c>
      <c r="CZ398" s="9">
        <f>+Risultati!AG397</f>
        <v>0</v>
      </c>
      <c r="DA398" s="31" t="str">
        <f t="shared" si="327"/>
        <v>0</v>
      </c>
      <c r="DB398" s="9">
        <f t="shared" si="328"/>
        <v>0</v>
      </c>
      <c r="DC398" s="31" t="str">
        <f t="shared" si="329"/>
        <v>0</v>
      </c>
      <c r="DD398" s="9">
        <f>+Risultati!AV397</f>
        <v>0</v>
      </c>
      <c r="DE398" s="31" t="str">
        <f t="shared" si="330"/>
        <v>0</v>
      </c>
      <c r="DF398" s="9">
        <f>+Risultati!AJ397</f>
        <v>0</v>
      </c>
      <c r="DG398" s="31" t="str">
        <f t="shared" si="331"/>
        <v>0</v>
      </c>
      <c r="DH398" s="9">
        <f t="shared" si="332"/>
        <v>0</v>
      </c>
      <c r="DI398" s="31" t="str">
        <f t="shared" si="333"/>
        <v>0</v>
      </c>
      <c r="DJ398" s="9">
        <f>+Risultati!AW397</f>
        <v>0</v>
      </c>
      <c r="DK398" s="31" t="str">
        <f t="shared" si="334"/>
        <v>0</v>
      </c>
      <c r="DL398" s="10">
        <f t="shared" si="356"/>
        <v>0</v>
      </c>
      <c r="DM398" s="31" t="str">
        <f t="shared" si="335"/>
        <v>0</v>
      </c>
      <c r="DO398" s="30"/>
      <c r="DP398" s="30"/>
    </row>
    <row r="399" spans="1:120" x14ac:dyDescent="0.2">
      <c r="A399" s="5"/>
      <c r="B399" s="6">
        <f>+Risultati!B398</f>
        <v>0</v>
      </c>
      <c r="C399" s="6">
        <f>+Risultati!C398</f>
        <v>0</v>
      </c>
      <c r="D399" s="26" t="str">
        <f>IF(YEAR(Risultati!D398)=1900,(MID(Risultati!$AP$1,29,4)),YEAR(Risultati!D398))</f>
        <v/>
      </c>
      <c r="E399" s="6">
        <f>+Risultati!E398</f>
        <v>0</v>
      </c>
      <c r="F399" s="8" t="e">
        <f>(LEFT(Risultati!AN398,2)&amp;"-")&amp;VLOOKUP((LEFT(Risultati!AN398,2)),ateco!$B$4:$C$93,2,FALSE)</f>
        <v>#N/A</v>
      </c>
      <c r="G399" s="8" t="str">
        <f>SUBSTITUTE((Risultati!AN398&amp;"-"&amp;Risultati!AO398),",",";")</f>
        <v>-</v>
      </c>
      <c r="I399" s="10">
        <f>+Risultati!G398</f>
        <v>0</v>
      </c>
      <c r="J399" s="11" t="str">
        <f t="shared" si="338"/>
        <v>0</v>
      </c>
      <c r="K399" s="12"/>
      <c r="L399" s="10">
        <f>+Risultati!G398+Risultati!H398</f>
        <v>0</v>
      </c>
      <c r="M399" s="11" t="str">
        <f t="shared" si="339"/>
        <v>0</v>
      </c>
      <c r="N399" s="12"/>
      <c r="O399" s="10">
        <f>+Risultati!I398+Risultati!J398</f>
        <v>0</v>
      </c>
      <c r="P399" s="11" t="str">
        <f t="shared" si="340"/>
        <v>0</v>
      </c>
      <c r="Q399" s="12"/>
      <c r="R399" s="13">
        <f t="shared" si="306"/>
        <v>0</v>
      </c>
      <c r="S399" s="11" t="str">
        <f t="shared" si="341"/>
        <v>0</v>
      </c>
      <c r="T399" s="12"/>
      <c r="U399" s="10">
        <f>+Risultati!F398-(Risultati!G398+Risultati!H398)</f>
        <v>0</v>
      </c>
      <c r="V399" s="12" t="str">
        <f t="shared" si="342"/>
        <v>0</v>
      </c>
      <c r="W399" s="12"/>
      <c r="X399" s="10">
        <f t="shared" si="307"/>
        <v>0</v>
      </c>
      <c r="Y399" s="12" t="str">
        <f t="shared" si="343"/>
        <v>0</v>
      </c>
      <c r="Z399" s="12"/>
      <c r="AA399" s="10">
        <f>+Risultati!K398</f>
        <v>0</v>
      </c>
      <c r="AB399" s="12" t="str">
        <f t="shared" si="344"/>
        <v>0</v>
      </c>
      <c r="AC399" s="12"/>
      <c r="AD399" s="10">
        <f>+Risultati!L398</f>
        <v>0</v>
      </c>
      <c r="AE399" s="12" t="str">
        <f t="shared" si="345"/>
        <v>0</v>
      </c>
      <c r="AF399" s="12"/>
      <c r="AG399" s="10">
        <f>+Risultati!M398+Risultati!P398+Risultati!Q398</f>
        <v>0</v>
      </c>
      <c r="AH399" s="12" t="str">
        <f t="shared" si="346"/>
        <v>0</v>
      </c>
      <c r="AI399" s="12"/>
      <c r="AJ399" s="13">
        <f t="shared" si="308"/>
        <v>0</v>
      </c>
      <c r="AK399" s="11" t="str">
        <f t="shared" si="347"/>
        <v>0</v>
      </c>
      <c r="AL399" s="12"/>
      <c r="AM399" s="10">
        <f>+Risultati!N398</f>
        <v>0</v>
      </c>
      <c r="AN399" s="12" t="str">
        <f t="shared" si="348"/>
        <v>0</v>
      </c>
      <c r="AO399" s="12"/>
      <c r="AP399" s="10">
        <f t="shared" si="309"/>
        <v>0</v>
      </c>
      <c r="AQ399" s="41" t="str">
        <f t="shared" si="349"/>
        <v>0</v>
      </c>
      <c r="AR399" s="12"/>
      <c r="AS399" s="10">
        <f>+Risultati!O398</f>
        <v>0</v>
      </c>
      <c r="AT399" s="12" t="str">
        <f t="shared" si="350"/>
        <v>0</v>
      </c>
      <c r="AU399" s="12"/>
      <c r="AV399" s="10">
        <f t="shared" si="310"/>
        <v>0</v>
      </c>
      <c r="AW399" s="12" t="str">
        <f t="shared" si="351"/>
        <v>0</v>
      </c>
      <c r="AX399" s="12"/>
      <c r="AY399" s="10">
        <f>+Risultati!R398+Risultati!S398</f>
        <v>0</v>
      </c>
      <c r="AZ399" s="12" t="str">
        <f t="shared" si="352"/>
        <v>0</v>
      </c>
      <c r="BA399" s="12"/>
      <c r="BB399" s="10">
        <f>+Risultati!T398</f>
        <v>0</v>
      </c>
      <c r="BC399" s="12" t="str">
        <f t="shared" si="353"/>
        <v>0</v>
      </c>
      <c r="BD399" s="12"/>
      <c r="BE399" s="10">
        <f>+Risultati!U398</f>
        <v>0</v>
      </c>
      <c r="BF399" s="12" t="str">
        <f t="shared" si="354"/>
        <v>0</v>
      </c>
      <c r="BG399" s="12"/>
      <c r="BH399" s="10">
        <f t="shared" si="311"/>
        <v>0</v>
      </c>
      <c r="BI399" s="12" t="str">
        <f t="shared" si="355"/>
        <v>0</v>
      </c>
      <c r="BK399" s="16">
        <f>IF(ISNUMBER(Risultati!X398/100),(Risultati!X398/100))</f>
        <v>0</v>
      </c>
      <c r="BL399" s="16">
        <f>IF(ISNUMBER(Risultati!Y398/100),(Risultati!Y398/100))</f>
        <v>0</v>
      </c>
      <c r="BM399" s="16">
        <f>IF(ISNUMBER(Risultati!Z398/100),(Risultati!Z398/100))</f>
        <v>0</v>
      </c>
      <c r="BN399" s="16">
        <f>IF(AND(Risultati!AY398&lt;0,calcoli!AP399&lt;0),-IF(ISNUMBER(Risultati!AA398/100),(Risultati!AA398/100)),IF(ISNUMBER(Risultati!AA398/100),(Risultati!AA398/100)))</f>
        <v>0</v>
      </c>
      <c r="BO399" s="16" t="str">
        <f t="shared" si="336"/>
        <v>0</v>
      </c>
      <c r="BP399" s="16" t="str">
        <f>IF(Risultati!AB398&gt;0,(AV399/Risultati!AB398),"0")</f>
        <v>0</v>
      </c>
      <c r="BQ399" s="16" t="str">
        <f>IF(Risultati!AG398&lt;&gt;0,(BH399/Risultati!AG398),"0")</f>
        <v>0</v>
      </c>
      <c r="BR399" s="16" t="str">
        <f t="shared" si="337"/>
        <v>0</v>
      </c>
      <c r="BS399" s="14" t="str">
        <f>IF(Risultati!AB398&gt;0,(Risultati!G398/Risultati!AB398),"0")</f>
        <v>0</v>
      </c>
      <c r="BT399" s="15" t="str">
        <f>IF(Risultati!AG398&lt;&gt;0,(Risultati!AB398/Risultati!AG398),"0")</f>
        <v>0</v>
      </c>
      <c r="BU399" s="23" t="str">
        <f>IF(AND(Risultati!G398&gt;0,(Risultati!AE398-Risultati!AF398)&gt;=0),((Risultati!AE398-Risultati!AF398)/Risultati!G398*360),"0")</f>
        <v>0</v>
      </c>
      <c r="BV399" s="21" t="str">
        <f>IF(OR(E399="abbreviato",Risultati!G398=0),"0",((Risultati!AC398+Risultati!AD398)/Risultati!G398*360))</f>
        <v>0</v>
      </c>
      <c r="BW399" s="21" t="str">
        <f>IF(OR(E399="abbreviato",Risultati!G398=0,SUM(Risultati!I398+Risultati!K398+Risultati!M398)=0),"0",(((Risultati!AH398+Risultati!AI398)/(Risultati!I398+Risultati!K398+Risultati!N398)*360)))</f>
        <v>0</v>
      </c>
      <c r="BX399" s="16" t="str">
        <f>IF(Risultati!AB398&gt;0,(+Risultati!AG398/Risultati!AB398),"0")</f>
        <v>0</v>
      </c>
      <c r="BY399" s="22" t="str">
        <f>IF(OR(E399="abbreviato",Risultati!G398=0),"0",(((Risultati!AK398-(Risultati!AL398+Risultati!AM398))/Risultati!G398)))</f>
        <v>0</v>
      </c>
      <c r="BZ399" s="16" t="str">
        <f>IF(Risultati!G398&gt;0,(Risultati!AJ398/Risultati!G398),"0")</f>
        <v>0</v>
      </c>
      <c r="CA399" s="8"/>
      <c r="CB399" s="9">
        <f>+Risultati!AP398</f>
        <v>0</v>
      </c>
      <c r="CC399" s="31" t="str">
        <f t="shared" si="312"/>
        <v>0</v>
      </c>
      <c r="CD399" s="9">
        <f>+Risultati!AQ398</f>
        <v>0</v>
      </c>
      <c r="CE399" s="31" t="str">
        <f t="shared" si="313"/>
        <v>0</v>
      </c>
      <c r="CF399" s="9">
        <f>+Risultati!AR398</f>
        <v>0</v>
      </c>
      <c r="CG399" s="31" t="str">
        <f t="shared" si="314"/>
        <v>0</v>
      </c>
      <c r="CH399" s="9">
        <f>+Risultati!AS398</f>
        <v>0</v>
      </c>
      <c r="CI399" s="31" t="str">
        <f t="shared" si="315"/>
        <v>0</v>
      </c>
      <c r="CJ399" s="9">
        <f t="shared" si="316"/>
        <v>0</v>
      </c>
      <c r="CK399" s="31" t="str">
        <f t="shared" si="317"/>
        <v>0</v>
      </c>
      <c r="CL399" s="10">
        <f>+Risultati!AE398+Risultati!AF398</f>
        <v>0</v>
      </c>
      <c r="CM399" s="31" t="str">
        <f t="shared" si="318"/>
        <v>0</v>
      </c>
      <c r="CN399" s="9">
        <f>+Risultati!AT398</f>
        <v>0</v>
      </c>
      <c r="CO399" s="31" t="str">
        <f t="shared" si="319"/>
        <v>0</v>
      </c>
      <c r="CP399" s="9">
        <f>+Risultati!AU398</f>
        <v>0</v>
      </c>
      <c r="CQ399" s="31" t="str">
        <f t="shared" si="320"/>
        <v>0</v>
      </c>
      <c r="CR399" s="9">
        <f>+Risultati!AL398</f>
        <v>0</v>
      </c>
      <c r="CS399" s="31" t="str">
        <f t="shared" si="321"/>
        <v>0</v>
      </c>
      <c r="CT399" s="9">
        <f t="shared" si="322"/>
        <v>0</v>
      </c>
      <c r="CU399" s="31" t="str">
        <f t="shared" si="323"/>
        <v>0</v>
      </c>
      <c r="CV399" s="9">
        <f>+Risultati!AX398</f>
        <v>0</v>
      </c>
      <c r="CW399" s="31" t="str">
        <f t="shared" si="324"/>
        <v>0</v>
      </c>
      <c r="CX399" s="9">
        <f t="shared" si="325"/>
        <v>0</v>
      </c>
      <c r="CY399" s="31" t="str">
        <f t="shared" si="326"/>
        <v>0</v>
      </c>
      <c r="CZ399" s="9">
        <f>+Risultati!AG398</f>
        <v>0</v>
      </c>
      <c r="DA399" s="31" t="str">
        <f t="shared" si="327"/>
        <v>0</v>
      </c>
      <c r="DB399" s="9">
        <f t="shared" si="328"/>
        <v>0</v>
      </c>
      <c r="DC399" s="31" t="str">
        <f t="shared" si="329"/>
        <v>0</v>
      </c>
      <c r="DD399" s="9">
        <f>+Risultati!AV398</f>
        <v>0</v>
      </c>
      <c r="DE399" s="31" t="str">
        <f t="shared" si="330"/>
        <v>0</v>
      </c>
      <c r="DF399" s="9">
        <f>+Risultati!AJ398</f>
        <v>0</v>
      </c>
      <c r="DG399" s="31" t="str">
        <f t="shared" si="331"/>
        <v>0</v>
      </c>
      <c r="DH399" s="9">
        <f t="shared" si="332"/>
        <v>0</v>
      </c>
      <c r="DI399" s="31" t="str">
        <f t="shared" si="333"/>
        <v>0</v>
      </c>
      <c r="DJ399" s="9">
        <f>+Risultati!AW398</f>
        <v>0</v>
      </c>
      <c r="DK399" s="31" t="str">
        <f t="shared" si="334"/>
        <v>0</v>
      </c>
      <c r="DL399" s="10">
        <f t="shared" si="356"/>
        <v>0</v>
      </c>
      <c r="DM399" s="31" t="str">
        <f t="shared" si="335"/>
        <v>0</v>
      </c>
      <c r="DO399" s="30"/>
      <c r="DP399" s="30"/>
    </row>
    <row r="400" spans="1:120" x14ac:dyDescent="0.2">
      <c r="A400" s="5"/>
      <c r="B400" s="6">
        <f>+Risultati!B399</f>
        <v>0</v>
      </c>
      <c r="C400" s="6">
        <f>+Risultati!C399</f>
        <v>0</v>
      </c>
      <c r="D400" s="26" t="str">
        <f>IF(YEAR(Risultati!D399)=1900,(MID(Risultati!$AP$1,29,4)),YEAR(Risultati!D399))</f>
        <v/>
      </c>
      <c r="E400" s="6">
        <f>+Risultati!E399</f>
        <v>0</v>
      </c>
      <c r="F400" s="8" t="e">
        <f>(LEFT(Risultati!AN399,2)&amp;"-")&amp;VLOOKUP((LEFT(Risultati!AN399,2)),ateco!$B$4:$C$93,2,FALSE)</f>
        <v>#N/A</v>
      </c>
      <c r="G400" s="8" t="str">
        <f>SUBSTITUTE((Risultati!AN399&amp;"-"&amp;Risultati!AO399),",",";")</f>
        <v>-</v>
      </c>
      <c r="I400" s="10">
        <f>+Risultati!G399</f>
        <v>0</v>
      </c>
      <c r="J400" s="11" t="str">
        <f t="shared" si="338"/>
        <v>0</v>
      </c>
      <c r="K400" s="12"/>
      <c r="L400" s="10">
        <f>+Risultati!G399+Risultati!H399</f>
        <v>0</v>
      </c>
      <c r="M400" s="11" t="str">
        <f t="shared" si="339"/>
        <v>0</v>
      </c>
      <c r="N400" s="12"/>
      <c r="O400" s="10">
        <f>+Risultati!I399+Risultati!J399</f>
        <v>0</v>
      </c>
      <c r="P400" s="11" t="str">
        <f t="shared" si="340"/>
        <v>0</v>
      </c>
      <c r="Q400" s="12"/>
      <c r="R400" s="13">
        <f t="shared" si="306"/>
        <v>0</v>
      </c>
      <c r="S400" s="11" t="str">
        <f t="shared" si="341"/>
        <v>0</v>
      </c>
      <c r="T400" s="12"/>
      <c r="U400" s="10">
        <f>+Risultati!F399-(Risultati!G399+Risultati!H399)</f>
        <v>0</v>
      </c>
      <c r="V400" s="12" t="str">
        <f t="shared" si="342"/>
        <v>0</v>
      </c>
      <c r="W400" s="12"/>
      <c r="X400" s="10">
        <f t="shared" si="307"/>
        <v>0</v>
      </c>
      <c r="Y400" s="12" t="str">
        <f t="shared" si="343"/>
        <v>0</v>
      </c>
      <c r="Z400" s="12"/>
      <c r="AA400" s="10">
        <f>+Risultati!K399</f>
        <v>0</v>
      </c>
      <c r="AB400" s="12" t="str">
        <f t="shared" si="344"/>
        <v>0</v>
      </c>
      <c r="AC400" s="12"/>
      <c r="AD400" s="10">
        <f>+Risultati!L399</f>
        <v>0</v>
      </c>
      <c r="AE400" s="12" t="str">
        <f t="shared" si="345"/>
        <v>0</v>
      </c>
      <c r="AF400" s="12"/>
      <c r="AG400" s="10">
        <f>+Risultati!M399+Risultati!P399+Risultati!Q399</f>
        <v>0</v>
      </c>
      <c r="AH400" s="12" t="str">
        <f t="shared" si="346"/>
        <v>0</v>
      </c>
      <c r="AI400" s="12"/>
      <c r="AJ400" s="13">
        <f t="shared" si="308"/>
        <v>0</v>
      </c>
      <c r="AK400" s="11" t="str">
        <f t="shared" si="347"/>
        <v>0</v>
      </c>
      <c r="AL400" s="12"/>
      <c r="AM400" s="10">
        <f>+Risultati!N399</f>
        <v>0</v>
      </c>
      <c r="AN400" s="12" t="str">
        <f t="shared" si="348"/>
        <v>0</v>
      </c>
      <c r="AO400" s="12"/>
      <c r="AP400" s="10">
        <f t="shared" si="309"/>
        <v>0</v>
      </c>
      <c r="AQ400" s="41" t="str">
        <f t="shared" si="349"/>
        <v>0</v>
      </c>
      <c r="AR400" s="12"/>
      <c r="AS400" s="10">
        <f>+Risultati!O399</f>
        <v>0</v>
      </c>
      <c r="AT400" s="12" t="str">
        <f t="shared" si="350"/>
        <v>0</v>
      </c>
      <c r="AU400" s="12"/>
      <c r="AV400" s="10">
        <f t="shared" si="310"/>
        <v>0</v>
      </c>
      <c r="AW400" s="12" t="str">
        <f t="shared" si="351"/>
        <v>0</v>
      </c>
      <c r="AX400" s="12"/>
      <c r="AY400" s="10">
        <f>+Risultati!R399+Risultati!S399</f>
        <v>0</v>
      </c>
      <c r="AZ400" s="12" t="str">
        <f t="shared" si="352"/>
        <v>0</v>
      </c>
      <c r="BA400" s="12"/>
      <c r="BB400" s="10">
        <f>+Risultati!T399</f>
        <v>0</v>
      </c>
      <c r="BC400" s="12" t="str">
        <f t="shared" si="353"/>
        <v>0</v>
      </c>
      <c r="BD400" s="12"/>
      <c r="BE400" s="10">
        <f>+Risultati!U399</f>
        <v>0</v>
      </c>
      <c r="BF400" s="12" t="str">
        <f t="shared" si="354"/>
        <v>0</v>
      </c>
      <c r="BG400" s="12"/>
      <c r="BH400" s="10">
        <f t="shared" si="311"/>
        <v>0</v>
      </c>
      <c r="BI400" s="12" t="str">
        <f t="shared" si="355"/>
        <v>0</v>
      </c>
      <c r="BK400" s="16">
        <f>IF(ISNUMBER(Risultati!X399/100),(Risultati!X399/100))</f>
        <v>0</v>
      </c>
      <c r="BL400" s="16">
        <f>IF(ISNUMBER(Risultati!Y399/100),(Risultati!Y399/100))</f>
        <v>0</v>
      </c>
      <c r="BM400" s="16">
        <f>IF(ISNUMBER(Risultati!Z399/100),(Risultati!Z399/100))</f>
        <v>0</v>
      </c>
      <c r="BN400" s="16">
        <f>IF(AND(Risultati!AY399&lt;0,calcoli!AP400&lt;0),-IF(ISNUMBER(Risultati!AA399/100),(Risultati!AA399/100)),IF(ISNUMBER(Risultati!AA399/100),(Risultati!AA399/100)))</f>
        <v>0</v>
      </c>
      <c r="BO400" s="16" t="str">
        <f t="shared" si="336"/>
        <v>0</v>
      </c>
      <c r="BP400" s="16" t="str">
        <f>IF(Risultati!AB399&gt;0,(AV400/Risultati!AB399),"0")</f>
        <v>0</v>
      </c>
      <c r="BQ400" s="16" t="str">
        <f>IF(Risultati!AG399&lt;&gt;0,(BH400/Risultati!AG399),"0")</f>
        <v>0</v>
      </c>
      <c r="BR400" s="16" t="str">
        <f t="shared" si="337"/>
        <v>0</v>
      </c>
      <c r="BS400" s="14" t="str">
        <f>IF(Risultati!AB399&gt;0,(Risultati!G399/Risultati!AB399),"0")</f>
        <v>0</v>
      </c>
      <c r="BT400" s="15" t="str">
        <f>IF(Risultati!AG399&lt;&gt;0,(Risultati!AB399/Risultati!AG399),"0")</f>
        <v>0</v>
      </c>
      <c r="BU400" s="23" t="str">
        <f>IF(AND(Risultati!G399&gt;0,(Risultati!AE399-Risultati!AF399)&gt;=0),((Risultati!AE399-Risultati!AF399)/Risultati!G399*360),"0")</f>
        <v>0</v>
      </c>
      <c r="BV400" s="21" t="str">
        <f>IF(OR(E400="abbreviato",Risultati!G399=0),"0",((Risultati!AC399+Risultati!AD399)/Risultati!G399*360))</f>
        <v>0</v>
      </c>
      <c r="BW400" s="21" t="str">
        <f>IF(OR(E400="abbreviato",Risultati!G399=0,SUM(Risultati!I399+Risultati!K399+Risultati!M399)=0),"0",(((Risultati!AH399+Risultati!AI399)/(Risultati!I399+Risultati!K399+Risultati!N399)*360)))</f>
        <v>0</v>
      </c>
      <c r="BX400" s="16" t="str">
        <f>IF(Risultati!AB399&gt;0,(+Risultati!AG399/Risultati!AB399),"0")</f>
        <v>0</v>
      </c>
      <c r="BY400" s="22" t="str">
        <f>IF(OR(E400="abbreviato",Risultati!G399=0),"0",(((Risultati!AK399-(Risultati!AL399+Risultati!AM399))/Risultati!G399)))</f>
        <v>0</v>
      </c>
      <c r="BZ400" s="16" t="str">
        <f>IF(Risultati!G399&gt;0,(Risultati!AJ399/Risultati!G399),"0")</f>
        <v>0</v>
      </c>
      <c r="CA400" s="8"/>
      <c r="CB400" s="9">
        <f>+Risultati!AP399</f>
        <v>0</v>
      </c>
      <c r="CC400" s="31" t="str">
        <f t="shared" si="312"/>
        <v>0</v>
      </c>
      <c r="CD400" s="9">
        <f>+Risultati!AQ399</f>
        <v>0</v>
      </c>
      <c r="CE400" s="31" t="str">
        <f t="shared" si="313"/>
        <v>0</v>
      </c>
      <c r="CF400" s="9">
        <f>+Risultati!AR399</f>
        <v>0</v>
      </c>
      <c r="CG400" s="31" t="str">
        <f t="shared" si="314"/>
        <v>0</v>
      </c>
      <c r="CH400" s="9">
        <f>+Risultati!AS399</f>
        <v>0</v>
      </c>
      <c r="CI400" s="31" t="str">
        <f t="shared" si="315"/>
        <v>0</v>
      </c>
      <c r="CJ400" s="9">
        <f t="shared" si="316"/>
        <v>0</v>
      </c>
      <c r="CK400" s="31" t="str">
        <f t="shared" si="317"/>
        <v>0</v>
      </c>
      <c r="CL400" s="10">
        <f>+Risultati!AE399+Risultati!AF399</f>
        <v>0</v>
      </c>
      <c r="CM400" s="31" t="str">
        <f t="shared" si="318"/>
        <v>0</v>
      </c>
      <c r="CN400" s="9">
        <f>+Risultati!AT399</f>
        <v>0</v>
      </c>
      <c r="CO400" s="31" t="str">
        <f t="shared" si="319"/>
        <v>0</v>
      </c>
      <c r="CP400" s="9">
        <f>+Risultati!AU399</f>
        <v>0</v>
      </c>
      <c r="CQ400" s="31" t="str">
        <f t="shared" si="320"/>
        <v>0</v>
      </c>
      <c r="CR400" s="9">
        <f>+Risultati!AL399</f>
        <v>0</v>
      </c>
      <c r="CS400" s="31" t="str">
        <f t="shared" si="321"/>
        <v>0</v>
      </c>
      <c r="CT400" s="9">
        <f t="shared" si="322"/>
        <v>0</v>
      </c>
      <c r="CU400" s="31" t="str">
        <f t="shared" si="323"/>
        <v>0</v>
      </c>
      <c r="CV400" s="9">
        <f>+Risultati!AX399</f>
        <v>0</v>
      </c>
      <c r="CW400" s="31" t="str">
        <f t="shared" si="324"/>
        <v>0</v>
      </c>
      <c r="CX400" s="9">
        <f t="shared" si="325"/>
        <v>0</v>
      </c>
      <c r="CY400" s="31" t="str">
        <f t="shared" si="326"/>
        <v>0</v>
      </c>
      <c r="CZ400" s="9">
        <f>+Risultati!AG399</f>
        <v>0</v>
      </c>
      <c r="DA400" s="31" t="str">
        <f t="shared" si="327"/>
        <v>0</v>
      </c>
      <c r="DB400" s="9">
        <f t="shared" si="328"/>
        <v>0</v>
      </c>
      <c r="DC400" s="31" t="str">
        <f t="shared" si="329"/>
        <v>0</v>
      </c>
      <c r="DD400" s="9">
        <f>+Risultati!AV399</f>
        <v>0</v>
      </c>
      <c r="DE400" s="31" t="str">
        <f t="shared" si="330"/>
        <v>0</v>
      </c>
      <c r="DF400" s="9">
        <f>+Risultati!AJ399</f>
        <v>0</v>
      </c>
      <c r="DG400" s="31" t="str">
        <f t="shared" si="331"/>
        <v>0</v>
      </c>
      <c r="DH400" s="9">
        <f t="shared" si="332"/>
        <v>0</v>
      </c>
      <c r="DI400" s="31" t="str">
        <f t="shared" si="333"/>
        <v>0</v>
      </c>
      <c r="DJ400" s="9">
        <f>+Risultati!AW399</f>
        <v>0</v>
      </c>
      <c r="DK400" s="31" t="str">
        <f t="shared" si="334"/>
        <v>0</v>
      </c>
      <c r="DL400" s="10">
        <f t="shared" si="356"/>
        <v>0</v>
      </c>
      <c r="DM400" s="31" t="str">
        <f t="shared" si="335"/>
        <v>0</v>
      </c>
      <c r="DO400" s="30"/>
      <c r="DP400" s="30"/>
    </row>
    <row r="401" spans="1:120" x14ac:dyDescent="0.2">
      <c r="A401" s="5"/>
      <c r="B401" s="6">
        <f>+Risultati!B400</f>
        <v>0</v>
      </c>
      <c r="C401" s="6">
        <f>+Risultati!C400</f>
        <v>0</v>
      </c>
      <c r="D401" s="26" t="str">
        <f>IF(YEAR(Risultati!D400)=1900,(MID(Risultati!$AP$1,29,4)),YEAR(Risultati!D400))</f>
        <v/>
      </c>
      <c r="E401" s="6">
        <f>+Risultati!E400</f>
        <v>0</v>
      </c>
      <c r="F401" s="8" t="e">
        <f>(LEFT(Risultati!AN400,2)&amp;"-")&amp;VLOOKUP((LEFT(Risultati!AN400,2)),ateco!$B$4:$C$93,2,FALSE)</f>
        <v>#N/A</v>
      </c>
      <c r="G401" s="8" t="str">
        <f>SUBSTITUTE((Risultati!AN400&amp;"-"&amp;Risultati!AO400),",",";")</f>
        <v>-</v>
      </c>
      <c r="I401" s="10">
        <f>+Risultati!G400</f>
        <v>0</v>
      </c>
      <c r="J401" s="11" t="str">
        <f t="shared" si="338"/>
        <v>0</v>
      </c>
      <c r="K401" s="12"/>
      <c r="L401" s="10">
        <f>+Risultati!G400+Risultati!H400</f>
        <v>0</v>
      </c>
      <c r="M401" s="11" t="str">
        <f t="shared" si="339"/>
        <v>0</v>
      </c>
      <c r="N401" s="12"/>
      <c r="O401" s="10">
        <f>+Risultati!I400+Risultati!J400</f>
        <v>0</v>
      </c>
      <c r="P401" s="11" t="str">
        <f t="shared" si="340"/>
        <v>0</v>
      </c>
      <c r="Q401" s="12"/>
      <c r="R401" s="13">
        <f t="shared" si="306"/>
        <v>0</v>
      </c>
      <c r="S401" s="11" t="str">
        <f t="shared" si="341"/>
        <v>0</v>
      </c>
      <c r="T401" s="12"/>
      <c r="U401" s="10">
        <f>+Risultati!F400-(Risultati!G400+Risultati!H400)</f>
        <v>0</v>
      </c>
      <c r="V401" s="12" t="str">
        <f t="shared" si="342"/>
        <v>0</v>
      </c>
      <c r="W401" s="12"/>
      <c r="X401" s="10">
        <f t="shared" si="307"/>
        <v>0</v>
      </c>
      <c r="Y401" s="12" t="str">
        <f t="shared" si="343"/>
        <v>0</v>
      </c>
      <c r="Z401" s="12"/>
      <c r="AA401" s="10">
        <f>+Risultati!K400</f>
        <v>0</v>
      </c>
      <c r="AB401" s="12" t="str">
        <f t="shared" si="344"/>
        <v>0</v>
      </c>
      <c r="AC401" s="12"/>
      <c r="AD401" s="10">
        <f>+Risultati!L400</f>
        <v>0</v>
      </c>
      <c r="AE401" s="12" t="str">
        <f t="shared" si="345"/>
        <v>0</v>
      </c>
      <c r="AF401" s="12"/>
      <c r="AG401" s="10">
        <f>+Risultati!M400+Risultati!P400+Risultati!Q400</f>
        <v>0</v>
      </c>
      <c r="AH401" s="12" t="str">
        <f t="shared" si="346"/>
        <v>0</v>
      </c>
      <c r="AI401" s="12"/>
      <c r="AJ401" s="13">
        <f t="shared" si="308"/>
        <v>0</v>
      </c>
      <c r="AK401" s="11" t="str">
        <f t="shared" si="347"/>
        <v>0</v>
      </c>
      <c r="AL401" s="12"/>
      <c r="AM401" s="10">
        <f>+Risultati!N400</f>
        <v>0</v>
      </c>
      <c r="AN401" s="12" t="str">
        <f t="shared" si="348"/>
        <v>0</v>
      </c>
      <c r="AO401" s="12"/>
      <c r="AP401" s="10">
        <f t="shared" si="309"/>
        <v>0</v>
      </c>
      <c r="AQ401" s="41" t="str">
        <f t="shared" si="349"/>
        <v>0</v>
      </c>
      <c r="AR401" s="12"/>
      <c r="AS401" s="10">
        <f>+Risultati!O400</f>
        <v>0</v>
      </c>
      <c r="AT401" s="12" t="str">
        <f t="shared" si="350"/>
        <v>0</v>
      </c>
      <c r="AU401" s="12"/>
      <c r="AV401" s="10">
        <f t="shared" si="310"/>
        <v>0</v>
      </c>
      <c r="AW401" s="12" t="str">
        <f t="shared" si="351"/>
        <v>0</v>
      </c>
      <c r="AX401" s="12"/>
      <c r="AY401" s="10">
        <f>+Risultati!R400+Risultati!S400</f>
        <v>0</v>
      </c>
      <c r="AZ401" s="12" t="str">
        <f t="shared" si="352"/>
        <v>0</v>
      </c>
      <c r="BA401" s="12"/>
      <c r="BB401" s="10">
        <f>+Risultati!T400</f>
        <v>0</v>
      </c>
      <c r="BC401" s="12" t="str">
        <f t="shared" si="353"/>
        <v>0</v>
      </c>
      <c r="BD401" s="12"/>
      <c r="BE401" s="10">
        <f>+Risultati!U400</f>
        <v>0</v>
      </c>
      <c r="BF401" s="12" t="str">
        <f t="shared" si="354"/>
        <v>0</v>
      </c>
      <c r="BG401" s="12"/>
      <c r="BH401" s="10">
        <f t="shared" si="311"/>
        <v>0</v>
      </c>
      <c r="BI401" s="12" t="str">
        <f t="shared" si="355"/>
        <v>0</v>
      </c>
      <c r="BK401" s="16">
        <f>IF(ISNUMBER(Risultati!X400/100),(Risultati!X400/100))</f>
        <v>0</v>
      </c>
      <c r="BL401" s="16">
        <f>IF(ISNUMBER(Risultati!Y400/100),(Risultati!Y400/100))</f>
        <v>0</v>
      </c>
      <c r="BM401" s="16">
        <f>IF(ISNUMBER(Risultati!Z400/100),(Risultati!Z400/100))</f>
        <v>0</v>
      </c>
      <c r="BN401" s="16">
        <f>IF(AND(Risultati!AY400&lt;0,calcoli!AP401&lt;0),-IF(ISNUMBER(Risultati!AA400/100),(Risultati!AA400/100)),IF(ISNUMBER(Risultati!AA400/100),(Risultati!AA400/100)))</f>
        <v>0</v>
      </c>
      <c r="BO401" s="16" t="str">
        <f t="shared" si="336"/>
        <v>0</v>
      </c>
      <c r="BP401" s="16" t="str">
        <f>IF(Risultati!AB400&gt;0,(AV401/Risultati!AB400),"0")</f>
        <v>0</v>
      </c>
      <c r="BQ401" s="16" t="str">
        <f>IF(Risultati!AG400&lt;&gt;0,(BH401/Risultati!AG400),"0")</f>
        <v>0</v>
      </c>
      <c r="BR401" s="16" t="str">
        <f t="shared" si="337"/>
        <v>0</v>
      </c>
      <c r="BS401" s="14" t="str">
        <f>IF(Risultati!AB400&gt;0,(Risultati!G400/Risultati!AB400),"0")</f>
        <v>0</v>
      </c>
      <c r="BT401" s="15" t="str">
        <f>IF(Risultati!AG400&lt;&gt;0,(Risultati!AB400/Risultati!AG400),"0")</f>
        <v>0</v>
      </c>
      <c r="BU401" s="23" t="str">
        <f>IF(AND(Risultati!G400&gt;0,(Risultati!AE400-Risultati!AF400)&gt;=0),((Risultati!AE400-Risultati!AF400)/Risultati!G400*360),"0")</f>
        <v>0</v>
      </c>
      <c r="BV401" s="21" t="str">
        <f>IF(OR(E401="abbreviato",Risultati!G400=0),"0",((Risultati!AC400+Risultati!AD400)/Risultati!G400*360))</f>
        <v>0</v>
      </c>
      <c r="BW401" s="21" t="str">
        <f>IF(OR(E401="abbreviato",Risultati!G400=0,SUM(Risultati!I400+Risultati!K400+Risultati!M400)=0),"0",(((Risultati!AH400+Risultati!AI400)/(Risultati!I400+Risultati!K400+Risultati!N400)*360)))</f>
        <v>0</v>
      </c>
      <c r="BX401" s="16" t="str">
        <f>IF(Risultati!AB400&gt;0,(+Risultati!AG400/Risultati!AB400),"0")</f>
        <v>0</v>
      </c>
      <c r="BY401" s="22" t="str">
        <f>IF(OR(E401="abbreviato",Risultati!G400=0),"0",(((Risultati!AK400-(Risultati!AL400+Risultati!AM400))/Risultati!G400)))</f>
        <v>0</v>
      </c>
      <c r="BZ401" s="16" t="str">
        <f>IF(Risultati!G400&gt;0,(Risultati!AJ400/Risultati!G400),"0")</f>
        <v>0</v>
      </c>
      <c r="CA401" s="8"/>
      <c r="CB401" s="9">
        <f>+Risultati!AP400</f>
        <v>0</v>
      </c>
      <c r="CC401" s="31" t="str">
        <f t="shared" si="312"/>
        <v>0</v>
      </c>
      <c r="CD401" s="9">
        <f>+Risultati!AQ400</f>
        <v>0</v>
      </c>
      <c r="CE401" s="31" t="str">
        <f t="shared" si="313"/>
        <v>0</v>
      </c>
      <c r="CF401" s="9">
        <f>+Risultati!AR400</f>
        <v>0</v>
      </c>
      <c r="CG401" s="31" t="str">
        <f t="shared" si="314"/>
        <v>0</v>
      </c>
      <c r="CH401" s="9">
        <f>+Risultati!AS400</f>
        <v>0</v>
      </c>
      <c r="CI401" s="31" t="str">
        <f t="shared" si="315"/>
        <v>0</v>
      </c>
      <c r="CJ401" s="9">
        <f t="shared" si="316"/>
        <v>0</v>
      </c>
      <c r="CK401" s="31" t="str">
        <f t="shared" si="317"/>
        <v>0</v>
      </c>
      <c r="CL401" s="10">
        <f>+Risultati!AE400+Risultati!AF400</f>
        <v>0</v>
      </c>
      <c r="CM401" s="31" t="str">
        <f t="shared" si="318"/>
        <v>0</v>
      </c>
      <c r="CN401" s="9">
        <f>+Risultati!AT400</f>
        <v>0</v>
      </c>
      <c r="CO401" s="31" t="str">
        <f t="shared" si="319"/>
        <v>0</v>
      </c>
      <c r="CP401" s="9">
        <f>+Risultati!AU400</f>
        <v>0</v>
      </c>
      <c r="CQ401" s="31" t="str">
        <f t="shared" si="320"/>
        <v>0</v>
      </c>
      <c r="CR401" s="9">
        <f>+Risultati!AL400</f>
        <v>0</v>
      </c>
      <c r="CS401" s="31" t="str">
        <f t="shared" si="321"/>
        <v>0</v>
      </c>
      <c r="CT401" s="9">
        <f t="shared" si="322"/>
        <v>0</v>
      </c>
      <c r="CU401" s="31" t="str">
        <f t="shared" si="323"/>
        <v>0</v>
      </c>
      <c r="CV401" s="9">
        <f>+Risultati!AX400</f>
        <v>0</v>
      </c>
      <c r="CW401" s="31" t="str">
        <f t="shared" si="324"/>
        <v>0</v>
      </c>
      <c r="CX401" s="9">
        <f t="shared" si="325"/>
        <v>0</v>
      </c>
      <c r="CY401" s="31" t="str">
        <f t="shared" si="326"/>
        <v>0</v>
      </c>
      <c r="CZ401" s="9">
        <f>+Risultati!AG400</f>
        <v>0</v>
      </c>
      <c r="DA401" s="31" t="str">
        <f t="shared" si="327"/>
        <v>0</v>
      </c>
      <c r="DB401" s="9">
        <f t="shared" si="328"/>
        <v>0</v>
      </c>
      <c r="DC401" s="31" t="str">
        <f t="shared" si="329"/>
        <v>0</v>
      </c>
      <c r="DD401" s="9">
        <f>+Risultati!AV400</f>
        <v>0</v>
      </c>
      <c r="DE401" s="31" t="str">
        <f t="shared" si="330"/>
        <v>0</v>
      </c>
      <c r="DF401" s="9">
        <f>+Risultati!AJ400</f>
        <v>0</v>
      </c>
      <c r="DG401" s="31" t="str">
        <f t="shared" si="331"/>
        <v>0</v>
      </c>
      <c r="DH401" s="9">
        <f t="shared" si="332"/>
        <v>0</v>
      </c>
      <c r="DI401" s="31" t="str">
        <f t="shared" si="333"/>
        <v>0</v>
      </c>
      <c r="DJ401" s="9">
        <f>+Risultati!AW400</f>
        <v>0</v>
      </c>
      <c r="DK401" s="31" t="str">
        <f t="shared" si="334"/>
        <v>0</v>
      </c>
      <c r="DL401" s="10">
        <f t="shared" si="356"/>
        <v>0</v>
      </c>
      <c r="DM401" s="31" t="str">
        <f t="shared" si="335"/>
        <v>0</v>
      </c>
      <c r="DO401" s="30"/>
      <c r="DP401" s="30"/>
    </row>
    <row r="402" spans="1:120" x14ac:dyDescent="0.2">
      <c r="A402" s="5"/>
      <c r="B402" s="6">
        <f>+Risultati!B401</f>
        <v>0</v>
      </c>
      <c r="C402" s="6">
        <f>+Risultati!C401</f>
        <v>0</v>
      </c>
      <c r="D402" s="26" t="str">
        <f>IF(YEAR(Risultati!D401)=1900,(MID(Risultati!$AP$1,29,4)),YEAR(Risultati!D401))</f>
        <v/>
      </c>
      <c r="E402" s="6">
        <f>+Risultati!E401</f>
        <v>0</v>
      </c>
      <c r="F402" s="8" t="e">
        <f>(LEFT(Risultati!AN401,2)&amp;"-")&amp;VLOOKUP((LEFT(Risultati!AN401,2)),ateco!$B$4:$C$93,2,FALSE)</f>
        <v>#N/A</v>
      </c>
      <c r="G402" s="8" t="str">
        <f>SUBSTITUTE((Risultati!AN401&amp;"-"&amp;Risultati!AO401),",",";")</f>
        <v>-</v>
      </c>
      <c r="I402" s="10">
        <f>+Risultati!G401</f>
        <v>0</v>
      </c>
      <c r="J402" s="11" t="str">
        <f t="shared" si="338"/>
        <v>0</v>
      </c>
      <c r="K402" s="12"/>
      <c r="L402" s="10">
        <f>+Risultati!G401+Risultati!H401</f>
        <v>0</v>
      </c>
      <c r="M402" s="11" t="str">
        <f t="shared" si="339"/>
        <v>0</v>
      </c>
      <c r="N402" s="12"/>
      <c r="O402" s="10">
        <f>+Risultati!I401+Risultati!J401</f>
        <v>0</v>
      </c>
      <c r="P402" s="11" t="str">
        <f t="shared" si="340"/>
        <v>0</v>
      </c>
      <c r="Q402" s="12"/>
      <c r="R402" s="13">
        <f t="shared" si="306"/>
        <v>0</v>
      </c>
      <c r="S402" s="11" t="str">
        <f t="shared" si="341"/>
        <v>0</v>
      </c>
      <c r="T402" s="12"/>
      <c r="U402" s="10">
        <f>+Risultati!F401-(Risultati!G401+Risultati!H401)</f>
        <v>0</v>
      </c>
      <c r="V402" s="12" t="str">
        <f t="shared" si="342"/>
        <v>0</v>
      </c>
      <c r="W402" s="12"/>
      <c r="X402" s="10">
        <f t="shared" si="307"/>
        <v>0</v>
      </c>
      <c r="Y402" s="12" t="str">
        <f t="shared" si="343"/>
        <v>0</v>
      </c>
      <c r="Z402" s="12"/>
      <c r="AA402" s="10">
        <f>+Risultati!K401</f>
        <v>0</v>
      </c>
      <c r="AB402" s="12" t="str">
        <f t="shared" si="344"/>
        <v>0</v>
      </c>
      <c r="AC402" s="12"/>
      <c r="AD402" s="10">
        <f>+Risultati!L401</f>
        <v>0</v>
      </c>
      <c r="AE402" s="12" t="str">
        <f t="shared" si="345"/>
        <v>0</v>
      </c>
      <c r="AF402" s="12"/>
      <c r="AG402" s="10">
        <f>+Risultati!M401+Risultati!P401+Risultati!Q401</f>
        <v>0</v>
      </c>
      <c r="AH402" s="12" t="str">
        <f t="shared" si="346"/>
        <v>0</v>
      </c>
      <c r="AI402" s="12"/>
      <c r="AJ402" s="13">
        <f t="shared" si="308"/>
        <v>0</v>
      </c>
      <c r="AK402" s="11" t="str">
        <f t="shared" si="347"/>
        <v>0</v>
      </c>
      <c r="AL402" s="12"/>
      <c r="AM402" s="10">
        <f>+Risultati!N401</f>
        <v>0</v>
      </c>
      <c r="AN402" s="12" t="str">
        <f t="shared" si="348"/>
        <v>0</v>
      </c>
      <c r="AO402" s="12"/>
      <c r="AP402" s="10">
        <f t="shared" si="309"/>
        <v>0</v>
      </c>
      <c r="AQ402" s="41" t="str">
        <f t="shared" si="349"/>
        <v>0</v>
      </c>
      <c r="AR402" s="12"/>
      <c r="AS402" s="10">
        <f>+Risultati!O401</f>
        <v>0</v>
      </c>
      <c r="AT402" s="12" t="str">
        <f t="shared" si="350"/>
        <v>0</v>
      </c>
      <c r="AU402" s="12"/>
      <c r="AV402" s="10">
        <f t="shared" si="310"/>
        <v>0</v>
      </c>
      <c r="AW402" s="12" t="str">
        <f t="shared" si="351"/>
        <v>0</v>
      </c>
      <c r="AX402" s="12"/>
      <c r="AY402" s="10">
        <f>+Risultati!R401+Risultati!S401</f>
        <v>0</v>
      </c>
      <c r="AZ402" s="12" t="str">
        <f t="shared" si="352"/>
        <v>0</v>
      </c>
      <c r="BA402" s="12"/>
      <c r="BB402" s="10">
        <f>+Risultati!T401</f>
        <v>0</v>
      </c>
      <c r="BC402" s="12" t="str">
        <f t="shared" si="353"/>
        <v>0</v>
      </c>
      <c r="BD402" s="12"/>
      <c r="BE402" s="10">
        <f>+Risultati!U401</f>
        <v>0</v>
      </c>
      <c r="BF402" s="12" t="str">
        <f t="shared" si="354"/>
        <v>0</v>
      </c>
      <c r="BG402" s="12"/>
      <c r="BH402" s="10">
        <f t="shared" si="311"/>
        <v>0</v>
      </c>
      <c r="BI402" s="12" t="str">
        <f t="shared" si="355"/>
        <v>0</v>
      </c>
      <c r="BK402" s="16">
        <f>IF(ISNUMBER(Risultati!X401/100),(Risultati!X401/100))</f>
        <v>0</v>
      </c>
      <c r="BL402" s="16">
        <f>IF(ISNUMBER(Risultati!Y401/100),(Risultati!Y401/100))</f>
        <v>0</v>
      </c>
      <c r="BM402" s="16">
        <f>IF(ISNUMBER(Risultati!Z401/100),(Risultati!Z401/100))</f>
        <v>0</v>
      </c>
      <c r="BN402" s="16">
        <f>IF(AND(Risultati!AY401&lt;0,calcoli!AP402&lt;0),-IF(ISNUMBER(Risultati!AA401/100),(Risultati!AA401/100)),IF(ISNUMBER(Risultati!AA401/100),(Risultati!AA401/100)))</f>
        <v>0</v>
      </c>
      <c r="BO402" s="16" t="str">
        <f t="shared" si="336"/>
        <v>0</v>
      </c>
      <c r="BP402" s="16" t="str">
        <f>IF(Risultati!AB401&gt;0,(AV402/Risultati!AB401),"0")</f>
        <v>0</v>
      </c>
      <c r="BQ402" s="16" t="str">
        <f>IF(Risultati!AG401&lt;&gt;0,(BH402/Risultati!AG401),"0")</f>
        <v>0</v>
      </c>
      <c r="BR402" s="16" t="str">
        <f t="shared" si="337"/>
        <v>0</v>
      </c>
      <c r="BS402" s="14" t="str">
        <f>IF(Risultati!AB401&gt;0,(Risultati!G401/Risultati!AB401),"0")</f>
        <v>0</v>
      </c>
      <c r="BT402" s="15" t="str">
        <f>IF(Risultati!AG401&lt;&gt;0,(Risultati!AB401/Risultati!AG401),"0")</f>
        <v>0</v>
      </c>
      <c r="BU402" s="23" t="str">
        <f>IF(AND(Risultati!G401&gt;0,(Risultati!AE401-Risultati!AF401)&gt;=0),((Risultati!AE401-Risultati!AF401)/Risultati!G401*360),"0")</f>
        <v>0</v>
      </c>
      <c r="BV402" s="21" t="str">
        <f>IF(OR(E402="abbreviato",Risultati!G401=0),"0",((Risultati!AC401+Risultati!AD401)/Risultati!G401*360))</f>
        <v>0</v>
      </c>
      <c r="BW402" s="21" t="str">
        <f>IF(OR(E402="abbreviato",Risultati!G401=0,SUM(Risultati!I401+Risultati!K401+Risultati!M401)=0),"0",(((Risultati!AH401+Risultati!AI401)/(Risultati!I401+Risultati!K401+Risultati!N401)*360)))</f>
        <v>0</v>
      </c>
      <c r="BX402" s="16" t="str">
        <f>IF(Risultati!AB401&gt;0,(+Risultati!AG401/Risultati!AB401),"0")</f>
        <v>0</v>
      </c>
      <c r="BY402" s="22" t="str">
        <f>IF(OR(E402="abbreviato",Risultati!G401=0),"0",(((Risultati!AK401-(Risultati!AL401+Risultati!AM401))/Risultati!G401)))</f>
        <v>0</v>
      </c>
      <c r="BZ402" s="16" t="str">
        <f>IF(Risultati!G401&gt;0,(Risultati!AJ401/Risultati!G401),"0")</f>
        <v>0</v>
      </c>
      <c r="CA402" s="8"/>
      <c r="CB402" s="9">
        <f>+Risultati!AP401</f>
        <v>0</v>
      </c>
      <c r="CC402" s="31" t="str">
        <f t="shared" si="312"/>
        <v>0</v>
      </c>
      <c r="CD402" s="9">
        <f>+Risultati!AQ401</f>
        <v>0</v>
      </c>
      <c r="CE402" s="31" t="str">
        <f t="shared" si="313"/>
        <v>0</v>
      </c>
      <c r="CF402" s="9">
        <f>+Risultati!AR401</f>
        <v>0</v>
      </c>
      <c r="CG402" s="31" t="str">
        <f t="shared" si="314"/>
        <v>0</v>
      </c>
      <c r="CH402" s="9">
        <f>+Risultati!AS401</f>
        <v>0</v>
      </c>
      <c r="CI402" s="31" t="str">
        <f t="shared" si="315"/>
        <v>0</v>
      </c>
      <c r="CJ402" s="9">
        <f t="shared" si="316"/>
        <v>0</v>
      </c>
      <c r="CK402" s="31" t="str">
        <f t="shared" si="317"/>
        <v>0</v>
      </c>
      <c r="CL402" s="10">
        <f>+Risultati!AE401+Risultati!AF401</f>
        <v>0</v>
      </c>
      <c r="CM402" s="31" t="str">
        <f t="shared" si="318"/>
        <v>0</v>
      </c>
      <c r="CN402" s="9">
        <f>+Risultati!AT401</f>
        <v>0</v>
      </c>
      <c r="CO402" s="31" t="str">
        <f t="shared" si="319"/>
        <v>0</v>
      </c>
      <c r="CP402" s="9">
        <f>+Risultati!AU401</f>
        <v>0</v>
      </c>
      <c r="CQ402" s="31" t="str">
        <f t="shared" si="320"/>
        <v>0</v>
      </c>
      <c r="CR402" s="9">
        <f>+Risultati!AL401</f>
        <v>0</v>
      </c>
      <c r="CS402" s="31" t="str">
        <f t="shared" si="321"/>
        <v>0</v>
      </c>
      <c r="CT402" s="9">
        <f t="shared" si="322"/>
        <v>0</v>
      </c>
      <c r="CU402" s="31" t="str">
        <f t="shared" si="323"/>
        <v>0</v>
      </c>
      <c r="CV402" s="9">
        <f>+Risultati!AX401</f>
        <v>0</v>
      </c>
      <c r="CW402" s="31" t="str">
        <f t="shared" si="324"/>
        <v>0</v>
      </c>
      <c r="CX402" s="9">
        <f t="shared" si="325"/>
        <v>0</v>
      </c>
      <c r="CY402" s="31" t="str">
        <f t="shared" si="326"/>
        <v>0</v>
      </c>
      <c r="CZ402" s="9">
        <f>+Risultati!AG401</f>
        <v>0</v>
      </c>
      <c r="DA402" s="31" t="str">
        <f t="shared" si="327"/>
        <v>0</v>
      </c>
      <c r="DB402" s="9">
        <f t="shared" si="328"/>
        <v>0</v>
      </c>
      <c r="DC402" s="31" t="str">
        <f t="shared" si="329"/>
        <v>0</v>
      </c>
      <c r="DD402" s="9">
        <f>+Risultati!AV401</f>
        <v>0</v>
      </c>
      <c r="DE402" s="31" t="str">
        <f t="shared" si="330"/>
        <v>0</v>
      </c>
      <c r="DF402" s="9">
        <f>+Risultati!AJ401</f>
        <v>0</v>
      </c>
      <c r="DG402" s="31" t="str">
        <f t="shared" si="331"/>
        <v>0</v>
      </c>
      <c r="DH402" s="9">
        <f t="shared" si="332"/>
        <v>0</v>
      </c>
      <c r="DI402" s="31" t="str">
        <f t="shared" si="333"/>
        <v>0</v>
      </c>
      <c r="DJ402" s="9">
        <f>+Risultati!AW401</f>
        <v>0</v>
      </c>
      <c r="DK402" s="31" t="str">
        <f t="shared" si="334"/>
        <v>0</v>
      </c>
      <c r="DL402" s="10">
        <f t="shared" si="356"/>
        <v>0</v>
      </c>
      <c r="DM402" s="31" t="str">
        <f t="shared" si="335"/>
        <v>0</v>
      </c>
      <c r="DO402" s="30"/>
      <c r="DP402" s="30"/>
    </row>
    <row r="403" spans="1:120" x14ac:dyDescent="0.2">
      <c r="A403" s="5"/>
      <c r="B403" s="6">
        <f>+Risultati!B402</f>
        <v>0</v>
      </c>
      <c r="C403" s="6">
        <f>+Risultati!C402</f>
        <v>0</v>
      </c>
      <c r="D403" s="26" t="str">
        <f>IF(YEAR(Risultati!D402)=1900,(MID(Risultati!$AP$1,29,4)),YEAR(Risultati!D402))</f>
        <v/>
      </c>
      <c r="E403" s="6">
        <f>+Risultati!E402</f>
        <v>0</v>
      </c>
      <c r="F403" s="8" t="e">
        <f>(LEFT(Risultati!AN402,2)&amp;"-")&amp;VLOOKUP((LEFT(Risultati!AN402,2)),ateco!$B$4:$C$93,2,FALSE)</f>
        <v>#N/A</v>
      </c>
      <c r="G403" s="8" t="str">
        <f>SUBSTITUTE((Risultati!AN402&amp;"-"&amp;Risultati!AO402),",",";")</f>
        <v>-</v>
      </c>
      <c r="I403" s="10">
        <f>+Risultati!G402</f>
        <v>0</v>
      </c>
      <c r="J403" s="11" t="str">
        <f t="shared" si="338"/>
        <v>0</v>
      </c>
      <c r="K403" s="12"/>
      <c r="L403" s="10">
        <f>+Risultati!G402+Risultati!H402</f>
        <v>0</v>
      </c>
      <c r="M403" s="11" t="str">
        <f t="shared" si="339"/>
        <v>0</v>
      </c>
      <c r="N403" s="12"/>
      <c r="O403" s="10">
        <f>+Risultati!I402+Risultati!J402</f>
        <v>0</v>
      </c>
      <c r="P403" s="11" t="str">
        <f t="shared" si="340"/>
        <v>0</v>
      </c>
      <c r="Q403" s="12"/>
      <c r="R403" s="13">
        <f t="shared" si="306"/>
        <v>0</v>
      </c>
      <c r="S403" s="11" t="str">
        <f t="shared" si="341"/>
        <v>0</v>
      </c>
      <c r="T403" s="12"/>
      <c r="U403" s="10">
        <f>+Risultati!F402-(Risultati!G402+Risultati!H402)</f>
        <v>0</v>
      </c>
      <c r="V403" s="12" t="str">
        <f t="shared" si="342"/>
        <v>0</v>
      </c>
      <c r="W403" s="12"/>
      <c r="X403" s="10">
        <f t="shared" si="307"/>
        <v>0</v>
      </c>
      <c r="Y403" s="12" t="str">
        <f t="shared" si="343"/>
        <v>0</v>
      </c>
      <c r="Z403" s="12"/>
      <c r="AA403" s="10">
        <f>+Risultati!K402</f>
        <v>0</v>
      </c>
      <c r="AB403" s="12" t="str">
        <f t="shared" si="344"/>
        <v>0</v>
      </c>
      <c r="AC403" s="12"/>
      <c r="AD403" s="10">
        <f>+Risultati!L402</f>
        <v>0</v>
      </c>
      <c r="AE403" s="12" t="str">
        <f t="shared" si="345"/>
        <v>0</v>
      </c>
      <c r="AF403" s="12"/>
      <c r="AG403" s="10">
        <f>+Risultati!M402+Risultati!P402+Risultati!Q402</f>
        <v>0</v>
      </c>
      <c r="AH403" s="12" t="str">
        <f t="shared" si="346"/>
        <v>0</v>
      </c>
      <c r="AI403" s="12"/>
      <c r="AJ403" s="13">
        <f t="shared" si="308"/>
        <v>0</v>
      </c>
      <c r="AK403" s="11" t="str">
        <f t="shared" si="347"/>
        <v>0</v>
      </c>
      <c r="AL403" s="12"/>
      <c r="AM403" s="10">
        <f>+Risultati!N402</f>
        <v>0</v>
      </c>
      <c r="AN403" s="12" t="str">
        <f t="shared" si="348"/>
        <v>0</v>
      </c>
      <c r="AO403" s="12"/>
      <c r="AP403" s="10">
        <f t="shared" si="309"/>
        <v>0</v>
      </c>
      <c r="AQ403" s="41" t="str">
        <f t="shared" si="349"/>
        <v>0</v>
      </c>
      <c r="AR403" s="12"/>
      <c r="AS403" s="10">
        <f>+Risultati!O402</f>
        <v>0</v>
      </c>
      <c r="AT403" s="12" t="str">
        <f t="shared" si="350"/>
        <v>0</v>
      </c>
      <c r="AU403" s="12"/>
      <c r="AV403" s="10">
        <f t="shared" si="310"/>
        <v>0</v>
      </c>
      <c r="AW403" s="12" t="str">
        <f t="shared" si="351"/>
        <v>0</v>
      </c>
      <c r="AX403" s="12"/>
      <c r="AY403" s="10">
        <f>+Risultati!R402+Risultati!S402</f>
        <v>0</v>
      </c>
      <c r="AZ403" s="12" t="str">
        <f t="shared" si="352"/>
        <v>0</v>
      </c>
      <c r="BA403" s="12"/>
      <c r="BB403" s="10">
        <f>+Risultati!T402</f>
        <v>0</v>
      </c>
      <c r="BC403" s="12" t="str">
        <f t="shared" si="353"/>
        <v>0</v>
      </c>
      <c r="BD403" s="12"/>
      <c r="BE403" s="10">
        <f>+Risultati!U402</f>
        <v>0</v>
      </c>
      <c r="BF403" s="12" t="str">
        <f t="shared" si="354"/>
        <v>0</v>
      </c>
      <c r="BG403" s="12"/>
      <c r="BH403" s="10">
        <f t="shared" si="311"/>
        <v>0</v>
      </c>
      <c r="BI403" s="12" t="str">
        <f t="shared" si="355"/>
        <v>0</v>
      </c>
      <c r="BK403" s="16">
        <f>IF(ISNUMBER(Risultati!X402/100),(Risultati!X402/100))</f>
        <v>0</v>
      </c>
      <c r="BL403" s="16">
        <f>IF(ISNUMBER(Risultati!Y402/100),(Risultati!Y402/100))</f>
        <v>0</v>
      </c>
      <c r="BM403" s="16">
        <f>IF(ISNUMBER(Risultati!Z402/100),(Risultati!Z402/100))</f>
        <v>0</v>
      </c>
      <c r="BN403" s="16">
        <f>IF(AND(Risultati!AY402&lt;0,calcoli!AP403&lt;0),-IF(ISNUMBER(Risultati!AA402/100),(Risultati!AA402/100)),IF(ISNUMBER(Risultati!AA402/100),(Risultati!AA402/100)))</f>
        <v>0</v>
      </c>
      <c r="BO403" s="16" t="str">
        <f t="shared" si="336"/>
        <v>0</v>
      </c>
      <c r="BP403" s="16" t="str">
        <f>IF(Risultati!AB402&gt;0,(AV403/Risultati!AB402),"0")</f>
        <v>0</v>
      </c>
      <c r="BQ403" s="16" t="str">
        <f>IF(Risultati!AG402&lt;&gt;0,(BH403/Risultati!AG402),"0")</f>
        <v>0</v>
      </c>
      <c r="BR403" s="16" t="str">
        <f t="shared" si="337"/>
        <v>0</v>
      </c>
      <c r="BS403" s="14" t="str">
        <f>IF(Risultati!AB402&gt;0,(Risultati!G402/Risultati!AB402),"0")</f>
        <v>0</v>
      </c>
      <c r="BT403" s="15" t="str">
        <f>IF(Risultati!AG402&lt;&gt;0,(Risultati!AB402/Risultati!AG402),"0")</f>
        <v>0</v>
      </c>
      <c r="BU403" s="23" t="str">
        <f>IF(AND(Risultati!G402&gt;0,(Risultati!AE402-Risultati!AF402)&gt;=0),((Risultati!AE402-Risultati!AF402)/Risultati!G402*360),"0")</f>
        <v>0</v>
      </c>
      <c r="BV403" s="21" t="str">
        <f>IF(OR(E403="abbreviato",Risultati!G402=0),"0",((Risultati!AC402+Risultati!AD402)/Risultati!G402*360))</f>
        <v>0</v>
      </c>
      <c r="BW403" s="21" t="str">
        <f>IF(OR(E403="abbreviato",Risultati!G402=0,SUM(Risultati!I402+Risultati!K402+Risultati!M402)=0),"0",(((Risultati!AH402+Risultati!AI402)/(Risultati!I402+Risultati!K402+Risultati!N402)*360)))</f>
        <v>0</v>
      </c>
      <c r="BX403" s="16" t="str">
        <f>IF(Risultati!AB402&gt;0,(+Risultati!AG402/Risultati!AB402),"0")</f>
        <v>0</v>
      </c>
      <c r="BY403" s="22" t="str">
        <f>IF(OR(E403="abbreviato",Risultati!G402=0),"0",(((Risultati!AK402-(Risultati!AL402+Risultati!AM402))/Risultati!G402)))</f>
        <v>0</v>
      </c>
      <c r="BZ403" s="16" t="str">
        <f>IF(Risultati!G402&gt;0,(Risultati!AJ402/Risultati!G402),"0")</f>
        <v>0</v>
      </c>
      <c r="CA403" s="8"/>
      <c r="CB403" s="9">
        <f>+Risultati!AP402</f>
        <v>0</v>
      </c>
      <c r="CC403" s="31" t="str">
        <f t="shared" si="312"/>
        <v>0</v>
      </c>
      <c r="CD403" s="9">
        <f>+Risultati!AQ402</f>
        <v>0</v>
      </c>
      <c r="CE403" s="31" t="str">
        <f t="shared" si="313"/>
        <v>0</v>
      </c>
      <c r="CF403" s="9">
        <f>+Risultati!AR402</f>
        <v>0</v>
      </c>
      <c r="CG403" s="31" t="str">
        <f t="shared" si="314"/>
        <v>0</v>
      </c>
      <c r="CH403" s="9">
        <f>+Risultati!AS402</f>
        <v>0</v>
      </c>
      <c r="CI403" s="31" t="str">
        <f t="shared" si="315"/>
        <v>0</v>
      </c>
      <c r="CJ403" s="9">
        <f t="shared" si="316"/>
        <v>0</v>
      </c>
      <c r="CK403" s="31" t="str">
        <f t="shared" si="317"/>
        <v>0</v>
      </c>
      <c r="CL403" s="10">
        <f>+Risultati!AE402+Risultati!AF402</f>
        <v>0</v>
      </c>
      <c r="CM403" s="31" t="str">
        <f t="shared" si="318"/>
        <v>0</v>
      </c>
      <c r="CN403" s="9">
        <f>+Risultati!AT402</f>
        <v>0</v>
      </c>
      <c r="CO403" s="31" t="str">
        <f t="shared" si="319"/>
        <v>0</v>
      </c>
      <c r="CP403" s="9">
        <f>+Risultati!AU402</f>
        <v>0</v>
      </c>
      <c r="CQ403" s="31" t="str">
        <f t="shared" si="320"/>
        <v>0</v>
      </c>
      <c r="CR403" s="9">
        <f>+Risultati!AL402</f>
        <v>0</v>
      </c>
      <c r="CS403" s="31" t="str">
        <f t="shared" si="321"/>
        <v>0</v>
      </c>
      <c r="CT403" s="9">
        <f t="shared" si="322"/>
        <v>0</v>
      </c>
      <c r="CU403" s="31" t="str">
        <f t="shared" si="323"/>
        <v>0</v>
      </c>
      <c r="CV403" s="9">
        <f>+Risultati!AX402</f>
        <v>0</v>
      </c>
      <c r="CW403" s="31" t="str">
        <f t="shared" si="324"/>
        <v>0</v>
      </c>
      <c r="CX403" s="9">
        <f t="shared" si="325"/>
        <v>0</v>
      </c>
      <c r="CY403" s="31" t="str">
        <f t="shared" si="326"/>
        <v>0</v>
      </c>
      <c r="CZ403" s="9">
        <f>+Risultati!AG402</f>
        <v>0</v>
      </c>
      <c r="DA403" s="31" t="str">
        <f t="shared" si="327"/>
        <v>0</v>
      </c>
      <c r="DB403" s="9">
        <f t="shared" si="328"/>
        <v>0</v>
      </c>
      <c r="DC403" s="31" t="str">
        <f t="shared" si="329"/>
        <v>0</v>
      </c>
      <c r="DD403" s="9">
        <f>+Risultati!AV402</f>
        <v>0</v>
      </c>
      <c r="DE403" s="31" t="str">
        <f t="shared" si="330"/>
        <v>0</v>
      </c>
      <c r="DF403" s="9">
        <f>+Risultati!AJ402</f>
        <v>0</v>
      </c>
      <c r="DG403" s="31" t="str">
        <f t="shared" si="331"/>
        <v>0</v>
      </c>
      <c r="DH403" s="9">
        <f t="shared" si="332"/>
        <v>0</v>
      </c>
      <c r="DI403" s="31" t="str">
        <f t="shared" si="333"/>
        <v>0</v>
      </c>
      <c r="DJ403" s="9">
        <f>+Risultati!AW402</f>
        <v>0</v>
      </c>
      <c r="DK403" s="31" t="str">
        <f t="shared" si="334"/>
        <v>0</v>
      </c>
      <c r="DL403" s="10">
        <f t="shared" si="356"/>
        <v>0</v>
      </c>
      <c r="DM403" s="31" t="str">
        <f t="shared" si="335"/>
        <v>0</v>
      </c>
      <c r="DO403" s="30"/>
      <c r="DP403" s="30"/>
    </row>
    <row r="404" spans="1:120" x14ac:dyDescent="0.2">
      <c r="A404" s="5"/>
      <c r="B404" s="6">
        <f>+Risultati!B403</f>
        <v>0</v>
      </c>
      <c r="C404" s="6">
        <f>+Risultati!C403</f>
        <v>0</v>
      </c>
      <c r="D404" s="26" t="str">
        <f>IF(YEAR(Risultati!D403)=1900,(MID(Risultati!$AP$1,29,4)),YEAR(Risultati!D403))</f>
        <v/>
      </c>
      <c r="E404" s="6">
        <f>+Risultati!E403</f>
        <v>0</v>
      </c>
      <c r="F404" s="8" t="e">
        <f>(LEFT(Risultati!AN403,2)&amp;"-")&amp;VLOOKUP((LEFT(Risultati!AN403,2)),ateco!$B$4:$C$93,2,FALSE)</f>
        <v>#N/A</v>
      </c>
      <c r="G404" s="8" t="str">
        <f>SUBSTITUTE((Risultati!AN403&amp;"-"&amp;Risultati!AO403),",",";")</f>
        <v>-</v>
      </c>
      <c r="I404" s="10">
        <f>+Risultati!G403</f>
        <v>0</v>
      </c>
      <c r="J404" s="11" t="str">
        <f t="shared" si="338"/>
        <v>0</v>
      </c>
      <c r="K404" s="12"/>
      <c r="L404" s="10">
        <f>+Risultati!G403+Risultati!H403</f>
        <v>0</v>
      </c>
      <c r="M404" s="11" t="str">
        <f t="shared" si="339"/>
        <v>0</v>
      </c>
      <c r="N404" s="12"/>
      <c r="O404" s="10">
        <f>+Risultati!I403+Risultati!J403</f>
        <v>0</v>
      </c>
      <c r="P404" s="11" t="str">
        <f t="shared" si="340"/>
        <v>0</v>
      </c>
      <c r="Q404" s="12"/>
      <c r="R404" s="13">
        <f t="shared" si="306"/>
        <v>0</v>
      </c>
      <c r="S404" s="11" t="str">
        <f t="shared" si="341"/>
        <v>0</v>
      </c>
      <c r="T404" s="12"/>
      <c r="U404" s="10">
        <f>+Risultati!F403-(Risultati!G403+Risultati!H403)</f>
        <v>0</v>
      </c>
      <c r="V404" s="12" t="str">
        <f t="shared" si="342"/>
        <v>0</v>
      </c>
      <c r="W404" s="12"/>
      <c r="X404" s="10">
        <f t="shared" si="307"/>
        <v>0</v>
      </c>
      <c r="Y404" s="12" t="str">
        <f t="shared" si="343"/>
        <v>0</v>
      </c>
      <c r="Z404" s="12"/>
      <c r="AA404" s="10">
        <f>+Risultati!K403</f>
        <v>0</v>
      </c>
      <c r="AB404" s="12" t="str">
        <f t="shared" si="344"/>
        <v>0</v>
      </c>
      <c r="AC404" s="12"/>
      <c r="AD404" s="10">
        <f>+Risultati!L403</f>
        <v>0</v>
      </c>
      <c r="AE404" s="12" t="str">
        <f t="shared" si="345"/>
        <v>0</v>
      </c>
      <c r="AF404" s="12"/>
      <c r="AG404" s="10">
        <f>+Risultati!M403+Risultati!P403+Risultati!Q403</f>
        <v>0</v>
      </c>
      <c r="AH404" s="12" t="str">
        <f t="shared" si="346"/>
        <v>0</v>
      </c>
      <c r="AI404" s="12"/>
      <c r="AJ404" s="13">
        <f t="shared" si="308"/>
        <v>0</v>
      </c>
      <c r="AK404" s="11" t="str">
        <f t="shared" si="347"/>
        <v>0</v>
      </c>
      <c r="AL404" s="12"/>
      <c r="AM404" s="10">
        <f>+Risultati!N403</f>
        <v>0</v>
      </c>
      <c r="AN404" s="12" t="str">
        <f t="shared" si="348"/>
        <v>0</v>
      </c>
      <c r="AO404" s="12"/>
      <c r="AP404" s="10">
        <f t="shared" si="309"/>
        <v>0</v>
      </c>
      <c r="AQ404" s="41" t="str">
        <f t="shared" si="349"/>
        <v>0</v>
      </c>
      <c r="AR404" s="12"/>
      <c r="AS404" s="10">
        <f>+Risultati!O403</f>
        <v>0</v>
      </c>
      <c r="AT404" s="12" t="str">
        <f t="shared" si="350"/>
        <v>0</v>
      </c>
      <c r="AU404" s="12"/>
      <c r="AV404" s="10">
        <f t="shared" si="310"/>
        <v>0</v>
      </c>
      <c r="AW404" s="12" t="str">
        <f t="shared" si="351"/>
        <v>0</v>
      </c>
      <c r="AX404" s="12"/>
      <c r="AY404" s="10">
        <f>+Risultati!R403+Risultati!S403</f>
        <v>0</v>
      </c>
      <c r="AZ404" s="12" t="str">
        <f t="shared" si="352"/>
        <v>0</v>
      </c>
      <c r="BA404" s="12"/>
      <c r="BB404" s="10">
        <f>+Risultati!T403</f>
        <v>0</v>
      </c>
      <c r="BC404" s="12" t="str">
        <f t="shared" si="353"/>
        <v>0</v>
      </c>
      <c r="BD404" s="12"/>
      <c r="BE404" s="10">
        <f>+Risultati!U403</f>
        <v>0</v>
      </c>
      <c r="BF404" s="12" t="str">
        <f t="shared" si="354"/>
        <v>0</v>
      </c>
      <c r="BG404" s="12"/>
      <c r="BH404" s="10">
        <f t="shared" si="311"/>
        <v>0</v>
      </c>
      <c r="BI404" s="12" t="str">
        <f t="shared" si="355"/>
        <v>0</v>
      </c>
      <c r="BK404" s="16">
        <f>IF(ISNUMBER(Risultati!X403/100),(Risultati!X403/100))</f>
        <v>0</v>
      </c>
      <c r="BL404" s="16">
        <f>IF(ISNUMBER(Risultati!Y403/100),(Risultati!Y403/100))</f>
        <v>0</v>
      </c>
      <c r="BM404" s="16">
        <f>IF(ISNUMBER(Risultati!Z403/100),(Risultati!Z403/100))</f>
        <v>0</v>
      </c>
      <c r="BN404" s="16">
        <f>IF(AND(Risultati!AY403&lt;0,calcoli!AP404&lt;0),-IF(ISNUMBER(Risultati!AA403/100),(Risultati!AA403/100)),IF(ISNUMBER(Risultati!AA403/100),(Risultati!AA403/100)))</f>
        <v>0</v>
      </c>
      <c r="BO404" s="16" t="str">
        <f t="shared" si="336"/>
        <v>0</v>
      </c>
      <c r="BP404" s="16" t="str">
        <f>IF(Risultati!AB403&gt;0,(AV404/Risultati!AB403),"0")</f>
        <v>0</v>
      </c>
      <c r="BQ404" s="16" t="str">
        <f>IF(Risultati!AG403&lt;&gt;0,(BH404/Risultati!AG403),"0")</f>
        <v>0</v>
      </c>
      <c r="BR404" s="16" t="str">
        <f t="shared" si="337"/>
        <v>0</v>
      </c>
      <c r="BS404" s="14" t="str">
        <f>IF(Risultati!AB403&gt;0,(Risultati!G403/Risultati!AB403),"0")</f>
        <v>0</v>
      </c>
      <c r="BT404" s="15" t="str">
        <f>IF(Risultati!AG403&lt;&gt;0,(Risultati!AB403/Risultati!AG403),"0")</f>
        <v>0</v>
      </c>
      <c r="BU404" s="23" t="str">
        <f>IF(AND(Risultati!G403&gt;0,(Risultati!AE403-Risultati!AF403)&gt;=0),((Risultati!AE403-Risultati!AF403)/Risultati!G403*360),"0")</f>
        <v>0</v>
      </c>
      <c r="BV404" s="21" t="str">
        <f>IF(OR(E404="abbreviato",Risultati!G403=0),"0",((Risultati!AC403+Risultati!AD403)/Risultati!G403*360))</f>
        <v>0</v>
      </c>
      <c r="BW404" s="21" t="str">
        <f>IF(OR(E404="abbreviato",Risultati!G403=0,SUM(Risultati!I403+Risultati!K403+Risultati!M403)=0),"0",(((Risultati!AH403+Risultati!AI403)/(Risultati!I403+Risultati!K403+Risultati!N403)*360)))</f>
        <v>0</v>
      </c>
      <c r="BX404" s="16" t="str">
        <f>IF(Risultati!AB403&gt;0,(+Risultati!AG403/Risultati!AB403),"0")</f>
        <v>0</v>
      </c>
      <c r="BY404" s="22" t="str">
        <f>IF(OR(E404="abbreviato",Risultati!G403=0),"0",(((Risultati!AK403-(Risultati!AL403+Risultati!AM403))/Risultati!G403)))</f>
        <v>0</v>
      </c>
      <c r="BZ404" s="16" t="str">
        <f>IF(Risultati!G403&gt;0,(Risultati!AJ403/Risultati!G403),"0")</f>
        <v>0</v>
      </c>
      <c r="CA404" s="8"/>
      <c r="CB404" s="9">
        <f>+Risultati!AP403</f>
        <v>0</v>
      </c>
      <c r="CC404" s="31" t="str">
        <f t="shared" si="312"/>
        <v>0</v>
      </c>
      <c r="CD404" s="9">
        <f>+Risultati!AQ403</f>
        <v>0</v>
      </c>
      <c r="CE404" s="31" t="str">
        <f t="shared" si="313"/>
        <v>0</v>
      </c>
      <c r="CF404" s="9">
        <f>+Risultati!AR403</f>
        <v>0</v>
      </c>
      <c r="CG404" s="31" t="str">
        <f t="shared" si="314"/>
        <v>0</v>
      </c>
      <c r="CH404" s="9">
        <f>+Risultati!AS403</f>
        <v>0</v>
      </c>
      <c r="CI404" s="31" t="str">
        <f t="shared" si="315"/>
        <v>0</v>
      </c>
      <c r="CJ404" s="9">
        <f t="shared" si="316"/>
        <v>0</v>
      </c>
      <c r="CK404" s="31" t="str">
        <f t="shared" si="317"/>
        <v>0</v>
      </c>
      <c r="CL404" s="10">
        <f>+Risultati!AE403+Risultati!AF403</f>
        <v>0</v>
      </c>
      <c r="CM404" s="31" t="str">
        <f t="shared" si="318"/>
        <v>0</v>
      </c>
      <c r="CN404" s="9">
        <f>+Risultati!AT403</f>
        <v>0</v>
      </c>
      <c r="CO404" s="31" t="str">
        <f t="shared" si="319"/>
        <v>0</v>
      </c>
      <c r="CP404" s="9">
        <f>+Risultati!AU403</f>
        <v>0</v>
      </c>
      <c r="CQ404" s="31" t="str">
        <f t="shared" si="320"/>
        <v>0</v>
      </c>
      <c r="CR404" s="9">
        <f>+Risultati!AL403</f>
        <v>0</v>
      </c>
      <c r="CS404" s="31" t="str">
        <f t="shared" si="321"/>
        <v>0</v>
      </c>
      <c r="CT404" s="9">
        <f t="shared" si="322"/>
        <v>0</v>
      </c>
      <c r="CU404" s="31" t="str">
        <f t="shared" si="323"/>
        <v>0</v>
      </c>
      <c r="CV404" s="9">
        <f>+Risultati!AX403</f>
        <v>0</v>
      </c>
      <c r="CW404" s="31" t="str">
        <f t="shared" si="324"/>
        <v>0</v>
      </c>
      <c r="CX404" s="9">
        <f t="shared" si="325"/>
        <v>0</v>
      </c>
      <c r="CY404" s="31" t="str">
        <f t="shared" si="326"/>
        <v>0</v>
      </c>
      <c r="CZ404" s="9">
        <f>+Risultati!AG403</f>
        <v>0</v>
      </c>
      <c r="DA404" s="31" t="str">
        <f t="shared" si="327"/>
        <v>0</v>
      </c>
      <c r="DB404" s="9">
        <f t="shared" si="328"/>
        <v>0</v>
      </c>
      <c r="DC404" s="31" t="str">
        <f t="shared" si="329"/>
        <v>0</v>
      </c>
      <c r="DD404" s="9">
        <f>+Risultati!AV403</f>
        <v>0</v>
      </c>
      <c r="DE404" s="31" t="str">
        <f t="shared" si="330"/>
        <v>0</v>
      </c>
      <c r="DF404" s="9">
        <f>+Risultati!AJ403</f>
        <v>0</v>
      </c>
      <c r="DG404" s="31" t="str">
        <f t="shared" si="331"/>
        <v>0</v>
      </c>
      <c r="DH404" s="9">
        <f t="shared" si="332"/>
        <v>0</v>
      </c>
      <c r="DI404" s="31" t="str">
        <f t="shared" si="333"/>
        <v>0</v>
      </c>
      <c r="DJ404" s="9">
        <f>+Risultati!AW403</f>
        <v>0</v>
      </c>
      <c r="DK404" s="31" t="str">
        <f t="shared" si="334"/>
        <v>0</v>
      </c>
      <c r="DL404" s="10">
        <f t="shared" si="356"/>
        <v>0</v>
      </c>
      <c r="DM404" s="31" t="str">
        <f t="shared" si="335"/>
        <v>0</v>
      </c>
      <c r="DO404" s="30"/>
      <c r="DP404" s="30"/>
    </row>
    <row r="405" spans="1:120" x14ac:dyDescent="0.2">
      <c r="A405" s="5"/>
      <c r="B405" s="6">
        <f>+Risultati!B404</f>
        <v>0</v>
      </c>
      <c r="C405" s="6">
        <f>+Risultati!C404</f>
        <v>0</v>
      </c>
      <c r="D405" s="26" t="str">
        <f>IF(YEAR(Risultati!D404)=1900,(MID(Risultati!$AP$1,29,4)),YEAR(Risultati!D404))</f>
        <v/>
      </c>
      <c r="E405" s="6">
        <f>+Risultati!E404</f>
        <v>0</v>
      </c>
      <c r="F405" s="8" t="e">
        <f>(LEFT(Risultati!AN404,2)&amp;"-")&amp;VLOOKUP((LEFT(Risultati!AN404,2)),ateco!$B$4:$C$93,2,FALSE)</f>
        <v>#N/A</v>
      </c>
      <c r="G405" s="8" t="str">
        <f>SUBSTITUTE((Risultati!AN404&amp;"-"&amp;Risultati!AO404),",",";")</f>
        <v>-</v>
      </c>
      <c r="I405" s="10">
        <f>+Risultati!G404</f>
        <v>0</v>
      </c>
      <c r="J405" s="11" t="str">
        <f t="shared" si="338"/>
        <v>0</v>
      </c>
      <c r="K405" s="12"/>
      <c r="L405" s="10">
        <f>+Risultati!G404+Risultati!H404</f>
        <v>0</v>
      </c>
      <c r="M405" s="11" t="str">
        <f t="shared" si="339"/>
        <v>0</v>
      </c>
      <c r="N405" s="12"/>
      <c r="O405" s="10">
        <f>+Risultati!I404+Risultati!J404</f>
        <v>0</v>
      </c>
      <c r="P405" s="11" t="str">
        <f t="shared" si="340"/>
        <v>0</v>
      </c>
      <c r="Q405" s="12"/>
      <c r="R405" s="13">
        <f t="shared" si="306"/>
        <v>0</v>
      </c>
      <c r="S405" s="11" t="str">
        <f t="shared" si="341"/>
        <v>0</v>
      </c>
      <c r="T405" s="12"/>
      <c r="U405" s="10">
        <f>+Risultati!F404-(Risultati!G404+Risultati!H404)</f>
        <v>0</v>
      </c>
      <c r="V405" s="12" t="str">
        <f t="shared" si="342"/>
        <v>0</v>
      </c>
      <c r="W405" s="12"/>
      <c r="X405" s="10">
        <f t="shared" si="307"/>
        <v>0</v>
      </c>
      <c r="Y405" s="12" t="str">
        <f t="shared" si="343"/>
        <v>0</v>
      </c>
      <c r="Z405" s="12"/>
      <c r="AA405" s="10">
        <f>+Risultati!K404</f>
        <v>0</v>
      </c>
      <c r="AB405" s="12" t="str">
        <f t="shared" si="344"/>
        <v>0</v>
      </c>
      <c r="AC405" s="12"/>
      <c r="AD405" s="10">
        <f>+Risultati!L404</f>
        <v>0</v>
      </c>
      <c r="AE405" s="12" t="str">
        <f t="shared" si="345"/>
        <v>0</v>
      </c>
      <c r="AF405" s="12"/>
      <c r="AG405" s="10">
        <f>+Risultati!M404+Risultati!P404+Risultati!Q404</f>
        <v>0</v>
      </c>
      <c r="AH405" s="12" t="str">
        <f t="shared" si="346"/>
        <v>0</v>
      </c>
      <c r="AI405" s="12"/>
      <c r="AJ405" s="13">
        <f t="shared" si="308"/>
        <v>0</v>
      </c>
      <c r="AK405" s="11" t="str">
        <f t="shared" si="347"/>
        <v>0</v>
      </c>
      <c r="AL405" s="12"/>
      <c r="AM405" s="10">
        <f>+Risultati!N404</f>
        <v>0</v>
      </c>
      <c r="AN405" s="12" t="str">
        <f t="shared" si="348"/>
        <v>0</v>
      </c>
      <c r="AO405" s="12"/>
      <c r="AP405" s="10">
        <f t="shared" si="309"/>
        <v>0</v>
      </c>
      <c r="AQ405" s="41" t="str">
        <f t="shared" si="349"/>
        <v>0</v>
      </c>
      <c r="AR405" s="12"/>
      <c r="AS405" s="10">
        <f>+Risultati!O404</f>
        <v>0</v>
      </c>
      <c r="AT405" s="12" t="str">
        <f t="shared" si="350"/>
        <v>0</v>
      </c>
      <c r="AU405" s="12"/>
      <c r="AV405" s="10">
        <f t="shared" si="310"/>
        <v>0</v>
      </c>
      <c r="AW405" s="12" t="str">
        <f t="shared" si="351"/>
        <v>0</v>
      </c>
      <c r="AX405" s="12"/>
      <c r="AY405" s="10">
        <f>+Risultati!R404+Risultati!S404</f>
        <v>0</v>
      </c>
      <c r="AZ405" s="12" t="str">
        <f t="shared" si="352"/>
        <v>0</v>
      </c>
      <c r="BA405" s="12"/>
      <c r="BB405" s="10">
        <f>+Risultati!T404</f>
        <v>0</v>
      </c>
      <c r="BC405" s="12" t="str">
        <f t="shared" si="353"/>
        <v>0</v>
      </c>
      <c r="BD405" s="12"/>
      <c r="BE405" s="10">
        <f>+Risultati!U404</f>
        <v>0</v>
      </c>
      <c r="BF405" s="12" t="str">
        <f t="shared" si="354"/>
        <v>0</v>
      </c>
      <c r="BG405" s="12"/>
      <c r="BH405" s="10">
        <f t="shared" si="311"/>
        <v>0</v>
      </c>
      <c r="BI405" s="12" t="str">
        <f t="shared" si="355"/>
        <v>0</v>
      </c>
      <c r="BK405" s="16">
        <f>IF(ISNUMBER(Risultati!X404/100),(Risultati!X404/100))</f>
        <v>0</v>
      </c>
      <c r="BL405" s="16">
        <f>IF(ISNUMBER(Risultati!Y404/100),(Risultati!Y404/100))</f>
        <v>0</v>
      </c>
      <c r="BM405" s="16">
        <f>IF(ISNUMBER(Risultati!Z404/100),(Risultati!Z404/100))</f>
        <v>0</v>
      </c>
      <c r="BN405" s="16">
        <f>IF(AND(Risultati!AY404&lt;0,calcoli!AP405&lt;0),-IF(ISNUMBER(Risultati!AA404/100),(Risultati!AA404/100)),IF(ISNUMBER(Risultati!AA404/100),(Risultati!AA404/100)))</f>
        <v>0</v>
      </c>
      <c r="BO405" s="16" t="str">
        <f t="shared" si="336"/>
        <v>0</v>
      </c>
      <c r="BP405" s="16" t="str">
        <f>IF(Risultati!AB404&gt;0,(AV405/Risultati!AB404),"0")</f>
        <v>0</v>
      </c>
      <c r="BQ405" s="16" t="str">
        <f>IF(Risultati!AG404&lt;&gt;0,(BH405/Risultati!AG404),"0")</f>
        <v>0</v>
      </c>
      <c r="BR405" s="16" t="str">
        <f t="shared" si="337"/>
        <v>0</v>
      </c>
      <c r="BS405" s="14" t="str">
        <f>IF(Risultati!AB404&gt;0,(Risultati!G404/Risultati!AB404),"0")</f>
        <v>0</v>
      </c>
      <c r="BT405" s="15" t="str">
        <f>IF(Risultati!AG404&lt;&gt;0,(Risultati!AB404/Risultati!AG404),"0")</f>
        <v>0</v>
      </c>
      <c r="BU405" s="23" t="str">
        <f>IF(AND(Risultati!G404&gt;0,(Risultati!AE404-Risultati!AF404)&gt;=0),((Risultati!AE404-Risultati!AF404)/Risultati!G404*360),"0")</f>
        <v>0</v>
      </c>
      <c r="BV405" s="21" t="str">
        <f>IF(OR(E405="abbreviato",Risultati!G404=0),"0",((Risultati!AC404+Risultati!AD404)/Risultati!G404*360))</f>
        <v>0</v>
      </c>
      <c r="BW405" s="21" t="str">
        <f>IF(OR(E405="abbreviato",Risultati!G404=0,SUM(Risultati!I404+Risultati!K404+Risultati!M404)=0),"0",(((Risultati!AH404+Risultati!AI404)/(Risultati!I404+Risultati!K404+Risultati!N404)*360)))</f>
        <v>0</v>
      </c>
      <c r="BX405" s="16" t="str">
        <f>IF(Risultati!AB404&gt;0,(+Risultati!AG404/Risultati!AB404),"0")</f>
        <v>0</v>
      </c>
      <c r="BY405" s="22" t="str">
        <f>IF(OR(E405="abbreviato",Risultati!G404=0),"0",(((Risultati!AK404-(Risultati!AL404+Risultati!AM404))/Risultati!G404)))</f>
        <v>0</v>
      </c>
      <c r="BZ405" s="16" t="str">
        <f>IF(Risultati!G404&gt;0,(Risultati!AJ404/Risultati!G404),"0")</f>
        <v>0</v>
      </c>
      <c r="CA405" s="8"/>
      <c r="CB405" s="9">
        <f>+Risultati!AP404</f>
        <v>0</v>
      </c>
      <c r="CC405" s="31" t="str">
        <f t="shared" si="312"/>
        <v>0</v>
      </c>
      <c r="CD405" s="9">
        <f>+Risultati!AQ404</f>
        <v>0</v>
      </c>
      <c r="CE405" s="31" t="str">
        <f t="shared" si="313"/>
        <v>0</v>
      </c>
      <c r="CF405" s="9">
        <f>+Risultati!AR404</f>
        <v>0</v>
      </c>
      <c r="CG405" s="31" t="str">
        <f t="shared" si="314"/>
        <v>0</v>
      </c>
      <c r="CH405" s="9">
        <f>+Risultati!AS404</f>
        <v>0</v>
      </c>
      <c r="CI405" s="31" t="str">
        <f t="shared" si="315"/>
        <v>0</v>
      </c>
      <c r="CJ405" s="9">
        <f t="shared" si="316"/>
        <v>0</v>
      </c>
      <c r="CK405" s="31" t="str">
        <f t="shared" si="317"/>
        <v>0</v>
      </c>
      <c r="CL405" s="10">
        <f>+Risultati!AE404+Risultati!AF404</f>
        <v>0</v>
      </c>
      <c r="CM405" s="31" t="str">
        <f t="shared" si="318"/>
        <v>0</v>
      </c>
      <c r="CN405" s="9">
        <f>+Risultati!AT404</f>
        <v>0</v>
      </c>
      <c r="CO405" s="31" t="str">
        <f t="shared" si="319"/>
        <v>0</v>
      </c>
      <c r="CP405" s="9">
        <f>+Risultati!AU404</f>
        <v>0</v>
      </c>
      <c r="CQ405" s="31" t="str">
        <f t="shared" si="320"/>
        <v>0</v>
      </c>
      <c r="CR405" s="9">
        <f>+Risultati!AL404</f>
        <v>0</v>
      </c>
      <c r="CS405" s="31" t="str">
        <f t="shared" si="321"/>
        <v>0</v>
      </c>
      <c r="CT405" s="9">
        <f t="shared" si="322"/>
        <v>0</v>
      </c>
      <c r="CU405" s="31" t="str">
        <f t="shared" si="323"/>
        <v>0</v>
      </c>
      <c r="CV405" s="9">
        <f>+Risultati!AX404</f>
        <v>0</v>
      </c>
      <c r="CW405" s="31" t="str">
        <f t="shared" si="324"/>
        <v>0</v>
      </c>
      <c r="CX405" s="9">
        <f t="shared" si="325"/>
        <v>0</v>
      </c>
      <c r="CY405" s="31" t="str">
        <f t="shared" si="326"/>
        <v>0</v>
      </c>
      <c r="CZ405" s="9">
        <f>+Risultati!AG404</f>
        <v>0</v>
      </c>
      <c r="DA405" s="31" t="str">
        <f t="shared" si="327"/>
        <v>0</v>
      </c>
      <c r="DB405" s="9">
        <f t="shared" si="328"/>
        <v>0</v>
      </c>
      <c r="DC405" s="31" t="str">
        <f t="shared" si="329"/>
        <v>0</v>
      </c>
      <c r="DD405" s="9">
        <f>+Risultati!AV404</f>
        <v>0</v>
      </c>
      <c r="DE405" s="31" t="str">
        <f t="shared" si="330"/>
        <v>0</v>
      </c>
      <c r="DF405" s="9">
        <f>+Risultati!AJ404</f>
        <v>0</v>
      </c>
      <c r="DG405" s="31" t="str">
        <f t="shared" si="331"/>
        <v>0</v>
      </c>
      <c r="DH405" s="9">
        <f t="shared" si="332"/>
        <v>0</v>
      </c>
      <c r="DI405" s="31" t="str">
        <f t="shared" si="333"/>
        <v>0</v>
      </c>
      <c r="DJ405" s="9">
        <f>+Risultati!AW404</f>
        <v>0</v>
      </c>
      <c r="DK405" s="31" t="str">
        <f t="shared" si="334"/>
        <v>0</v>
      </c>
      <c r="DL405" s="10">
        <f t="shared" si="356"/>
        <v>0</v>
      </c>
      <c r="DM405" s="31" t="str">
        <f t="shared" si="335"/>
        <v>0</v>
      </c>
      <c r="DO405" s="30"/>
      <c r="DP405" s="30"/>
    </row>
    <row r="406" spans="1:120" x14ac:dyDescent="0.2">
      <c r="A406" s="5"/>
      <c r="B406" s="6">
        <f>+Risultati!B405</f>
        <v>0</v>
      </c>
      <c r="C406" s="6">
        <f>+Risultati!C405</f>
        <v>0</v>
      </c>
      <c r="D406" s="26" t="str">
        <f>IF(YEAR(Risultati!D405)=1900,(MID(Risultati!$AP$1,29,4)),YEAR(Risultati!D405))</f>
        <v/>
      </c>
      <c r="E406" s="6">
        <f>+Risultati!E405</f>
        <v>0</v>
      </c>
      <c r="F406" s="8" t="e">
        <f>(LEFT(Risultati!AN405,2)&amp;"-")&amp;VLOOKUP((LEFT(Risultati!AN405,2)),ateco!$B$4:$C$93,2,FALSE)</f>
        <v>#N/A</v>
      </c>
      <c r="G406" s="8" t="str">
        <f>SUBSTITUTE((Risultati!AN405&amp;"-"&amp;Risultati!AO405),",",";")</f>
        <v>-</v>
      </c>
      <c r="I406" s="10">
        <f>+Risultati!G405</f>
        <v>0</v>
      </c>
      <c r="J406" s="11" t="str">
        <f t="shared" si="338"/>
        <v>0</v>
      </c>
      <c r="K406" s="12"/>
      <c r="L406" s="10">
        <f>+Risultati!G405+Risultati!H405</f>
        <v>0</v>
      </c>
      <c r="M406" s="11" t="str">
        <f t="shared" si="339"/>
        <v>0</v>
      </c>
      <c r="N406" s="12"/>
      <c r="O406" s="10">
        <f>+Risultati!I405+Risultati!J405</f>
        <v>0</v>
      </c>
      <c r="P406" s="11" t="str">
        <f t="shared" si="340"/>
        <v>0</v>
      </c>
      <c r="Q406" s="12"/>
      <c r="R406" s="13">
        <f t="shared" si="306"/>
        <v>0</v>
      </c>
      <c r="S406" s="11" t="str">
        <f t="shared" si="341"/>
        <v>0</v>
      </c>
      <c r="T406" s="12"/>
      <c r="U406" s="10">
        <f>+Risultati!F405-(Risultati!G405+Risultati!H405)</f>
        <v>0</v>
      </c>
      <c r="V406" s="12" t="str">
        <f t="shared" si="342"/>
        <v>0</v>
      </c>
      <c r="W406" s="12"/>
      <c r="X406" s="10">
        <f t="shared" si="307"/>
        <v>0</v>
      </c>
      <c r="Y406" s="12" t="str">
        <f t="shared" si="343"/>
        <v>0</v>
      </c>
      <c r="Z406" s="12"/>
      <c r="AA406" s="10">
        <f>+Risultati!K405</f>
        <v>0</v>
      </c>
      <c r="AB406" s="12" t="str">
        <f t="shared" si="344"/>
        <v>0</v>
      </c>
      <c r="AC406" s="12"/>
      <c r="AD406" s="10">
        <f>+Risultati!L405</f>
        <v>0</v>
      </c>
      <c r="AE406" s="12" t="str">
        <f t="shared" si="345"/>
        <v>0</v>
      </c>
      <c r="AF406" s="12"/>
      <c r="AG406" s="10">
        <f>+Risultati!M405+Risultati!P405+Risultati!Q405</f>
        <v>0</v>
      </c>
      <c r="AH406" s="12" t="str">
        <f t="shared" si="346"/>
        <v>0</v>
      </c>
      <c r="AI406" s="12"/>
      <c r="AJ406" s="13">
        <f t="shared" si="308"/>
        <v>0</v>
      </c>
      <c r="AK406" s="11" t="str">
        <f t="shared" si="347"/>
        <v>0</v>
      </c>
      <c r="AL406" s="12"/>
      <c r="AM406" s="10">
        <f>+Risultati!N405</f>
        <v>0</v>
      </c>
      <c r="AN406" s="12" t="str">
        <f t="shared" si="348"/>
        <v>0</v>
      </c>
      <c r="AO406" s="12"/>
      <c r="AP406" s="10">
        <f t="shared" si="309"/>
        <v>0</v>
      </c>
      <c r="AQ406" s="41" t="str">
        <f t="shared" si="349"/>
        <v>0</v>
      </c>
      <c r="AR406" s="12"/>
      <c r="AS406" s="10">
        <f>+Risultati!O405</f>
        <v>0</v>
      </c>
      <c r="AT406" s="12" t="str">
        <f t="shared" si="350"/>
        <v>0</v>
      </c>
      <c r="AU406" s="12"/>
      <c r="AV406" s="10">
        <f t="shared" si="310"/>
        <v>0</v>
      </c>
      <c r="AW406" s="12" t="str">
        <f t="shared" si="351"/>
        <v>0</v>
      </c>
      <c r="AX406" s="12"/>
      <c r="AY406" s="10">
        <f>+Risultati!R405+Risultati!S405</f>
        <v>0</v>
      </c>
      <c r="AZ406" s="12" t="str">
        <f t="shared" si="352"/>
        <v>0</v>
      </c>
      <c r="BA406" s="12"/>
      <c r="BB406" s="10">
        <f>+Risultati!T405</f>
        <v>0</v>
      </c>
      <c r="BC406" s="12" t="str">
        <f t="shared" si="353"/>
        <v>0</v>
      </c>
      <c r="BD406" s="12"/>
      <c r="BE406" s="10">
        <f>+Risultati!U405</f>
        <v>0</v>
      </c>
      <c r="BF406" s="12" t="str">
        <f t="shared" si="354"/>
        <v>0</v>
      </c>
      <c r="BG406" s="12"/>
      <c r="BH406" s="10">
        <f t="shared" si="311"/>
        <v>0</v>
      </c>
      <c r="BI406" s="12" t="str">
        <f t="shared" si="355"/>
        <v>0</v>
      </c>
      <c r="BK406" s="16">
        <f>IF(ISNUMBER(Risultati!X405/100),(Risultati!X405/100))</f>
        <v>0</v>
      </c>
      <c r="BL406" s="16">
        <f>IF(ISNUMBER(Risultati!Y405/100),(Risultati!Y405/100))</f>
        <v>0</v>
      </c>
      <c r="BM406" s="16">
        <f>IF(ISNUMBER(Risultati!Z405/100),(Risultati!Z405/100))</f>
        <v>0</v>
      </c>
      <c r="BN406" s="16">
        <f>IF(AND(Risultati!AY405&lt;0,calcoli!AP406&lt;0),-IF(ISNUMBER(Risultati!AA405/100),(Risultati!AA405/100)),IF(ISNUMBER(Risultati!AA405/100),(Risultati!AA405/100)))</f>
        <v>0</v>
      </c>
      <c r="BO406" s="16" t="str">
        <f t="shared" si="336"/>
        <v>0</v>
      </c>
      <c r="BP406" s="16" t="str">
        <f>IF(Risultati!AB405&gt;0,(AV406/Risultati!AB405),"0")</f>
        <v>0</v>
      </c>
      <c r="BQ406" s="16" t="str">
        <f>IF(Risultati!AG405&lt;&gt;0,(BH406/Risultati!AG405),"0")</f>
        <v>0</v>
      </c>
      <c r="BR406" s="16" t="str">
        <f t="shared" si="337"/>
        <v>0</v>
      </c>
      <c r="BS406" s="14" t="str">
        <f>IF(Risultati!AB405&gt;0,(Risultati!G405/Risultati!AB405),"0")</f>
        <v>0</v>
      </c>
      <c r="BT406" s="15" t="str">
        <f>IF(Risultati!AG405&lt;&gt;0,(Risultati!AB405/Risultati!AG405),"0")</f>
        <v>0</v>
      </c>
      <c r="BU406" s="23" t="str">
        <f>IF(AND(Risultati!G405&gt;0,(Risultati!AE405-Risultati!AF405)&gt;=0),((Risultati!AE405-Risultati!AF405)/Risultati!G405*360),"0")</f>
        <v>0</v>
      </c>
      <c r="BV406" s="21" t="str">
        <f>IF(OR(E406="abbreviato",Risultati!G405=0),"0",((Risultati!AC405+Risultati!AD405)/Risultati!G405*360))</f>
        <v>0</v>
      </c>
      <c r="BW406" s="21" t="str">
        <f>IF(OR(E406="abbreviato",Risultati!G405=0,SUM(Risultati!I405+Risultati!K405+Risultati!M405)=0),"0",(((Risultati!AH405+Risultati!AI405)/(Risultati!I405+Risultati!K405+Risultati!N405)*360)))</f>
        <v>0</v>
      </c>
      <c r="BX406" s="16" t="str">
        <f>IF(Risultati!AB405&gt;0,(+Risultati!AG405/Risultati!AB405),"0")</f>
        <v>0</v>
      </c>
      <c r="BY406" s="22" t="str">
        <f>IF(OR(E406="abbreviato",Risultati!G405=0),"0",(((Risultati!AK405-(Risultati!AL405+Risultati!AM405))/Risultati!G405)))</f>
        <v>0</v>
      </c>
      <c r="BZ406" s="16" t="str">
        <f>IF(Risultati!G405&gt;0,(Risultati!AJ405/Risultati!G405),"0")</f>
        <v>0</v>
      </c>
      <c r="CA406" s="8"/>
      <c r="CB406" s="9">
        <f>+Risultati!AP405</f>
        <v>0</v>
      </c>
      <c r="CC406" s="31" t="str">
        <f t="shared" si="312"/>
        <v>0</v>
      </c>
      <c r="CD406" s="9">
        <f>+Risultati!AQ405</f>
        <v>0</v>
      </c>
      <c r="CE406" s="31" t="str">
        <f t="shared" si="313"/>
        <v>0</v>
      </c>
      <c r="CF406" s="9">
        <f>+Risultati!AR405</f>
        <v>0</v>
      </c>
      <c r="CG406" s="31" t="str">
        <f t="shared" si="314"/>
        <v>0</v>
      </c>
      <c r="CH406" s="9">
        <f>+Risultati!AS405</f>
        <v>0</v>
      </c>
      <c r="CI406" s="31" t="str">
        <f t="shared" si="315"/>
        <v>0</v>
      </c>
      <c r="CJ406" s="9">
        <f t="shared" si="316"/>
        <v>0</v>
      </c>
      <c r="CK406" s="31" t="str">
        <f t="shared" si="317"/>
        <v>0</v>
      </c>
      <c r="CL406" s="10">
        <f>+Risultati!AE405+Risultati!AF405</f>
        <v>0</v>
      </c>
      <c r="CM406" s="31" t="str">
        <f t="shared" si="318"/>
        <v>0</v>
      </c>
      <c r="CN406" s="9">
        <f>+Risultati!AT405</f>
        <v>0</v>
      </c>
      <c r="CO406" s="31" t="str">
        <f t="shared" si="319"/>
        <v>0</v>
      </c>
      <c r="CP406" s="9">
        <f>+Risultati!AU405</f>
        <v>0</v>
      </c>
      <c r="CQ406" s="31" t="str">
        <f t="shared" si="320"/>
        <v>0</v>
      </c>
      <c r="CR406" s="9">
        <f>+Risultati!AL405</f>
        <v>0</v>
      </c>
      <c r="CS406" s="31" t="str">
        <f t="shared" si="321"/>
        <v>0</v>
      </c>
      <c r="CT406" s="9">
        <f t="shared" si="322"/>
        <v>0</v>
      </c>
      <c r="CU406" s="31" t="str">
        <f t="shared" si="323"/>
        <v>0</v>
      </c>
      <c r="CV406" s="9">
        <f>+Risultati!AX405</f>
        <v>0</v>
      </c>
      <c r="CW406" s="31" t="str">
        <f t="shared" si="324"/>
        <v>0</v>
      </c>
      <c r="CX406" s="9">
        <f t="shared" si="325"/>
        <v>0</v>
      </c>
      <c r="CY406" s="31" t="str">
        <f t="shared" si="326"/>
        <v>0</v>
      </c>
      <c r="CZ406" s="9">
        <f>+Risultati!AG405</f>
        <v>0</v>
      </c>
      <c r="DA406" s="31" t="str">
        <f t="shared" si="327"/>
        <v>0</v>
      </c>
      <c r="DB406" s="9">
        <f t="shared" si="328"/>
        <v>0</v>
      </c>
      <c r="DC406" s="31" t="str">
        <f t="shared" si="329"/>
        <v>0</v>
      </c>
      <c r="DD406" s="9">
        <f>+Risultati!AV405</f>
        <v>0</v>
      </c>
      <c r="DE406" s="31" t="str">
        <f t="shared" si="330"/>
        <v>0</v>
      </c>
      <c r="DF406" s="9">
        <f>+Risultati!AJ405</f>
        <v>0</v>
      </c>
      <c r="DG406" s="31" t="str">
        <f t="shared" si="331"/>
        <v>0</v>
      </c>
      <c r="DH406" s="9">
        <f t="shared" si="332"/>
        <v>0</v>
      </c>
      <c r="DI406" s="31" t="str">
        <f t="shared" si="333"/>
        <v>0</v>
      </c>
      <c r="DJ406" s="9">
        <f>+Risultati!AW405</f>
        <v>0</v>
      </c>
      <c r="DK406" s="31" t="str">
        <f t="shared" si="334"/>
        <v>0</v>
      </c>
      <c r="DL406" s="10">
        <f t="shared" si="356"/>
        <v>0</v>
      </c>
      <c r="DM406" s="31" t="str">
        <f t="shared" si="335"/>
        <v>0</v>
      </c>
      <c r="DO406" s="30"/>
      <c r="DP406" s="30"/>
    </row>
    <row r="407" spans="1:120" x14ac:dyDescent="0.2">
      <c r="A407" s="5"/>
      <c r="B407" s="6">
        <f>+Risultati!B406</f>
        <v>0</v>
      </c>
      <c r="C407" s="6">
        <f>+Risultati!C406</f>
        <v>0</v>
      </c>
      <c r="D407" s="26" t="str">
        <f>IF(YEAR(Risultati!D406)=1900,(MID(Risultati!$AP$1,29,4)),YEAR(Risultati!D406))</f>
        <v/>
      </c>
      <c r="E407" s="6">
        <f>+Risultati!E406</f>
        <v>0</v>
      </c>
      <c r="F407" s="8" t="e">
        <f>(LEFT(Risultati!AN406,2)&amp;"-")&amp;VLOOKUP((LEFT(Risultati!AN406,2)),ateco!$B$4:$C$93,2,FALSE)</f>
        <v>#N/A</v>
      </c>
      <c r="G407" s="8" t="str">
        <f>SUBSTITUTE((Risultati!AN406&amp;"-"&amp;Risultati!AO406),",",";")</f>
        <v>-</v>
      </c>
      <c r="I407" s="10">
        <f>+Risultati!G406</f>
        <v>0</v>
      </c>
      <c r="J407" s="11" t="str">
        <f t="shared" si="338"/>
        <v>0</v>
      </c>
      <c r="K407" s="12"/>
      <c r="L407" s="10">
        <f>+Risultati!G406+Risultati!H406</f>
        <v>0</v>
      </c>
      <c r="M407" s="11" t="str">
        <f t="shared" si="339"/>
        <v>0</v>
      </c>
      <c r="N407" s="12"/>
      <c r="O407" s="10">
        <f>+Risultati!I406+Risultati!J406</f>
        <v>0</v>
      </c>
      <c r="P407" s="11" t="str">
        <f t="shared" si="340"/>
        <v>0</v>
      </c>
      <c r="Q407" s="12"/>
      <c r="R407" s="13">
        <f t="shared" si="306"/>
        <v>0</v>
      </c>
      <c r="S407" s="11" t="str">
        <f t="shared" si="341"/>
        <v>0</v>
      </c>
      <c r="T407" s="12"/>
      <c r="U407" s="10">
        <f>+Risultati!F406-(Risultati!G406+Risultati!H406)</f>
        <v>0</v>
      </c>
      <c r="V407" s="12" t="str">
        <f t="shared" si="342"/>
        <v>0</v>
      </c>
      <c r="W407" s="12"/>
      <c r="X407" s="10">
        <f t="shared" si="307"/>
        <v>0</v>
      </c>
      <c r="Y407" s="12" t="str">
        <f t="shared" si="343"/>
        <v>0</v>
      </c>
      <c r="Z407" s="12"/>
      <c r="AA407" s="10">
        <f>+Risultati!K406</f>
        <v>0</v>
      </c>
      <c r="AB407" s="12" t="str">
        <f t="shared" si="344"/>
        <v>0</v>
      </c>
      <c r="AC407" s="12"/>
      <c r="AD407" s="10">
        <f>+Risultati!L406</f>
        <v>0</v>
      </c>
      <c r="AE407" s="12" t="str">
        <f t="shared" si="345"/>
        <v>0</v>
      </c>
      <c r="AF407" s="12"/>
      <c r="AG407" s="10">
        <f>+Risultati!M406+Risultati!P406+Risultati!Q406</f>
        <v>0</v>
      </c>
      <c r="AH407" s="12" t="str">
        <f t="shared" si="346"/>
        <v>0</v>
      </c>
      <c r="AI407" s="12"/>
      <c r="AJ407" s="13">
        <f t="shared" si="308"/>
        <v>0</v>
      </c>
      <c r="AK407" s="11" t="str">
        <f t="shared" si="347"/>
        <v>0</v>
      </c>
      <c r="AL407" s="12"/>
      <c r="AM407" s="10">
        <f>+Risultati!N406</f>
        <v>0</v>
      </c>
      <c r="AN407" s="12" t="str">
        <f t="shared" si="348"/>
        <v>0</v>
      </c>
      <c r="AO407" s="12"/>
      <c r="AP407" s="10">
        <f t="shared" si="309"/>
        <v>0</v>
      </c>
      <c r="AQ407" s="41" t="str">
        <f t="shared" si="349"/>
        <v>0</v>
      </c>
      <c r="AR407" s="12"/>
      <c r="AS407" s="10">
        <f>+Risultati!O406</f>
        <v>0</v>
      </c>
      <c r="AT407" s="12" t="str">
        <f t="shared" si="350"/>
        <v>0</v>
      </c>
      <c r="AU407" s="12"/>
      <c r="AV407" s="10">
        <f t="shared" si="310"/>
        <v>0</v>
      </c>
      <c r="AW407" s="12" t="str">
        <f t="shared" si="351"/>
        <v>0</v>
      </c>
      <c r="AX407" s="12"/>
      <c r="AY407" s="10">
        <f>+Risultati!R406+Risultati!S406</f>
        <v>0</v>
      </c>
      <c r="AZ407" s="12" t="str">
        <f t="shared" si="352"/>
        <v>0</v>
      </c>
      <c r="BA407" s="12"/>
      <c r="BB407" s="10">
        <f>+Risultati!T406</f>
        <v>0</v>
      </c>
      <c r="BC407" s="12" t="str">
        <f t="shared" si="353"/>
        <v>0</v>
      </c>
      <c r="BD407" s="12"/>
      <c r="BE407" s="10">
        <f>+Risultati!U406</f>
        <v>0</v>
      </c>
      <c r="BF407" s="12" t="str">
        <f t="shared" si="354"/>
        <v>0</v>
      </c>
      <c r="BG407" s="12"/>
      <c r="BH407" s="10">
        <f t="shared" si="311"/>
        <v>0</v>
      </c>
      <c r="BI407" s="12" t="str">
        <f t="shared" si="355"/>
        <v>0</v>
      </c>
      <c r="BK407" s="16">
        <f>IF(ISNUMBER(Risultati!X406/100),(Risultati!X406/100))</f>
        <v>0</v>
      </c>
      <c r="BL407" s="16">
        <f>IF(ISNUMBER(Risultati!Y406/100),(Risultati!Y406/100))</f>
        <v>0</v>
      </c>
      <c r="BM407" s="16">
        <f>IF(ISNUMBER(Risultati!Z406/100),(Risultati!Z406/100))</f>
        <v>0</v>
      </c>
      <c r="BN407" s="16">
        <f>IF(AND(Risultati!AY406&lt;0,calcoli!AP407&lt;0),-IF(ISNUMBER(Risultati!AA406/100),(Risultati!AA406/100)),IF(ISNUMBER(Risultati!AA406/100),(Risultati!AA406/100)))</f>
        <v>0</v>
      </c>
      <c r="BO407" s="16" t="str">
        <f t="shared" si="336"/>
        <v>0</v>
      </c>
      <c r="BP407" s="16" t="str">
        <f>IF(Risultati!AB406&gt;0,(AV407/Risultati!AB406),"0")</f>
        <v>0</v>
      </c>
      <c r="BQ407" s="16" t="str">
        <f>IF(Risultati!AG406&lt;&gt;0,(BH407/Risultati!AG406),"0")</f>
        <v>0</v>
      </c>
      <c r="BR407" s="16" t="str">
        <f t="shared" si="337"/>
        <v>0</v>
      </c>
      <c r="BS407" s="14" t="str">
        <f>IF(Risultati!AB406&gt;0,(Risultati!G406/Risultati!AB406),"0")</f>
        <v>0</v>
      </c>
      <c r="BT407" s="15" t="str">
        <f>IF(Risultati!AG406&lt;&gt;0,(Risultati!AB406/Risultati!AG406),"0")</f>
        <v>0</v>
      </c>
      <c r="BU407" s="23" t="str">
        <f>IF(AND(Risultati!G406&gt;0,(Risultati!AE406-Risultati!AF406)&gt;=0),((Risultati!AE406-Risultati!AF406)/Risultati!G406*360),"0")</f>
        <v>0</v>
      </c>
      <c r="BV407" s="21" t="str">
        <f>IF(OR(E407="abbreviato",Risultati!G406=0),"0",((Risultati!AC406+Risultati!AD406)/Risultati!G406*360))</f>
        <v>0</v>
      </c>
      <c r="BW407" s="21" t="str">
        <f>IF(OR(E407="abbreviato",Risultati!G406=0,SUM(Risultati!I406+Risultati!K406+Risultati!M406)=0),"0",(((Risultati!AH406+Risultati!AI406)/(Risultati!I406+Risultati!K406+Risultati!N406)*360)))</f>
        <v>0</v>
      </c>
      <c r="BX407" s="16" t="str">
        <f>IF(Risultati!AB406&gt;0,(+Risultati!AG406/Risultati!AB406),"0")</f>
        <v>0</v>
      </c>
      <c r="BY407" s="22" t="str">
        <f>IF(OR(E407="abbreviato",Risultati!G406=0),"0",(((Risultati!AK406-(Risultati!AL406+Risultati!AM406))/Risultati!G406)))</f>
        <v>0</v>
      </c>
      <c r="BZ407" s="16" t="str">
        <f>IF(Risultati!G406&gt;0,(Risultati!AJ406/Risultati!G406),"0")</f>
        <v>0</v>
      </c>
      <c r="CA407" s="8"/>
      <c r="CB407" s="9">
        <f>+Risultati!AP406</f>
        <v>0</v>
      </c>
      <c r="CC407" s="31" t="str">
        <f t="shared" si="312"/>
        <v>0</v>
      </c>
      <c r="CD407" s="9">
        <f>+Risultati!AQ406</f>
        <v>0</v>
      </c>
      <c r="CE407" s="31" t="str">
        <f t="shared" si="313"/>
        <v>0</v>
      </c>
      <c r="CF407" s="9">
        <f>+Risultati!AR406</f>
        <v>0</v>
      </c>
      <c r="CG407" s="31" t="str">
        <f t="shared" si="314"/>
        <v>0</v>
      </c>
      <c r="CH407" s="9">
        <f>+Risultati!AS406</f>
        <v>0</v>
      </c>
      <c r="CI407" s="31" t="str">
        <f t="shared" si="315"/>
        <v>0</v>
      </c>
      <c r="CJ407" s="9">
        <f t="shared" si="316"/>
        <v>0</v>
      </c>
      <c r="CK407" s="31" t="str">
        <f t="shared" si="317"/>
        <v>0</v>
      </c>
      <c r="CL407" s="10">
        <f>+Risultati!AE406+Risultati!AF406</f>
        <v>0</v>
      </c>
      <c r="CM407" s="31" t="str">
        <f t="shared" si="318"/>
        <v>0</v>
      </c>
      <c r="CN407" s="9">
        <f>+Risultati!AT406</f>
        <v>0</v>
      </c>
      <c r="CO407" s="31" t="str">
        <f t="shared" si="319"/>
        <v>0</v>
      </c>
      <c r="CP407" s="9">
        <f>+Risultati!AU406</f>
        <v>0</v>
      </c>
      <c r="CQ407" s="31" t="str">
        <f t="shared" si="320"/>
        <v>0</v>
      </c>
      <c r="CR407" s="9">
        <f>+Risultati!AL406</f>
        <v>0</v>
      </c>
      <c r="CS407" s="31" t="str">
        <f t="shared" si="321"/>
        <v>0</v>
      </c>
      <c r="CT407" s="9">
        <f t="shared" si="322"/>
        <v>0</v>
      </c>
      <c r="CU407" s="31" t="str">
        <f t="shared" si="323"/>
        <v>0</v>
      </c>
      <c r="CV407" s="9">
        <f>+Risultati!AX406</f>
        <v>0</v>
      </c>
      <c r="CW407" s="31" t="str">
        <f t="shared" si="324"/>
        <v>0</v>
      </c>
      <c r="CX407" s="9">
        <f t="shared" si="325"/>
        <v>0</v>
      </c>
      <c r="CY407" s="31" t="str">
        <f t="shared" si="326"/>
        <v>0</v>
      </c>
      <c r="CZ407" s="9">
        <f>+Risultati!AG406</f>
        <v>0</v>
      </c>
      <c r="DA407" s="31" t="str">
        <f t="shared" si="327"/>
        <v>0</v>
      </c>
      <c r="DB407" s="9">
        <f t="shared" si="328"/>
        <v>0</v>
      </c>
      <c r="DC407" s="31" t="str">
        <f t="shared" si="329"/>
        <v>0</v>
      </c>
      <c r="DD407" s="9">
        <f>+Risultati!AV406</f>
        <v>0</v>
      </c>
      <c r="DE407" s="31" t="str">
        <f t="shared" si="330"/>
        <v>0</v>
      </c>
      <c r="DF407" s="9">
        <f>+Risultati!AJ406</f>
        <v>0</v>
      </c>
      <c r="DG407" s="31" t="str">
        <f t="shared" si="331"/>
        <v>0</v>
      </c>
      <c r="DH407" s="9">
        <f t="shared" si="332"/>
        <v>0</v>
      </c>
      <c r="DI407" s="31" t="str">
        <f t="shared" si="333"/>
        <v>0</v>
      </c>
      <c r="DJ407" s="9">
        <f>+Risultati!AW406</f>
        <v>0</v>
      </c>
      <c r="DK407" s="31" t="str">
        <f t="shared" si="334"/>
        <v>0</v>
      </c>
      <c r="DL407" s="10">
        <f t="shared" si="356"/>
        <v>0</v>
      </c>
      <c r="DM407" s="31" t="str">
        <f t="shared" si="335"/>
        <v>0</v>
      </c>
      <c r="DO407" s="30"/>
      <c r="DP407" s="30"/>
    </row>
    <row r="408" spans="1:120" x14ac:dyDescent="0.2">
      <c r="A408" s="5"/>
      <c r="B408" s="6">
        <f>+Risultati!B407</f>
        <v>0</v>
      </c>
      <c r="C408" s="6">
        <f>+Risultati!C407</f>
        <v>0</v>
      </c>
      <c r="D408" s="26" t="str">
        <f>IF(YEAR(Risultati!D407)=1900,(MID(Risultati!$AP$1,29,4)),YEAR(Risultati!D407))</f>
        <v/>
      </c>
      <c r="E408" s="6">
        <f>+Risultati!E407</f>
        <v>0</v>
      </c>
      <c r="F408" s="8" t="e">
        <f>(LEFT(Risultati!AN407,2)&amp;"-")&amp;VLOOKUP((LEFT(Risultati!AN407,2)),ateco!$B$4:$C$93,2,FALSE)</f>
        <v>#N/A</v>
      </c>
      <c r="G408" s="8" t="str">
        <f>SUBSTITUTE((Risultati!AN407&amp;"-"&amp;Risultati!AO407),",",";")</f>
        <v>-</v>
      </c>
      <c r="I408" s="10">
        <f>+Risultati!G407</f>
        <v>0</v>
      </c>
      <c r="J408" s="11" t="str">
        <f t="shared" si="338"/>
        <v>0</v>
      </c>
      <c r="K408" s="12"/>
      <c r="L408" s="10">
        <f>+Risultati!G407+Risultati!H407</f>
        <v>0</v>
      </c>
      <c r="M408" s="11" t="str">
        <f t="shared" si="339"/>
        <v>0</v>
      </c>
      <c r="N408" s="12"/>
      <c r="O408" s="10">
        <f>+Risultati!I407+Risultati!J407</f>
        <v>0</v>
      </c>
      <c r="P408" s="11" t="str">
        <f t="shared" si="340"/>
        <v>0</v>
      </c>
      <c r="Q408" s="12"/>
      <c r="R408" s="13">
        <f t="shared" si="306"/>
        <v>0</v>
      </c>
      <c r="S408" s="11" t="str">
        <f t="shared" si="341"/>
        <v>0</v>
      </c>
      <c r="T408" s="12"/>
      <c r="U408" s="10">
        <f>+Risultati!F407-(Risultati!G407+Risultati!H407)</f>
        <v>0</v>
      </c>
      <c r="V408" s="12" t="str">
        <f t="shared" si="342"/>
        <v>0</v>
      </c>
      <c r="W408" s="12"/>
      <c r="X408" s="10">
        <f t="shared" si="307"/>
        <v>0</v>
      </c>
      <c r="Y408" s="12" t="str">
        <f t="shared" si="343"/>
        <v>0</v>
      </c>
      <c r="Z408" s="12"/>
      <c r="AA408" s="10">
        <f>+Risultati!K407</f>
        <v>0</v>
      </c>
      <c r="AB408" s="12" t="str">
        <f t="shared" si="344"/>
        <v>0</v>
      </c>
      <c r="AC408" s="12"/>
      <c r="AD408" s="10">
        <f>+Risultati!L407</f>
        <v>0</v>
      </c>
      <c r="AE408" s="12" t="str">
        <f t="shared" si="345"/>
        <v>0</v>
      </c>
      <c r="AF408" s="12"/>
      <c r="AG408" s="10">
        <f>+Risultati!M407+Risultati!P407+Risultati!Q407</f>
        <v>0</v>
      </c>
      <c r="AH408" s="12" t="str">
        <f t="shared" si="346"/>
        <v>0</v>
      </c>
      <c r="AI408" s="12"/>
      <c r="AJ408" s="13">
        <f t="shared" si="308"/>
        <v>0</v>
      </c>
      <c r="AK408" s="11" t="str">
        <f t="shared" si="347"/>
        <v>0</v>
      </c>
      <c r="AL408" s="12"/>
      <c r="AM408" s="10">
        <f>+Risultati!N407</f>
        <v>0</v>
      </c>
      <c r="AN408" s="12" t="str">
        <f t="shared" si="348"/>
        <v>0</v>
      </c>
      <c r="AO408" s="12"/>
      <c r="AP408" s="10">
        <f t="shared" si="309"/>
        <v>0</v>
      </c>
      <c r="AQ408" s="41" t="str">
        <f t="shared" si="349"/>
        <v>0</v>
      </c>
      <c r="AR408" s="12"/>
      <c r="AS408" s="10">
        <f>+Risultati!O407</f>
        <v>0</v>
      </c>
      <c r="AT408" s="12" t="str">
        <f t="shared" si="350"/>
        <v>0</v>
      </c>
      <c r="AU408" s="12"/>
      <c r="AV408" s="10">
        <f t="shared" si="310"/>
        <v>0</v>
      </c>
      <c r="AW408" s="12" t="str">
        <f t="shared" si="351"/>
        <v>0</v>
      </c>
      <c r="AX408" s="12"/>
      <c r="AY408" s="10">
        <f>+Risultati!R407+Risultati!S407</f>
        <v>0</v>
      </c>
      <c r="AZ408" s="12" t="str">
        <f t="shared" si="352"/>
        <v>0</v>
      </c>
      <c r="BA408" s="12"/>
      <c r="BB408" s="10">
        <f>+Risultati!T407</f>
        <v>0</v>
      </c>
      <c r="BC408" s="12" t="str">
        <f t="shared" si="353"/>
        <v>0</v>
      </c>
      <c r="BD408" s="12"/>
      <c r="BE408" s="10">
        <f>+Risultati!U407</f>
        <v>0</v>
      </c>
      <c r="BF408" s="12" t="str">
        <f t="shared" si="354"/>
        <v>0</v>
      </c>
      <c r="BG408" s="12"/>
      <c r="BH408" s="10">
        <f t="shared" si="311"/>
        <v>0</v>
      </c>
      <c r="BI408" s="12" t="str">
        <f t="shared" si="355"/>
        <v>0</v>
      </c>
      <c r="BK408" s="16">
        <f>IF(ISNUMBER(Risultati!X407/100),(Risultati!X407/100))</f>
        <v>0</v>
      </c>
      <c r="BL408" s="16">
        <f>IF(ISNUMBER(Risultati!Y407/100),(Risultati!Y407/100))</f>
        <v>0</v>
      </c>
      <c r="BM408" s="16">
        <f>IF(ISNUMBER(Risultati!Z407/100),(Risultati!Z407/100))</f>
        <v>0</v>
      </c>
      <c r="BN408" s="16">
        <f>IF(AND(Risultati!AY407&lt;0,calcoli!AP408&lt;0),-IF(ISNUMBER(Risultati!AA407/100),(Risultati!AA407/100)),IF(ISNUMBER(Risultati!AA407/100),(Risultati!AA407/100)))</f>
        <v>0</v>
      </c>
      <c r="BO408" s="16" t="str">
        <f t="shared" si="336"/>
        <v>0</v>
      </c>
      <c r="BP408" s="16" t="str">
        <f>IF(Risultati!AB407&gt;0,(AV408/Risultati!AB407),"0")</f>
        <v>0</v>
      </c>
      <c r="BQ408" s="16" t="str">
        <f>IF(Risultati!AG407&lt;&gt;0,(BH408/Risultati!AG407),"0")</f>
        <v>0</v>
      </c>
      <c r="BR408" s="16" t="str">
        <f t="shared" si="337"/>
        <v>0</v>
      </c>
      <c r="BS408" s="14" t="str">
        <f>IF(Risultati!AB407&gt;0,(Risultati!G407/Risultati!AB407),"0")</f>
        <v>0</v>
      </c>
      <c r="BT408" s="15" t="str">
        <f>IF(Risultati!AG407&lt;&gt;0,(Risultati!AB407/Risultati!AG407),"0")</f>
        <v>0</v>
      </c>
      <c r="BU408" s="23" t="str">
        <f>IF(AND(Risultati!G407&gt;0,(Risultati!AE407-Risultati!AF407)&gt;=0),((Risultati!AE407-Risultati!AF407)/Risultati!G407*360),"0")</f>
        <v>0</v>
      </c>
      <c r="BV408" s="21" t="str">
        <f>IF(OR(E408="abbreviato",Risultati!G407=0),"0",((Risultati!AC407+Risultati!AD407)/Risultati!G407*360))</f>
        <v>0</v>
      </c>
      <c r="BW408" s="21" t="str">
        <f>IF(OR(E408="abbreviato",Risultati!G407=0,SUM(Risultati!I407+Risultati!K407+Risultati!M407)=0),"0",(((Risultati!AH407+Risultati!AI407)/(Risultati!I407+Risultati!K407+Risultati!N407)*360)))</f>
        <v>0</v>
      </c>
      <c r="BX408" s="16" t="str">
        <f>IF(Risultati!AB407&gt;0,(+Risultati!AG407/Risultati!AB407),"0")</f>
        <v>0</v>
      </c>
      <c r="BY408" s="22" t="str">
        <f>IF(OR(E408="abbreviato",Risultati!G407=0),"0",(((Risultati!AK407-(Risultati!AL407+Risultati!AM407))/Risultati!G407)))</f>
        <v>0</v>
      </c>
      <c r="BZ408" s="16" t="str">
        <f>IF(Risultati!G407&gt;0,(Risultati!AJ407/Risultati!G407),"0")</f>
        <v>0</v>
      </c>
      <c r="CA408" s="8"/>
      <c r="CB408" s="9">
        <f>+Risultati!AP407</f>
        <v>0</v>
      </c>
      <c r="CC408" s="31" t="str">
        <f t="shared" si="312"/>
        <v>0</v>
      </c>
      <c r="CD408" s="9">
        <f>+Risultati!AQ407</f>
        <v>0</v>
      </c>
      <c r="CE408" s="31" t="str">
        <f t="shared" si="313"/>
        <v>0</v>
      </c>
      <c r="CF408" s="9">
        <f>+Risultati!AR407</f>
        <v>0</v>
      </c>
      <c r="CG408" s="31" t="str">
        <f t="shared" si="314"/>
        <v>0</v>
      </c>
      <c r="CH408" s="9">
        <f>+Risultati!AS407</f>
        <v>0</v>
      </c>
      <c r="CI408" s="31" t="str">
        <f t="shared" si="315"/>
        <v>0</v>
      </c>
      <c r="CJ408" s="9">
        <f t="shared" si="316"/>
        <v>0</v>
      </c>
      <c r="CK408" s="31" t="str">
        <f t="shared" si="317"/>
        <v>0</v>
      </c>
      <c r="CL408" s="10">
        <f>+Risultati!AE407+Risultati!AF407</f>
        <v>0</v>
      </c>
      <c r="CM408" s="31" t="str">
        <f t="shared" si="318"/>
        <v>0</v>
      </c>
      <c r="CN408" s="9">
        <f>+Risultati!AT407</f>
        <v>0</v>
      </c>
      <c r="CO408" s="31" t="str">
        <f t="shared" si="319"/>
        <v>0</v>
      </c>
      <c r="CP408" s="9">
        <f>+Risultati!AU407</f>
        <v>0</v>
      </c>
      <c r="CQ408" s="31" t="str">
        <f t="shared" si="320"/>
        <v>0</v>
      </c>
      <c r="CR408" s="9">
        <f>+Risultati!AL407</f>
        <v>0</v>
      </c>
      <c r="CS408" s="31" t="str">
        <f t="shared" si="321"/>
        <v>0</v>
      </c>
      <c r="CT408" s="9">
        <f t="shared" si="322"/>
        <v>0</v>
      </c>
      <c r="CU408" s="31" t="str">
        <f t="shared" si="323"/>
        <v>0</v>
      </c>
      <c r="CV408" s="9">
        <f>+Risultati!AX407</f>
        <v>0</v>
      </c>
      <c r="CW408" s="31" t="str">
        <f t="shared" si="324"/>
        <v>0</v>
      </c>
      <c r="CX408" s="9">
        <f t="shared" si="325"/>
        <v>0</v>
      </c>
      <c r="CY408" s="31" t="str">
        <f t="shared" si="326"/>
        <v>0</v>
      </c>
      <c r="CZ408" s="9">
        <f>+Risultati!AG407</f>
        <v>0</v>
      </c>
      <c r="DA408" s="31" t="str">
        <f t="shared" si="327"/>
        <v>0</v>
      </c>
      <c r="DB408" s="9">
        <f t="shared" si="328"/>
        <v>0</v>
      </c>
      <c r="DC408" s="31" t="str">
        <f t="shared" si="329"/>
        <v>0</v>
      </c>
      <c r="DD408" s="9">
        <f>+Risultati!AV407</f>
        <v>0</v>
      </c>
      <c r="DE408" s="31" t="str">
        <f t="shared" si="330"/>
        <v>0</v>
      </c>
      <c r="DF408" s="9">
        <f>+Risultati!AJ407</f>
        <v>0</v>
      </c>
      <c r="DG408" s="31" t="str">
        <f t="shared" si="331"/>
        <v>0</v>
      </c>
      <c r="DH408" s="9">
        <f t="shared" si="332"/>
        <v>0</v>
      </c>
      <c r="DI408" s="31" t="str">
        <f t="shared" si="333"/>
        <v>0</v>
      </c>
      <c r="DJ408" s="9">
        <f>+Risultati!AW407</f>
        <v>0</v>
      </c>
      <c r="DK408" s="31" t="str">
        <f t="shared" si="334"/>
        <v>0</v>
      </c>
      <c r="DL408" s="10">
        <f t="shared" si="356"/>
        <v>0</v>
      </c>
      <c r="DM408" s="31" t="str">
        <f t="shared" si="335"/>
        <v>0</v>
      </c>
      <c r="DO408" s="30"/>
      <c r="DP408" s="30"/>
    </row>
    <row r="409" spans="1:120" x14ac:dyDescent="0.2">
      <c r="A409" s="5"/>
      <c r="B409" s="6">
        <f>+Risultati!B408</f>
        <v>0</v>
      </c>
      <c r="C409" s="6">
        <f>+Risultati!C408</f>
        <v>0</v>
      </c>
      <c r="D409" s="26" t="str">
        <f>IF(YEAR(Risultati!D408)=1900,(MID(Risultati!$AP$1,29,4)),YEAR(Risultati!D408))</f>
        <v/>
      </c>
      <c r="E409" s="6">
        <f>+Risultati!E408</f>
        <v>0</v>
      </c>
      <c r="F409" s="8" t="e">
        <f>(LEFT(Risultati!AN408,2)&amp;"-")&amp;VLOOKUP((LEFT(Risultati!AN408,2)),ateco!$B$4:$C$93,2,FALSE)</f>
        <v>#N/A</v>
      </c>
      <c r="G409" s="8" t="str">
        <f>SUBSTITUTE((Risultati!AN408&amp;"-"&amp;Risultati!AO408),",",";")</f>
        <v>-</v>
      </c>
      <c r="I409" s="10">
        <f>+Risultati!G408</f>
        <v>0</v>
      </c>
      <c r="J409" s="11" t="str">
        <f t="shared" si="338"/>
        <v>0</v>
      </c>
      <c r="K409" s="12"/>
      <c r="L409" s="10">
        <f>+Risultati!G408+Risultati!H408</f>
        <v>0</v>
      </c>
      <c r="M409" s="11" t="str">
        <f t="shared" si="339"/>
        <v>0</v>
      </c>
      <c r="N409" s="12"/>
      <c r="O409" s="10">
        <f>+Risultati!I408+Risultati!J408</f>
        <v>0</v>
      </c>
      <c r="P409" s="11" t="str">
        <f t="shared" si="340"/>
        <v>0</v>
      </c>
      <c r="Q409" s="12"/>
      <c r="R409" s="13">
        <f t="shared" si="306"/>
        <v>0</v>
      </c>
      <c r="S409" s="11" t="str">
        <f t="shared" si="341"/>
        <v>0</v>
      </c>
      <c r="T409" s="12"/>
      <c r="U409" s="10">
        <f>+Risultati!F408-(Risultati!G408+Risultati!H408)</f>
        <v>0</v>
      </c>
      <c r="V409" s="12" t="str">
        <f t="shared" si="342"/>
        <v>0</v>
      </c>
      <c r="W409" s="12"/>
      <c r="X409" s="10">
        <f t="shared" si="307"/>
        <v>0</v>
      </c>
      <c r="Y409" s="12" t="str">
        <f t="shared" si="343"/>
        <v>0</v>
      </c>
      <c r="Z409" s="12"/>
      <c r="AA409" s="10">
        <f>+Risultati!K408</f>
        <v>0</v>
      </c>
      <c r="AB409" s="12" t="str">
        <f t="shared" si="344"/>
        <v>0</v>
      </c>
      <c r="AC409" s="12"/>
      <c r="AD409" s="10">
        <f>+Risultati!L408</f>
        <v>0</v>
      </c>
      <c r="AE409" s="12" t="str">
        <f t="shared" si="345"/>
        <v>0</v>
      </c>
      <c r="AF409" s="12"/>
      <c r="AG409" s="10">
        <f>+Risultati!M408+Risultati!P408+Risultati!Q408</f>
        <v>0</v>
      </c>
      <c r="AH409" s="12" t="str">
        <f t="shared" si="346"/>
        <v>0</v>
      </c>
      <c r="AI409" s="12"/>
      <c r="AJ409" s="13">
        <f t="shared" si="308"/>
        <v>0</v>
      </c>
      <c r="AK409" s="11" t="str">
        <f t="shared" si="347"/>
        <v>0</v>
      </c>
      <c r="AL409" s="12"/>
      <c r="AM409" s="10">
        <f>+Risultati!N408</f>
        <v>0</v>
      </c>
      <c r="AN409" s="12" t="str">
        <f t="shared" si="348"/>
        <v>0</v>
      </c>
      <c r="AO409" s="12"/>
      <c r="AP409" s="10">
        <f t="shared" si="309"/>
        <v>0</v>
      </c>
      <c r="AQ409" s="41" t="str">
        <f t="shared" si="349"/>
        <v>0</v>
      </c>
      <c r="AR409" s="12"/>
      <c r="AS409" s="10">
        <f>+Risultati!O408</f>
        <v>0</v>
      </c>
      <c r="AT409" s="12" t="str">
        <f t="shared" si="350"/>
        <v>0</v>
      </c>
      <c r="AU409" s="12"/>
      <c r="AV409" s="10">
        <f t="shared" si="310"/>
        <v>0</v>
      </c>
      <c r="AW409" s="12" t="str">
        <f t="shared" si="351"/>
        <v>0</v>
      </c>
      <c r="AX409" s="12"/>
      <c r="AY409" s="10">
        <f>+Risultati!R408+Risultati!S408</f>
        <v>0</v>
      </c>
      <c r="AZ409" s="12" t="str">
        <f t="shared" si="352"/>
        <v>0</v>
      </c>
      <c r="BA409" s="12"/>
      <c r="BB409" s="10">
        <f>+Risultati!T408</f>
        <v>0</v>
      </c>
      <c r="BC409" s="12" t="str">
        <f t="shared" si="353"/>
        <v>0</v>
      </c>
      <c r="BD409" s="12"/>
      <c r="BE409" s="10">
        <f>+Risultati!U408</f>
        <v>0</v>
      </c>
      <c r="BF409" s="12" t="str">
        <f t="shared" si="354"/>
        <v>0</v>
      </c>
      <c r="BG409" s="12"/>
      <c r="BH409" s="10">
        <f t="shared" si="311"/>
        <v>0</v>
      </c>
      <c r="BI409" s="12" t="str">
        <f t="shared" si="355"/>
        <v>0</v>
      </c>
      <c r="BK409" s="16">
        <f>IF(ISNUMBER(Risultati!X408/100),(Risultati!X408/100))</f>
        <v>0</v>
      </c>
      <c r="BL409" s="16">
        <f>IF(ISNUMBER(Risultati!Y408/100),(Risultati!Y408/100))</f>
        <v>0</v>
      </c>
      <c r="BM409" s="16">
        <f>IF(ISNUMBER(Risultati!Z408/100),(Risultati!Z408/100))</f>
        <v>0</v>
      </c>
      <c r="BN409" s="16">
        <f>IF(AND(Risultati!AY408&lt;0,calcoli!AP409&lt;0),-IF(ISNUMBER(Risultati!AA408/100),(Risultati!AA408/100)),IF(ISNUMBER(Risultati!AA408/100),(Risultati!AA408/100)))</f>
        <v>0</v>
      </c>
      <c r="BO409" s="16" t="str">
        <f t="shared" si="336"/>
        <v>0</v>
      </c>
      <c r="BP409" s="16" t="str">
        <f>IF(Risultati!AB408&gt;0,(AV409/Risultati!AB408),"0")</f>
        <v>0</v>
      </c>
      <c r="BQ409" s="16" t="str">
        <f>IF(Risultati!AG408&lt;&gt;0,(BH409/Risultati!AG408),"0")</f>
        <v>0</v>
      </c>
      <c r="BR409" s="16" t="str">
        <f t="shared" si="337"/>
        <v>0</v>
      </c>
      <c r="BS409" s="14" t="str">
        <f>IF(Risultati!AB408&gt;0,(Risultati!G408/Risultati!AB408),"0")</f>
        <v>0</v>
      </c>
      <c r="BT409" s="15" t="str">
        <f>IF(Risultati!AG408&lt;&gt;0,(Risultati!AB408/Risultati!AG408),"0")</f>
        <v>0</v>
      </c>
      <c r="BU409" s="23" t="str">
        <f>IF(AND(Risultati!G408&gt;0,(Risultati!AE408-Risultati!AF408)&gt;=0),((Risultati!AE408-Risultati!AF408)/Risultati!G408*360),"0")</f>
        <v>0</v>
      </c>
      <c r="BV409" s="21" t="str">
        <f>IF(OR(E409="abbreviato",Risultati!G408=0),"0",((Risultati!AC408+Risultati!AD408)/Risultati!G408*360))</f>
        <v>0</v>
      </c>
      <c r="BW409" s="21" t="str">
        <f>IF(OR(E409="abbreviato",Risultati!G408=0,SUM(Risultati!I408+Risultati!K408+Risultati!M408)=0),"0",(((Risultati!AH408+Risultati!AI408)/(Risultati!I408+Risultati!K408+Risultati!N408)*360)))</f>
        <v>0</v>
      </c>
      <c r="BX409" s="16" t="str">
        <f>IF(Risultati!AB408&gt;0,(+Risultati!AG408/Risultati!AB408),"0")</f>
        <v>0</v>
      </c>
      <c r="BY409" s="22" t="str">
        <f>IF(OR(E409="abbreviato",Risultati!G408=0),"0",(((Risultati!AK408-(Risultati!AL408+Risultati!AM408))/Risultati!G408)))</f>
        <v>0</v>
      </c>
      <c r="BZ409" s="16" t="str">
        <f>IF(Risultati!G408&gt;0,(Risultati!AJ408/Risultati!G408),"0")</f>
        <v>0</v>
      </c>
      <c r="CA409" s="8"/>
      <c r="CB409" s="9">
        <f>+Risultati!AP408</f>
        <v>0</v>
      </c>
      <c r="CC409" s="31" t="str">
        <f t="shared" si="312"/>
        <v>0</v>
      </c>
      <c r="CD409" s="9">
        <f>+Risultati!AQ408</f>
        <v>0</v>
      </c>
      <c r="CE409" s="31" t="str">
        <f t="shared" si="313"/>
        <v>0</v>
      </c>
      <c r="CF409" s="9">
        <f>+Risultati!AR408</f>
        <v>0</v>
      </c>
      <c r="CG409" s="31" t="str">
        <f t="shared" si="314"/>
        <v>0</v>
      </c>
      <c r="CH409" s="9">
        <f>+Risultati!AS408</f>
        <v>0</v>
      </c>
      <c r="CI409" s="31" t="str">
        <f t="shared" si="315"/>
        <v>0</v>
      </c>
      <c r="CJ409" s="9">
        <f t="shared" si="316"/>
        <v>0</v>
      </c>
      <c r="CK409" s="31" t="str">
        <f t="shared" si="317"/>
        <v>0</v>
      </c>
      <c r="CL409" s="10">
        <f>+Risultati!AE408+Risultati!AF408</f>
        <v>0</v>
      </c>
      <c r="CM409" s="31" t="str">
        <f t="shared" si="318"/>
        <v>0</v>
      </c>
      <c r="CN409" s="9">
        <f>+Risultati!AT408</f>
        <v>0</v>
      </c>
      <c r="CO409" s="31" t="str">
        <f t="shared" si="319"/>
        <v>0</v>
      </c>
      <c r="CP409" s="9">
        <f>+Risultati!AU408</f>
        <v>0</v>
      </c>
      <c r="CQ409" s="31" t="str">
        <f t="shared" si="320"/>
        <v>0</v>
      </c>
      <c r="CR409" s="9">
        <f>+Risultati!AL408</f>
        <v>0</v>
      </c>
      <c r="CS409" s="31" t="str">
        <f t="shared" si="321"/>
        <v>0</v>
      </c>
      <c r="CT409" s="9">
        <f t="shared" si="322"/>
        <v>0</v>
      </c>
      <c r="CU409" s="31" t="str">
        <f t="shared" si="323"/>
        <v>0</v>
      </c>
      <c r="CV409" s="9">
        <f>+Risultati!AX408</f>
        <v>0</v>
      </c>
      <c r="CW409" s="31" t="str">
        <f t="shared" si="324"/>
        <v>0</v>
      </c>
      <c r="CX409" s="9">
        <f t="shared" si="325"/>
        <v>0</v>
      </c>
      <c r="CY409" s="31" t="str">
        <f t="shared" si="326"/>
        <v>0</v>
      </c>
      <c r="CZ409" s="9">
        <f>+Risultati!AG408</f>
        <v>0</v>
      </c>
      <c r="DA409" s="31" t="str">
        <f t="shared" si="327"/>
        <v>0</v>
      </c>
      <c r="DB409" s="9">
        <f t="shared" si="328"/>
        <v>0</v>
      </c>
      <c r="DC409" s="31" t="str">
        <f t="shared" si="329"/>
        <v>0</v>
      </c>
      <c r="DD409" s="9">
        <f>+Risultati!AV408</f>
        <v>0</v>
      </c>
      <c r="DE409" s="31" t="str">
        <f t="shared" si="330"/>
        <v>0</v>
      </c>
      <c r="DF409" s="9">
        <f>+Risultati!AJ408</f>
        <v>0</v>
      </c>
      <c r="DG409" s="31" t="str">
        <f t="shared" si="331"/>
        <v>0</v>
      </c>
      <c r="DH409" s="9">
        <f t="shared" si="332"/>
        <v>0</v>
      </c>
      <c r="DI409" s="31" t="str">
        <f t="shared" si="333"/>
        <v>0</v>
      </c>
      <c r="DJ409" s="9">
        <f>+Risultati!AW408</f>
        <v>0</v>
      </c>
      <c r="DK409" s="31" t="str">
        <f t="shared" si="334"/>
        <v>0</v>
      </c>
      <c r="DL409" s="10">
        <f t="shared" si="356"/>
        <v>0</v>
      </c>
      <c r="DM409" s="31" t="str">
        <f t="shared" si="335"/>
        <v>0</v>
      </c>
      <c r="DO409" s="30"/>
      <c r="DP409" s="30"/>
    </row>
    <row r="410" spans="1:120" x14ac:dyDescent="0.2">
      <c r="A410" s="5"/>
      <c r="B410" s="6">
        <f>+Risultati!B409</f>
        <v>0</v>
      </c>
      <c r="C410" s="6">
        <f>+Risultati!C409</f>
        <v>0</v>
      </c>
      <c r="D410" s="26" t="str">
        <f>IF(YEAR(Risultati!D409)=1900,(MID(Risultati!$AP$1,29,4)),YEAR(Risultati!D409))</f>
        <v/>
      </c>
      <c r="E410" s="6">
        <f>+Risultati!E409</f>
        <v>0</v>
      </c>
      <c r="F410" s="8" t="e">
        <f>(LEFT(Risultati!AN409,2)&amp;"-")&amp;VLOOKUP((LEFT(Risultati!AN409,2)),ateco!$B$4:$C$93,2,FALSE)</f>
        <v>#N/A</v>
      </c>
      <c r="G410" s="8" t="str">
        <f>SUBSTITUTE((Risultati!AN409&amp;"-"&amp;Risultati!AO409),",",";")</f>
        <v>-</v>
      </c>
      <c r="I410" s="10">
        <f>+Risultati!G409</f>
        <v>0</v>
      </c>
      <c r="J410" s="11" t="str">
        <f t="shared" si="338"/>
        <v>0</v>
      </c>
      <c r="K410" s="12"/>
      <c r="L410" s="10">
        <f>+Risultati!G409+Risultati!H409</f>
        <v>0</v>
      </c>
      <c r="M410" s="11" t="str">
        <f t="shared" si="339"/>
        <v>0</v>
      </c>
      <c r="N410" s="12"/>
      <c r="O410" s="10">
        <f>+Risultati!I409+Risultati!J409</f>
        <v>0</v>
      </c>
      <c r="P410" s="11" t="str">
        <f t="shared" si="340"/>
        <v>0</v>
      </c>
      <c r="Q410" s="12"/>
      <c r="R410" s="13">
        <f t="shared" ref="R410:R473" si="357">+L410-O410</f>
        <v>0</v>
      </c>
      <c r="S410" s="11" t="str">
        <f t="shared" si="341"/>
        <v>0</v>
      </c>
      <c r="T410" s="12"/>
      <c r="U410" s="10">
        <f>+Risultati!F409-(Risultati!G409+Risultati!H409)</f>
        <v>0</v>
      </c>
      <c r="V410" s="12" t="str">
        <f t="shared" si="342"/>
        <v>0</v>
      </c>
      <c r="W410" s="12"/>
      <c r="X410" s="10">
        <f t="shared" ref="X410:X473" si="358">+U410+R410</f>
        <v>0</v>
      </c>
      <c r="Y410" s="12" t="str">
        <f t="shared" si="343"/>
        <v>0</v>
      </c>
      <c r="Z410" s="12"/>
      <c r="AA410" s="10">
        <f>+Risultati!K409</f>
        <v>0</v>
      </c>
      <c r="AB410" s="12" t="str">
        <f t="shared" si="344"/>
        <v>0</v>
      </c>
      <c r="AC410" s="12"/>
      <c r="AD410" s="10">
        <f>+Risultati!L409</f>
        <v>0</v>
      </c>
      <c r="AE410" s="12" t="str">
        <f t="shared" si="345"/>
        <v>0</v>
      </c>
      <c r="AF410" s="12"/>
      <c r="AG410" s="10">
        <f>+Risultati!M409+Risultati!P409+Risultati!Q409</f>
        <v>0</v>
      </c>
      <c r="AH410" s="12" t="str">
        <f t="shared" si="346"/>
        <v>0</v>
      </c>
      <c r="AI410" s="12"/>
      <c r="AJ410" s="13">
        <f t="shared" ref="AJ410:AJ473" si="359">+X410-AA410-AD410-AG410</f>
        <v>0</v>
      </c>
      <c r="AK410" s="11" t="str">
        <f t="shared" si="347"/>
        <v>0</v>
      </c>
      <c r="AL410" s="12"/>
      <c r="AM410" s="10">
        <f>+Risultati!N409</f>
        <v>0</v>
      </c>
      <c r="AN410" s="12" t="str">
        <f t="shared" si="348"/>
        <v>0</v>
      </c>
      <c r="AO410" s="12"/>
      <c r="AP410" s="10">
        <f t="shared" ref="AP410:AP473" si="360">+AJ410-AM410</f>
        <v>0</v>
      </c>
      <c r="AQ410" s="41" t="str">
        <f t="shared" si="349"/>
        <v>0</v>
      </c>
      <c r="AR410" s="12"/>
      <c r="AS410" s="10">
        <f>+Risultati!O409</f>
        <v>0</v>
      </c>
      <c r="AT410" s="12" t="str">
        <f t="shared" si="350"/>
        <v>0</v>
      </c>
      <c r="AU410" s="12"/>
      <c r="AV410" s="10">
        <f t="shared" ref="AV410:AV473" si="361">+AP410-AS410</f>
        <v>0</v>
      </c>
      <c r="AW410" s="12" t="str">
        <f t="shared" si="351"/>
        <v>0</v>
      </c>
      <c r="AX410" s="12"/>
      <c r="AY410" s="10">
        <f>+Risultati!R409+Risultati!S409</f>
        <v>0</v>
      </c>
      <c r="AZ410" s="12" t="str">
        <f t="shared" si="352"/>
        <v>0</v>
      </c>
      <c r="BA410" s="12"/>
      <c r="BB410" s="10">
        <f>+Risultati!T409</f>
        <v>0</v>
      </c>
      <c r="BC410" s="12" t="str">
        <f t="shared" si="353"/>
        <v>0</v>
      </c>
      <c r="BD410" s="12"/>
      <c r="BE410" s="10">
        <f>+Risultati!U409</f>
        <v>0</v>
      </c>
      <c r="BF410" s="12" t="str">
        <f t="shared" si="354"/>
        <v>0</v>
      </c>
      <c r="BG410" s="12"/>
      <c r="BH410" s="10">
        <f t="shared" ref="BH410:BH473" si="362">+AV410+AY410+BB410-BE410</f>
        <v>0</v>
      </c>
      <c r="BI410" s="12" t="str">
        <f t="shared" si="355"/>
        <v>0</v>
      </c>
      <c r="BK410" s="16">
        <f>IF(ISNUMBER(Risultati!X409/100),(Risultati!X409/100))</f>
        <v>0</v>
      </c>
      <c r="BL410" s="16">
        <f>IF(ISNUMBER(Risultati!Y409/100),(Risultati!Y409/100))</f>
        <v>0</v>
      </c>
      <c r="BM410" s="16">
        <f>IF(ISNUMBER(Risultati!Z409/100),(Risultati!Z409/100))</f>
        <v>0</v>
      </c>
      <c r="BN410" s="16">
        <f>IF(AND(Risultati!AY409&lt;0,calcoli!AP410&lt;0),-IF(ISNUMBER(Risultati!AA409/100),(Risultati!AA409/100)),IF(ISNUMBER(Risultati!AA409/100),(Risultati!AA409/100)))</f>
        <v>0</v>
      </c>
      <c r="BO410" s="16" t="str">
        <f t="shared" si="336"/>
        <v>0</v>
      </c>
      <c r="BP410" s="16" t="str">
        <f>IF(Risultati!AB409&gt;0,(AV410/Risultati!AB409),"0")</f>
        <v>0</v>
      </c>
      <c r="BQ410" s="16" t="str">
        <f>IF(Risultati!AG409&lt;&gt;0,(BH410/Risultati!AG409),"0")</f>
        <v>0</v>
      </c>
      <c r="BR410" s="16" t="str">
        <f t="shared" si="337"/>
        <v>0</v>
      </c>
      <c r="BS410" s="14" t="str">
        <f>IF(Risultati!AB409&gt;0,(Risultati!G409/Risultati!AB409),"0")</f>
        <v>0</v>
      </c>
      <c r="BT410" s="15" t="str">
        <f>IF(Risultati!AG409&lt;&gt;0,(Risultati!AB409/Risultati!AG409),"0")</f>
        <v>0</v>
      </c>
      <c r="BU410" s="23" t="str">
        <f>IF(AND(Risultati!G409&gt;0,(Risultati!AE409-Risultati!AF409)&gt;=0),((Risultati!AE409-Risultati!AF409)/Risultati!G409*360),"0")</f>
        <v>0</v>
      </c>
      <c r="BV410" s="21" t="str">
        <f>IF(OR(E410="abbreviato",Risultati!G409=0),"0",((Risultati!AC409+Risultati!AD409)/Risultati!G409*360))</f>
        <v>0</v>
      </c>
      <c r="BW410" s="21" t="str">
        <f>IF(OR(E410="abbreviato",Risultati!G409=0,SUM(Risultati!I409+Risultati!K409+Risultati!M409)=0),"0",(((Risultati!AH409+Risultati!AI409)/(Risultati!I409+Risultati!K409+Risultati!N409)*360)))</f>
        <v>0</v>
      </c>
      <c r="BX410" s="16" t="str">
        <f>IF(Risultati!AB409&gt;0,(+Risultati!AG409/Risultati!AB409),"0")</f>
        <v>0</v>
      </c>
      <c r="BY410" s="22" t="str">
        <f>IF(OR(E410="abbreviato",Risultati!G409=0),"0",(((Risultati!AK409-(Risultati!AL409+Risultati!AM409))/Risultati!G409)))</f>
        <v>0</v>
      </c>
      <c r="BZ410" s="16" t="str">
        <f>IF(Risultati!G409&gt;0,(Risultati!AJ409/Risultati!G409),"0")</f>
        <v>0</v>
      </c>
      <c r="CA410" s="8"/>
      <c r="CB410" s="9">
        <f>+Risultati!AP409</f>
        <v>0</v>
      </c>
      <c r="CC410" s="31" t="str">
        <f t="shared" ref="CC410:CC473" si="363">IF($CX410&gt;0,(CB410/$CX410),"0")</f>
        <v>0</v>
      </c>
      <c r="CD410" s="9">
        <f>+Risultati!AQ409</f>
        <v>0</v>
      </c>
      <c r="CE410" s="31" t="str">
        <f t="shared" ref="CE410:CE473" si="364">IF($CX410&gt;0,(CD410/$CX410),"0")</f>
        <v>0</v>
      </c>
      <c r="CF410" s="9">
        <f>+Risultati!AR409</f>
        <v>0</v>
      </c>
      <c r="CG410" s="31" t="str">
        <f t="shared" ref="CG410:CG473" si="365">IF($CX410&gt;0,(CF410/$CX410),"0")</f>
        <v>0</v>
      </c>
      <c r="CH410" s="9">
        <f>+Risultati!AS409</f>
        <v>0</v>
      </c>
      <c r="CI410" s="31" t="str">
        <f t="shared" ref="CI410:CI473" si="366">IF($CX410&gt;0,(CH410/$CX410),"0")</f>
        <v>0</v>
      </c>
      <c r="CJ410" s="9">
        <f t="shared" ref="CJ410:CJ473" si="367">+CH410+CF410+CD410</f>
        <v>0</v>
      </c>
      <c r="CK410" s="31" t="str">
        <f t="shared" ref="CK410:CK473" si="368">IF($CX410&gt;0,(CJ410/$CX410),"0")</f>
        <v>0</v>
      </c>
      <c r="CL410" s="10">
        <f>+Risultati!AE409+Risultati!AF409</f>
        <v>0</v>
      </c>
      <c r="CM410" s="31" t="str">
        <f t="shared" ref="CM410:CM473" si="369">IF($CX410&gt;0,(CL410/$CX410),"0")</f>
        <v>0</v>
      </c>
      <c r="CN410" s="9">
        <f>+Risultati!AT409</f>
        <v>0</v>
      </c>
      <c r="CO410" s="31" t="str">
        <f t="shared" ref="CO410:CO473" si="370">IF($CX410&gt;0,(CN410/$CX410),"0")</f>
        <v>0</v>
      </c>
      <c r="CP410" s="9">
        <f>+Risultati!AU409</f>
        <v>0</v>
      </c>
      <c r="CQ410" s="31" t="str">
        <f t="shared" ref="CQ410:CQ473" si="371">IF($CX410&gt;0,(CP410/$CX410),"0")</f>
        <v>0</v>
      </c>
      <c r="CR410" s="9">
        <f>+Risultati!AL409</f>
        <v>0</v>
      </c>
      <c r="CS410" s="31" t="str">
        <f t="shared" ref="CS410:CS473" si="372">IF($CX410&gt;0,(CR410/$CX410),"0")</f>
        <v>0</v>
      </c>
      <c r="CT410" s="9">
        <f t="shared" ref="CT410:CT473" si="373">+CR410+CP410+CN410+CL410</f>
        <v>0</v>
      </c>
      <c r="CU410" s="31" t="str">
        <f t="shared" ref="CU410:CU473" si="374">IF($CX410&gt;0,(CT410/$CX410),"0")</f>
        <v>0</v>
      </c>
      <c r="CV410" s="9">
        <f>+Risultati!AX409</f>
        <v>0</v>
      </c>
      <c r="CW410" s="31" t="str">
        <f t="shared" ref="CW410:CW473" si="375">IF($CX410&gt;0,(CV410/$CX410),"0")</f>
        <v>0</v>
      </c>
      <c r="CX410" s="9">
        <f t="shared" ref="CX410:CX473" si="376">+CV410+CT410+CJ410</f>
        <v>0</v>
      </c>
      <c r="CY410" s="31" t="str">
        <f t="shared" ref="CY410:CY473" si="377">IF($CX410&gt;0,(CX410/$CX410),"0")</f>
        <v>0</v>
      </c>
      <c r="CZ410" s="9">
        <f>+Risultati!AG409</f>
        <v>0</v>
      </c>
      <c r="DA410" s="31" t="str">
        <f t="shared" ref="DA410:DA473" si="378">IF($CX410&gt;0,(CZ410/$CX410),"0")</f>
        <v>0</v>
      </c>
      <c r="DB410" s="9">
        <f t="shared" ref="DB410:DB473" si="379">+DL410-CZ410-DD410-DJ410</f>
        <v>0</v>
      </c>
      <c r="DC410" s="31" t="str">
        <f t="shared" ref="DC410:DC473" si="380">IF($CX410&gt;0,(DB410/$CX410),"0")</f>
        <v>0</v>
      </c>
      <c r="DD410" s="9">
        <f>+Risultati!AV409</f>
        <v>0</v>
      </c>
      <c r="DE410" s="31" t="str">
        <f t="shared" ref="DE410:DE473" si="381">IF($CX410&gt;0,(DD410/$CX410),"0")</f>
        <v>0</v>
      </c>
      <c r="DF410" s="9">
        <f>+Risultati!AJ409</f>
        <v>0</v>
      </c>
      <c r="DG410" s="31" t="str">
        <f t="shared" ref="DG410:DG473" si="382">IF($CX410&gt;0,(DF410/$CX410),"0")</f>
        <v>0</v>
      </c>
      <c r="DH410" s="9">
        <f t="shared" ref="DH410:DH473" si="383">+DD410-DF410</f>
        <v>0</v>
      </c>
      <c r="DI410" s="31" t="str">
        <f t="shared" ref="DI410:DI473" si="384">IF($CX410&gt;0,(DH410/$CX410),"0")</f>
        <v>0</v>
      </c>
      <c r="DJ410" s="9">
        <f>+Risultati!AW409</f>
        <v>0</v>
      </c>
      <c r="DK410" s="31" t="str">
        <f t="shared" ref="DK410:DK473" si="385">IF($CX410&gt;0,(DJ410/$CX410),"0")</f>
        <v>0</v>
      </c>
      <c r="DL410" s="10">
        <f t="shared" si="356"/>
        <v>0</v>
      </c>
      <c r="DM410" s="31" t="str">
        <f t="shared" ref="DM410:DM473" si="386">IF($CX410&gt;0,(DL410/$CX410),"0")</f>
        <v>0</v>
      </c>
      <c r="DO410" s="30"/>
      <c r="DP410" s="30"/>
    </row>
    <row r="411" spans="1:120" x14ac:dyDescent="0.2">
      <c r="A411" s="5"/>
      <c r="B411" s="6">
        <f>+Risultati!B410</f>
        <v>0</v>
      </c>
      <c r="C411" s="6">
        <f>+Risultati!C410</f>
        <v>0</v>
      </c>
      <c r="D411" s="26" t="str">
        <f>IF(YEAR(Risultati!D410)=1900,(MID(Risultati!$AP$1,29,4)),YEAR(Risultati!D410))</f>
        <v/>
      </c>
      <c r="E411" s="6">
        <f>+Risultati!E410</f>
        <v>0</v>
      </c>
      <c r="F411" s="8" t="e">
        <f>(LEFT(Risultati!AN410,2)&amp;"-")&amp;VLOOKUP((LEFT(Risultati!AN410,2)),ateco!$B$4:$C$93,2,FALSE)</f>
        <v>#N/A</v>
      </c>
      <c r="G411" s="8" t="str">
        <f>SUBSTITUTE((Risultati!AN410&amp;"-"&amp;Risultati!AO410),",",";")</f>
        <v>-</v>
      </c>
      <c r="I411" s="10">
        <f>+Risultati!G410</f>
        <v>0</v>
      </c>
      <c r="J411" s="11" t="str">
        <f t="shared" si="338"/>
        <v>0</v>
      </c>
      <c r="K411" s="12"/>
      <c r="L411" s="10">
        <f>+Risultati!G410+Risultati!H410</f>
        <v>0</v>
      </c>
      <c r="M411" s="11" t="str">
        <f t="shared" si="339"/>
        <v>0</v>
      </c>
      <c r="N411" s="12"/>
      <c r="O411" s="10">
        <f>+Risultati!I410+Risultati!J410</f>
        <v>0</v>
      </c>
      <c r="P411" s="11" t="str">
        <f t="shared" si="340"/>
        <v>0</v>
      </c>
      <c r="Q411" s="12"/>
      <c r="R411" s="13">
        <f t="shared" si="357"/>
        <v>0</v>
      </c>
      <c r="S411" s="11" t="str">
        <f t="shared" si="341"/>
        <v>0</v>
      </c>
      <c r="T411" s="12"/>
      <c r="U411" s="10">
        <f>+Risultati!F410-(Risultati!G410+Risultati!H410)</f>
        <v>0</v>
      </c>
      <c r="V411" s="12" t="str">
        <f t="shared" si="342"/>
        <v>0</v>
      </c>
      <c r="W411" s="12"/>
      <c r="X411" s="10">
        <f t="shared" si="358"/>
        <v>0</v>
      </c>
      <c r="Y411" s="12" t="str">
        <f t="shared" si="343"/>
        <v>0</v>
      </c>
      <c r="Z411" s="12"/>
      <c r="AA411" s="10">
        <f>+Risultati!K410</f>
        <v>0</v>
      </c>
      <c r="AB411" s="12" t="str">
        <f t="shared" si="344"/>
        <v>0</v>
      </c>
      <c r="AC411" s="12"/>
      <c r="AD411" s="10">
        <f>+Risultati!L410</f>
        <v>0</v>
      </c>
      <c r="AE411" s="12" t="str">
        <f t="shared" si="345"/>
        <v>0</v>
      </c>
      <c r="AF411" s="12"/>
      <c r="AG411" s="10">
        <f>+Risultati!M410+Risultati!P410+Risultati!Q410</f>
        <v>0</v>
      </c>
      <c r="AH411" s="12" t="str">
        <f t="shared" si="346"/>
        <v>0</v>
      </c>
      <c r="AI411" s="12"/>
      <c r="AJ411" s="13">
        <f t="shared" si="359"/>
        <v>0</v>
      </c>
      <c r="AK411" s="11" t="str">
        <f t="shared" si="347"/>
        <v>0</v>
      </c>
      <c r="AL411" s="12"/>
      <c r="AM411" s="10">
        <f>+Risultati!N410</f>
        <v>0</v>
      </c>
      <c r="AN411" s="12" t="str">
        <f t="shared" si="348"/>
        <v>0</v>
      </c>
      <c r="AO411" s="12"/>
      <c r="AP411" s="10">
        <f t="shared" si="360"/>
        <v>0</v>
      </c>
      <c r="AQ411" s="41" t="str">
        <f t="shared" si="349"/>
        <v>0</v>
      </c>
      <c r="AR411" s="12"/>
      <c r="AS411" s="10">
        <f>+Risultati!O410</f>
        <v>0</v>
      </c>
      <c r="AT411" s="12" t="str">
        <f t="shared" si="350"/>
        <v>0</v>
      </c>
      <c r="AU411" s="12"/>
      <c r="AV411" s="10">
        <f t="shared" si="361"/>
        <v>0</v>
      </c>
      <c r="AW411" s="12" t="str">
        <f t="shared" si="351"/>
        <v>0</v>
      </c>
      <c r="AX411" s="12"/>
      <c r="AY411" s="10">
        <f>+Risultati!R410+Risultati!S410</f>
        <v>0</v>
      </c>
      <c r="AZ411" s="12" t="str">
        <f t="shared" si="352"/>
        <v>0</v>
      </c>
      <c r="BA411" s="12"/>
      <c r="BB411" s="10">
        <f>+Risultati!T410</f>
        <v>0</v>
      </c>
      <c r="BC411" s="12" t="str">
        <f t="shared" si="353"/>
        <v>0</v>
      </c>
      <c r="BD411" s="12"/>
      <c r="BE411" s="10">
        <f>+Risultati!U410</f>
        <v>0</v>
      </c>
      <c r="BF411" s="12" t="str">
        <f t="shared" si="354"/>
        <v>0</v>
      </c>
      <c r="BG411" s="12"/>
      <c r="BH411" s="10">
        <f t="shared" si="362"/>
        <v>0</v>
      </c>
      <c r="BI411" s="12" t="str">
        <f t="shared" si="355"/>
        <v>0</v>
      </c>
      <c r="BK411" s="16">
        <f>IF(ISNUMBER(Risultati!X410/100),(Risultati!X410/100))</f>
        <v>0</v>
      </c>
      <c r="BL411" s="16">
        <f>IF(ISNUMBER(Risultati!Y410/100),(Risultati!Y410/100))</f>
        <v>0</v>
      </c>
      <c r="BM411" s="16">
        <f>IF(ISNUMBER(Risultati!Z410/100),(Risultati!Z410/100))</f>
        <v>0</v>
      </c>
      <c r="BN411" s="16">
        <f>IF(AND(Risultati!AY410&lt;0,calcoli!AP411&lt;0),-IF(ISNUMBER(Risultati!AA410/100),(Risultati!AA410/100)),IF(ISNUMBER(Risultati!AA410/100),(Risultati!AA410/100)))</f>
        <v>0</v>
      </c>
      <c r="BO411" s="16" t="str">
        <f t="shared" si="336"/>
        <v>0</v>
      </c>
      <c r="BP411" s="16" t="str">
        <f>IF(Risultati!AB410&gt;0,(AV411/Risultati!AB410),"0")</f>
        <v>0</v>
      </c>
      <c r="BQ411" s="16" t="str">
        <f>IF(Risultati!AG410&lt;&gt;0,(BH411/Risultati!AG410),"0")</f>
        <v>0</v>
      </c>
      <c r="BR411" s="16" t="str">
        <f t="shared" si="337"/>
        <v>0</v>
      </c>
      <c r="BS411" s="14" t="str">
        <f>IF(Risultati!AB410&gt;0,(Risultati!G410/Risultati!AB410),"0")</f>
        <v>0</v>
      </c>
      <c r="BT411" s="15" t="str">
        <f>IF(Risultati!AG410&lt;&gt;0,(Risultati!AB410/Risultati!AG410),"0")</f>
        <v>0</v>
      </c>
      <c r="BU411" s="23" t="str">
        <f>IF(AND(Risultati!G410&gt;0,(Risultati!AE410-Risultati!AF410)&gt;=0),((Risultati!AE410-Risultati!AF410)/Risultati!G410*360),"0")</f>
        <v>0</v>
      </c>
      <c r="BV411" s="21" t="str">
        <f>IF(OR(E411="abbreviato",Risultati!G410=0),"0",((Risultati!AC410+Risultati!AD410)/Risultati!G410*360))</f>
        <v>0</v>
      </c>
      <c r="BW411" s="21" t="str">
        <f>IF(OR(E411="abbreviato",Risultati!G410=0,SUM(Risultati!I410+Risultati!K410+Risultati!M410)=0),"0",(((Risultati!AH410+Risultati!AI410)/(Risultati!I410+Risultati!K410+Risultati!N410)*360)))</f>
        <v>0</v>
      </c>
      <c r="BX411" s="16" t="str">
        <f>IF(Risultati!AB410&gt;0,(+Risultati!AG410/Risultati!AB410),"0")</f>
        <v>0</v>
      </c>
      <c r="BY411" s="22" t="str">
        <f>IF(OR(E411="abbreviato",Risultati!G410=0),"0",(((Risultati!AK410-(Risultati!AL410+Risultati!AM410))/Risultati!G410)))</f>
        <v>0</v>
      </c>
      <c r="BZ411" s="16" t="str">
        <f>IF(Risultati!G410&gt;0,(Risultati!AJ410/Risultati!G410),"0")</f>
        <v>0</v>
      </c>
      <c r="CA411" s="8"/>
      <c r="CB411" s="9">
        <f>+Risultati!AP410</f>
        <v>0</v>
      </c>
      <c r="CC411" s="31" t="str">
        <f t="shared" si="363"/>
        <v>0</v>
      </c>
      <c r="CD411" s="9">
        <f>+Risultati!AQ410</f>
        <v>0</v>
      </c>
      <c r="CE411" s="31" t="str">
        <f t="shared" si="364"/>
        <v>0</v>
      </c>
      <c r="CF411" s="9">
        <f>+Risultati!AR410</f>
        <v>0</v>
      </c>
      <c r="CG411" s="31" t="str">
        <f t="shared" si="365"/>
        <v>0</v>
      </c>
      <c r="CH411" s="9">
        <f>+Risultati!AS410</f>
        <v>0</v>
      </c>
      <c r="CI411" s="31" t="str">
        <f t="shared" si="366"/>
        <v>0</v>
      </c>
      <c r="CJ411" s="9">
        <f t="shared" si="367"/>
        <v>0</v>
      </c>
      <c r="CK411" s="31" t="str">
        <f t="shared" si="368"/>
        <v>0</v>
      </c>
      <c r="CL411" s="10">
        <f>+Risultati!AE410+Risultati!AF410</f>
        <v>0</v>
      </c>
      <c r="CM411" s="31" t="str">
        <f t="shared" si="369"/>
        <v>0</v>
      </c>
      <c r="CN411" s="9">
        <f>+Risultati!AT410</f>
        <v>0</v>
      </c>
      <c r="CO411" s="31" t="str">
        <f t="shared" si="370"/>
        <v>0</v>
      </c>
      <c r="CP411" s="9">
        <f>+Risultati!AU410</f>
        <v>0</v>
      </c>
      <c r="CQ411" s="31" t="str">
        <f t="shared" si="371"/>
        <v>0</v>
      </c>
      <c r="CR411" s="9">
        <f>+Risultati!AL410</f>
        <v>0</v>
      </c>
      <c r="CS411" s="31" t="str">
        <f t="shared" si="372"/>
        <v>0</v>
      </c>
      <c r="CT411" s="9">
        <f t="shared" si="373"/>
        <v>0</v>
      </c>
      <c r="CU411" s="31" t="str">
        <f t="shared" si="374"/>
        <v>0</v>
      </c>
      <c r="CV411" s="9">
        <f>+Risultati!AX410</f>
        <v>0</v>
      </c>
      <c r="CW411" s="31" t="str">
        <f t="shared" si="375"/>
        <v>0</v>
      </c>
      <c r="CX411" s="9">
        <f t="shared" si="376"/>
        <v>0</v>
      </c>
      <c r="CY411" s="31" t="str">
        <f t="shared" si="377"/>
        <v>0</v>
      </c>
      <c r="CZ411" s="9">
        <f>+Risultati!AG410</f>
        <v>0</v>
      </c>
      <c r="DA411" s="31" t="str">
        <f t="shared" si="378"/>
        <v>0</v>
      </c>
      <c r="DB411" s="9">
        <f t="shared" si="379"/>
        <v>0</v>
      </c>
      <c r="DC411" s="31" t="str">
        <f t="shared" si="380"/>
        <v>0</v>
      </c>
      <c r="DD411" s="9">
        <f>+Risultati!AV410</f>
        <v>0</v>
      </c>
      <c r="DE411" s="31" t="str">
        <f t="shared" si="381"/>
        <v>0</v>
      </c>
      <c r="DF411" s="9">
        <f>+Risultati!AJ410</f>
        <v>0</v>
      </c>
      <c r="DG411" s="31" t="str">
        <f t="shared" si="382"/>
        <v>0</v>
      </c>
      <c r="DH411" s="9">
        <f t="shared" si="383"/>
        <v>0</v>
      </c>
      <c r="DI411" s="31" t="str">
        <f t="shared" si="384"/>
        <v>0</v>
      </c>
      <c r="DJ411" s="9">
        <f>+Risultati!AW410</f>
        <v>0</v>
      </c>
      <c r="DK411" s="31" t="str">
        <f t="shared" si="385"/>
        <v>0</v>
      </c>
      <c r="DL411" s="10">
        <f t="shared" si="356"/>
        <v>0</v>
      </c>
      <c r="DM411" s="31" t="str">
        <f t="shared" si="386"/>
        <v>0</v>
      </c>
      <c r="DO411" s="30"/>
      <c r="DP411" s="30"/>
    </row>
    <row r="412" spans="1:120" x14ac:dyDescent="0.2">
      <c r="A412" s="5"/>
      <c r="B412" s="6">
        <f>+Risultati!B411</f>
        <v>0</v>
      </c>
      <c r="C412" s="6">
        <f>+Risultati!C411</f>
        <v>0</v>
      </c>
      <c r="D412" s="26" t="str">
        <f>IF(YEAR(Risultati!D411)=1900,(MID(Risultati!$AP$1,29,4)),YEAR(Risultati!D411))</f>
        <v/>
      </c>
      <c r="E412" s="6">
        <f>+Risultati!E411</f>
        <v>0</v>
      </c>
      <c r="F412" s="8" t="e">
        <f>(LEFT(Risultati!AN411,2)&amp;"-")&amp;VLOOKUP((LEFT(Risultati!AN411,2)),ateco!$B$4:$C$93,2,FALSE)</f>
        <v>#N/A</v>
      </c>
      <c r="G412" s="8" t="str">
        <f>SUBSTITUTE((Risultati!AN411&amp;"-"&amp;Risultati!AO411),",",";")</f>
        <v>-</v>
      </c>
      <c r="I412" s="10">
        <f>+Risultati!G411</f>
        <v>0</v>
      </c>
      <c r="J412" s="11" t="str">
        <f t="shared" si="338"/>
        <v>0</v>
      </c>
      <c r="K412" s="12"/>
      <c r="L412" s="10">
        <f>+Risultati!G411+Risultati!H411</f>
        <v>0</v>
      </c>
      <c r="M412" s="11" t="str">
        <f t="shared" si="339"/>
        <v>0</v>
      </c>
      <c r="N412" s="12"/>
      <c r="O412" s="10">
        <f>+Risultati!I411+Risultati!J411</f>
        <v>0</v>
      </c>
      <c r="P412" s="11" t="str">
        <f t="shared" si="340"/>
        <v>0</v>
      </c>
      <c r="Q412" s="12"/>
      <c r="R412" s="13">
        <f t="shared" si="357"/>
        <v>0</v>
      </c>
      <c r="S412" s="11" t="str">
        <f t="shared" si="341"/>
        <v>0</v>
      </c>
      <c r="T412" s="12"/>
      <c r="U412" s="10">
        <f>+Risultati!F411-(Risultati!G411+Risultati!H411)</f>
        <v>0</v>
      </c>
      <c r="V412" s="12" t="str">
        <f t="shared" si="342"/>
        <v>0</v>
      </c>
      <c r="W412" s="12"/>
      <c r="X412" s="10">
        <f t="shared" si="358"/>
        <v>0</v>
      </c>
      <c r="Y412" s="12" t="str">
        <f t="shared" si="343"/>
        <v>0</v>
      </c>
      <c r="Z412" s="12"/>
      <c r="AA412" s="10">
        <f>+Risultati!K411</f>
        <v>0</v>
      </c>
      <c r="AB412" s="12" t="str">
        <f t="shared" si="344"/>
        <v>0</v>
      </c>
      <c r="AC412" s="12"/>
      <c r="AD412" s="10">
        <f>+Risultati!L411</f>
        <v>0</v>
      </c>
      <c r="AE412" s="12" t="str">
        <f t="shared" si="345"/>
        <v>0</v>
      </c>
      <c r="AF412" s="12"/>
      <c r="AG412" s="10">
        <f>+Risultati!M411+Risultati!P411+Risultati!Q411</f>
        <v>0</v>
      </c>
      <c r="AH412" s="12" t="str">
        <f t="shared" si="346"/>
        <v>0</v>
      </c>
      <c r="AI412" s="12"/>
      <c r="AJ412" s="13">
        <f t="shared" si="359"/>
        <v>0</v>
      </c>
      <c r="AK412" s="11" t="str">
        <f t="shared" si="347"/>
        <v>0</v>
      </c>
      <c r="AL412" s="12"/>
      <c r="AM412" s="10">
        <f>+Risultati!N411</f>
        <v>0</v>
      </c>
      <c r="AN412" s="12" t="str">
        <f t="shared" si="348"/>
        <v>0</v>
      </c>
      <c r="AO412" s="12"/>
      <c r="AP412" s="10">
        <f t="shared" si="360"/>
        <v>0</v>
      </c>
      <c r="AQ412" s="41" t="str">
        <f t="shared" si="349"/>
        <v>0</v>
      </c>
      <c r="AR412" s="12"/>
      <c r="AS412" s="10">
        <f>+Risultati!O411</f>
        <v>0</v>
      </c>
      <c r="AT412" s="12" t="str">
        <f t="shared" si="350"/>
        <v>0</v>
      </c>
      <c r="AU412" s="12"/>
      <c r="AV412" s="10">
        <f t="shared" si="361"/>
        <v>0</v>
      </c>
      <c r="AW412" s="12" t="str">
        <f t="shared" si="351"/>
        <v>0</v>
      </c>
      <c r="AX412" s="12"/>
      <c r="AY412" s="10">
        <f>+Risultati!R411+Risultati!S411</f>
        <v>0</v>
      </c>
      <c r="AZ412" s="12" t="str">
        <f t="shared" si="352"/>
        <v>0</v>
      </c>
      <c r="BA412" s="12"/>
      <c r="BB412" s="10">
        <f>+Risultati!T411</f>
        <v>0</v>
      </c>
      <c r="BC412" s="12" t="str">
        <f t="shared" si="353"/>
        <v>0</v>
      </c>
      <c r="BD412" s="12"/>
      <c r="BE412" s="10">
        <f>+Risultati!U411</f>
        <v>0</v>
      </c>
      <c r="BF412" s="12" t="str">
        <f t="shared" si="354"/>
        <v>0</v>
      </c>
      <c r="BG412" s="12"/>
      <c r="BH412" s="10">
        <f t="shared" si="362"/>
        <v>0</v>
      </c>
      <c r="BI412" s="12" t="str">
        <f t="shared" si="355"/>
        <v>0</v>
      </c>
      <c r="BK412" s="16">
        <f>IF(ISNUMBER(Risultati!X411/100),(Risultati!X411/100))</f>
        <v>0</v>
      </c>
      <c r="BL412" s="16">
        <f>IF(ISNUMBER(Risultati!Y411/100),(Risultati!Y411/100))</f>
        <v>0</v>
      </c>
      <c r="BM412" s="16">
        <f>IF(ISNUMBER(Risultati!Z411/100),(Risultati!Z411/100))</f>
        <v>0</v>
      </c>
      <c r="BN412" s="16">
        <f>IF(AND(Risultati!AY411&lt;0,calcoli!AP412&lt;0),-IF(ISNUMBER(Risultati!AA411/100),(Risultati!AA411/100)),IF(ISNUMBER(Risultati!AA411/100),(Risultati!AA411/100)))</f>
        <v>0</v>
      </c>
      <c r="BO412" s="16" t="str">
        <f t="shared" si="336"/>
        <v>0</v>
      </c>
      <c r="BP412" s="16" t="str">
        <f>IF(Risultati!AB411&gt;0,(AV412/Risultati!AB411),"0")</f>
        <v>0</v>
      </c>
      <c r="BQ412" s="16" t="str">
        <f>IF(Risultati!AG411&lt;&gt;0,(BH412/Risultati!AG411),"0")</f>
        <v>0</v>
      </c>
      <c r="BR412" s="16" t="str">
        <f t="shared" si="337"/>
        <v>0</v>
      </c>
      <c r="BS412" s="14" t="str">
        <f>IF(Risultati!AB411&gt;0,(Risultati!G411/Risultati!AB411),"0")</f>
        <v>0</v>
      </c>
      <c r="BT412" s="15" t="str">
        <f>IF(Risultati!AG411&lt;&gt;0,(Risultati!AB411/Risultati!AG411),"0")</f>
        <v>0</v>
      </c>
      <c r="BU412" s="23" t="str">
        <f>IF(AND(Risultati!G411&gt;0,(Risultati!AE411-Risultati!AF411)&gt;=0),((Risultati!AE411-Risultati!AF411)/Risultati!G411*360),"0")</f>
        <v>0</v>
      </c>
      <c r="BV412" s="21" t="str">
        <f>IF(OR(E412="abbreviato",Risultati!G411=0),"0",((Risultati!AC411+Risultati!AD411)/Risultati!G411*360))</f>
        <v>0</v>
      </c>
      <c r="BW412" s="21" t="str">
        <f>IF(OR(E412="abbreviato",Risultati!G411=0,SUM(Risultati!I411+Risultati!K411+Risultati!M411)=0),"0",(((Risultati!AH411+Risultati!AI411)/(Risultati!I411+Risultati!K411+Risultati!N411)*360)))</f>
        <v>0</v>
      </c>
      <c r="BX412" s="16" t="str">
        <f>IF(Risultati!AB411&gt;0,(+Risultati!AG411/Risultati!AB411),"0")</f>
        <v>0</v>
      </c>
      <c r="BY412" s="22" t="str">
        <f>IF(OR(E412="abbreviato",Risultati!G411=0),"0",(((Risultati!AK411-(Risultati!AL411+Risultati!AM411))/Risultati!G411)))</f>
        <v>0</v>
      </c>
      <c r="BZ412" s="16" t="str">
        <f>IF(Risultati!G411&gt;0,(Risultati!AJ411/Risultati!G411),"0")</f>
        <v>0</v>
      </c>
      <c r="CA412" s="8"/>
      <c r="CB412" s="9">
        <f>+Risultati!AP411</f>
        <v>0</v>
      </c>
      <c r="CC412" s="31" t="str">
        <f t="shared" si="363"/>
        <v>0</v>
      </c>
      <c r="CD412" s="9">
        <f>+Risultati!AQ411</f>
        <v>0</v>
      </c>
      <c r="CE412" s="31" t="str">
        <f t="shared" si="364"/>
        <v>0</v>
      </c>
      <c r="CF412" s="9">
        <f>+Risultati!AR411</f>
        <v>0</v>
      </c>
      <c r="CG412" s="31" t="str">
        <f t="shared" si="365"/>
        <v>0</v>
      </c>
      <c r="CH412" s="9">
        <f>+Risultati!AS411</f>
        <v>0</v>
      </c>
      <c r="CI412" s="31" t="str">
        <f t="shared" si="366"/>
        <v>0</v>
      </c>
      <c r="CJ412" s="9">
        <f t="shared" si="367"/>
        <v>0</v>
      </c>
      <c r="CK412" s="31" t="str">
        <f t="shared" si="368"/>
        <v>0</v>
      </c>
      <c r="CL412" s="10">
        <f>+Risultati!AE411+Risultati!AF411</f>
        <v>0</v>
      </c>
      <c r="CM412" s="31" t="str">
        <f t="shared" si="369"/>
        <v>0</v>
      </c>
      <c r="CN412" s="9">
        <f>+Risultati!AT411</f>
        <v>0</v>
      </c>
      <c r="CO412" s="31" t="str">
        <f t="shared" si="370"/>
        <v>0</v>
      </c>
      <c r="CP412" s="9">
        <f>+Risultati!AU411</f>
        <v>0</v>
      </c>
      <c r="CQ412" s="31" t="str">
        <f t="shared" si="371"/>
        <v>0</v>
      </c>
      <c r="CR412" s="9">
        <f>+Risultati!AL411</f>
        <v>0</v>
      </c>
      <c r="CS412" s="31" t="str">
        <f t="shared" si="372"/>
        <v>0</v>
      </c>
      <c r="CT412" s="9">
        <f t="shared" si="373"/>
        <v>0</v>
      </c>
      <c r="CU412" s="31" t="str">
        <f t="shared" si="374"/>
        <v>0</v>
      </c>
      <c r="CV412" s="9">
        <f>+Risultati!AX411</f>
        <v>0</v>
      </c>
      <c r="CW412" s="31" t="str">
        <f t="shared" si="375"/>
        <v>0</v>
      </c>
      <c r="CX412" s="9">
        <f t="shared" si="376"/>
        <v>0</v>
      </c>
      <c r="CY412" s="31" t="str">
        <f t="shared" si="377"/>
        <v>0</v>
      </c>
      <c r="CZ412" s="9">
        <f>+Risultati!AG411</f>
        <v>0</v>
      </c>
      <c r="DA412" s="31" t="str">
        <f t="shared" si="378"/>
        <v>0</v>
      </c>
      <c r="DB412" s="9">
        <f t="shared" si="379"/>
        <v>0</v>
      </c>
      <c r="DC412" s="31" t="str">
        <f t="shared" si="380"/>
        <v>0</v>
      </c>
      <c r="DD412" s="9">
        <f>+Risultati!AV411</f>
        <v>0</v>
      </c>
      <c r="DE412" s="31" t="str">
        <f t="shared" si="381"/>
        <v>0</v>
      </c>
      <c r="DF412" s="9">
        <f>+Risultati!AJ411</f>
        <v>0</v>
      </c>
      <c r="DG412" s="31" t="str">
        <f t="shared" si="382"/>
        <v>0</v>
      </c>
      <c r="DH412" s="9">
        <f t="shared" si="383"/>
        <v>0</v>
      </c>
      <c r="DI412" s="31" t="str">
        <f t="shared" si="384"/>
        <v>0</v>
      </c>
      <c r="DJ412" s="9">
        <f>+Risultati!AW411</f>
        <v>0</v>
      </c>
      <c r="DK412" s="31" t="str">
        <f t="shared" si="385"/>
        <v>0</v>
      </c>
      <c r="DL412" s="10">
        <f t="shared" si="356"/>
        <v>0</v>
      </c>
      <c r="DM412" s="31" t="str">
        <f t="shared" si="386"/>
        <v>0</v>
      </c>
      <c r="DO412" s="30"/>
      <c r="DP412" s="30"/>
    </row>
    <row r="413" spans="1:120" x14ac:dyDescent="0.2">
      <c r="A413" s="5"/>
      <c r="B413" s="6">
        <f>+Risultati!B412</f>
        <v>0</v>
      </c>
      <c r="C413" s="6">
        <f>+Risultati!C412</f>
        <v>0</v>
      </c>
      <c r="D413" s="26" t="str">
        <f>IF(YEAR(Risultati!D412)=1900,(MID(Risultati!$AP$1,29,4)),YEAR(Risultati!D412))</f>
        <v/>
      </c>
      <c r="E413" s="6">
        <f>+Risultati!E412</f>
        <v>0</v>
      </c>
      <c r="F413" s="8" t="e">
        <f>(LEFT(Risultati!AN412,2)&amp;"-")&amp;VLOOKUP((LEFT(Risultati!AN412,2)),ateco!$B$4:$C$93,2,FALSE)</f>
        <v>#N/A</v>
      </c>
      <c r="G413" s="8" t="str">
        <f>SUBSTITUTE((Risultati!AN412&amp;"-"&amp;Risultati!AO412),",",";")</f>
        <v>-</v>
      </c>
      <c r="I413" s="10">
        <f>+Risultati!G412</f>
        <v>0</v>
      </c>
      <c r="J413" s="11" t="str">
        <f t="shared" si="338"/>
        <v>0</v>
      </c>
      <c r="K413" s="12"/>
      <c r="L413" s="10">
        <f>+Risultati!G412+Risultati!H412</f>
        <v>0</v>
      </c>
      <c r="M413" s="11" t="str">
        <f t="shared" si="339"/>
        <v>0</v>
      </c>
      <c r="N413" s="12"/>
      <c r="O413" s="10">
        <f>+Risultati!I412+Risultati!J412</f>
        <v>0</v>
      </c>
      <c r="P413" s="11" t="str">
        <f t="shared" si="340"/>
        <v>0</v>
      </c>
      <c r="Q413" s="12"/>
      <c r="R413" s="13">
        <f t="shared" si="357"/>
        <v>0</v>
      </c>
      <c r="S413" s="11" t="str">
        <f t="shared" si="341"/>
        <v>0</v>
      </c>
      <c r="T413" s="12"/>
      <c r="U413" s="10">
        <f>+Risultati!F412-(Risultati!G412+Risultati!H412)</f>
        <v>0</v>
      </c>
      <c r="V413" s="12" t="str">
        <f t="shared" si="342"/>
        <v>0</v>
      </c>
      <c r="W413" s="12"/>
      <c r="X413" s="10">
        <f t="shared" si="358"/>
        <v>0</v>
      </c>
      <c r="Y413" s="12" t="str">
        <f t="shared" si="343"/>
        <v>0</v>
      </c>
      <c r="Z413" s="12"/>
      <c r="AA413" s="10">
        <f>+Risultati!K412</f>
        <v>0</v>
      </c>
      <c r="AB413" s="12" t="str">
        <f t="shared" si="344"/>
        <v>0</v>
      </c>
      <c r="AC413" s="12"/>
      <c r="AD413" s="10">
        <f>+Risultati!L412</f>
        <v>0</v>
      </c>
      <c r="AE413" s="12" t="str">
        <f t="shared" si="345"/>
        <v>0</v>
      </c>
      <c r="AF413" s="12"/>
      <c r="AG413" s="10">
        <f>+Risultati!M412+Risultati!P412+Risultati!Q412</f>
        <v>0</v>
      </c>
      <c r="AH413" s="12" t="str">
        <f t="shared" si="346"/>
        <v>0</v>
      </c>
      <c r="AI413" s="12"/>
      <c r="AJ413" s="13">
        <f t="shared" si="359"/>
        <v>0</v>
      </c>
      <c r="AK413" s="11" t="str">
        <f t="shared" si="347"/>
        <v>0</v>
      </c>
      <c r="AL413" s="12"/>
      <c r="AM413" s="10">
        <f>+Risultati!N412</f>
        <v>0</v>
      </c>
      <c r="AN413" s="12" t="str">
        <f t="shared" si="348"/>
        <v>0</v>
      </c>
      <c r="AO413" s="12"/>
      <c r="AP413" s="10">
        <f t="shared" si="360"/>
        <v>0</v>
      </c>
      <c r="AQ413" s="41" t="str">
        <f t="shared" si="349"/>
        <v>0</v>
      </c>
      <c r="AR413" s="12"/>
      <c r="AS413" s="10">
        <f>+Risultati!O412</f>
        <v>0</v>
      </c>
      <c r="AT413" s="12" t="str">
        <f t="shared" si="350"/>
        <v>0</v>
      </c>
      <c r="AU413" s="12"/>
      <c r="AV413" s="10">
        <f t="shared" si="361"/>
        <v>0</v>
      </c>
      <c r="AW413" s="12" t="str">
        <f t="shared" si="351"/>
        <v>0</v>
      </c>
      <c r="AX413" s="12"/>
      <c r="AY413" s="10">
        <f>+Risultati!R412+Risultati!S412</f>
        <v>0</v>
      </c>
      <c r="AZ413" s="12" t="str">
        <f t="shared" si="352"/>
        <v>0</v>
      </c>
      <c r="BA413" s="12"/>
      <c r="BB413" s="10">
        <f>+Risultati!T412</f>
        <v>0</v>
      </c>
      <c r="BC413" s="12" t="str">
        <f t="shared" si="353"/>
        <v>0</v>
      </c>
      <c r="BD413" s="12"/>
      <c r="BE413" s="10">
        <f>+Risultati!U412</f>
        <v>0</v>
      </c>
      <c r="BF413" s="12" t="str">
        <f t="shared" si="354"/>
        <v>0</v>
      </c>
      <c r="BG413" s="12"/>
      <c r="BH413" s="10">
        <f t="shared" si="362"/>
        <v>0</v>
      </c>
      <c r="BI413" s="12" t="str">
        <f t="shared" si="355"/>
        <v>0</v>
      </c>
      <c r="BK413" s="16">
        <f>IF(ISNUMBER(Risultati!X412/100),(Risultati!X412/100))</f>
        <v>0</v>
      </c>
      <c r="BL413" s="16">
        <f>IF(ISNUMBER(Risultati!Y412/100),(Risultati!Y412/100))</f>
        <v>0</v>
      </c>
      <c r="BM413" s="16">
        <f>IF(ISNUMBER(Risultati!Z412/100),(Risultati!Z412/100))</f>
        <v>0</v>
      </c>
      <c r="BN413" s="16">
        <f>IF(AND(Risultati!AY412&lt;0,calcoli!AP413&lt;0),-IF(ISNUMBER(Risultati!AA412/100),(Risultati!AA412/100)),IF(ISNUMBER(Risultati!AA412/100),(Risultati!AA412/100)))</f>
        <v>0</v>
      </c>
      <c r="BO413" s="16" t="str">
        <f t="shared" si="336"/>
        <v>0</v>
      </c>
      <c r="BP413" s="16" t="str">
        <f>IF(Risultati!AB412&gt;0,(AV413/Risultati!AB412),"0")</f>
        <v>0</v>
      </c>
      <c r="BQ413" s="16" t="str">
        <f>IF(Risultati!AG412&lt;&gt;0,(BH413/Risultati!AG412),"0")</f>
        <v>0</v>
      </c>
      <c r="BR413" s="16" t="str">
        <f t="shared" si="337"/>
        <v>0</v>
      </c>
      <c r="BS413" s="14" t="str">
        <f>IF(Risultati!AB412&gt;0,(Risultati!G412/Risultati!AB412),"0")</f>
        <v>0</v>
      </c>
      <c r="BT413" s="15" t="str">
        <f>IF(Risultati!AG412&lt;&gt;0,(Risultati!AB412/Risultati!AG412),"0")</f>
        <v>0</v>
      </c>
      <c r="BU413" s="23" t="str">
        <f>IF(AND(Risultati!G412&gt;0,(Risultati!AE412-Risultati!AF412)&gt;=0),((Risultati!AE412-Risultati!AF412)/Risultati!G412*360),"0")</f>
        <v>0</v>
      </c>
      <c r="BV413" s="21" t="str">
        <f>IF(OR(E413="abbreviato",Risultati!G412=0),"0",((Risultati!AC412+Risultati!AD412)/Risultati!G412*360))</f>
        <v>0</v>
      </c>
      <c r="BW413" s="21" t="str">
        <f>IF(OR(E413="abbreviato",Risultati!G412=0,SUM(Risultati!I412+Risultati!K412+Risultati!M412)=0),"0",(((Risultati!AH412+Risultati!AI412)/(Risultati!I412+Risultati!K412+Risultati!N412)*360)))</f>
        <v>0</v>
      </c>
      <c r="BX413" s="16" t="str">
        <f>IF(Risultati!AB412&gt;0,(+Risultati!AG412/Risultati!AB412),"0")</f>
        <v>0</v>
      </c>
      <c r="BY413" s="22" t="str">
        <f>IF(OR(E413="abbreviato",Risultati!G412=0),"0",(((Risultati!AK412-(Risultati!AL412+Risultati!AM412))/Risultati!G412)))</f>
        <v>0</v>
      </c>
      <c r="BZ413" s="16" t="str">
        <f>IF(Risultati!G412&gt;0,(Risultati!AJ412/Risultati!G412),"0")</f>
        <v>0</v>
      </c>
      <c r="CA413" s="8"/>
      <c r="CB413" s="9">
        <f>+Risultati!AP412</f>
        <v>0</v>
      </c>
      <c r="CC413" s="31" t="str">
        <f t="shared" si="363"/>
        <v>0</v>
      </c>
      <c r="CD413" s="9">
        <f>+Risultati!AQ412</f>
        <v>0</v>
      </c>
      <c r="CE413" s="31" t="str">
        <f t="shared" si="364"/>
        <v>0</v>
      </c>
      <c r="CF413" s="9">
        <f>+Risultati!AR412</f>
        <v>0</v>
      </c>
      <c r="CG413" s="31" t="str">
        <f t="shared" si="365"/>
        <v>0</v>
      </c>
      <c r="CH413" s="9">
        <f>+Risultati!AS412</f>
        <v>0</v>
      </c>
      <c r="CI413" s="31" t="str">
        <f t="shared" si="366"/>
        <v>0</v>
      </c>
      <c r="CJ413" s="9">
        <f t="shared" si="367"/>
        <v>0</v>
      </c>
      <c r="CK413" s="31" t="str">
        <f t="shared" si="368"/>
        <v>0</v>
      </c>
      <c r="CL413" s="10">
        <f>+Risultati!AE412+Risultati!AF412</f>
        <v>0</v>
      </c>
      <c r="CM413" s="31" t="str">
        <f t="shared" si="369"/>
        <v>0</v>
      </c>
      <c r="CN413" s="9">
        <f>+Risultati!AT412</f>
        <v>0</v>
      </c>
      <c r="CO413" s="31" t="str">
        <f t="shared" si="370"/>
        <v>0</v>
      </c>
      <c r="CP413" s="9">
        <f>+Risultati!AU412</f>
        <v>0</v>
      </c>
      <c r="CQ413" s="31" t="str">
        <f t="shared" si="371"/>
        <v>0</v>
      </c>
      <c r="CR413" s="9">
        <f>+Risultati!AL412</f>
        <v>0</v>
      </c>
      <c r="CS413" s="31" t="str">
        <f t="shared" si="372"/>
        <v>0</v>
      </c>
      <c r="CT413" s="9">
        <f t="shared" si="373"/>
        <v>0</v>
      </c>
      <c r="CU413" s="31" t="str">
        <f t="shared" si="374"/>
        <v>0</v>
      </c>
      <c r="CV413" s="9">
        <f>+Risultati!AX412</f>
        <v>0</v>
      </c>
      <c r="CW413" s="31" t="str">
        <f t="shared" si="375"/>
        <v>0</v>
      </c>
      <c r="CX413" s="9">
        <f t="shared" si="376"/>
        <v>0</v>
      </c>
      <c r="CY413" s="31" t="str">
        <f t="shared" si="377"/>
        <v>0</v>
      </c>
      <c r="CZ413" s="9">
        <f>+Risultati!AG412</f>
        <v>0</v>
      </c>
      <c r="DA413" s="31" t="str">
        <f t="shared" si="378"/>
        <v>0</v>
      </c>
      <c r="DB413" s="9">
        <f t="shared" si="379"/>
        <v>0</v>
      </c>
      <c r="DC413" s="31" t="str">
        <f t="shared" si="380"/>
        <v>0</v>
      </c>
      <c r="DD413" s="9">
        <f>+Risultati!AV412</f>
        <v>0</v>
      </c>
      <c r="DE413" s="31" t="str">
        <f t="shared" si="381"/>
        <v>0</v>
      </c>
      <c r="DF413" s="9">
        <f>+Risultati!AJ412</f>
        <v>0</v>
      </c>
      <c r="DG413" s="31" t="str">
        <f t="shared" si="382"/>
        <v>0</v>
      </c>
      <c r="DH413" s="9">
        <f t="shared" si="383"/>
        <v>0</v>
      </c>
      <c r="DI413" s="31" t="str">
        <f t="shared" si="384"/>
        <v>0</v>
      </c>
      <c r="DJ413" s="9">
        <f>+Risultati!AW412</f>
        <v>0</v>
      </c>
      <c r="DK413" s="31" t="str">
        <f t="shared" si="385"/>
        <v>0</v>
      </c>
      <c r="DL413" s="10">
        <f t="shared" si="356"/>
        <v>0</v>
      </c>
      <c r="DM413" s="31" t="str">
        <f t="shared" si="386"/>
        <v>0</v>
      </c>
      <c r="DO413" s="30"/>
      <c r="DP413" s="30"/>
    </row>
    <row r="414" spans="1:120" x14ac:dyDescent="0.2">
      <c r="A414" s="5"/>
      <c r="B414" s="6">
        <f>+Risultati!B413</f>
        <v>0</v>
      </c>
      <c r="C414" s="6">
        <f>+Risultati!C413</f>
        <v>0</v>
      </c>
      <c r="D414" s="26" t="str">
        <f>IF(YEAR(Risultati!D413)=1900,(MID(Risultati!$AP$1,29,4)),YEAR(Risultati!D413))</f>
        <v/>
      </c>
      <c r="E414" s="6">
        <f>+Risultati!E413</f>
        <v>0</v>
      </c>
      <c r="F414" s="8" t="e">
        <f>(LEFT(Risultati!AN413,2)&amp;"-")&amp;VLOOKUP((LEFT(Risultati!AN413,2)),ateco!$B$4:$C$93,2,FALSE)</f>
        <v>#N/A</v>
      </c>
      <c r="G414" s="8" t="str">
        <f>SUBSTITUTE((Risultati!AN413&amp;"-"&amp;Risultati!AO413),",",";")</f>
        <v>-</v>
      </c>
      <c r="I414" s="10">
        <f>+Risultati!G413</f>
        <v>0</v>
      </c>
      <c r="J414" s="11" t="str">
        <f t="shared" si="338"/>
        <v>0</v>
      </c>
      <c r="K414" s="12"/>
      <c r="L414" s="10">
        <f>+Risultati!G413+Risultati!H413</f>
        <v>0</v>
      </c>
      <c r="M414" s="11" t="str">
        <f t="shared" si="339"/>
        <v>0</v>
      </c>
      <c r="N414" s="12"/>
      <c r="O414" s="10">
        <f>+Risultati!I413+Risultati!J413</f>
        <v>0</v>
      </c>
      <c r="P414" s="11" t="str">
        <f t="shared" si="340"/>
        <v>0</v>
      </c>
      <c r="Q414" s="12"/>
      <c r="R414" s="13">
        <f t="shared" si="357"/>
        <v>0</v>
      </c>
      <c r="S414" s="11" t="str">
        <f t="shared" si="341"/>
        <v>0</v>
      </c>
      <c r="T414" s="12"/>
      <c r="U414" s="10">
        <f>+Risultati!F413-(Risultati!G413+Risultati!H413)</f>
        <v>0</v>
      </c>
      <c r="V414" s="12" t="str">
        <f t="shared" si="342"/>
        <v>0</v>
      </c>
      <c r="W414" s="12"/>
      <c r="X414" s="10">
        <f t="shared" si="358"/>
        <v>0</v>
      </c>
      <c r="Y414" s="12" t="str">
        <f t="shared" si="343"/>
        <v>0</v>
      </c>
      <c r="Z414" s="12"/>
      <c r="AA414" s="10">
        <f>+Risultati!K413</f>
        <v>0</v>
      </c>
      <c r="AB414" s="12" t="str">
        <f t="shared" si="344"/>
        <v>0</v>
      </c>
      <c r="AC414" s="12"/>
      <c r="AD414" s="10">
        <f>+Risultati!L413</f>
        <v>0</v>
      </c>
      <c r="AE414" s="12" t="str">
        <f t="shared" si="345"/>
        <v>0</v>
      </c>
      <c r="AF414" s="12"/>
      <c r="AG414" s="10">
        <f>+Risultati!M413+Risultati!P413+Risultati!Q413</f>
        <v>0</v>
      </c>
      <c r="AH414" s="12" t="str">
        <f t="shared" si="346"/>
        <v>0</v>
      </c>
      <c r="AI414" s="12"/>
      <c r="AJ414" s="13">
        <f t="shared" si="359"/>
        <v>0</v>
      </c>
      <c r="AK414" s="11" t="str">
        <f t="shared" si="347"/>
        <v>0</v>
      </c>
      <c r="AL414" s="12"/>
      <c r="AM414" s="10">
        <f>+Risultati!N413</f>
        <v>0</v>
      </c>
      <c r="AN414" s="12" t="str">
        <f t="shared" si="348"/>
        <v>0</v>
      </c>
      <c r="AO414" s="12"/>
      <c r="AP414" s="10">
        <f t="shared" si="360"/>
        <v>0</v>
      </c>
      <c r="AQ414" s="41" t="str">
        <f t="shared" si="349"/>
        <v>0</v>
      </c>
      <c r="AR414" s="12"/>
      <c r="AS414" s="10">
        <f>+Risultati!O413</f>
        <v>0</v>
      </c>
      <c r="AT414" s="12" t="str">
        <f t="shared" si="350"/>
        <v>0</v>
      </c>
      <c r="AU414" s="12"/>
      <c r="AV414" s="10">
        <f t="shared" si="361"/>
        <v>0</v>
      </c>
      <c r="AW414" s="12" t="str">
        <f t="shared" si="351"/>
        <v>0</v>
      </c>
      <c r="AX414" s="12"/>
      <c r="AY414" s="10">
        <f>+Risultati!R413+Risultati!S413</f>
        <v>0</v>
      </c>
      <c r="AZ414" s="12" t="str">
        <f t="shared" si="352"/>
        <v>0</v>
      </c>
      <c r="BA414" s="12"/>
      <c r="BB414" s="10">
        <f>+Risultati!T413</f>
        <v>0</v>
      </c>
      <c r="BC414" s="12" t="str">
        <f t="shared" si="353"/>
        <v>0</v>
      </c>
      <c r="BD414" s="12"/>
      <c r="BE414" s="10">
        <f>+Risultati!U413</f>
        <v>0</v>
      </c>
      <c r="BF414" s="12" t="str">
        <f t="shared" si="354"/>
        <v>0</v>
      </c>
      <c r="BG414" s="12"/>
      <c r="BH414" s="10">
        <f t="shared" si="362"/>
        <v>0</v>
      </c>
      <c r="BI414" s="12" t="str">
        <f t="shared" si="355"/>
        <v>0</v>
      </c>
      <c r="BK414" s="16">
        <f>IF(ISNUMBER(Risultati!X413/100),(Risultati!X413/100))</f>
        <v>0</v>
      </c>
      <c r="BL414" s="16">
        <f>IF(ISNUMBER(Risultati!Y413/100),(Risultati!Y413/100))</f>
        <v>0</v>
      </c>
      <c r="BM414" s="16">
        <f>IF(ISNUMBER(Risultati!Z413/100),(Risultati!Z413/100))</f>
        <v>0</v>
      </c>
      <c r="BN414" s="16">
        <f>IF(AND(Risultati!AY413&lt;0,calcoli!AP414&lt;0),-IF(ISNUMBER(Risultati!AA413/100),(Risultati!AA413/100)),IF(ISNUMBER(Risultati!AA413/100),(Risultati!AA413/100)))</f>
        <v>0</v>
      </c>
      <c r="BO414" s="16" t="str">
        <f t="shared" si="336"/>
        <v>0</v>
      </c>
      <c r="BP414" s="16" t="str">
        <f>IF(Risultati!AB413&gt;0,(AV414/Risultati!AB413),"0")</f>
        <v>0</v>
      </c>
      <c r="BQ414" s="16" t="str">
        <f>IF(Risultati!AG413&lt;&gt;0,(BH414/Risultati!AG413),"0")</f>
        <v>0</v>
      </c>
      <c r="BR414" s="16" t="str">
        <f t="shared" si="337"/>
        <v>0</v>
      </c>
      <c r="BS414" s="14" t="str">
        <f>IF(Risultati!AB413&gt;0,(Risultati!G413/Risultati!AB413),"0")</f>
        <v>0</v>
      </c>
      <c r="BT414" s="15" t="str">
        <f>IF(Risultati!AG413&lt;&gt;0,(Risultati!AB413/Risultati!AG413),"0")</f>
        <v>0</v>
      </c>
      <c r="BU414" s="23" t="str">
        <f>IF(AND(Risultati!G413&gt;0,(Risultati!AE413-Risultati!AF413)&gt;=0),((Risultati!AE413-Risultati!AF413)/Risultati!G413*360),"0")</f>
        <v>0</v>
      </c>
      <c r="BV414" s="21" t="str">
        <f>IF(OR(E414="abbreviato",Risultati!G413=0),"0",((Risultati!AC413+Risultati!AD413)/Risultati!G413*360))</f>
        <v>0</v>
      </c>
      <c r="BW414" s="21" t="str">
        <f>IF(OR(E414="abbreviato",Risultati!G413=0,SUM(Risultati!I413+Risultati!K413+Risultati!M413)=0),"0",(((Risultati!AH413+Risultati!AI413)/(Risultati!I413+Risultati!K413+Risultati!N413)*360)))</f>
        <v>0</v>
      </c>
      <c r="BX414" s="16" t="str">
        <f>IF(Risultati!AB413&gt;0,(+Risultati!AG413/Risultati!AB413),"0")</f>
        <v>0</v>
      </c>
      <c r="BY414" s="22" t="str">
        <f>IF(OR(E414="abbreviato",Risultati!G413=0),"0",(((Risultati!AK413-(Risultati!AL413+Risultati!AM413))/Risultati!G413)))</f>
        <v>0</v>
      </c>
      <c r="BZ414" s="16" t="str">
        <f>IF(Risultati!G413&gt;0,(Risultati!AJ413/Risultati!G413),"0")</f>
        <v>0</v>
      </c>
      <c r="CA414" s="8"/>
      <c r="CB414" s="9">
        <f>+Risultati!AP413</f>
        <v>0</v>
      </c>
      <c r="CC414" s="31" t="str">
        <f t="shared" si="363"/>
        <v>0</v>
      </c>
      <c r="CD414" s="9">
        <f>+Risultati!AQ413</f>
        <v>0</v>
      </c>
      <c r="CE414" s="31" t="str">
        <f t="shared" si="364"/>
        <v>0</v>
      </c>
      <c r="CF414" s="9">
        <f>+Risultati!AR413</f>
        <v>0</v>
      </c>
      <c r="CG414" s="31" t="str">
        <f t="shared" si="365"/>
        <v>0</v>
      </c>
      <c r="CH414" s="9">
        <f>+Risultati!AS413</f>
        <v>0</v>
      </c>
      <c r="CI414" s="31" t="str">
        <f t="shared" si="366"/>
        <v>0</v>
      </c>
      <c r="CJ414" s="9">
        <f t="shared" si="367"/>
        <v>0</v>
      </c>
      <c r="CK414" s="31" t="str">
        <f t="shared" si="368"/>
        <v>0</v>
      </c>
      <c r="CL414" s="10">
        <f>+Risultati!AE413+Risultati!AF413</f>
        <v>0</v>
      </c>
      <c r="CM414" s="31" t="str">
        <f t="shared" si="369"/>
        <v>0</v>
      </c>
      <c r="CN414" s="9">
        <f>+Risultati!AT413</f>
        <v>0</v>
      </c>
      <c r="CO414" s="31" t="str">
        <f t="shared" si="370"/>
        <v>0</v>
      </c>
      <c r="CP414" s="9">
        <f>+Risultati!AU413</f>
        <v>0</v>
      </c>
      <c r="CQ414" s="31" t="str">
        <f t="shared" si="371"/>
        <v>0</v>
      </c>
      <c r="CR414" s="9">
        <f>+Risultati!AL413</f>
        <v>0</v>
      </c>
      <c r="CS414" s="31" t="str">
        <f t="shared" si="372"/>
        <v>0</v>
      </c>
      <c r="CT414" s="9">
        <f t="shared" si="373"/>
        <v>0</v>
      </c>
      <c r="CU414" s="31" t="str">
        <f t="shared" si="374"/>
        <v>0</v>
      </c>
      <c r="CV414" s="9">
        <f>+Risultati!AX413</f>
        <v>0</v>
      </c>
      <c r="CW414" s="31" t="str">
        <f t="shared" si="375"/>
        <v>0</v>
      </c>
      <c r="CX414" s="9">
        <f t="shared" si="376"/>
        <v>0</v>
      </c>
      <c r="CY414" s="31" t="str">
        <f t="shared" si="377"/>
        <v>0</v>
      </c>
      <c r="CZ414" s="9">
        <f>+Risultati!AG413</f>
        <v>0</v>
      </c>
      <c r="DA414" s="31" t="str">
        <f t="shared" si="378"/>
        <v>0</v>
      </c>
      <c r="DB414" s="9">
        <f t="shared" si="379"/>
        <v>0</v>
      </c>
      <c r="DC414" s="31" t="str">
        <f t="shared" si="380"/>
        <v>0</v>
      </c>
      <c r="DD414" s="9">
        <f>+Risultati!AV413</f>
        <v>0</v>
      </c>
      <c r="DE414" s="31" t="str">
        <f t="shared" si="381"/>
        <v>0</v>
      </c>
      <c r="DF414" s="9">
        <f>+Risultati!AJ413</f>
        <v>0</v>
      </c>
      <c r="DG414" s="31" t="str">
        <f t="shared" si="382"/>
        <v>0</v>
      </c>
      <c r="DH414" s="9">
        <f t="shared" si="383"/>
        <v>0</v>
      </c>
      <c r="DI414" s="31" t="str">
        <f t="shared" si="384"/>
        <v>0</v>
      </c>
      <c r="DJ414" s="9">
        <f>+Risultati!AW413</f>
        <v>0</v>
      </c>
      <c r="DK414" s="31" t="str">
        <f t="shared" si="385"/>
        <v>0</v>
      </c>
      <c r="DL414" s="10">
        <f t="shared" si="356"/>
        <v>0</v>
      </c>
      <c r="DM414" s="31" t="str">
        <f t="shared" si="386"/>
        <v>0</v>
      </c>
      <c r="DO414" s="30"/>
      <c r="DP414" s="30"/>
    </row>
    <row r="415" spans="1:120" x14ac:dyDescent="0.2">
      <c r="A415" s="5"/>
      <c r="B415" s="6">
        <f>+Risultati!B414</f>
        <v>0</v>
      </c>
      <c r="C415" s="6">
        <f>+Risultati!C414</f>
        <v>0</v>
      </c>
      <c r="D415" s="26" t="str">
        <f>IF(YEAR(Risultati!D414)=1900,(MID(Risultati!$AP$1,29,4)),YEAR(Risultati!D414))</f>
        <v/>
      </c>
      <c r="E415" s="6">
        <f>+Risultati!E414</f>
        <v>0</v>
      </c>
      <c r="F415" s="8" t="e">
        <f>(LEFT(Risultati!AN414,2)&amp;"-")&amp;VLOOKUP((LEFT(Risultati!AN414,2)),ateco!$B$4:$C$93,2,FALSE)</f>
        <v>#N/A</v>
      </c>
      <c r="G415" s="8" t="str">
        <f>SUBSTITUTE((Risultati!AN414&amp;"-"&amp;Risultati!AO414),",",";")</f>
        <v>-</v>
      </c>
      <c r="I415" s="10">
        <f>+Risultati!G414</f>
        <v>0</v>
      </c>
      <c r="J415" s="11" t="str">
        <f t="shared" si="338"/>
        <v>0</v>
      </c>
      <c r="K415" s="12"/>
      <c r="L415" s="10">
        <f>+Risultati!G414+Risultati!H414</f>
        <v>0</v>
      </c>
      <c r="M415" s="11" t="str">
        <f t="shared" si="339"/>
        <v>0</v>
      </c>
      <c r="N415" s="12"/>
      <c r="O415" s="10">
        <f>+Risultati!I414+Risultati!J414</f>
        <v>0</v>
      </c>
      <c r="P415" s="11" t="str">
        <f t="shared" si="340"/>
        <v>0</v>
      </c>
      <c r="Q415" s="12"/>
      <c r="R415" s="13">
        <f t="shared" si="357"/>
        <v>0</v>
      </c>
      <c r="S415" s="11" t="str">
        <f t="shared" si="341"/>
        <v>0</v>
      </c>
      <c r="T415" s="12"/>
      <c r="U415" s="10">
        <f>+Risultati!F414-(Risultati!G414+Risultati!H414)</f>
        <v>0</v>
      </c>
      <c r="V415" s="12" t="str">
        <f t="shared" si="342"/>
        <v>0</v>
      </c>
      <c r="W415" s="12"/>
      <c r="X415" s="10">
        <f t="shared" si="358"/>
        <v>0</v>
      </c>
      <c r="Y415" s="12" t="str">
        <f t="shared" si="343"/>
        <v>0</v>
      </c>
      <c r="Z415" s="12"/>
      <c r="AA415" s="10">
        <f>+Risultati!K414</f>
        <v>0</v>
      </c>
      <c r="AB415" s="12" t="str">
        <f t="shared" si="344"/>
        <v>0</v>
      </c>
      <c r="AC415" s="12"/>
      <c r="AD415" s="10">
        <f>+Risultati!L414</f>
        <v>0</v>
      </c>
      <c r="AE415" s="12" t="str">
        <f t="shared" si="345"/>
        <v>0</v>
      </c>
      <c r="AF415" s="12"/>
      <c r="AG415" s="10">
        <f>+Risultati!M414+Risultati!P414+Risultati!Q414</f>
        <v>0</v>
      </c>
      <c r="AH415" s="12" t="str">
        <f t="shared" si="346"/>
        <v>0</v>
      </c>
      <c r="AI415" s="12"/>
      <c r="AJ415" s="13">
        <f t="shared" si="359"/>
        <v>0</v>
      </c>
      <c r="AK415" s="11" t="str">
        <f t="shared" si="347"/>
        <v>0</v>
      </c>
      <c r="AL415" s="12"/>
      <c r="AM415" s="10">
        <f>+Risultati!N414</f>
        <v>0</v>
      </c>
      <c r="AN415" s="12" t="str">
        <f t="shared" si="348"/>
        <v>0</v>
      </c>
      <c r="AO415" s="12"/>
      <c r="AP415" s="10">
        <f t="shared" si="360"/>
        <v>0</v>
      </c>
      <c r="AQ415" s="41" t="str">
        <f t="shared" si="349"/>
        <v>0</v>
      </c>
      <c r="AR415" s="12"/>
      <c r="AS415" s="10">
        <f>+Risultati!O414</f>
        <v>0</v>
      </c>
      <c r="AT415" s="12" t="str">
        <f t="shared" si="350"/>
        <v>0</v>
      </c>
      <c r="AU415" s="12"/>
      <c r="AV415" s="10">
        <f t="shared" si="361"/>
        <v>0</v>
      </c>
      <c r="AW415" s="12" t="str">
        <f t="shared" si="351"/>
        <v>0</v>
      </c>
      <c r="AX415" s="12"/>
      <c r="AY415" s="10">
        <f>+Risultati!R414+Risultati!S414</f>
        <v>0</v>
      </c>
      <c r="AZ415" s="12" t="str">
        <f t="shared" si="352"/>
        <v>0</v>
      </c>
      <c r="BA415" s="12"/>
      <c r="BB415" s="10">
        <f>+Risultati!T414</f>
        <v>0</v>
      </c>
      <c r="BC415" s="12" t="str">
        <f t="shared" si="353"/>
        <v>0</v>
      </c>
      <c r="BD415" s="12"/>
      <c r="BE415" s="10">
        <f>+Risultati!U414</f>
        <v>0</v>
      </c>
      <c r="BF415" s="12" t="str">
        <f t="shared" si="354"/>
        <v>0</v>
      </c>
      <c r="BG415" s="12"/>
      <c r="BH415" s="10">
        <f t="shared" si="362"/>
        <v>0</v>
      </c>
      <c r="BI415" s="12" t="str">
        <f t="shared" si="355"/>
        <v>0</v>
      </c>
      <c r="BK415" s="16">
        <f>IF(ISNUMBER(Risultati!X414/100),(Risultati!X414/100))</f>
        <v>0</v>
      </c>
      <c r="BL415" s="16">
        <f>IF(ISNUMBER(Risultati!Y414/100),(Risultati!Y414/100))</f>
        <v>0</v>
      </c>
      <c r="BM415" s="16">
        <f>IF(ISNUMBER(Risultati!Z414/100),(Risultati!Z414/100))</f>
        <v>0</v>
      </c>
      <c r="BN415" s="16">
        <f>IF(AND(Risultati!AY414&lt;0,calcoli!AP415&lt;0),-IF(ISNUMBER(Risultati!AA414/100),(Risultati!AA414/100)),IF(ISNUMBER(Risultati!AA414/100),(Risultati!AA414/100)))</f>
        <v>0</v>
      </c>
      <c r="BO415" s="16" t="str">
        <f t="shared" si="336"/>
        <v>0</v>
      </c>
      <c r="BP415" s="16" t="str">
        <f>IF(Risultati!AB414&gt;0,(AV415/Risultati!AB414),"0")</f>
        <v>0</v>
      </c>
      <c r="BQ415" s="16" t="str">
        <f>IF(Risultati!AG414&lt;&gt;0,(BH415/Risultati!AG414),"0")</f>
        <v>0</v>
      </c>
      <c r="BR415" s="16" t="str">
        <f t="shared" si="337"/>
        <v>0</v>
      </c>
      <c r="BS415" s="14" t="str">
        <f>IF(Risultati!AB414&gt;0,(Risultati!G414/Risultati!AB414),"0")</f>
        <v>0</v>
      </c>
      <c r="BT415" s="15" t="str">
        <f>IF(Risultati!AG414&lt;&gt;0,(Risultati!AB414/Risultati!AG414),"0")</f>
        <v>0</v>
      </c>
      <c r="BU415" s="23" t="str">
        <f>IF(AND(Risultati!G414&gt;0,(Risultati!AE414-Risultati!AF414)&gt;=0),((Risultati!AE414-Risultati!AF414)/Risultati!G414*360),"0")</f>
        <v>0</v>
      </c>
      <c r="BV415" s="21" t="str">
        <f>IF(OR(E415="abbreviato",Risultati!G414=0),"0",((Risultati!AC414+Risultati!AD414)/Risultati!G414*360))</f>
        <v>0</v>
      </c>
      <c r="BW415" s="21" t="str">
        <f>IF(OR(E415="abbreviato",Risultati!G414=0,SUM(Risultati!I414+Risultati!K414+Risultati!M414)=0),"0",(((Risultati!AH414+Risultati!AI414)/(Risultati!I414+Risultati!K414+Risultati!N414)*360)))</f>
        <v>0</v>
      </c>
      <c r="BX415" s="16" t="str">
        <f>IF(Risultati!AB414&gt;0,(+Risultati!AG414/Risultati!AB414),"0")</f>
        <v>0</v>
      </c>
      <c r="BY415" s="22" t="str">
        <f>IF(OR(E415="abbreviato",Risultati!G414=0),"0",(((Risultati!AK414-(Risultati!AL414+Risultati!AM414))/Risultati!G414)))</f>
        <v>0</v>
      </c>
      <c r="BZ415" s="16" t="str">
        <f>IF(Risultati!G414&gt;0,(Risultati!AJ414/Risultati!G414),"0")</f>
        <v>0</v>
      </c>
      <c r="CA415" s="8"/>
      <c r="CB415" s="9">
        <f>+Risultati!AP414</f>
        <v>0</v>
      </c>
      <c r="CC415" s="31" t="str">
        <f t="shared" si="363"/>
        <v>0</v>
      </c>
      <c r="CD415" s="9">
        <f>+Risultati!AQ414</f>
        <v>0</v>
      </c>
      <c r="CE415" s="31" t="str">
        <f t="shared" si="364"/>
        <v>0</v>
      </c>
      <c r="CF415" s="9">
        <f>+Risultati!AR414</f>
        <v>0</v>
      </c>
      <c r="CG415" s="31" t="str">
        <f t="shared" si="365"/>
        <v>0</v>
      </c>
      <c r="CH415" s="9">
        <f>+Risultati!AS414</f>
        <v>0</v>
      </c>
      <c r="CI415" s="31" t="str">
        <f t="shared" si="366"/>
        <v>0</v>
      </c>
      <c r="CJ415" s="9">
        <f t="shared" si="367"/>
        <v>0</v>
      </c>
      <c r="CK415" s="31" t="str">
        <f t="shared" si="368"/>
        <v>0</v>
      </c>
      <c r="CL415" s="10">
        <f>+Risultati!AE414+Risultati!AF414</f>
        <v>0</v>
      </c>
      <c r="CM415" s="31" t="str">
        <f t="shared" si="369"/>
        <v>0</v>
      </c>
      <c r="CN415" s="9">
        <f>+Risultati!AT414</f>
        <v>0</v>
      </c>
      <c r="CO415" s="31" t="str">
        <f t="shared" si="370"/>
        <v>0</v>
      </c>
      <c r="CP415" s="9">
        <f>+Risultati!AU414</f>
        <v>0</v>
      </c>
      <c r="CQ415" s="31" t="str">
        <f t="shared" si="371"/>
        <v>0</v>
      </c>
      <c r="CR415" s="9">
        <f>+Risultati!AL414</f>
        <v>0</v>
      </c>
      <c r="CS415" s="31" t="str">
        <f t="shared" si="372"/>
        <v>0</v>
      </c>
      <c r="CT415" s="9">
        <f t="shared" si="373"/>
        <v>0</v>
      </c>
      <c r="CU415" s="31" t="str">
        <f t="shared" si="374"/>
        <v>0</v>
      </c>
      <c r="CV415" s="9">
        <f>+Risultati!AX414</f>
        <v>0</v>
      </c>
      <c r="CW415" s="31" t="str">
        <f t="shared" si="375"/>
        <v>0</v>
      </c>
      <c r="CX415" s="9">
        <f t="shared" si="376"/>
        <v>0</v>
      </c>
      <c r="CY415" s="31" t="str">
        <f t="shared" si="377"/>
        <v>0</v>
      </c>
      <c r="CZ415" s="9">
        <f>+Risultati!AG414</f>
        <v>0</v>
      </c>
      <c r="DA415" s="31" t="str">
        <f t="shared" si="378"/>
        <v>0</v>
      </c>
      <c r="DB415" s="9">
        <f t="shared" si="379"/>
        <v>0</v>
      </c>
      <c r="DC415" s="31" t="str">
        <f t="shared" si="380"/>
        <v>0</v>
      </c>
      <c r="DD415" s="9">
        <f>+Risultati!AV414</f>
        <v>0</v>
      </c>
      <c r="DE415" s="31" t="str">
        <f t="shared" si="381"/>
        <v>0</v>
      </c>
      <c r="DF415" s="9">
        <f>+Risultati!AJ414</f>
        <v>0</v>
      </c>
      <c r="DG415" s="31" t="str">
        <f t="shared" si="382"/>
        <v>0</v>
      </c>
      <c r="DH415" s="9">
        <f t="shared" si="383"/>
        <v>0</v>
      </c>
      <c r="DI415" s="31" t="str">
        <f t="shared" si="384"/>
        <v>0</v>
      </c>
      <c r="DJ415" s="9">
        <f>+Risultati!AW414</f>
        <v>0</v>
      </c>
      <c r="DK415" s="31" t="str">
        <f t="shared" si="385"/>
        <v>0</v>
      </c>
      <c r="DL415" s="10">
        <f t="shared" si="356"/>
        <v>0</v>
      </c>
      <c r="DM415" s="31" t="str">
        <f t="shared" si="386"/>
        <v>0</v>
      </c>
      <c r="DO415" s="30"/>
      <c r="DP415" s="30"/>
    </row>
    <row r="416" spans="1:120" x14ac:dyDescent="0.2">
      <c r="A416" s="5"/>
      <c r="B416" s="6">
        <f>+Risultati!B415</f>
        <v>0</v>
      </c>
      <c r="C416" s="6">
        <f>+Risultati!C415</f>
        <v>0</v>
      </c>
      <c r="D416" s="26" t="str">
        <f>IF(YEAR(Risultati!D415)=1900,(MID(Risultati!$AP$1,29,4)),YEAR(Risultati!D415))</f>
        <v/>
      </c>
      <c r="E416" s="6">
        <f>+Risultati!E415</f>
        <v>0</v>
      </c>
      <c r="F416" s="8" t="e">
        <f>(LEFT(Risultati!AN415,2)&amp;"-")&amp;VLOOKUP((LEFT(Risultati!AN415,2)),ateco!$B$4:$C$93,2,FALSE)</f>
        <v>#N/A</v>
      </c>
      <c r="G416" s="8" t="str">
        <f>SUBSTITUTE((Risultati!AN415&amp;"-"&amp;Risultati!AO415),",",";")</f>
        <v>-</v>
      </c>
      <c r="I416" s="10">
        <f>+Risultati!G415</f>
        <v>0</v>
      </c>
      <c r="J416" s="11" t="str">
        <f t="shared" si="338"/>
        <v>0</v>
      </c>
      <c r="K416" s="12"/>
      <c r="L416" s="10">
        <f>+Risultati!G415+Risultati!H415</f>
        <v>0</v>
      </c>
      <c r="M416" s="11" t="str">
        <f t="shared" si="339"/>
        <v>0</v>
      </c>
      <c r="N416" s="12"/>
      <c r="O416" s="10">
        <f>+Risultati!I415+Risultati!J415</f>
        <v>0</v>
      </c>
      <c r="P416" s="11" t="str">
        <f t="shared" si="340"/>
        <v>0</v>
      </c>
      <c r="Q416" s="12"/>
      <c r="R416" s="13">
        <f t="shared" si="357"/>
        <v>0</v>
      </c>
      <c r="S416" s="11" t="str">
        <f t="shared" si="341"/>
        <v>0</v>
      </c>
      <c r="T416" s="12"/>
      <c r="U416" s="10">
        <f>+Risultati!F415-(Risultati!G415+Risultati!H415)</f>
        <v>0</v>
      </c>
      <c r="V416" s="12" t="str">
        <f t="shared" si="342"/>
        <v>0</v>
      </c>
      <c r="W416" s="12"/>
      <c r="X416" s="10">
        <f t="shared" si="358"/>
        <v>0</v>
      </c>
      <c r="Y416" s="12" t="str">
        <f t="shared" si="343"/>
        <v>0</v>
      </c>
      <c r="Z416" s="12"/>
      <c r="AA416" s="10">
        <f>+Risultati!K415</f>
        <v>0</v>
      </c>
      <c r="AB416" s="12" t="str">
        <f t="shared" si="344"/>
        <v>0</v>
      </c>
      <c r="AC416" s="12"/>
      <c r="AD416" s="10">
        <f>+Risultati!L415</f>
        <v>0</v>
      </c>
      <c r="AE416" s="12" t="str">
        <f t="shared" si="345"/>
        <v>0</v>
      </c>
      <c r="AF416" s="12"/>
      <c r="AG416" s="10">
        <f>+Risultati!M415+Risultati!P415+Risultati!Q415</f>
        <v>0</v>
      </c>
      <c r="AH416" s="12" t="str">
        <f t="shared" si="346"/>
        <v>0</v>
      </c>
      <c r="AI416" s="12"/>
      <c r="AJ416" s="13">
        <f t="shared" si="359"/>
        <v>0</v>
      </c>
      <c r="AK416" s="11" t="str">
        <f t="shared" si="347"/>
        <v>0</v>
      </c>
      <c r="AL416" s="12"/>
      <c r="AM416" s="10">
        <f>+Risultati!N415</f>
        <v>0</v>
      </c>
      <c r="AN416" s="12" t="str">
        <f t="shared" si="348"/>
        <v>0</v>
      </c>
      <c r="AO416" s="12"/>
      <c r="AP416" s="10">
        <f t="shared" si="360"/>
        <v>0</v>
      </c>
      <c r="AQ416" s="41" t="str">
        <f t="shared" si="349"/>
        <v>0</v>
      </c>
      <c r="AR416" s="12"/>
      <c r="AS416" s="10">
        <f>+Risultati!O415</f>
        <v>0</v>
      </c>
      <c r="AT416" s="12" t="str">
        <f t="shared" si="350"/>
        <v>0</v>
      </c>
      <c r="AU416" s="12"/>
      <c r="AV416" s="10">
        <f t="shared" si="361"/>
        <v>0</v>
      </c>
      <c r="AW416" s="12" t="str">
        <f t="shared" si="351"/>
        <v>0</v>
      </c>
      <c r="AX416" s="12"/>
      <c r="AY416" s="10">
        <f>+Risultati!R415+Risultati!S415</f>
        <v>0</v>
      </c>
      <c r="AZ416" s="12" t="str">
        <f t="shared" si="352"/>
        <v>0</v>
      </c>
      <c r="BA416" s="12"/>
      <c r="BB416" s="10">
        <f>+Risultati!T415</f>
        <v>0</v>
      </c>
      <c r="BC416" s="12" t="str">
        <f t="shared" si="353"/>
        <v>0</v>
      </c>
      <c r="BD416" s="12"/>
      <c r="BE416" s="10">
        <f>+Risultati!U415</f>
        <v>0</v>
      </c>
      <c r="BF416" s="12" t="str">
        <f t="shared" si="354"/>
        <v>0</v>
      </c>
      <c r="BG416" s="12"/>
      <c r="BH416" s="10">
        <f t="shared" si="362"/>
        <v>0</v>
      </c>
      <c r="BI416" s="12" t="str">
        <f t="shared" si="355"/>
        <v>0</v>
      </c>
      <c r="BK416" s="16">
        <f>IF(ISNUMBER(Risultati!X415/100),(Risultati!X415/100))</f>
        <v>0</v>
      </c>
      <c r="BL416" s="16">
        <f>IF(ISNUMBER(Risultati!Y415/100),(Risultati!Y415/100))</f>
        <v>0</v>
      </c>
      <c r="BM416" s="16">
        <f>IF(ISNUMBER(Risultati!Z415/100),(Risultati!Z415/100))</f>
        <v>0</v>
      </c>
      <c r="BN416" s="16">
        <f>IF(AND(Risultati!AY415&lt;0,calcoli!AP416&lt;0),-IF(ISNUMBER(Risultati!AA415/100),(Risultati!AA415/100)),IF(ISNUMBER(Risultati!AA415/100),(Risultati!AA415/100)))</f>
        <v>0</v>
      </c>
      <c r="BO416" s="16" t="str">
        <f t="shared" si="336"/>
        <v>0</v>
      </c>
      <c r="BP416" s="16" t="str">
        <f>IF(Risultati!AB415&gt;0,(AV416/Risultati!AB415),"0")</f>
        <v>0</v>
      </c>
      <c r="BQ416" s="16" t="str">
        <f>IF(Risultati!AG415&lt;&gt;0,(BH416/Risultati!AG415),"0")</f>
        <v>0</v>
      </c>
      <c r="BR416" s="16" t="str">
        <f t="shared" si="337"/>
        <v>0</v>
      </c>
      <c r="BS416" s="14" t="str">
        <f>IF(Risultati!AB415&gt;0,(Risultati!G415/Risultati!AB415),"0")</f>
        <v>0</v>
      </c>
      <c r="BT416" s="15" t="str">
        <f>IF(Risultati!AG415&lt;&gt;0,(Risultati!AB415/Risultati!AG415),"0")</f>
        <v>0</v>
      </c>
      <c r="BU416" s="23" t="str">
        <f>IF(AND(Risultati!G415&gt;0,(Risultati!AE415-Risultati!AF415)&gt;=0),((Risultati!AE415-Risultati!AF415)/Risultati!G415*360),"0")</f>
        <v>0</v>
      </c>
      <c r="BV416" s="21" t="str">
        <f>IF(OR(E416="abbreviato",Risultati!G415=0),"0",((Risultati!AC415+Risultati!AD415)/Risultati!G415*360))</f>
        <v>0</v>
      </c>
      <c r="BW416" s="21" t="str">
        <f>IF(OR(E416="abbreviato",Risultati!G415=0,SUM(Risultati!I415+Risultati!K415+Risultati!M415)=0),"0",(((Risultati!AH415+Risultati!AI415)/(Risultati!I415+Risultati!K415+Risultati!N415)*360)))</f>
        <v>0</v>
      </c>
      <c r="BX416" s="16" t="str">
        <f>IF(Risultati!AB415&gt;0,(+Risultati!AG415/Risultati!AB415),"0")</f>
        <v>0</v>
      </c>
      <c r="BY416" s="22" t="str">
        <f>IF(OR(E416="abbreviato",Risultati!G415=0),"0",(((Risultati!AK415-(Risultati!AL415+Risultati!AM415))/Risultati!G415)))</f>
        <v>0</v>
      </c>
      <c r="BZ416" s="16" t="str">
        <f>IF(Risultati!G415&gt;0,(Risultati!AJ415/Risultati!G415),"0")</f>
        <v>0</v>
      </c>
      <c r="CA416" s="8"/>
      <c r="CB416" s="9">
        <f>+Risultati!AP415</f>
        <v>0</v>
      </c>
      <c r="CC416" s="31" t="str">
        <f t="shared" si="363"/>
        <v>0</v>
      </c>
      <c r="CD416" s="9">
        <f>+Risultati!AQ415</f>
        <v>0</v>
      </c>
      <c r="CE416" s="31" t="str">
        <f t="shared" si="364"/>
        <v>0</v>
      </c>
      <c r="CF416" s="9">
        <f>+Risultati!AR415</f>
        <v>0</v>
      </c>
      <c r="CG416" s="31" t="str">
        <f t="shared" si="365"/>
        <v>0</v>
      </c>
      <c r="CH416" s="9">
        <f>+Risultati!AS415</f>
        <v>0</v>
      </c>
      <c r="CI416" s="31" t="str">
        <f t="shared" si="366"/>
        <v>0</v>
      </c>
      <c r="CJ416" s="9">
        <f t="shared" si="367"/>
        <v>0</v>
      </c>
      <c r="CK416" s="31" t="str">
        <f t="shared" si="368"/>
        <v>0</v>
      </c>
      <c r="CL416" s="10">
        <f>+Risultati!AE415+Risultati!AF415</f>
        <v>0</v>
      </c>
      <c r="CM416" s="31" t="str">
        <f t="shared" si="369"/>
        <v>0</v>
      </c>
      <c r="CN416" s="9">
        <f>+Risultati!AT415</f>
        <v>0</v>
      </c>
      <c r="CO416" s="31" t="str">
        <f t="shared" si="370"/>
        <v>0</v>
      </c>
      <c r="CP416" s="9">
        <f>+Risultati!AU415</f>
        <v>0</v>
      </c>
      <c r="CQ416" s="31" t="str">
        <f t="shared" si="371"/>
        <v>0</v>
      </c>
      <c r="CR416" s="9">
        <f>+Risultati!AL415</f>
        <v>0</v>
      </c>
      <c r="CS416" s="31" t="str">
        <f t="shared" si="372"/>
        <v>0</v>
      </c>
      <c r="CT416" s="9">
        <f t="shared" si="373"/>
        <v>0</v>
      </c>
      <c r="CU416" s="31" t="str">
        <f t="shared" si="374"/>
        <v>0</v>
      </c>
      <c r="CV416" s="9">
        <f>+Risultati!AX415</f>
        <v>0</v>
      </c>
      <c r="CW416" s="31" t="str">
        <f t="shared" si="375"/>
        <v>0</v>
      </c>
      <c r="CX416" s="9">
        <f t="shared" si="376"/>
        <v>0</v>
      </c>
      <c r="CY416" s="31" t="str">
        <f t="shared" si="377"/>
        <v>0</v>
      </c>
      <c r="CZ416" s="9">
        <f>+Risultati!AG415</f>
        <v>0</v>
      </c>
      <c r="DA416" s="31" t="str">
        <f t="shared" si="378"/>
        <v>0</v>
      </c>
      <c r="DB416" s="9">
        <f t="shared" si="379"/>
        <v>0</v>
      </c>
      <c r="DC416" s="31" t="str">
        <f t="shared" si="380"/>
        <v>0</v>
      </c>
      <c r="DD416" s="9">
        <f>+Risultati!AV415</f>
        <v>0</v>
      </c>
      <c r="DE416" s="31" t="str">
        <f t="shared" si="381"/>
        <v>0</v>
      </c>
      <c r="DF416" s="9">
        <f>+Risultati!AJ415</f>
        <v>0</v>
      </c>
      <c r="DG416" s="31" t="str">
        <f t="shared" si="382"/>
        <v>0</v>
      </c>
      <c r="DH416" s="9">
        <f t="shared" si="383"/>
        <v>0</v>
      </c>
      <c r="DI416" s="31" t="str">
        <f t="shared" si="384"/>
        <v>0</v>
      </c>
      <c r="DJ416" s="9">
        <f>+Risultati!AW415</f>
        <v>0</v>
      </c>
      <c r="DK416" s="31" t="str">
        <f t="shared" si="385"/>
        <v>0</v>
      </c>
      <c r="DL416" s="10">
        <f t="shared" si="356"/>
        <v>0</v>
      </c>
      <c r="DM416" s="31" t="str">
        <f t="shared" si="386"/>
        <v>0</v>
      </c>
      <c r="DO416" s="30"/>
      <c r="DP416" s="30"/>
    </row>
    <row r="417" spans="1:120" x14ac:dyDescent="0.2">
      <c r="A417" s="5"/>
      <c r="B417" s="6">
        <f>+Risultati!B416</f>
        <v>0</v>
      </c>
      <c r="C417" s="6">
        <f>+Risultati!C416</f>
        <v>0</v>
      </c>
      <c r="D417" s="26" t="str">
        <f>IF(YEAR(Risultati!D416)=1900,(MID(Risultati!$AP$1,29,4)),YEAR(Risultati!D416))</f>
        <v/>
      </c>
      <c r="E417" s="6">
        <f>+Risultati!E416</f>
        <v>0</v>
      </c>
      <c r="F417" s="8" t="e">
        <f>(LEFT(Risultati!AN416,2)&amp;"-")&amp;VLOOKUP((LEFT(Risultati!AN416,2)),ateco!$B$4:$C$93,2,FALSE)</f>
        <v>#N/A</v>
      </c>
      <c r="G417" s="8" t="str">
        <f>SUBSTITUTE((Risultati!AN416&amp;"-"&amp;Risultati!AO416),",",";")</f>
        <v>-</v>
      </c>
      <c r="I417" s="10">
        <f>+Risultati!G416</f>
        <v>0</v>
      </c>
      <c r="J417" s="11" t="str">
        <f t="shared" si="338"/>
        <v>0</v>
      </c>
      <c r="K417" s="12"/>
      <c r="L417" s="10">
        <f>+Risultati!G416+Risultati!H416</f>
        <v>0</v>
      </c>
      <c r="M417" s="11" t="str">
        <f t="shared" si="339"/>
        <v>0</v>
      </c>
      <c r="N417" s="12"/>
      <c r="O417" s="10">
        <f>+Risultati!I416+Risultati!J416</f>
        <v>0</v>
      </c>
      <c r="P417" s="11" t="str">
        <f t="shared" si="340"/>
        <v>0</v>
      </c>
      <c r="Q417" s="12"/>
      <c r="R417" s="13">
        <f t="shared" si="357"/>
        <v>0</v>
      </c>
      <c r="S417" s="11" t="str">
        <f t="shared" si="341"/>
        <v>0</v>
      </c>
      <c r="T417" s="12"/>
      <c r="U417" s="10">
        <f>+Risultati!F416-(Risultati!G416+Risultati!H416)</f>
        <v>0</v>
      </c>
      <c r="V417" s="12" t="str">
        <f t="shared" si="342"/>
        <v>0</v>
      </c>
      <c r="W417" s="12"/>
      <c r="X417" s="10">
        <f t="shared" si="358"/>
        <v>0</v>
      </c>
      <c r="Y417" s="12" t="str">
        <f t="shared" si="343"/>
        <v>0</v>
      </c>
      <c r="Z417" s="12"/>
      <c r="AA417" s="10">
        <f>+Risultati!K416</f>
        <v>0</v>
      </c>
      <c r="AB417" s="12" t="str">
        <f t="shared" si="344"/>
        <v>0</v>
      </c>
      <c r="AC417" s="12"/>
      <c r="AD417" s="10">
        <f>+Risultati!L416</f>
        <v>0</v>
      </c>
      <c r="AE417" s="12" t="str">
        <f t="shared" si="345"/>
        <v>0</v>
      </c>
      <c r="AF417" s="12"/>
      <c r="AG417" s="10">
        <f>+Risultati!M416+Risultati!P416+Risultati!Q416</f>
        <v>0</v>
      </c>
      <c r="AH417" s="12" t="str">
        <f t="shared" si="346"/>
        <v>0</v>
      </c>
      <c r="AI417" s="12"/>
      <c r="AJ417" s="13">
        <f t="shared" si="359"/>
        <v>0</v>
      </c>
      <c r="AK417" s="11" t="str">
        <f t="shared" si="347"/>
        <v>0</v>
      </c>
      <c r="AL417" s="12"/>
      <c r="AM417" s="10">
        <f>+Risultati!N416</f>
        <v>0</v>
      </c>
      <c r="AN417" s="12" t="str">
        <f t="shared" si="348"/>
        <v>0</v>
      </c>
      <c r="AO417" s="12"/>
      <c r="AP417" s="10">
        <f t="shared" si="360"/>
        <v>0</v>
      </c>
      <c r="AQ417" s="41" t="str">
        <f t="shared" si="349"/>
        <v>0</v>
      </c>
      <c r="AR417" s="12"/>
      <c r="AS417" s="10">
        <f>+Risultati!O416</f>
        <v>0</v>
      </c>
      <c r="AT417" s="12" t="str">
        <f t="shared" si="350"/>
        <v>0</v>
      </c>
      <c r="AU417" s="12"/>
      <c r="AV417" s="10">
        <f t="shared" si="361"/>
        <v>0</v>
      </c>
      <c r="AW417" s="12" t="str">
        <f t="shared" si="351"/>
        <v>0</v>
      </c>
      <c r="AX417" s="12"/>
      <c r="AY417" s="10">
        <f>+Risultati!R416+Risultati!S416</f>
        <v>0</v>
      </c>
      <c r="AZ417" s="12" t="str">
        <f t="shared" si="352"/>
        <v>0</v>
      </c>
      <c r="BA417" s="12"/>
      <c r="BB417" s="10">
        <f>+Risultati!T416</f>
        <v>0</v>
      </c>
      <c r="BC417" s="12" t="str">
        <f t="shared" si="353"/>
        <v>0</v>
      </c>
      <c r="BD417" s="12"/>
      <c r="BE417" s="10">
        <f>+Risultati!U416</f>
        <v>0</v>
      </c>
      <c r="BF417" s="12" t="str">
        <f t="shared" si="354"/>
        <v>0</v>
      </c>
      <c r="BG417" s="12"/>
      <c r="BH417" s="10">
        <f t="shared" si="362"/>
        <v>0</v>
      </c>
      <c r="BI417" s="12" t="str">
        <f t="shared" si="355"/>
        <v>0</v>
      </c>
      <c r="BK417" s="16">
        <f>IF(ISNUMBER(Risultati!X416/100),(Risultati!X416/100))</f>
        <v>0</v>
      </c>
      <c r="BL417" s="16">
        <f>IF(ISNUMBER(Risultati!Y416/100),(Risultati!Y416/100))</f>
        <v>0</v>
      </c>
      <c r="BM417" s="16">
        <f>IF(ISNUMBER(Risultati!Z416/100),(Risultati!Z416/100))</f>
        <v>0</v>
      </c>
      <c r="BN417" s="16">
        <f>IF(AND(Risultati!AY416&lt;0,calcoli!AP417&lt;0),-IF(ISNUMBER(Risultati!AA416/100),(Risultati!AA416/100)),IF(ISNUMBER(Risultati!AA416/100),(Risultati!AA416/100)))</f>
        <v>0</v>
      </c>
      <c r="BO417" s="16" t="str">
        <f t="shared" si="336"/>
        <v>0</v>
      </c>
      <c r="BP417" s="16" t="str">
        <f>IF(Risultati!AB416&gt;0,(AV417/Risultati!AB416),"0")</f>
        <v>0</v>
      </c>
      <c r="BQ417" s="16" t="str">
        <f>IF(Risultati!AG416&lt;&gt;0,(BH417/Risultati!AG416),"0")</f>
        <v>0</v>
      </c>
      <c r="BR417" s="16" t="str">
        <f t="shared" si="337"/>
        <v>0</v>
      </c>
      <c r="BS417" s="14" t="str">
        <f>IF(Risultati!AB416&gt;0,(Risultati!G416/Risultati!AB416),"0")</f>
        <v>0</v>
      </c>
      <c r="BT417" s="15" t="str">
        <f>IF(Risultati!AG416&lt;&gt;0,(Risultati!AB416/Risultati!AG416),"0")</f>
        <v>0</v>
      </c>
      <c r="BU417" s="23" t="str">
        <f>IF(AND(Risultati!G416&gt;0,(Risultati!AE416-Risultati!AF416)&gt;=0),((Risultati!AE416-Risultati!AF416)/Risultati!G416*360),"0")</f>
        <v>0</v>
      </c>
      <c r="BV417" s="21" t="str">
        <f>IF(OR(E417="abbreviato",Risultati!G416=0),"0",((Risultati!AC416+Risultati!AD416)/Risultati!G416*360))</f>
        <v>0</v>
      </c>
      <c r="BW417" s="21" t="str">
        <f>IF(OR(E417="abbreviato",Risultati!G416=0,SUM(Risultati!I416+Risultati!K416+Risultati!M416)=0),"0",(((Risultati!AH416+Risultati!AI416)/(Risultati!I416+Risultati!K416+Risultati!N416)*360)))</f>
        <v>0</v>
      </c>
      <c r="BX417" s="16" t="str">
        <f>IF(Risultati!AB416&gt;0,(+Risultati!AG416/Risultati!AB416),"0")</f>
        <v>0</v>
      </c>
      <c r="BY417" s="22" t="str">
        <f>IF(OR(E417="abbreviato",Risultati!G416=0),"0",(((Risultati!AK416-(Risultati!AL416+Risultati!AM416))/Risultati!G416)))</f>
        <v>0</v>
      </c>
      <c r="BZ417" s="16" t="str">
        <f>IF(Risultati!G416&gt;0,(Risultati!AJ416/Risultati!G416),"0")</f>
        <v>0</v>
      </c>
      <c r="CA417" s="8"/>
      <c r="CB417" s="9">
        <f>+Risultati!AP416</f>
        <v>0</v>
      </c>
      <c r="CC417" s="31" t="str">
        <f t="shared" si="363"/>
        <v>0</v>
      </c>
      <c r="CD417" s="9">
        <f>+Risultati!AQ416</f>
        <v>0</v>
      </c>
      <c r="CE417" s="31" t="str">
        <f t="shared" si="364"/>
        <v>0</v>
      </c>
      <c r="CF417" s="9">
        <f>+Risultati!AR416</f>
        <v>0</v>
      </c>
      <c r="CG417" s="31" t="str">
        <f t="shared" si="365"/>
        <v>0</v>
      </c>
      <c r="CH417" s="9">
        <f>+Risultati!AS416</f>
        <v>0</v>
      </c>
      <c r="CI417" s="31" t="str">
        <f t="shared" si="366"/>
        <v>0</v>
      </c>
      <c r="CJ417" s="9">
        <f t="shared" si="367"/>
        <v>0</v>
      </c>
      <c r="CK417" s="31" t="str">
        <f t="shared" si="368"/>
        <v>0</v>
      </c>
      <c r="CL417" s="10">
        <f>+Risultati!AE416+Risultati!AF416</f>
        <v>0</v>
      </c>
      <c r="CM417" s="31" t="str">
        <f t="shared" si="369"/>
        <v>0</v>
      </c>
      <c r="CN417" s="9">
        <f>+Risultati!AT416</f>
        <v>0</v>
      </c>
      <c r="CO417" s="31" t="str">
        <f t="shared" si="370"/>
        <v>0</v>
      </c>
      <c r="CP417" s="9">
        <f>+Risultati!AU416</f>
        <v>0</v>
      </c>
      <c r="CQ417" s="31" t="str">
        <f t="shared" si="371"/>
        <v>0</v>
      </c>
      <c r="CR417" s="9">
        <f>+Risultati!AL416</f>
        <v>0</v>
      </c>
      <c r="CS417" s="31" t="str">
        <f t="shared" si="372"/>
        <v>0</v>
      </c>
      <c r="CT417" s="9">
        <f t="shared" si="373"/>
        <v>0</v>
      </c>
      <c r="CU417" s="31" t="str">
        <f t="shared" si="374"/>
        <v>0</v>
      </c>
      <c r="CV417" s="9">
        <f>+Risultati!AX416</f>
        <v>0</v>
      </c>
      <c r="CW417" s="31" t="str">
        <f t="shared" si="375"/>
        <v>0</v>
      </c>
      <c r="CX417" s="9">
        <f t="shared" si="376"/>
        <v>0</v>
      </c>
      <c r="CY417" s="31" t="str">
        <f t="shared" si="377"/>
        <v>0</v>
      </c>
      <c r="CZ417" s="9">
        <f>+Risultati!AG416</f>
        <v>0</v>
      </c>
      <c r="DA417" s="31" t="str">
        <f t="shared" si="378"/>
        <v>0</v>
      </c>
      <c r="DB417" s="9">
        <f t="shared" si="379"/>
        <v>0</v>
      </c>
      <c r="DC417" s="31" t="str">
        <f t="shared" si="380"/>
        <v>0</v>
      </c>
      <c r="DD417" s="9">
        <f>+Risultati!AV416</f>
        <v>0</v>
      </c>
      <c r="DE417" s="31" t="str">
        <f t="shared" si="381"/>
        <v>0</v>
      </c>
      <c r="DF417" s="9">
        <f>+Risultati!AJ416</f>
        <v>0</v>
      </c>
      <c r="DG417" s="31" t="str">
        <f t="shared" si="382"/>
        <v>0</v>
      </c>
      <c r="DH417" s="9">
        <f t="shared" si="383"/>
        <v>0</v>
      </c>
      <c r="DI417" s="31" t="str">
        <f t="shared" si="384"/>
        <v>0</v>
      </c>
      <c r="DJ417" s="9">
        <f>+Risultati!AW416</f>
        <v>0</v>
      </c>
      <c r="DK417" s="31" t="str">
        <f t="shared" si="385"/>
        <v>0</v>
      </c>
      <c r="DL417" s="10">
        <f t="shared" si="356"/>
        <v>0</v>
      </c>
      <c r="DM417" s="31" t="str">
        <f t="shared" si="386"/>
        <v>0</v>
      </c>
      <c r="DO417" s="30"/>
      <c r="DP417" s="30"/>
    </row>
    <row r="418" spans="1:120" x14ac:dyDescent="0.2">
      <c r="A418" s="5"/>
      <c r="B418" s="6">
        <f>+Risultati!B417</f>
        <v>0</v>
      </c>
      <c r="C418" s="6">
        <f>+Risultati!C417</f>
        <v>0</v>
      </c>
      <c r="D418" s="26" t="str">
        <f>IF(YEAR(Risultati!D417)=1900,(MID(Risultati!$AP$1,29,4)),YEAR(Risultati!D417))</f>
        <v/>
      </c>
      <c r="E418" s="6">
        <f>+Risultati!E417</f>
        <v>0</v>
      </c>
      <c r="F418" s="8" t="e">
        <f>(LEFT(Risultati!AN417,2)&amp;"-")&amp;VLOOKUP((LEFT(Risultati!AN417,2)),ateco!$B$4:$C$93,2,FALSE)</f>
        <v>#N/A</v>
      </c>
      <c r="G418" s="8" t="str">
        <f>SUBSTITUTE((Risultati!AN417&amp;"-"&amp;Risultati!AO417),",",";")</f>
        <v>-</v>
      </c>
      <c r="I418" s="10">
        <f>+Risultati!G417</f>
        <v>0</v>
      </c>
      <c r="J418" s="11" t="str">
        <f t="shared" si="338"/>
        <v>0</v>
      </c>
      <c r="K418" s="12"/>
      <c r="L418" s="10">
        <f>+Risultati!G417+Risultati!H417</f>
        <v>0</v>
      </c>
      <c r="M418" s="11" t="str">
        <f t="shared" si="339"/>
        <v>0</v>
      </c>
      <c r="N418" s="12"/>
      <c r="O418" s="10">
        <f>+Risultati!I417+Risultati!J417</f>
        <v>0</v>
      </c>
      <c r="P418" s="11" t="str">
        <f t="shared" si="340"/>
        <v>0</v>
      </c>
      <c r="Q418" s="12"/>
      <c r="R418" s="13">
        <f t="shared" si="357"/>
        <v>0</v>
      </c>
      <c r="S418" s="11" t="str">
        <f t="shared" si="341"/>
        <v>0</v>
      </c>
      <c r="T418" s="12"/>
      <c r="U418" s="10">
        <f>+Risultati!F417-(Risultati!G417+Risultati!H417)</f>
        <v>0</v>
      </c>
      <c r="V418" s="12" t="str">
        <f t="shared" si="342"/>
        <v>0</v>
      </c>
      <c r="W418" s="12"/>
      <c r="X418" s="10">
        <f t="shared" si="358"/>
        <v>0</v>
      </c>
      <c r="Y418" s="12" t="str">
        <f t="shared" si="343"/>
        <v>0</v>
      </c>
      <c r="Z418" s="12"/>
      <c r="AA418" s="10">
        <f>+Risultati!K417</f>
        <v>0</v>
      </c>
      <c r="AB418" s="12" t="str">
        <f t="shared" si="344"/>
        <v>0</v>
      </c>
      <c r="AC418" s="12"/>
      <c r="AD418" s="10">
        <f>+Risultati!L417</f>
        <v>0</v>
      </c>
      <c r="AE418" s="12" t="str">
        <f t="shared" si="345"/>
        <v>0</v>
      </c>
      <c r="AF418" s="12"/>
      <c r="AG418" s="10">
        <f>+Risultati!M417+Risultati!P417+Risultati!Q417</f>
        <v>0</v>
      </c>
      <c r="AH418" s="12" t="str">
        <f t="shared" si="346"/>
        <v>0</v>
      </c>
      <c r="AI418" s="12"/>
      <c r="AJ418" s="13">
        <f t="shared" si="359"/>
        <v>0</v>
      </c>
      <c r="AK418" s="11" t="str">
        <f t="shared" si="347"/>
        <v>0</v>
      </c>
      <c r="AL418" s="12"/>
      <c r="AM418" s="10">
        <f>+Risultati!N417</f>
        <v>0</v>
      </c>
      <c r="AN418" s="12" t="str">
        <f t="shared" si="348"/>
        <v>0</v>
      </c>
      <c r="AO418" s="12"/>
      <c r="AP418" s="10">
        <f t="shared" si="360"/>
        <v>0</v>
      </c>
      <c r="AQ418" s="41" t="str">
        <f t="shared" si="349"/>
        <v>0</v>
      </c>
      <c r="AR418" s="12"/>
      <c r="AS418" s="10">
        <f>+Risultati!O417</f>
        <v>0</v>
      </c>
      <c r="AT418" s="12" t="str">
        <f t="shared" si="350"/>
        <v>0</v>
      </c>
      <c r="AU418" s="12"/>
      <c r="AV418" s="10">
        <f t="shared" si="361"/>
        <v>0</v>
      </c>
      <c r="AW418" s="12" t="str">
        <f t="shared" si="351"/>
        <v>0</v>
      </c>
      <c r="AX418" s="12"/>
      <c r="AY418" s="10">
        <f>+Risultati!R417+Risultati!S417</f>
        <v>0</v>
      </c>
      <c r="AZ418" s="12" t="str">
        <f t="shared" si="352"/>
        <v>0</v>
      </c>
      <c r="BA418" s="12"/>
      <c r="BB418" s="10">
        <f>+Risultati!T417</f>
        <v>0</v>
      </c>
      <c r="BC418" s="12" t="str">
        <f t="shared" si="353"/>
        <v>0</v>
      </c>
      <c r="BD418" s="12"/>
      <c r="BE418" s="10">
        <f>+Risultati!U417</f>
        <v>0</v>
      </c>
      <c r="BF418" s="12" t="str">
        <f t="shared" si="354"/>
        <v>0</v>
      </c>
      <c r="BG418" s="12"/>
      <c r="BH418" s="10">
        <f t="shared" si="362"/>
        <v>0</v>
      </c>
      <c r="BI418" s="12" t="str">
        <f t="shared" si="355"/>
        <v>0</v>
      </c>
      <c r="BK418" s="16">
        <f>IF(ISNUMBER(Risultati!X417/100),(Risultati!X417/100))</f>
        <v>0</v>
      </c>
      <c r="BL418" s="16">
        <f>IF(ISNUMBER(Risultati!Y417/100),(Risultati!Y417/100))</f>
        <v>0</v>
      </c>
      <c r="BM418" s="16">
        <f>IF(ISNUMBER(Risultati!Z417/100),(Risultati!Z417/100))</f>
        <v>0</v>
      </c>
      <c r="BN418" s="16">
        <f>IF(AND(Risultati!AY417&lt;0,calcoli!AP418&lt;0),-IF(ISNUMBER(Risultati!AA417/100),(Risultati!AA417/100)),IF(ISNUMBER(Risultati!AA417/100),(Risultati!AA417/100)))</f>
        <v>0</v>
      </c>
      <c r="BO418" s="16" t="str">
        <f t="shared" si="336"/>
        <v>0</v>
      </c>
      <c r="BP418" s="16" t="str">
        <f>IF(Risultati!AB417&gt;0,(AV418/Risultati!AB417),"0")</f>
        <v>0</v>
      </c>
      <c r="BQ418" s="16" t="str">
        <f>IF(Risultati!AG417&lt;&gt;0,(BH418/Risultati!AG417),"0")</f>
        <v>0</v>
      </c>
      <c r="BR418" s="16" t="str">
        <f t="shared" si="337"/>
        <v>0</v>
      </c>
      <c r="BS418" s="14" t="str">
        <f>IF(Risultati!AB417&gt;0,(Risultati!G417/Risultati!AB417),"0")</f>
        <v>0</v>
      </c>
      <c r="BT418" s="15" t="str">
        <f>IF(Risultati!AG417&lt;&gt;0,(Risultati!AB417/Risultati!AG417),"0")</f>
        <v>0</v>
      </c>
      <c r="BU418" s="23" t="str">
        <f>IF(AND(Risultati!G417&gt;0,(Risultati!AE417-Risultati!AF417)&gt;=0),((Risultati!AE417-Risultati!AF417)/Risultati!G417*360),"0")</f>
        <v>0</v>
      </c>
      <c r="BV418" s="21" t="str">
        <f>IF(OR(E418="abbreviato",Risultati!G417=0),"0",((Risultati!AC417+Risultati!AD417)/Risultati!G417*360))</f>
        <v>0</v>
      </c>
      <c r="BW418" s="21" t="str">
        <f>IF(OR(E418="abbreviato",Risultati!G417=0,SUM(Risultati!I417+Risultati!K417+Risultati!M417)=0),"0",(((Risultati!AH417+Risultati!AI417)/(Risultati!I417+Risultati!K417+Risultati!N417)*360)))</f>
        <v>0</v>
      </c>
      <c r="BX418" s="16" t="str">
        <f>IF(Risultati!AB417&gt;0,(+Risultati!AG417/Risultati!AB417),"0")</f>
        <v>0</v>
      </c>
      <c r="BY418" s="22" t="str">
        <f>IF(OR(E418="abbreviato",Risultati!G417=0),"0",(((Risultati!AK417-(Risultati!AL417+Risultati!AM417))/Risultati!G417)))</f>
        <v>0</v>
      </c>
      <c r="BZ418" s="16" t="str">
        <f>IF(Risultati!G417&gt;0,(Risultati!AJ417/Risultati!G417),"0")</f>
        <v>0</v>
      </c>
      <c r="CA418" s="8"/>
      <c r="CB418" s="9">
        <f>+Risultati!AP417</f>
        <v>0</v>
      </c>
      <c r="CC418" s="31" t="str">
        <f t="shared" si="363"/>
        <v>0</v>
      </c>
      <c r="CD418" s="9">
        <f>+Risultati!AQ417</f>
        <v>0</v>
      </c>
      <c r="CE418" s="31" t="str">
        <f t="shared" si="364"/>
        <v>0</v>
      </c>
      <c r="CF418" s="9">
        <f>+Risultati!AR417</f>
        <v>0</v>
      </c>
      <c r="CG418" s="31" t="str">
        <f t="shared" si="365"/>
        <v>0</v>
      </c>
      <c r="CH418" s="9">
        <f>+Risultati!AS417</f>
        <v>0</v>
      </c>
      <c r="CI418" s="31" t="str">
        <f t="shared" si="366"/>
        <v>0</v>
      </c>
      <c r="CJ418" s="9">
        <f t="shared" si="367"/>
        <v>0</v>
      </c>
      <c r="CK418" s="31" t="str">
        <f t="shared" si="368"/>
        <v>0</v>
      </c>
      <c r="CL418" s="10">
        <f>+Risultati!AE417+Risultati!AF417</f>
        <v>0</v>
      </c>
      <c r="CM418" s="31" t="str">
        <f t="shared" si="369"/>
        <v>0</v>
      </c>
      <c r="CN418" s="9">
        <f>+Risultati!AT417</f>
        <v>0</v>
      </c>
      <c r="CO418" s="31" t="str">
        <f t="shared" si="370"/>
        <v>0</v>
      </c>
      <c r="CP418" s="9">
        <f>+Risultati!AU417</f>
        <v>0</v>
      </c>
      <c r="CQ418" s="31" t="str">
        <f t="shared" si="371"/>
        <v>0</v>
      </c>
      <c r="CR418" s="9">
        <f>+Risultati!AL417</f>
        <v>0</v>
      </c>
      <c r="CS418" s="31" t="str">
        <f t="shared" si="372"/>
        <v>0</v>
      </c>
      <c r="CT418" s="9">
        <f t="shared" si="373"/>
        <v>0</v>
      </c>
      <c r="CU418" s="31" t="str">
        <f t="shared" si="374"/>
        <v>0</v>
      </c>
      <c r="CV418" s="9">
        <f>+Risultati!AX417</f>
        <v>0</v>
      </c>
      <c r="CW418" s="31" t="str">
        <f t="shared" si="375"/>
        <v>0</v>
      </c>
      <c r="CX418" s="9">
        <f t="shared" si="376"/>
        <v>0</v>
      </c>
      <c r="CY418" s="31" t="str">
        <f t="shared" si="377"/>
        <v>0</v>
      </c>
      <c r="CZ418" s="9">
        <f>+Risultati!AG417</f>
        <v>0</v>
      </c>
      <c r="DA418" s="31" t="str">
        <f t="shared" si="378"/>
        <v>0</v>
      </c>
      <c r="DB418" s="9">
        <f t="shared" si="379"/>
        <v>0</v>
      </c>
      <c r="DC418" s="31" t="str">
        <f t="shared" si="380"/>
        <v>0</v>
      </c>
      <c r="DD418" s="9">
        <f>+Risultati!AV417</f>
        <v>0</v>
      </c>
      <c r="DE418" s="31" t="str">
        <f t="shared" si="381"/>
        <v>0</v>
      </c>
      <c r="DF418" s="9">
        <f>+Risultati!AJ417</f>
        <v>0</v>
      </c>
      <c r="DG418" s="31" t="str">
        <f t="shared" si="382"/>
        <v>0</v>
      </c>
      <c r="DH418" s="9">
        <f t="shared" si="383"/>
        <v>0</v>
      </c>
      <c r="DI418" s="31" t="str">
        <f t="shared" si="384"/>
        <v>0</v>
      </c>
      <c r="DJ418" s="9">
        <f>+Risultati!AW417</f>
        <v>0</v>
      </c>
      <c r="DK418" s="31" t="str">
        <f t="shared" si="385"/>
        <v>0</v>
      </c>
      <c r="DL418" s="10">
        <f t="shared" si="356"/>
        <v>0</v>
      </c>
      <c r="DM418" s="31" t="str">
        <f t="shared" si="386"/>
        <v>0</v>
      </c>
      <c r="DO418" s="30"/>
      <c r="DP418" s="30"/>
    </row>
    <row r="419" spans="1:120" x14ac:dyDescent="0.2">
      <c r="A419" s="5"/>
      <c r="B419" s="6">
        <f>+Risultati!B418</f>
        <v>0</v>
      </c>
      <c r="C419" s="6">
        <f>+Risultati!C418</f>
        <v>0</v>
      </c>
      <c r="D419" s="26" t="str">
        <f>IF(YEAR(Risultati!D418)=1900,(MID(Risultati!$AP$1,29,4)),YEAR(Risultati!D418))</f>
        <v/>
      </c>
      <c r="E419" s="6">
        <f>+Risultati!E418</f>
        <v>0</v>
      </c>
      <c r="F419" s="8" t="e">
        <f>(LEFT(Risultati!AN418,2)&amp;"-")&amp;VLOOKUP((LEFT(Risultati!AN418,2)),ateco!$B$4:$C$93,2,FALSE)</f>
        <v>#N/A</v>
      </c>
      <c r="G419" s="8" t="str">
        <f>SUBSTITUTE((Risultati!AN418&amp;"-"&amp;Risultati!AO418),",",";")</f>
        <v>-</v>
      </c>
      <c r="I419" s="10">
        <f>+Risultati!G418</f>
        <v>0</v>
      </c>
      <c r="J419" s="11" t="str">
        <f t="shared" si="338"/>
        <v>0</v>
      </c>
      <c r="K419" s="12"/>
      <c r="L419" s="10">
        <f>+Risultati!G418+Risultati!H418</f>
        <v>0</v>
      </c>
      <c r="M419" s="11" t="str">
        <f t="shared" si="339"/>
        <v>0</v>
      </c>
      <c r="N419" s="12"/>
      <c r="O419" s="10">
        <f>+Risultati!I418+Risultati!J418</f>
        <v>0</v>
      </c>
      <c r="P419" s="11" t="str">
        <f t="shared" si="340"/>
        <v>0</v>
      </c>
      <c r="Q419" s="12"/>
      <c r="R419" s="13">
        <f t="shared" si="357"/>
        <v>0</v>
      </c>
      <c r="S419" s="11" t="str">
        <f t="shared" si="341"/>
        <v>0</v>
      </c>
      <c r="T419" s="12"/>
      <c r="U419" s="10">
        <f>+Risultati!F418-(Risultati!G418+Risultati!H418)</f>
        <v>0</v>
      </c>
      <c r="V419" s="12" t="str">
        <f t="shared" si="342"/>
        <v>0</v>
      </c>
      <c r="W419" s="12"/>
      <c r="X419" s="10">
        <f t="shared" si="358"/>
        <v>0</v>
      </c>
      <c r="Y419" s="12" t="str">
        <f t="shared" si="343"/>
        <v>0</v>
      </c>
      <c r="Z419" s="12"/>
      <c r="AA419" s="10">
        <f>+Risultati!K418</f>
        <v>0</v>
      </c>
      <c r="AB419" s="12" t="str">
        <f t="shared" si="344"/>
        <v>0</v>
      </c>
      <c r="AC419" s="12"/>
      <c r="AD419" s="10">
        <f>+Risultati!L418</f>
        <v>0</v>
      </c>
      <c r="AE419" s="12" t="str">
        <f t="shared" si="345"/>
        <v>0</v>
      </c>
      <c r="AF419" s="12"/>
      <c r="AG419" s="10">
        <f>+Risultati!M418+Risultati!P418+Risultati!Q418</f>
        <v>0</v>
      </c>
      <c r="AH419" s="12" t="str">
        <f t="shared" si="346"/>
        <v>0</v>
      </c>
      <c r="AI419" s="12"/>
      <c r="AJ419" s="13">
        <f t="shared" si="359"/>
        <v>0</v>
      </c>
      <c r="AK419" s="11" t="str">
        <f t="shared" si="347"/>
        <v>0</v>
      </c>
      <c r="AL419" s="12"/>
      <c r="AM419" s="10">
        <f>+Risultati!N418</f>
        <v>0</v>
      </c>
      <c r="AN419" s="12" t="str">
        <f t="shared" si="348"/>
        <v>0</v>
      </c>
      <c r="AO419" s="12"/>
      <c r="AP419" s="10">
        <f t="shared" si="360"/>
        <v>0</v>
      </c>
      <c r="AQ419" s="41" t="str">
        <f t="shared" si="349"/>
        <v>0</v>
      </c>
      <c r="AR419" s="12"/>
      <c r="AS419" s="10">
        <f>+Risultati!O418</f>
        <v>0</v>
      </c>
      <c r="AT419" s="12" t="str">
        <f t="shared" si="350"/>
        <v>0</v>
      </c>
      <c r="AU419" s="12"/>
      <c r="AV419" s="10">
        <f t="shared" si="361"/>
        <v>0</v>
      </c>
      <c r="AW419" s="12" t="str">
        <f t="shared" si="351"/>
        <v>0</v>
      </c>
      <c r="AX419" s="12"/>
      <c r="AY419" s="10">
        <f>+Risultati!R418+Risultati!S418</f>
        <v>0</v>
      </c>
      <c r="AZ419" s="12" t="str">
        <f t="shared" si="352"/>
        <v>0</v>
      </c>
      <c r="BA419" s="12"/>
      <c r="BB419" s="10">
        <f>+Risultati!T418</f>
        <v>0</v>
      </c>
      <c r="BC419" s="12" t="str">
        <f t="shared" si="353"/>
        <v>0</v>
      </c>
      <c r="BD419" s="12"/>
      <c r="BE419" s="10">
        <f>+Risultati!U418</f>
        <v>0</v>
      </c>
      <c r="BF419" s="12" t="str">
        <f t="shared" si="354"/>
        <v>0</v>
      </c>
      <c r="BG419" s="12"/>
      <c r="BH419" s="10">
        <f t="shared" si="362"/>
        <v>0</v>
      </c>
      <c r="BI419" s="12" t="str">
        <f t="shared" si="355"/>
        <v>0</v>
      </c>
      <c r="BK419" s="16">
        <f>IF(ISNUMBER(Risultati!X418/100),(Risultati!X418/100))</f>
        <v>0</v>
      </c>
      <c r="BL419" s="16">
        <f>IF(ISNUMBER(Risultati!Y418/100),(Risultati!Y418/100))</f>
        <v>0</v>
      </c>
      <c r="BM419" s="16">
        <f>IF(ISNUMBER(Risultati!Z418/100),(Risultati!Z418/100))</f>
        <v>0</v>
      </c>
      <c r="BN419" s="16">
        <f>IF(AND(Risultati!AY418&lt;0,calcoli!AP419&lt;0),-IF(ISNUMBER(Risultati!AA418/100),(Risultati!AA418/100)),IF(ISNUMBER(Risultati!AA418/100),(Risultati!AA418/100)))</f>
        <v>0</v>
      </c>
      <c r="BO419" s="16" t="str">
        <f t="shared" si="336"/>
        <v>0</v>
      </c>
      <c r="BP419" s="16" t="str">
        <f>IF(Risultati!AB418&gt;0,(AV419/Risultati!AB418),"0")</f>
        <v>0</v>
      </c>
      <c r="BQ419" s="16" t="str">
        <f>IF(Risultati!AG418&lt;&gt;0,(BH419/Risultati!AG418),"0")</f>
        <v>0</v>
      </c>
      <c r="BR419" s="16" t="str">
        <f t="shared" si="337"/>
        <v>0</v>
      </c>
      <c r="BS419" s="14" t="str">
        <f>IF(Risultati!AB418&gt;0,(Risultati!G418/Risultati!AB418),"0")</f>
        <v>0</v>
      </c>
      <c r="BT419" s="15" t="str">
        <f>IF(Risultati!AG418&lt;&gt;0,(Risultati!AB418/Risultati!AG418),"0")</f>
        <v>0</v>
      </c>
      <c r="BU419" s="23" t="str">
        <f>IF(AND(Risultati!G418&gt;0,(Risultati!AE418-Risultati!AF418)&gt;=0),((Risultati!AE418-Risultati!AF418)/Risultati!G418*360),"0")</f>
        <v>0</v>
      </c>
      <c r="BV419" s="21" t="str">
        <f>IF(OR(E419="abbreviato",Risultati!G418=0),"0",((Risultati!AC418+Risultati!AD418)/Risultati!G418*360))</f>
        <v>0</v>
      </c>
      <c r="BW419" s="21" t="str">
        <f>IF(OR(E419="abbreviato",Risultati!G418=0,SUM(Risultati!I418+Risultati!K418+Risultati!M418)=0),"0",(((Risultati!AH418+Risultati!AI418)/(Risultati!I418+Risultati!K418+Risultati!N418)*360)))</f>
        <v>0</v>
      </c>
      <c r="BX419" s="16" t="str">
        <f>IF(Risultati!AB418&gt;0,(+Risultati!AG418/Risultati!AB418),"0")</f>
        <v>0</v>
      </c>
      <c r="BY419" s="22" t="str">
        <f>IF(OR(E419="abbreviato",Risultati!G418=0),"0",(((Risultati!AK418-(Risultati!AL418+Risultati!AM418))/Risultati!G418)))</f>
        <v>0</v>
      </c>
      <c r="BZ419" s="16" t="str">
        <f>IF(Risultati!G418&gt;0,(Risultati!AJ418/Risultati!G418),"0")</f>
        <v>0</v>
      </c>
      <c r="CA419" s="8"/>
      <c r="CB419" s="9">
        <f>+Risultati!AP418</f>
        <v>0</v>
      </c>
      <c r="CC419" s="31" t="str">
        <f t="shared" si="363"/>
        <v>0</v>
      </c>
      <c r="CD419" s="9">
        <f>+Risultati!AQ418</f>
        <v>0</v>
      </c>
      <c r="CE419" s="31" t="str">
        <f t="shared" si="364"/>
        <v>0</v>
      </c>
      <c r="CF419" s="9">
        <f>+Risultati!AR418</f>
        <v>0</v>
      </c>
      <c r="CG419" s="31" t="str">
        <f t="shared" si="365"/>
        <v>0</v>
      </c>
      <c r="CH419" s="9">
        <f>+Risultati!AS418</f>
        <v>0</v>
      </c>
      <c r="CI419" s="31" t="str">
        <f t="shared" si="366"/>
        <v>0</v>
      </c>
      <c r="CJ419" s="9">
        <f t="shared" si="367"/>
        <v>0</v>
      </c>
      <c r="CK419" s="31" t="str">
        <f t="shared" si="368"/>
        <v>0</v>
      </c>
      <c r="CL419" s="10">
        <f>+Risultati!AE418+Risultati!AF418</f>
        <v>0</v>
      </c>
      <c r="CM419" s="31" t="str">
        <f t="shared" si="369"/>
        <v>0</v>
      </c>
      <c r="CN419" s="9">
        <f>+Risultati!AT418</f>
        <v>0</v>
      </c>
      <c r="CO419" s="31" t="str">
        <f t="shared" si="370"/>
        <v>0</v>
      </c>
      <c r="CP419" s="9">
        <f>+Risultati!AU418</f>
        <v>0</v>
      </c>
      <c r="CQ419" s="31" t="str">
        <f t="shared" si="371"/>
        <v>0</v>
      </c>
      <c r="CR419" s="9">
        <f>+Risultati!AL418</f>
        <v>0</v>
      </c>
      <c r="CS419" s="31" t="str">
        <f t="shared" si="372"/>
        <v>0</v>
      </c>
      <c r="CT419" s="9">
        <f t="shared" si="373"/>
        <v>0</v>
      </c>
      <c r="CU419" s="31" t="str">
        <f t="shared" si="374"/>
        <v>0</v>
      </c>
      <c r="CV419" s="9">
        <f>+Risultati!AX418</f>
        <v>0</v>
      </c>
      <c r="CW419" s="31" t="str">
        <f t="shared" si="375"/>
        <v>0</v>
      </c>
      <c r="CX419" s="9">
        <f t="shared" si="376"/>
        <v>0</v>
      </c>
      <c r="CY419" s="31" t="str">
        <f t="shared" si="377"/>
        <v>0</v>
      </c>
      <c r="CZ419" s="9">
        <f>+Risultati!AG418</f>
        <v>0</v>
      </c>
      <c r="DA419" s="31" t="str">
        <f t="shared" si="378"/>
        <v>0</v>
      </c>
      <c r="DB419" s="9">
        <f t="shared" si="379"/>
        <v>0</v>
      </c>
      <c r="DC419" s="31" t="str">
        <f t="shared" si="380"/>
        <v>0</v>
      </c>
      <c r="DD419" s="9">
        <f>+Risultati!AV418</f>
        <v>0</v>
      </c>
      <c r="DE419" s="31" t="str">
        <f t="shared" si="381"/>
        <v>0</v>
      </c>
      <c r="DF419" s="9">
        <f>+Risultati!AJ418</f>
        <v>0</v>
      </c>
      <c r="DG419" s="31" t="str">
        <f t="shared" si="382"/>
        <v>0</v>
      </c>
      <c r="DH419" s="9">
        <f t="shared" si="383"/>
        <v>0</v>
      </c>
      <c r="DI419" s="31" t="str">
        <f t="shared" si="384"/>
        <v>0</v>
      </c>
      <c r="DJ419" s="9">
        <f>+Risultati!AW418</f>
        <v>0</v>
      </c>
      <c r="DK419" s="31" t="str">
        <f t="shared" si="385"/>
        <v>0</v>
      </c>
      <c r="DL419" s="10">
        <f t="shared" si="356"/>
        <v>0</v>
      </c>
      <c r="DM419" s="31" t="str">
        <f t="shared" si="386"/>
        <v>0</v>
      </c>
      <c r="DO419" s="30"/>
      <c r="DP419" s="30"/>
    </row>
    <row r="420" spans="1:120" x14ac:dyDescent="0.2">
      <c r="A420" s="5"/>
      <c r="B420" s="6">
        <f>+Risultati!B419</f>
        <v>0</v>
      </c>
      <c r="C420" s="6">
        <f>+Risultati!C419</f>
        <v>0</v>
      </c>
      <c r="D420" s="26" t="str">
        <f>IF(YEAR(Risultati!D419)=1900,(MID(Risultati!$AP$1,29,4)),YEAR(Risultati!D419))</f>
        <v/>
      </c>
      <c r="E420" s="6">
        <f>+Risultati!E419</f>
        <v>0</v>
      </c>
      <c r="F420" s="8" t="e">
        <f>(LEFT(Risultati!AN419,2)&amp;"-")&amp;VLOOKUP((LEFT(Risultati!AN419,2)),ateco!$B$4:$C$93,2,FALSE)</f>
        <v>#N/A</v>
      </c>
      <c r="G420" s="8" t="str">
        <f>SUBSTITUTE((Risultati!AN419&amp;"-"&amp;Risultati!AO419),",",";")</f>
        <v>-</v>
      </c>
      <c r="I420" s="10">
        <f>+Risultati!G419</f>
        <v>0</v>
      </c>
      <c r="J420" s="11" t="str">
        <f t="shared" si="338"/>
        <v>0</v>
      </c>
      <c r="K420" s="12"/>
      <c r="L420" s="10">
        <f>+Risultati!G419+Risultati!H419</f>
        <v>0</v>
      </c>
      <c r="M420" s="11" t="str">
        <f t="shared" si="339"/>
        <v>0</v>
      </c>
      <c r="N420" s="12"/>
      <c r="O420" s="10">
        <f>+Risultati!I419+Risultati!J419</f>
        <v>0</v>
      </c>
      <c r="P420" s="11" t="str">
        <f t="shared" si="340"/>
        <v>0</v>
      </c>
      <c r="Q420" s="12"/>
      <c r="R420" s="13">
        <f t="shared" si="357"/>
        <v>0</v>
      </c>
      <c r="S420" s="11" t="str">
        <f t="shared" si="341"/>
        <v>0</v>
      </c>
      <c r="T420" s="12"/>
      <c r="U420" s="10">
        <f>+Risultati!F419-(Risultati!G419+Risultati!H419)</f>
        <v>0</v>
      </c>
      <c r="V420" s="12" t="str">
        <f t="shared" si="342"/>
        <v>0</v>
      </c>
      <c r="W420" s="12"/>
      <c r="X420" s="10">
        <f t="shared" si="358"/>
        <v>0</v>
      </c>
      <c r="Y420" s="12" t="str">
        <f t="shared" si="343"/>
        <v>0</v>
      </c>
      <c r="Z420" s="12"/>
      <c r="AA420" s="10">
        <f>+Risultati!K419</f>
        <v>0</v>
      </c>
      <c r="AB420" s="12" t="str">
        <f t="shared" si="344"/>
        <v>0</v>
      </c>
      <c r="AC420" s="12"/>
      <c r="AD420" s="10">
        <f>+Risultati!L419</f>
        <v>0</v>
      </c>
      <c r="AE420" s="12" t="str">
        <f t="shared" si="345"/>
        <v>0</v>
      </c>
      <c r="AF420" s="12"/>
      <c r="AG420" s="10">
        <f>+Risultati!M419+Risultati!P419+Risultati!Q419</f>
        <v>0</v>
      </c>
      <c r="AH420" s="12" t="str">
        <f t="shared" si="346"/>
        <v>0</v>
      </c>
      <c r="AI420" s="12"/>
      <c r="AJ420" s="13">
        <f t="shared" si="359"/>
        <v>0</v>
      </c>
      <c r="AK420" s="11" t="str">
        <f t="shared" si="347"/>
        <v>0</v>
      </c>
      <c r="AL420" s="12"/>
      <c r="AM420" s="10">
        <f>+Risultati!N419</f>
        <v>0</v>
      </c>
      <c r="AN420" s="12" t="str">
        <f t="shared" si="348"/>
        <v>0</v>
      </c>
      <c r="AO420" s="12"/>
      <c r="AP420" s="10">
        <f t="shared" si="360"/>
        <v>0</v>
      </c>
      <c r="AQ420" s="41" t="str">
        <f t="shared" si="349"/>
        <v>0</v>
      </c>
      <c r="AR420" s="12"/>
      <c r="AS420" s="10">
        <f>+Risultati!O419</f>
        <v>0</v>
      </c>
      <c r="AT420" s="12" t="str">
        <f t="shared" si="350"/>
        <v>0</v>
      </c>
      <c r="AU420" s="12"/>
      <c r="AV420" s="10">
        <f t="shared" si="361"/>
        <v>0</v>
      </c>
      <c r="AW420" s="12" t="str">
        <f t="shared" si="351"/>
        <v>0</v>
      </c>
      <c r="AX420" s="12"/>
      <c r="AY420" s="10">
        <f>+Risultati!R419+Risultati!S419</f>
        <v>0</v>
      </c>
      <c r="AZ420" s="12" t="str">
        <f t="shared" si="352"/>
        <v>0</v>
      </c>
      <c r="BA420" s="12"/>
      <c r="BB420" s="10">
        <f>+Risultati!T419</f>
        <v>0</v>
      </c>
      <c r="BC420" s="12" t="str">
        <f t="shared" si="353"/>
        <v>0</v>
      </c>
      <c r="BD420" s="12"/>
      <c r="BE420" s="10">
        <f>+Risultati!U419</f>
        <v>0</v>
      </c>
      <c r="BF420" s="12" t="str">
        <f t="shared" si="354"/>
        <v>0</v>
      </c>
      <c r="BG420" s="12"/>
      <c r="BH420" s="10">
        <f t="shared" si="362"/>
        <v>0</v>
      </c>
      <c r="BI420" s="12" t="str">
        <f t="shared" si="355"/>
        <v>0</v>
      </c>
      <c r="BK420" s="16">
        <f>IF(ISNUMBER(Risultati!X419/100),(Risultati!X419/100))</f>
        <v>0</v>
      </c>
      <c r="BL420" s="16">
        <f>IF(ISNUMBER(Risultati!Y419/100),(Risultati!Y419/100))</f>
        <v>0</v>
      </c>
      <c r="BM420" s="16">
        <f>IF(ISNUMBER(Risultati!Z419/100),(Risultati!Z419/100))</f>
        <v>0</v>
      </c>
      <c r="BN420" s="16">
        <f>IF(AND(Risultati!AY419&lt;0,calcoli!AP420&lt;0),-IF(ISNUMBER(Risultati!AA419/100),(Risultati!AA419/100)),IF(ISNUMBER(Risultati!AA419/100),(Risultati!AA419/100)))</f>
        <v>0</v>
      </c>
      <c r="BO420" s="16" t="str">
        <f t="shared" si="336"/>
        <v>0</v>
      </c>
      <c r="BP420" s="16" t="str">
        <f>IF(Risultati!AB419&gt;0,(AV420/Risultati!AB419),"0")</f>
        <v>0</v>
      </c>
      <c r="BQ420" s="16" t="str">
        <f>IF(Risultati!AG419&lt;&gt;0,(BH420/Risultati!AG419),"0")</f>
        <v>0</v>
      </c>
      <c r="BR420" s="16" t="str">
        <f t="shared" si="337"/>
        <v>0</v>
      </c>
      <c r="BS420" s="14" t="str">
        <f>IF(Risultati!AB419&gt;0,(Risultati!G419/Risultati!AB419),"0")</f>
        <v>0</v>
      </c>
      <c r="BT420" s="15" t="str">
        <f>IF(Risultati!AG419&lt;&gt;0,(Risultati!AB419/Risultati!AG419),"0")</f>
        <v>0</v>
      </c>
      <c r="BU420" s="23" t="str">
        <f>IF(AND(Risultati!G419&gt;0,(Risultati!AE419-Risultati!AF419)&gt;=0),((Risultati!AE419-Risultati!AF419)/Risultati!G419*360),"0")</f>
        <v>0</v>
      </c>
      <c r="BV420" s="21" t="str">
        <f>IF(OR(E420="abbreviato",Risultati!G419=0),"0",((Risultati!AC419+Risultati!AD419)/Risultati!G419*360))</f>
        <v>0</v>
      </c>
      <c r="BW420" s="21" t="str">
        <f>IF(OR(E420="abbreviato",Risultati!G419=0,SUM(Risultati!I419+Risultati!K419+Risultati!M419)=0),"0",(((Risultati!AH419+Risultati!AI419)/(Risultati!I419+Risultati!K419+Risultati!N419)*360)))</f>
        <v>0</v>
      </c>
      <c r="BX420" s="16" t="str">
        <f>IF(Risultati!AB419&gt;0,(+Risultati!AG419/Risultati!AB419),"0")</f>
        <v>0</v>
      </c>
      <c r="BY420" s="22" t="str">
        <f>IF(OR(E420="abbreviato",Risultati!G419=0),"0",(((Risultati!AK419-(Risultati!AL419+Risultati!AM419))/Risultati!G419)))</f>
        <v>0</v>
      </c>
      <c r="BZ420" s="16" t="str">
        <f>IF(Risultati!G419&gt;0,(Risultati!AJ419/Risultati!G419),"0")</f>
        <v>0</v>
      </c>
      <c r="CA420" s="8"/>
      <c r="CB420" s="9">
        <f>+Risultati!AP419</f>
        <v>0</v>
      </c>
      <c r="CC420" s="31" t="str">
        <f t="shared" si="363"/>
        <v>0</v>
      </c>
      <c r="CD420" s="9">
        <f>+Risultati!AQ419</f>
        <v>0</v>
      </c>
      <c r="CE420" s="31" t="str">
        <f t="shared" si="364"/>
        <v>0</v>
      </c>
      <c r="CF420" s="9">
        <f>+Risultati!AR419</f>
        <v>0</v>
      </c>
      <c r="CG420" s="31" t="str">
        <f t="shared" si="365"/>
        <v>0</v>
      </c>
      <c r="CH420" s="9">
        <f>+Risultati!AS419</f>
        <v>0</v>
      </c>
      <c r="CI420" s="31" t="str">
        <f t="shared" si="366"/>
        <v>0</v>
      </c>
      <c r="CJ420" s="9">
        <f t="shared" si="367"/>
        <v>0</v>
      </c>
      <c r="CK420" s="31" t="str">
        <f t="shared" si="368"/>
        <v>0</v>
      </c>
      <c r="CL420" s="10">
        <f>+Risultati!AE419+Risultati!AF419</f>
        <v>0</v>
      </c>
      <c r="CM420" s="31" t="str">
        <f t="shared" si="369"/>
        <v>0</v>
      </c>
      <c r="CN420" s="9">
        <f>+Risultati!AT419</f>
        <v>0</v>
      </c>
      <c r="CO420" s="31" t="str">
        <f t="shared" si="370"/>
        <v>0</v>
      </c>
      <c r="CP420" s="9">
        <f>+Risultati!AU419</f>
        <v>0</v>
      </c>
      <c r="CQ420" s="31" t="str">
        <f t="shared" si="371"/>
        <v>0</v>
      </c>
      <c r="CR420" s="9">
        <f>+Risultati!AL419</f>
        <v>0</v>
      </c>
      <c r="CS420" s="31" t="str">
        <f t="shared" si="372"/>
        <v>0</v>
      </c>
      <c r="CT420" s="9">
        <f t="shared" si="373"/>
        <v>0</v>
      </c>
      <c r="CU420" s="31" t="str">
        <f t="shared" si="374"/>
        <v>0</v>
      </c>
      <c r="CV420" s="9">
        <f>+Risultati!AX419</f>
        <v>0</v>
      </c>
      <c r="CW420" s="31" t="str">
        <f t="shared" si="375"/>
        <v>0</v>
      </c>
      <c r="CX420" s="9">
        <f t="shared" si="376"/>
        <v>0</v>
      </c>
      <c r="CY420" s="31" t="str">
        <f t="shared" si="377"/>
        <v>0</v>
      </c>
      <c r="CZ420" s="9">
        <f>+Risultati!AG419</f>
        <v>0</v>
      </c>
      <c r="DA420" s="31" t="str">
        <f t="shared" si="378"/>
        <v>0</v>
      </c>
      <c r="DB420" s="9">
        <f t="shared" si="379"/>
        <v>0</v>
      </c>
      <c r="DC420" s="31" t="str">
        <f t="shared" si="380"/>
        <v>0</v>
      </c>
      <c r="DD420" s="9">
        <f>+Risultati!AV419</f>
        <v>0</v>
      </c>
      <c r="DE420" s="31" t="str">
        <f t="shared" si="381"/>
        <v>0</v>
      </c>
      <c r="DF420" s="9">
        <f>+Risultati!AJ419</f>
        <v>0</v>
      </c>
      <c r="DG420" s="31" t="str">
        <f t="shared" si="382"/>
        <v>0</v>
      </c>
      <c r="DH420" s="9">
        <f t="shared" si="383"/>
        <v>0</v>
      </c>
      <c r="DI420" s="31" t="str">
        <f t="shared" si="384"/>
        <v>0</v>
      </c>
      <c r="DJ420" s="9">
        <f>+Risultati!AW419</f>
        <v>0</v>
      </c>
      <c r="DK420" s="31" t="str">
        <f t="shared" si="385"/>
        <v>0</v>
      </c>
      <c r="DL420" s="10">
        <f t="shared" si="356"/>
        <v>0</v>
      </c>
      <c r="DM420" s="31" t="str">
        <f t="shared" si="386"/>
        <v>0</v>
      </c>
      <c r="DO420" s="30"/>
      <c r="DP420" s="30"/>
    </row>
    <row r="421" spans="1:120" x14ac:dyDescent="0.2">
      <c r="A421" s="5"/>
      <c r="B421" s="6">
        <f>+Risultati!B420</f>
        <v>0</v>
      </c>
      <c r="C421" s="6">
        <f>+Risultati!C420</f>
        <v>0</v>
      </c>
      <c r="D421" s="26" t="str">
        <f>IF(YEAR(Risultati!D420)=1900,(MID(Risultati!$AP$1,29,4)),YEAR(Risultati!D420))</f>
        <v/>
      </c>
      <c r="E421" s="6">
        <f>+Risultati!E420</f>
        <v>0</v>
      </c>
      <c r="F421" s="8" t="e">
        <f>(LEFT(Risultati!AN420,2)&amp;"-")&amp;VLOOKUP((LEFT(Risultati!AN420,2)),ateco!$B$4:$C$93,2,FALSE)</f>
        <v>#N/A</v>
      </c>
      <c r="G421" s="8" t="str">
        <f>SUBSTITUTE((Risultati!AN420&amp;"-"&amp;Risultati!AO420),",",";")</f>
        <v>-</v>
      </c>
      <c r="I421" s="10">
        <f>+Risultati!G420</f>
        <v>0</v>
      </c>
      <c r="J421" s="11" t="str">
        <f t="shared" si="338"/>
        <v>0</v>
      </c>
      <c r="K421" s="12"/>
      <c r="L421" s="10">
        <f>+Risultati!G420+Risultati!H420</f>
        <v>0</v>
      </c>
      <c r="M421" s="11" t="str">
        <f t="shared" si="339"/>
        <v>0</v>
      </c>
      <c r="N421" s="12"/>
      <c r="O421" s="10">
        <f>+Risultati!I420+Risultati!J420</f>
        <v>0</v>
      </c>
      <c r="P421" s="11" t="str">
        <f t="shared" si="340"/>
        <v>0</v>
      </c>
      <c r="Q421" s="12"/>
      <c r="R421" s="13">
        <f t="shared" si="357"/>
        <v>0</v>
      </c>
      <c r="S421" s="11" t="str">
        <f t="shared" si="341"/>
        <v>0</v>
      </c>
      <c r="T421" s="12"/>
      <c r="U421" s="10">
        <f>+Risultati!F420-(Risultati!G420+Risultati!H420)</f>
        <v>0</v>
      </c>
      <c r="V421" s="12" t="str">
        <f t="shared" si="342"/>
        <v>0</v>
      </c>
      <c r="W421" s="12"/>
      <c r="X421" s="10">
        <f t="shared" si="358"/>
        <v>0</v>
      </c>
      <c r="Y421" s="12" t="str">
        <f t="shared" si="343"/>
        <v>0</v>
      </c>
      <c r="Z421" s="12"/>
      <c r="AA421" s="10">
        <f>+Risultati!K420</f>
        <v>0</v>
      </c>
      <c r="AB421" s="12" t="str">
        <f t="shared" si="344"/>
        <v>0</v>
      </c>
      <c r="AC421" s="12"/>
      <c r="AD421" s="10">
        <f>+Risultati!L420</f>
        <v>0</v>
      </c>
      <c r="AE421" s="12" t="str">
        <f t="shared" si="345"/>
        <v>0</v>
      </c>
      <c r="AF421" s="12"/>
      <c r="AG421" s="10">
        <f>+Risultati!M420+Risultati!P420+Risultati!Q420</f>
        <v>0</v>
      </c>
      <c r="AH421" s="12" t="str">
        <f t="shared" si="346"/>
        <v>0</v>
      </c>
      <c r="AI421" s="12"/>
      <c r="AJ421" s="13">
        <f t="shared" si="359"/>
        <v>0</v>
      </c>
      <c r="AK421" s="11" t="str">
        <f t="shared" si="347"/>
        <v>0</v>
      </c>
      <c r="AL421" s="12"/>
      <c r="AM421" s="10">
        <f>+Risultati!N420</f>
        <v>0</v>
      </c>
      <c r="AN421" s="12" t="str">
        <f t="shared" si="348"/>
        <v>0</v>
      </c>
      <c r="AO421" s="12"/>
      <c r="AP421" s="10">
        <f t="shared" si="360"/>
        <v>0</v>
      </c>
      <c r="AQ421" s="41" t="str">
        <f t="shared" si="349"/>
        <v>0</v>
      </c>
      <c r="AR421" s="12"/>
      <c r="AS421" s="10">
        <f>+Risultati!O420</f>
        <v>0</v>
      </c>
      <c r="AT421" s="12" t="str">
        <f t="shared" si="350"/>
        <v>0</v>
      </c>
      <c r="AU421" s="12"/>
      <c r="AV421" s="10">
        <f t="shared" si="361"/>
        <v>0</v>
      </c>
      <c r="AW421" s="12" t="str">
        <f t="shared" si="351"/>
        <v>0</v>
      </c>
      <c r="AX421" s="12"/>
      <c r="AY421" s="10">
        <f>+Risultati!R420+Risultati!S420</f>
        <v>0</v>
      </c>
      <c r="AZ421" s="12" t="str">
        <f t="shared" si="352"/>
        <v>0</v>
      </c>
      <c r="BA421" s="12"/>
      <c r="BB421" s="10">
        <f>+Risultati!T420</f>
        <v>0</v>
      </c>
      <c r="BC421" s="12" t="str">
        <f t="shared" si="353"/>
        <v>0</v>
      </c>
      <c r="BD421" s="12"/>
      <c r="BE421" s="10">
        <f>+Risultati!U420</f>
        <v>0</v>
      </c>
      <c r="BF421" s="12" t="str">
        <f t="shared" si="354"/>
        <v>0</v>
      </c>
      <c r="BG421" s="12"/>
      <c r="BH421" s="10">
        <f t="shared" si="362"/>
        <v>0</v>
      </c>
      <c r="BI421" s="12" t="str">
        <f t="shared" si="355"/>
        <v>0</v>
      </c>
      <c r="BK421" s="16">
        <f>IF(ISNUMBER(Risultati!X420/100),(Risultati!X420/100))</f>
        <v>0</v>
      </c>
      <c r="BL421" s="16">
        <f>IF(ISNUMBER(Risultati!Y420/100),(Risultati!Y420/100))</f>
        <v>0</v>
      </c>
      <c r="BM421" s="16">
        <f>IF(ISNUMBER(Risultati!Z420/100),(Risultati!Z420/100))</f>
        <v>0</v>
      </c>
      <c r="BN421" s="16">
        <f>IF(AND(Risultati!AY420&lt;0,calcoli!AP421&lt;0),-IF(ISNUMBER(Risultati!AA420/100),(Risultati!AA420/100)),IF(ISNUMBER(Risultati!AA420/100),(Risultati!AA420/100)))</f>
        <v>0</v>
      </c>
      <c r="BO421" s="16" t="str">
        <f t="shared" si="336"/>
        <v>0</v>
      </c>
      <c r="BP421" s="16" t="str">
        <f>IF(Risultati!AB420&gt;0,(AV421/Risultati!AB420),"0")</f>
        <v>0</v>
      </c>
      <c r="BQ421" s="16" t="str">
        <f>IF(Risultati!AG420&lt;&gt;0,(BH421/Risultati!AG420),"0")</f>
        <v>0</v>
      </c>
      <c r="BR421" s="16" t="str">
        <f t="shared" si="337"/>
        <v>0</v>
      </c>
      <c r="BS421" s="14" t="str">
        <f>IF(Risultati!AB420&gt;0,(Risultati!G420/Risultati!AB420),"0")</f>
        <v>0</v>
      </c>
      <c r="BT421" s="15" t="str">
        <f>IF(Risultati!AG420&lt;&gt;0,(Risultati!AB420/Risultati!AG420),"0")</f>
        <v>0</v>
      </c>
      <c r="BU421" s="23" t="str">
        <f>IF(AND(Risultati!G420&gt;0,(Risultati!AE420-Risultati!AF420)&gt;=0),((Risultati!AE420-Risultati!AF420)/Risultati!G420*360),"0")</f>
        <v>0</v>
      </c>
      <c r="BV421" s="21" t="str">
        <f>IF(OR(E421="abbreviato",Risultati!G420=0),"0",((Risultati!AC420+Risultati!AD420)/Risultati!G420*360))</f>
        <v>0</v>
      </c>
      <c r="BW421" s="21" t="str">
        <f>IF(OR(E421="abbreviato",Risultati!G420=0,SUM(Risultati!I420+Risultati!K420+Risultati!M420)=0),"0",(((Risultati!AH420+Risultati!AI420)/(Risultati!I420+Risultati!K420+Risultati!N420)*360)))</f>
        <v>0</v>
      </c>
      <c r="BX421" s="16" t="str">
        <f>IF(Risultati!AB420&gt;0,(+Risultati!AG420/Risultati!AB420),"0")</f>
        <v>0</v>
      </c>
      <c r="BY421" s="22" t="str">
        <f>IF(OR(E421="abbreviato",Risultati!G420=0),"0",(((Risultati!AK420-(Risultati!AL420+Risultati!AM420))/Risultati!G420)))</f>
        <v>0</v>
      </c>
      <c r="BZ421" s="16" t="str">
        <f>IF(Risultati!G420&gt;0,(Risultati!AJ420/Risultati!G420),"0")</f>
        <v>0</v>
      </c>
      <c r="CA421" s="8"/>
      <c r="CB421" s="9">
        <f>+Risultati!AP420</f>
        <v>0</v>
      </c>
      <c r="CC421" s="31" t="str">
        <f t="shared" si="363"/>
        <v>0</v>
      </c>
      <c r="CD421" s="9">
        <f>+Risultati!AQ420</f>
        <v>0</v>
      </c>
      <c r="CE421" s="31" t="str">
        <f t="shared" si="364"/>
        <v>0</v>
      </c>
      <c r="CF421" s="9">
        <f>+Risultati!AR420</f>
        <v>0</v>
      </c>
      <c r="CG421" s="31" t="str">
        <f t="shared" si="365"/>
        <v>0</v>
      </c>
      <c r="CH421" s="9">
        <f>+Risultati!AS420</f>
        <v>0</v>
      </c>
      <c r="CI421" s="31" t="str">
        <f t="shared" si="366"/>
        <v>0</v>
      </c>
      <c r="CJ421" s="9">
        <f t="shared" si="367"/>
        <v>0</v>
      </c>
      <c r="CK421" s="31" t="str">
        <f t="shared" si="368"/>
        <v>0</v>
      </c>
      <c r="CL421" s="10">
        <f>+Risultati!AE420+Risultati!AF420</f>
        <v>0</v>
      </c>
      <c r="CM421" s="31" t="str">
        <f t="shared" si="369"/>
        <v>0</v>
      </c>
      <c r="CN421" s="9">
        <f>+Risultati!AT420</f>
        <v>0</v>
      </c>
      <c r="CO421" s="31" t="str">
        <f t="shared" si="370"/>
        <v>0</v>
      </c>
      <c r="CP421" s="9">
        <f>+Risultati!AU420</f>
        <v>0</v>
      </c>
      <c r="CQ421" s="31" t="str">
        <f t="shared" si="371"/>
        <v>0</v>
      </c>
      <c r="CR421" s="9">
        <f>+Risultati!AL420</f>
        <v>0</v>
      </c>
      <c r="CS421" s="31" t="str">
        <f t="shared" si="372"/>
        <v>0</v>
      </c>
      <c r="CT421" s="9">
        <f t="shared" si="373"/>
        <v>0</v>
      </c>
      <c r="CU421" s="31" t="str">
        <f t="shared" si="374"/>
        <v>0</v>
      </c>
      <c r="CV421" s="9">
        <f>+Risultati!AX420</f>
        <v>0</v>
      </c>
      <c r="CW421" s="31" t="str">
        <f t="shared" si="375"/>
        <v>0</v>
      </c>
      <c r="CX421" s="9">
        <f t="shared" si="376"/>
        <v>0</v>
      </c>
      <c r="CY421" s="31" t="str">
        <f t="shared" si="377"/>
        <v>0</v>
      </c>
      <c r="CZ421" s="9">
        <f>+Risultati!AG420</f>
        <v>0</v>
      </c>
      <c r="DA421" s="31" t="str">
        <f t="shared" si="378"/>
        <v>0</v>
      </c>
      <c r="DB421" s="9">
        <f t="shared" si="379"/>
        <v>0</v>
      </c>
      <c r="DC421" s="31" t="str">
        <f t="shared" si="380"/>
        <v>0</v>
      </c>
      <c r="DD421" s="9">
        <f>+Risultati!AV420</f>
        <v>0</v>
      </c>
      <c r="DE421" s="31" t="str">
        <f t="shared" si="381"/>
        <v>0</v>
      </c>
      <c r="DF421" s="9">
        <f>+Risultati!AJ420</f>
        <v>0</v>
      </c>
      <c r="DG421" s="31" t="str">
        <f t="shared" si="382"/>
        <v>0</v>
      </c>
      <c r="DH421" s="9">
        <f t="shared" si="383"/>
        <v>0</v>
      </c>
      <c r="DI421" s="31" t="str">
        <f t="shared" si="384"/>
        <v>0</v>
      </c>
      <c r="DJ421" s="9">
        <f>+Risultati!AW420</f>
        <v>0</v>
      </c>
      <c r="DK421" s="31" t="str">
        <f t="shared" si="385"/>
        <v>0</v>
      </c>
      <c r="DL421" s="10">
        <f t="shared" si="356"/>
        <v>0</v>
      </c>
      <c r="DM421" s="31" t="str">
        <f t="shared" si="386"/>
        <v>0</v>
      </c>
      <c r="DO421" s="30"/>
      <c r="DP421" s="30"/>
    </row>
    <row r="422" spans="1:120" x14ac:dyDescent="0.2">
      <c r="A422" s="5"/>
      <c r="B422" s="6">
        <f>+Risultati!B421</f>
        <v>0</v>
      </c>
      <c r="C422" s="6">
        <f>+Risultati!C421</f>
        <v>0</v>
      </c>
      <c r="D422" s="26" t="str">
        <f>IF(YEAR(Risultati!D421)=1900,(MID(Risultati!$AP$1,29,4)),YEAR(Risultati!D421))</f>
        <v/>
      </c>
      <c r="E422" s="6">
        <f>+Risultati!E421</f>
        <v>0</v>
      </c>
      <c r="F422" s="8" t="e">
        <f>(LEFT(Risultati!AN421,2)&amp;"-")&amp;VLOOKUP((LEFT(Risultati!AN421,2)),ateco!$B$4:$C$93,2,FALSE)</f>
        <v>#N/A</v>
      </c>
      <c r="G422" s="8" t="str">
        <f>SUBSTITUTE((Risultati!AN421&amp;"-"&amp;Risultati!AO421),",",";")</f>
        <v>-</v>
      </c>
      <c r="I422" s="10">
        <f>+Risultati!G421</f>
        <v>0</v>
      </c>
      <c r="J422" s="11" t="str">
        <f t="shared" si="338"/>
        <v>0</v>
      </c>
      <c r="K422" s="12"/>
      <c r="L422" s="10">
        <f>+Risultati!G421+Risultati!H421</f>
        <v>0</v>
      </c>
      <c r="M422" s="11" t="str">
        <f t="shared" si="339"/>
        <v>0</v>
      </c>
      <c r="N422" s="12"/>
      <c r="O422" s="10">
        <f>+Risultati!I421+Risultati!J421</f>
        <v>0</v>
      </c>
      <c r="P422" s="11" t="str">
        <f t="shared" si="340"/>
        <v>0</v>
      </c>
      <c r="Q422" s="12"/>
      <c r="R422" s="13">
        <f t="shared" si="357"/>
        <v>0</v>
      </c>
      <c r="S422" s="11" t="str">
        <f t="shared" si="341"/>
        <v>0</v>
      </c>
      <c r="T422" s="12"/>
      <c r="U422" s="10">
        <f>+Risultati!F421-(Risultati!G421+Risultati!H421)</f>
        <v>0</v>
      </c>
      <c r="V422" s="12" t="str">
        <f t="shared" si="342"/>
        <v>0</v>
      </c>
      <c r="W422" s="12"/>
      <c r="X422" s="10">
        <f t="shared" si="358"/>
        <v>0</v>
      </c>
      <c r="Y422" s="12" t="str">
        <f t="shared" si="343"/>
        <v>0</v>
      </c>
      <c r="Z422" s="12"/>
      <c r="AA422" s="10">
        <f>+Risultati!K421</f>
        <v>0</v>
      </c>
      <c r="AB422" s="12" t="str">
        <f t="shared" si="344"/>
        <v>0</v>
      </c>
      <c r="AC422" s="12"/>
      <c r="AD422" s="10">
        <f>+Risultati!L421</f>
        <v>0</v>
      </c>
      <c r="AE422" s="12" t="str">
        <f t="shared" si="345"/>
        <v>0</v>
      </c>
      <c r="AF422" s="12"/>
      <c r="AG422" s="10">
        <f>+Risultati!M421+Risultati!P421+Risultati!Q421</f>
        <v>0</v>
      </c>
      <c r="AH422" s="12" t="str">
        <f t="shared" si="346"/>
        <v>0</v>
      </c>
      <c r="AI422" s="12"/>
      <c r="AJ422" s="13">
        <f t="shared" si="359"/>
        <v>0</v>
      </c>
      <c r="AK422" s="11" t="str">
        <f t="shared" si="347"/>
        <v>0</v>
      </c>
      <c r="AL422" s="12"/>
      <c r="AM422" s="10">
        <f>+Risultati!N421</f>
        <v>0</v>
      </c>
      <c r="AN422" s="12" t="str">
        <f t="shared" si="348"/>
        <v>0</v>
      </c>
      <c r="AO422" s="12"/>
      <c r="AP422" s="10">
        <f t="shared" si="360"/>
        <v>0</v>
      </c>
      <c r="AQ422" s="41" t="str">
        <f t="shared" si="349"/>
        <v>0</v>
      </c>
      <c r="AR422" s="12"/>
      <c r="AS422" s="10">
        <f>+Risultati!O421</f>
        <v>0</v>
      </c>
      <c r="AT422" s="12" t="str">
        <f t="shared" si="350"/>
        <v>0</v>
      </c>
      <c r="AU422" s="12"/>
      <c r="AV422" s="10">
        <f t="shared" si="361"/>
        <v>0</v>
      </c>
      <c r="AW422" s="12" t="str">
        <f t="shared" si="351"/>
        <v>0</v>
      </c>
      <c r="AX422" s="12"/>
      <c r="AY422" s="10">
        <f>+Risultati!R421+Risultati!S421</f>
        <v>0</v>
      </c>
      <c r="AZ422" s="12" t="str">
        <f t="shared" si="352"/>
        <v>0</v>
      </c>
      <c r="BA422" s="12"/>
      <c r="BB422" s="10">
        <f>+Risultati!T421</f>
        <v>0</v>
      </c>
      <c r="BC422" s="12" t="str">
        <f t="shared" si="353"/>
        <v>0</v>
      </c>
      <c r="BD422" s="12"/>
      <c r="BE422" s="10">
        <f>+Risultati!U421</f>
        <v>0</v>
      </c>
      <c r="BF422" s="12" t="str">
        <f t="shared" si="354"/>
        <v>0</v>
      </c>
      <c r="BG422" s="12"/>
      <c r="BH422" s="10">
        <f t="shared" si="362"/>
        <v>0</v>
      </c>
      <c r="BI422" s="12" t="str">
        <f t="shared" si="355"/>
        <v>0</v>
      </c>
      <c r="BK422" s="16">
        <f>IF(ISNUMBER(Risultati!X421/100),(Risultati!X421/100))</f>
        <v>0</v>
      </c>
      <c r="BL422" s="16">
        <f>IF(ISNUMBER(Risultati!Y421/100),(Risultati!Y421/100))</f>
        <v>0</v>
      </c>
      <c r="BM422" s="16">
        <f>IF(ISNUMBER(Risultati!Z421/100),(Risultati!Z421/100))</f>
        <v>0</v>
      </c>
      <c r="BN422" s="16">
        <f>IF(AND(Risultati!AY421&lt;0,calcoli!AP422&lt;0),-IF(ISNUMBER(Risultati!AA421/100),(Risultati!AA421/100)),IF(ISNUMBER(Risultati!AA421/100),(Risultati!AA421/100)))</f>
        <v>0</v>
      </c>
      <c r="BO422" s="16" t="str">
        <f t="shared" si="336"/>
        <v>0</v>
      </c>
      <c r="BP422" s="16" t="str">
        <f>IF(Risultati!AB421&gt;0,(AV422/Risultati!AB421),"0")</f>
        <v>0</v>
      </c>
      <c r="BQ422" s="16" t="str">
        <f>IF(Risultati!AG421&lt;&gt;0,(BH422/Risultati!AG421),"0")</f>
        <v>0</v>
      </c>
      <c r="BR422" s="16" t="str">
        <f t="shared" si="337"/>
        <v>0</v>
      </c>
      <c r="BS422" s="14" t="str">
        <f>IF(Risultati!AB421&gt;0,(Risultati!G421/Risultati!AB421),"0")</f>
        <v>0</v>
      </c>
      <c r="BT422" s="15" t="str">
        <f>IF(Risultati!AG421&lt;&gt;0,(Risultati!AB421/Risultati!AG421),"0")</f>
        <v>0</v>
      </c>
      <c r="BU422" s="23" t="str">
        <f>IF(AND(Risultati!G421&gt;0,(Risultati!AE421-Risultati!AF421)&gt;=0),((Risultati!AE421-Risultati!AF421)/Risultati!G421*360),"0")</f>
        <v>0</v>
      </c>
      <c r="BV422" s="21" t="str">
        <f>IF(OR(E422="abbreviato",Risultati!G421=0),"0",((Risultati!AC421+Risultati!AD421)/Risultati!G421*360))</f>
        <v>0</v>
      </c>
      <c r="BW422" s="21" t="str">
        <f>IF(OR(E422="abbreviato",Risultati!G421=0,SUM(Risultati!I421+Risultati!K421+Risultati!M421)=0),"0",(((Risultati!AH421+Risultati!AI421)/(Risultati!I421+Risultati!K421+Risultati!N421)*360)))</f>
        <v>0</v>
      </c>
      <c r="BX422" s="16" t="str">
        <f>IF(Risultati!AB421&gt;0,(+Risultati!AG421/Risultati!AB421),"0")</f>
        <v>0</v>
      </c>
      <c r="BY422" s="22" t="str">
        <f>IF(OR(E422="abbreviato",Risultati!G421=0),"0",(((Risultati!AK421-(Risultati!AL421+Risultati!AM421))/Risultati!G421)))</f>
        <v>0</v>
      </c>
      <c r="BZ422" s="16" t="str">
        <f>IF(Risultati!G421&gt;0,(Risultati!AJ421/Risultati!G421),"0")</f>
        <v>0</v>
      </c>
      <c r="CA422" s="8"/>
      <c r="CB422" s="9">
        <f>+Risultati!AP421</f>
        <v>0</v>
      </c>
      <c r="CC422" s="31" t="str">
        <f t="shared" si="363"/>
        <v>0</v>
      </c>
      <c r="CD422" s="9">
        <f>+Risultati!AQ421</f>
        <v>0</v>
      </c>
      <c r="CE422" s="31" t="str">
        <f t="shared" si="364"/>
        <v>0</v>
      </c>
      <c r="CF422" s="9">
        <f>+Risultati!AR421</f>
        <v>0</v>
      </c>
      <c r="CG422" s="31" t="str">
        <f t="shared" si="365"/>
        <v>0</v>
      </c>
      <c r="CH422" s="9">
        <f>+Risultati!AS421</f>
        <v>0</v>
      </c>
      <c r="CI422" s="31" t="str">
        <f t="shared" si="366"/>
        <v>0</v>
      </c>
      <c r="CJ422" s="9">
        <f t="shared" si="367"/>
        <v>0</v>
      </c>
      <c r="CK422" s="31" t="str">
        <f t="shared" si="368"/>
        <v>0</v>
      </c>
      <c r="CL422" s="10">
        <f>+Risultati!AE421+Risultati!AF421</f>
        <v>0</v>
      </c>
      <c r="CM422" s="31" t="str">
        <f t="shared" si="369"/>
        <v>0</v>
      </c>
      <c r="CN422" s="9">
        <f>+Risultati!AT421</f>
        <v>0</v>
      </c>
      <c r="CO422" s="31" t="str">
        <f t="shared" si="370"/>
        <v>0</v>
      </c>
      <c r="CP422" s="9">
        <f>+Risultati!AU421</f>
        <v>0</v>
      </c>
      <c r="CQ422" s="31" t="str">
        <f t="shared" si="371"/>
        <v>0</v>
      </c>
      <c r="CR422" s="9">
        <f>+Risultati!AL421</f>
        <v>0</v>
      </c>
      <c r="CS422" s="31" t="str">
        <f t="shared" si="372"/>
        <v>0</v>
      </c>
      <c r="CT422" s="9">
        <f t="shared" si="373"/>
        <v>0</v>
      </c>
      <c r="CU422" s="31" t="str">
        <f t="shared" si="374"/>
        <v>0</v>
      </c>
      <c r="CV422" s="9">
        <f>+Risultati!AX421</f>
        <v>0</v>
      </c>
      <c r="CW422" s="31" t="str">
        <f t="shared" si="375"/>
        <v>0</v>
      </c>
      <c r="CX422" s="9">
        <f t="shared" si="376"/>
        <v>0</v>
      </c>
      <c r="CY422" s="31" t="str">
        <f t="shared" si="377"/>
        <v>0</v>
      </c>
      <c r="CZ422" s="9">
        <f>+Risultati!AG421</f>
        <v>0</v>
      </c>
      <c r="DA422" s="31" t="str">
        <f t="shared" si="378"/>
        <v>0</v>
      </c>
      <c r="DB422" s="9">
        <f t="shared" si="379"/>
        <v>0</v>
      </c>
      <c r="DC422" s="31" t="str">
        <f t="shared" si="380"/>
        <v>0</v>
      </c>
      <c r="DD422" s="9">
        <f>+Risultati!AV421</f>
        <v>0</v>
      </c>
      <c r="DE422" s="31" t="str">
        <f t="shared" si="381"/>
        <v>0</v>
      </c>
      <c r="DF422" s="9">
        <f>+Risultati!AJ421</f>
        <v>0</v>
      </c>
      <c r="DG422" s="31" t="str">
        <f t="shared" si="382"/>
        <v>0</v>
      </c>
      <c r="DH422" s="9">
        <f t="shared" si="383"/>
        <v>0</v>
      </c>
      <c r="DI422" s="31" t="str">
        <f t="shared" si="384"/>
        <v>0</v>
      </c>
      <c r="DJ422" s="9">
        <f>+Risultati!AW421</f>
        <v>0</v>
      </c>
      <c r="DK422" s="31" t="str">
        <f t="shared" si="385"/>
        <v>0</v>
      </c>
      <c r="DL422" s="10">
        <f t="shared" si="356"/>
        <v>0</v>
      </c>
      <c r="DM422" s="31" t="str">
        <f t="shared" si="386"/>
        <v>0</v>
      </c>
      <c r="DO422" s="30"/>
      <c r="DP422" s="30"/>
    </row>
    <row r="423" spans="1:120" x14ac:dyDescent="0.2">
      <c r="A423" s="5"/>
      <c r="B423" s="6">
        <f>+Risultati!B422</f>
        <v>0</v>
      </c>
      <c r="C423" s="6">
        <f>+Risultati!C422</f>
        <v>0</v>
      </c>
      <c r="D423" s="26" t="str">
        <f>IF(YEAR(Risultati!D422)=1900,(MID(Risultati!$AP$1,29,4)),YEAR(Risultati!D422))</f>
        <v/>
      </c>
      <c r="E423" s="6">
        <f>+Risultati!E422</f>
        <v>0</v>
      </c>
      <c r="F423" s="8" t="e">
        <f>(LEFT(Risultati!AN422,2)&amp;"-")&amp;VLOOKUP((LEFT(Risultati!AN422,2)),ateco!$B$4:$C$93,2,FALSE)</f>
        <v>#N/A</v>
      </c>
      <c r="G423" s="8" t="str">
        <f>SUBSTITUTE((Risultati!AN422&amp;"-"&amp;Risultati!AO422),",",";")</f>
        <v>-</v>
      </c>
      <c r="I423" s="10">
        <f>+Risultati!G422</f>
        <v>0</v>
      </c>
      <c r="J423" s="11" t="str">
        <f t="shared" si="338"/>
        <v>0</v>
      </c>
      <c r="K423" s="12"/>
      <c r="L423" s="10">
        <f>+Risultati!G422+Risultati!H422</f>
        <v>0</v>
      </c>
      <c r="M423" s="11" t="str">
        <f t="shared" si="339"/>
        <v>0</v>
      </c>
      <c r="N423" s="12"/>
      <c r="O423" s="10">
        <f>+Risultati!I422+Risultati!J422</f>
        <v>0</v>
      </c>
      <c r="P423" s="11" t="str">
        <f t="shared" si="340"/>
        <v>0</v>
      </c>
      <c r="Q423" s="12"/>
      <c r="R423" s="13">
        <f t="shared" si="357"/>
        <v>0</v>
      </c>
      <c r="S423" s="11" t="str">
        <f t="shared" si="341"/>
        <v>0</v>
      </c>
      <c r="T423" s="12"/>
      <c r="U423" s="10">
        <f>+Risultati!F422-(Risultati!G422+Risultati!H422)</f>
        <v>0</v>
      </c>
      <c r="V423" s="12" t="str">
        <f t="shared" si="342"/>
        <v>0</v>
      </c>
      <c r="W423" s="12"/>
      <c r="X423" s="10">
        <f t="shared" si="358"/>
        <v>0</v>
      </c>
      <c r="Y423" s="12" t="str">
        <f t="shared" si="343"/>
        <v>0</v>
      </c>
      <c r="Z423" s="12"/>
      <c r="AA423" s="10">
        <f>+Risultati!K422</f>
        <v>0</v>
      </c>
      <c r="AB423" s="12" t="str">
        <f t="shared" si="344"/>
        <v>0</v>
      </c>
      <c r="AC423" s="12"/>
      <c r="AD423" s="10">
        <f>+Risultati!L422</f>
        <v>0</v>
      </c>
      <c r="AE423" s="12" t="str">
        <f t="shared" si="345"/>
        <v>0</v>
      </c>
      <c r="AF423" s="12"/>
      <c r="AG423" s="10">
        <f>+Risultati!M422+Risultati!P422+Risultati!Q422</f>
        <v>0</v>
      </c>
      <c r="AH423" s="12" t="str">
        <f t="shared" si="346"/>
        <v>0</v>
      </c>
      <c r="AI423" s="12"/>
      <c r="AJ423" s="13">
        <f t="shared" si="359"/>
        <v>0</v>
      </c>
      <c r="AK423" s="11" t="str">
        <f t="shared" si="347"/>
        <v>0</v>
      </c>
      <c r="AL423" s="12"/>
      <c r="AM423" s="10">
        <f>+Risultati!N422</f>
        <v>0</v>
      </c>
      <c r="AN423" s="12" t="str">
        <f t="shared" si="348"/>
        <v>0</v>
      </c>
      <c r="AO423" s="12"/>
      <c r="AP423" s="10">
        <f t="shared" si="360"/>
        <v>0</v>
      </c>
      <c r="AQ423" s="41" t="str">
        <f t="shared" si="349"/>
        <v>0</v>
      </c>
      <c r="AR423" s="12"/>
      <c r="AS423" s="10">
        <f>+Risultati!O422</f>
        <v>0</v>
      </c>
      <c r="AT423" s="12" t="str">
        <f t="shared" si="350"/>
        <v>0</v>
      </c>
      <c r="AU423" s="12"/>
      <c r="AV423" s="10">
        <f t="shared" si="361"/>
        <v>0</v>
      </c>
      <c r="AW423" s="12" t="str">
        <f t="shared" si="351"/>
        <v>0</v>
      </c>
      <c r="AX423" s="12"/>
      <c r="AY423" s="10">
        <f>+Risultati!R422+Risultati!S422</f>
        <v>0</v>
      </c>
      <c r="AZ423" s="12" t="str">
        <f t="shared" si="352"/>
        <v>0</v>
      </c>
      <c r="BA423" s="12"/>
      <c r="BB423" s="10">
        <f>+Risultati!T422</f>
        <v>0</v>
      </c>
      <c r="BC423" s="12" t="str">
        <f t="shared" si="353"/>
        <v>0</v>
      </c>
      <c r="BD423" s="12"/>
      <c r="BE423" s="10">
        <f>+Risultati!U422</f>
        <v>0</v>
      </c>
      <c r="BF423" s="12" t="str">
        <f t="shared" si="354"/>
        <v>0</v>
      </c>
      <c r="BG423" s="12"/>
      <c r="BH423" s="10">
        <f t="shared" si="362"/>
        <v>0</v>
      </c>
      <c r="BI423" s="12" t="str">
        <f t="shared" si="355"/>
        <v>0</v>
      </c>
      <c r="BK423" s="16">
        <f>IF(ISNUMBER(Risultati!X422/100),(Risultati!X422/100))</f>
        <v>0</v>
      </c>
      <c r="BL423" s="16">
        <f>IF(ISNUMBER(Risultati!Y422/100),(Risultati!Y422/100))</f>
        <v>0</v>
      </c>
      <c r="BM423" s="16">
        <f>IF(ISNUMBER(Risultati!Z422/100),(Risultati!Z422/100))</f>
        <v>0</v>
      </c>
      <c r="BN423" s="16">
        <f>IF(AND(Risultati!AY422&lt;0,calcoli!AP423&lt;0),-IF(ISNUMBER(Risultati!AA422/100),(Risultati!AA422/100)),IF(ISNUMBER(Risultati!AA422/100),(Risultati!AA422/100)))</f>
        <v>0</v>
      </c>
      <c r="BO423" s="16" t="str">
        <f t="shared" si="336"/>
        <v>0</v>
      </c>
      <c r="BP423" s="16" t="str">
        <f>IF(Risultati!AB422&gt;0,(AV423/Risultati!AB422),"0")</f>
        <v>0</v>
      </c>
      <c r="BQ423" s="16" t="str">
        <f>IF(Risultati!AG422&lt;&gt;0,(BH423/Risultati!AG422),"0")</f>
        <v>0</v>
      </c>
      <c r="BR423" s="16" t="str">
        <f t="shared" si="337"/>
        <v>0</v>
      </c>
      <c r="BS423" s="14" t="str">
        <f>IF(Risultati!AB422&gt;0,(Risultati!G422/Risultati!AB422),"0")</f>
        <v>0</v>
      </c>
      <c r="BT423" s="15" t="str">
        <f>IF(Risultati!AG422&lt;&gt;0,(Risultati!AB422/Risultati!AG422),"0")</f>
        <v>0</v>
      </c>
      <c r="BU423" s="23" t="str">
        <f>IF(AND(Risultati!G422&gt;0,(Risultati!AE422-Risultati!AF422)&gt;=0),((Risultati!AE422-Risultati!AF422)/Risultati!G422*360),"0")</f>
        <v>0</v>
      </c>
      <c r="BV423" s="21" t="str">
        <f>IF(OR(E423="abbreviato",Risultati!G422=0),"0",((Risultati!AC422+Risultati!AD422)/Risultati!G422*360))</f>
        <v>0</v>
      </c>
      <c r="BW423" s="21" t="str">
        <f>IF(OR(E423="abbreviato",Risultati!G422=0,SUM(Risultati!I422+Risultati!K422+Risultati!M422)=0),"0",(((Risultati!AH422+Risultati!AI422)/(Risultati!I422+Risultati!K422+Risultati!N422)*360)))</f>
        <v>0</v>
      </c>
      <c r="BX423" s="16" t="str">
        <f>IF(Risultati!AB422&gt;0,(+Risultati!AG422/Risultati!AB422),"0")</f>
        <v>0</v>
      </c>
      <c r="BY423" s="22" t="str">
        <f>IF(OR(E423="abbreviato",Risultati!G422=0),"0",(((Risultati!AK422-(Risultati!AL422+Risultati!AM422))/Risultati!G422)))</f>
        <v>0</v>
      </c>
      <c r="BZ423" s="16" t="str">
        <f>IF(Risultati!G422&gt;0,(Risultati!AJ422/Risultati!G422),"0")</f>
        <v>0</v>
      </c>
      <c r="CA423" s="8"/>
      <c r="CB423" s="9">
        <f>+Risultati!AP422</f>
        <v>0</v>
      </c>
      <c r="CC423" s="31" t="str">
        <f t="shared" si="363"/>
        <v>0</v>
      </c>
      <c r="CD423" s="9">
        <f>+Risultati!AQ422</f>
        <v>0</v>
      </c>
      <c r="CE423" s="31" t="str">
        <f t="shared" si="364"/>
        <v>0</v>
      </c>
      <c r="CF423" s="9">
        <f>+Risultati!AR422</f>
        <v>0</v>
      </c>
      <c r="CG423" s="31" t="str">
        <f t="shared" si="365"/>
        <v>0</v>
      </c>
      <c r="CH423" s="9">
        <f>+Risultati!AS422</f>
        <v>0</v>
      </c>
      <c r="CI423" s="31" t="str">
        <f t="shared" si="366"/>
        <v>0</v>
      </c>
      <c r="CJ423" s="9">
        <f t="shared" si="367"/>
        <v>0</v>
      </c>
      <c r="CK423" s="31" t="str">
        <f t="shared" si="368"/>
        <v>0</v>
      </c>
      <c r="CL423" s="10">
        <f>+Risultati!AE422+Risultati!AF422</f>
        <v>0</v>
      </c>
      <c r="CM423" s="31" t="str">
        <f t="shared" si="369"/>
        <v>0</v>
      </c>
      <c r="CN423" s="9">
        <f>+Risultati!AT422</f>
        <v>0</v>
      </c>
      <c r="CO423" s="31" t="str">
        <f t="shared" si="370"/>
        <v>0</v>
      </c>
      <c r="CP423" s="9">
        <f>+Risultati!AU422</f>
        <v>0</v>
      </c>
      <c r="CQ423" s="31" t="str">
        <f t="shared" si="371"/>
        <v>0</v>
      </c>
      <c r="CR423" s="9">
        <f>+Risultati!AL422</f>
        <v>0</v>
      </c>
      <c r="CS423" s="31" t="str">
        <f t="shared" si="372"/>
        <v>0</v>
      </c>
      <c r="CT423" s="9">
        <f t="shared" si="373"/>
        <v>0</v>
      </c>
      <c r="CU423" s="31" t="str">
        <f t="shared" si="374"/>
        <v>0</v>
      </c>
      <c r="CV423" s="9">
        <f>+Risultati!AX422</f>
        <v>0</v>
      </c>
      <c r="CW423" s="31" t="str">
        <f t="shared" si="375"/>
        <v>0</v>
      </c>
      <c r="CX423" s="9">
        <f t="shared" si="376"/>
        <v>0</v>
      </c>
      <c r="CY423" s="31" t="str">
        <f t="shared" si="377"/>
        <v>0</v>
      </c>
      <c r="CZ423" s="9">
        <f>+Risultati!AG422</f>
        <v>0</v>
      </c>
      <c r="DA423" s="31" t="str">
        <f t="shared" si="378"/>
        <v>0</v>
      </c>
      <c r="DB423" s="9">
        <f t="shared" si="379"/>
        <v>0</v>
      </c>
      <c r="DC423" s="31" t="str">
        <f t="shared" si="380"/>
        <v>0</v>
      </c>
      <c r="DD423" s="9">
        <f>+Risultati!AV422</f>
        <v>0</v>
      </c>
      <c r="DE423" s="31" t="str">
        <f t="shared" si="381"/>
        <v>0</v>
      </c>
      <c r="DF423" s="9">
        <f>+Risultati!AJ422</f>
        <v>0</v>
      </c>
      <c r="DG423" s="31" t="str">
        <f t="shared" si="382"/>
        <v>0</v>
      </c>
      <c r="DH423" s="9">
        <f t="shared" si="383"/>
        <v>0</v>
      </c>
      <c r="DI423" s="31" t="str">
        <f t="shared" si="384"/>
        <v>0</v>
      </c>
      <c r="DJ423" s="9">
        <f>+Risultati!AW422</f>
        <v>0</v>
      </c>
      <c r="DK423" s="31" t="str">
        <f t="shared" si="385"/>
        <v>0</v>
      </c>
      <c r="DL423" s="10">
        <f t="shared" si="356"/>
        <v>0</v>
      </c>
      <c r="DM423" s="31" t="str">
        <f t="shared" si="386"/>
        <v>0</v>
      </c>
      <c r="DO423" s="30"/>
      <c r="DP423" s="30"/>
    </row>
    <row r="424" spans="1:120" x14ac:dyDescent="0.2">
      <c r="A424" s="5"/>
      <c r="B424" s="6">
        <f>+Risultati!B423</f>
        <v>0</v>
      </c>
      <c r="C424" s="6">
        <f>+Risultati!C423</f>
        <v>0</v>
      </c>
      <c r="D424" s="26" t="str">
        <f>IF(YEAR(Risultati!D423)=1900,(MID(Risultati!$AP$1,29,4)),YEAR(Risultati!D423))</f>
        <v/>
      </c>
      <c r="E424" s="6">
        <f>+Risultati!E423</f>
        <v>0</v>
      </c>
      <c r="F424" s="8" t="e">
        <f>(LEFT(Risultati!AN423,2)&amp;"-")&amp;VLOOKUP((LEFT(Risultati!AN423,2)),ateco!$B$4:$C$93,2,FALSE)</f>
        <v>#N/A</v>
      </c>
      <c r="G424" s="8" t="str">
        <f>SUBSTITUTE((Risultati!AN423&amp;"-"&amp;Risultati!AO423),",",";")</f>
        <v>-</v>
      </c>
      <c r="I424" s="10">
        <f>+Risultati!G423</f>
        <v>0</v>
      </c>
      <c r="J424" s="11" t="str">
        <f t="shared" si="338"/>
        <v>0</v>
      </c>
      <c r="K424" s="12"/>
      <c r="L424" s="10">
        <f>+Risultati!G423+Risultati!H423</f>
        <v>0</v>
      </c>
      <c r="M424" s="11" t="str">
        <f t="shared" si="339"/>
        <v>0</v>
      </c>
      <c r="N424" s="12"/>
      <c r="O424" s="10">
        <f>+Risultati!I423+Risultati!J423</f>
        <v>0</v>
      </c>
      <c r="P424" s="11" t="str">
        <f t="shared" si="340"/>
        <v>0</v>
      </c>
      <c r="Q424" s="12"/>
      <c r="R424" s="13">
        <f t="shared" si="357"/>
        <v>0</v>
      </c>
      <c r="S424" s="11" t="str">
        <f t="shared" si="341"/>
        <v>0</v>
      </c>
      <c r="T424" s="12"/>
      <c r="U424" s="10">
        <f>+Risultati!F423-(Risultati!G423+Risultati!H423)</f>
        <v>0</v>
      </c>
      <c r="V424" s="12" t="str">
        <f t="shared" si="342"/>
        <v>0</v>
      </c>
      <c r="W424" s="12"/>
      <c r="X424" s="10">
        <f t="shared" si="358"/>
        <v>0</v>
      </c>
      <c r="Y424" s="12" t="str">
        <f t="shared" si="343"/>
        <v>0</v>
      </c>
      <c r="Z424" s="12"/>
      <c r="AA424" s="10">
        <f>+Risultati!K423</f>
        <v>0</v>
      </c>
      <c r="AB424" s="12" t="str">
        <f t="shared" si="344"/>
        <v>0</v>
      </c>
      <c r="AC424" s="12"/>
      <c r="AD424" s="10">
        <f>+Risultati!L423</f>
        <v>0</v>
      </c>
      <c r="AE424" s="12" t="str">
        <f t="shared" si="345"/>
        <v>0</v>
      </c>
      <c r="AF424" s="12"/>
      <c r="AG424" s="10">
        <f>+Risultati!M423+Risultati!P423+Risultati!Q423</f>
        <v>0</v>
      </c>
      <c r="AH424" s="12" t="str">
        <f t="shared" si="346"/>
        <v>0</v>
      </c>
      <c r="AI424" s="12"/>
      <c r="AJ424" s="13">
        <f t="shared" si="359"/>
        <v>0</v>
      </c>
      <c r="AK424" s="11" t="str">
        <f t="shared" si="347"/>
        <v>0</v>
      </c>
      <c r="AL424" s="12"/>
      <c r="AM424" s="10">
        <f>+Risultati!N423</f>
        <v>0</v>
      </c>
      <c r="AN424" s="12" t="str">
        <f t="shared" si="348"/>
        <v>0</v>
      </c>
      <c r="AO424" s="12"/>
      <c r="AP424" s="10">
        <f t="shared" si="360"/>
        <v>0</v>
      </c>
      <c r="AQ424" s="41" t="str">
        <f t="shared" si="349"/>
        <v>0</v>
      </c>
      <c r="AR424" s="12"/>
      <c r="AS424" s="10">
        <f>+Risultati!O423</f>
        <v>0</v>
      </c>
      <c r="AT424" s="12" t="str">
        <f t="shared" si="350"/>
        <v>0</v>
      </c>
      <c r="AU424" s="12"/>
      <c r="AV424" s="10">
        <f t="shared" si="361"/>
        <v>0</v>
      </c>
      <c r="AW424" s="12" t="str">
        <f t="shared" si="351"/>
        <v>0</v>
      </c>
      <c r="AX424" s="12"/>
      <c r="AY424" s="10">
        <f>+Risultati!R423+Risultati!S423</f>
        <v>0</v>
      </c>
      <c r="AZ424" s="12" t="str">
        <f t="shared" si="352"/>
        <v>0</v>
      </c>
      <c r="BA424" s="12"/>
      <c r="BB424" s="10">
        <f>+Risultati!T423</f>
        <v>0</v>
      </c>
      <c r="BC424" s="12" t="str">
        <f t="shared" si="353"/>
        <v>0</v>
      </c>
      <c r="BD424" s="12"/>
      <c r="BE424" s="10">
        <f>+Risultati!U423</f>
        <v>0</v>
      </c>
      <c r="BF424" s="12" t="str">
        <f t="shared" si="354"/>
        <v>0</v>
      </c>
      <c r="BG424" s="12"/>
      <c r="BH424" s="10">
        <f t="shared" si="362"/>
        <v>0</v>
      </c>
      <c r="BI424" s="12" t="str">
        <f t="shared" si="355"/>
        <v>0</v>
      </c>
      <c r="BK424" s="16">
        <f>IF(ISNUMBER(Risultati!X423/100),(Risultati!X423/100))</f>
        <v>0</v>
      </c>
      <c r="BL424" s="16">
        <f>IF(ISNUMBER(Risultati!Y423/100),(Risultati!Y423/100))</f>
        <v>0</v>
      </c>
      <c r="BM424" s="16">
        <f>IF(ISNUMBER(Risultati!Z423/100),(Risultati!Z423/100))</f>
        <v>0</v>
      </c>
      <c r="BN424" s="16">
        <f>IF(AND(Risultati!AY423&lt;0,calcoli!AP424&lt;0),-IF(ISNUMBER(Risultati!AA423/100),(Risultati!AA423/100)),IF(ISNUMBER(Risultati!AA423/100),(Risultati!AA423/100)))</f>
        <v>0</v>
      </c>
      <c r="BO424" s="16" t="str">
        <f t="shared" si="336"/>
        <v>0</v>
      </c>
      <c r="BP424" s="16" t="str">
        <f>IF(Risultati!AB423&gt;0,(AV424/Risultati!AB423),"0")</f>
        <v>0</v>
      </c>
      <c r="BQ424" s="16" t="str">
        <f>IF(Risultati!AG423&lt;&gt;0,(BH424/Risultati!AG423),"0")</f>
        <v>0</v>
      </c>
      <c r="BR424" s="16" t="str">
        <f t="shared" si="337"/>
        <v>0</v>
      </c>
      <c r="BS424" s="14" t="str">
        <f>IF(Risultati!AB423&gt;0,(Risultati!G423/Risultati!AB423),"0")</f>
        <v>0</v>
      </c>
      <c r="BT424" s="15" t="str">
        <f>IF(Risultati!AG423&lt;&gt;0,(Risultati!AB423/Risultati!AG423),"0")</f>
        <v>0</v>
      </c>
      <c r="BU424" s="23" t="str">
        <f>IF(AND(Risultati!G423&gt;0,(Risultati!AE423-Risultati!AF423)&gt;=0),((Risultati!AE423-Risultati!AF423)/Risultati!G423*360),"0")</f>
        <v>0</v>
      </c>
      <c r="BV424" s="21" t="str">
        <f>IF(OR(E424="abbreviato",Risultati!G423=0),"0",((Risultati!AC423+Risultati!AD423)/Risultati!G423*360))</f>
        <v>0</v>
      </c>
      <c r="BW424" s="21" t="str">
        <f>IF(OR(E424="abbreviato",Risultati!G423=0,SUM(Risultati!I423+Risultati!K423+Risultati!M423)=0),"0",(((Risultati!AH423+Risultati!AI423)/(Risultati!I423+Risultati!K423+Risultati!N423)*360)))</f>
        <v>0</v>
      </c>
      <c r="BX424" s="16" t="str">
        <f>IF(Risultati!AB423&gt;0,(+Risultati!AG423/Risultati!AB423),"0")</f>
        <v>0</v>
      </c>
      <c r="BY424" s="22" t="str">
        <f>IF(OR(E424="abbreviato",Risultati!G423=0),"0",(((Risultati!AK423-(Risultati!AL423+Risultati!AM423))/Risultati!G423)))</f>
        <v>0</v>
      </c>
      <c r="BZ424" s="16" t="str">
        <f>IF(Risultati!G423&gt;0,(Risultati!AJ423/Risultati!G423),"0")</f>
        <v>0</v>
      </c>
      <c r="CA424" s="8"/>
      <c r="CB424" s="9">
        <f>+Risultati!AP423</f>
        <v>0</v>
      </c>
      <c r="CC424" s="31" t="str">
        <f t="shared" si="363"/>
        <v>0</v>
      </c>
      <c r="CD424" s="9">
        <f>+Risultati!AQ423</f>
        <v>0</v>
      </c>
      <c r="CE424" s="31" t="str">
        <f t="shared" si="364"/>
        <v>0</v>
      </c>
      <c r="CF424" s="9">
        <f>+Risultati!AR423</f>
        <v>0</v>
      </c>
      <c r="CG424" s="31" t="str">
        <f t="shared" si="365"/>
        <v>0</v>
      </c>
      <c r="CH424" s="9">
        <f>+Risultati!AS423</f>
        <v>0</v>
      </c>
      <c r="CI424" s="31" t="str">
        <f t="shared" si="366"/>
        <v>0</v>
      </c>
      <c r="CJ424" s="9">
        <f t="shared" si="367"/>
        <v>0</v>
      </c>
      <c r="CK424" s="31" t="str">
        <f t="shared" si="368"/>
        <v>0</v>
      </c>
      <c r="CL424" s="10">
        <f>+Risultati!AE423+Risultati!AF423</f>
        <v>0</v>
      </c>
      <c r="CM424" s="31" t="str">
        <f t="shared" si="369"/>
        <v>0</v>
      </c>
      <c r="CN424" s="9">
        <f>+Risultati!AT423</f>
        <v>0</v>
      </c>
      <c r="CO424" s="31" t="str">
        <f t="shared" si="370"/>
        <v>0</v>
      </c>
      <c r="CP424" s="9">
        <f>+Risultati!AU423</f>
        <v>0</v>
      </c>
      <c r="CQ424" s="31" t="str">
        <f t="shared" si="371"/>
        <v>0</v>
      </c>
      <c r="CR424" s="9">
        <f>+Risultati!AL423</f>
        <v>0</v>
      </c>
      <c r="CS424" s="31" t="str">
        <f t="shared" si="372"/>
        <v>0</v>
      </c>
      <c r="CT424" s="9">
        <f t="shared" si="373"/>
        <v>0</v>
      </c>
      <c r="CU424" s="31" t="str">
        <f t="shared" si="374"/>
        <v>0</v>
      </c>
      <c r="CV424" s="9">
        <f>+Risultati!AX423</f>
        <v>0</v>
      </c>
      <c r="CW424" s="31" t="str">
        <f t="shared" si="375"/>
        <v>0</v>
      </c>
      <c r="CX424" s="9">
        <f t="shared" si="376"/>
        <v>0</v>
      </c>
      <c r="CY424" s="31" t="str">
        <f t="shared" si="377"/>
        <v>0</v>
      </c>
      <c r="CZ424" s="9">
        <f>+Risultati!AG423</f>
        <v>0</v>
      </c>
      <c r="DA424" s="31" t="str">
        <f t="shared" si="378"/>
        <v>0</v>
      </c>
      <c r="DB424" s="9">
        <f t="shared" si="379"/>
        <v>0</v>
      </c>
      <c r="DC424" s="31" t="str">
        <f t="shared" si="380"/>
        <v>0</v>
      </c>
      <c r="DD424" s="9">
        <f>+Risultati!AV423</f>
        <v>0</v>
      </c>
      <c r="DE424" s="31" t="str">
        <f t="shared" si="381"/>
        <v>0</v>
      </c>
      <c r="DF424" s="9">
        <f>+Risultati!AJ423</f>
        <v>0</v>
      </c>
      <c r="DG424" s="31" t="str">
        <f t="shared" si="382"/>
        <v>0</v>
      </c>
      <c r="DH424" s="9">
        <f t="shared" si="383"/>
        <v>0</v>
      </c>
      <c r="DI424" s="31" t="str">
        <f t="shared" si="384"/>
        <v>0</v>
      </c>
      <c r="DJ424" s="9">
        <f>+Risultati!AW423</f>
        <v>0</v>
      </c>
      <c r="DK424" s="31" t="str">
        <f t="shared" si="385"/>
        <v>0</v>
      </c>
      <c r="DL424" s="10">
        <f t="shared" si="356"/>
        <v>0</v>
      </c>
      <c r="DM424" s="31" t="str">
        <f t="shared" si="386"/>
        <v>0</v>
      </c>
      <c r="DO424" s="30"/>
      <c r="DP424" s="30"/>
    </row>
    <row r="425" spans="1:120" x14ac:dyDescent="0.2">
      <c r="A425" s="5"/>
      <c r="B425" s="6">
        <f>+Risultati!B424</f>
        <v>0</v>
      </c>
      <c r="C425" s="6">
        <f>+Risultati!C424</f>
        <v>0</v>
      </c>
      <c r="D425" s="26" t="str">
        <f>IF(YEAR(Risultati!D424)=1900,(MID(Risultati!$AP$1,29,4)),YEAR(Risultati!D424))</f>
        <v/>
      </c>
      <c r="E425" s="6">
        <f>+Risultati!E424</f>
        <v>0</v>
      </c>
      <c r="F425" s="8" t="e">
        <f>(LEFT(Risultati!AN424,2)&amp;"-")&amp;VLOOKUP((LEFT(Risultati!AN424,2)),ateco!$B$4:$C$93,2,FALSE)</f>
        <v>#N/A</v>
      </c>
      <c r="G425" s="8" t="str">
        <f>SUBSTITUTE((Risultati!AN424&amp;"-"&amp;Risultati!AO424),",",";")</f>
        <v>-</v>
      </c>
      <c r="I425" s="10">
        <f>+Risultati!G424</f>
        <v>0</v>
      </c>
      <c r="J425" s="11" t="str">
        <f t="shared" si="338"/>
        <v>0</v>
      </c>
      <c r="K425" s="12"/>
      <c r="L425" s="10">
        <f>+Risultati!G424+Risultati!H424</f>
        <v>0</v>
      </c>
      <c r="M425" s="11" t="str">
        <f t="shared" si="339"/>
        <v>0</v>
      </c>
      <c r="N425" s="12"/>
      <c r="O425" s="10">
        <f>+Risultati!I424+Risultati!J424</f>
        <v>0</v>
      </c>
      <c r="P425" s="11" t="str">
        <f t="shared" si="340"/>
        <v>0</v>
      </c>
      <c r="Q425" s="12"/>
      <c r="R425" s="13">
        <f t="shared" si="357"/>
        <v>0</v>
      </c>
      <c r="S425" s="11" t="str">
        <f t="shared" si="341"/>
        <v>0</v>
      </c>
      <c r="T425" s="12"/>
      <c r="U425" s="10">
        <f>+Risultati!F424-(Risultati!G424+Risultati!H424)</f>
        <v>0</v>
      </c>
      <c r="V425" s="12" t="str">
        <f t="shared" si="342"/>
        <v>0</v>
      </c>
      <c r="W425" s="12"/>
      <c r="X425" s="10">
        <f t="shared" si="358"/>
        <v>0</v>
      </c>
      <c r="Y425" s="12" t="str">
        <f t="shared" si="343"/>
        <v>0</v>
      </c>
      <c r="Z425" s="12"/>
      <c r="AA425" s="10">
        <f>+Risultati!K424</f>
        <v>0</v>
      </c>
      <c r="AB425" s="12" t="str">
        <f t="shared" si="344"/>
        <v>0</v>
      </c>
      <c r="AC425" s="12"/>
      <c r="AD425" s="10">
        <f>+Risultati!L424</f>
        <v>0</v>
      </c>
      <c r="AE425" s="12" t="str">
        <f t="shared" si="345"/>
        <v>0</v>
      </c>
      <c r="AF425" s="12"/>
      <c r="AG425" s="10">
        <f>+Risultati!M424+Risultati!P424+Risultati!Q424</f>
        <v>0</v>
      </c>
      <c r="AH425" s="12" t="str">
        <f t="shared" si="346"/>
        <v>0</v>
      </c>
      <c r="AI425" s="12"/>
      <c r="AJ425" s="13">
        <f t="shared" si="359"/>
        <v>0</v>
      </c>
      <c r="AK425" s="11" t="str">
        <f t="shared" si="347"/>
        <v>0</v>
      </c>
      <c r="AL425" s="12"/>
      <c r="AM425" s="10">
        <f>+Risultati!N424</f>
        <v>0</v>
      </c>
      <c r="AN425" s="12" t="str">
        <f t="shared" si="348"/>
        <v>0</v>
      </c>
      <c r="AO425" s="12"/>
      <c r="AP425" s="10">
        <f t="shared" si="360"/>
        <v>0</v>
      </c>
      <c r="AQ425" s="41" t="str">
        <f t="shared" si="349"/>
        <v>0</v>
      </c>
      <c r="AR425" s="12"/>
      <c r="AS425" s="10">
        <f>+Risultati!O424</f>
        <v>0</v>
      </c>
      <c r="AT425" s="12" t="str">
        <f t="shared" si="350"/>
        <v>0</v>
      </c>
      <c r="AU425" s="12"/>
      <c r="AV425" s="10">
        <f t="shared" si="361"/>
        <v>0</v>
      </c>
      <c r="AW425" s="12" t="str">
        <f t="shared" si="351"/>
        <v>0</v>
      </c>
      <c r="AX425" s="12"/>
      <c r="AY425" s="10">
        <f>+Risultati!R424+Risultati!S424</f>
        <v>0</v>
      </c>
      <c r="AZ425" s="12" t="str">
        <f t="shared" si="352"/>
        <v>0</v>
      </c>
      <c r="BA425" s="12"/>
      <c r="BB425" s="10">
        <f>+Risultati!T424</f>
        <v>0</v>
      </c>
      <c r="BC425" s="12" t="str">
        <f t="shared" si="353"/>
        <v>0</v>
      </c>
      <c r="BD425" s="12"/>
      <c r="BE425" s="10">
        <f>+Risultati!U424</f>
        <v>0</v>
      </c>
      <c r="BF425" s="12" t="str">
        <f t="shared" si="354"/>
        <v>0</v>
      </c>
      <c r="BG425" s="12"/>
      <c r="BH425" s="10">
        <f t="shared" si="362"/>
        <v>0</v>
      </c>
      <c r="BI425" s="12" t="str">
        <f t="shared" si="355"/>
        <v>0</v>
      </c>
      <c r="BK425" s="16">
        <f>IF(ISNUMBER(Risultati!X424/100),(Risultati!X424/100))</f>
        <v>0</v>
      </c>
      <c r="BL425" s="16">
        <f>IF(ISNUMBER(Risultati!Y424/100),(Risultati!Y424/100))</f>
        <v>0</v>
      </c>
      <c r="BM425" s="16">
        <f>IF(ISNUMBER(Risultati!Z424/100),(Risultati!Z424/100))</f>
        <v>0</v>
      </c>
      <c r="BN425" s="16">
        <f>IF(AND(Risultati!AY424&lt;0,calcoli!AP425&lt;0),-IF(ISNUMBER(Risultati!AA424/100),(Risultati!AA424/100)),IF(ISNUMBER(Risultati!AA424/100),(Risultati!AA424/100)))</f>
        <v>0</v>
      </c>
      <c r="BO425" s="16" t="str">
        <f t="shared" si="336"/>
        <v>0</v>
      </c>
      <c r="BP425" s="16" t="str">
        <f>IF(Risultati!AB424&gt;0,(AV425/Risultati!AB424),"0")</f>
        <v>0</v>
      </c>
      <c r="BQ425" s="16" t="str">
        <f>IF(Risultati!AG424&lt;&gt;0,(BH425/Risultati!AG424),"0")</f>
        <v>0</v>
      </c>
      <c r="BR425" s="16" t="str">
        <f t="shared" si="337"/>
        <v>0</v>
      </c>
      <c r="BS425" s="14" t="str">
        <f>IF(Risultati!AB424&gt;0,(Risultati!G424/Risultati!AB424),"0")</f>
        <v>0</v>
      </c>
      <c r="BT425" s="15" t="str">
        <f>IF(Risultati!AG424&lt;&gt;0,(Risultati!AB424/Risultati!AG424),"0")</f>
        <v>0</v>
      </c>
      <c r="BU425" s="23" t="str">
        <f>IF(AND(Risultati!G424&gt;0,(Risultati!AE424-Risultati!AF424)&gt;=0),((Risultati!AE424-Risultati!AF424)/Risultati!G424*360),"0")</f>
        <v>0</v>
      </c>
      <c r="BV425" s="21" t="str">
        <f>IF(OR(E425="abbreviato",Risultati!G424=0),"0",((Risultati!AC424+Risultati!AD424)/Risultati!G424*360))</f>
        <v>0</v>
      </c>
      <c r="BW425" s="21" t="str">
        <f>IF(OR(E425="abbreviato",Risultati!G424=0,SUM(Risultati!I424+Risultati!K424+Risultati!M424)=0),"0",(((Risultati!AH424+Risultati!AI424)/(Risultati!I424+Risultati!K424+Risultati!N424)*360)))</f>
        <v>0</v>
      </c>
      <c r="BX425" s="16" t="str">
        <f>IF(Risultati!AB424&gt;0,(+Risultati!AG424/Risultati!AB424),"0")</f>
        <v>0</v>
      </c>
      <c r="BY425" s="22" t="str">
        <f>IF(OR(E425="abbreviato",Risultati!G424=0),"0",(((Risultati!AK424-(Risultati!AL424+Risultati!AM424))/Risultati!G424)))</f>
        <v>0</v>
      </c>
      <c r="BZ425" s="16" t="str">
        <f>IF(Risultati!G424&gt;0,(Risultati!AJ424/Risultati!G424),"0")</f>
        <v>0</v>
      </c>
      <c r="CA425" s="8"/>
      <c r="CB425" s="9">
        <f>+Risultati!AP424</f>
        <v>0</v>
      </c>
      <c r="CC425" s="31" t="str">
        <f t="shared" si="363"/>
        <v>0</v>
      </c>
      <c r="CD425" s="9">
        <f>+Risultati!AQ424</f>
        <v>0</v>
      </c>
      <c r="CE425" s="31" t="str">
        <f t="shared" si="364"/>
        <v>0</v>
      </c>
      <c r="CF425" s="9">
        <f>+Risultati!AR424</f>
        <v>0</v>
      </c>
      <c r="CG425" s="31" t="str">
        <f t="shared" si="365"/>
        <v>0</v>
      </c>
      <c r="CH425" s="9">
        <f>+Risultati!AS424</f>
        <v>0</v>
      </c>
      <c r="CI425" s="31" t="str">
        <f t="shared" si="366"/>
        <v>0</v>
      </c>
      <c r="CJ425" s="9">
        <f t="shared" si="367"/>
        <v>0</v>
      </c>
      <c r="CK425" s="31" t="str">
        <f t="shared" si="368"/>
        <v>0</v>
      </c>
      <c r="CL425" s="10">
        <f>+Risultati!AE424+Risultati!AF424</f>
        <v>0</v>
      </c>
      <c r="CM425" s="31" t="str">
        <f t="shared" si="369"/>
        <v>0</v>
      </c>
      <c r="CN425" s="9">
        <f>+Risultati!AT424</f>
        <v>0</v>
      </c>
      <c r="CO425" s="31" t="str">
        <f t="shared" si="370"/>
        <v>0</v>
      </c>
      <c r="CP425" s="9">
        <f>+Risultati!AU424</f>
        <v>0</v>
      </c>
      <c r="CQ425" s="31" t="str">
        <f t="shared" si="371"/>
        <v>0</v>
      </c>
      <c r="CR425" s="9">
        <f>+Risultati!AL424</f>
        <v>0</v>
      </c>
      <c r="CS425" s="31" t="str">
        <f t="shared" si="372"/>
        <v>0</v>
      </c>
      <c r="CT425" s="9">
        <f t="shared" si="373"/>
        <v>0</v>
      </c>
      <c r="CU425" s="31" t="str">
        <f t="shared" si="374"/>
        <v>0</v>
      </c>
      <c r="CV425" s="9">
        <f>+Risultati!AX424</f>
        <v>0</v>
      </c>
      <c r="CW425" s="31" t="str">
        <f t="shared" si="375"/>
        <v>0</v>
      </c>
      <c r="CX425" s="9">
        <f t="shared" si="376"/>
        <v>0</v>
      </c>
      <c r="CY425" s="31" t="str">
        <f t="shared" si="377"/>
        <v>0</v>
      </c>
      <c r="CZ425" s="9">
        <f>+Risultati!AG424</f>
        <v>0</v>
      </c>
      <c r="DA425" s="31" t="str">
        <f t="shared" si="378"/>
        <v>0</v>
      </c>
      <c r="DB425" s="9">
        <f t="shared" si="379"/>
        <v>0</v>
      </c>
      <c r="DC425" s="31" t="str">
        <f t="shared" si="380"/>
        <v>0</v>
      </c>
      <c r="DD425" s="9">
        <f>+Risultati!AV424</f>
        <v>0</v>
      </c>
      <c r="DE425" s="31" t="str">
        <f t="shared" si="381"/>
        <v>0</v>
      </c>
      <c r="DF425" s="9">
        <f>+Risultati!AJ424</f>
        <v>0</v>
      </c>
      <c r="DG425" s="31" t="str">
        <f t="shared" si="382"/>
        <v>0</v>
      </c>
      <c r="DH425" s="9">
        <f t="shared" si="383"/>
        <v>0</v>
      </c>
      <c r="DI425" s="31" t="str">
        <f t="shared" si="384"/>
        <v>0</v>
      </c>
      <c r="DJ425" s="9">
        <f>+Risultati!AW424</f>
        <v>0</v>
      </c>
      <c r="DK425" s="31" t="str">
        <f t="shared" si="385"/>
        <v>0</v>
      </c>
      <c r="DL425" s="10">
        <f t="shared" si="356"/>
        <v>0</v>
      </c>
      <c r="DM425" s="31" t="str">
        <f t="shared" si="386"/>
        <v>0</v>
      </c>
      <c r="DO425" s="30"/>
      <c r="DP425" s="30"/>
    </row>
    <row r="426" spans="1:120" x14ac:dyDescent="0.2">
      <c r="A426" s="5"/>
      <c r="B426" s="6">
        <f>+Risultati!B425</f>
        <v>0</v>
      </c>
      <c r="C426" s="6">
        <f>+Risultati!C425</f>
        <v>0</v>
      </c>
      <c r="D426" s="26" t="str">
        <f>IF(YEAR(Risultati!D425)=1900,(MID(Risultati!$AP$1,29,4)),YEAR(Risultati!D425))</f>
        <v/>
      </c>
      <c r="E426" s="6">
        <f>+Risultati!E425</f>
        <v>0</v>
      </c>
      <c r="F426" s="8" t="e">
        <f>(LEFT(Risultati!AN425,2)&amp;"-")&amp;VLOOKUP((LEFT(Risultati!AN425,2)),ateco!$B$4:$C$93,2,FALSE)</f>
        <v>#N/A</v>
      </c>
      <c r="G426" s="8" t="str">
        <f>SUBSTITUTE((Risultati!AN425&amp;"-"&amp;Risultati!AO425),",",";")</f>
        <v>-</v>
      </c>
      <c r="I426" s="10">
        <f>+Risultati!G425</f>
        <v>0</v>
      </c>
      <c r="J426" s="11" t="str">
        <f t="shared" si="338"/>
        <v>0</v>
      </c>
      <c r="K426" s="12"/>
      <c r="L426" s="10">
        <f>+Risultati!G425+Risultati!H425</f>
        <v>0</v>
      </c>
      <c r="M426" s="11" t="str">
        <f t="shared" si="339"/>
        <v>0</v>
      </c>
      <c r="N426" s="12"/>
      <c r="O426" s="10">
        <f>+Risultati!I425+Risultati!J425</f>
        <v>0</v>
      </c>
      <c r="P426" s="11" t="str">
        <f t="shared" si="340"/>
        <v>0</v>
      </c>
      <c r="Q426" s="12"/>
      <c r="R426" s="13">
        <f t="shared" si="357"/>
        <v>0</v>
      </c>
      <c r="S426" s="11" t="str">
        <f t="shared" si="341"/>
        <v>0</v>
      </c>
      <c r="T426" s="12"/>
      <c r="U426" s="10">
        <f>+Risultati!F425-(Risultati!G425+Risultati!H425)</f>
        <v>0</v>
      </c>
      <c r="V426" s="12" t="str">
        <f t="shared" si="342"/>
        <v>0</v>
      </c>
      <c r="W426" s="12"/>
      <c r="X426" s="10">
        <f t="shared" si="358"/>
        <v>0</v>
      </c>
      <c r="Y426" s="12" t="str">
        <f t="shared" si="343"/>
        <v>0</v>
      </c>
      <c r="Z426" s="12"/>
      <c r="AA426" s="10">
        <f>+Risultati!K425</f>
        <v>0</v>
      </c>
      <c r="AB426" s="12" t="str">
        <f t="shared" si="344"/>
        <v>0</v>
      </c>
      <c r="AC426" s="12"/>
      <c r="AD426" s="10">
        <f>+Risultati!L425</f>
        <v>0</v>
      </c>
      <c r="AE426" s="12" t="str">
        <f t="shared" si="345"/>
        <v>0</v>
      </c>
      <c r="AF426" s="12"/>
      <c r="AG426" s="10">
        <f>+Risultati!M425+Risultati!P425+Risultati!Q425</f>
        <v>0</v>
      </c>
      <c r="AH426" s="12" t="str">
        <f t="shared" si="346"/>
        <v>0</v>
      </c>
      <c r="AI426" s="12"/>
      <c r="AJ426" s="13">
        <f t="shared" si="359"/>
        <v>0</v>
      </c>
      <c r="AK426" s="11" t="str">
        <f t="shared" si="347"/>
        <v>0</v>
      </c>
      <c r="AL426" s="12"/>
      <c r="AM426" s="10">
        <f>+Risultati!N425</f>
        <v>0</v>
      </c>
      <c r="AN426" s="12" t="str">
        <f t="shared" si="348"/>
        <v>0</v>
      </c>
      <c r="AO426" s="12"/>
      <c r="AP426" s="10">
        <f t="shared" si="360"/>
        <v>0</v>
      </c>
      <c r="AQ426" s="41" t="str">
        <f t="shared" si="349"/>
        <v>0</v>
      </c>
      <c r="AR426" s="12"/>
      <c r="AS426" s="10">
        <f>+Risultati!O425</f>
        <v>0</v>
      </c>
      <c r="AT426" s="12" t="str">
        <f t="shared" si="350"/>
        <v>0</v>
      </c>
      <c r="AU426" s="12"/>
      <c r="AV426" s="10">
        <f t="shared" si="361"/>
        <v>0</v>
      </c>
      <c r="AW426" s="12" t="str">
        <f t="shared" si="351"/>
        <v>0</v>
      </c>
      <c r="AX426" s="12"/>
      <c r="AY426" s="10">
        <f>+Risultati!R425+Risultati!S425</f>
        <v>0</v>
      </c>
      <c r="AZ426" s="12" t="str">
        <f t="shared" si="352"/>
        <v>0</v>
      </c>
      <c r="BA426" s="12"/>
      <c r="BB426" s="10">
        <f>+Risultati!T425</f>
        <v>0</v>
      </c>
      <c r="BC426" s="12" t="str">
        <f t="shared" si="353"/>
        <v>0</v>
      </c>
      <c r="BD426" s="12"/>
      <c r="BE426" s="10">
        <f>+Risultati!U425</f>
        <v>0</v>
      </c>
      <c r="BF426" s="12" t="str">
        <f t="shared" si="354"/>
        <v>0</v>
      </c>
      <c r="BG426" s="12"/>
      <c r="BH426" s="10">
        <f t="shared" si="362"/>
        <v>0</v>
      </c>
      <c r="BI426" s="12" t="str">
        <f t="shared" si="355"/>
        <v>0</v>
      </c>
      <c r="BK426" s="16">
        <f>IF(ISNUMBER(Risultati!X425/100),(Risultati!X425/100))</f>
        <v>0</v>
      </c>
      <c r="BL426" s="16">
        <f>IF(ISNUMBER(Risultati!Y425/100),(Risultati!Y425/100))</f>
        <v>0</v>
      </c>
      <c r="BM426" s="16">
        <f>IF(ISNUMBER(Risultati!Z425/100),(Risultati!Z425/100))</f>
        <v>0</v>
      </c>
      <c r="BN426" s="16">
        <f>IF(AND(Risultati!AY425&lt;0,calcoli!AP426&lt;0),-IF(ISNUMBER(Risultati!AA425/100),(Risultati!AA425/100)),IF(ISNUMBER(Risultati!AA425/100),(Risultati!AA425/100)))</f>
        <v>0</v>
      </c>
      <c r="BO426" s="16" t="str">
        <f t="shared" si="336"/>
        <v>0</v>
      </c>
      <c r="BP426" s="16" t="str">
        <f>IF(Risultati!AB425&gt;0,(AV426/Risultati!AB425),"0")</f>
        <v>0</v>
      </c>
      <c r="BQ426" s="16" t="str">
        <f>IF(Risultati!AG425&lt;&gt;0,(BH426/Risultati!AG425),"0")</f>
        <v>0</v>
      </c>
      <c r="BR426" s="16" t="str">
        <f t="shared" si="337"/>
        <v>0</v>
      </c>
      <c r="BS426" s="14" t="str">
        <f>IF(Risultati!AB425&gt;0,(Risultati!G425/Risultati!AB425),"0")</f>
        <v>0</v>
      </c>
      <c r="BT426" s="15" t="str">
        <f>IF(Risultati!AG425&lt;&gt;0,(Risultati!AB425/Risultati!AG425),"0")</f>
        <v>0</v>
      </c>
      <c r="BU426" s="23" t="str">
        <f>IF(AND(Risultati!G425&gt;0,(Risultati!AE425-Risultati!AF425)&gt;=0),((Risultati!AE425-Risultati!AF425)/Risultati!G425*360),"0")</f>
        <v>0</v>
      </c>
      <c r="BV426" s="21" t="str">
        <f>IF(OR(E426="abbreviato",Risultati!G425=0),"0",((Risultati!AC425+Risultati!AD425)/Risultati!G425*360))</f>
        <v>0</v>
      </c>
      <c r="BW426" s="21" t="str">
        <f>IF(OR(E426="abbreviato",Risultati!G425=0,SUM(Risultati!I425+Risultati!K425+Risultati!M425)=0),"0",(((Risultati!AH425+Risultati!AI425)/(Risultati!I425+Risultati!K425+Risultati!N425)*360)))</f>
        <v>0</v>
      </c>
      <c r="BX426" s="16" t="str">
        <f>IF(Risultati!AB425&gt;0,(+Risultati!AG425/Risultati!AB425),"0")</f>
        <v>0</v>
      </c>
      <c r="BY426" s="22" t="str">
        <f>IF(OR(E426="abbreviato",Risultati!G425=0),"0",(((Risultati!AK425-(Risultati!AL425+Risultati!AM425))/Risultati!G425)))</f>
        <v>0</v>
      </c>
      <c r="BZ426" s="16" t="str">
        <f>IF(Risultati!G425&gt;0,(Risultati!AJ425/Risultati!G425),"0")</f>
        <v>0</v>
      </c>
      <c r="CA426" s="8"/>
      <c r="CB426" s="9">
        <f>+Risultati!AP425</f>
        <v>0</v>
      </c>
      <c r="CC426" s="31" t="str">
        <f t="shared" si="363"/>
        <v>0</v>
      </c>
      <c r="CD426" s="9">
        <f>+Risultati!AQ425</f>
        <v>0</v>
      </c>
      <c r="CE426" s="31" t="str">
        <f t="shared" si="364"/>
        <v>0</v>
      </c>
      <c r="CF426" s="9">
        <f>+Risultati!AR425</f>
        <v>0</v>
      </c>
      <c r="CG426" s="31" t="str">
        <f t="shared" si="365"/>
        <v>0</v>
      </c>
      <c r="CH426" s="9">
        <f>+Risultati!AS425</f>
        <v>0</v>
      </c>
      <c r="CI426" s="31" t="str">
        <f t="shared" si="366"/>
        <v>0</v>
      </c>
      <c r="CJ426" s="9">
        <f t="shared" si="367"/>
        <v>0</v>
      </c>
      <c r="CK426" s="31" t="str">
        <f t="shared" si="368"/>
        <v>0</v>
      </c>
      <c r="CL426" s="10">
        <f>+Risultati!AE425+Risultati!AF425</f>
        <v>0</v>
      </c>
      <c r="CM426" s="31" t="str">
        <f t="shared" si="369"/>
        <v>0</v>
      </c>
      <c r="CN426" s="9">
        <f>+Risultati!AT425</f>
        <v>0</v>
      </c>
      <c r="CO426" s="31" t="str">
        <f t="shared" si="370"/>
        <v>0</v>
      </c>
      <c r="CP426" s="9">
        <f>+Risultati!AU425</f>
        <v>0</v>
      </c>
      <c r="CQ426" s="31" t="str">
        <f t="shared" si="371"/>
        <v>0</v>
      </c>
      <c r="CR426" s="9">
        <f>+Risultati!AL425</f>
        <v>0</v>
      </c>
      <c r="CS426" s="31" t="str">
        <f t="shared" si="372"/>
        <v>0</v>
      </c>
      <c r="CT426" s="9">
        <f t="shared" si="373"/>
        <v>0</v>
      </c>
      <c r="CU426" s="31" t="str">
        <f t="shared" si="374"/>
        <v>0</v>
      </c>
      <c r="CV426" s="9">
        <f>+Risultati!AX425</f>
        <v>0</v>
      </c>
      <c r="CW426" s="31" t="str">
        <f t="shared" si="375"/>
        <v>0</v>
      </c>
      <c r="CX426" s="9">
        <f t="shared" si="376"/>
        <v>0</v>
      </c>
      <c r="CY426" s="31" t="str">
        <f t="shared" si="377"/>
        <v>0</v>
      </c>
      <c r="CZ426" s="9">
        <f>+Risultati!AG425</f>
        <v>0</v>
      </c>
      <c r="DA426" s="31" t="str">
        <f t="shared" si="378"/>
        <v>0</v>
      </c>
      <c r="DB426" s="9">
        <f t="shared" si="379"/>
        <v>0</v>
      </c>
      <c r="DC426" s="31" t="str">
        <f t="shared" si="380"/>
        <v>0</v>
      </c>
      <c r="DD426" s="9">
        <f>+Risultati!AV425</f>
        <v>0</v>
      </c>
      <c r="DE426" s="31" t="str">
        <f t="shared" si="381"/>
        <v>0</v>
      </c>
      <c r="DF426" s="9">
        <f>+Risultati!AJ425</f>
        <v>0</v>
      </c>
      <c r="DG426" s="31" t="str">
        <f t="shared" si="382"/>
        <v>0</v>
      </c>
      <c r="DH426" s="9">
        <f t="shared" si="383"/>
        <v>0</v>
      </c>
      <c r="DI426" s="31" t="str">
        <f t="shared" si="384"/>
        <v>0</v>
      </c>
      <c r="DJ426" s="9">
        <f>+Risultati!AW425</f>
        <v>0</v>
      </c>
      <c r="DK426" s="31" t="str">
        <f t="shared" si="385"/>
        <v>0</v>
      </c>
      <c r="DL426" s="10">
        <f t="shared" si="356"/>
        <v>0</v>
      </c>
      <c r="DM426" s="31" t="str">
        <f t="shared" si="386"/>
        <v>0</v>
      </c>
      <c r="DO426" s="30"/>
      <c r="DP426" s="30"/>
    </row>
    <row r="427" spans="1:120" x14ac:dyDescent="0.2">
      <c r="A427" s="5"/>
      <c r="B427" s="6">
        <f>+Risultati!B426</f>
        <v>0</v>
      </c>
      <c r="C427" s="6">
        <f>+Risultati!C426</f>
        <v>0</v>
      </c>
      <c r="D427" s="26" t="str">
        <f>IF(YEAR(Risultati!D426)=1900,(MID(Risultati!$AP$1,29,4)),YEAR(Risultati!D426))</f>
        <v/>
      </c>
      <c r="E427" s="6">
        <f>+Risultati!E426</f>
        <v>0</v>
      </c>
      <c r="F427" s="8" t="e">
        <f>(LEFT(Risultati!AN426,2)&amp;"-")&amp;VLOOKUP((LEFT(Risultati!AN426,2)),ateco!$B$4:$C$93,2,FALSE)</f>
        <v>#N/A</v>
      </c>
      <c r="G427" s="8" t="str">
        <f>SUBSTITUTE((Risultati!AN426&amp;"-"&amp;Risultati!AO426),",",";")</f>
        <v>-</v>
      </c>
      <c r="I427" s="10">
        <f>+Risultati!G426</f>
        <v>0</v>
      </c>
      <c r="J427" s="11" t="str">
        <f t="shared" si="338"/>
        <v>0</v>
      </c>
      <c r="K427" s="12"/>
      <c r="L427" s="10">
        <f>+Risultati!G426+Risultati!H426</f>
        <v>0</v>
      </c>
      <c r="M427" s="11" t="str">
        <f t="shared" si="339"/>
        <v>0</v>
      </c>
      <c r="N427" s="12"/>
      <c r="O427" s="10">
        <f>+Risultati!I426+Risultati!J426</f>
        <v>0</v>
      </c>
      <c r="P427" s="11" t="str">
        <f t="shared" si="340"/>
        <v>0</v>
      </c>
      <c r="Q427" s="12"/>
      <c r="R427" s="13">
        <f t="shared" si="357"/>
        <v>0</v>
      </c>
      <c r="S427" s="11" t="str">
        <f t="shared" si="341"/>
        <v>0</v>
      </c>
      <c r="T427" s="12"/>
      <c r="U427" s="10">
        <f>+Risultati!F426-(Risultati!G426+Risultati!H426)</f>
        <v>0</v>
      </c>
      <c r="V427" s="12" t="str">
        <f t="shared" si="342"/>
        <v>0</v>
      </c>
      <c r="W427" s="12"/>
      <c r="X427" s="10">
        <f t="shared" si="358"/>
        <v>0</v>
      </c>
      <c r="Y427" s="12" t="str">
        <f t="shared" si="343"/>
        <v>0</v>
      </c>
      <c r="Z427" s="12"/>
      <c r="AA427" s="10">
        <f>+Risultati!K426</f>
        <v>0</v>
      </c>
      <c r="AB427" s="12" t="str">
        <f t="shared" si="344"/>
        <v>0</v>
      </c>
      <c r="AC427" s="12"/>
      <c r="AD427" s="10">
        <f>+Risultati!L426</f>
        <v>0</v>
      </c>
      <c r="AE427" s="12" t="str">
        <f t="shared" si="345"/>
        <v>0</v>
      </c>
      <c r="AF427" s="12"/>
      <c r="AG427" s="10">
        <f>+Risultati!M426+Risultati!P426+Risultati!Q426</f>
        <v>0</v>
      </c>
      <c r="AH427" s="12" t="str">
        <f t="shared" si="346"/>
        <v>0</v>
      </c>
      <c r="AI427" s="12"/>
      <c r="AJ427" s="13">
        <f t="shared" si="359"/>
        <v>0</v>
      </c>
      <c r="AK427" s="11" t="str">
        <f t="shared" si="347"/>
        <v>0</v>
      </c>
      <c r="AL427" s="12"/>
      <c r="AM427" s="10">
        <f>+Risultati!N426</f>
        <v>0</v>
      </c>
      <c r="AN427" s="12" t="str">
        <f t="shared" si="348"/>
        <v>0</v>
      </c>
      <c r="AO427" s="12"/>
      <c r="AP427" s="10">
        <f t="shared" si="360"/>
        <v>0</v>
      </c>
      <c r="AQ427" s="41" t="str">
        <f t="shared" si="349"/>
        <v>0</v>
      </c>
      <c r="AR427" s="12"/>
      <c r="AS427" s="10">
        <f>+Risultati!O426</f>
        <v>0</v>
      </c>
      <c r="AT427" s="12" t="str">
        <f t="shared" si="350"/>
        <v>0</v>
      </c>
      <c r="AU427" s="12"/>
      <c r="AV427" s="10">
        <f t="shared" si="361"/>
        <v>0</v>
      </c>
      <c r="AW427" s="12" t="str">
        <f t="shared" si="351"/>
        <v>0</v>
      </c>
      <c r="AX427" s="12"/>
      <c r="AY427" s="10">
        <f>+Risultati!R426+Risultati!S426</f>
        <v>0</v>
      </c>
      <c r="AZ427" s="12" t="str">
        <f t="shared" si="352"/>
        <v>0</v>
      </c>
      <c r="BA427" s="12"/>
      <c r="BB427" s="10">
        <f>+Risultati!T426</f>
        <v>0</v>
      </c>
      <c r="BC427" s="12" t="str">
        <f t="shared" si="353"/>
        <v>0</v>
      </c>
      <c r="BD427" s="12"/>
      <c r="BE427" s="10">
        <f>+Risultati!U426</f>
        <v>0</v>
      </c>
      <c r="BF427" s="12" t="str">
        <f t="shared" si="354"/>
        <v>0</v>
      </c>
      <c r="BG427" s="12"/>
      <c r="BH427" s="10">
        <f t="shared" si="362"/>
        <v>0</v>
      </c>
      <c r="BI427" s="12" t="str">
        <f t="shared" si="355"/>
        <v>0</v>
      </c>
      <c r="BK427" s="16">
        <f>IF(ISNUMBER(Risultati!X426/100),(Risultati!X426/100))</f>
        <v>0</v>
      </c>
      <c r="BL427" s="16">
        <f>IF(ISNUMBER(Risultati!Y426/100),(Risultati!Y426/100))</f>
        <v>0</v>
      </c>
      <c r="BM427" s="16">
        <f>IF(ISNUMBER(Risultati!Z426/100),(Risultati!Z426/100))</f>
        <v>0</v>
      </c>
      <c r="BN427" s="16">
        <f>IF(AND(Risultati!AY426&lt;0,calcoli!AP427&lt;0),-IF(ISNUMBER(Risultati!AA426/100),(Risultati!AA426/100)),IF(ISNUMBER(Risultati!AA426/100),(Risultati!AA426/100)))</f>
        <v>0</v>
      </c>
      <c r="BO427" s="16" t="str">
        <f t="shared" si="336"/>
        <v>0</v>
      </c>
      <c r="BP427" s="16" t="str">
        <f>IF(Risultati!AB426&gt;0,(AV427/Risultati!AB426),"0")</f>
        <v>0</v>
      </c>
      <c r="BQ427" s="16" t="str">
        <f>IF(Risultati!AG426&lt;&gt;0,(BH427/Risultati!AG426),"0")</f>
        <v>0</v>
      </c>
      <c r="BR427" s="16" t="str">
        <f t="shared" si="337"/>
        <v>0</v>
      </c>
      <c r="BS427" s="14" t="str">
        <f>IF(Risultati!AB426&gt;0,(Risultati!G426/Risultati!AB426),"0")</f>
        <v>0</v>
      </c>
      <c r="BT427" s="15" t="str">
        <f>IF(Risultati!AG426&lt;&gt;0,(Risultati!AB426/Risultati!AG426),"0")</f>
        <v>0</v>
      </c>
      <c r="BU427" s="23" t="str">
        <f>IF(AND(Risultati!G426&gt;0,(Risultati!AE426-Risultati!AF426)&gt;=0),((Risultati!AE426-Risultati!AF426)/Risultati!G426*360),"0")</f>
        <v>0</v>
      </c>
      <c r="BV427" s="21" t="str">
        <f>IF(OR(E427="abbreviato",Risultati!G426=0),"0",((Risultati!AC426+Risultati!AD426)/Risultati!G426*360))</f>
        <v>0</v>
      </c>
      <c r="BW427" s="21" t="str">
        <f>IF(OR(E427="abbreviato",Risultati!G426=0,SUM(Risultati!I426+Risultati!K426+Risultati!M426)=0),"0",(((Risultati!AH426+Risultati!AI426)/(Risultati!I426+Risultati!K426+Risultati!N426)*360)))</f>
        <v>0</v>
      </c>
      <c r="BX427" s="16" t="str">
        <f>IF(Risultati!AB426&gt;0,(+Risultati!AG426/Risultati!AB426),"0")</f>
        <v>0</v>
      </c>
      <c r="BY427" s="22" t="str">
        <f>IF(OR(E427="abbreviato",Risultati!G426=0),"0",(((Risultati!AK426-(Risultati!AL426+Risultati!AM426))/Risultati!G426)))</f>
        <v>0</v>
      </c>
      <c r="BZ427" s="16" t="str">
        <f>IF(Risultati!G426&gt;0,(Risultati!AJ426/Risultati!G426),"0")</f>
        <v>0</v>
      </c>
      <c r="CA427" s="8"/>
      <c r="CB427" s="9">
        <f>+Risultati!AP426</f>
        <v>0</v>
      </c>
      <c r="CC427" s="31" t="str">
        <f t="shared" si="363"/>
        <v>0</v>
      </c>
      <c r="CD427" s="9">
        <f>+Risultati!AQ426</f>
        <v>0</v>
      </c>
      <c r="CE427" s="31" t="str">
        <f t="shared" si="364"/>
        <v>0</v>
      </c>
      <c r="CF427" s="9">
        <f>+Risultati!AR426</f>
        <v>0</v>
      </c>
      <c r="CG427" s="31" t="str">
        <f t="shared" si="365"/>
        <v>0</v>
      </c>
      <c r="CH427" s="9">
        <f>+Risultati!AS426</f>
        <v>0</v>
      </c>
      <c r="CI427" s="31" t="str">
        <f t="shared" si="366"/>
        <v>0</v>
      </c>
      <c r="CJ427" s="9">
        <f t="shared" si="367"/>
        <v>0</v>
      </c>
      <c r="CK427" s="31" t="str">
        <f t="shared" si="368"/>
        <v>0</v>
      </c>
      <c r="CL427" s="10">
        <f>+Risultati!AE426+Risultati!AF426</f>
        <v>0</v>
      </c>
      <c r="CM427" s="31" t="str">
        <f t="shared" si="369"/>
        <v>0</v>
      </c>
      <c r="CN427" s="9">
        <f>+Risultati!AT426</f>
        <v>0</v>
      </c>
      <c r="CO427" s="31" t="str">
        <f t="shared" si="370"/>
        <v>0</v>
      </c>
      <c r="CP427" s="9">
        <f>+Risultati!AU426</f>
        <v>0</v>
      </c>
      <c r="CQ427" s="31" t="str">
        <f t="shared" si="371"/>
        <v>0</v>
      </c>
      <c r="CR427" s="9">
        <f>+Risultati!AL426</f>
        <v>0</v>
      </c>
      <c r="CS427" s="31" t="str">
        <f t="shared" si="372"/>
        <v>0</v>
      </c>
      <c r="CT427" s="9">
        <f t="shared" si="373"/>
        <v>0</v>
      </c>
      <c r="CU427" s="31" t="str">
        <f t="shared" si="374"/>
        <v>0</v>
      </c>
      <c r="CV427" s="9">
        <f>+Risultati!AX426</f>
        <v>0</v>
      </c>
      <c r="CW427" s="31" t="str">
        <f t="shared" si="375"/>
        <v>0</v>
      </c>
      <c r="CX427" s="9">
        <f t="shared" si="376"/>
        <v>0</v>
      </c>
      <c r="CY427" s="31" t="str">
        <f t="shared" si="377"/>
        <v>0</v>
      </c>
      <c r="CZ427" s="9">
        <f>+Risultati!AG426</f>
        <v>0</v>
      </c>
      <c r="DA427" s="31" t="str">
        <f t="shared" si="378"/>
        <v>0</v>
      </c>
      <c r="DB427" s="9">
        <f t="shared" si="379"/>
        <v>0</v>
      </c>
      <c r="DC427" s="31" t="str">
        <f t="shared" si="380"/>
        <v>0</v>
      </c>
      <c r="DD427" s="9">
        <f>+Risultati!AV426</f>
        <v>0</v>
      </c>
      <c r="DE427" s="31" t="str">
        <f t="shared" si="381"/>
        <v>0</v>
      </c>
      <c r="DF427" s="9">
        <f>+Risultati!AJ426</f>
        <v>0</v>
      </c>
      <c r="DG427" s="31" t="str">
        <f t="shared" si="382"/>
        <v>0</v>
      </c>
      <c r="DH427" s="9">
        <f t="shared" si="383"/>
        <v>0</v>
      </c>
      <c r="DI427" s="31" t="str">
        <f t="shared" si="384"/>
        <v>0</v>
      </c>
      <c r="DJ427" s="9">
        <f>+Risultati!AW426</f>
        <v>0</v>
      </c>
      <c r="DK427" s="31" t="str">
        <f t="shared" si="385"/>
        <v>0</v>
      </c>
      <c r="DL427" s="10">
        <f t="shared" si="356"/>
        <v>0</v>
      </c>
      <c r="DM427" s="31" t="str">
        <f t="shared" si="386"/>
        <v>0</v>
      </c>
      <c r="DO427" s="30"/>
      <c r="DP427" s="30"/>
    </row>
    <row r="428" spans="1:120" x14ac:dyDescent="0.2">
      <c r="A428" s="5"/>
      <c r="B428" s="6">
        <f>+Risultati!B427</f>
        <v>0</v>
      </c>
      <c r="C428" s="6">
        <f>+Risultati!C427</f>
        <v>0</v>
      </c>
      <c r="D428" s="26" t="str">
        <f>IF(YEAR(Risultati!D427)=1900,(MID(Risultati!$AP$1,29,4)),YEAR(Risultati!D427))</f>
        <v/>
      </c>
      <c r="E428" s="6">
        <f>+Risultati!E427</f>
        <v>0</v>
      </c>
      <c r="F428" s="8" t="e">
        <f>(LEFT(Risultati!AN427,2)&amp;"-")&amp;VLOOKUP((LEFT(Risultati!AN427,2)),ateco!$B$4:$C$93,2,FALSE)</f>
        <v>#N/A</v>
      </c>
      <c r="G428" s="8" t="str">
        <f>SUBSTITUTE((Risultati!AN427&amp;"-"&amp;Risultati!AO427),",",";")</f>
        <v>-</v>
      </c>
      <c r="I428" s="10">
        <f>+Risultati!G427</f>
        <v>0</v>
      </c>
      <c r="J428" s="11" t="str">
        <f t="shared" si="338"/>
        <v>0</v>
      </c>
      <c r="K428" s="12"/>
      <c r="L428" s="10">
        <f>+Risultati!G427+Risultati!H427</f>
        <v>0</v>
      </c>
      <c r="M428" s="11" t="str">
        <f t="shared" si="339"/>
        <v>0</v>
      </c>
      <c r="N428" s="12"/>
      <c r="O428" s="10">
        <f>+Risultati!I427+Risultati!J427</f>
        <v>0</v>
      </c>
      <c r="P428" s="11" t="str">
        <f t="shared" si="340"/>
        <v>0</v>
      </c>
      <c r="Q428" s="12"/>
      <c r="R428" s="13">
        <f t="shared" si="357"/>
        <v>0</v>
      </c>
      <c r="S428" s="11" t="str">
        <f t="shared" si="341"/>
        <v>0</v>
      </c>
      <c r="T428" s="12"/>
      <c r="U428" s="10">
        <f>+Risultati!F427-(Risultati!G427+Risultati!H427)</f>
        <v>0</v>
      </c>
      <c r="V428" s="12" t="str">
        <f t="shared" si="342"/>
        <v>0</v>
      </c>
      <c r="W428" s="12"/>
      <c r="X428" s="10">
        <f t="shared" si="358"/>
        <v>0</v>
      </c>
      <c r="Y428" s="12" t="str">
        <f t="shared" si="343"/>
        <v>0</v>
      </c>
      <c r="Z428" s="12"/>
      <c r="AA428" s="10">
        <f>+Risultati!K427</f>
        <v>0</v>
      </c>
      <c r="AB428" s="12" t="str">
        <f t="shared" si="344"/>
        <v>0</v>
      </c>
      <c r="AC428" s="12"/>
      <c r="AD428" s="10">
        <f>+Risultati!L427</f>
        <v>0</v>
      </c>
      <c r="AE428" s="12" t="str">
        <f t="shared" si="345"/>
        <v>0</v>
      </c>
      <c r="AF428" s="12"/>
      <c r="AG428" s="10">
        <f>+Risultati!M427+Risultati!P427+Risultati!Q427</f>
        <v>0</v>
      </c>
      <c r="AH428" s="12" t="str">
        <f t="shared" si="346"/>
        <v>0</v>
      </c>
      <c r="AI428" s="12"/>
      <c r="AJ428" s="13">
        <f t="shared" si="359"/>
        <v>0</v>
      </c>
      <c r="AK428" s="11" t="str">
        <f t="shared" si="347"/>
        <v>0</v>
      </c>
      <c r="AL428" s="12"/>
      <c r="AM428" s="10">
        <f>+Risultati!N427</f>
        <v>0</v>
      </c>
      <c r="AN428" s="12" t="str">
        <f t="shared" si="348"/>
        <v>0</v>
      </c>
      <c r="AO428" s="12"/>
      <c r="AP428" s="10">
        <f t="shared" si="360"/>
        <v>0</v>
      </c>
      <c r="AQ428" s="41" t="str">
        <f t="shared" si="349"/>
        <v>0</v>
      </c>
      <c r="AR428" s="12"/>
      <c r="AS428" s="10">
        <f>+Risultati!O427</f>
        <v>0</v>
      </c>
      <c r="AT428" s="12" t="str">
        <f t="shared" si="350"/>
        <v>0</v>
      </c>
      <c r="AU428" s="12"/>
      <c r="AV428" s="10">
        <f t="shared" si="361"/>
        <v>0</v>
      </c>
      <c r="AW428" s="12" t="str">
        <f t="shared" si="351"/>
        <v>0</v>
      </c>
      <c r="AX428" s="12"/>
      <c r="AY428" s="10">
        <f>+Risultati!R427+Risultati!S427</f>
        <v>0</v>
      </c>
      <c r="AZ428" s="12" t="str">
        <f t="shared" si="352"/>
        <v>0</v>
      </c>
      <c r="BA428" s="12"/>
      <c r="BB428" s="10">
        <f>+Risultati!T427</f>
        <v>0</v>
      </c>
      <c r="BC428" s="12" t="str">
        <f t="shared" si="353"/>
        <v>0</v>
      </c>
      <c r="BD428" s="12"/>
      <c r="BE428" s="10">
        <f>+Risultati!U427</f>
        <v>0</v>
      </c>
      <c r="BF428" s="12" t="str">
        <f t="shared" si="354"/>
        <v>0</v>
      </c>
      <c r="BG428" s="12"/>
      <c r="BH428" s="10">
        <f t="shared" si="362"/>
        <v>0</v>
      </c>
      <c r="BI428" s="12" t="str">
        <f t="shared" si="355"/>
        <v>0</v>
      </c>
      <c r="BK428" s="16">
        <f>IF(ISNUMBER(Risultati!X427/100),(Risultati!X427/100))</f>
        <v>0</v>
      </c>
      <c r="BL428" s="16">
        <f>IF(ISNUMBER(Risultati!Y427/100),(Risultati!Y427/100))</f>
        <v>0</v>
      </c>
      <c r="BM428" s="16">
        <f>IF(ISNUMBER(Risultati!Z427/100),(Risultati!Z427/100))</f>
        <v>0</v>
      </c>
      <c r="BN428" s="16">
        <f>IF(AND(Risultati!AY427&lt;0,calcoli!AP428&lt;0),-IF(ISNUMBER(Risultati!AA427/100),(Risultati!AA427/100)),IF(ISNUMBER(Risultati!AA427/100),(Risultati!AA427/100)))</f>
        <v>0</v>
      </c>
      <c r="BO428" s="16" t="str">
        <f t="shared" si="336"/>
        <v>0</v>
      </c>
      <c r="BP428" s="16" t="str">
        <f>IF(Risultati!AB427&gt;0,(AV428/Risultati!AB427),"0")</f>
        <v>0</v>
      </c>
      <c r="BQ428" s="16" t="str">
        <f>IF(Risultati!AG427&lt;&gt;0,(BH428/Risultati!AG427),"0")</f>
        <v>0</v>
      </c>
      <c r="BR428" s="16" t="str">
        <f t="shared" si="337"/>
        <v>0</v>
      </c>
      <c r="BS428" s="14" t="str">
        <f>IF(Risultati!AB427&gt;0,(Risultati!G427/Risultati!AB427),"0")</f>
        <v>0</v>
      </c>
      <c r="BT428" s="15" t="str">
        <f>IF(Risultati!AG427&lt;&gt;0,(Risultati!AB427/Risultati!AG427),"0")</f>
        <v>0</v>
      </c>
      <c r="BU428" s="23" t="str">
        <f>IF(AND(Risultati!G427&gt;0,(Risultati!AE427-Risultati!AF427)&gt;=0),((Risultati!AE427-Risultati!AF427)/Risultati!G427*360),"0")</f>
        <v>0</v>
      </c>
      <c r="BV428" s="21" t="str">
        <f>IF(OR(E428="abbreviato",Risultati!G427=0),"0",((Risultati!AC427+Risultati!AD427)/Risultati!G427*360))</f>
        <v>0</v>
      </c>
      <c r="BW428" s="21" t="str">
        <f>IF(OR(E428="abbreviato",Risultati!G427=0,SUM(Risultati!I427+Risultati!K427+Risultati!M427)=0),"0",(((Risultati!AH427+Risultati!AI427)/(Risultati!I427+Risultati!K427+Risultati!N427)*360)))</f>
        <v>0</v>
      </c>
      <c r="BX428" s="16" t="str">
        <f>IF(Risultati!AB427&gt;0,(+Risultati!AG427/Risultati!AB427),"0")</f>
        <v>0</v>
      </c>
      <c r="BY428" s="22" t="str">
        <f>IF(OR(E428="abbreviato",Risultati!G427=0),"0",(((Risultati!AK427-(Risultati!AL427+Risultati!AM427))/Risultati!G427)))</f>
        <v>0</v>
      </c>
      <c r="BZ428" s="16" t="str">
        <f>IF(Risultati!G427&gt;0,(Risultati!AJ427/Risultati!G427),"0")</f>
        <v>0</v>
      </c>
      <c r="CA428" s="8"/>
      <c r="CB428" s="9">
        <f>+Risultati!AP427</f>
        <v>0</v>
      </c>
      <c r="CC428" s="31" t="str">
        <f t="shared" si="363"/>
        <v>0</v>
      </c>
      <c r="CD428" s="9">
        <f>+Risultati!AQ427</f>
        <v>0</v>
      </c>
      <c r="CE428" s="31" t="str">
        <f t="shared" si="364"/>
        <v>0</v>
      </c>
      <c r="CF428" s="9">
        <f>+Risultati!AR427</f>
        <v>0</v>
      </c>
      <c r="CG428" s="31" t="str">
        <f t="shared" si="365"/>
        <v>0</v>
      </c>
      <c r="CH428" s="9">
        <f>+Risultati!AS427</f>
        <v>0</v>
      </c>
      <c r="CI428" s="31" t="str">
        <f t="shared" si="366"/>
        <v>0</v>
      </c>
      <c r="CJ428" s="9">
        <f t="shared" si="367"/>
        <v>0</v>
      </c>
      <c r="CK428" s="31" t="str">
        <f t="shared" si="368"/>
        <v>0</v>
      </c>
      <c r="CL428" s="10">
        <f>+Risultati!AE427+Risultati!AF427</f>
        <v>0</v>
      </c>
      <c r="CM428" s="31" t="str">
        <f t="shared" si="369"/>
        <v>0</v>
      </c>
      <c r="CN428" s="9">
        <f>+Risultati!AT427</f>
        <v>0</v>
      </c>
      <c r="CO428" s="31" t="str">
        <f t="shared" si="370"/>
        <v>0</v>
      </c>
      <c r="CP428" s="9">
        <f>+Risultati!AU427</f>
        <v>0</v>
      </c>
      <c r="CQ428" s="31" t="str">
        <f t="shared" si="371"/>
        <v>0</v>
      </c>
      <c r="CR428" s="9">
        <f>+Risultati!AL427</f>
        <v>0</v>
      </c>
      <c r="CS428" s="31" t="str">
        <f t="shared" si="372"/>
        <v>0</v>
      </c>
      <c r="CT428" s="9">
        <f t="shared" si="373"/>
        <v>0</v>
      </c>
      <c r="CU428" s="31" t="str">
        <f t="shared" si="374"/>
        <v>0</v>
      </c>
      <c r="CV428" s="9">
        <f>+Risultati!AX427</f>
        <v>0</v>
      </c>
      <c r="CW428" s="31" t="str">
        <f t="shared" si="375"/>
        <v>0</v>
      </c>
      <c r="CX428" s="9">
        <f t="shared" si="376"/>
        <v>0</v>
      </c>
      <c r="CY428" s="31" t="str">
        <f t="shared" si="377"/>
        <v>0</v>
      </c>
      <c r="CZ428" s="9">
        <f>+Risultati!AG427</f>
        <v>0</v>
      </c>
      <c r="DA428" s="31" t="str">
        <f t="shared" si="378"/>
        <v>0</v>
      </c>
      <c r="DB428" s="9">
        <f t="shared" si="379"/>
        <v>0</v>
      </c>
      <c r="DC428" s="31" t="str">
        <f t="shared" si="380"/>
        <v>0</v>
      </c>
      <c r="DD428" s="9">
        <f>+Risultati!AV427</f>
        <v>0</v>
      </c>
      <c r="DE428" s="31" t="str">
        <f t="shared" si="381"/>
        <v>0</v>
      </c>
      <c r="DF428" s="9">
        <f>+Risultati!AJ427</f>
        <v>0</v>
      </c>
      <c r="DG428" s="31" t="str">
        <f t="shared" si="382"/>
        <v>0</v>
      </c>
      <c r="DH428" s="9">
        <f t="shared" si="383"/>
        <v>0</v>
      </c>
      <c r="DI428" s="31" t="str">
        <f t="shared" si="384"/>
        <v>0</v>
      </c>
      <c r="DJ428" s="9">
        <f>+Risultati!AW427</f>
        <v>0</v>
      </c>
      <c r="DK428" s="31" t="str">
        <f t="shared" si="385"/>
        <v>0</v>
      </c>
      <c r="DL428" s="10">
        <f t="shared" si="356"/>
        <v>0</v>
      </c>
      <c r="DM428" s="31" t="str">
        <f t="shared" si="386"/>
        <v>0</v>
      </c>
      <c r="DO428" s="30"/>
      <c r="DP428" s="30"/>
    </row>
    <row r="429" spans="1:120" x14ac:dyDescent="0.2">
      <c r="A429" s="5"/>
      <c r="B429" s="6">
        <f>+Risultati!B428</f>
        <v>0</v>
      </c>
      <c r="C429" s="6">
        <f>+Risultati!C428</f>
        <v>0</v>
      </c>
      <c r="D429" s="26" t="str">
        <f>IF(YEAR(Risultati!D428)=1900,(MID(Risultati!$AP$1,29,4)),YEAR(Risultati!D428))</f>
        <v/>
      </c>
      <c r="E429" s="6">
        <f>+Risultati!E428</f>
        <v>0</v>
      </c>
      <c r="F429" s="8" t="e">
        <f>(LEFT(Risultati!AN428,2)&amp;"-")&amp;VLOOKUP((LEFT(Risultati!AN428,2)),ateco!$B$4:$C$93,2,FALSE)</f>
        <v>#N/A</v>
      </c>
      <c r="G429" s="8" t="str">
        <f>SUBSTITUTE((Risultati!AN428&amp;"-"&amp;Risultati!AO428),",",";")</f>
        <v>-</v>
      </c>
      <c r="I429" s="10">
        <f>+Risultati!G428</f>
        <v>0</v>
      </c>
      <c r="J429" s="11" t="str">
        <f t="shared" si="338"/>
        <v>0</v>
      </c>
      <c r="K429" s="12"/>
      <c r="L429" s="10">
        <f>+Risultati!G428+Risultati!H428</f>
        <v>0</v>
      </c>
      <c r="M429" s="11" t="str">
        <f t="shared" si="339"/>
        <v>0</v>
      </c>
      <c r="N429" s="12"/>
      <c r="O429" s="10">
        <f>+Risultati!I428+Risultati!J428</f>
        <v>0</v>
      </c>
      <c r="P429" s="11" t="str">
        <f t="shared" si="340"/>
        <v>0</v>
      </c>
      <c r="Q429" s="12"/>
      <c r="R429" s="13">
        <f t="shared" si="357"/>
        <v>0</v>
      </c>
      <c r="S429" s="11" t="str">
        <f t="shared" si="341"/>
        <v>0</v>
      </c>
      <c r="T429" s="12"/>
      <c r="U429" s="10">
        <f>+Risultati!F428-(Risultati!G428+Risultati!H428)</f>
        <v>0</v>
      </c>
      <c r="V429" s="12" t="str">
        <f t="shared" si="342"/>
        <v>0</v>
      </c>
      <c r="W429" s="12"/>
      <c r="X429" s="10">
        <f t="shared" si="358"/>
        <v>0</v>
      </c>
      <c r="Y429" s="12" t="str">
        <f t="shared" si="343"/>
        <v>0</v>
      </c>
      <c r="Z429" s="12"/>
      <c r="AA429" s="10">
        <f>+Risultati!K428</f>
        <v>0</v>
      </c>
      <c r="AB429" s="12" t="str">
        <f t="shared" si="344"/>
        <v>0</v>
      </c>
      <c r="AC429" s="12"/>
      <c r="AD429" s="10">
        <f>+Risultati!L428</f>
        <v>0</v>
      </c>
      <c r="AE429" s="12" t="str">
        <f t="shared" si="345"/>
        <v>0</v>
      </c>
      <c r="AF429" s="12"/>
      <c r="AG429" s="10">
        <f>+Risultati!M428+Risultati!P428+Risultati!Q428</f>
        <v>0</v>
      </c>
      <c r="AH429" s="12" t="str">
        <f t="shared" si="346"/>
        <v>0</v>
      </c>
      <c r="AI429" s="12"/>
      <c r="AJ429" s="13">
        <f t="shared" si="359"/>
        <v>0</v>
      </c>
      <c r="AK429" s="11" t="str">
        <f t="shared" si="347"/>
        <v>0</v>
      </c>
      <c r="AL429" s="12"/>
      <c r="AM429" s="10">
        <f>+Risultati!N428</f>
        <v>0</v>
      </c>
      <c r="AN429" s="12" t="str">
        <f t="shared" si="348"/>
        <v>0</v>
      </c>
      <c r="AO429" s="12"/>
      <c r="AP429" s="10">
        <f t="shared" si="360"/>
        <v>0</v>
      </c>
      <c r="AQ429" s="41" t="str">
        <f t="shared" si="349"/>
        <v>0</v>
      </c>
      <c r="AR429" s="12"/>
      <c r="AS429" s="10">
        <f>+Risultati!O428</f>
        <v>0</v>
      </c>
      <c r="AT429" s="12" t="str">
        <f t="shared" si="350"/>
        <v>0</v>
      </c>
      <c r="AU429" s="12"/>
      <c r="AV429" s="10">
        <f t="shared" si="361"/>
        <v>0</v>
      </c>
      <c r="AW429" s="12" t="str">
        <f t="shared" si="351"/>
        <v>0</v>
      </c>
      <c r="AX429" s="12"/>
      <c r="AY429" s="10">
        <f>+Risultati!R428+Risultati!S428</f>
        <v>0</v>
      </c>
      <c r="AZ429" s="12" t="str">
        <f t="shared" si="352"/>
        <v>0</v>
      </c>
      <c r="BA429" s="12"/>
      <c r="BB429" s="10">
        <f>+Risultati!T428</f>
        <v>0</v>
      </c>
      <c r="BC429" s="12" t="str">
        <f t="shared" si="353"/>
        <v>0</v>
      </c>
      <c r="BD429" s="12"/>
      <c r="BE429" s="10">
        <f>+Risultati!U428</f>
        <v>0</v>
      </c>
      <c r="BF429" s="12" t="str">
        <f t="shared" si="354"/>
        <v>0</v>
      </c>
      <c r="BG429" s="12"/>
      <c r="BH429" s="10">
        <f t="shared" si="362"/>
        <v>0</v>
      </c>
      <c r="BI429" s="12" t="str">
        <f t="shared" si="355"/>
        <v>0</v>
      </c>
      <c r="BK429" s="16">
        <f>IF(ISNUMBER(Risultati!X428/100),(Risultati!X428/100))</f>
        <v>0</v>
      </c>
      <c r="BL429" s="16">
        <f>IF(ISNUMBER(Risultati!Y428/100),(Risultati!Y428/100))</f>
        <v>0</v>
      </c>
      <c r="BM429" s="16">
        <f>IF(ISNUMBER(Risultati!Z428/100),(Risultati!Z428/100))</f>
        <v>0</v>
      </c>
      <c r="BN429" s="16">
        <f>IF(AND(Risultati!AY428&lt;0,calcoli!AP429&lt;0),-IF(ISNUMBER(Risultati!AA428/100),(Risultati!AA428/100)),IF(ISNUMBER(Risultati!AA428/100),(Risultati!AA428/100)))</f>
        <v>0</v>
      </c>
      <c r="BO429" s="16" t="str">
        <f t="shared" si="336"/>
        <v>0</v>
      </c>
      <c r="BP429" s="16" t="str">
        <f>IF(Risultati!AB428&gt;0,(AV429/Risultati!AB428),"0")</f>
        <v>0</v>
      </c>
      <c r="BQ429" s="16" t="str">
        <f>IF(Risultati!AG428&lt;&gt;0,(BH429/Risultati!AG428),"0")</f>
        <v>0</v>
      </c>
      <c r="BR429" s="16" t="str">
        <f t="shared" si="337"/>
        <v>0</v>
      </c>
      <c r="BS429" s="14" t="str">
        <f>IF(Risultati!AB428&gt;0,(Risultati!G428/Risultati!AB428),"0")</f>
        <v>0</v>
      </c>
      <c r="BT429" s="15" t="str">
        <f>IF(Risultati!AG428&lt;&gt;0,(Risultati!AB428/Risultati!AG428),"0")</f>
        <v>0</v>
      </c>
      <c r="BU429" s="23" t="str">
        <f>IF(AND(Risultati!G428&gt;0,(Risultati!AE428-Risultati!AF428)&gt;=0),((Risultati!AE428-Risultati!AF428)/Risultati!G428*360),"0")</f>
        <v>0</v>
      </c>
      <c r="BV429" s="21" t="str">
        <f>IF(OR(E429="abbreviato",Risultati!G428=0),"0",((Risultati!AC428+Risultati!AD428)/Risultati!G428*360))</f>
        <v>0</v>
      </c>
      <c r="BW429" s="21" t="str">
        <f>IF(OR(E429="abbreviato",Risultati!G428=0,SUM(Risultati!I428+Risultati!K428+Risultati!M428)=0),"0",(((Risultati!AH428+Risultati!AI428)/(Risultati!I428+Risultati!K428+Risultati!N428)*360)))</f>
        <v>0</v>
      </c>
      <c r="BX429" s="16" t="str">
        <f>IF(Risultati!AB428&gt;0,(+Risultati!AG428/Risultati!AB428),"0")</f>
        <v>0</v>
      </c>
      <c r="BY429" s="22" t="str">
        <f>IF(OR(E429="abbreviato",Risultati!G428=0),"0",(((Risultati!AK428-(Risultati!AL428+Risultati!AM428))/Risultati!G428)))</f>
        <v>0</v>
      </c>
      <c r="BZ429" s="16" t="str">
        <f>IF(Risultati!G428&gt;0,(Risultati!AJ428/Risultati!G428),"0")</f>
        <v>0</v>
      </c>
      <c r="CA429" s="8"/>
      <c r="CB429" s="9">
        <f>+Risultati!AP428</f>
        <v>0</v>
      </c>
      <c r="CC429" s="31" t="str">
        <f t="shared" si="363"/>
        <v>0</v>
      </c>
      <c r="CD429" s="9">
        <f>+Risultati!AQ428</f>
        <v>0</v>
      </c>
      <c r="CE429" s="31" t="str">
        <f t="shared" si="364"/>
        <v>0</v>
      </c>
      <c r="CF429" s="9">
        <f>+Risultati!AR428</f>
        <v>0</v>
      </c>
      <c r="CG429" s="31" t="str">
        <f t="shared" si="365"/>
        <v>0</v>
      </c>
      <c r="CH429" s="9">
        <f>+Risultati!AS428</f>
        <v>0</v>
      </c>
      <c r="CI429" s="31" t="str">
        <f t="shared" si="366"/>
        <v>0</v>
      </c>
      <c r="CJ429" s="9">
        <f t="shared" si="367"/>
        <v>0</v>
      </c>
      <c r="CK429" s="31" t="str">
        <f t="shared" si="368"/>
        <v>0</v>
      </c>
      <c r="CL429" s="10">
        <f>+Risultati!AE428+Risultati!AF428</f>
        <v>0</v>
      </c>
      <c r="CM429" s="31" t="str">
        <f t="shared" si="369"/>
        <v>0</v>
      </c>
      <c r="CN429" s="9">
        <f>+Risultati!AT428</f>
        <v>0</v>
      </c>
      <c r="CO429" s="31" t="str">
        <f t="shared" si="370"/>
        <v>0</v>
      </c>
      <c r="CP429" s="9">
        <f>+Risultati!AU428</f>
        <v>0</v>
      </c>
      <c r="CQ429" s="31" t="str">
        <f t="shared" si="371"/>
        <v>0</v>
      </c>
      <c r="CR429" s="9">
        <f>+Risultati!AL428</f>
        <v>0</v>
      </c>
      <c r="CS429" s="31" t="str">
        <f t="shared" si="372"/>
        <v>0</v>
      </c>
      <c r="CT429" s="9">
        <f t="shared" si="373"/>
        <v>0</v>
      </c>
      <c r="CU429" s="31" t="str">
        <f t="shared" si="374"/>
        <v>0</v>
      </c>
      <c r="CV429" s="9">
        <f>+Risultati!AX428</f>
        <v>0</v>
      </c>
      <c r="CW429" s="31" t="str">
        <f t="shared" si="375"/>
        <v>0</v>
      </c>
      <c r="CX429" s="9">
        <f t="shared" si="376"/>
        <v>0</v>
      </c>
      <c r="CY429" s="31" t="str">
        <f t="shared" si="377"/>
        <v>0</v>
      </c>
      <c r="CZ429" s="9">
        <f>+Risultati!AG428</f>
        <v>0</v>
      </c>
      <c r="DA429" s="31" t="str">
        <f t="shared" si="378"/>
        <v>0</v>
      </c>
      <c r="DB429" s="9">
        <f t="shared" si="379"/>
        <v>0</v>
      </c>
      <c r="DC429" s="31" t="str">
        <f t="shared" si="380"/>
        <v>0</v>
      </c>
      <c r="DD429" s="9">
        <f>+Risultati!AV428</f>
        <v>0</v>
      </c>
      <c r="DE429" s="31" t="str">
        <f t="shared" si="381"/>
        <v>0</v>
      </c>
      <c r="DF429" s="9">
        <f>+Risultati!AJ428</f>
        <v>0</v>
      </c>
      <c r="DG429" s="31" t="str">
        <f t="shared" si="382"/>
        <v>0</v>
      </c>
      <c r="DH429" s="9">
        <f t="shared" si="383"/>
        <v>0</v>
      </c>
      <c r="DI429" s="31" t="str">
        <f t="shared" si="384"/>
        <v>0</v>
      </c>
      <c r="DJ429" s="9">
        <f>+Risultati!AW428</f>
        <v>0</v>
      </c>
      <c r="DK429" s="31" t="str">
        <f t="shared" si="385"/>
        <v>0</v>
      </c>
      <c r="DL429" s="10">
        <f t="shared" si="356"/>
        <v>0</v>
      </c>
      <c r="DM429" s="31" t="str">
        <f t="shared" si="386"/>
        <v>0</v>
      </c>
      <c r="DO429" s="30"/>
      <c r="DP429" s="30"/>
    </row>
    <row r="430" spans="1:120" x14ac:dyDescent="0.2">
      <c r="A430" s="5"/>
      <c r="B430" s="6">
        <f>+Risultati!B429</f>
        <v>0</v>
      </c>
      <c r="C430" s="6">
        <f>+Risultati!C429</f>
        <v>0</v>
      </c>
      <c r="D430" s="26" t="str">
        <f>IF(YEAR(Risultati!D429)=1900,(MID(Risultati!$AP$1,29,4)),YEAR(Risultati!D429))</f>
        <v/>
      </c>
      <c r="E430" s="6">
        <f>+Risultati!E429</f>
        <v>0</v>
      </c>
      <c r="F430" s="8" t="e">
        <f>(LEFT(Risultati!AN429,2)&amp;"-")&amp;VLOOKUP((LEFT(Risultati!AN429,2)),ateco!$B$4:$C$93,2,FALSE)</f>
        <v>#N/A</v>
      </c>
      <c r="G430" s="8" t="str">
        <f>SUBSTITUTE((Risultati!AN429&amp;"-"&amp;Risultati!AO429),",",";")</f>
        <v>-</v>
      </c>
      <c r="I430" s="10">
        <f>+Risultati!G429</f>
        <v>0</v>
      </c>
      <c r="J430" s="11" t="str">
        <f t="shared" si="338"/>
        <v>0</v>
      </c>
      <c r="K430" s="12"/>
      <c r="L430" s="10">
        <f>+Risultati!G429+Risultati!H429</f>
        <v>0</v>
      </c>
      <c r="M430" s="11" t="str">
        <f t="shared" si="339"/>
        <v>0</v>
      </c>
      <c r="N430" s="12"/>
      <c r="O430" s="10">
        <f>+Risultati!I429+Risultati!J429</f>
        <v>0</v>
      </c>
      <c r="P430" s="11" t="str">
        <f t="shared" si="340"/>
        <v>0</v>
      </c>
      <c r="Q430" s="12"/>
      <c r="R430" s="13">
        <f t="shared" si="357"/>
        <v>0</v>
      </c>
      <c r="S430" s="11" t="str">
        <f t="shared" si="341"/>
        <v>0</v>
      </c>
      <c r="T430" s="12"/>
      <c r="U430" s="10">
        <f>+Risultati!F429-(Risultati!G429+Risultati!H429)</f>
        <v>0</v>
      </c>
      <c r="V430" s="12" t="str">
        <f t="shared" si="342"/>
        <v>0</v>
      </c>
      <c r="W430" s="12"/>
      <c r="X430" s="10">
        <f t="shared" si="358"/>
        <v>0</v>
      </c>
      <c r="Y430" s="12" t="str">
        <f t="shared" si="343"/>
        <v>0</v>
      </c>
      <c r="Z430" s="12"/>
      <c r="AA430" s="10">
        <f>+Risultati!K429</f>
        <v>0</v>
      </c>
      <c r="AB430" s="12" t="str">
        <f t="shared" si="344"/>
        <v>0</v>
      </c>
      <c r="AC430" s="12"/>
      <c r="AD430" s="10">
        <f>+Risultati!L429</f>
        <v>0</v>
      </c>
      <c r="AE430" s="12" t="str">
        <f t="shared" si="345"/>
        <v>0</v>
      </c>
      <c r="AF430" s="12"/>
      <c r="AG430" s="10">
        <f>+Risultati!M429+Risultati!P429+Risultati!Q429</f>
        <v>0</v>
      </c>
      <c r="AH430" s="12" t="str">
        <f t="shared" si="346"/>
        <v>0</v>
      </c>
      <c r="AI430" s="12"/>
      <c r="AJ430" s="13">
        <f t="shared" si="359"/>
        <v>0</v>
      </c>
      <c r="AK430" s="11" t="str">
        <f t="shared" si="347"/>
        <v>0</v>
      </c>
      <c r="AL430" s="12"/>
      <c r="AM430" s="10">
        <f>+Risultati!N429</f>
        <v>0</v>
      </c>
      <c r="AN430" s="12" t="str">
        <f t="shared" si="348"/>
        <v>0</v>
      </c>
      <c r="AO430" s="12"/>
      <c r="AP430" s="10">
        <f t="shared" si="360"/>
        <v>0</v>
      </c>
      <c r="AQ430" s="41" t="str">
        <f t="shared" si="349"/>
        <v>0</v>
      </c>
      <c r="AR430" s="12"/>
      <c r="AS430" s="10">
        <f>+Risultati!O429</f>
        <v>0</v>
      </c>
      <c r="AT430" s="12" t="str">
        <f t="shared" si="350"/>
        <v>0</v>
      </c>
      <c r="AU430" s="12"/>
      <c r="AV430" s="10">
        <f t="shared" si="361"/>
        <v>0</v>
      </c>
      <c r="AW430" s="12" t="str">
        <f t="shared" si="351"/>
        <v>0</v>
      </c>
      <c r="AX430" s="12"/>
      <c r="AY430" s="10">
        <f>+Risultati!R429+Risultati!S429</f>
        <v>0</v>
      </c>
      <c r="AZ430" s="12" t="str">
        <f t="shared" si="352"/>
        <v>0</v>
      </c>
      <c r="BA430" s="12"/>
      <c r="BB430" s="10">
        <f>+Risultati!T429</f>
        <v>0</v>
      </c>
      <c r="BC430" s="12" t="str">
        <f t="shared" si="353"/>
        <v>0</v>
      </c>
      <c r="BD430" s="12"/>
      <c r="BE430" s="10">
        <f>+Risultati!U429</f>
        <v>0</v>
      </c>
      <c r="BF430" s="12" t="str">
        <f t="shared" si="354"/>
        <v>0</v>
      </c>
      <c r="BG430" s="12"/>
      <c r="BH430" s="10">
        <f t="shared" si="362"/>
        <v>0</v>
      </c>
      <c r="BI430" s="12" t="str">
        <f t="shared" si="355"/>
        <v>0</v>
      </c>
      <c r="BK430" s="16">
        <f>IF(ISNUMBER(Risultati!X429/100),(Risultati!X429/100))</f>
        <v>0</v>
      </c>
      <c r="BL430" s="16">
        <f>IF(ISNUMBER(Risultati!Y429/100),(Risultati!Y429/100))</f>
        <v>0</v>
      </c>
      <c r="BM430" s="16">
        <f>IF(ISNUMBER(Risultati!Z429/100),(Risultati!Z429/100))</f>
        <v>0</v>
      </c>
      <c r="BN430" s="16">
        <f>IF(AND(Risultati!AY429&lt;0,calcoli!AP430&lt;0),-IF(ISNUMBER(Risultati!AA429/100),(Risultati!AA429/100)),IF(ISNUMBER(Risultati!AA429/100),(Risultati!AA429/100)))</f>
        <v>0</v>
      </c>
      <c r="BO430" s="16" t="str">
        <f t="shared" si="336"/>
        <v>0</v>
      </c>
      <c r="BP430" s="16" t="str">
        <f>IF(Risultati!AB429&gt;0,(AV430/Risultati!AB429),"0")</f>
        <v>0</v>
      </c>
      <c r="BQ430" s="16" t="str">
        <f>IF(Risultati!AG429&lt;&gt;0,(BH430/Risultati!AG429),"0")</f>
        <v>0</v>
      </c>
      <c r="BR430" s="16" t="str">
        <f t="shared" si="337"/>
        <v>0</v>
      </c>
      <c r="BS430" s="14" t="str">
        <f>IF(Risultati!AB429&gt;0,(Risultati!G429/Risultati!AB429),"0")</f>
        <v>0</v>
      </c>
      <c r="BT430" s="15" t="str">
        <f>IF(Risultati!AG429&lt;&gt;0,(Risultati!AB429/Risultati!AG429),"0")</f>
        <v>0</v>
      </c>
      <c r="BU430" s="23" t="str">
        <f>IF(AND(Risultati!G429&gt;0,(Risultati!AE429-Risultati!AF429)&gt;=0),((Risultati!AE429-Risultati!AF429)/Risultati!G429*360),"0")</f>
        <v>0</v>
      </c>
      <c r="BV430" s="21" t="str">
        <f>IF(OR(E430="abbreviato",Risultati!G429=0),"0",((Risultati!AC429+Risultati!AD429)/Risultati!G429*360))</f>
        <v>0</v>
      </c>
      <c r="BW430" s="21" t="str">
        <f>IF(OR(E430="abbreviato",Risultati!G429=0,SUM(Risultati!I429+Risultati!K429+Risultati!M429)=0),"0",(((Risultati!AH429+Risultati!AI429)/(Risultati!I429+Risultati!K429+Risultati!N429)*360)))</f>
        <v>0</v>
      </c>
      <c r="BX430" s="16" t="str">
        <f>IF(Risultati!AB429&gt;0,(+Risultati!AG429/Risultati!AB429),"0")</f>
        <v>0</v>
      </c>
      <c r="BY430" s="22" t="str">
        <f>IF(OR(E430="abbreviato",Risultati!G429=0),"0",(((Risultati!AK429-(Risultati!AL429+Risultati!AM429))/Risultati!G429)))</f>
        <v>0</v>
      </c>
      <c r="BZ430" s="16" t="str">
        <f>IF(Risultati!G429&gt;0,(Risultati!AJ429/Risultati!G429),"0")</f>
        <v>0</v>
      </c>
      <c r="CA430" s="8"/>
      <c r="CB430" s="9">
        <f>+Risultati!AP429</f>
        <v>0</v>
      </c>
      <c r="CC430" s="31" t="str">
        <f t="shared" si="363"/>
        <v>0</v>
      </c>
      <c r="CD430" s="9">
        <f>+Risultati!AQ429</f>
        <v>0</v>
      </c>
      <c r="CE430" s="31" t="str">
        <f t="shared" si="364"/>
        <v>0</v>
      </c>
      <c r="CF430" s="9">
        <f>+Risultati!AR429</f>
        <v>0</v>
      </c>
      <c r="CG430" s="31" t="str">
        <f t="shared" si="365"/>
        <v>0</v>
      </c>
      <c r="CH430" s="9">
        <f>+Risultati!AS429</f>
        <v>0</v>
      </c>
      <c r="CI430" s="31" t="str">
        <f t="shared" si="366"/>
        <v>0</v>
      </c>
      <c r="CJ430" s="9">
        <f t="shared" si="367"/>
        <v>0</v>
      </c>
      <c r="CK430" s="31" t="str">
        <f t="shared" si="368"/>
        <v>0</v>
      </c>
      <c r="CL430" s="10">
        <f>+Risultati!AE429+Risultati!AF429</f>
        <v>0</v>
      </c>
      <c r="CM430" s="31" t="str">
        <f t="shared" si="369"/>
        <v>0</v>
      </c>
      <c r="CN430" s="9">
        <f>+Risultati!AT429</f>
        <v>0</v>
      </c>
      <c r="CO430" s="31" t="str">
        <f t="shared" si="370"/>
        <v>0</v>
      </c>
      <c r="CP430" s="9">
        <f>+Risultati!AU429</f>
        <v>0</v>
      </c>
      <c r="CQ430" s="31" t="str">
        <f t="shared" si="371"/>
        <v>0</v>
      </c>
      <c r="CR430" s="9">
        <f>+Risultati!AL429</f>
        <v>0</v>
      </c>
      <c r="CS430" s="31" t="str">
        <f t="shared" si="372"/>
        <v>0</v>
      </c>
      <c r="CT430" s="9">
        <f t="shared" si="373"/>
        <v>0</v>
      </c>
      <c r="CU430" s="31" t="str">
        <f t="shared" si="374"/>
        <v>0</v>
      </c>
      <c r="CV430" s="9">
        <f>+Risultati!AX429</f>
        <v>0</v>
      </c>
      <c r="CW430" s="31" t="str">
        <f t="shared" si="375"/>
        <v>0</v>
      </c>
      <c r="CX430" s="9">
        <f t="shared" si="376"/>
        <v>0</v>
      </c>
      <c r="CY430" s="31" t="str">
        <f t="shared" si="377"/>
        <v>0</v>
      </c>
      <c r="CZ430" s="9">
        <f>+Risultati!AG429</f>
        <v>0</v>
      </c>
      <c r="DA430" s="31" t="str">
        <f t="shared" si="378"/>
        <v>0</v>
      </c>
      <c r="DB430" s="9">
        <f t="shared" si="379"/>
        <v>0</v>
      </c>
      <c r="DC430" s="31" t="str">
        <f t="shared" si="380"/>
        <v>0</v>
      </c>
      <c r="DD430" s="9">
        <f>+Risultati!AV429</f>
        <v>0</v>
      </c>
      <c r="DE430" s="31" t="str">
        <f t="shared" si="381"/>
        <v>0</v>
      </c>
      <c r="DF430" s="9">
        <f>+Risultati!AJ429</f>
        <v>0</v>
      </c>
      <c r="DG430" s="31" t="str">
        <f t="shared" si="382"/>
        <v>0</v>
      </c>
      <c r="DH430" s="9">
        <f t="shared" si="383"/>
        <v>0</v>
      </c>
      <c r="DI430" s="31" t="str">
        <f t="shared" si="384"/>
        <v>0</v>
      </c>
      <c r="DJ430" s="9">
        <f>+Risultati!AW429</f>
        <v>0</v>
      </c>
      <c r="DK430" s="31" t="str">
        <f t="shared" si="385"/>
        <v>0</v>
      </c>
      <c r="DL430" s="10">
        <f t="shared" si="356"/>
        <v>0</v>
      </c>
      <c r="DM430" s="31" t="str">
        <f t="shared" si="386"/>
        <v>0</v>
      </c>
      <c r="DO430" s="30"/>
      <c r="DP430" s="30"/>
    </row>
    <row r="431" spans="1:120" x14ac:dyDescent="0.2">
      <c r="A431" s="5"/>
      <c r="B431" s="6">
        <f>+Risultati!B430</f>
        <v>0</v>
      </c>
      <c r="C431" s="6">
        <f>+Risultati!C430</f>
        <v>0</v>
      </c>
      <c r="D431" s="26" t="str">
        <f>IF(YEAR(Risultati!D430)=1900,(MID(Risultati!$AP$1,29,4)),YEAR(Risultati!D430))</f>
        <v/>
      </c>
      <c r="E431" s="6">
        <f>+Risultati!E430</f>
        <v>0</v>
      </c>
      <c r="F431" s="8" t="e">
        <f>(LEFT(Risultati!AN430,2)&amp;"-")&amp;VLOOKUP((LEFT(Risultati!AN430,2)),ateco!$B$4:$C$93,2,FALSE)</f>
        <v>#N/A</v>
      </c>
      <c r="G431" s="8" t="str">
        <f>SUBSTITUTE((Risultati!AN430&amp;"-"&amp;Risultati!AO430),",",";")</f>
        <v>-</v>
      </c>
      <c r="I431" s="10">
        <f>+Risultati!G430</f>
        <v>0</v>
      </c>
      <c r="J431" s="11" t="str">
        <f t="shared" si="338"/>
        <v>0</v>
      </c>
      <c r="K431" s="12"/>
      <c r="L431" s="10">
        <f>+Risultati!G430+Risultati!H430</f>
        <v>0</v>
      </c>
      <c r="M431" s="11" t="str">
        <f t="shared" si="339"/>
        <v>0</v>
      </c>
      <c r="N431" s="12"/>
      <c r="O431" s="10">
        <f>+Risultati!I430+Risultati!J430</f>
        <v>0</v>
      </c>
      <c r="P431" s="11" t="str">
        <f t="shared" si="340"/>
        <v>0</v>
      </c>
      <c r="Q431" s="12"/>
      <c r="R431" s="13">
        <f t="shared" si="357"/>
        <v>0</v>
      </c>
      <c r="S431" s="11" t="str">
        <f t="shared" si="341"/>
        <v>0</v>
      </c>
      <c r="T431" s="12"/>
      <c r="U431" s="10">
        <f>+Risultati!F430-(Risultati!G430+Risultati!H430)</f>
        <v>0</v>
      </c>
      <c r="V431" s="12" t="str">
        <f t="shared" si="342"/>
        <v>0</v>
      </c>
      <c r="W431" s="12"/>
      <c r="X431" s="10">
        <f t="shared" si="358"/>
        <v>0</v>
      </c>
      <c r="Y431" s="12" t="str">
        <f t="shared" si="343"/>
        <v>0</v>
      </c>
      <c r="Z431" s="12"/>
      <c r="AA431" s="10">
        <f>+Risultati!K430</f>
        <v>0</v>
      </c>
      <c r="AB431" s="12" t="str">
        <f t="shared" si="344"/>
        <v>0</v>
      </c>
      <c r="AC431" s="12"/>
      <c r="AD431" s="10">
        <f>+Risultati!L430</f>
        <v>0</v>
      </c>
      <c r="AE431" s="12" t="str">
        <f t="shared" si="345"/>
        <v>0</v>
      </c>
      <c r="AF431" s="12"/>
      <c r="AG431" s="10">
        <f>+Risultati!M430+Risultati!P430+Risultati!Q430</f>
        <v>0</v>
      </c>
      <c r="AH431" s="12" t="str">
        <f t="shared" si="346"/>
        <v>0</v>
      </c>
      <c r="AI431" s="12"/>
      <c r="AJ431" s="13">
        <f t="shared" si="359"/>
        <v>0</v>
      </c>
      <c r="AK431" s="11" t="str">
        <f t="shared" si="347"/>
        <v>0</v>
      </c>
      <c r="AL431" s="12"/>
      <c r="AM431" s="10">
        <f>+Risultati!N430</f>
        <v>0</v>
      </c>
      <c r="AN431" s="12" t="str">
        <f t="shared" si="348"/>
        <v>0</v>
      </c>
      <c r="AO431" s="12"/>
      <c r="AP431" s="10">
        <f t="shared" si="360"/>
        <v>0</v>
      </c>
      <c r="AQ431" s="41" t="str">
        <f t="shared" si="349"/>
        <v>0</v>
      </c>
      <c r="AR431" s="12"/>
      <c r="AS431" s="10">
        <f>+Risultati!O430</f>
        <v>0</v>
      </c>
      <c r="AT431" s="12" t="str">
        <f t="shared" si="350"/>
        <v>0</v>
      </c>
      <c r="AU431" s="12"/>
      <c r="AV431" s="10">
        <f t="shared" si="361"/>
        <v>0</v>
      </c>
      <c r="AW431" s="12" t="str">
        <f t="shared" si="351"/>
        <v>0</v>
      </c>
      <c r="AX431" s="12"/>
      <c r="AY431" s="10">
        <f>+Risultati!R430+Risultati!S430</f>
        <v>0</v>
      </c>
      <c r="AZ431" s="12" t="str">
        <f t="shared" si="352"/>
        <v>0</v>
      </c>
      <c r="BA431" s="12"/>
      <c r="BB431" s="10">
        <f>+Risultati!T430</f>
        <v>0</v>
      </c>
      <c r="BC431" s="12" t="str">
        <f t="shared" si="353"/>
        <v>0</v>
      </c>
      <c r="BD431" s="12"/>
      <c r="BE431" s="10">
        <f>+Risultati!U430</f>
        <v>0</v>
      </c>
      <c r="BF431" s="12" t="str">
        <f t="shared" si="354"/>
        <v>0</v>
      </c>
      <c r="BG431" s="12"/>
      <c r="BH431" s="10">
        <f t="shared" si="362"/>
        <v>0</v>
      </c>
      <c r="BI431" s="12" t="str">
        <f t="shared" si="355"/>
        <v>0</v>
      </c>
      <c r="BK431" s="16">
        <f>IF(ISNUMBER(Risultati!X430/100),(Risultati!X430/100))</f>
        <v>0</v>
      </c>
      <c r="BL431" s="16">
        <f>IF(ISNUMBER(Risultati!Y430/100),(Risultati!Y430/100))</f>
        <v>0</v>
      </c>
      <c r="BM431" s="16">
        <f>IF(ISNUMBER(Risultati!Z430/100),(Risultati!Z430/100))</f>
        <v>0</v>
      </c>
      <c r="BN431" s="16">
        <f>IF(AND(Risultati!AY430&lt;0,calcoli!AP431&lt;0),-IF(ISNUMBER(Risultati!AA430/100),(Risultati!AA430/100)),IF(ISNUMBER(Risultati!AA430/100),(Risultati!AA430/100)))</f>
        <v>0</v>
      </c>
      <c r="BO431" s="16" t="str">
        <f t="shared" si="336"/>
        <v>0</v>
      </c>
      <c r="BP431" s="16" t="str">
        <f>IF(Risultati!AB430&gt;0,(AV431/Risultati!AB430),"0")</f>
        <v>0</v>
      </c>
      <c r="BQ431" s="16" t="str">
        <f>IF(Risultati!AG430&lt;&gt;0,(BH431/Risultati!AG430),"0")</f>
        <v>0</v>
      </c>
      <c r="BR431" s="16" t="str">
        <f t="shared" si="337"/>
        <v>0</v>
      </c>
      <c r="BS431" s="14" t="str">
        <f>IF(Risultati!AB430&gt;0,(Risultati!G430/Risultati!AB430),"0")</f>
        <v>0</v>
      </c>
      <c r="BT431" s="15" t="str">
        <f>IF(Risultati!AG430&lt;&gt;0,(Risultati!AB430/Risultati!AG430),"0")</f>
        <v>0</v>
      </c>
      <c r="BU431" s="23" t="str">
        <f>IF(AND(Risultati!G430&gt;0,(Risultati!AE430-Risultati!AF430)&gt;=0),((Risultati!AE430-Risultati!AF430)/Risultati!G430*360),"0")</f>
        <v>0</v>
      </c>
      <c r="BV431" s="21" t="str">
        <f>IF(OR(E431="abbreviato",Risultati!G430=0),"0",((Risultati!AC430+Risultati!AD430)/Risultati!G430*360))</f>
        <v>0</v>
      </c>
      <c r="BW431" s="21" t="str">
        <f>IF(OR(E431="abbreviato",Risultati!G430=0,SUM(Risultati!I430+Risultati!K430+Risultati!M430)=0),"0",(((Risultati!AH430+Risultati!AI430)/(Risultati!I430+Risultati!K430+Risultati!N430)*360)))</f>
        <v>0</v>
      </c>
      <c r="BX431" s="16" t="str">
        <f>IF(Risultati!AB430&gt;0,(+Risultati!AG430/Risultati!AB430),"0")</f>
        <v>0</v>
      </c>
      <c r="BY431" s="22" t="str">
        <f>IF(OR(E431="abbreviato",Risultati!G430=0),"0",(((Risultati!AK430-(Risultati!AL430+Risultati!AM430))/Risultati!G430)))</f>
        <v>0</v>
      </c>
      <c r="BZ431" s="16" t="str">
        <f>IF(Risultati!G430&gt;0,(Risultati!AJ430/Risultati!G430),"0")</f>
        <v>0</v>
      </c>
      <c r="CA431" s="8"/>
      <c r="CB431" s="9">
        <f>+Risultati!AP430</f>
        <v>0</v>
      </c>
      <c r="CC431" s="31" t="str">
        <f t="shared" si="363"/>
        <v>0</v>
      </c>
      <c r="CD431" s="9">
        <f>+Risultati!AQ430</f>
        <v>0</v>
      </c>
      <c r="CE431" s="31" t="str">
        <f t="shared" si="364"/>
        <v>0</v>
      </c>
      <c r="CF431" s="9">
        <f>+Risultati!AR430</f>
        <v>0</v>
      </c>
      <c r="CG431" s="31" t="str">
        <f t="shared" si="365"/>
        <v>0</v>
      </c>
      <c r="CH431" s="9">
        <f>+Risultati!AS430</f>
        <v>0</v>
      </c>
      <c r="CI431" s="31" t="str">
        <f t="shared" si="366"/>
        <v>0</v>
      </c>
      <c r="CJ431" s="9">
        <f t="shared" si="367"/>
        <v>0</v>
      </c>
      <c r="CK431" s="31" t="str">
        <f t="shared" si="368"/>
        <v>0</v>
      </c>
      <c r="CL431" s="10">
        <f>+Risultati!AE430+Risultati!AF430</f>
        <v>0</v>
      </c>
      <c r="CM431" s="31" t="str">
        <f t="shared" si="369"/>
        <v>0</v>
      </c>
      <c r="CN431" s="9">
        <f>+Risultati!AT430</f>
        <v>0</v>
      </c>
      <c r="CO431" s="31" t="str">
        <f t="shared" si="370"/>
        <v>0</v>
      </c>
      <c r="CP431" s="9">
        <f>+Risultati!AU430</f>
        <v>0</v>
      </c>
      <c r="CQ431" s="31" t="str">
        <f t="shared" si="371"/>
        <v>0</v>
      </c>
      <c r="CR431" s="9">
        <f>+Risultati!AL430</f>
        <v>0</v>
      </c>
      <c r="CS431" s="31" t="str">
        <f t="shared" si="372"/>
        <v>0</v>
      </c>
      <c r="CT431" s="9">
        <f t="shared" si="373"/>
        <v>0</v>
      </c>
      <c r="CU431" s="31" t="str">
        <f t="shared" si="374"/>
        <v>0</v>
      </c>
      <c r="CV431" s="9">
        <f>+Risultati!AX430</f>
        <v>0</v>
      </c>
      <c r="CW431" s="31" t="str">
        <f t="shared" si="375"/>
        <v>0</v>
      </c>
      <c r="CX431" s="9">
        <f t="shared" si="376"/>
        <v>0</v>
      </c>
      <c r="CY431" s="31" t="str">
        <f t="shared" si="377"/>
        <v>0</v>
      </c>
      <c r="CZ431" s="9">
        <f>+Risultati!AG430</f>
        <v>0</v>
      </c>
      <c r="DA431" s="31" t="str">
        <f t="shared" si="378"/>
        <v>0</v>
      </c>
      <c r="DB431" s="9">
        <f t="shared" si="379"/>
        <v>0</v>
      </c>
      <c r="DC431" s="31" t="str">
        <f t="shared" si="380"/>
        <v>0</v>
      </c>
      <c r="DD431" s="9">
        <f>+Risultati!AV430</f>
        <v>0</v>
      </c>
      <c r="DE431" s="31" t="str">
        <f t="shared" si="381"/>
        <v>0</v>
      </c>
      <c r="DF431" s="9">
        <f>+Risultati!AJ430</f>
        <v>0</v>
      </c>
      <c r="DG431" s="31" t="str">
        <f t="shared" si="382"/>
        <v>0</v>
      </c>
      <c r="DH431" s="9">
        <f t="shared" si="383"/>
        <v>0</v>
      </c>
      <c r="DI431" s="31" t="str">
        <f t="shared" si="384"/>
        <v>0</v>
      </c>
      <c r="DJ431" s="9">
        <f>+Risultati!AW430</f>
        <v>0</v>
      </c>
      <c r="DK431" s="31" t="str">
        <f t="shared" si="385"/>
        <v>0</v>
      </c>
      <c r="DL431" s="10">
        <f t="shared" si="356"/>
        <v>0</v>
      </c>
      <c r="DM431" s="31" t="str">
        <f t="shared" si="386"/>
        <v>0</v>
      </c>
      <c r="DO431" s="30"/>
      <c r="DP431" s="30"/>
    </row>
    <row r="432" spans="1:120" x14ac:dyDescent="0.2">
      <c r="A432" s="5"/>
      <c r="B432" s="6">
        <f>+Risultati!B431</f>
        <v>0</v>
      </c>
      <c r="C432" s="6">
        <f>+Risultati!C431</f>
        <v>0</v>
      </c>
      <c r="D432" s="26" t="str">
        <f>IF(YEAR(Risultati!D431)=1900,(MID(Risultati!$AP$1,29,4)),YEAR(Risultati!D431))</f>
        <v/>
      </c>
      <c r="E432" s="6">
        <f>+Risultati!E431</f>
        <v>0</v>
      </c>
      <c r="F432" s="8" t="e">
        <f>(LEFT(Risultati!AN431,2)&amp;"-")&amp;VLOOKUP((LEFT(Risultati!AN431,2)),ateco!$B$4:$C$93,2,FALSE)</f>
        <v>#N/A</v>
      </c>
      <c r="G432" s="8" t="str">
        <f>SUBSTITUTE((Risultati!AN431&amp;"-"&amp;Risultati!AO431),",",";")</f>
        <v>-</v>
      </c>
      <c r="I432" s="10">
        <f>+Risultati!G431</f>
        <v>0</v>
      </c>
      <c r="J432" s="11" t="str">
        <f t="shared" si="338"/>
        <v>0</v>
      </c>
      <c r="K432" s="12"/>
      <c r="L432" s="10">
        <f>+Risultati!G431+Risultati!H431</f>
        <v>0</v>
      </c>
      <c r="M432" s="11" t="str">
        <f t="shared" si="339"/>
        <v>0</v>
      </c>
      <c r="N432" s="12"/>
      <c r="O432" s="10">
        <f>+Risultati!I431+Risultati!J431</f>
        <v>0</v>
      </c>
      <c r="P432" s="11" t="str">
        <f t="shared" si="340"/>
        <v>0</v>
      </c>
      <c r="Q432" s="12"/>
      <c r="R432" s="13">
        <f t="shared" si="357"/>
        <v>0</v>
      </c>
      <c r="S432" s="11" t="str">
        <f t="shared" si="341"/>
        <v>0</v>
      </c>
      <c r="T432" s="12"/>
      <c r="U432" s="10">
        <f>+Risultati!F431-(Risultati!G431+Risultati!H431)</f>
        <v>0</v>
      </c>
      <c r="V432" s="12" t="str">
        <f t="shared" si="342"/>
        <v>0</v>
      </c>
      <c r="W432" s="12"/>
      <c r="X432" s="10">
        <f t="shared" si="358"/>
        <v>0</v>
      </c>
      <c r="Y432" s="12" t="str">
        <f t="shared" si="343"/>
        <v>0</v>
      </c>
      <c r="Z432" s="12"/>
      <c r="AA432" s="10">
        <f>+Risultati!K431</f>
        <v>0</v>
      </c>
      <c r="AB432" s="12" t="str">
        <f t="shared" si="344"/>
        <v>0</v>
      </c>
      <c r="AC432" s="12"/>
      <c r="AD432" s="10">
        <f>+Risultati!L431</f>
        <v>0</v>
      </c>
      <c r="AE432" s="12" t="str">
        <f t="shared" si="345"/>
        <v>0</v>
      </c>
      <c r="AF432" s="12"/>
      <c r="AG432" s="10">
        <f>+Risultati!M431+Risultati!P431+Risultati!Q431</f>
        <v>0</v>
      </c>
      <c r="AH432" s="12" t="str">
        <f t="shared" si="346"/>
        <v>0</v>
      </c>
      <c r="AI432" s="12"/>
      <c r="AJ432" s="13">
        <f t="shared" si="359"/>
        <v>0</v>
      </c>
      <c r="AK432" s="11" t="str">
        <f t="shared" si="347"/>
        <v>0</v>
      </c>
      <c r="AL432" s="12"/>
      <c r="AM432" s="10">
        <f>+Risultati!N431</f>
        <v>0</v>
      </c>
      <c r="AN432" s="12" t="str">
        <f t="shared" si="348"/>
        <v>0</v>
      </c>
      <c r="AO432" s="12"/>
      <c r="AP432" s="10">
        <f t="shared" si="360"/>
        <v>0</v>
      </c>
      <c r="AQ432" s="41" t="str">
        <f t="shared" si="349"/>
        <v>0</v>
      </c>
      <c r="AR432" s="12"/>
      <c r="AS432" s="10">
        <f>+Risultati!O431</f>
        <v>0</v>
      </c>
      <c r="AT432" s="12" t="str">
        <f t="shared" si="350"/>
        <v>0</v>
      </c>
      <c r="AU432" s="12"/>
      <c r="AV432" s="10">
        <f t="shared" si="361"/>
        <v>0</v>
      </c>
      <c r="AW432" s="12" t="str">
        <f t="shared" si="351"/>
        <v>0</v>
      </c>
      <c r="AX432" s="12"/>
      <c r="AY432" s="10">
        <f>+Risultati!R431+Risultati!S431</f>
        <v>0</v>
      </c>
      <c r="AZ432" s="12" t="str">
        <f t="shared" si="352"/>
        <v>0</v>
      </c>
      <c r="BA432" s="12"/>
      <c r="BB432" s="10">
        <f>+Risultati!T431</f>
        <v>0</v>
      </c>
      <c r="BC432" s="12" t="str">
        <f t="shared" si="353"/>
        <v>0</v>
      </c>
      <c r="BD432" s="12"/>
      <c r="BE432" s="10">
        <f>+Risultati!U431</f>
        <v>0</v>
      </c>
      <c r="BF432" s="12" t="str">
        <f t="shared" si="354"/>
        <v>0</v>
      </c>
      <c r="BG432" s="12"/>
      <c r="BH432" s="10">
        <f t="shared" si="362"/>
        <v>0</v>
      </c>
      <c r="BI432" s="12" t="str">
        <f t="shared" si="355"/>
        <v>0</v>
      </c>
      <c r="BK432" s="16">
        <f>IF(ISNUMBER(Risultati!X431/100),(Risultati!X431/100))</f>
        <v>0</v>
      </c>
      <c r="BL432" s="16">
        <f>IF(ISNUMBER(Risultati!Y431/100),(Risultati!Y431/100))</f>
        <v>0</v>
      </c>
      <c r="BM432" s="16">
        <f>IF(ISNUMBER(Risultati!Z431/100),(Risultati!Z431/100))</f>
        <v>0</v>
      </c>
      <c r="BN432" s="16">
        <f>IF(AND(Risultati!AY431&lt;0,calcoli!AP432&lt;0),-IF(ISNUMBER(Risultati!AA431/100),(Risultati!AA431/100)),IF(ISNUMBER(Risultati!AA431/100),(Risultati!AA431/100)))</f>
        <v>0</v>
      </c>
      <c r="BO432" s="16" t="str">
        <f t="shared" si="336"/>
        <v>0</v>
      </c>
      <c r="BP432" s="16" t="str">
        <f>IF(Risultati!AB431&gt;0,(AV432/Risultati!AB431),"0")</f>
        <v>0</v>
      </c>
      <c r="BQ432" s="16" t="str">
        <f>IF(Risultati!AG431&lt;&gt;0,(BH432/Risultati!AG431),"0")</f>
        <v>0</v>
      </c>
      <c r="BR432" s="16" t="str">
        <f t="shared" si="337"/>
        <v>0</v>
      </c>
      <c r="BS432" s="14" t="str">
        <f>IF(Risultati!AB431&gt;0,(Risultati!G431/Risultati!AB431),"0")</f>
        <v>0</v>
      </c>
      <c r="BT432" s="15" t="str">
        <f>IF(Risultati!AG431&lt;&gt;0,(Risultati!AB431/Risultati!AG431),"0")</f>
        <v>0</v>
      </c>
      <c r="BU432" s="23" t="str">
        <f>IF(AND(Risultati!G431&gt;0,(Risultati!AE431-Risultati!AF431)&gt;=0),((Risultati!AE431-Risultati!AF431)/Risultati!G431*360),"0")</f>
        <v>0</v>
      </c>
      <c r="BV432" s="21" t="str">
        <f>IF(OR(E432="abbreviato",Risultati!G431=0),"0",((Risultati!AC431+Risultati!AD431)/Risultati!G431*360))</f>
        <v>0</v>
      </c>
      <c r="BW432" s="21" t="str">
        <f>IF(OR(E432="abbreviato",Risultati!G431=0,SUM(Risultati!I431+Risultati!K431+Risultati!M431)=0),"0",(((Risultati!AH431+Risultati!AI431)/(Risultati!I431+Risultati!K431+Risultati!N431)*360)))</f>
        <v>0</v>
      </c>
      <c r="BX432" s="16" t="str">
        <f>IF(Risultati!AB431&gt;0,(+Risultati!AG431/Risultati!AB431),"0")</f>
        <v>0</v>
      </c>
      <c r="BY432" s="22" t="str">
        <f>IF(OR(E432="abbreviato",Risultati!G431=0),"0",(((Risultati!AK431-(Risultati!AL431+Risultati!AM431))/Risultati!G431)))</f>
        <v>0</v>
      </c>
      <c r="BZ432" s="16" t="str">
        <f>IF(Risultati!G431&gt;0,(Risultati!AJ431/Risultati!G431),"0")</f>
        <v>0</v>
      </c>
      <c r="CA432" s="8"/>
      <c r="CB432" s="9">
        <f>+Risultati!AP431</f>
        <v>0</v>
      </c>
      <c r="CC432" s="31" t="str">
        <f t="shared" si="363"/>
        <v>0</v>
      </c>
      <c r="CD432" s="9">
        <f>+Risultati!AQ431</f>
        <v>0</v>
      </c>
      <c r="CE432" s="31" t="str">
        <f t="shared" si="364"/>
        <v>0</v>
      </c>
      <c r="CF432" s="9">
        <f>+Risultati!AR431</f>
        <v>0</v>
      </c>
      <c r="CG432" s="31" t="str">
        <f t="shared" si="365"/>
        <v>0</v>
      </c>
      <c r="CH432" s="9">
        <f>+Risultati!AS431</f>
        <v>0</v>
      </c>
      <c r="CI432" s="31" t="str">
        <f t="shared" si="366"/>
        <v>0</v>
      </c>
      <c r="CJ432" s="9">
        <f t="shared" si="367"/>
        <v>0</v>
      </c>
      <c r="CK432" s="31" t="str">
        <f t="shared" si="368"/>
        <v>0</v>
      </c>
      <c r="CL432" s="10">
        <f>+Risultati!AE431+Risultati!AF431</f>
        <v>0</v>
      </c>
      <c r="CM432" s="31" t="str">
        <f t="shared" si="369"/>
        <v>0</v>
      </c>
      <c r="CN432" s="9">
        <f>+Risultati!AT431</f>
        <v>0</v>
      </c>
      <c r="CO432" s="31" t="str">
        <f t="shared" si="370"/>
        <v>0</v>
      </c>
      <c r="CP432" s="9">
        <f>+Risultati!AU431</f>
        <v>0</v>
      </c>
      <c r="CQ432" s="31" t="str">
        <f t="shared" si="371"/>
        <v>0</v>
      </c>
      <c r="CR432" s="9">
        <f>+Risultati!AL431</f>
        <v>0</v>
      </c>
      <c r="CS432" s="31" t="str">
        <f t="shared" si="372"/>
        <v>0</v>
      </c>
      <c r="CT432" s="9">
        <f t="shared" si="373"/>
        <v>0</v>
      </c>
      <c r="CU432" s="31" t="str">
        <f t="shared" si="374"/>
        <v>0</v>
      </c>
      <c r="CV432" s="9">
        <f>+Risultati!AX431</f>
        <v>0</v>
      </c>
      <c r="CW432" s="31" t="str">
        <f t="shared" si="375"/>
        <v>0</v>
      </c>
      <c r="CX432" s="9">
        <f t="shared" si="376"/>
        <v>0</v>
      </c>
      <c r="CY432" s="31" t="str">
        <f t="shared" si="377"/>
        <v>0</v>
      </c>
      <c r="CZ432" s="9">
        <f>+Risultati!AG431</f>
        <v>0</v>
      </c>
      <c r="DA432" s="31" t="str">
        <f t="shared" si="378"/>
        <v>0</v>
      </c>
      <c r="DB432" s="9">
        <f t="shared" si="379"/>
        <v>0</v>
      </c>
      <c r="DC432" s="31" t="str">
        <f t="shared" si="380"/>
        <v>0</v>
      </c>
      <c r="DD432" s="9">
        <f>+Risultati!AV431</f>
        <v>0</v>
      </c>
      <c r="DE432" s="31" t="str">
        <f t="shared" si="381"/>
        <v>0</v>
      </c>
      <c r="DF432" s="9">
        <f>+Risultati!AJ431</f>
        <v>0</v>
      </c>
      <c r="DG432" s="31" t="str">
        <f t="shared" si="382"/>
        <v>0</v>
      </c>
      <c r="DH432" s="9">
        <f t="shared" si="383"/>
        <v>0</v>
      </c>
      <c r="DI432" s="31" t="str">
        <f t="shared" si="384"/>
        <v>0</v>
      </c>
      <c r="DJ432" s="9">
        <f>+Risultati!AW431</f>
        <v>0</v>
      </c>
      <c r="DK432" s="31" t="str">
        <f t="shared" si="385"/>
        <v>0</v>
      </c>
      <c r="DL432" s="10">
        <f t="shared" si="356"/>
        <v>0</v>
      </c>
      <c r="DM432" s="31" t="str">
        <f t="shared" si="386"/>
        <v>0</v>
      </c>
      <c r="DO432" s="30"/>
      <c r="DP432" s="30"/>
    </row>
    <row r="433" spans="1:120" x14ac:dyDescent="0.2">
      <c r="A433" s="5"/>
      <c r="B433" s="6">
        <f>+Risultati!B432</f>
        <v>0</v>
      </c>
      <c r="C433" s="6">
        <f>+Risultati!C432</f>
        <v>0</v>
      </c>
      <c r="D433" s="26" t="str">
        <f>IF(YEAR(Risultati!D432)=1900,(MID(Risultati!$AP$1,29,4)),YEAR(Risultati!D432))</f>
        <v/>
      </c>
      <c r="E433" s="6">
        <f>+Risultati!E432</f>
        <v>0</v>
      </c>
      <c r="F433" s="8" t="e">
        <f>(LEFT(Risultati!AN432,2)&amp;"-")&amp;VLOOKUP((LEFT(Risultati!AN432,2)),ateco!$B$4:$C$93,2,FALSE)</f>
        <v>#N/A</v>
      </c>
      <c r="G433" s="8" t="str">
        <f>SUBSTITUTE((Risultati!AN432&amp;"-"&amp;Risultati!AO432),",",";")</f>
        <v>-</v>
      </c>
      <c r="I433" s="10">
        <f>+Risultati!G432</f>
        <v>0</v>
      </c>
      <c r="J433" s="11" t="str">
        <f t="shared" si="338"/>
        <v>0</v>
      </c>
      <c r="K433" s="12"/>
      <c r="L433" s="10">
        <f>+Risultati!G432+Risultati!H432</f>
        <v>0</v>
      </c>
      <c r="M433" s="11" t="str">
        <f t="shared" si="339"/>
        <v>0</v>
      </c>
      <c r="N433" s="12"/>
      <c r="O433" s="10">
        <f>+Risultati!I432+Risultati!J432</f>
        <v>0</v>
      </c>
      <c r="P433" s="11" t="str">
        <f t="shared" si="340"/>
        <v>0</v>
      </c>
      <c r="Q433" s="12"/>
      <c r="R433" s="13">
        <f t="shared" si="357"/>
        <v>0</v>
      </c>
      <c r="S433" s="11" t="str">
        <f t="shared" si="341"/>
        <v>0</v>
      </c>
      <c r="T433" s="12"/>
      <c r="U433" s="10">
        <f>+Risultati!F432-(Risultati!G432+Risultati!H432)</f>
        <v>0</v>
      </c>
      <c r="V433" s="12" t="str">
        <f t="shared" si="342"/>
        <v>0</v>
      </c>
      <c r="W433" s="12"/>
      <c r="X433" s="10">
        <f t="shared" si="358"/>
        <v>0</v>
      </c>
      <c r="Y433" s="12" t="str">
        <f t="shared" si="343"/>
        <v>0</v>
      </c>
      <c r="Z433" s="12"/>
      <c r="AA433" s="10">
        <f>+Risultati!K432</f>
        <v>0</v>
      </c>
      <c r="AB433" s="12" t="str">
        <f t="shared" si="344"/>
        <v>0</v>
      </c>
      <c r="AC433" s="12"/>
      <c r="AD433" s="10">
        <f>+Risultati!L432</f>
        <v>0</v>
      </c>
      <c r="AE433" s="12" t="str">
        <f t="shared" si="345"/>
        <v>0</v>
      </c>
      <c r="AF433" s="12"/>
      <c r="AG433" s="10">
        <f>+Risultati!M432+Risultati!P432+Risultati!Q432</f>
        <v>0</v>
      </c>
      <c r="AH433" s="12" t="str">
        <f t="shared" si="346"/>
        <v>0</v>
      </c>
      <c r="AI433" s="12"/>
      <c r="AJ433" s="13">
        <f t="shared" si="359"/>
        <v>0</v>
      </c>
      <c r="AK433" s="11" t="str">
        <f t="shared" si="347"/>
        <v>0</v>
      </c>
      <c r="AL433" s="12"/>
      <c r="AM433" s="10">
        <f>+Risultati!N432</f>
        <v>0</v>
      </c>
      <c r="AN433" s="12" t="str">
        <f t="shared" si="348"/>
        <v>0</v>
      </c>
      <c r="AO433" s="12"/>
      <c r="AP433" s="10">
        <f t="shared" si="360"/>
        <v>0</v>
      </c>
      <c r="AQ433" s="41" t="str">
        <f t="shared" si="349"/>
        <v>0</v>
      </c>
      <c r="AR433" s="12"/>
      <c r="AS433" s="10">
        <f>+Risultati!O432</f>
        <v>0</v>
      </c>
      <c r="AT433" s="12" t="str">
        <f t="shared" si="350"/>
        <v>0</v>
      </c>
      <c r="AU433" s="12"/>
      <c r="AV433" s="10">
        <f t="shared" si="361"/>
        <v>0</v>
      </c>
      <c r="AW433" s="12" t="str">
        <f t="shared" si="351"/>
        <v>0</v>
      </c>
      <c r="AX433" s="12"/>
      <c r="AY433" s="10">
        <f>+Risultati!R432+Risultati!S432</f>
        <v>0</v>
      </c>
      <c r="AZ433" s="12" t="str">
        <f t="shared" si="352"/>
        <v>0</v>
      </c>
      <c r="BA433" s="12"/>
      <c r="BB433" s="10">
        <f>+Risultati!T432</f>
        <v>0</v>
      </c>
      <c r="BC433" s="12" t="str">
        <f t="shared" si="353"/>
        <v>0</v>
      </c>
      <c r="BD433" s="12"/>
      <c r="BE433" s="10">
        <f>+Risultati!U432</f>
        <v>0</v>
      </c>
      <c r="BF433" s="12" t="str">
        <f t="shared" si="354"/>
        <v>0</v>
      </c>
      <c r="BG433" s="12"/>
      <c r="BH433" s="10">
        <f t="shared" si="362"/>
        <v>0</v>
      </c>
      <c r="BI433" s="12" t="str">
        <f t="shared" si="355"/>
        <v>0</v>
      </c>
      <c r="BK433" s="16">
        <f>IF(ISNUMBER(Risultati!X432/100),(Risultati!X432/100))</f>
        <v>0</v>
      </c>
      <c r="BL433" s="16">
        <f>IF(ISNUMBER(Risultati!Y432/100),(Risultati!Y432/100))</f>
        <v>0</v>
      </c>
      <c r="BM433" s="16">
        <f>IF(ISNUMBER(Risultati!Z432/100),(Risultati!Z432/100))</f>
        <v>0</v>
      </c>
      <c r="BN433" s="16">
        <f>IF(AND(Risultati!AY432&lt;0,calcoli!AP433&lt;0),-IF(ISNUMBER(Risultati!AA432/100),(Risultati!AA432/100)),IF(ISNUMBER(Risultati!AA432/100),(Risultati!AA432/100)))</f>
        <v>0</v>
      </c>
      <c r="BO433" s="16" t="str">
        <f t="shared" si="336"/>
        <v>0</v>
      </c>
      <c r="BP433" s="16" t="str">
        <f>IF(Risultati!AB432&gt;0,(AV433/Risultati!AB432),"0")</f>
        <v>0</v>
      </c>
      <c r="BQ433" s="16" t="str">
        <f>IF(Risultati!AG432&lt;&gt;0,(BH433/Risultati!AG432),"0")</f>
        <v>0</v>
      </c>
      <c r="BR433" s="16" t="str">
        <f t="shared" si="337"/>
        <v>0</v>
      </c>
      <c r="BS433" s="14" t="str">
        <f>IF(Risultati!AB432&gt;0,(Risultati!G432/Risultati!AB432),"0")</f>
        <v>0</v>
      </c>
      <c r="BT433" s="15" t="str">
        <f>IF(Risultati!AG432&lt;&gt;0,(Risultati!AB432/Risultati!AG432),"0")</f>
        <v>0</v>
      </c>
      <c r="BU433" s="23" t="str">
        <f>IF(AND(Risultati!G432&gt;0,(Risultati!AE432-Risultati!AF432)&gt;=0),((Risultati!AE432-Risultati!AF432)/Risultati!G432*360),"0")</f>
        <v>0</v>
      </c>
      <c r="BV433" s="21" t="str">
        <f>IF(OR(E433="abbreviato",Risultati!G432=0),"0",((Risultati!AC432+Risultati!AD432)/Risultati!G432*360))</f>
        <v>0</v>
      </c>
      <c r="BW433" s="21" t="str">
        <f>IF(OR(E433="abbreviato",Risultati!G432=0,SUM(Risultati!I432+Risultati!K432+Risultati!M432)=0),"0",(((Risultati!AH432+Risultati!AI432)/(Risultati!I432+Risultati!K432+Risultati!N432)*360)))</f>
        <v>0</v>
      </c>
      <c r="BX433" s="16" t="str">
        <f>IF(Risultati!AB432&gt;0,(+Risultati!AG432/Risultati!AB432),"0")</f>
        <v>0</v>
      </c>
      <c r="BY433" s="22" t="str">
        <f>IF(OR(E433="abbreviato",Risultati!G432=0),"0",(((Risultati!AK432-(Risultati!AL432+Risultati!AM432))/Risultati!G432)))</f>
        <v>0</v>
      </c>
      <c r="BZ433" s="16" t="str">
        <f>IF(Risultati!G432&gt;0,(Risultati!AJ432/Risultati!G432),"0")</f>
        <v>0</v>
      </c>
      <c r="CA433" s="8"/>
      <c r="CB433" s="9">
        <f>+Risultati!AP432</f>
        <v>0</v>
      </c>
      <c r="CC433" s="31" t="str">
        <f t="shared" si="363"/>
        <v>0</v>
      </c>
      <c r="CD433" s="9">
        <f>+Risultati!AQ432</f>
        <v>0</v>
      </c>
      <c r="CE433" s="31" t="str">
        <f t="shared" si="364"/>
        <v>0</v>
      </c>
      <c r="CF433" s="9">
        <f>+Risultati!AR432</f>
        <v>0</v>
      </c>
      <c r="CG433" s="31" t="str">
        <f t="shared" si="365"/>
        <v>0</v>
      </c>
      <c r="CH433" s="9">
        <f>+Risultati!AS432</f>
        <v>0</v>
      </c>
      <c r="CI433" s="31" t="str">
        <f t="shared" si="366"/>
        <v>0</v>
      </c>
      <c r="CJ433" s="9">
        <f t="shared" si="367"/>
        <v>0</v>
      </c>
      <c r="CK433" s="31" t="str">
        <f t="shared" si="368"/>
        <v>0</v>
      </c>
      <c r="CL433" s="10">
        <f>+Risultati!AE432+Risultati!AF432</f>
        <v>0</v>
      </c>
      <c r="CM433" s="31" t="str">
        <f t="shared" si="369"/>
        <v>0</v>
      </c>
      <c r="CN433" s="9">
        <f>+Risultati!AT432</f>
        <v>0</v>
      </c>
      <c r="CO433" s="31" t="str">
        <f t="shared" si="370"/>
        <v>0</v>
      </c>
      <c r="CP433" s="9">
        <f>+Risultati!AU432</f>
        <v>0</v>
      </c>
      <c r="CQ433" s="31" t="str">
        <f t="shared" si="371"/>
        <v>0</v>
      </c>
      <c r="CR433" s="9">
        <f>+Risultati!AL432</f>
        <v>0</v>
      </c>
      <c r="CS433" s="31" t="str">
        <f t="shared" si="372"/>
        <v>0</v>
      </c>
      <c r="CT433" s="9">
        <f t="shared" si="373"/>
        <v>0</v>
      </c>
      <c r="CU433" s="31" t="str">
        <f t="shared" si="374"/>
        <v>0</v>
      </c>
      <c r="CV433" s="9">
        <f>+Risultati!AX432</f>
        <v>0</v>
      </c>
      <c r="CW433" s="31" t="str">
        <f t="shared" si="375"/>
        <v>0</v>
      </c>
      <c r="CX433" s="9">
        <f t="shared" si="376"/>
        <v>0</v>
      </c>
      <c r="CY433" s="31" t="str">
        <f t="shared" si="377"/>
        <v>0</v>
      </c>
      <c r="CZ433" s="9">
        <f>+Risultati!AG432</f>
        <v>0</v>
      </c>
      <c r="DA433" s="31" t="str">
        <f t="shared" si="378"/>
        <v>0</v>
      </c>
      <c r="DB433" s="9">
        <f t="shared" si="379"/>
        <v>0</v>
      </c>
      <c r="DC433" s="31" t="str">
        <f t="shared" si="380"/>
        <v>0</v>
      </c>
      <c r="DD433" s="9">
        <f>+Risultati!AV432</f>
        <v>0</v>
      </c>
      <c r="DE433" s="31" t="str">
        <f t="shared" si="381"/>
        <v>0</v>
      </c>
      <c r="DF433" s="9">
        <f>+Risultati!AJ432</f>
        <v>0</v>
      </c>
      <c r="DG433" s="31" t="str">
        <f t="shared" si="382"/>
        <v>0</v>
      </c>
      <c r="DH433" s="9">
        <f t="shared" si="383"/>
        <v>0</v>
      </c>
      <c r="DI433" s="31" t="str">
        <f t="shared" si="384"/>
        <v>0</v>
      </c>
      <c r="DJ433" s="9">
        <f>+Risultati!AW432</f>
        <v>0</v>
      </c>
      <c r="DK433" s="31" t="str">
        <f t="shared" si="385"/>
        <v>0</v>
      </c>
      <c r="DL433" s="10">
        <f t="shared" si="356"/>
        <v>0</v>
      </c>
      <c r="DM433" s="31" t="str">
        <f t="shared" si="386"/>
        <v>0</v>
      </c>
      <c r="DO433" s="30"/>
      <c r="DP433" s="30"/>
    </row>
    <row r="434" spans="1:120" x14ac:dyDescent="0.2">
      <c r="A434" s="5"/>
      <c r="B434" s="6">
        <f>+Risultati!B433</f>
        <v>0</v>
      </c>
      <c r="C434" s="6">
        <f>+Risultati!C433</f>
        <v>0</v>
      </c>
      <c r="D434" s="26" t="str">
        <f>IF(YEAR(Risultati!D433)=1900,(MID(Risultati!$AP$1,29,4)),YEAR(Risultati!D433))</f>
        <v/>
      </c>
      <c r="E434" s="6">
        <f>+Risultati!E433</f>
        <v>0</v>
      </c>
      <c r="F434" s="8" t="e">
        <f>(LEFT(Risultati!AN433,2)&amp;"-")&amp;VLOOKUP((LEFT(Risultati!AN433,2)),ateco!$B$4:$C$93,2,FALSE)</f>
        <v>#N/A</v>
      </c>
      <c r="G434" s="8" t="str">
        <f>SUBSTITUTE((Risultati!AN433&amp;"-"&amp;Risultati!AO433),",",";")</f>
        <v>-</v>
      </c>
      <c r="I434" s="10">
        <f>+Risultati!G433</f>
        <v>0</v>
      </c>
      <c r="J434" s="11" t="str">
        <f t="shared" si="338"/>
        <v>0</v>
      </c>
      <c r="K434" s="12"/>
      <c r="L434" s="10">
        <f>+Risultati!G433+Risultati!H433</f>
        <v>0</v>
      </c>
      <c r="M434" s="11" t="str">
        <f t="shared" si="339"/>
        <v>0</v>
      </c>
      <c r="N434" s="12"/>
      <c r="O434" s="10">
        <f>+Risultati!I433+Risultati!J433</f>
        <v>0</v>
      </c>
      <c r="P434" s="11" t="str">
        <f t="shared" si="340"/>
        <v>0</v>
      </c>
      <c r="Q434" s="12"/>
      <c r="R434" s="13">
        <f t="shared" si="357"/>
        <v>0</v>
      </c>
      <c r="S434" s="11" t="str">
        <f t="shared" si="341"/>
        <v>0</v>
      </c>
      <c r="T434" s="12"/>
      <c r="U434" s="10">
        <f>+Risultati!F433-(Risultati!G433+Risultati!H433)</f>
        <v>0</v>
      </c>
      <c r="V434" s="12" t="str">
        <f t="shared" si="342"/>
        <v>0</v>
      </c>
      <c r="W434" s="12"/>
      <c r="X434" s="10">
        <f t="shared" si="358"/>
        <v>0</v>
      </c>
      <c r="Y434" s="12" t="str">
        <f t="shared" si="343"/>
        <v>0</v>
      </c>
      <c r="Z434" s="12"/>
      <c r="AA434" s="10">
        <f>+Risultati!K433</f>
        <v>0</v>
      </c>
      <c r="AB434" s="12" t="str">
        <f t="shared" si="344"/>
        <v>0</v>
      </c>
      <c r="AC434" s="12"/>
      <c r="AD434" s="10">
        <f>+Risultati!L433</f>
        <v>0</v>
      </c>
      <c r="AE434" s="12" t="str">
        <f t="shared" si="345"/>
        <v>0</v>
      </c>
      <c r="AF434" s="12"/>
      <c r="AG434" s="10">
        <f>+Risultati!M433+Risultati!P433+Risultati!Q433</f>
        <v>0</v>
      </c>
      <c r="AH434" s="12" t="str">
        <f t="shared" si="346"/>
        <v>0</v>
      </c>
      <c r="AI434" s="12"/>
      <c r="AJ434" s="13">
        <f t="shared" si="359"/>
        <v>0</v>
      </c>
      <c r="AK434" s="11" t="str">
        <f t="shared" si="347"/>
        <v>0</v>
      </c>
      <c r="AL434" s="12"/>
      <c r="AM434" s="10">
        <f>+Risultati!N433</f>
        <v>0</v>
      </c>
      <c r="AN434" s="12" t="str">
        <f t="shared" si="348"/>
        <v>0</v>
      </c>
      <c r="AO434" s="12"/>
      <c r="AP434" s="10">
        <f t="shared" si="360"/>
        <v>0</v>
      </c>
      <c r="AQ434" s="41" t="str">
        <f t="shared" si="349"/>
        <v>0</v>
      </c>
      <c r="AR434" s="12"/>
      <c r="AS434" s="10">
        <f>+Risultati!O433</f>
        <v>0</v>
      </c>
      <c r="AT434" s="12" t="str">
        <f t="shared" si="350"/>
        <v>0</v>
      </c>
      <c r="AU434" s="12"/>
      <c r="AV434" s="10">
        <f t="shared" si="361"/>
        <v>0</v>
      </c>
      <c r="AW434" s="12" t="str">
        <f t="shared" si="351"/>
        <v>0</v>
      </c>
      <c r="AX434" s="12"/>
      <c r="AY434" s="10">
        <f>+Risultati!R433+Risultati!S433</f>
        <v>0</v>
      </c>
      <c r="AZ434" s="12" t="str">
        <f t="shared" si="352"/>
        <v>0</v>
      </c>
      <c r="BA434" s="12"/>
      <c r="BB434" s="10">
        <f>+Risultati!T433</f>
        <v>0</v>
      </c>
      <c r="BC434" s="12" t="str">
        <f t="shared" si="353"/>
        <v>0</v>
      </c>
      <c r="BD434" s="12"/>
      <c r="BE434" s="10">
        <f>+Risultati!U433</f>
        <v>0</v>
      </c>
      <c r="BF434" s="12" t="str">
        <f t="shared" si="354"/>
        <v>0</v>
      </c>
      <c r="BG434" s="12"/>
      <c r="BH434" s="10">
        <f t="shared" si="362"/>
        <v>0</v>
      </c>
      <c r="BI434" s="12" t="str">
        <f t="shared" si="355"/>
        <v>0</v>
      </c>
      <c r="BK434" s="16">
        <f>IF(ISNUMBER(Risultati!X433/100),(Risultati!X433/100))</f>
        <v>0</v>
      </c>
      <c r="BL434" s="16">
        <f>IF(ISNUMBER(Risultati!Y433/100),(Risultati!Y433/100))</f>
        <v>0</v>
      </c>
      <c r="BM434" s="16">
        <f>IF(ISNUMBER(Risultati!Z433/100),(Risultati!Z433/100))</f>
        <v>0</v>
      </c>
      <c r="BN434" s="16">
        <f>IF(AND(Risultati!AY433&lt;0,calcoli!AP434&lt;0),-IF(ISNUMBER(Risultati!AA433/100),(Risultati!AA433/100)),IF(ISNUMBER(Risultati!AA433/100),(Risultati!AA433/100)))</f>
        <v>0</v>
      </c>
      <c r="BO434" s="16" t="str">
        <f t="shared" si="336"/>
        <v>0</v>
      </c>
      <c r="BP434" s="16" t="str">
        <f>IF(Risultati!AB433&gt;0,(AV434/Risultati!AB433),"0")</f>
        <v>0</v>
      </c>
      <c r="BQ434" s="16" t="str">
        <f>IF(Risultati!AG433&lt;&gt;0,(BH434/Risultati!AG433),"0")</f>
        <v>0</v>
      </c>
      <c r="BR434" s="16" t="str">
        <f t="shared" si="337"/>
        <v>0</v>
      </c>
      <c r="BS434" s="14" t="str">
        <f>IF(Risultati!AB433&gt;0,(Risultati!G433/Risultati!AB433),"0")</f>
        <v>0</v>
      </c>
      <c r="BT434" s="15" t="str">
        <f>IF(Risultati!AG433&lt;&gt;0,(Risultati!AB433/Risultati!AG433),"0")</f>
        <v>0</v>
      </c>
      <c r="BU434" s="23" t="str">
        <f>IF(AND(Risultati!G433&gt;0,(Risultati!AE433-Risultati!AF433)&gt;=0),((Risultati!AE433-Risultati!AF433)/Risultati!G433*360),"0")</f>
        <v>0</v>
      </c>
      <c r="BV434" s="21" t="str">
        <f>IF(OR(E434="abbreviato",Risultati!G433=0),"0",((Risultati!AC433+Risultati!AD433)/Risultati!G433*360))</f>
        <v>0</v>
      </c>
      <c r="BW434" s="21" t="str">
        <f>IF(OR(E434="abbreviato",Risultati!G433=0,SUM(Risultati!I433+Risultati!K433+Risultati!M433)=0),"0",(((Risultati!AH433+Risultati!AI433)/(Risultati!I433+Risultati!K433+Risultati!N433)*360)))</f>
        <v>0</v>
      </c>
      <c r="BX434" s="16" t="str">
        <f>IF(Risultati!AB433&gt;0,(+Risultati!AG433/Risultati!AB433),"0")</f>
        <v>0</v>
      </c>
      <c r="BY434" s="22" t="str">
        <f>IF(OR(E434="abbreviato",Risultati!G433=0),"0",(((Risultati!AK433-(Risultati!AL433+Risultati!AM433))/Risultati!G433)))</f>
        <v>0</v>
      </c>
      <c r="BZ434" s="16" t="str">
        <f>IF(Risultati!G433&gt;0,(Risultati!AJ433/Risultati!G433),"0")</f>
        <v>0</v>
      </c>
      <c r="CA434" s="8"/>
      <c r="CB434" s="9">
        <f>+Risultati!AP433</f>
        <v>0</v>
      </c>
      <c r="CC434" s="31" t="str">
        <f t="shared" si="363"/>
        <v>0</v>
      </c>
      <c r="CD434" s="9">
        <f>+Risultati!AQ433</f>
        <v>0</v>
      </c>
      <c r="CE434" s="31" t="str">
        <f t="shared" si="364"/>
        <v>0</v>
      </c>
      <c r="CF434" s="9">
        <f>+Risultati!AR433</f>
        <v>0</v>
      </c>
      <c r="CG434" s="31" t="str">
        <f t="shared" si="365"/>
        <v>0</v>
      </c>
      <c r="CH434" s="9">
        <f>+Risultati!AS433</f>
        <v>0</v>
      </c>
      <c r="CI434" s="31" t="str">
        <f t="shared" si="366"/>
        <v>0</v>
      </c>
      <c r="CJ434" s="9">
        <f t="shared" si="367"/>
        <v>0</v>
      </c>
      <c r="CK434" s="31" t="str">
        <f t="shared" si="368"/>
        <v>0</v>
      </c>
      <c r="CL434" s="10">
        <f>+Risultati!AE433+Risultati!AF433</f>
        <v>0</v>
      </c>
      <c r="CM434" s="31" t="str">
        <f t="shared" si="369"/>
        <v>0</v>
      </c>
      <c r="CN434" s="9">
        <f>+Risultati!AT433</f>
        <v>0</v>
      </c>
      <c r="CO434" s="31" t="str">
        <f t="shared" si="370"/>
        <v>0</v>
      </c>
      <c r="CP434" s="9">
        <f>+Risultati!AU433</f>
        <v>0</v>
      </c>
      <c r="CQ434" s="31" t="str">
        <f t="shared" si="371"/>
        <v>0</v>
      </c>
      <c r="CR434" s="9">
        <f>+Risultati!AL433</f>
        <v>0</v>
      </c>
      <c r="CS434" s="31" t="str">
        <f t="shared" si="372"/>
        <v>0</v>
      </c>
      <c r="CT434" s="9">
        <f t="shared" si="373"/>
        <v>0</v>
      </c>
      <c r="CU434" s="31" t="str">
        <f t="shared" si="374"/>
        <v>0</v>
      </c>
      <c r="CV434" s="9">
        <f>+Risultati!AX433</f>
        <v>0</v>
      </c>
      <c r="CW434" s="31" t="str">
        <f t="shared" si="375"/>
        <v>0</v>
      </c>
      <c r="CX434" s="9">
        <f t="shared" si="376"/>
        <v>0</v>
      </c>
      <c r="CY434" s="31" t="str">
        <f t="shared" si="377"/>
        <v>0</v>
      </c>
      <c r="CZ434" s="9">
        <f>+Risultati!AG433</f>
        <v>0</v>
      </c>
      <c r="DA434" s="31" t="str">
        <f t="shared" si="378"/>
        <v>0</v>
      </c>
      <c r="DB434" s="9">
        <f t="shared" si="379"/>
        <v>0</v>
      </c>
      <c r="DC434" s="31" t="str">
        <f t="shared" si="380"/>
        <v>0</v>
      </c>
      <c r="DD434" s="9">
        <f>+Risultati!AV433</f>
        <v>0</v>
      </c>
      <c r="DE434" s="31" t="str">
        <f t="shared" si="381"/>
        <v>0</v>
      </c>
      <c r="DF434" s="9">
        <f>+Risultati!AJ433</f>
        <v>0</v>
      </c>
      <c r="DG434" s="31" t="str">
        <f t="shared" si="382"/>
        <v>0</v>
      </c>
      <c r="DH434" s="9">
        <f t="shared" si="383"/>
        <v>0</v>
      </c>
      <c r="DI434" s="31" t="str">
        <f t="shared" si="384"/>
        <v>0</v>
      </c>
      <c r="DJ434" s="9">
        <f>+Risultati!AW433</f>
        <v>0</v>
      </c>
      <c r="DK434" s="31" t="str">
        <f t="shared" si="385"/>
        <v>0</v>
      </c>
      <c r="DL434" s="10">
        <f t="shared" si="356"/>
        <v>0</v>
      </c>
      <c r="DM434" s="31" t="str">
        <f t="shared" si="386"/>
        <v>0</v>
      </c>
      <c r="DO434" s="30"/>
      <c r="DP434" s="30"/>
    </row>
    <row r="435" spans="1:120" x14ac:dyDescent="0.2">
      <c r="A435" s="5"/>
      <c r="B435" s="6">
        <f>+Risultati!B434</f>
        <v>0</v>
      </c>
      <c r="C435" s="6">
        <f>+Risultati!C434</f>
        <v>0</v>
      </c>
      <c r="D435" s="26" t="str">
        <f>IF(YEAR(Risultati!D434)=1900,(MID(Risultati!$AP$1,29,4)),YEAR(Risultati!D434))</f>
        <v/>
      </c>
      <c r="E435" s="6">
        <f>+Risultati!E434</f>
        <v>0</v>
      </c>
      <c r="F435" s="8" t="e">
        <f>(LEFT(Risultati!AN434,2)&amp;"-")&amp;VLOOKUP((LEFT(Risultati!AN434,2)),ateco!$B$4:$C$93,2,FALSE)</f>
        <v>#N/A</v>
      </c>
      <c r="G435" s="8" t="str">
        <f>SUBSTITUTE((Risultati!AN434&amp;"-"&amp;Risultati!AO434),",",";")</f>
        <v>-</v>
      </c>
      <c r="I435" s="10">
        <f>+Risultati!G434</f>
        <v>0</v>
      </c>
      <c r="J435" s="11" t="str">
        <f t="shared" si="338"/>
        <v>0</v>
      </c>
      <c r="K435" s="12"/>
      <c r="L435" s="10">
        <f>+Risultati!G434+Risultati!H434</f>
        <v>0</v>
      </c>
      <c r="M435" s="11" t="str">
        <f t="shared" si="339"/>
        <v>0</v>
      </c>
      <c r="N435" s="12"/>
      <c r="O435" s="10">
        <f>+Risultati!I434+Risultati!J434</f>
        <v>0</v>
      </c>
      <c r="P435" s="11" t="str">
        <f t="shared" si="340"/>
        <v>0</v>
      </c>
      <c r="Q435" s="12"/>
      <c r="R435" s="13">
        <f t="shared" si="357"/>
        <v>0</v>
      </c>
      <c r="S435" s="11" t="str">
        <f t="shared" si="341"/>
        <v>0</v>
      </c>
      <c r="T435" s="12"/>
      <c r="U435" s="10">
        <f>+Risultati!F434-(Risultati!G434+Risultati!H434)</f>
        <v>0</v>
      </c>
      <c r="V435" s="12" t="str">
        <f t="shared" si="342"/>
        <v>0</v>
      </c>
      <c r="W435" s="12"/>
      <c r="X435" s="10">
        <f t="shared" si="358"/>
        <v>0</v>
      </c>
      <c r="Y435" s="12" t="str">
        <f t="shared" si="343"/>
        <v>0</v>
      </c>
      <c r="Z435" s="12"/>
      <c r="AA435" s="10">
        <f>+Risultati!K434</f>
        <v>0</v>
      </c>
      <c r="AB435" s="12" t="str">
        <f t="shared" si="344"/>
        <v>0</v>
      </c>
      <c r="AC435" s="12"/>
      <c r="AD435" s="10">
        <f>+Risultati!L434</f>
        <v>0</v>
      </c>
      <c r="AE435" s="12" t="str">
        <f t="shared" si="345"/>
        <v>0</v>
      </c>
      <c r="AF435" s="12"/>
      <c r="AG435" s="10">
        <f>+Risultati!M434+Risultati!P434+Risultati!Q434</f>
        <v>0</v>
      </c>
      <c r="AH435" s="12" t="str">
        <f t="shared" si="346"/>
        <v>0</v>
      </c>
      <c r="AI435" s="12"/>
      <c r="AJ435" s="13">
        <f t="shared" si="359"/>
        <v>0</v>
      </c>
      <c r="AK435" s="11" t="str">
        <f t="shared" si="347"/>
        <v>0</v>
      </c>
      <c r="AL435" s="12"/>
      <c r="AM435" s="10">
        <f>+Risultati!N434</f>
        <v>0</v>
      </c>
      <c r="AN435" s="12" t="str">
        <f t="shared" si="348"/>
        <v>0</v>
      </c>
      <c r="AO435" s="12"/>
      <c r="AP435" s="10">
        <f t="shared" si="360"/>
        <v>0</v>
      </c>
      <c r="AQ435" s="41" t="str">
        <f t="shared" si="349"/>
        <v>0</v>
      </c>
      <c r="AR435" s="12"/>
      <c r="AS435" s="10">
        <f>+Risultati!O434</f>
        <v>0</v>
      </c>
      <c r="AT435" s="12" t="str">
        <f t="shared" si="350"/>
        <v>0</v>
      </c>
      <c r="AU435" s="12"/>
      <c r="AV435" s="10">
        <f t="shared" si="361"/>
        <v>0</v>
      </c>
      <c r="AW435" s="12" t="str">
        <f t="shared" si="351"/>
        <v>0</v>
      </c>
      <c r="AX435" s="12"/>
      <c r="AY435" s="10">
        <f>+Risultati!R434+Risultati!S434</f>
        <v>0</v>
      </c>
      <c r="AZ435" s="12" t="str">
        <f t="shared" si="352"/>
        <v>0</v>
      </c>
      <c r="BA435" s="12"/>
      <c r="BB435" s="10">
        <f>+Risultati!T434</f>
        <v>0</v>
      </c>
      <c r="BC435" s="12" t="str">
        <f t="shared" si="353"/>
        <v>0</v>
      </c>
      <c r="BD435" s="12"/>
      <c r="BE435" s="10">
        <f>+Risultati!U434</f>
        <v>0</v>
      </c>
      <c r="BF435" s="12" t="str">
        <f t="shared" si="354"/>
        <v>0</v>
      </c>
      <c r="BG435" s="12"/>
      <c r="BH435" s="10">
        <f t="shared" si="362"/>
        <v>0</v>
      </c>
      <c r="BI435" s="12" t="str">
        <f t="shared" si="355"/>
        <v>0</v>
      </c>
      <c r="BK435" s="16">
        <f>IF(ISNUMBER(Risultati!X434/100),(Risultati!X434/100))</f>
        <v>0</v>
      </c>
      <c r="BL435" s="16">
        <f>IF(ISNUMBER(Risultati!Y434/100),(Risultati!Y434/100))</f>
        <v>0</v>
      </c>
      <c r="BM435" s="16">
        <f>IF(ISNUMBER(Risultati!Z434/100),(Risultati!Z434/100))</f>
        <v>0</v>
      </c>
      <c r="BN435" s="16">
        <f>IF(AND(Risultati!AY434&lt;0,calcoli!AP435&lt;0),-IF(ISNUMBER(Risultati!AA434/100),(Risultati!AA434/100)),IF(ISNUMBER(Risultati!AA434/100),(Risultati!AA434/100)))</f>
        <v>0</v>
      </c>
      <c r="BO435" s="16" t="str">
        <f t="shared" si="336"/>
        <v>0</v>
      </c>
      <c r="BP435" s="16" t="str">
        <f>IF(Risultati!AB434&gt;0,(AV435/Risultati!AB434),"0")</f>
        <v>0</v>
      </c>
      <c r="BQ435" s="16" t="str">
        <f>IF(Risultati!AG434&lt;&gt;0,(BH435/Risultati!AG434),"0")</f>
        <v>0</v>
      </c>
      <c r="BR435" s="16" t="str">
        <f t="shared" si="337"/>
        <v>0</v>
      </c>
      <c r="BS435" s="14" t="str">
        <f>IF(Risultati!AB434&gt;0,(Risultati!G434/Risultati!AB434),"0")</f>
        <v>0</v>
      </c>
      <c r="BT435" s="15" t="str">
        <f>IF(Risultati!AG434&lt;&gt;0,(Risultati!AB434/Risultati!AG434),"0")</f>
        <v>0</v>
      </c>
      <c r="BU435" s="23" t="str">
        <f>IF(AND(Risultati!G434&gt;0,(Risultati!AE434-Risultati!AF434)&gt;=0),((Risultati!AE434-Risultati!AF434)/Risultati!G434*360),"0")</f>
        <v>0</v>
      </c>
      <c r="BV435" s="21" t="str">
        <f>IF(OR(E435="abbreviato",Risultati!G434=0),"0",((Risultati!AC434+Risultati!AD434)/Risultati!G434*360))</f>
        <v>0</v>
      </c>
      <c r="BW435" s="21" t="str">
        <f>IF(OR(E435="abbreviato",Risultati!G434=0,SUM(Risultati!I434+Risultati!K434+Risultati!M434)=0),"0",(((Risultati!AH434+Risultati!AI434)/(Risultati!I434+Risultati!K434+Risultati!N434)*360)))</f>
        <v>0</v>
      </c>
      <c r="BX435" s="16" t="str">
        <f>IF(Risultati!AB434&gt;0,(+Risultati!AG434/Risultati!AB434),"0")</f>
        <v>0</v>
      </c>
      <c r="BY435" s="22" t="str">
        <f>IF(OR(E435="abbreviato",Risultati!G434=0),"0",(((Risultati!AK434-(Risultati!AL434+Risultati!AM434))/Risultati!G434)))</f>
        <v>0</v>
      </c>
      <c r="BZ435" s="16" t="str">
        <f>IF(Risultati!G434&gt;0,(Risultati!AJ434/Risultati!G434),"0")</f>
        <v>0</v>
      </c>
      <c r="CA435" s="8"/>
      <c r="CB435" s="9">
        <f>+Risultati!AP434</f>
        <v>0</v>
      </c>
      <c r="CC435" s="31" t="str">
        <f t="shared" si="363"/>
        <v>0</v>
      </c>
      <c r="CD435" s="9">
        <f>+Risultati!AQ434</f>
        <v>0</v>
      </c>
      <c r="CE435" s="31" t="str">
        <f t="shared" si="364"/>
        <v>0</v>
      </c>
      <c r="CF435" s="9">
        <f>+Risultati!AR434</f>
        <v>0</v>
      </c>
      <c r="CG435" s="31" t="str">
        <f t="shared" si="365"/>
        <v>0</v>
      </c>
      <c r="CH435" s="9">
        <f>+Risultati!AS434</f>
        <v>0</v>
      </c>
      <c r="CI435" s="31" t="str">
        <f t="shared" si="366"/>
        <v>0</v>
      </c>
      <c r="CJ435" s="9">
        <f t="shared" si="367"/>
        <v>0</v>
      </c>
      <c r="CK435" s="31" t="str">
        <f t="shared" si="368"/>
        <v>0</v>
      </c>
      <c r="CL435" s="10">
        <f>+Risultati!AE434+Risultati!AF434</f>
        <v>0</v>
      </c>
      <c r="CM435" s="31" t="str">
        <f t="shared" si="369"/>
        <v>0</v>
      </c>
      <c r="CN435" s="9">
        <f>+Risultati!AT434</f>
        <v>0</v>
      </c>
      <c r="CO435" s="31" t="str">
        <f t="shared" si="370"/>
        <v>0</v>
      </c>
      <c r="CP435" s="9">
        <f>+Risultati!AU434</f>
        <v>0</v>
      </c>
      <c r="CQ435" s="31" t="str">
        <f t="shared" si="371"/>
        <v>0</v>
      </c>
      <c r="CR435" s="9">
        <f>+Risultati!AL434</f>
        <v>0</v>
      </c>
      <c r="CS435" s="31" t="str">
        <f t="shared" si="372"/>
        <v>0</v>
      </c>
      <c r="CT435" s="9">
        <f t="shared" si="373"/>
        <v>0</v>
      </c>
      <c r="CU435" s="31" t="str">
        <f t="shared" si="374"/>
        <v>0</v>
      </c>
      <c r="CV435" s="9">
        <f>+Risultati!AX434</f>
        <v>0</v>
      </c>
      <c r="CW435" s="31" t="str">
        <f t="shared" si="375"/>
        <v>0</v>
      </c>
      <c r="CX435" s="9">
        <f t="shared" si="376"/>
        <v>0</v>
      </c>
      <c r="CY435" s="31" t="str">
        <f t="shared" si="377"/>
        <v>0</v>
      </c>
      <c r="CZ435" s="9">
        <f>+Risultati!AG434</f>
        <v>0</v>
      </c>
      <c r="DA435" s="31" t="str">
        <f t="shared" si="378"/>
        <v>0</v>
      </c>
      <c r="DB435" s="9">
        <f t="shared" si="379"/>
        <v>0</v>
      </c>
      <c r="DC435" s="31" t="str">
        <f t="shared" si="380"/>
        <v>0</v>
      </c>
      <c r="DD435" s="9">
        <f>+Risultati!AV434</f>
        <v>0</v>
      </c>
      <c r="DE435" s="31" t="str">
        <f t="shared" si="381"/>
        <v>0</v>
      </c>
      <c r="DF435" s="9">
        <f>+Risultati!AJ434</f>
        <v>0</v>
      </c>
      <c r="DG435" s="31" t="str">
        <f t="shared" si="382"/>
        <v>0</v>
      </c>
      <c r="DH435" s="9">
        <f t="shared" si="383"/>
        <v>0</v>
      </c>
      <c r="DI435" s="31" t="str">
        <f t="shared" si="384"/>
        <v>0</v>
      </c>
      <c r="DJ435" s="9">
        <f>+Risultati!AW434</f>
        <v>0</v>
      </c>
      <c r="DK435" s="31" t="str">
        <f t="shared" si="385"/>
        <v>0</v>
      </c>
      <c r="DL435" s="10">
        <f t="shared" si="356"/>
        <v>0</v>
      </c>
      <c r="DM435" s="31" t="str">
        <f t="shared" si="386"/>
        <v>0</v>
      </c>
      <c r="DO435" s="30"/>
      <c r="DP435" s="30"/>
    </row>
    <row r="436" spans="1:120" x14ac:dyDescent="0.2">
      <c r="A436" s="5"/>
      <c r="B436" s="6">
        <f>+Risultati!B435</f>
        <v>0</v>
      </c>
      <c r="C436" s="6">
        <f>+Risultati!C435</f>
        <v>0</v>
      </c>
      <c r="D436" s="26" t="str">
        <f>IF(YEAR(Risultati!D435)=1900,(MID(Risultati!$AP$1,29,4)),YEAR(Risultati!D435))</f>
        <v/>
      </c>
      <c r="E436" s="6">
        <f>+Risultati!E435</f>
        <v>0</v>
      </c>
      <c r="F436" s="8" t="e">
        <f>(LEFT(Risultati!AN435,2)&amp;"-")&amp;VLOOKUP((LEFT(Risultati!AN435,2)),ateco!$B$4:$C$93,2,FALSE)</f>
        <v>#N/A</v>
      </c>
      <c r="G436" s="8" t="str">
        <f>SUBSTITUTE((Risultati!AN435&amp;"-"&amp;Risultati!AO435),",",";")</f>
        <v>-</v>
      </c>
      <c r="I436" s="10">
        <f>+Risultati!G435</f>
        <v>0</v>
      </c>
      <c r="J436" s="11" t="str">
        <f t="shared" si="338"/>
        <v>0</v>
      </c>
      <c r="K436" s="12"/>
      <c r="L436" s="10">
        <f>+Risultati!G435+Risultati!H435</f>
        <v>0</v>
      </c>
      <c r="M436" s="11" t="str">
        <f t="shared" si="339"/>
        <v>0</v>
      </c>
      <c r="N436" s="12"/>
      <c r="O436" s="10">
        <f>+Risultati!I435+Risultati!J435</f>
        <v>0</v>
      </c>
      <c r="P436" s="11" t="str">
        <f t="shared" si="340"/>
        <v>0</v>
      </c>
      <c r="Q436" s="12"/>
      <c r="R436" s="13">
        <f t="shared" si="357"/>
        <v>0</v>
      </c>
      <c r="S436" s="11" t="str">
        <f t="shared" si="341"/>
        <v>0</v>
      </c>
      <c r="T436" s="12"/>
      <c r="U436" s="10">
        <f>+Risultati!F435-(Risultati!G435+Risultati!H435)</f>
        <v>0</v>
      </c>
      <c r="V436" s="12" t="str">
        <f t="shared" si="342"/>
        <v>0</v>
      </c>
      <c r="W436" s="12"/>
      <c r="X436" s="10">
        <f t="shared" si="358"/>
        <v>0</v>
      </c>
      <c r="Y436" s="12" t="str">
        <f t="shared" si="343"/>
        <v>0</v>
      </c>
      <c r="Z436" s="12"/>
      <c r="AA436" s="10">
        <f>+Risultati!K435</f>
        <v>0</v>
      </c>
      <c r="AB436" s="12" t="str">
        <f t="shared" si="344"/>
        <v>0</v>
      </c>
      <c r="AC436" s="12"/>
      <c r="AD436" s="10">
        <f>+Risultati!L435</f>
        <v>0</v>
      </c>
      <c r="AE436" s="12" t="str">
        <f t="shared" si="345"/>
        <v>0</v>
      </c>
      <c r="AF436" s="12"/>
      <c r="AG436" s="10">
        <f>+Risultati!M435+Risultati!P435+Risultati!Q435</f>
        <v>0</v>
      </c>
      <c r="AH436" s="12" t="str">
        <f t="shared" si="346"/>
        <v>0</v>
      </c>
      <c r="AI436" s="12"/>
      <c r="AJ436" s="13">
        <f t="shared" si="359"/>
        <v>0</v>
      </c>
      <c r="AK436" s="11" t="str">
        <f t="shared" si="347"/>
        <v>0</v>
      </c>
      <c r="AL436" s="12"/>
      <c r="AM436" s="10">
        <f>+Risultati!N435</f>
        <v>0</v>
      </c>
      <c r="AN436" s="12" t="str">
        <f t="shared" si="348"/>
        <v>0</v>
      </c>
      <c r="AO436" s="12"/>
      <c r="AP436" s="10">
        <f t="shared" si="360"/>
        <v>0</v>
      </c>
      <c r="AQ436" s="41" t="str">
        <f t="shared" si="349"/>
        <v>0</v>
      </c>
      <c r="AR436" s="12"/>
      <c r="AS436" s="10">
        <f>+Risultati!O435</f>
        <v>0</v>
      </c>
      <c r="AT436" s="12" t="str">
        <f t="shared" si="350"/>
        <v>0</v>
      </c>
      <c r="AU436" s="12"/>
      <c r="AV436" s="10">
        <f t="shared" si="361"/>
        <v>0</v>
      </c>
      <c r="AW436" s="12" t="str">
        <f t="shared" si="351"/>
        <v>0</v>
      </c>
      <c r="AX436" s="12"/>
      <c r="AY436" s="10">
        <f>+Risultati!R435+Risultati!S435</f>
        <v>0</v>
      </c>
      <c r="AZ436" s="12" t="str">
        <f t="shared" si="352"/>
        <v>0</v>
      </c>
      <c r="BA436" s="12"/>
      <c r="BB436" s="10">
        <f>+Risultati!T435</f>
        <v>0</v>
      </c>
      <c r="BC436" s="12" t="str">
        <f t="shared" si="353"/>
        <v>0</v>
      </c>
      <c r="BD436" s="12"/>
      <c r="BE436" s="10">
        <f>+Risultati!U435</f>
        <v>0</v>
      </c>
      <c r="BF436" s="12" t="str">
        <f t="shared" si="354"/>
        <v>0</v>
      </c>
      <c r="BG436" s="12"/>
      <c r="BH436" s="10">
        <f t="shared" si="362"/>
        <v>0</v>
      </c>
      <c r="BI436" s="12" t="str">
        <f t="shared" si="355"/>
        <v>0</v>
      </c>
      <c r="BK436" s="16">
        <f>IF(ISNUMBER(Risultati!X435/100),(Risultati!X435/100))</f>
        <v>0</v>
      </c>
      <c r="BL436" s="16">
        <f>IF(ISNUMBER(Risultati!Y435/100),(Risultati!Y435/100))</f>
        <v>0</v>
      </c>
      <c r="BM436" s="16">
        <f>IF(ISNUMBER(Risultati!Z435/100),(Risultati!Z435/100))</f>
        <v>0</v>
      </c>
      <c r="BN436" s="16">
        <f>IF(AND(Risultati!AY435&lt;0,calcoli!AP436&lt;0),-IF(ISNUMBER(Risultati!AA435/100),(Risultati!AA435/100)),IF(ISNUMBER(Risultati!AA435/100),(Risultati!AA435/100)))</f>
        <v>0</v>
      </c>
      <c r="BO436" s="16" t="str">
        <f t="shared" si="336"/>
        <v>0</v>
      </c>
      <c r="BP436" s="16" t="str">
        <f>IF(Risultati!AB435&gt;0,(AV436/Risultati!AB435),"0")</f>
        <v>0</v>
      </c>
      <c r="BQ436" s="16" t="str">
        <f>IF(Risultati!AG435&lt;&gt;0,(BH436/Risultati!AG435),"0")</f>
        <v>0</v>
      </c>
      <c r="BR436" s="16" t="str">
        <f t="shared" si="337"/>
        <v>0</v>
      </c>
      <c r="BS436" s="14" t="str">
        <f>IF(Risultati!AB435&gt;0,(Risultati!G435/Risultati!AB435),"0")</f>
        <v>0</v>
      </c>
      <c r="BT436" s="15" t="str">
        <f>IF(Risultati!AG435&lt;&gt;0,(Risultati!AB435/Risultati!AG435),"0")</f>
        <v>0</v>
      </c>
      <c r="BU436" s="23" t="str">
        <f>IF(AND(Risultati!G435&gt;0,(Risultati!AE435-Risultati!AF435)&gt;=0),((Risultati!AE435-Risultati!AF435)/Risultati!G435*360),"0")</f>
        <v>0</v>
      </c>
      <c r="BV436" s="21" t="str">
        <f>IF(OR(E436="abbreviato",Risultati!G435=0),"0",((Risultati!AC435+Risultati!AD435)/Risultati!G435*360))</f>
        <v>0</v>
      </c>
      <c r="BW436" s="21" t="str">
        <f>IF(OR(E436="abbreviato",Risultati!G435=0,SUM(Risultati!I435+Risultati!K435+Risultati!M435)=0),"0",(((Risultati!AH435+Risultati!AI435)/(Risultati!I435+Risultati!K435+Risultati!N435)*360)))</f>
        <v>0</v>
      </c>
      <c r="BX436" s="16" t="str">
        <f>IF(Risultati!AB435&gt;0,(+Risultati!AG435/Risultati!AB435),"0")</f>
        <v>0</v>
      </c>
      <c r="BY436" s="22" t="str">
        <f>IF(OR(E436="abbreviato",Risultati!G435=0),"0",(((Risultati!AK435-(Risultati!AL435+Risultati!AM435))/Risultati!G435)))</f>
        <v>0</v>
      </c>
      <c r="BZ436" s="16" t="str">
        <f>IF(Risultati!G435&gt;0,(Risultati!AJ435/Risultati!G435),"0")</f>
        <v>0</v>
      </c>
      <c r="CA436" s="8"/>
      <c r="CB436" s="9">
        <f>+Risultati!AP435</f>
        <v>0</v>
      </c>
      <c r="CC436" s="31" t="str">
        <f t="shared" si="363"/>
        <v>0</v>
      </c>
      <c r="CD436" s="9">
        <f>+Risultati!AQ435</f>
        <v>0</v>
      </c>
      <c r="CE436" s="31" t="str">
        <f t="shared" si="364"/>
        <v>0</v>
      </c>
      <c r="CF436" s="9">
        <f>+Risultati!AR435</f>
        <v>0</v>
      </c>
      <c r="CG436" s="31" t="str">
        <f t="shared" si="365"/>
        <v>0</v>
      </c>
      <c r="CH436" s="9">
        <f>+Risultati!AS435</f>
        <v>0</v>
      </c>
      <c r="CI436" s="31" t="str">
        <f t="shared" si="366"/>
        <v>0</v>
      </c>
      <c r="CJ436" s="9">
        <f t="shared" si="367"/>
        <v>0</v>
      </c>
      <c r="CK436" s="31" t="str">
        <f t="shared" si="368"/>
        <v>0</v>
      </c>
      <c r="CL436" s="10">
        <f>+Risultati!AE435+Risultati!AF435</f>
        <v>0</v>
      </c>
      <c r="CM436" s="31" t="str">
        <f t="shared" si="369"/>
        <v>0</v>
      </c>
      <c r="CN436" s="9">
        <f>+Risultati!AT435</f>
        <v>0</v>
      </c>
      <c r="CO436" s="31" t="str">
        <f t="shared" si="370"/>
        <v>0</v>
      </c>
      <c r="CP436" s="9">
        <f>+Risultati!AU435</f>
        <v>0</v>
      </c>
      <c r="CQ436" s="31" t="str">
        <f t="shared" si="371"/>
        <v>0</v>
      </c>
      <c r="CR436" s="9">
        <f>+Risultati!AL435</f>
        <v>0</v>
      </c>
      <c r="CS436" s="31" t="str">
        <f t="shared" si="372"/>
        <v>0</v>
      </c>
      <c r="CT436" s="9">
        <f t="shared" si="373"/>
        <v>0</v>
      </c>
      <c r="CU436" s="31" t="str">
        <f t="shared" si="374"/>
        <v>0</v>
      </c>
      <c r="CV436" s="9">
        <f>+Risultati!AX435</f>
        <v>0</v>
      </c>
      <c r="CW436" s="31" t="str">
        <f t="shared" si="375"/>
        <v>0</v>
      </c>
      <c r="CX436" s="9">
        <f t="shared" si="376"/>
        <v>0</v>
      </c>
      <c r="CY436" s="31" t="str">
        <f t="shared" si="377"/>
        <v>0</v>
      </c>
      <c r="CZ436" s="9">
        <f>+Risultati!AG435</f>
        <v>0</v>
      </c>
      <c r="DA436" s="31" t="str">
        <f t="shared" si="378"/>
        <v>0</v>
      </c>
      <c r="DB436" s="9">
        <f t="shared" si="379"/>
        <v>0</v>
      </c>
      <c r="DC436" s="31" t="str">
        <f t="shared" si="380"/>
        <v>0</v>
      </c>
      <c r="DD436" s="9">
        <f>+Risultati!AV435</f>
        <v>0</v>
      </c>
      <c r="DE436" s="31" t="str">
        <f t="shared" si="381"/>
        <v>0</v>
      </c>
      <c r="DF436" s="9">
        <f>+Risultati!AJ435</f>
        <v>0</v>
      </c>
      <c r="DG436" s="31" t="str">
        <f t="shared" si="382"/>
        <v>0</v>
      </c>
      <c r="DH436" s="9">
        <f t="shared" si="383"/>
        <v>0</v>
      </c>
      <c r="DI436" s="31" t="str">
        <f t="shared" si="384"/>
        <v>0</v>
      </c>
      <c r="DJ436" s="9">
        <f>+Risultati!AW435</f>
        <v>0</v>
      </c>
      <c r="DK436" s="31" t="str">
        <f t="shared" si="385"/>
        <v>0</v>
      </c>
      <c r="DL436" s="10">
        <f t="shared" si="356"/>
        <v>0</v>
      </c>
      <c r="DM436" s="31" t="str">
        <f t="shared" si="386"/>
        <v>0</v>
      </c>
      <c r="DO436" s="30"/>
      <c r="DP436" s="30"/>
    </row>
    <row r="437" spans="1:120" x14ac:dyDescent="0.2">
      <c r="A437" s="5"/>
      <c r="B437" s="6">
        <f>+Risultati!B436</f>
        <v>0</v>
      </c>
      <c r="C437" s="6">
        <f>+Risultati!C436</f>
        <v>0</v>
      </c>
      <c r="D437" s="26" t="str">
        <f>IF(YEAR(Risultati!D436)=1900,(MID(Risultati!$AP$1,29,4)),YEAR(Risultati!D436))</f>
        <v/>
      </c>
      <c r="E437" s="6">
        <f>+Risultati!E436</f>
        <v>0</v>
      </c>
      <c r="F437" s="8" t="e">
        <f>(LEFT(Risultati!AN436,2)&amp;"-")&amp;VLOOKUP((LEFT(Risultati!AN436,2)),ateco!$B$4:$C$93,2,FALSE)</f>
        <v>#N/A</v>
      </c>
      <c r="G437" s="8" t="str">
        <f>SUBSTITUTE((Risultati!AN436&amp;"-"&amp;Risultati!AO436),",",";")</f>
        <v>-</v>
      </c>
      <c r="I437" s="10">
        <f>+Risultati!G436</f>
        <v>0</v>
      </c>
      <c r="J437" s="11" t="str">
        <f t="shared" si="338"/>
        <v>0</v>
      </c>
      <c r="K437" s="12"/>
      <c r="L437" s="10">
        <f>+Risultati!G436+Risultati!H436</f>
        <v>0</v>
      </c>
      <c r="M437" s="11" t="str">
        <f t="shared" si="339"/>
        <v>0</v>
      </c>
      <c r="N437" s="12"/>
      <c r="O437" s="10">
        <f>+Risultati!I436+Risultati!J436</f>
        <v>0</v>
      </c>
      <c r="P437" s="11" t="str">
        <f t="shared" si="340"/>
        <v>0</v>
      </c>
      <c r="Q437" s="12"/>
      <c r="R437" s="13">
        <f t="shared" si="357"/>
        <v>0</v>
      </c>
      <c r="S437" s="11" t="str">
        <f t="shared" si="341"/>
        <v>0</v>
      </c>
      <c r="T437" s="12"/>
      <c r="U437" s="10">
        <f>+Risultati!F436-(Risultati!G436+Risultati!H436)</f>
        <v>0</v>
      </c>
      <c r="V437" s="12" t="str">
        <f t="shared" si="342"/>
        <v>0</v>
      </c>
      <c r="W437" s="12"/>
      <c r="X437" s="10">
        <f t="shared" si="358"/>
        <v>0</v>
      </c>
      <c r="Y437" s="12" t="str">
        <f t="shared" si="343"/>
        <v>0</v>
      </c>
      <c r="Z437" s="12"/>
      <c r="AA437" s="10">
        <f>+Risultati!K436</f>
        <v>0</v>
      </c>
      <c r="AB437" s="12" t="str">
        <f t="shared" si="344"/>
        <v>0</v>
      </c>
      <c r="AC437" s="12"/>
      <c r="AD437" s="10">
        <f>+Risultati!L436</f>
        <v>0</v>
      </c>
      <c r="AE437" s="12" t="str">
        <f t="shared" si="345"/>
        <v>0</v>
      </c>
      <c r="AF437" s="12"/>
      <c r="AG437" s="10">
        <f>+Risultati!M436+Risultati!P436+Risultati!Q436</f>
        <v>0</v>
      </c>
      <c r="AH437" s="12" t="str">
        <f t="shared" si="346"/>
        <v>0</v>
      </c>
      <c r="AI437" s="12"/>
      <c r="AJ437" s="13">
        <f t="shared" si="359"/>
        <v>0</v>
      </c>
      <c r="AK437" s="11" t="str">
        <f t="shared" si="347"/>
        <v>0</v>
      </c>
      <c r="AL437" s="12"/>
      <c r="AM437" s="10">
        <f>+Risultati!N436</f>
        <v>0</v>
      </c>
      <c r="AN437" s="12" t="str">
        <f t="shared" si="348"/>
        <v>0</v>
      </c>
      <c r="AO437" s="12"/>
      <c r="AP437" s="10">
        <f t="shared" si="360"/>
        <v>0</v>
      </c>
      <c r="AQ437" s="41" t="str">
        <f t="shared" si="349"/>
        <v>0</v>
      </c>
      <c r="AR437" s="12"/>
      <c r="AS437" s="10">
        <f>+Risultati!O436</f>
        <v>0</v>
      </c>
      <c r="AT437" s="12" t="str">
        <f t="shared" si="350"/>
        <v>0</v>
      </c>
      <c r="AU437" s="12"/>
      <c r="AV437" s="10">
        <f t="shared" si="361"/>
        <v>0</v>
      </c>
      <c r="AW437" s="12" t="str">
        <f t="shared" si="351"/>
        <v>0</v>
      </c>
      <c r="AX437" s="12"/>
      <c r="AY437" s="10">
        <f>+Risultati!R436+Risultati!S436</f>
        <v>0</v>
      </c>
      <c r="AZ437" s="12" t="str">
        <f t="shared" si="352"/>
        <v>0</v>
      </c>
      <c r="BA437" s="12"/>
      <c r="BB437" s="10">
        <f>+Risultati!T436</f>
        <v>0</v>
      </c>
      <c r="BC437" s="12" t="str">
        <f t="shared" si="353"/>
        <v>0</v>
      </c>
      <c r="BD437" s="12"/>
      <c r="BE437" s="10">
        <f>+Risultati!U436</f>
        <v>0</v>
      </c>
      <c r="BF437" s="12" t="str">
        <f t="shared" si="354"/>
        <v>0</v>
      </c>
      <c r="BG437" s="12"/>
      <c r="BH437" s="10">
        <f t="shared" si="362"/>
        <v>0</v>
      </c>
      <c r="BI437" s="12" t="str">
        <f t="shared" si="355"/>
        <v>0</v>
      </c>
      <c r="BK437" s="16">
        <f>IF(ISNUMBER(Risultati!X436/100),(Risultati!X436/100))</f>
        <v>0</v>
      </c>
      <c r="BL437" s="16">
        <f>IF(ISNUMBER(Risultati!Y436/100),(Risultati!Y436/100))</f>
        <v>0</v>
      </c>
      <c r="BM437" s="16">
        <f>IF(ISNUMBER(Risultati!Z436/100),(Risultati!Z436/100))</f>
        <v>0</v>
      </c>
      <c r="BN437" s="16">
        <f>IF(AND(Risultati!AY436&lt;0,calcoli!AP437&lt;0),-IF(ISNUMBER(Risultati!AA436/100),(Risultati!AA436/100)),IF(ISNUMBER(Risultati!AA436/100),(Risultati!AA436/100)))</f>
        <v>0</v>
      </c>
      <c r="BO437" s="16" t="str">
        <f t="shared" si="336"/>
        <v>0</v>
      </c>
      <c r="BP437" s="16" t="str">
        <f>IF(Risultati!AB436&gt;0,(AV437/Risultati!AB436),"0")</f>
        <v>0</v>
      </c>
      <c r="BQ437" s="16" t="str">
        <f>IF(Risultati!AG436&lt;&gt;0,(BH437/Risultati!AG436),"0")</f>
        <v>0</v>
      </c>
      <c r="BR437" s="16" t="str">
        <f t="shared" si="337"/>
        <v>0</v>
      </c>
      <c r="BS437" s="14" t="str">
        <f>IF(Risultati!AB436&gt;0,(Risultati!G436/Risultati!AB436),"0")</f>
        <v>0</v>
      </c>
      <c r="BT437" s="15" t="str">
        <f>IF(Risultati!AG436&lt;&gt;0,(Risultati!AB436/Risultati!AG436),"0")</f>
        <v>0</v>
      </c>
      <c r="BU437" s="23" t="str">
        <f>IF(AND(Risultati!G436&gt;0,(Risultati!AE436-Risultati!AF436)&gt;=0),((Risultati!AE436-Risultati!AF436)/Risultati!G436*360),"0")</f>
        <v>0</v>
      </c>
      <c r="BV437" s="21" t="str">
        <f>IF(OR(E437="abbreviato",Risultati!G436=0),"0",((Risultati!AC436+Risultati!AD436)/Risultati!G436*360))</f>
        <v>0</v>
      </c>
      <c r="BW437" s="21" t="str">
        <f>IF(OR(E437="abbreviato",Risultati!G436=0,SUM(Risultati!I436+Risultati!K436+Risultati!M436)=0),"0",(((Risultati!AH436+Risultati!AI436)/(Risultati!I436+Risultati!K436+Risultati!N436)*360)))</f>
        <v>0</v>
      </c>
      <c r="BX437" s="16" t="str">
        <f>IF(Risultati!AB436&gt;0,(+Risultati!AG436/Risultati!AB436),"0")</f>
        <v>0</v>
      </c>
      <c r="BY437" s="22" t="str">
        <f>IF(OR(E437="abbreviato",Risultati!G436=0),"0",(((Risultati!AK436-(Risultati!AL436+Risultati!AM436))/Risultati!G436)))</f>
        <v>0</v>
      </c>
      <c r="BZ437" s="16" t="str">
        <f>IF(Risultati!G436&gt;0,(Risultati!AJ436/Risultati!G436),"0")</f>
        <v>0</v>
      </c>
      <c r="CA437" s="8"/>
      <c r="CB437" s="9">
        <f>+Risultati!AP436</f>
        <v>0</v>
      </c>
      <c r="CC437" s="31" t="str">
        <f t="shared" si="363"/>
        <v>0</v>
      </c>
      <c r="CD437" s="9">
        <f>+Risultati!AQ436</f>
        <v>0</v>
      </c>
      <c r="CE437" s="31" t="str">
        <f t="shared" si="364"/>
        <v>0</v>
      </c>
      <c r="CF437" s="9">
        <f>+Risultati!AR436</f>
        <v>0</v>
      </c>
      <c r="CG437" s="31" t="str">
        <f t="shared" si="365"/>
        <v>0</v>
      </c>
      <c r="CH437" s="9">
        <f>+Risultati!AS436</f>
        <v>0</v>
      </c>
      <c r="CI437" s="31" t="str">
        <f t="shared" si="366"/>
        <v>0</v>
      </c>
      <c r="CJ437" s="9">
        <f t="shared" si="367"/>
        <v>0</v>
      </c>
      <c r="CK437" s="31" t="str">
        <f t="shared" si="368"/>
        <v>0</v>
      </c>
      <c r="CL437" s="10">
        <f>+Risultati!AE436+Risultati!AF436</f>
        <v>0</v>
      </c>
      <c r="CM437" s="31" t="str">
        <f t="shared" si="369"/>
        <v>0</v>
      </c>
      <c r="CN437" s="9">
        <f>+Risultati!AT436</f>
        <v>0</v>
      </c>
      <c r="CO437" s="31" t="str">
        <f t="shared" si="370"/>
        <v>0</v>
      </c>
      <c r="CP437" s="9">
        <f>+Risultati!AU436</f>
        <v>0</v>
      </c>
      <c r="CQ437" s="31" t="str">
        <f t="shared" si="371"/>
        <v>0</v>
      </c>
      <c r="CR437" s="9">
        <f>+Risultati!AL436</f>
        <v>0</v>
      </c>
      <c r="CS437" s="31" t="str">
        <f t="shared" si="372"/>
        <v>0</v>
      </c>
      <c r="CT437" s="9">
        <f t="shared" si="373"/>
        <v>0</v>
      </c>
      <c r="CU437" s="31" t="str">
        <f t="shared" si="374"/>
        <v>0</v>
      </c>
      <c r="CV437" s="9">
        <f>+Risultati!AX436</f>
        <v>0</v>
      </c>
      <c r="CW437" s="31" t="str">
        <f t="shared" si="375"/>
        <v>0</v>
      </c>
      <c r="CX437" s="9">
        <f t="shared" si="376"/>
        <v>0</v>
      </c>
      <c r="CY437" s="31" t="str">
        <f t="shared" si="377"/>
        <v>0</v>
      </c>
      <c r="CZ437" s="9">
        <f>+Risultati!AG436</f>
        <v>0</v>
      </c>
      <c r="DA437" s="31" t="str">
        <f t="shared" si="378"/>
        <v>0</v>
      </c>
      <c r="DB437" s="9">
        <f t="shared" si="379"/>
        <v>0</v>
      </c>
      <c r="DC437" s="31" t="str">
        <f t="shared" si="380"/>
        <v>0</v>
      </c>
      <c r="DD437" s="9">
        <f>+Risultati!AV436</f>
        <v>0</v>
      </c>
      <c r="DE437" s="31" t="str">
        <f t="shared" si="381"/>
        <v>0</v>
      </c>
      <c r="DF437" s="9">
        <f>+Risultati!AJ436</f>
        <v>0</v>
      </c>
      <c r="DG437" s="31" t="str">
        <f t="shared" si="382"/>
        <v>0</v>
      </c>
      <c r="DH437" s="9">
        <f t="shared" si="383"/>
        <v>0</v>
      </c>
      <c r="DI437" s="31" t="str">
        <f t="shared" si="384"/>
        <v>0</v>
      </c>
      <c r="DJ437" s="9">
        <f>+Risultati!AW436</f>
        <v>0</v>
      </c>
      <c r="DK437" s="31" t="str">
        <f t="shared" si="385"/>
        <v>0</v>
      </c>
      <c r="DL437" s="10">
        <f t="shared" si="356"/>
        <v>0</v>
      </c>
      <c r="DM437" s="31" t="str">
        <f t="shared" si="386"/>
        <v>0</v>
      </c>
      <c r="DO437" s="30"/>
      <c r="DP437" s="30"/>
    </row>
    <row r="438" spans="1:120" x14ac:dyDescent="0.2">
      <c r="A438" s="5"/>
      <c r="B438" s="6">
        <f>+Risultati!B437</f>
        <v>0</v>
      </c>
      <c r="C438" s="6">
        <f>+Risultati!C437</f>
        <v>0</v>
      </c>
      <c r="D438" s="26" t="str">
        <f>IF(YEAR(Risultati!D437)=1900,(MID(Risultati!$AP$1,29,4)),YEAR(Risultati!D437))</f>
        <v/>
      </c>
      <c r="E438" s="6">
        <f>+Risultati!E437</f>
        <v>0</v>
      </c>
      <c r="F438" s="8" t="e">
        <f>(LEFT(Risultati!AN437,2)&amp;"-")&amp;VLOOKUP((LEFT(Risultati!AN437,2)),ateco!$B$4:$C$93,2,FALSE)</f>
        <v>#N/A</v>
      </c>
      <c r="G438" s="8" t="str">
        <f>SUBSTITUTE((Risultati!AN437&amp;"-"&amp;Risultati!AO437),",",";")</f>
        <v>-</v>
      </c>
      <c r="I438" s="10">
        <f>+Risultati!G437</f>
        <v>0</v>
      </c>
      <c r="J438" s="11" t="str">
        <f t="shared" si="338"/>
        <v>0</v>
      </c>
      <c r="K438" s="12"/>
      <c r="L438" s="10">
        <f>+Risultati!G437+Risultati!H437</f>
        <v>0</v>
      </c>
      <c r="M438" s="11" t="str">
        <f t="shared" si="339"/>
        <v>0</v>
      </c>
      <c r="N438" s="12"/>
      <c r="O438" s="10">
        <f>+Risultati!I437+Risultati!J437</f>
        <v>0</v>
      </c>
      <c r="P438" s="11" t="str">
        <f t="shared" si="340"/>
        <v>0</v>
      </c>
      <c r="Q438" s="12"/>
      <c r="R438" s="13">
        <f t="shared" si="357"/>
        <v>0</v>
      </c>
      <c r="S438" s="11" t="str">
        <f t="shared" si="341"/>
        <v>0</v>
      </c>
      <c r="T438" s="12"/>
      <c r="U438" s="10">
        <f>+Risultati!F437-(Risultati!G437+Risultati!H437)</f>
        <v>0</v>
      </c>
      <c r="V438" s="12" t="str">
        <f t="shared" si="342"/>
        <v>0</v>
      </c>
      <c r="W438" s="12"/>
      <c r="X438" s="10">
        <f t="shared" si="358"/>
        <v>0</v>
      </c>
      <c r="Y438" s="12" t="str">
        <f t="shared" si="343"/>
        <v>0</v>
      </c>
      <c r="Z438" s="12"/>
      <c r="AA438" s="10">
        <f>+Risultati!K437</f>
        <v>0</v>
      </c>
      <c r="AB438" s="12" t="str">
        <f t="shared" si="344"/>
        <v>0</v>
      </c>
      <c r="AC438" s="12"/>
      <c r="AD438" s="10">
        <f>+Risultati!L437</f>
        <v>0</v>
      </c>
      <c r="AE438" s="12" t="str">
        <f t="shared" si="345"/>
        <v>0</v>
      </c>
      <c r="AF438" s="12"/>
      <c r="AG438" s="10">
        <f>+Risultati!M437+Risultati!P437+Risultati!Q437</f>
        <v>0</v>
      </c>
      <c r="AH438" s="12" t="str">
        <f t="shared" si="346"/>
        <v>0</v>
      </c>
      <c r="AI438" s="12"/>
      <c r="AJ438" s="13">
        <f t="shared" si="359"/>
        <v>0</v>
      </c>
      <c r="AK438" s="11" t="str">
        <f t="shared" si="347"/>
        <v>0</v>
      </c>
      <c r="AL438" s="12"/>
      <c r="AM438" s="10">
        <f>+Risultati!N437</f>
        <v>0</v>
      </c>
      <c r="AN438" s="12" t="str">
        <f t="shared" si="348"/>
        <v>0</v>
      </c>
      <c r="AO438" s="12"/>
      <c r="AP438" s="10">
        <f t="shared" si="360"/>
        <v>0</v>
      </c>
      <c r="AQ438" s="41" t="str">
        <f t="shared" si="349"/>
        <v>0</v>
      </c>
      <c r="AR438" s="12"/>
      <c r="AS438" s="10">
        <f>+Risultati!O437</f>
        <v>0</v>
      </c>
      <c r="AT438" s="12" t="str">
        <f t="shared" si="350"/>
        <v>0</v>
      </c>
      <c r="AU438" s="12"/>
      <c r="AV438" s="10">
        <f t="shared" si="361"/>
        <v>0</v>
      </c>
      <c r="AW438" s="12" t="str">
        <f t="shared" si="351"/>
        <v>0</v>
      </c>
      <c r="AX438" s="12"/>
      <c r="AY438" s="10">
        <f>+Risultati!R437+Risultati!S437</f>
        <v>0</v>
      </c>
      <c r="AZ438" s="12" t="str">
        <f t="shared" si="352"/>
        <v>0</v>
      </c>
      <c r="BA438" s="12"/>
      <c r="BB438" s="10">
        <f>+Risultati!T437</f>
        <v>0</v>
      </c>
      <c r="BC438" s="12" t="str">
        <f t="shared" si="353"/>
        <v>0</v>
      </c>
      <c r="BD438" s="12"/>
      <c r="BE438" s="10">
        <f>+Risultati!U437</f>
        <v>0</v>
      </c>
      <c r="BF438" s="12" t="str">
        <f t="shared" si="354"/>
        <v>0</v>
      </c>
      <c r="BG438" s="12"/>
      <c r="BH438" s="10">
        <f t="shared" si="362"/>
        <v>0</v>
      </c>
      <c r="BI438" s="12" t="str">
        <f t="shared" si="355"/>
        <v>0</v>
      </c>
      <c r="BK438" s="16">
        <f>IF(ISNUMBER(Risultati!X437/100),(Risultati!X437/100))</f>
        <v>0</v>
      </c>
      <c r="BL438" s="16">
        <f>IF(ISNUMBER(Risultati!Y437/100),(Risultati!Y437/100))</f>
        <v>0</v>
      </c>
      <c r="BM438" s="16">
        <f>IF(ISNUMBER(Risultati!Z437/100),(Risultati!Z437/100))</f>
        <v>0</v>
      </c>
      <c r="BN438" s="16">
        <f>IF(AND(Risultati!AY437&lt;0,calcoli!AP438&lt;0),-IF(ISNUMBER(Risultati!AA437/100),(Risultati!AA437/100)),IF(ISNUMBER(Risultati!AA437/100),(Risultati!AA437/100)))</f>
        <v>0</v>
      </c>
      <c r="BO438" s="16" t="str">
        <f t="shared" si="336"/>
        <v>0</v>
      </c>
      <c r="BP438" s="16" t="str">
        <f>IF(Risultati!AB437&gt;0,(AV438/Risultati!AB437),"0")</f>
        <v>0</v>
      </c>
      <c r="BQ438" s="16" t="str">
        <f>IF(Risultati!AG437&lt;&gt;0,(BH438/Risultati!AG437),"0")</f>
        <v>0</v>
      </c>
      <c r="BR438" s="16" t="str">
        <f t="shared" si="337"/>
        <v>0</v>
      </c>
      <c r="BS438" s="14" t="str">
        <f>IF(Risultati!AB437&gt;0,(Risultati!G437/Risultati!AB437),"0")</f>
        <v>0</v>
      </c>
      <c r="BT438" s="15" t="str">
        <f>IF(Risultati!AG437&lt;&gt;0,(Risultati!AB437/Risultati!AG437),"0")</f>
        <v>0</v>
      </c>
      <c r="BU438" s="23" t="str">
        <f>IF(AND(Risultati!G437&gt;0,(Risultati!AE437-Risultati!AF437)&gt;=0),((Risultati!AE437-Risultati!AF437)/Risultati!G437*360),"0")</f>
        <v>0</v>
      </c>
      <c r="BV438" s="21" t="str">
        <f>IF(OR(E438="abbreviato",Risultati!G437=0),"0",((Risultati!AC437+Risultati!AD437)/Risultati!G437*360))</f>
        <v>0</v>
      </c>
      <c r="BW438" s="21" t="str">
        <f>IF(OR(E438="abbreviato",Risultati!G437=0,SUM(Risultati!I437+Risultati!K437+Risultati!M437)=0),"0",(((Risultati!AH437+Risultati!AI437)/(Risultati!I437+Risultati!K437+Risultati!N437)*360)))</f>
        <v>0</v>
      </c>
      <c r="BX438" s="16" t="str">
        <f>IF(Risultati!AB437&gt;0,(+Risultati!AG437/Risultati!AB437),"0")</f>
        <v>0</v>
      </c>
      <c r="BY438" s="22" t="str">
        <f>IF(OR(E438="abbreviato",Risultati!G437=0),"0",(((Risultati!AK437-(Risultati!AL437+Risultati!AM437))/Risultati!G437)))</f>
        <v>0</v>
      </c>
      <c r="BZ438" s="16" t="str">
        <f>IF(Risultati!G437&gt;0,(Risultati!AJ437/Risultati!G437),"0")</f>
        <v>0</v>
      </c>
      <c r="CA438" s="8"/>
      <c r="CB438" s="9">
        <f>+Risultati!AP437</f>
        <v>0</v>
      </c>
      <c r="CC438" s="31" t="str">
        <f t="shared" si="363"/>
        <v>0</v>
      </c>
      <c r="CD438" s="9">
        <f>+Risultati!AQ437</f>
        <v>0</v>
      </c>
      <c r="CE438" s="31" t="str">
        <f t="shared" si="364"/>
        <v>0</v>
      </c>
      <c r="CF438" s="9">
        <f>+Risultati!AR437</f>
        <v>0</v>
      </c>
      <c r="CG438" s="31" t="str">
        <f t="shared" si="365"/>
        <v>0</v>
      </c>
      <c r="CH438" s="9">
        <f>+Risultati!AS437</f>
        <v>0</v>
      </c>
      <c r="CI438" s="31" t="str">
        <f t="shared" si="366"/>
        <v>0</v>
      </c>
      <c r="CJ438" s="9">
        <f t="shared" si="367"/>
        <v>0</v>
      </c>
      <c r="CK438" s="31" t="str">
        <f t="shared" si="368"/>
        <v>0</v>
      </c>
      <c r="CL438" s="10">
        <f>+Risultati!AE437+Risultati!AF437</f>
        <v>0</v>
      </c>
      <c r="CM438" s="31" t="str">
        <f t="shared" si="369"/>
        <v>0</v>
      </c>
      <c r="CN438" s="9">
        <f>+Risultati!AT437</f>
        <v>0</v>
      </c>
      <c r="CO438" s="31" t="str">
        <f t="shared" si="370"/>
        <v>0</v>
      </c>
      <c r="CP438" s="9">
        <f>+Risultati!AU437</f>
        <v>0</v>
      </c>
      <c r="CQ438" s="31" t="str">
        <f t="shared" si="371"/>
        <v>0</v>
      </c>
      <c r="CR438" s="9">
        <f>+Risultati!AL437</f>
        <v>0</v>
      </c>
      <c r="CS438" s="31" t="str">
        <f t="shared" si="372"/>
        <v>0</v>
      </c>
      <c r="CT438" s="9">
        <f t="shared" si="373"/>
        <v>0</v>
      </c>
      <c r="CU438" s="31" t="str">
        <f t="shared" si="374"/>
        <v>0</v>
      </c>
      <c r="CV438" s="9">
        <f>+Risultati!AX437</f>
        <v>0</v>
      </c>
      <c r="CW438" s="31" t="str">
        <f t="shared" si="375"/>
        <v>0</v>
      </c>
      <c r="CX438" s="9">
        <f t="shared" si="376"/>
        <v>0</v>
      </c>
      <c r="CY438" s="31" t="str">
        <f t="shared" si="377"/>
        <v>0</v>
      </c>
      <c r="CZ438" s="9">
        <f>+Risultati!AG437</f>
        <v>0</v>
      </c>
      <c r="DA438" s="31" t="str">
        <f t="shared" si="378"/>
        <v>0</v>
      </c>
      <c r="DB438" s="9">
        <f t="shared" si="379"/>
        <v>0</v>
      </c>
      <c r="DC438" s="31" t="str">
        <f t="shared" si="380"/>
        <v>0</v>
      </c>
      <c r="DD438" s="9">
        <f>+Risultati!AV437</f>
        <v>0</v>
      </c>
      <c r="DE438" s="31" t="str">
        <f t="shared" si="381"/>
        <v>0</v>
      </c>
      <c r="DF438" s="9">
        <f>+Risultati!AJ437</f>
        <v>0</v>
      </c>
      <c r="DG438" s="31" t="str">
        <f t="shared" si="382"/>
        <v>0</v>
      </c>
      <c r="DH438" s="9">
        <f t="shared" si="383"/>
        <v>0</v>
      </c>
      <c r="DI438" s="31" t="str">
        <f t="shared" si="384"/>
        <v>0</v>
      </c>
      <c r="DJ438" s="9">
        <f>+Risultati!AW437</f>
        <v>0</v>
      </c>
      <c r="DK438" s="31" t="str">
        <f t="shared" si="385"/>
        <v>0</v>
      </c>
      <c r="DL438" s="10">
        <f t="shared" si="356"/>
        <v>0</v>
      </c>
      <c r="DM438" s="31" t="str">
        <f t="shared" si="386"/>
        <v>0</v>
      </c>
      <c r="DO438" s="30"/>
      <c r="DP438" s="30"/>
    </row>
    <row r="439" spans="1:120" x14ac:dyDescent="0.2">
      <c r="A439" s="5"/>
      <c r="B439" s="6">
        <f>+Risultati!B438</f>
        <v>0</v>
      </c>
      <c r="C439" s="6">
        <f>+Risultati!C438</f>
        <v>0</v>
      </c>
      <c r="D439" s="26" t="str">
        <f>IF(YEAR(Risultati!D438)=1900,(MID(Risultati!$AP$1,29,4)),YEAR(Risultati!D438))</f>
        <v/>
      </c>
      <c r="E439" s="6">
        <f>+Risultati!E438</f>
        <v>0</v>
      </c>
      <c r="F439" s="8" t="e">
        <f>(LEFT(Risultati!AN438,2)&amp;"-")&amp;VLOOKUP((LEFT(Risultati!AN438,2)),ateco!$B$4:$C$93,2,FALSE)</f>
        <v>#N/A</v>
      </c>
      <c r="G439" s="8" t="str">
        <f>SUBSTITUTE((Risultati!AN438&amp;"-"&amp;Risultati!AO438),",",";")</f>
        <v>-</v>
      </c>
      <c r="I439" s="10">
        <f>+Risultati!G438</f>
        <v>0</v>
      </c>
      <c r="J439" s="11" t="str">
        <f t="shared" si="338"/>
        <v>0</v>
      </c>
      <c r="K439" s="12"/>
      <c r="L439" s="10">
        <f>+Risultati!G438+Risultati!H438</f>
        <v>0</v>
      </c>
      <c r="M439" s="11" t="str">
        <f t="shared" si="339"/>
        <v>0</v>
      </c>
      <c r="N439" s="12"/>
      <c r="O439" s="10">
        <f>+Risultati!I438+Risultati!J438</f>
        <v>0</v>
      </c>
      <c r="P439" s="11" t="str">
        <f t="shared" si="340"/>
        <v>0</v>
      </c>
      <c r="Q439" s="12"/>
      <c r="R439" s="13">
        <f t="shared" si="357"/>
        <v>0</v>
      </c>
      <c r="S439" s="11" t="str">
        <f t="shared" si="341"/>
        <v>0</v>
      </c>
      <c r="T439" s="12"/>
      <c r="U439" s="10">
        <f>+Risultati!F438-(Risultati!G438+Risultati!H438)</f>
        <v>0</v>
      </c>
      <c r="V439" s="12" t="str">
        <f t="shared" si="342"/>
        <v>0</v>
      </c>
      <c r="W439" s="12"/>
      <c r="X439" s="10">
        <f t="shared" si="358"/>
        <v>0</v>
      </c>
      <c r="Y439" s="12" t="str">
        <f t="shared" si="343"/>
        <v>0</v>
      </c>
      <c r="Z439" s="12"/>
      <c r="AA439" s="10">
        <f>+Risultati!K438</f>
        <v>0</v>
      </c>
      <c r="AB439" s="12" t="str">
        <f t="shared" si="344"/>
        <v>0</v>
      </c>
      <c r="AC439" s="12"/>
      <c r="AD439" s="10">
        <f>+Risultati!L438</f>
        <v>0</v>
      </c>
      <c r="AE439" s="12" t="str">
        <f t="shared" si="345"/>
        <v>0</v>
      </c>
      <c r="AF439" s="12"/>
      <c r="AG439" s="10">
        <f>+Risultati!M438+Risultati!P438+Risultati!Q438</f>
        <v>0</v>
      </c>
      <c r="AH439" s="12" t="str">
        <f t="shared" si="346"/>
        <v>0</v>
      </c>
      <c r="AI439" s="12"/>
      <c r="AJ439" s="13">
        <f t="shared" si="359"/>
        <v>0</v>
      </c>
      <c r="AK439" s="11" t="str">
        <f t="shared" si="347"/>
        <v>0</v>
      </c>
      <c r="AL439" s="12"/>
      <c r="AM439" s="10">
        <f>+Risultati!N438</f>
        <v>0</v>
      </c>
      <c r="AN439" s="12" t="str">
        <f t="shared" si="348"/>
        <v>0</v>
      </c>
      <c r="AO439" s="12"/>
      <c r="AP439" s="10">
        <f t="shared" si="360"/>
        <v>0</v>
      </c>
      <c r="AQ439" s="41" t="str">
        <f t="shared" si="349"/>
        <v>0</v>
      </c>
      <c r="AR439" s="12"/>
      <c r="AS439" s="10">
        <f>+Risultati!O438</f>
        <v>0</v>
      </c>
      <c r="AT439" s="12" t="str">
        <f t="shared" si="350"/>
        <v>0</v>
      </c>
      <c r="AU439" s="12"/>
      <c r="AV439" s="10">
        <f t="shared" si="361"/>
        <v>0</v>
      </c>
      <c r="AW439" s="12" t="str">
        <f t="shared" si="351"/>
        <v>0</v>
      </c>
      <c r="AX439" s="12"/>
      <c r="AY439" s="10">
        <f>+Risultati!R438+Risultati!S438</f>
        <v>0</v>
      </c>
      <c r="AZ439" s="12" t="str">
        <f t="shared" si="352"/>
        <v>0</v>
      </c>
      <c r="BA439" s="12"/>
      <c r="BB439" s="10">
        <f>+Risultati!T438</f>
        <v>0</v>
      </c>
      <c r="BC439" s="12" t="str">
        <f t="shared" si="353"/>
        <v>0</v>
      </c>
      <c r="BD439" s="12"/>
      <c r="BE439" s="10">
        <f>+Risultati!U438</f>
        <v>0</v>
      </c>
      <c r="BF439" s="12" t="str">
        <f t="shared" si="354"/>
        <v>0</v>
      </c>
      <c r="BG439" s="12"/>
      <c r="BH439" s="10">
        <f t="shared" si="362"/>
        <v>0</v>
      </c>
      <c r="BI439" s="12" t="str">
        <f t="shared" si="355"/>
        <v>0</v>
      </c>
      <c r="BK439" s="16">
        <f>IF(ISNUMBER(Risultati!X438/100),(Risultati!X438/100))</f>
        <v>0</v>
      </c>
      <c r="BL439" s="16">
        <f>IF(ISNUMBER(Risultati!Y438/100),(Risultati!Y438/100))</f>
        <v>0</v>
      </c>
      <c r="BM439" s="16">
        <f>IF(ISNUMBER(Risultati!Z438/100),(Risultati!Z438/100))</f>
        <v>0</v>
      </c>
      <c r="BN439" s="16">
        <f>IF(AND(Risultati!AY438&lt;0,calcoli!AP439&lt;0),-IF(ISNUMBER(Risultati!AA438/100),(Risultati!AA438/100)),IF(ISNUMBER(Risultati!AA438/100),(Risultati!AA438/100)))</f>
        <v>0</v>
      </c>
      <c r="BO439" s="16" t="str">
        <f t="shared" si="336"/>
        <v>0</v>
      </c>
      <c r="BP439" s="16" t="str">
        <f>IF(Risultati!AB438&gt;0,(AV439/Risultati!AB438),"0")</f>
        <v>0</v>
      </c>
      <c r="BQ439" s="16" t="str">
        <f>IF(Risultati!AG438&lt;&gt;0,(BH439/Risultati!AG438),"0")</f>
        <v>0</v>
      </c>
      <c r="BR439" s="16" t="str">
        <f t="shared" si="337"/>
        <v>0</v>
      </c>
      <c r="BS439" s="14" t="str">
        <f>IF(Risultati!AB438&gt;0,(Risultati!G438/Risultati!AB438),"0")</f>
        <v>0</v>
      </c>
      <c r="BT439" s="15" t="str">
        <f>IF(Risultati!AG438&lt;&gt;0,(Risultati!AB438/Risultati!AG438),"0")</f>
        <v>0</v>
      </c>
      <c r="BU439" s="23" t="str">
        <f>IF(AND(Risultati!G438&gt;0,(Risultati!AE438-Risultati!AF438)&gt;=0),((Risultati!AE438-Risultati!AF438)/Risultati!G438*360),"0")</f>
        <v>0</v>
      </c>
      <c r="BV439" s="21" t="str">
        <f>IF(OR(E439="abbreviato",Risultati!G438=0),"0",((Risultati!AC438+Risultati!AD438)/Risultati!G438*360))</f>
        <v>0</v>
      </c>
      <c r="BW439" s="21" t="str">
        <f>IF(OR(E439="abbreviato",Risultati!G438=0,SUM(Risultati!I438+Risultati!K438+Risultati!M438)=0),"0",(((Risultati!AH438+Risultati!AI438)/(Risultati!I438+Risultati!K438+Risultati!N438)*360)))</f>
        <v>0</v>
      </c>
      <c r="BX439" s="16" t="str">
        <f>IF(Risultati!AB438&gt;0,(+Risultati!AG438/Risultati!AB438),"0")</f>
        <v>0</v>
      </c>
      <c r="BY439" s="22" t="str">
        <f>IF(OR(E439="abbreviato",Risultati!G438=0),"0",(((Risultati!AK438-(Risultati!AL438+Risultati!AM438))/Risultati!G438)))</f>
        <v>0</v>
      </c>
      <c r="BZ439" s="16" t="str">
        <f>IF(Risultati!G438&gt;0,(Risultati!AJ438/Risultati!G438),"0")</f>
        <v>0</v>
      </c>
      <c r="CA439" s="8"/>
      <c r="CB439" s="9">
        <f>+Risultati!AP438</f>
        <v>0</v>
      </c>
      <c r="CC439" s="31" t="str">
        <f t="shared" si="363"/>
        <v>0</v>
      </c>
      <c r="CD439" s="9">
        <f>+Risultati!AQ438</f>
        <v>0</v>
      </c>
      <c r="CE439" s="31" t="str">
        <f t="shared" si="364"/>
        <v>0</v>
      </c>
      <c r="CF439" s="9">
        <f>+Risultati!AR438</f>
        <v>0</v>
      </c>
      <c r="CG439" s="31" t="str">
        <f t="shared" si="365"/>
        <v>0</v>
      </c>
      <c r="CH439" s="9">
        <f>+Risultati!AS438</f>
        <v>0</v>
      </c>
      <c r="CI439" s="31" t="str">
        <f t="shared" si="366"/>
        <v>0</v>
      </c>
      <c r="CJ439" s="9">
        <f t="shared" si="367"/>
        <v>0</v>
      </c>
      <c r="CK439" s="31" t="str">
        <f t="shared" si="368"/>
        <v>0</v>
      </c>
      <c r="CL439" s="10">
        <f>+Risultati!AE438+Risultati!AF438</f>
        <v>0</v>
      </c>
      <c r="CM439" s="31" t="str">
        <f t="shared" si="369"/>
        <v>0</v>
      </c>
      <c r="CN439" s="9">
        <f>+Risultati!AT438</f>
        <v>0</v>
      </c>
      <c r="CO439" s="31" t="str">
        <f t="shared" si="370"/>
        <v>0</v>
      </c>
      <c r="CP439" s="9">
        <f>+Risultati!AU438</f>
        <v>0</v>
      </c>
      <c r="CQ439" s="31" t="str">
        <f t="shared" si="371"/>
        <v>0</v>
      </c>
      <c r="CR439" s="9">
        <f>+Risultati!AL438</f>
        <v>0</v>
      </c>
      <c r="CS439" s="31" t="str">
        <f t="shared" si="372"/>
        <v>0</v>
      </c>
      <c r="CT439" s="9">
        <f t="shared" si="373"/>
        <v>0</v>
      </c>
      <c r="CU439" s="31" t="str">
        <f t="shared" si="374"/>
        <v>0</v>
      </c>
      <c r="CV439" s="9">
        <f>+Risultati!AX438</f>
        <v>0</v>
      </c>
      <c r="CW439" s="31" t="str">
        <f t="shared" si="375"/>
        <v>0</v>
      </c>
      <c r="CX439" s="9">
        <f t="shared" si="376"/>
        <v>0</v>
      </c>
      <c r="CY439" s="31" t="str">
        <f t="shared" si="377"/>
        <v>0</v>
      </c>
      <c r="CZ439" s="9">
        <f>+Risultati!AG438</f>
        <v>0</v>
      </c>
      <c r="DA439" s="31" t="str">
        <f t="shared" si="378"/>
        <v>0</v>
      </c>
      <c r="DB439" s="9">
        <f t="shared" si="379"/>
        <v>0</v>
      </c>
      <c r="DC439" s="31" t="str">
        <f t="shared" si="380"/>
        <v>0</v>
      </c>
      <c r="DD439" s="9">
        <f>+Risultati!AV438</f>
        <v>0</v>
      </c>
      <c r="DE439" s="31" t="str">
        <f t="shared" si="381"/>
        <v>0</v>
      </c>
      <c r="DF439" s="9">
        <f>+Risultati!AJ438</f>
        <v>0</v>
      </c>
      <c r="DG439" s="31" t="str">
        <f t="shared" si="382"/>
        <v>0</v>
      </c>
      <c r="DH439" s="9">
        <f t="shared" si="383"/>
        <v>0</v>
      </c>
      <c r="DI439" s="31" t="str">
        <f t="shared" si="384"/>
        <v>0</v>
      </c>
      <c r="DJ439" s="9">
        <f>+Risultati!AW438</f>
        <v>0</v>
      </c>
      <c r="DK439" s="31" t="str">
        <f t="shared" si="385"/>
        <v>0</v>
      </c>
      <c r="DL439" s="10">
        <f t="shared" si="356"/>
        <v>0</v>
      </c>
      <c r="DM439" s="31" t="str">
        <f t="shared" si="386"/>
        <v>0</v>
      </c>
      <c r="DO439" s="30"/>
      <c r="DP439" s="30"/>
    </row>
    <row r="440" spans="1:120" x14ac:dyDescent="0.2">
      <c r="A440" s="5"/>
      <c r="B440" s="6">
        <f>+Risultati!B439</f>
        <v>0</v>
      </c>
      <c r="C440" s="6">
        <f>+Risultati!C439</f>
        <v>0</v>
      </c>
      <c r="D440" s="26" t="str">
        <f>IF(YEAR(Risultati!D439)=1900,(MID(Risultati!$AP$1,29,4)),YEAR(Risultati!D439))</f>
        <v/>
      </c>
      <c r="E440" s="6">
        <f>+Risultati!E439</f>
        <v>0</v>
      </c>
      <c r="F440" s="8" t="e">
        <f>(LEFT(Risultati!AN439,2)&amp;"-")&amp;VLOOKUP((LEFT(Risultati!AN439,2)),ateco!$B$4:$C$93,2,FALSE)</f>
        <v>#N/A</v>
      </c>
      <c r="G440" s="8" t="str">
        <f>SUBSTITUTE((Risultati!AN439&amp;"-"&amp;Risultati!AO439),",",";")</f>
        <v>-</v>
      </c>
      <c r="I440" s="10">
        <f>+Risultati!G439</f>
        <v>0</v>
      </c>
      <c r="J440" s="11" t="str">
        <f t="shared" si="338"/>
        <v>0</v>
      </c>
      <c r="K440" s="12"/>
      <c r="L440" s="10">
        <f>+Risultati!G439+Risultati!H439</f>
        <v>0</v>
      </c>
      <c r="M440" s="11" t="str">
        <f t="shared" si="339"/>
        <v>0</v>
      </c>
      <c r="N440" s="12"/>
      <c r="O440" s="10">
        <f>+Risultati!I439+Risultati!J439</f>
        <v>0</v>
      </c>
      <c r="P440" s="11" t="str">
        <f t="shared" si="340"/>
        <v>0</v>
      </c>
      <c r="Q440" s="12"/>
      <c r="R440" s="13">
        <f t="shared" si="357"/>
        <v>0</v>
      </c>
      <c r="S440" s="11" t="str">
        <f t="shared" si="341"/>
        <v>0</v>
      </c>
      <c r="T440" s="12"/>
      <c r="U440" s="10">
        <f>+Risultati!F439-(Risultati!G439+Risultati!H439)</f>
        <v>0</v>
      </c>
      <c r="V440" s="12" t="str">
        <f t="shared" si="342"/>
        <v>0</v>
      </c>
      <c r="W440" s="12"/>
      <c r="X440" s="10">
        <f t="shared" si="358"/>
        <v>0</v>
      </c>
      <c r="Y440" s="12" t="str">
        <f t="shared" si="343"/>
        <v>0</v>
      </c>
      <c r="Z440" s="12"/>
      <c r="AA440" s="10">
        <f>+Risultati!K439</f>
        <v>0</v>
      </c>
      <c r="AB440" s="12" t="str">
        <f t="shared" si="344"/>
        <v>0</v>
      </c>
      <c r="AC440" s="12"/>
      <c r="AD440" s="10">
        <f>+Risultati!L439</f>
        <v>0</v>
      </c>
      <c r="AE440" s="12" t="str">
        <f t="shared" si="345"/>
        <v>0</v>
      </c>
      <c r="AF440" s="12"/>
      <c r="AG440" s="10">
        <f>+Risultati!M439+Risultati!P439+Risultati!Q439</f>
        <v>0</v>
      </c>
      <c r="AH440" s="12" t="str">
        <f t="shared" si="346"/>
        <v>0</v>
      </c>
      <c r="AI440" s="12"/>
      <c r="AJ440" s="13">
        <f t="shared" si="359"/>
        <v>0</v>
      </c>
      <c r="AK440" s="11" t="str">
        <f t="shared" si="347"/>
        <v>0</v>
      </c>
      <c r="AL440" s="12"/>
      <c r="AM440" s="10">
        <f>+Risultati!N439</f>
        <v>0</v>
      </c>
      <c r="AN440" s="12" t="str">
        <f t="shared" si="348"/>
        <v>0</v>
      </c>
      <c r="AO440" s="12"/>
      <c r="AP440" s="10">
        <f t="shared" si="360"/>
        <v>0</v>
      </c>
      <c r="AQ440" s="41" t="str">
        <f t="shared" si="349"/>
        <v>0</v>
      </c>
      <c r="AR440" s="12"/>
      <c r="AS440" s="10">
        <f>+Risultati!O439</f>
        <v>0</v>
      </c>
      <c r="AT440" s="12" t="str">
        <f t="shared" si="350"/>
        <v>0</v>
      </c>
      <c r="AU440" s="12"/>
      <c r="AV440" s="10">
        <f t="shared" si="361"/>
        <v>0</v>
      </c>
      <c r="AW440" s="12" t="str">
        <f t="shared" si="351"/>
        <v>0</v>
      </c>
      <c r="AX440" s="12"/>
      <c r="AY440" s="10">
        <f>+Risultati!R439+Risultati!S439</f>
        <v>0</v>
      </c>
      <c r="AZ440" s="12" t="str">
        <f t="shared" si="352"/>
        <v>0</v>
      </c>
      <c r="BA440" s="12"/>
      <c r="BB440" s="10">
        <f>+Risultati!T439</f>
        <v>0</v>
      </c>
      <c r="BC440" s="12" t="str">
        <f t="shared" si="353"/>
        <v>0</v>
      </c>
      <c r="BD440" s="12"/>
      <c r="BE440" s="10">
        <f>+Risultati!U439</f>
        <v>0</v>
      </c>
      <c r="BF440" s="12" t="str">
        <f t="shared" si="354"/>
        <v>0</v>
      </c>
      <c r="BG440" s="12"/>
      <c r="BH440" s="10">
        <f t="shared" si="362"/>
        <v>0</v>
      </c>
      <c r="BI440" s="12" t="str">
        <f t="shared" si="355"/>
        <v>0</v>
      </c>
      <c r="BK440" s="16">
        <f>IF(ISNUMBER(Risultati!X439/100),(Risultati!X439/100))</f>
        <v>0</v>
      </c>
      <c r="BL440" s="16">
        <f>IF(ISNUMBER(Risultati!Y439/100),(Risultati!Y439/100))</f>
        <v>0</v>
      </c>
      <c r="BM440" s="16">
        <f>IF(ISNUMBER(Risultati!Z439/100),(Risultati!Z439/100))</f>
        <v>0</v>
      </c>
      <c r="BN440" s="16">
        <f>IF(AND(Risultati!AY439&lt;0,calcoli!AP440&lt;0),-IF(ISNUMBER(Risultati!AA439/100),(Risultati!AA439/100)),IF(ISNUMBER(Risultati!AA439/100),(Risultati!AA439/100)))</f>
        <v>0</v>
      </c>
      <c r="BO440" s="16" t="str">
        <f t="shared" si="336"/>
        <v>0</v>
      </c>
      <c r="BP440" s="16" t="str">
        <f>IF(Risultati!AB439&gt;0,(AV440/Risultati!AB439),"0")</f>
        <v>0</v>
      </c>
      <c r="BQ440" s="16" t="str">
        <f>IF(Risultati!AG439&lt;&gt;0,(BH440/Risultati!AG439),"0")</f>
        <v>0</v>
      </c>
      <c r="BR440" s="16" t="str">
        <f t="shared" si="337"/>
        <v>0</v>
      </c>
      <c r="BS440" s="14" t="str">
        <f>IF(Risultati!AB439&gt;0,(Risultati!G439/Risultati!AB439),"0")</f>
        <v>0</v>
      </c>
      <c r="BT440" s="15" t="str">
        <f>IF(Risultati!AG439&lt;&gt;0,(Risultati!AB439/Risultati!AG439),"0")</f>
        <v>0</v>
      </c>
      <c r="BU440" s="23" t="str">
        <f>IF(AND(Risultati!G439&gt;0,(Risultati!AE439-Risultati!AF439)&gt;=0),((Risultati!AE439-Risultati!AF439)/Risultati!G439*360),"0")</f>
        <v>0</v>
      </c>
      <c r="BV440" s="21" t="str">
        <f>IF(OR(E440="abbreviato",Risultati!G439=0),"0",((Risultati!AC439+Risultati!AD439)/Risultati!G439*360))</f>
        <v>0</v>
      </c>
      <c r="BW440" s="21" t="str">
        <f>IF(OR(E440="abbreviato",Risultati!G439=0,SUM(Risultati!I439+Risultati!K439+Risultati!M439)=0),"0",(((Risultati!AH439+Risultati!AI439)/(Risultati!I439+Risultati!K439+Risultati!N439)*360)))</f>
        <v>0</v>
      </c>
      <c r="BX440" s="16" t="str">
        <f>IF(Risultati!AB439&gt;0,(+Risultati!AG439/Risultati!AB439),"0")</f>
        <v>0</v>
      </c>
      <c r="BY440" s="22" t="str">
        <f>IF(OR(E440="abbreviato",Risultati!G439=0),"0",(((Risultati!AK439-(Risultati!AL439+Risultati!AM439))/Risultati!G439)))</f>
        <v>0</v>
      </c>
      <c r="BZ440" s="16" t="str">
        <f>IF(Risultati!G439&gt;0,(Risultati!AJ439/Risultati!G439),"0")</f>
        <v>0</v>
      </c>
      <c r="CA440" s="8"/>
      <c r="CB440" s="9">
        <f>+Risultati!AP439</f>
        <v>0</v>
      </c>
      <c r="CC440" s="31" t="str">
        <f t="shared" si="363"/>
        <v>0</v>
      </c>
      <c r="CD440" s="9">
        <f>+Risultati!AQ439</f>
        <v>0</v>
      </c>
      <c r="CE440" s="31" t="str">
        <f t="shared" si="364"/>
        <v>0</v>
      </c>
      <c r="CF440" s="9">
        <f>+Risultati!AR439</f>
        <v>0</v>
      </c>
      <c r="CG440" s="31" t="str">
        <f t="shared" si="365"/>
        <v>0</v>
      </c>
      <c r="CH440" s="9">
        <f>+Risultati!AS439</f>
        <v>0</v>
      </c>
      <c r="CI440" s="31" t="str">
        <f t="shared" si="366"/>
        <v>0</v>
      </c>
      <c r="CJ440" s="9">
        <f t="shared" si="367"/>
        <v>0</v>
      </c>
      <c r="CK440" s="31" t="str">
        <f t="shared" si="368"/>
        <v>0</v>
      </c>
      <c r="CL440" s="10">
        <f>+Risultati!AE439+Risultati!AF439</f>
        <v>0</v>
      </c>
      <c r="CM440" s="31" t="str">
        <f t="shared" si="369"/>
        <v>0</v>
      </c>
      <c r="CN440" s="9">
        <f>+Risultati!AT439</f>
        <v>0</v>
      </c>
      <c r="CO440" s="31" t="str">
        <f t="shared" si="370"/>
        <v>0</v>
      </c>
      <c r="CP440" s="9">
        <f>+Risultati!AU439</f>
        <v>0</v>
      </c>
      <c r="CQ440" s="31" t="str">
        <f t="shared" si="371"/>
        <v>0</v>
      </c>
      <c r="CR440" s="9">
        <f>+Risultati!AL439</f>
        <v>0</v>
      </c>
      <c r="CS440" s="31" t="str">
        <f t="shared" si="372"/>
        <v>0</v>
      </c>
      <c r="CT440" s="9">
        <f t="shared" si="373"/>
        <v>0</v>
      </c>
      <c r="CU440" s="31" t="str">
        <f t="shared" si="374"/>
        <v>0</v>
      </c>
      <c r="CV440" s="9">
        <f>+Risultati!AX439</f>
        <v>0</v>
      </c>
      <c r="CW440" s="31" t="str">
        <f t="shared" si="375"/>
        <v>0</v>
      </c>
      <c r="CX440" s="9">
        <f t="shared" si="376"/>
        <v>0</v>
      </c>
      <c r="CY440" s="31" t="str">
        <f t="shared" si="377"/>
        <v>0</v>
      </c>
      <c r="CZ440" s="9">
        <f>+Risultati!AG439</f>
        <v>0</v>
      </c>
      <c r="DA440" s="31" t="str">
        <f t="shared" si="378"/>
        <v>0</v>
      </c>
      <c r="DB440" s="9">
        <f t="shared" si="379"/>
        <v>0</v>
      </c>
      <c r="DC440" s="31" t="str">
        <f t="shared" si="380"/>
        <v>0</v>
      </c>
      <c r="DD440" s="9">
        <f>+Risultati!AV439</f>
        <v>0</v>
      </c>
      <c r="DE440" s="31" t="str">
        <f t="shared" si="381"/>
        <v>0</v>
      </c>
      <c r="DF440" s="9">
        <f>+Risultati!AJ439</f>
        <v>0</v>
      </c>
      <c r="DG440" s="31" t="str">
        <f t="shared" si="382"/>
        <v>0</v>
      </c>
      <c r="DH440" s="9">
        <f t="shared" si="383"/>
        <v>0</v>
      </c>
      <c r="DI440" s="31" t="str">
        <f t="shared" si="384"/>
        <v>0</v>
      </c>
      <c r="DJ440" s="9">
        <f>+Risultati!AW439</f>
        <v>0</v>
      </c>
      <c r="DK440" s="31" t="str">
        <f t="shared" si="385"/>
        <v>0</v>
      </c>
      <c r="DL440" s="10">
        <f t="shared" si="356"/>
        <v>0</v>
      </c>
      <c r="DM440" s="31" t="str">
        <f t="shared" si="386"/>
        <v>0</v>
      </c>
      <c r="DO440" s="30"/>
      <c r="DP440" s="30"/>
    </row>
    <row r="441" spans="1:120" x14ac:dyDescent="0.2">
      <c r="A441" s="5"/>
      <c r="B441" s="6">
        <f>+Risultati!B440</f>
        <v>0</v>
      </c>
      <c r="C441" s="6">
        <f>+Risultati!C440</f>
        <v>0</v>
      </c>
      <c r="D441" s="26" t="str">
        <f>IF(YEAR(Risultati!D440)=1900,(MID(Risultati!$AP$1,29,4)),YEAR(Risultati!D440))</f>
        <v/>
      </c>
      <c r="E441" s="6">
        <f>+Risultati!E440</f>
        <v>0</v>
      </c>
      <c r="F441" s="8" t="e">
        <f>(LEFT(Risultati!AN440,2)&amp;"-")&amp;VLOOKUP((LEFT(Risultati!AN440,2)),ateco!$B$4:$C$93,2,FALSE)</f>
        <v>#N/A</v>
      </c>
      <c r="G441" s="8" t="str">
        <f>SUBSTITUTE((Risultati!AN440&amp;"-"&amp;Risultati!AO440),",",";")</f>
        <v>-</v>
      </c>
      <c r="I441" s="10">
        <f>+Risultati!G440</f>
        <v>0</v>
      </c>
      <c r="J441" s="11" t="str">
        <f t="shared" si="338"/>
        <v>0</v>
      </c>
      <c r="K441" s="12"/>
      <c r="L441" s="10">
        <f>+Risultati!G440+Risultati!H440</f>
        <v>0</v>
      </c>
      <c r="M441" s="11" t="str">
        <f t="shared" si="339"/>
        <v>0</v>
      </c>
      <c r="N441" s="12"/>
      <c r="O441" s="10">
        <f>+Risultati!I440+Risultati!J440</f>
        <v>0</v>
      </c>
      <c r="P441" s="11" t="str">
        <f t="shared" si="340"/>
        <v>0</v>
      </c>
      <c r="Q441" s="12"/>
      <c r="R441" s="13">
        <f t="shared" si="357"/>
        <v>0</v>
      </c>
      <c r="S441" s="11" t="str">
        <f t="shared" si="341"/>
        <v>0</v>
      </c>
      <c r="T441" s="12"/>
      <c r="U441" s="10">
        <f>+Risultati!F440-(Risultati!G440+Risultati!H440)</f>
        <v>0</v>
      </c>
      <c r="V441" s="12" t="str">
        <f t="shared" si="342"/>
        <v>0</v>
      </c>
      <c r="W441" s="12"/>
      <c r="X441" s="10">
        <f t="shared" si="358"/>
        <v>0</v>
      </c>
      <c r="Y441" s="12" t="str">
        <f t="shared" si="343"/>
        <v>0</v>
      </c>
      <c r="Z441" s="12"/>
      <c r="AA441" s="10">
        <f>+Risultati!K440</f>
        <v>0</v>
      </c>
      <c r="AB441" s="12" t="str">
        <f t="shared" si="344"/>
        <v>0</v>
      </c>
      <c r="AC441" s="12"/>
      <c r="AD441" s="10">
        <f>+Risultati!L440</f>
        <v>0</v>
      </c>
      <c r="AE441" s="12" t="str">
        <f t="shared" si="345"/>
        <v>0</v>
      </c>
      <c r="AF441" s="12"/>
      <c r="AG441" s="10">
        <f>+Risultati!M440+Risultati!P440+Risultati!Q440</f>
        <v>0</v>
      </c>
      <c r="AH441" s="12" t="str">
        <f t="shared" si="346"/>
        <v>0</v>
      </c>
      <c r="AI441" s="12"/>
      <c r="AJ441" s="13">
        <f t="shared" si="359"/>
        <v>0</v>
      </c>
      <c r="AK441" s="11" t="str">
        <f t="shared" si="347"/>
        <v>0</v>
      </c>
      <c r="AL441" s="12"/>
      <c r="AM441" s="10">
        <f>+Risultati!N440</f>
        <v>0</v>
      </c>
      <c r="AN441" s="12" t="str">
        <f t="shared" si="348"/>
        <v>0</v>
      </c>
      <c r="AO441" s="12"/>
      <c r="AP441" s="10">
        <f t="shared" si="360"/>
        <v>0</v>
      </c>
      <c r="AQ441" s="41" t="str">
        <f t="shared" si="349"/>
        <v>0</v>
      </c>
      <c r="AR441" s="12"/>
      <c r="AS441" s="10">
        <f>+Risultati!O440</f>
        <v>0</v>
      </c>
      <c r="AT441" s="12" t="str">
        <f t="shared" si="350"/>
        <v>0</v>
      </c>
      <c r="AU441" s="12"/>
      <c r="AV441" s="10">
        <f t="shared" si="361"/>
        <v>0</v>
      </c>
      <c r="AW441" s="12" t="str">
        <f t="shared" si="351"/>
        <v>0</v>
      </c>
      <c r="AX441" s="12"/>
      <c r="AY441" s="10">
        <f>+Risultati!R440+Risultati!S440</f>
        <v>0</v>
      </c>
      <c r="AZ441" s="12" t="str">
        <f t="shared" si="352"/>
        <v>0</v>
      </c>
      <c r="BA441" s="12"/>
      <c r="BB441" s="10">
        <f>+Risultati!T440</f>
        <v>0</v>
      </c>
      <c r="BC441" s="12" t="str">
        <f t="shared" si="353"/>
        <v>0</v>
      </c>
      <c r="BD441" s="12"/>
      <c r="BE441" s="10">
        <f>+Risultati!U440</f>
        <v>0</v>
      </c>
      <c r="BF441" s="12" t="str">
        <f t="shared" si="354"/>
        <v>0</v>
      </c>
      <c r="BG441" s="12"/>
      <c r="BH441" s="10">
        <f t="shared" si="362"/>
        <v>0</v>
      </c>
      <c r="BI441" s="12" t="str">
        <f t="shared" si="355"/>
        <v>0</v>
      </c>
      <c r="BK441" s="16">
        <f>IF(ISNUMBER(Risultati!X440/100),(Risultati!X440/100))</f>
        <v>0</v>
      </c>
      <c r="BL441" s="16">
        <f>IF(ISNUMBER(Risultati!Y440/100),(Risultati!Y440/100))</f>
        <v>0</v>
      </c>
      <c r="BM441" s="16">
        <f>IF(ISNUMBER(Risultati!Z440/100),(Risultati!Z440/100))</f>
        <v>0</v>
      </c>
      <c r="BN441" s="16">
        <f>IF(AND(Risultati!AY440&lt;0,calcoli!AP441&lt;0),-IF(ISNUMBER(Risultati!AA440/100),(Risultati!AA440/100)),IF(ISNUMBER(Risultati!AA440/100),(Risultati!AA440/100)))</f>
        <v>0</v>
      </c>
      <c r="BO441" s="16" t="str">
        <f t="shared" si="336"/>
        <v>0</v>
      </c>
      <c r="BP441" s="16" t="str">
        <f>IF(Risultati!AB440&gt;0,(AV441/Risultati!AB440),"0")</f>
        <v>0</v>
      </c>
      <c r="BQ441" s="16" t="str">
        <f>IF(Risultati!AG440&lt;&gt;0,(BH441/Risultati!AG440),"0")</f>
        <v>0</v>
      </c>
      <c r="BR441" s="16" t="str">
        <f t="shared" si="337"/>
        <v>0</v>
      </c>
      <c r="BS441" s="14" t="str">
        <f>IF(Risultati!AB440&gt;0,(Risultati!G440/Risultati!AB440),"0")</f>
        <v>0</v>
      </c>
      <c r="BT441" s="15" t="str">
        <f>IF(Risultati!AG440&lt;&gt;0,(Risultati!AB440/Risultati!AG440),"0")</f>
        <v>0</v>
      </c>
      <c r="BU441" s="23" t="str">
        <f>IF(AND(Risultati!G440&gt;0,(Risultati!AE440-Risultati!AF440)&gt;=0),((Risultati!AE440-Risultati!AF440)/Risultati!G440*360),"0")</f>
        <v>0</v>
      </c>
      <c r="BV441" s="21" t="str">
        <f>IF(OR(E441="abbreviato",Risultati!G440=0),"0",((Risultati!AC440+Risultati!AD440)/Risultati!G440*360))</f>
        <v>0</v>
      </c>
      <c r="BW441" s="21" t="str">
        <f>IF(OR(E441="abbreviato",Risultati!G440=0,SUM(Risultati!I440+Risultati!K440+Risultati!M440)=0),"0",(((Risultati!AH440+Risultati!AI440)/(Risultati!I440+Risultati!K440+Risultati!N440)*360)))</f>
        <v>0</v>
      </c>
      <c r="BX441" s="16" t="str">
        <f>IF(Risultati!AB440&gt;0,(+Risultati!AG440/Risultati!AB440),"0")</f>
        <v>0</v>
      </c>
      <c r="BY441" s="22" t="str">
        <f>IF(OR(E441="abbreviato",Risultati!G440=0),"0",(((Risultati!AK440-(Risultati!AL440+Risultati!AM440))/Risultati!G440)))</f>
        <v>0</v>
      </c>
      <c r="BZ441" s="16" t="str">
        <f>IF(Risultati!G440&gt;0,(Risultati!AJ440/Risultati!G440),"0")</f>
        <v>0</v>
      </c>
      <c r="CA441" s="8"/>
      <c r="CB441" s="9">
        <f>+Risultati!AP440</f>
        <v>0</v>
      </c>
      <c r="CC441" s="31" t="str">
        <f t="shared" si="363"/>
        <v>0</v>
      </c>
      <c r="CD441" s="9">
        <f>+Risultati!AQ440</f>
        <v>0</v>
      </c>
      <c r="CE441" s="31" t="str">
        <f t="shared" si="364"/>
        <v>0</v>
      </c>
      <c r="CF441" s="9">
        <f>+Risultati!AR440</f>
        <v>0</v>
      </c>
      <c r="CG441" s="31" t="str">
        <f t="shared" si="365"/>
        <v>0</v>
      </c>
      <c r="CH441" s="9">
        <f>+Risultati!AS440</f>
        <v>0</v>
      </c>
      <c r="CI441" s="31" t="str">
        <f t="shared" si="366"/>
        <v>0</v>
      </c>
      <c r="CJ441" s="9">
        <f t="shared" si="367"/>
        <v>0</v>
      </c>
      <c r="CK441" s="31" t="str">
        <f t="shared" si="368"/>
        <v>0</v>
      </c>
      <c r="CL441" s="10">
        <f>+Risultati!AE440+Risultati!AF440</f>
        <v>0</v>
      </c>
      <c r="CM441" s="31" t="str">
        <f t="shared" si="369"/>
        <v>0</v>
      </c>
      <c r="CN441" s="9">
        <f>+Risultati!AT440</f>
        <v>0</v>
      </c>
      <c r="CO441" s="31" t="str">
        <f t="shared" si="370"/>
        <v>0</v>
      </c>
      <c r="CP441" s="9">
        <f>+Risultati!AU440</f>
        <v>0</v>
      </c>
      <c r="CQ441" s="31" t="str">
        <f t="shared" si="371"/>
        <v>0</v>
      </c>
      <c r="CR441" s="9">
        <f>+Risultati!AL440</f>
        <v>0</v>
      </c>
      <c r="CS441" s="31" t="str">
        <f t="shared" si="372"/>
        <v>0</v>
      </c>
      <c r="CT441" s="9">
        <f t="shared" si="373"/>
        <v>0</v>
      </c>
      <c r="CU441" s="31" t="str">
        <f t="shared" si="374"/>
        <v>0</v>
      </c>
      <c r="CV441" s="9">
        <f>+Risultati!AX440</f>
        <v>0</v>
      </c>
      <c r="CW441" s="31" t="str">
        <f t="shared" si="375"/>
        <v>0</v>
      </c>
      <c r="CX441" s="9">
        <f t="shared" si="376"/>
        <v>0</v>
      </c>
      <c r="CY441" s="31" t="str">
        <f t="shared" si="377"/>
        <v>0</v>
      </c>
      <c r="CZ441" s="9">
        <f>+Risultati!AG440</f>
        <v>0</v>
      </c>
      <c r="DA441" s="31" t="str">
        <f t="shared" si="378"/>
        <v>0</v>
      </c>
      <c r="DB441" s="9">
        <f t="shared" si="379"/>
        <v>0</v>
      </c>
      <c r="DC441" s="31" t="str">
        <f t="shared" si="380"/>
        <v>0</v>
      </c>
      <c r="DD441" s="9">
        <f>+Risultati!AV440</f>
        <v>0</v>
      </c>
      <c r="DE441" s="31" t="str">
        <f t="shared" si="381"/>
        <v>0</v>
      </c>
      <c r="DF441" s="9">
        <f>+Risultati!AJ440</f>
        <v>0</v>
      </c>
      <c r="DG441" s="31" t="str">
        <f t="shared" si="382"/>
        <v>0</v>
      </c>
      <c r="DH441" s="9">
        <f t="shared" si="383"/>
        <v>0</v>
      </c>
      <c r="DI441" s="31" t="str">
        <f t="shared" si="384"/>
        <v>0</v>
      </c>
      <c r="DJ441" s="9">
        <f>+Risultati!AW440</f>
        <v>0</v>
      </c>
      <c r="DK441" s="31" t="str">
        <f t="shared" si="385"/>
        <v>0</v>
      </c>
      <c r="DL441" s="10">
        <f t="shared" si="356"/>
        <v>0</v>
      </c>
      <c r="DM441" s="31" t="str">
        <f t="shared" si="386"/>
        <v>0</v>
      </c>
      <c r="DO441" s="30"/>
      <c r="DP441" s="30"/>
    </row>
    <row r="442" spans="1:120" x14ac:dyDescent="0.2">
      <c r="A442" s="5"/>
      <c r="B442" s="6">
        <f>+Risultati!B441</f>
        <v>0</v>
      </c>
      <c r="C442" s="6">
        <f>+Risultati!C441</f>
        <v>0</v>
      </c>
      <c r="D442" s="26" t="str">
        <f>IF(YEAR(Risultati!D441)=1900,(MID(Risultati!$AP$1,29,4)),YEAR(Risultati!D441))</f>
        <v/>
      </c>
      <c r="E442" s="6">
        <f>+Risultati!E441</f>
        <v>0</v>
      </c>
      <c r="F442" s="8" t="e">
        <f>(LEFT(Risultati!AN441,2)&amp;"-")&amp;VLOOKUP((LEFT(Risultati!AN441,2)),ateco!$B$4:$C$93,2,FALSE)</f>
        <v>#N/A</v>
      </c>
      <c r="G442" s="8" t="str">
        <f>SUBSTITUTE((Risultati!AN441&amp;"-"&amp;Risultati!AO441),",",";")</f>
        <v>-</v>
      </c>
      <c r="I442" s="10">
        <f>+Risultati!G441</f>
        <v>0</v>
      </c>
      <c r="J442" s="11" t="str">
        <f t="shared" si="338"/>
        <v>0</v>
      </c>
      <c r="K442" s="12"/>
      <c r="L442" s="10">
        <f>+Risultati!G441+Risultati!H441</f>
        <v>0</v>
      </c>
      <c r="M442" s="11" t="str">
        <f t="shared" si="339"/>
        <v>0</v>
      </c>
      <c r="N442" s="12"/>
      <c r="O442" s="10">
        <f>+Risultati!I441+Risultati!J441</f>
        <v>0</v>
      </c>
      <c r="P442" s="11" t="str">
        <f t="shared" si="340"/>
        <v>0</v>
      </c>
      <c r="Q442" s="12"/>
      <c r="R442" s="13">
        <f t="shared" si="357"/>
        <v>0</v>
      </c>
      <c r="S442" s="11" t="str">
        <f t="shared" si="341"/>
        <v>0</v>
      </c>
      <c r="T442" s="12"/>
      <c r="U442" s="10">
        <f>+Risultati!F441-(Risultati!G441+Risultati!H441)</f>
        <v>0</v>
      </c>
      <c r="V442" s="12" t="str">
        <f t="shared" si="342"/>
        <v>0</v>
      </c>
      <c r="W442" s="12"/>
      <c r="X442" s="10">
        <f t="shared" si="358"/>
        <v>0</v>
      </c>
      <c r="Y442" s="12" t="str">
        <f t="shared" si="343"/>
        <v>0</v>
      </c>
      <c r="Z442" s="12"/>
      <c r="AA442" s="10">
        <f>+Risultati!K441</f>
        <v>0</v>
      </c>
      <c r="AB442" s="12" t="str">
        <f t="shared" si="344"/>
        <v>0</v>
      </c>
      <c r="AC442" s="12"/>
      <c r="AD442" s="10">
        <f>+Risultati!L441</f>
        <v>0</v>
      </c>
      <c r="AE442" s="12" t="str">
        <f t="shared" si="345"/>
        <v>0</v>
      </c>
      <c r="AF442" s="12"/>
      <c r="AG442" s="10">
        <f>+Risultati!M441+Risultati!P441+Risultati!Q441</f>
        <v>0</v>
      </c>
      <c r="AH442" s="12" t="str">
        <f t="shared" si="346"/>
        <v>0</v>
      </c>
      <c r="AI442" s="12"/>
      <c r="AJ442" s="13">
        <f t="shared" si="359"/>
        <v>0</v>
      </c>
      <c r="AK442" s="11" t="str">
        <f t="shared" si="347"/>
        <v>0</v>
      </c>
      <c r="AL442" s="12"/>
      <c r="AM442" s="10">
        <f>+Risultati!N441</f>
        <v>0</v>
      </c>
      <c r="AN442" s="12" t="str">
        <f t="shared" si="348"/>
        <v>0</v>
      </c>
      <c r="AO442" s="12"/>
      <c r="AP442" s="10">
        <f t="shared" si="360"/>
        <v>0</v>
      </c>
      <c r="AQ442" s="41" t="str">
        <f t="shared" si="349"/>
        <v>0</v>
      </c>
      <c r="AR442" s="12"/>
      <c r="AS442" s="10">
        <f>+Risultati!O441</f>
        <v>0</v>
      </c>
      <c r="AT442" s="12" t="str">
        <f t="shared" si="350"/>
        <v>0</v>
      </c>
      <c r="AU442" s="12"/>
      <c r="AV442" s="10">
        <f t="shared" si="361"/>
        <v>0</v>
      </c>
      <c r="AW442" s="12" t="str">
        <f t="shared" si="351"/>
        <v>0</v>
      </c>
      <c r="AX442" s="12"/>
      <c r="AY442" s="10">
        <f>+Risultati!R441+Risultati!S441</f>
        <v>0</v>
      </c>
      <c r="AZ442" s="12" t="str">
        <f t="shared" si="352"/>
        <v>0</v>
      </c>
      <c r="BA442" s="12"/>
      <c r="BB442" s="10">
        <f>+Risultati!T441</f>
        <v>0</v>
      </c>
      <c r="BC442" s="12" t="str">
        <f t="shared" si="353"/>
        <v>0</v>
      </c>
      <c r="BD442" s="12"/>
      <c r="BE442" s="10">
        <f>+Risultati!U441</f>
        <v>0</v>
      </c>
      <c r="BF442" s="12" t="str">
        <f t="shared" si="354"/>
        <v>0</v>
      </c>
      <c r="BG442" s="12"/>
      <c r="BH442" s="10">
        <f t="shared" si="362"/>
        <v>0</v>
      </c>
      <c r="BI442" s="12" t="str">
        <f t="shared" si="355"/>
        <v>0</v>
      </c>
      <c r="BK442" s="16">
        <f>IF(ISNUMBER(Risultati!X441/100),(Risultati!X441/100))</f>
        <v>0</v>
      </c>
      <c r="BL442" s="16">
        <f>IF(ISNUMBER(Risultati!Y441/100),(Risultati!Y441/100))</f>
        <v>0</v>
      </c>
      <c r="BM442" s="16">
        <f>IF(ISNUMBER(Risultati!Z441/100),(Risultati!Z441/100))</f>
        <v>0</v>
      </c>
      <c r="BN442" s="16">
        <f>IF(AND(Risultati!AY441&lt;0,calcoli!AP442&lt;0),-IF(ISNUMBER(Risultati!AA441/100),(Risultati!AA441/100)),IF(ISNUMBER(Risultati!AA441/100),(Risultati!AA441/100)))</f>
        <v>0</v>
      </c>
      <c r="BO442" s="16" t="str">
        <f t="shared" si="336"/>
        <v>0</v>
      </c>
      <c r="BP442" s="16" t="str">
        <f>IF(Risultati!AB441&gt;0,(AV442/Risultati!AB441),"0")</f>
        <v>0</v>
      </c>
      <c r="BQ442" s="16" t="str">
        <f>IF(Risultati!AG441&lt;&gt;0,(BH442/Risultati!AG441),"0")</f>
        <v>0</v>
      </c>
      <c r="BR442" s="16" t="str">
        <f t="shared" si="337"/>
        <v>0</v>
      </c>
      <c r="BS442" s="14" t="str">
        <f>IF(Risultati!AB441&gt;0,(Risultati!G441/Risultati!AB441),"0")</f>
        <v>0</v>
      </c>
      <c r="BT442" s="15" t="str">
        <f>IF(Risultati!AG441&lt;&gt;0,(Risultati!AB441/Risultati!AG441),"0")</f>
        <v>0</v>
      </c>
      <c r="BU442" s="23" t="str">
        <f>IF(AND(Risultati!G441&gt;0,(Risultati!AE441-Risultati!AF441)&gt;=0),((Risultati!AE441-Risultati!AF441)/Risultati!G441*360),"0")</f>
        <v>0</v>
      </c>
      <c r="BV442" s="21" t="str">
        <f>IF(OR(E442="abbreviato",Risultati!G441=0),"0",((Risultati!AC441+Risultati!AD441)/Risultati!G441*360))</f>
        <v>0</v>
      </c>
      <c r="BW442" s="21" t="str">
        <f>IF(OR(E442="abbreviato",Risultati!G441=0,SUM(Risultati!I441+Risultati!K441+Risultati!M441)=0),"0",(((Risultati!AH441+Risultati!AI441)/(Risultati!I441+Risultati!K441+Risultati!N441)*360)))</f>
        <v>0</v>
      </c>
      <c r="BX442" s="16" t="str">
        <f>IF(Risultati!AB441&gt;0,(+Risultati!AG441/Risultati!AB441),"0")</f>
        <v>0</v>
      </c>
      <c r="BY442" s="22" t="str">
        <f>IF(OR(E442="abbreviato",Risultati!G441=0),"0",(((Risultati!AK441-(Risultati!AL441+Risultati!AM441))/Risultati!G441)))</f>
        <v>0</v>
      </c>
      <c r="BZ442" s="16" t="str">
        <f>IF(Risultati!G441&gt;0,(Risultati!AJ441/Risultati!G441),"0")</f>
        <v>0</v>
      </c>
      <c r="CA442" s="8"/>
      <c r="CB442" s="9">
        <f>+Risultati!AP441</f>
        <v>0</v>
      </c>
      <c r="CC442" s="31" t="str">
        <f t="shared" si="363"/>
        <v>0</v>
      </c>
      <c r="CD442" s="9">
        <f>+Risultati!AQ441</f>
        <v>0</v>
      </c>
      <c r="CE442" s="31" t="str">
        <f t="shared" si="364"/>
        <v>0</v>
      </c>
      <c r="CF442" s="9">
        <f>+Risultati!AR441</f>
        <v>0</v>
      </c>
      <c r="CG442" s="31" t="str">
        <f t="shared" si="365"/>
        <v>0</v>
      </c>
      <c r="CH442" s="9">
        <f>+Risultati!AS441</f>
        <v>0</v>
      </c>
      <c r="CI442" s="31" t="str">
        <f t="shared" si="366"/>
        <v>0</v>
      </c>
      <c r="CJ442" s="9">
        <f t="shared" si="367"/>
        <v>0</v>
      </c>
      <c r="CK442" s="31" t="str">
        <f t="shared" si="368"/>
        <v>0</v>
      </c>
      <c r="CL442" s="10">
        <f>+Risultati!AE441+Risultati!AF441</f>
        <v>0</v>
      </c>
      <c r="CM442" s="31" t="str">
        <f t="shared" si="369"/>
        <v>0</v>
      </c>
      <c r="CN442" s="9">
        <f>+Risultati!AT441</f>
        <v>0</v>
      </c>
      <c r="CO442" s="31" t="str">
        <f t="shared" si="370"/>
        <v>0</v>
      </c>
      <c r="CP442" s="9">
        <f>+Risultati!AU441</f>
        <v>0</v>
      </c>
      <c r="CQ442" s="31" t="str">
        <f t="shared" si="371"/>
        <v>0</v>
      </c>
      <c r="CR442" s="9">
        <f>+Risultati!AL441</f>
        <v>0</v>
      </c>
      <c r="CS442" s="31" t="str">
        <f t="shared" si="372"/>
        <v>0</v>
      </c>
      <c r="CT442" s="9">
        <f t="shared" si="373"/>
        <v>0</v>
      </c>
      <c r="CU442" s="31" t="str">
        <f t="shared" si="374"/>
        <v>0</v>
      </c>
      <c r="CV442" s="9">
        <f>+Risultati!AX441</f>
        <v>0</v>
      </c>
      <c r="CW442" s="31" t="str">
        <f t="shared" si="375"/>
        <v>0</v>
      </c>
      <c r="CX442" s="9">
        <f t="shared" si="376"/>
        <v>0</v>
      </c>
      <c r="CY442" s="31" t="str">
        <f t="shared" si="377"/>
        <v>0</v>
      </c>
      <c r="CZ442" s="9">
        <f>+Risultati!AG441</f>
        <v>0</v>
      </c>
      <c r="DA442" s="31" t="str">
        <f t="shared" si="378"/>
        <v>0</v>
      </c>
      <c r="DB442" s="9">
        <f t="shared" si="379"/>
        <v>0</v>
      </c>
      <c r="DC442" s="31" t="str">
        <f t="shared" si="380"/>
        <v>0</v>
      </c>
      <c r="DD442" s="9">
        <f>+Risultati!AV441</f>
        <v>0</v>
      </c>
      <c r="DE442" s="31" t="str">
        <f t="shared" si="381"/>
        <v>0</v>
      </c>
      <c r="DF442" s="9">
        <f>+Risultati!AJ441</f>
        <v>0</v>
      </c>
      <c r="DG442" s="31" t="str">
        <f t="shared" si="382"/>
        <v>0</v>
      </c>
      <c r="DH442" s="9">
        <f t="shared" si="383"/>
        <v>0</v>
      </c>
      <c r="DI442" s="31" t="str">
        <f t="shared" si="384"/>
        <v>0</v>
      </c>
      <c r="DJ442" s="9">
        <f>+Risultati!AW441</f>
        <v>0</v>
      </c>
      <c r="DK442" s="31" t="str">
        <f t="shared" si="385"/>
        <v>0</v>
      </c>
      <c r="DL442" s="10">
        <f t="shared" si="356"/>
        <v>0</v>
      </c>
      <c r="DM442" s="31" t="str">
        <f t="shared" si="386"/>
        <v>0</v>
      </c>
      <c r="DO442" s="30"/>
      <c r="DP442" s="30"/>
    </row>
    <row r="443" spans="1:120" x14ac:dyDescent="0.2">
      <c r="A443" s="5"/>
      <c r="B443" s="6">
        <f>+Risultati!B442</f>
        <v>0</v>
      </c>
      <c r="C443" s="6">
        <f>+Risultati!C442</f>
        <v>0</v>
      </c>
      <c r="D443" s="26" t="str">
        <f>IF(YEAR(Risultati!D442)=1900,(MID(Risultati!$AP$1,29,4)),YEAR(Risultati!D442))</f>
        <v/>
      </c>
      <c r="E443" s="6">
        <f>+Risultati!E442</f>
        <v>0</v>
      </c>
      <c r="F443" s="8" t="e">
        <f>(LEFT(Risultati!AN442,2)&amp;"-")&amp;VLOOKUP((LEFT(Risultati!AN442,2)),ateco!$B$4:$C$93,2,FALSE)</f>
        <v>#N/A</v>
      </c>
      <c r="G443" s="8" t="str">
        <f>SUBSTITUTE((Risultati!AN442&amp;"-"&amp;Risultati!AO442),",",";")</f>
        <v>-</v>
      </c>
      <c r="I443" s="10">
        <f>+Risultati!G442</f>
        <v>0</v>
      </c>
      <c r="J443" s="11" t="str">
        <f t="shared" si="338"/>
        <v>0</v>
      </c>
      <c r="K443" s="12"/>
      <c r="L443" s="10">
        <f>+Risultati!G442+Risultati!H442</f>
        <v>0</v>
      </c>
      <c r="M443" s="11" t="str">
        <f t="shared" si="339"/>
        <v>0</v>
      </c>
      <c r="N443" s="12"/>
      <c r="O443" s="10">
        <f>+Risultati!I442+Risultati!J442</f>
        <v>0</v>
      </c>
      <c r="P443" s="11" t="str">
        <f t="shared" si="340"/>
        <v>0</v>
      </c>
      <c r="Q443" s="12"/>
      <c r="R443" s="13">
        <f t="shared" si="357"/>
        <v>0</v>
      </c>
      <c r="S443" s="11" t="str">
        <f t="shared" si="341"/>
        <v>0</v>
      </c>
      <c r="T443" s="12"/>
      <c r="U443" s="10">
        <f>+Risultati!F442-(Risultati!G442+Risultati!H442)</f>
        <v>0</v>
      </c>
      <c r="V443" s="12" t="str">
        <f t="shared" si="342"/>
        <v>0</v>
      </c>
      <c r="W443" s="12"/>
      <c r="X443" s="10">
        <f t="shared" si="358"/>
        <v>0</v>
      </c>
      <c r="Y443" s="12" t="str">
        <f t="shared" si="343"/>
        <v>0</v>
      </c>
      <c r="Z443" s="12"/>
      <c r="AA443" s="10">
        <f>+Risultati!K442</f>
        <v>0</v>
      </c>
      <c r="AB443" s="12" t="str">
        <f t="shared" si="344"/>
        <v>0</v>
      </c>
      <c r="AC443" s="12"/>
      <c r="AD443" s="10">
        <f>+Risultati!L442</f>
        <v>0</v>
      </c>
      <c r="AE443" s="12" t="str">
        <f t="shared" si="345"/>
        <v>0</v>
      </c>
      <c r="AF443" s="12"/>
      <c r="AG443" s="10">
        <f>+Risultati!M442+Risultati!P442+Risultati!Q442</f>
        <v>0</v>
      </c>
      <c r="AH443" s="12" t="str">
        <f t="shared" si="346"/>
        <v>0</v>
      </c>
      <c r="AI443" s="12"/>
      <c r="AJ443" s="13">
        <f t="shared" si="359"/>
        <v>0</v>
      </c>
      <c r="AK443" s="11" t="str">
        <f t="shared" si="347"/>
        <v>0</v>
      </c>
      <c r="AL443" s="12"/>
      <c r="AM443" s="10">
        <f>+Risultati!N442</f>
        <v>0</v>
      </c>
      <c r="AN443" s="12" t="str">
        <f t="shared" si="348"/>
        <v>0</v>
      </c>
      <c r="AO443" s="12"/>
      <c r="AP443" s="10">
        <f t="shared" si="360"/>
        <v>0</v>
      </c>
      <c r="AQ443" s="41" t="str">
        <f t="shared" si="349"/>
        <v>0</v>
      </c>
      <c r="AR443" s="12"/>
      <c r="AS443" s="10">
        <f>+Risultati!O442</f>
        <v>0</v>
      </c>
      <c r="AT443" s="12" t="str">
        <f t="shared" si="350"/>
        <v>0</v>
      </c>
      <c r="AU443" s="12"/>
      <c r="AV443" s="10">
        <f t="shared" si="361"/>
        <v>0</v>
      </c>
      <c r="AW443" s="12" t="str">
        <f t="shared" si="351"/>
        <v>0</v>
      </c>
      <c r="AX443" s="12"/>
      <c r="AY443" s="10">
        <f>+Risultati!R442+Risultati!S442</f>
        <v>0</v>
      </c>
      <c r="AZ443" s="12" t="str">
        <f t="shared" si="352"/>
        <v>0</v>
      </c>
      <c r="BA443" s="12"/>
      <c r="BB443" s="10">
        <f>+Risultati!T442</f>
        <v>0</v>
      </c>
      <c r="BC443" s="12" t="str">
        <f t="shared" si="353"/>
        <v>0</v>
      </c>
      <c r="BD443" s="12"/>
      <c r="BE443" s="10">
        <f>+Risultati!U442</f>
        <v>0</v>
      </c>
      <c r="BF443" s="12" t="str">
        <f t="shared" si="354"/>
        <v>0</v>
      </c>
      <c r="BG443" s="12"/>
      <c r="BH443" s="10">
        <f t="shared" si="362"/>
        <v>0</v>
      </c>
      <c r="BI443" s="12" t="str">
        <f t="shared" si="355"/>
        <v>0</v>
      </c>
      <c r="BK443" s="16">
        <f>IF(ISNUMBER(Risultati!X442/100),(Risultati!X442/100))</f>
        <v>0</v>
      </c>
      <c r="BL443" s="16">
        <f>IF(ISNUMBER(Risultati!Y442/100),(Risultati!Y442/100))</f>
        <v>0</v>
      </c>
      <c r="BM443" s="16">
        <f>IF(ISNUMBER(Risultati!Z442/100),(Risultati!Z442/100))</f>
        <v>0</v>
      </c>
      <c r="BN443" s="16">
        <f>IF(AND(Risultati!AY442&lt;0,calcoli!AP443&lt;0),-IF(ISNUMBER(Risultati!AA442/100),(Risultati!AA442/100)),IF(ISNUMBER(Risultati!AA442/100),(Risultati!AA442/100)))</f>
        <v>0</v>
      </c>
      <c r="BO443" s="16" t="str">
        <f t="shared" si="336"/>
        <v>0</v>
      </c>
      <c r="BP443" s="16" t="str">
        <f>IF(Risultati!AB442&gt;0,(AV443/Risultati!AB442),"0")</f>
        <v>0</v>
      </c>
      <c r="BQ443" s="16" t="str">
        <f>IF(Risultati!AG442&lt;&gt;0,(BH443/Risultati!AG442),"0")</f>
        <v>0</v>
      </c>
      <c r="BR443" s="16" t="str">
        <f t="shared" si="337"/>
        <v>0</v>
      </c>
      <c r="BS443" s="14" t="str">
        <f>IF(Risultati!AB442&gt;0,(Risultati!G442/Risultati!AB442),"0")</f>
        <v>0</v>
      </c>
      <c r="BT443" s="15" t="str">
        <f>IF(Risultati!AG442&lt;&gt;0,(Risultati!AB442/Risultati!AG442),"0")</f>
        <v>0</v>
      </c>
      <c r="BU443" s="23" t="str">
        <f>IF(AND(Risultati!G442&gt;0,(Risultati!AE442-Risultati!AF442)&gt;=0),((Risultati!AE442-Risultati!AF442)/Risultati!G442*360),"0")</f>
        <v>0</v>
      </c>
      <c r="BV443" s="21" t="str">
        <f>IF(OR(E443="abbreviato",Risultati!G442=0),"0",((Risultati!AC442+Risultati!AD442)/Risultati!G442*360))</f>
        <v>0</v>
      </c>
      <c r="BW443" s="21" t="str">
        <f>IF(OR(E443="abbreviato",Risultati!G442=0,SUM(Risultati!I442+Risultati!K442+Risultati!M442)=0),"0",(((Risultati!AH442+Risultati!AI442)/(Risultati!I442+Risultati!K442+Risultati!N442)*360)))</f>
        <v>0</v>
      </c>
      <c r="BX443" s="16" t="str">
        <f>IF(Risultati!AB442&gt;0,(+Risultati!AG442/Risultati!AB442),"0")</f>
        <v>0</v>
      </c>
      <c r="BY443" s="22" t="str">
        <f>IF(OR(E443="abbreviato",Risultati!G442=0),"0",(((Risultati!AK442-(Risultati!AL442+Risultati!AM442))/Risultati!G442)))</f>
        <v>0</v>
      </c>
      <c r="BZ443" s="16" t="str">
        <f>IF(Risultati!G442&gt;0,(Risultati!AJ442/Risultati!G442),"0")</f>
        <v>0</v>
      </c>
      <c r="CA443" s="8"/>
      <c r="CB443" s="9">
        <f>+Risultati!AP442</f>
        <v>0</v>
      </c>
      <c r="CC443" s="31" t="str">
        <f t="shared" si="363"/>
        <v>0</v>
      </c>
      <c r="CD443" s="9">
        <f>+Risultati!AQ442</f>
        <v>0</v>
      </c>
      <c r="CE443" s="31" t="str">
        <f t="shared" si="364"/>
        <v>0</v>
      </c>
      <c r="CF443" s="9">
        <f>+Risultati!AR442</f>
        <v>0</v>
      </c>
      <c r="CG443" s="31" t="str">
        <f t="shared" si="365"/>
        <v>0</v>
      </c>
      <c r="CH443" s="9">
        <f>+Risultati!AS442</f>
        <v>0</v>
      </c>
      <c r="CI443" s="31" t="str">
        <f t="shared" si="366"/>
        <v>0</v>
      </c>
      <c r="CJ443" s="9">
        <f t="shared" si="367"/>
        <v>0</v>
      </c>
      <c r="CK443" s="31" t="str">
        <f t="shared" si="368"/>
        <v>0</v>
      </c>
      <c r="CL443" s="10">
        <f>+Risultati!AE442+Risultati!AF442</f>
        <v>0</v>
      </c>
      <c r="CM443" s="31" t="str">
        <f t="shared" si="369"/>
        <v>0</v>
      </c>
      <c r="CN443" s="9">
        <f>+Risultati!AT442</f>
        <v>0</v>
      </c>
      <c r="CO443" s="31" t="str">
        <f t="shared" si="370"/>
        <v>0</v>
      </c>
      <c r="CP443" s="9">
        <f>+Risultati!AU442</f>
        <v>0</v>
      </c>
      <c r="CQ443" s="31" t="str">
        <f t="shared" si="371"/>
        <v>0</v>
      </c>
      <c r="CR443" s="9">
        <f>+Risultati!AL442</f>
        <v>0</v>
      </c>
      <c r="CS443" s="31" t="str">
        <f t="shared" si="372"/>
        <v>0</v>
      </c>
      <c r="CT443" s="9">
        <f t="shared" si="373"/>
        <v>0</v>
      </c>
      <c r="CU443" s="31" t="str">
        <f t="shared" si="374"/>
        <v>0</v>
      </c>
      <c r="CV443" s="9">
        <f>+Risultati!AX442</f>
        <v>0</v>
      </c>
      <c r="CW443" s="31" t="str">
        <f t="shared" si="375"/>
        <v>0</v>
      </c>
      <c r="CX443" s="9">
        <f t="shared" si="376"/>
        <v>0</v>
      </c>
      <c r="CY443" s="31" t="str">
        <f t="shared" si="377"/>
        <v>0</v>
      </c>
      <c r="CZ443" s="9">
        <f>+Risultati!AG442</f>
        <v>0</v>
      </c>
      <c r="DA443" s="31" t="str">
        <f t="shared" si="378"/>
        <v>0</v>
      </c>
      <c r="DB443" s="9">
        <f t="shared" si="379"/>
        <v>0</v>
      </c>
      <c r="DC443" s="31" t="str">
        <f t="shared" si="380"/>
        <v>0</v>
      </c>
      <c r="DD443" s="9">
        <f>+Risultati!AV442</f>
        <v>0</v>
      </c>
      <c r="DE443" s="31" t="str">
        <f t="shared" si="381"/>
        <v>0</v>
      </c>
      <c r="DF443" s="9">
        <f>+Risultati!AJ442</f>
        <v>0</v>
      </c>
      <c r="DG443" s="31" t="str">
        <f t="shared" si="382"/>
        <v>0</v>
      </c>
      <c r="DH443" s="9">
        <f t="shared" si="383"/>
        <v>0</v>
      </c>
      <c r="DI443" s="31" t="str">
        <f t="shared" si="384"/>
        <v>0</v>
      </c>
      <c r="DJ443" s="9">
        <f>+Risultati!AW442</f>
        <v>0</v>
      </c>
      <c r="DK443" s="31" t="str">
        <f t="shared" si="385"/>
        <v>0</v>
      </c>
      <c r="DL443" s="10">
        <f t="shared" si="356"/>
        <v>0</v>
      </c>
      <c r="DM443" s="31" t="str">
        <f t="shared" si="386"/>
        <v>0</v>
      </c>
      <c r="DO443" s="30"/>
      <c r="DP443" s="30"/>
    </row>
    <row r="444" spans="1:120" x14ac:dyDescent="0.2">
      <c r="A444" s="5"/>
      <c r="B444" s="6">
        <f>+Risultati!B443</f>
        <v>0</v>
      </c>
      <c r="C444" s="6">
        <f>+Risultati!C443</f>
        <v>0</v>
      </c>
      <c r="D444" s="26" t="str">
        <f>IF(YEAR(Risultati!D443)=1900,(MID(Risultati!$AP$1,29,4)),YEAR(Risultati!D443))</f>
        <v/>
      </c>
      <c r="E444" s="6">
        <f>+Risultati!E443</f>
        <v>0</v>
      </c>
      <c r="F444" s="8" t="e">
        <f>(LEFT(Risultati!AN443,2)&amp;"-")&amp;VLOOKUP((LEFT(Risultati!AN443,2)),ateco!$B$4:$C$93,2,FALSE)</f>
        <v>#N/A</v>
      </c>
      <c r="G444" s="8" t="str">
        <f>SUBSTITUTE((Risultati!AN443&amp;"-"&amp;Risultati!AO443),",",";")</f>
        <v>-</v>
      </c>
      <c r="I444" s="10">
        <f>+Risultati!G443</f>
        <v>0</v>
      </c>
      <c r="J444" s="11" t="str">
        <f t="shared" si="338"/>
        <v>0</v>
      </c>
      <c r="K444" s="12"/>
      <c r="L444" s="10">
        <f>+Risultati!G443+Risultati!H443</f>
        <v>0</v>
      </c>
      <c r="M444" s="11" t="str">
        <f t="shared" si="339"/>
        <v>0</v>
      </c>
      <c r="N444" s="12"/>
      <c r="O444" s="10">
        <f>+Risultati!I443+Risultati!J443</f>
        <v>0</v>
      </c>
      <c r="P444" s="11" t="str">
        <f t="shared" si="340"/>
        <v>0</v>
      </c>
      <c r="Q444" s="12"/>
      <c r="R444" s="13">
        <f t="shared" si="357"/>
        <v>0</v>
      </c>
      <c r="S444" s="11" t="str">
        <f t="shared" si="341"/>
        <v>0</v>
      </c>
      <c r="T444" s="12"/>
      <c r="U444" s="10">
        <f>+Risultati!F443-(Risultati!G443+Risultati!H443)</f>
        <v>0</v>
      </c>
      <c r="V444" s="12" t="str">
        <f t="shared" si="342"/>
        <v>0</v>
      </c>
      <c r="W444" s="12"/>
      <c r="X444" s="10">
        <f t="shared" si="358"/>
        <v>0</v>
      </c>
      <c r="Y444" s="12" t="str">
        <f t="shared" si="343"/>
        <v>0</v>
      </c>
      <c r="Z444" s="12"/>
      <c r="AA444" s="10">
        <f>+Risultati!K443</f>
        <v>0</v>
      </c>
      <c r="AB444" s="12" t="str">
        <f t="shared" si="344"/>
        <v>0</v>
      </c>
      <c r="AC444" s="12"/>
      <c r="AD444" s="10">
        <f>+Risultati!L443</f>
        <v>0</v>
      </c>
      <c r="AE444" s="12" t="str">
        <f t="shared" si="345"/>
        <v>0</v>
      </c>
      <c r="AF444" s="12"/>
      <c r="AG444" s="10">
        <f>+Risultati!M443+Risultati!P443+Risultati!Q443</f>
        <v>0</v>
      </c>
      <c r="AH444" s="12" t="str">
        <f t="shared" si="346"/>
        <v>0</v>
      </c>
      <c r="AI444" s="12"/>
      <c r="AJ444" s="13">
        <f t="shared" si="359"/>
        <v>0</v>
      </c>
      <c r="AK444" s="11" t="str">
        <f t="shared" si="347"/>
        <v>0</v>
      </c>
      <c r="AL444" s="12"/>
      <c r="AM444" s="10">
        <f>+Risultati!N443</f>
        <v>0</v>
      </c>
      <c r="AN444" s="12" t="str">
        <f t="shared" si="348"/>
        <v>0</v>
      </c>
      <c r="AO444" s="12"/>
      <c r="AP444" s="10">
        <f t="shared" si="360"/>
        <v>0</v>
      </c>
      <c r="AQ444" s="41" t="str">
        <f t="shared" si="349"/>
        <v>0</v>
      </c>
      <c r="AR444" s="12"/>
      <c r="AS444" s="10">
        <f>+Risultati!O443</f>
        <v>0</v>
      </c>
      <c r="AT444" s="12" t="str">
        <f t="shared" si="350"/>
        <v>0</v>
      </c>
      <c r="AU444" s="12"/>
      <c r="AV444" s="10">
        <f t="shared" si="361"/>
        <v>0</v>
      </c>
      <c r="AW444" s="12" t="str">
        <f t="shared" si="351"/>
        <v>0</v>
      </c>
      <c r="AX444" s="12"/>
      <c r="AY444" s="10">
        <f>+Risultati!R443+Risultati!S443</f>
        <v>0</v>
      </c>
      <c r="AZ444" s="12" t="str">
        <f t="shared" si="352"/>
        <v>0</v>
      </c>
      <c r="BA444" s="12"/>
      <c r="BB444" s="10">
        <f>+Risultati!T443</f>
        <v>0</v>
      </c>
      <c r="BC444" s="12" t="str">
        <f t="shared" si="353"/>
        <v>0</v>
      </c>
      <c r="BD444" s="12"/>
      <c r="BE444" s="10">
        <f>+Risultati!U443</f>
        <v>0</v>
      </c>
      <c r="BF444" s="12" t="str">
        <f t="shared" si="354"/>
        <v>0</v>
      </c>
      <c r="BG444" s="12"/>
      <c r="BH444" s="10">
        <f t="shared" si="362"/>
        <v>0</v>
      </c>
      <c r="BI444" s="12" t="str">
        <f t="shared" si="355"/>
        <v>0</v>
      </c>
      <c r="BK444" s="16">
        <f>IF(ISNUMBER(Risultati!X443/100),(Risultati!X443/100))</f>
        <v>0</v>
      </c>
      <c r="BL444" s="16">
        <f>IF(ISNUMBER(Risultati!Y443/100),(Risultati!Y443/100))</f>
        <v>0</v>
      </c>
      <c r="BM444" s="16">
        <f>IF(ISNUMBER(Risultati!Z443/100),(Risultati!Z443/100))</f>
        <v>0</v>
      </c>
      <c r="BN444" s="16">
        <f>IF(AND(Risultati!AY443&lt;0,calcoli!AP444&lt;0),-IF(ISNUMBER(Risultati!AA443/100),(Risultati!AA443/100)),IF(ISNUMBER(Risultati!AA443/100),(Risultati!AA443/100)))</f>
        <v>0</v>
      </c>
      <c r="BO444" s="16" t="str">
        <f t="shared" si="336"/>
        <v>0</v>
      </c>
      <c r="BP444" s="16" t="str">
        <f>IF(Risultati!AB443&gt;0,(AV444/Risultati!AB443),"0")</f>
        <v>0</v>
      </c>
      <c r="BQ444" s="16" t="str">
        <f>IF(Risultati!AG443&lt;&gt;0,(BH444/Risultati!AG443),"0")</f>
        <v>0</v>
      </c>
      <c r="BR444" s="16" t="str">
        <f t="shared" si="337"/>
        <v>0</v>
      </c>
      <c r="BS444" s="14" t="str">
        <f>IF(Risultati!AB443&gt;0,(Risultati!G443/Risultati!AB443),"0")</f>
        <v>0</v>
      </c>
      <c r="BT444" s="15" t="str">
        <f>IF(Risultati!AG443&lt;&gt;0,(Risultati!AB443/Risultati!AG443),"0")</f>
        <v>0</v>
      </c>
      <c r="BU444" s="23" t="str">
        <f>IF(AND(Risultati!G443&gt;0,(Risultati!AE443-Risultati!AF443)&gt;=0),((Risultati!AE443-Risultati!AF443)/Risultati!G443*360),"0")</f>
        <v>0</v>
      </c>
      <c r="BV444" s="21" t="str">
        <f>IF(OR(E444="abbreviato",Risultati!G443=0),"0",((Risultati!AC443+Risultati!AD443)/Risultati!G443*360))</f>
        <v>0</v>
      </c>
      <c r="BW444" s="21" t="str">
        <f>IF(OR(E444="abbreviato",Risultati!G443=0,SUM(Risultati!I443+Risultati!K443+Risultati!M443)=0),"0",(((Risultati!AH443+Risultati!AI443)/(Risultati!I443+Risultati!K443+Risultati!N443)*360)))</f>
        <v>0</v>
      </c>
      <c r="BX444" s="16" t="str">
        <f>IF(Risultati!AB443&gt;0,(+Risultati!AG443/Risultati!AB443),"0")</f>
        <v>0</v>
      </c>
      <c r="BY444" s="22" t="str">
        <f>IF(OR(E444="abbreviato",Risultati!G443=0),"0",(((Risultati!AK443-(Risultati!AL443+Risultati!AM443))/Risultati!G443)))</f>
        <v>0</v>
      </c>
      <c r="BZ444" s="16" t="str">
        <f>IF(Risultati!G443&gt;0,(Risultati!AJ443/Risultati!G443),"0")</f>
        <v>0</v>
      </c>
      <c r="CA444" s="8"/>
      <c r="CB444" s="9">
        <f>+Risultati!AP443</f>
        <v>0</v>
      </c>
      <c r="CC444" s="31" t="str">
        <f t="shared" si="363"/>
        <v>0</v>
      </c>
      <c r="CD444" s="9">
        <f>+Risultati!AQ443</f>
        <v>0</v>
      </c>
      <c r="CE444" s="31" t="str">
        <f t="shared" si="364"/>
        <v>0</v>
      </c>
      <c r="CF444" s="9">
        <f>+Risultati!AR443</f>
        <v>0</v>
      </c>
      <c r="CG444" s="31" t="str">
        <f t="shared" si="365"/>
        <v>0</v>
      </c>
      <c r="CH444" s="9">
        <f>+Risultati!AS443</f>
        <v>0</v>
      </c>
      <c r="CI444" s="31" t="str">
        <f t="shared" si="366"/>
        <v>0</v>
      </c>
      <c r="CJ444" s="9">
        <f t="shared" si="367"/>
        <v>0</v>
      </c>
      <c r="CK444" s="31" t="str">
        <f t="shared" si="368"/>
        <v>0</v>
      </c>
      <c r="CL444" s="10">
        <f>+Risultati!AE443+Risultati!AF443</f>
        <v>0</v>
      </c>
      <c r="CM444" s="31" t="str">
        <f t="shared" si="369"/>
        <v>0</v>
      </c>
      <c r="CN444" s="9">
        <f>+Risultati!AT443</f>
        <v>0</v>
      </c>
      <c r="CO444" s="31" t="str">
        <f t="shared" si="370"/>
        <v>0</v>
      </c>
      <c r="CP444" s="9">
        <f>+Risultati!AU443</f>
        <v>0</v>
      </c>
      <c r="CQ444" s="31" t="str">
        <f t="shared" si="371"/>
        <v>0</v>
      </c>
      <c r="CR444" s="9">
        <f>+Risultati!AL443</f>
        <v>0</v>
      </c>
      <c r="CS444" s="31" t="str">
        <f t="shared" si="372"/>
        <v>0</v>
      </c>
      <c r="CT444" s="9">
        <f t="shared" si="373"/>
        <v>0</v>
      </c>
      <c r="CU444" s="31" t="str">
        <f t="shared" si="374"/>
        <v>0</v>
      </c>
      <c r="CV444" s="9">
        <f>+Risultati!AX443</f>
        <v>0</v>
      </c>
      <c r="CW444" s="31" t="str">
        <f t="shared" si="375"/>
        <v>0</v>
      </c>
      <c r="CX444" s="9">
        <f t="shared" si="376"/>
        <v>0</v>
      </c>
      <c r="CY444" s="31" t="str">
        <f t="shared" si="377"/>
        <v>0</v>
      </c>
      <c r="CZ444" s="9">
        <f>+Risultati!AG443</f>
        <v>0</v>
      </c>
      <c r="DA444" s="31" t="str">
        <f t="shared" si="378"/>
        <v>0</v>
      </c>
      <c r="DB444" s="9">
        <f t="shared" si="379"/>
        <v>0</v>
      </c>
      <c r="DC444" s="31" t="str">
        <f t="shared" si="380"/>
        <v>0</v>
      </c>
      <c r="DD444" s="9">
        <f>+Risultati!AV443</f>
        <v>0</v>
      </c>
      <c r="DE444" s="31" t="str">
        <f t="shared" si="381"/>
        <v>0</v>
      </c>
      <c r="DF444" s="9">
        <f>+Risultati!AJ443</f>
        <v>0</v>
      </c>
      <c r="DG444" s="31" t="str">
        <f t="shared" si="382"/>
        <v>0</v>
      </c>
      <c r="DH444" s="9">
        <f t="shared" si="383"/>
        <v>0</v>
      </c>
      <c r="DI444" s="31" t="str">
        <f t="shared" si="384"/>
        <v>0</v>
      </c>
      <c r="DJ444" s="9">
        <f>+Risultati!AW443</f>
        <v>0</v>
      </c>
      <c r="DK444" s="31" t="str">
        <f t="shared" si="385"/>
        <v>0</v>
      </c>
      <c r="DL444" s="10">
        <f t="shared" si="356"/>
        <v>0</v>
      </c>
      <c r="DM444" s="31" t="str">
        <f t="shared" si="386"/>
        <v>0</v>
      </c>
      <c r="DO444" s="30"/>
      <c r="DP444" s="30"/>
    </row>
    <row r="445" spans="1:120" x14ac:dyDescent="0.2">
      <c r="A445" s="5"/>
      <c r="B445" s="6">
        <f>+Risultati!B444</f>
        <v>0</v>
      </c>
      <c r="C445" s="6">
        <f>+Risultati!C444</f>
        <v>0</v>
      </c>
      <c r="D445" s="26" t="str">
        <f>IF(YEAR(Risultati!D444)=1900,(MID(Risultati!$AP$1,29,4)),YEAR(Risultati!D444))</f>
        <v/>
      </c>
      <c r="E445" s="6">
        <f>+Risultati!E444</f>
        <v>0</v>
      </c>
      <c r="F445" s="8" t="e">
        <f>(LEFT(Risultati!AN444,2)&amp;"-")&amp;VLOOKUP((LEFT(Risultati!AN444,2)),ateco!$B$4:$C$93,2,FALSE)</f>
        <v>#N/A</v>
      </c>
      <c r="G445" s="8" t="str">
        <f>SUBSTITUTE((Risultati!AN444&amp;"-"&amp;Risultati!AO444),",",";")</f>
        <v>-</v>
      </c>
      <c r="I445" s="10">
        <f>+Risultati!G444</f>
        <v>0</v>
      </c>
      <c r="J445" s="11" t="str">
        <f t="shared" si="338"/>
        <v>0</v>
      </c>
      <c r="K445" s="12"/>
      <c r="L445" s="10">
        <f>+Risultati!G444+Risultati!H444</f>
        <v>0</v>
      </c>
      <c r="M445" s="11" t="str">
        <f t="shared" si="339"/>
        <v>0</v>
      </c>
      <c r="N445" s="12"/>
      <c r="O445" s="10">
        <f>+Risultati!I444+Risultati!J444</f>
        <v>0</v>
      </c>
      <c r="P445" s="11" t="str">
        <f t="shared" si="340"/>
        <v>0</v>
      </c>
      <c r="Q445" s="12"/>
      <c r="R445" s="13">
        <f t="shared" si="357"/>
        <v>0</v>
      </c>
      <c r="S445" s="11" t="str">
        <f t="shared" si="341"/>
        <v>0</v>
      </c>
      <c r="T445" s="12"/>
      <c r="U445" s="10">
        <f>+Risultati!F444-(Risultati!G444+Risultati!H444)</f>
        <v>0</v>
      </c>
      <c r="V445" s="12" t="str">
        <f t="shared" si="342"/>
        <v>0</v>
      </c>
      <c r="W445" s="12"/>
      <c r="X445" s="10">
        <f t="shared" si="358"/>
        <v>0</v>
      </c>
      <c r="Y445" s="12" t="str">
        <f t="shared" si="343"/>
        <v>0</v>
      </c>
      <c r="Z445" s="12"/>
      <c r="AA445" s="10">
        <f>+Risultati!K444</f>
        <v>0</v>
      </c>
      <c r="AB445" s="12" t="str">
        <f t="shared" si="344"/>
        <v>0</v>
      </c>
      <c r="AC445" s="12"/>
      <c r="AD445" s="10">
        <f>+Risultati!L444</f>
        <v>0</v>
      </c>
      <c r="AE445" s="12" t="str">
        <f t="shared" si="345"/>
        <v>0</v>
      </c>
      <c r="AF445" s="12"/>
      <c r="AG445" s="10">
        <f>+Risultati!M444+Risultati!P444+Risultati!Q444</f>
        <v>0</v>
      </c>
      <c r="AH445" s="12" t="str">
        <f t="shared" si="346"/>
        <v>0</v>
      </c>
      <c r="AI445" s="12"/>
      <c r="AJ445" s="13">
        <f t="shared" si="359"/>
        <v>0</v>
      </c>
      <c r="AK445" s="11" t="str">
        <f t="shared" si="347"/>
        <v>0</v>
      </c>
      <c r="AL445" s="12"/>
      <c r="AM445" s="10">
        <f>+Risultati!N444</f>
        <v>0</v>
      </c>
      <c r="AN445" s="12" t="str">
        <f t="shared" si="348"/>
        <v>0</v>
      </c>
      <c r="AO445" s="12"/>
      <c r="AP445" s="10">
        <f t="shared" si="360"/>
        <v>0</v>
      </c>
      <c r="AQ445" s="41" t="str">
        <f t="shared" si="349"/>
        <v>0</v>
      </c>
      <c r="AR445" s="12"/>
      <c r="AS445" s="10">
        <f>+Risultati!O444</f>
        <v>0</v>
      </c>
      <c r="AT445" s="12" t="str">
        <f t="shared" si="350"/>
        <v>0</v>
      </c>
      <c r="AU445" s="12"/>
      <c r="AV445" s="10">
        <f t="shared" si="361"/>
        <v>0</v>
      </c>
      <c r="AW445" s="12" t="str">
        <f t="shared" si="351"/>
        <v>0</v>
      </c>
      <c r="AX445" s="12"/>
      <c r="AY445" s="10">
        <f>+Risultati!R444+Risultati!S444</f>
        <v>0</v>
      </c>
      <c r="AZ445" s="12" t="str">
        <f t="shared" si="352"/>
        <v>0</v>
      </c>
      <c r="BA445" s="12"/>
      <c r="BB445" s="10">
        <f>+Risultati!T444</f>
        <v>0</v>
      </c>
      <c r="BC445" s="12" t="str">
        <f t="shared" si="353"/>
        <v>0</v>
      </c>
      <c r="BD445" s="12"/>
      <c r="BE445" s="10">
        <f>+Risultati!U444</f>
        <v>0</v>
      </c>
      <c r="BF445" s="12" t="str">
        <f t="shared" si="354"/>
        <v>0</v>
      </c>
      <c r="BG445" s="12"/>
      <c r="BH445" s="10">
        <f t="shared" si="362"/>
        <v>0</v>
      </c>
      <c r="BI445" s="12" t="str">
        <f t="shared" si="355"/>
        <v>0</v>
      </c>
      <c r="BK445" s="16">
        <f>IF(ISNUMBER(Risultati!X444/100),(Risultati!X444/100))</f>
        <v>0</v>
      </c>
      <c r="BL445" s="16">
        <f>IF(ISNUMBER(Risultati!Y444/100),(Risultati!Y444/100))</f>
        <v>0</v>
      </c>
      <c r="BM445" s="16">
        <f>IF(ISNUMBER(Risultati!Z444/100),(Risultati!Z444/100))</f>
        <v>0</v>
      </c>
      <c r="BN445" s="16">
        <f>IF(AND(Risultati!AY444&lt;0,calcoli!AP445&lt;0),-IF(ISNUMBER(Risultati!AA444/100),(Risultati!AA444/100)),IF(ISNUMBER(Risultati!AA444/100),(Risultati!AA444/100)))</f>
        <v>0</v>
      </c>
      <c r="BO445" s="16" t="str">
        <f t="shared" si="336"/>
        <v>0</v>
      </c>
      <c r="BP445" s="16" t="str">
        <f>IF(Risultati!AB444&gt;0,(AV445/Risultati!AB444),"0")</f>
        <v>0</v>
      </c>
      <c r="BQ445" s="16" t="str">
        <f>IF(Risultati!AG444&lt;&gt;0,(BH445/Risultati!AG444),"0")</f>
        <v>0</v>
      </c>
      <c r="BR445" s="16" t="str">
        <f t="shared" si="337"/>
        <v>0</v>
      </c>
      <c r="BS445" s="14" t="str">
        <f>IF(Risultati!AB444&gt;0,(Risultati!G444/Risultati!AB444),"0")</f>
        <v>0</v>
      </c>
      <c r="BT445" s="15" t="str">
        <f>IF(Risultati!AG444&lt;&gt;0,(Risultati!AB444/Risultati!AG444),"0")</f>
        <v>0</v>
      </c>
      <c r="BU445" s="23" t="str">
        <f>IF(AND(Risultati!G444&gt;0,(Risultati!AE444-Risultati!AF444)&gt;=0),((Risultati!AE444-Risultati!AF444)/Risultati!G444*360),"0")</f>
        <v>0</v>
      </c>
      <c r="BV445" s="21" t="str">
        <f>IF(OR(E445="abbreviato",Risultati!G444=0),"0",((Risultati!AC444+Risultati!AD444)/Risultati!G444*360))</f>
        <v>0</v>
      </c>
      <c r="BW445" s="21" t="str">
        <f>IF(OR(E445="abbreviato",Risultati!G444=0,SUM(Risultati!I444+Risultati!K444+Risultati!M444)=0),"0",(((Risultati!AH444+Risultati!AI444)/(Risultati!I444+Risultati!K444+Risultati!N444)*360)))</f>
        <v>0</v>
      </c>
      <c r="BX445" s="16" t="str">
        <f>IF(Risultati!AB444&gt;0,(+Risultati!AG444/Risultati!AB444),"0")</f>
        <v>0</v>
      </c>
      <c r="BY445" s="22" t="str">
        <f>IF(OR(E445="abbreviato",Risultati!G444=0),"0",(((Risultati!AK444-(Risultati!AL444+Risultati!AM444))/Risultati!G444)))</f>
        <v>0</v>
      </c>
      <c r="BZ445" s="16" t="str">
        <f>IF(Risultati!G444&gt;0,(Risultati!AJ444/Risultati!G444),"0")</f>
        <v>0</v>
      </c>
      <c r="CA445" s="8"/>
      <c r="CB445" s="9">
        <f>+Risultati!AP444</f>
        <v>0</v>
      </c>
      <c r="CC445" s="31" t="str">
        <f t="shared" si="363"/>
        <v>0</v>
      </c>
      <c r="CD445" s="9">
        <f>+Risultati!AQ444</f>
        <v>0</v>
      </c>
      <c r="CE445" s="31" t="str">
        <f t="shared" si="364"/>
        <v>0</v>
      </c>
      <c r="CF445" s="9">
        <f>+Risultati!AR444</f>
        <v>0</v>
      </c>
      <c r="CG445" s="31" t="str">
        <f t="shared" si="365"/>
        <v>0</v>
      </c>
      <c r="CH445" s="9">
        <f>+Risultati!AS444</f>
        <v>0</v>
      </c>
      <c r="CI445" s="31" t="str">
        <f t="shared" si="366"/>
        <v>0</v>
      </c>
      <c r="CJ445" s="9">
        <f t="shared" si="367"/>
        <v>0</v>
      </c>
      <c r="CK445" s="31" t="str">
        <f t="shared" si="368"/>
        <v>0</v>
      </c>
      <c r="CL445" s="10">
        <f>+Risultati!AE444+Risultati!AF444</f>
        <v>0</v>
      </c>
      <c r="CM445" s="31" t="str">
        <f t="shared" si="369"/>
        <v>0</v>
      </c>
      <c r="CN445" s="9">
        <f>+Risultati!AT444</f>
        <v>0</v>
      </c>
      <c r="CO445" s="31" t="str">
        <f t="shared" si="370"/>
        <v>0</v>
      </c>
      <c r="CP445" s="9">
        <f>+Risultati!AU444</f>
        <v>0</v>
      </c>
      <c r="CQ445" s="31" t="str">
        <f t="shared" si="371"/>
        <v>0</v>
      </c>
      <c r="CR445" s="9">
        <f>+Risultati!AL444</f>
        <v>0</v>
      </c>
      <c r="CS445" s="31" t="str">
        <f t="shared" si="372"/>
        <v>0</v>
      </c>
      <c r="CT445" s="9">
        <f t="shared" si="373"/>
        <v>0</v>
      </c>
      <c r="CU445" s="31" t="str">
        <f t="shared" si="374"/>
        <v>0</v>
      </c>
      <c r="CV445" s="9">
        <f>+Risultati!AX444</f>
        <v>0</v>
      </c>
      <c r="CW445" s="31" t="str">
        <f t="shared" si="375"/>
        <v>0</v>
      </c>
      <c r="CX445" s="9">
        <f t="shared" si="376"/>
        <v>0</v>
      </c>
      <c r="CY445" s="31" t="str">
        <f t="shared" si="377"/>
        <v>0</v>
      </c>
      <c r="CZ445" s="9">
        <f>+Risultati!AG444</f>
        <v>0</v>
      </c>
      <c r="DA445" s="31" t="str">
        <f t="shared" si="378"/>
        <v>0</v>
      </c>
      <c r="DB445" s="9">
        <f t="shared" si="379"/>
        <v>0</v>
      </c>
      <c r="DC445" s="31" t="str">
        <f t="shared" si="380"/>
        <v>0</v>
      </c>
      <c r="DD445" s="9">
        <f>+Risultati!AV444</f>
        <v>0</v>
      </c>
      <c r="DE445" s="31" t="str">
        <f t="shared" si="381"/>
        <v>0</v>
      </c>
      <c r="DF445" s="9">
        <f>+Risultati!AJ444</f>
        <v>0</v>
      </c>
      <c r="DG445" s="31" t="str">
        <f t="shared" si="382"/>
        <v>0</v>
      </c>
      <c r="DH445" s="9">
        <f t="shared" si="383"/>
        <v>0</v>
      </c>
      <c r="DI445" s="31" t="str">
        <f t="shared" si="384"/>
        <v>0</v>
      </c>
      <c r="DJ445" s="9">
        <f>+Risultati!AW444</f>
        <v>0</v>
      </c>
      <c r="DK445" s="31" t="str">
        <f t="shared" si="385"/>
        <v>0</v>
      </c>
      <c r="DL445" s="10">
        <f t="shared" si="356"/>
        <v>0</v>
      </c>
      <c r="DM445" s="31" t="str">
        <f t="shared" si="386"/>
        <v>0</v>
      </c>
      <c r="DO445" s="30"/>
      <c r="DP445" s="30"/>
    </row>
    <row r="446" spans="1:120" x14ac:dyDescent="0.2">
      <c r="A446" s="5"/>
      <c r="B446" s="6">
        <f>+Risultati!B445</f>
        <v>0</v>
      </c>
      <c r="C446" s="6">
        <f>+Risultati!C445</f>
        <v>0</v>
      </c>
      <c r="D446" s="26" t="str">
        <f>IF(YEAR(Risultati!D445)=1900,(MID(Risultati!$AP$1,29,4)),YEAR(Risultati!D445))</f>
        <v/>
      </c>
      <c r="E446" s="6">
        <f>+Risultati!E445</f>
        <v>0</v>
      </c>
      <c r="F446" s="8" t="e">
        <f>(LEFT(Risultati!AN445,2)&amp;"-")&amp;VLOOKUP((LEFT(Risultati!AN445,2)),ateco!$B$4:$C$93,2,FALSE)</f>
        <v>#N/A</v>
      </c>
      <c r="G446" s="8" t="str">
        <f>SUBSTITUTE((Risultati!AN445&amp;"-"&amp;Risultati!AO445),",",";")</f>
        <v>-</v>
      </c>
      <c r="I446" s="10">
        <f>+Risultati!G445</f>
        <v>0</v>
      </c>
      <c r="J446" s="11" t="str">
        <f t="shared" si="338"/>
        <v>0</v>
      </c>
      <c r="K446" s="12"/>
      <c r="L446" s="10">
        <f>+Risultati!G445+Risultati!H445</f>
        <v>0</v>
      </c>
      <c r="M446" s="11" t="str">
        <f t="shared" si="339"/>
        <v>0</v>
      </c>
      <c r="N446" s="12"/>
      <c r="O446" s="10">
        <f>+Risultati!I445+Risultati!J445</f>
        <v>0</v>
      </c>
      <c r="P446" s="11" t="str">
        <f t="shared" si="340"/>
        <v>0</v>
      </c>
      <c r="Q446" s="12"/>
      <c r="R446" s="13">
        <f t="shared" si="357"/>
        <v>0</v>
      </c>
      <c r="S446" s="11" t="str">
        <f t="shared" si="341"/>
        <v>0</v>
      </c>
      <c r="T446" s="12"/>
      <c r="U446" s="10">
        <f>+Risultati!F445-(Risultati!G445+Risultati!H445)</f>
        <v>0</v>
      </c>
      <c r="V446" s="12" t="str">
        <f t="shared" si="342"/>
        <v>0</v>
      </c>
      <c r="W446" s="12"/>
      <c r="X446" s="10">
        <f t="shared" si="358"/>
        <v>0</v>
      </c>
      <c r="Y446" s="12" t="str">
        <f t="shared" si="343"/>
        <v>0</v>
      </c>
      <c r="Z446" s="12"/>
      <c r="AA446" s="10">
        <f>+Risultati!K445</f>
        <v>0</v>
      </c>
      <c r="AB446" s="12" t="str">
        <f t="shared" si="344"/>
        <v>0</v>
      </c>
      <c r="AC446" s="12"/>
      <c r="AD446" s="10">
        <f>+Risultati!L445</f>
        <v>0</v>
      </c>
      <c r="AE446" s="12" t="str">
        <f t="shared" si="345"/>
        <v>0</v>
      </c>
      <c r="AF446" s="12"/>
      <c r="AG446" s="10">
        <f>+Risultati!M445+Risultati!P445+Risultati!Q445</f>
        <v>0</v>
      </c>
      <c r="AH446" s="12" t="str">
        <f t="shared" si="346"/>
        <v>0</v>
      </c>
      <c r="AI446" s="12"/>
      <c r="AJ446" s="13">
        <f t="shared" si="359"/>
        <v>0</v>
      </c>
      <c r="AK446" s="11" t="str">
        <f t="shared" si="347"/>
        <v>0</v>
      </c>
      <c r="AL446" s="12"/>
      <c r="AM446" s="10">
        <f>+Risultati!N445</f>
        <v>0</v>
      </c>
      <c r="AN446" s="12" t="str">
        <f t="shared" si="348"/>
        <v>0</v>
      </c>
      <c r="AO446" s="12"/>
      <c r="AP446" s="10">
        <f t="shared" si="360"/>
        <v>0</v>
      </c>
      <c r="AQ446" s="41" t="str">
        <f t="shared" si="349"/>
        <v>0</v>
      </c>
      <c r="AR446" s="12"/>
      <c r="AS446" s="10">
        <f>+Risultati!O445</f>
        <v>0</v>
      </c>
      <c r="AT446" s="12" t="str">
        <f t="shared" si="350"/>
        <v>0</v>
      </c>
      <c r="AU446" s="12"/>
      <c r="AV446" s="10">
        <f t="shared" si="361"/>
        <v>0</v>
      </c>
      <c r="AW446" s="12" t="str">
        <f t="shared" si="351"/>
        <v>0</v>
      </c>
      <c r="AX446" s="12"/>
      <c r="AY446" s="10">
        <f>+Risultati!R445+Risultati!S445</f>
        <v>0</v>
      </c>
      <c r="AZ446" s="12" t="str">
        <f t="shared" si="352"/>
        <v>0</v>
      </c>
      <c r="BA446" s="12"/>
      <c r="BB446" s="10">
        <f>+Risultati!T445</f>
        <v>0</v>
      </c>
      <c r="BC446" s="12" t="str">
        <f t="shared" si="353"/>
        <v>0</v>
      </c>
      <c r="BD446" s="12"/>
      <c r="BE446" s="10">
        <f>+Risultati!U445</f>
        <v>0</v>
      </c>
      <c r="BF446" s="12" t="str">
        <f t="shared" si="354"/>
        <v>0</v>
      </c>
      <c r="BG446" s="12"/>
      <c r="BH446" s="10">
        <f t="shared" si="362"/>
        <v>0</v>
      </c>
      <c r="BI446" s="12" t="str">
        <f t="shared" si="355"/>
        <v>0</v>
      </c>
      <c r="BK446" s="16">
        <f>IF(ISNUMBER(Risultati!X445/100),(Risultati!X445/100))</f>
        <v>0</v>
      </c>
      <c r="BL446" s="16">
        <f>IF(ISNUMBER(Risultati!Y445/100),(Risultati!Y445/100))</f>
        <v>0</v>
      </c>
      <c r="BM446" s="16">
        <f>IF(ISNUMBER(Risultati!Z445/100),(Risultati!Z445/100))</f>
        <v>0</v>
      </c>
      <c r="BN446" s="16">
        <f>IF(AND(Risultati!AY445&lt;0,calcoli!AP446&lt;0),-IF(ISNUMBER(Risultati!AA445/100),(Risultati!AA445/100)),IF(ISNUMBER(Risultati!AA445/100),(Risultati!AA445/100)))</f>
        <v>0</v>
      </c>
      <c r="BO446" s="16" t="str">
        <f t="shared" si="336"/>
        <v>0</v>
      </c>
      <c r="BP446" s="16" t="str">
        <f>IF(Risultati!AB445&gt;0,(AV446/Risultati!AB445),"0")</f>
        <v>0</v>
      </c>
      <c r="BQ446" s="16" t="str">
        <f>IF(Risultati!AG445&lt;&gt;0,(BH446/Risultati!AG445),"0")</f>
        <v>0</v>
      </c>
      <c r="BR446" s="16" t="str">
        <f t="shared" si="337"/>
        <v>0</v>
      </c>
      <c r="BS446" s="14" t="str">
        <f>IF(Risultati!AB445&gt;0,(Risultati!G445/Risultati!AB445),"0")</f>
        <v>0</v>
      </c>
      <c r="BT446" s="15" t="str">
        <f>IF(Risultati!AG445&lt;&gt;0,(Risultati!AB445/Risultati!AG445),"0")</f>
        <v>0</v>
      </c>
      <c r="BU446" s="23" t="str">
        <f>IF(AND(Risultati!G445&gt;0,(Risultati!AE445-Risultati!AF445)&gt;=0),((Risultati!AE445-Risultati!AF445)/Risultati!G445*360),"0")</f>
        <v>0</v>
      </c>
      <c r="BV446" s="21" t="str">
        <f>IF(OR(E446="abbreviato",Risultati!G445=0),"0",((Risultati!AC445+Risultati!AD445)/Risultati!G445*360))</f>
        <v>0</v>
      </c>
      <c r="BW446" s="21" t="str">
        <f>IF(OR(E446="abbreviato",Risultati!G445=0,SUM(Risultati!I445+Risultati!K445+Risultati!M445)=0),"0",(((Risultati!AH445+Risultati!AI445)/(Risultati!I445+Risultati!K445+Risultati!N445)*360)))</f>
        <v>0</v>
      </c>
      <c r="BX446" s="16" t="str">
        <f>IF(Risultati!AB445&gt;0,(+Risultati!AG445/Risultati!AB445),"0")</f>
        <v>0</v>
      </c>
      <c r="BY446" s="22" t="str">
        <f>IF(OR(E446="abbreviato",Risultati!G445=0),"0",(((Risultati!AK445-(Risultati!AL445+Risultati!AM445))/Risultati!G445)))</f>
        <v>0</v>
      </c>
      <c r="BZ446" s="16" t="str">
        <f>IF(Risultati!G445&gt;0,(Risultati!AJ445/Risultati!G445),"0")</f>
        <v>0</v>
      </c>
      <c r="CA446" s="8"/>
      <c r="CB446" s="9">
        <f>+Risultati!AP445</f>
        <v>0</v>
      </c>
      <c r="CC446" s="31" t="str">
        <f t="shared" si="363"/>
        <v>0</v>
      </c>
      <c r="CD446" s="9">
        <f>+Risultati!AQ445</f>
        <v>0</v>
      </c>
      <c r="CE446" s="31" t="str">
        <f t="shared" si="364"/>
        <v>0</v>
      </c>
      <c r="CF446" s="9">
        <f>+Risultati!AR445</f>
        <v>0</v>
      </c>
      <c r="CG446" s="31" t="str">
        <f t="shared" si="365"/>
        <v>0</v>
      </c>
      <c r="CH446" s="9">
        <f>+Risultati!AS445</f>
        <v>0</v>
      </c>
      <c r="CI446" s="31" t="str">
        <f t="shared" si="366"/>
        <v>0</v>
      </c>
      <c r="CJ446" s="9">
        <f t="shared" si="367"/>
        <v>0</v>
      </c>
      <c r="CK446" s="31" t="str">
        <f t="shared" si="368"/>
        <v>0</v>
      </c>
      <c r="CL446" s="10">
        <f>+Risultati!AE445+Risultati!AF445</f>
        <v>0</v>
      </c>
      <c r="CM446" s="31" t="str">
        <f t="shared" si="369"/>
        <v>0</v>
      </c>
      <c r="CN446" s="9">
        <f>+Risultati!AT445</f>
        <v>0</v>
      </c>
      <c r="CO446" s="31" t="str">
        <f t="shared" si="370"/>
        <v>0</v>
      </c>
      <c r="CP446" s="9">
        <f>+Risultati!AU445</f>
        <v>0</v>
      </c>
      <c r="CQ446" s="31" t="str">
        <f t="shared" si="371"/>
        <v>0</v>
      </c>
      <c r="CR446" s="9">
        <f>+Risultati!AL445</f>
        <v>0</v>
      </c>
      <c r="CS446" s="31" t="str">
        <f t="shared" si="372"/>
        <v>0</v>
      </c>
      <c r="CT446" s="9">
        <f t="shared" si="373"/>
        <v>0</v>
      </c>
      <c r="CU446" s="31" t="str">
        <f t="shared" si="374"/>
        <v>0</v>
      </c>
      <c r="CV446" s="9">
        <f>+Risultati!AX445</f>
        <v>0</v>
      </c>
      <c r="CW446" s="31" t="str">
        <f t="shared" si="375"/>
        <v>0</v>
      </c>
      <c r="CX446" s="9">
        <f t="shared" si="376"/>
        <v>0</v>
      </c>
      <c r="CY446" s="31" t="str">
        <f t="shared" si="377"/>
        <v>0</v>
      </c>
      <c r="CZ446" s="9">
        <f>+Risultati!AG445</f>
        <v>0</v>
      </c>
      <c r="DA446" s="31" t="str">
        <f t="shared" si="378"/>
        <v>0</v>
      </c>
      <c r="DB446" s="9">
        <f t="shared" si="379"/>
        <v>0</v>
      </c>
      <c r="DC446" s="31" t="str">
        <f t="shared" si="380"/>
        <v>0</v>
      </c>
      <c r="DD446" s="9">
        <f>+Risultati!AV445</f>
        <v>0</v>
      </c>
      <c r="DE446" s="31" t="str">
        <f t="shared" si="381"/>
        <v>0</v>
      </c>
      <c r="DF446" s="9">
        <f>+Risultati!AJ445</f>
        <v>0</v>
      </c>
      <c r="DG446" s="31" t="str">
        <f t="shared" si="382"/>
        <v>0</v>
      </c>
      <c r="DH446" s="9">
        <f t="shared" si="383"/>
        <v>0</v>
      </c>
      <c r="DI446" s="31" t="str">
        <f t="shared" si="384"/>
        <v>0</v>
      </c>
      <c r="DJ446" s="9">
        <f>+Risultati!AW445</f>
        <v>0</v>
      </c>
      <c r="DK446" s="31" t="str">
        <f t="shared" si="385"/>
        <v>0</v>
      </c>
      <c r="DL446" s="10">
        <f t="shared" si="356"/>
        <v>0</v>
      </c>
      <c r="DM446" s="31" t="str">
        <f t="shared" si="386"/>
        <v>0</v>
      </c>
      <c r="DO446" s="30"/>
      <c r="DP446" s="30"/>
    </row>
    <row r="447" spans="1:120" x14ac:dyDescent="0.2">
      <c r="A447" s="5"/>
      <c r="B447" s="6">
        <f>+Risultati!B446</f>
        <v>0</v>
      </c>
      <c r="C447" s="6">
        <f>+Risultati!C446</f>
        <v>0</v>
      </c>
      <c r="D447" s="26" t="str">
        <f>IF(YEAR(Risultati!D446)=1900,(MID(Risultati!$AP$1,29,4)),YEAR(Risultati!D446))</f>
        <v/>
      </c>
      <c r="E447" s="6">
        <f>+Risultati!E446</f>
        <v>0</v>
      </c>
      <c r="F447" s="8" t="e">
        <f>(LEFT(Risultati!AN446,2)&amp;"-")&amp;VLOOKUP((LEFT(Risultati!AN446,2)),ateco!$B$4:$C$93,2,FALSE)</f>
        <v>#N/A</v>
      </c>
      <c r="G447" s="8" t="str">
        <f>SUBSTITUTE((Risultati!AN446&amp;"-"&amp;Risultati!AO446),",",";")</f>
        <v>-</v>
      </c>
      <c r="I447" s="10">
        <f>+Risultati!G446</f>
        <v>0</v>
      </c>
      <c r="J447" s="11" t="str">
        <f t="shared" si="338"/>
        <v>0</v>
      </c>
      <c r="K447" s="12"/>
      <c r="L447" s="10">
        <f>+Risultati!G446+Risultati!H446</f>
        <v>0</v>
      </c>
      <c r="M447" s="11" t="str">
        <f t="shared" si="339"/>
        <v>0</v>
      </c>
      <c r="N447" s="12"/>
      <c r="O447" s="10">
        <f>+Risultati!I446+Risultati!J446</f>
        <v>0</v>
      </c>
      <c r="P447" s="11" t="str">
        <f t="shared" si="340"/>
        <v>0</v>
      </c>
      <c r="Q447" s="12"/>
      <c r="R447" s="13">
        <f t="shared" si="357"/>
        <v>0</v>
      </c>
      <c r="S447" s="11" t="str">
        <f t="shared" si="341"/>
        <v>0</v>
      </c>
      <c r="T447" s="12"/>
      <c r="U447" s="10">
        <f>+Risultati!F446-(Risultati!G446+Risultati!H446)</f>
        <v>0</v>
      </c>
      <c r="V447" s="12" t="str">
        <f t="shared" si="342"/>
        <v>0</v>
      </c>
      <c r="W447" s="12"/>
      <c r="X447" s="10">
        <f t="shared" si="358"/>
        <v>0</v>
      </c>
      <c r="Y447" s="12" t="str">
        <f t="shared" si="343"/>
        <v>0</v>
      </c>
      <c r="Z447" s="12"/>
      <c r="AA447" s="10">
        <f>+Risultati!K446</f>
        <v>0</v>
      </c>
      <c r="AB447" s="12" t="str">
        <f t="shared" si="344"/>
        <v>0</v>
      </c>
      <c r="AC447" s="12"/>
      <c r="AD447" s="10">
        <f>+Risultati!L446</f>
        <v>0</v>
      </c>
      <c r="AE447" s="12" t="str">
        <f t="shared" si="345"/>
        <v>0</v>
      </c>
      <c r="AF447" s="12"/>
      <c r="AG447" s="10">
        <f>+Risultati!M446+Risultati!P446+Risultati!Q446</f>
        <v>0</v>
      </c>
      <c r="AH447" s="12" t="str">
        <f t="shared" si="346"/>
        <v>0</v>
      </c>
      <c r="AI447" s="12"/>
      <c r="AJ447" s="13">
        <f t="shared" si="359"/>
        <v>0</v>
      </c>
      <c r="AK447" s="11" t="str">
        <f t="shared" si="347"/>
        <v>0</v>
      </c>
      <c r="AL447" s="12"/>
      <c r="AM447" s="10">
        <f>+Risultati!N446</f>
        <v>0</v>
      </c>
      <c r="AN447" s="12" t="str">
        <f t="shared" si="348"/>
        <v>0</v>
      </c>
      <c r="AO447" s="12"/>
      <c r="AP447" s="10">
        <f t="shared" si="360"/>
        <v>0</v>
      </c>
      <c r="AQ447" s="41" t="str">
        <f t="shared" si="349"/>
        <v>0</v>
      </c>
      <c r="AR447" s="12"/>
      <c r="AS447" s="10">
        <f>+Risultati!O446</f>
        <v>0</v>
      </c>
      <c r="AT447" s="12" t="str">
        <f t="shared" si="350"/>
        <v>0</v>
      </c>
      <c r="AU447" s="12"/>
      <c r="AV447" s="10">
        <f t="shared" si="361"/>
        <v>0</v>
      </c>
      <c r="AW447" s="12" t="str">
        <f t="shared" si="351"/>
        <v>0</v>
      </c>
      <c r="AX447" s="12"/>
      <c r="AY447" s="10">
        <f>+Risultati!R446+Risultati!S446</f>
        <v>0</v>
      </c>
      <c r="AZ447" s="12" t="str">
        <f t="shared" si="352"/>
        <v>0</v>
      </c>
      <c r="BA447" s="12"/>
      <c r="BB447" s="10">
        <f>+Risultati!T446</f>
        <v>0</v>
      </c>
      <c r="BC447" s="12" t="str">
        <f t="shared" si="353"/>
        <v>0</v>
      </c>
      <c r="BD447" s="12"/>
      <c r="BE447" s="10">
        <f>+Risultati!U446</f>
        <v>0</v>
      </c>
      <c r="BF447" s="12" t="str">
        <f t="shared" si="354"/>
        <v>0</v>
      </c>
      <c r="BG447" s="12"/>
      <c r="BH447" s="10">
        <f t="shared" si="362"/>
        <v>0</v>
      </c>
      <c r="BI447" s="12" t="str">
        <f t="shared" si="355"/>
        <v>0</v>
      </c>
      <c r="BK447" s="16">
        <f>IF(ISNUMBER(Risultati!X446/100),(Risultati!X446/100))</f>
        <v>0</v>
      </c>
      <c r="BL447" s="16">
        <f>IF(ISNUMBER(Risultati!Y446/100),(Risultati!Y446/100))</f>
        <v>0</v>
      </c>
      <c r="BM447" s="16">
        <f>IF(ISNUMBER(Risultati!Z446/100),(Risultati!Z446/100))</f>
        <v>0</v>
      </c>
      <c r="BN447" s="16">
        <f>IF(AND(Risultati!AY446&lt;0,calcoli!AP447&lt;0),-IF(ISNUMBER(Risultati!AA446/100),(Risultati!AA446/100)),IF(ISNUMBER(Risultati!AA446/100),(Risultati!AA446/100)))</f>
        <v>0</v>
      </c>
      <c r="BO447" s="16" t="str">
        <f t="shared" si="336"/>
        <v>0</v>
      </c>
      <c r="BP447" s="16" t="str">
        <f>IF(Risultati!AB446&gt;0,(AV447/Risultati!AB446),"0")</f>
        <v>0</v>
      </c>
      <c r="BQ447" s="16" t="str">
        <f>IF(Risultati!AG446&lt;&gt;0,(BH447/Risultati!AG446),"0")</f>
        <v>0</v>
      </c>
      <c r="BR447" s="16" t="str">
        <f t="shared" si="337"/>
        <v>0</v>
      </c>
      <c r="BS447" s="14" t="str">
        <f>IF(Risultati!AB446&gt;0,(Risultati!G446/Risultati!AB446),"0")</f>
        <v>0</v>
      </c>
      <c r="BT447" s="15" t="str">
        <f>IF(Risultati!AG446&lt;&gt;0,(Risultati!AB446/Risultati!AG446),"0")</f>
        <v>0</v>
      </c>
      <c r="BU447" s="23" t="str">
        <f>IF(AND(Risultati!G446&gt;0,(Risultati!AE446-Risultati!AF446)&gt;=0),((Risultati!AE446-Risultati!AF446)/Risultati!G446*360),"0")</f>
        <v>0</v>
      </c>
      <c r="BV447" s="21" t="str">
        <f>IF(OR(E447="abbreviato",Risultati!G446=0),"0",((Risultati!AC446+Risultati!AD446)/Risultati!G446*360))</f>
        <v>0</v>
      </c>
      <c r="BW447" s="21" t="str">
        <f>IF(OR(E447="abbreviato",Risultati!G446=0,SUM(Risultati!I446+Risultati!K446+Risultati!M446)=0),"0",(((Risultati!AH446+Risultati!AI446)/(Risultati!I446+Risultati!K446+Risultati!N446)*360)))</f>
        <v>0</v>
      </c>
      <c r="BX447" s="16" t="str">
        <f>IF(Risultati!AB446&gt;0,(+Risultati!AG446/Risultati!AB446),"0")</f>
        <v>0</v>
      </c>
      <c r="BY447" s="22" t="str">
        <f>IF(OR(E447="abbreviato",Risultati!G446=0),"0",(((Risultati!AK446-(Risultati!AL446+Risultati!AM446))/Risultati!G446)))</f>
        <v>0</v>
      </c>
      <c r="BZ447" s="16" t="str">
        <f>IF(Risultati!G446&gt;0,(Risultati!AJ446/Risultati!G446),"0")</f>
        <v>0</v>
      </c>
      <c r="CA447" s="8"/>
      <c r="CB447" s="9">
        <f>+Risultati!AP446</f>
        <v>0</v>
      </c>
      <c r="CC447" s="31" t="str">
        <f t="shared" si="363"/>
        <v>0</v>
      </c>
      <c r="CD447" s="9">
        <f>+Risultati!AQ446</f>
        <v>0</v>
      </c>
      <c r="CE447" s="31" t="str">
        <f t="shared" si="364"/>
        <v>0</v>
      </c>
      <c r="CF447" s="9">
        <f>+Risultati!AR446</f>
        <v>0</v>
      </c>
      <c r="CG447" s="31" t="str">
        <f t="shared" si="365"/>
        <v>0</v>
      </c>
      <c r="CH447" s="9">
        <f>+Risultati!AS446</f>
        <v>0</v>
      </c>
      <c r="CI447" s="31" t="str">
        <f t="shared" si="366"/>
        <v>0</v>
      </c>
      <c r="CJ447" s="9">
        <f t="shared" si="367"/>
        <v>0</v>
      </c>
      <c r="CK447" s="31" t="str">
        <f t="shared" si="368"/>
        <v>0</v>
      </c>
      <c r="CL447" s="10">
        <f>+Risultati!AE446+Risultati!AF446</f>
        <v>0</v>
      </c>
      <c r="CM447" s="31" t="str">
        <f t="shared" si="369"/>
        <v>0</v>
      </c>
      <c r="CN447" s="9">
        <f>+Risultati!AT446</f>
        <v>0</v>
      </c>
      <c r="CO447" s="31" t="str">
        <f t="shared" si="370"/>
        <v>0</v>
      </c>
      <c r="CP447" s="9">
        <f>+Risultati!AU446</f>
        <v>0</v>
      </c>
      <c r="CQ447" s="31" t="str">
        <f t="shared" si="371"/>
        <v>0</v>
      </c>
      <c r="CR447" s="9">
        <f>+Risultati!AL446</f>
        <v>0</v>
      </c>
      <c r="CS447" s="31" t="str">
        <f t="shared" si="372"/>
        <v>0</v>
      </c>
      <c r="CT447" s="9">
        <f t="shared" si="373"/>
        <v>0</v>
      </c>
      <c r="CU447" s="31" t="str">
        <f t="shared" si="374"/>
        <v>0</v>
      </c>
      <c r="CV447" s="9">
        <f>+Risultati!AX446</f>
        <v>0</v>
      </c>
      <c r="CW447" s="31" t="str">
        <f t="shared" si="375"/>
        <v>0</v>
      </c>
      <c r="CX447" s="9">
        <f t="shared" si="376"/>
        <v>0</v>
      </c>
      <c r="CY447" s="31" t="str">
        <f t="shared" si="377"/>
        <v>0</v>
      </c>
      <c r="CZ447" s="9">
        <f>+Risultati!AG446</f>
        <v>0</v>
      </c>
      <c r="DA447" s="31" t="str">
        <f t="shared" si="378"/>
        <v>0</v>
      </c>
      <c r="DB447" s="9">
        <f t="shared" si="379"/>
        <v>0</v>
      </c>
      <c r="DC447" s="31" t="str">
        <f t="shared" si="380"/>
        <v>0</v>
      </c>
      <c r="DD447" s="9">
        <f>+Risultati!AV446</f>
        <v>0</v>
      </c>
      <c r="DE447" s="31" t="str">
        <f t="shared" si="381"/>
        <v>0</v>
      </c>
      <c r="DF447" s="9">
        <f>+Risultati!AJ446</f>
        <v>0</v>
      </c>
      <c r="DG447" s="31" t="str">
        <f t="shared" si="382"/>
        <v>0</v>
      </c>
      <c r="DH447" s="9">
        <f t="shared" si="383"/>
        <v>0</v>
      </c>
      <c r="DI447" s="31" t="str">
        <f t="shared" si="384"/>
        <v>0</v>
      </c>
      <c r="DJ447" s="9">
        <f>+Risultati!AW446</f>
        <v>0</v>
      </c>
      <c r="DK447" s="31" t="str">
        <f t="shared" si="385"/>
        <v>0</v>
      </c>
      <c r="DL447" s="10">
        <f t="shared" si="356"/>
        <v>0</v>
      </c>
      <c r="DM447" s="31" t="str">
        <f t="shared" si="386"/>
        <v>0</v>
      </c>
      <c r="DO447" s="30"/>
      <c r="DP447" s="30"/>
    </row>
    <row r="448" spans="1:120" x14ac:dyDescent="0.2">
      <c r="A448" s="5"/>
      <c r="B448" s="6">
        <f>+Risultati!B447</f>
        <v>0</v>
      </c>
      <c r="C448" s="6">
        <f>+Risultati!C447</f>
        <v>0</v>
      </c>
      <c r="D448" s="26" t="str">
        <f>IF(YEAR(Risultati!D447)=1900,(MID(Risultati!$AP$1,29,4)),YEAR(Risultati!D447))</f>
        <v/>
      </c>
      <c r="E448" s="6">
        <f>+Risultati!E447</f>
        <v>0</v>
      </c>
      <c r="F448" s="8" t="e">
        <f>(LEFT(Risultati!AN447,2)&amp;"-")&amp;VLOOKUP((LEFT(Risultati!AN447,2)),ateco!$B$4:$C$93,2,FALSE)</f>
        <v>#N/A</v>
      </c>
      <c r="G448" s="8" t="str">
        <f>SUBSTITUTE((Risultati!AN447&amp;"-"&amp;Risultati!AO447),",",";")</f>
        <v>-</v>
      </c>
      <c r="I448" s="10">
        <f>+Risultati!G447</f>
        <v>0</v>
      </c>
      <c r="J448" s="11" t="str">
        <f t="shared" si="338"/>
        <v>0</v>
      </c>
      <c r="K448" s="12"/>
      <c r="L448" s="10">
        <f>+Risultati!G447+Risultati!H447</f>
        <v>0</v>
      </c>
      <c r="M448" s="11" t="str">
        <f t="shared" si="339"/>
        <v>0</v>
      </c>
      <c r="N448" s="12"/>
      <c r="O448" s="10">
        <f>+Risultati!I447+Risultati!J447</f>
        <v>0</v>
      </c>
      <c r="P448" s="11" t="str">
        <f t="shared" si="340"/>
        <v>0</v>
      </c>
      <c r="Q448" s="12"/>
      <c r="R448" s="13">
        <f t="shared" si="357"/>
        <v>0</v>
      </c>
      <c r="S448" s="11" t="str">
        <f t="shared" si="341"/>
        <v>0</v>
      </c>
      <c r="T448" s="12"/>
      <c r="U448" s="10">
        <f>+Risultati!F447-(Risultati!G447+Risultati!H447)</f>
        <v>0</v>
      </c>
      <c r="V448" s="12" t="str">
        <f t="shared" si="342"/>
        <v>0</v>
      </c>
      <c r="W448" s="12"/>
      <c r="X448" s="10">
        <f t="shared" si="358"/>
        <v>0</v>
      </c>
      <c r="Y448" s="12" t="str">
        <f t="shared" si="343"/>
        <v>0</v>
      </c>
      <c r="Z448" s="12"/>
      <c r="AA448" s="10">
        <f>+Risultati!K447</f>
        <v>0</v>
      </c>
      <c r="AB448" s="12" t="str">
        <f t="shared" si="344"/>
        <v>0</v>
      </c>
      <c r="AC448" s="12"/>
      <c r="AD448" s="10">
        <f>+Risultati!L447</f>
        <v>0</v>
      </c>
      <c r="AE448" s="12" t="str">
        <f t="shared" si="345"/>
        <v>0</v>
      </c>
      <c r="AF448" s="12"/>
      <c r="AG448" s="10">
        <f>+Risultati!M447+Risultati!P447+Risultati!Q447</f>
        <v>0</v>
      </c>
      <c r="AH448" s="12" t="str">
        <f t="shared" si="346"/>
        <v>0</v>
      </c>
      <c r="AI448" s="12"/>
      <c r="AJ448" s="13">
        <f t="shared" si="359"/>
        <v>0</v>
      </c>
      <c r="AK448" s="11" t="str">
        <f t="shared" si="347"/>
        <v>0</v>
      </c>
      <c r="AL448" s="12"/>
      <c r="AM448" s="10">
        <f>+Risultati!N447</f>
        <v>0</v>
      </c>
      <c r="AN448" s="12" t="str">
        <f t="shared" si="348"/>
        <v>0</v>
      </c>
      <c r="AO448" s="12"/>
      <c r="AP448" s="10">
        <f t="shared" si="360"/>
        <v>0</v>
      </c>
      <c r="AQ448" s="41" t="str">
        <f t="shared" si="349"/>
        <v>0</v>
      </c>
      <c r="AR448" s="12"/>
      <c r="AS448" s="10">
        <f>+Risultati!O447</f>
        <v>0</v>
      </c>
      <c r="AT448" s="12" t="str">
        <f t="shared" si="350"/>
        <v>0</v>
      </c>
      <c r="AU448" s="12"/>
      <c r="AV448" s="10">
        <f t="shared" si="361"/>
        <v>0</v>
      </c>
      <c r="AW448" s="12" t="str">
        <f t="shared" si="351"/>
        <v>0</v>
      </c>
      <c r="AX448" s="12"/>
      <c r="AY448" s="10">
        <f>+Risultati!R447+Risultati!S447</f>
        <v>0</v>
      </c>
      <c r="AZ448" s="12" t="str">
        <f t="shared" si="352"/>
        <v>0</v>
      </c>
      <c r="BA448" s="12"/>
      <c r="BB448" s="10">
        <f>+Risultati!T447</f>
        <v>0</v>
      </c>
      <c r="BC448" s="12" t="str">
        <f t="shared" si="353"/>
        <v>0</v>
      </c>
      <c r="BD448" s="12"/>
      <c r="BE448" s="10">
        <f>+Risultati!U447</f>
        <v>0</v>
      </c>
      <c r="BF448" s="12" t="str">
        <f t="shared" si="354"/>
        <v>0</v>
      </c>
      <c r="BG448" s="12"/>
      <c r="BH448" s="10">
        <f t="shared" si="362"/>
        <v>0</v>
      </c>
      <c r="BI448" s="12" t="str">
        <f t="shared" si="355"/>
        <v>0</v>
      </c>
      <c r="BK448" s="16">
        <f>IF(ISNUMBER(Risultati!X447/100),(Risultati!X447/100))</f>
        <v>0</v>
      </c>
      <c r="BL448" s="16">
        <f>IF(ISNUMBER(Risultati!Y447/100),(Risultati!Y447/100))</f>
        <v>0</v>
      </c>
      <c r="BM448" s="16">
        <f>IF(ISNUMBER(Risultati!Z447/100),(Risultati!Z447/100))</f>
        <v>0</v>
      </c>
      <c r="BN448" s="16">
        <f>IF(AND(Risultati!AY447&lt;0,calcoli!AP448&lt;0),-IF(ISNUMBER(Risultati!AA447/100),(Risultati!AA447/100)),IF(ISNUMBER(Risultati!AA447/100),(Risultati!AA447/100)))</f>
        <v>0</v>
      </c>
      <c r="BO448" s="16" t="str">
        <f t="shared" si="336"/>
        <v>0</v>
      </c>
      <c r="BP448" s="16" t="str">
        <f>IF(Risultati!AB447&gt;0,(AV448/Risultati!AB447),"0")</f>
        <v>0</v>
      </c>
      <c r="BQ448" s="16" t="str">
        <f>IF(Risultati!AG447&lt;&gt;0,(BH448/Risultati!AG447),"0")</f>
        <v>0</v>
      </c>
      <c r="BR448" s="16" t="str">
        <f t="shared" si="337"/>
        <v>0</v>
      </c>
      <c r="BS448" s="14" t="str">
        <f>IF(Risultati!AB447&gt;0,(Risultati!G447/Risultati!AB447),"0")</f>
        <v>0</v>
      </c>
      <c r="BT448" s="15" t="str">
        <f>IF(Risultati!AG447&lt;&gt;0,(Risultati!AB447/Risultati!AG447),"0")</f>
        <v>0</v>
      </c>
      <c r="BU448" s="23" t="str">
        <f>IF(AND(Risultati!G447&gt;0,(Risultati!AE447-Risultati!AF447)&gt;=0),((Risultati!AE447-Risultati!AF447)/Risultati!G447*360),"0")</f>
        <v>0</v>
      </c>
      <c r="BV448" s="21" t="str">
        <f>IF(OR(E448="abbreviato",Risultati!G447=0),"0",((Risultati!AC447+Risultati!AD447)/Risultati!G447*360))</f>
        <v>0</v>
      </c>
      <c r="BW448" s="21" t="str">
        <f>IF(OR(E448="abbreviato",Risultati!G447=0,SUM(Risultati!I447+Risultati!K447+Risultati!M447)=0),"0",(((Risultati!AH447+Risultati!AI447)/(Risultati!I447+Risultati!K447+Risultati!N447)*360)))</f>
        <v>0</v>
      </c>
      <c r="BX448" s="16" t="str">
        <f>IF(Risultati!AB447&gt;0,(+Risultati!AG447/Risultati!AB447),"0")</f>
        <v>0</v>
      </c>
      <c r="BY448" s="22" t="str">
        <f>IF(OR(E448="abbreviato",Risultati!G447=0),"0",(((Risultati!AK447-(Risultati!AL447+Risultati!AM447))/Risultati!G447)))</f>
        <v>0</v>
      </c>
      <c r="BZ448" s="16" t="str">
        <f>IF(Risultati!G447&gt;0,(Risultati!AJ447/Risultati!G447),"0")</f>
        <v>0</v>
      </c>
      <c r="CA448" s="8"/>
      <c r="CB448" s="9">
        <f>+Risultati!AP447</f>
        <v>0</v>
      </c>
      <c r="CC448" s="31" t="str">
        <f t="shared" si="363"/>
        <v>0</v>
      </c>
      <c r="CD448" s="9">
        <f>+Risultati!AQ447</f>
        <v>0</v>
      </c>
      <c r="CE448" s="31" t="str">
        <f t="shared" si="364"/>
        <v>0</v>
      </c>
      <c r="CF448" s="9">
        <f>+Risultati!AR447</f>
        <v>0</v>
      </c>
      <c r="CG448" s="31" t="str">
        <f t="shared" si="365"/>
        <v>0</v>
      </c>
      <c r="CH448" s="9">
        <f>+Risultati!AS447</f>
        <v>0</v>
      </c>
      <c r="CI448" s="31" t="str">
        <f t="shared" si="366"/>
        <v>0</v>
      </c>
      <c r="CJ448" s="9">
        <f t="shared" si="367"/>
        <v>0</v>
      </c>
      <c r="CK448" s="31" t="str">
        <f t="shared" si="368"/>
        <v>0</v>
      </c>
      <c r="CL448" s="10">
        <f>+Risultati!AE447+Risultati!AF447</f>
        <v>0</v>
      </c>
      <c r="CM448" s="31" t="str">
        <f t="shared" si="369"/>
        <v>0</v>
      </c>
      <c r="CN448" s="9">
        <f>+Risultati!AT447</f>
        <v>0</v>
      </c>
      <c r="CO448" s="31" t="str">
        <f t="shared" si="370"/>
        <v>0</v>
      </c>
      <c r="CP448" s="9">
        <f>+Risultati!AU447</f>
        <v>0</v>
      </c>
      <c r="CQ448" s="31" t="str">
        <f t="shared" si="371"/>
        <v>0</v>
      </c>
      <c r="CR448" s="9">
        <f>+Risultati!AL447</f>
        <v>0</v>
      </c>
      <c r="CS448" s="31" t="str">
        <f t="shared" si="372"/>
        <v>0</v>
      </c>
      <c r="CT448" s="9">
        <f t="shared" si="373"/>
        <v>0</v>
      </c>
      <c r="CU448" s="31" t="str">
        <f t="shared" si="374"/>
        <v>0</v>
      </c>
      <c r="CV448" s="9">
        <f>+Risultati!AX447</f>
        <v>0</v>
      </c>
      <c r="CW448" s="31" t="str">
        <f t="shared" si="375"/>
        <v>0</v>
      </c>
      <c r="CX448" s="9">
        <f t="shared" si="376"/>
        <v>0</v>
      </c>
      <c r="CY448" s="31" t="str">
        <f t="shared" si="377"/>
        <v>0</v>
      </c>
      <c r="CZ448" s="9">
        <f>+Risultati!AG447</f>
        <v>0</v>
      </c>
      <c r="DA448" s="31" t="str">
        <f t="shared" si="378"/>
        <v>0</v>
      </c>
      <c r="DB448" s="9">
        <f t="shared" si="379"/>
        <v>0</v>
      </c>
      <c r="DC448" s="31" t="str">
        <f t="shared" si="380"/>
        <v>0</v>
      </c>
      <c r="DD448" s="9">
        <f>+Risultati!AV447</f>
        <v>0</v>
      </c>
      <c r="DE448" s="31" t="str">
        <f t="shared" si="381"/>
        <v>0</v>
      </c>
      <c r="DF448" s="9">
        <f>+Risultati!AJ447</f>
        <v>0</v>
      </c>
      <c r="DG448" s="31" t="str">
        <f t="shared" si="382"/>
        <v>0</v>
      </c>
      <c r="DH448" s="9">
        <f t="shared" si="383"/>
        <v>0</v>
      </c>
      <c r="DI448" s="31" t="str">
        <f t="shared" si="384"/>
        <v>0</v>
      </c>
      <c r="DJ448" s="9">
        <f>+Risultati!AW447</f>
        <v>0</v>
      </c>
      <c r="DK448" s="31" t="str">
        <f t="shared" si="385"/>
        <v>0</v>
      </c>
      <c r="DL448" s="10">
        <f t="shared" si="356"/>
        <v>0</v>
      </c>
      <c r="DM448" s="31" t="str">
        <f t="shared" si="386"/>
        <v>0</v>
      </c>
      <c r="DO448" s="30"/>
      <c r="DP448" s="30"/>
    </row>
    <row r="449" spans="1:120" x14ac:dyDescent="0.2">
      <c r="A449" s="5"/>
      <c r="B449" s="6">
        <f>+Risultati!B448</f>
        <v>0</v>
      </c>
      <c r="C449" s="6">
        <f>+Risultati!C448</f>
        <v>0</v>
      </c>
      <c r="D449" s="26" t="str">
        <f>IF(YEAR(Risultati!D448)=1900,(MID(Risultati!$AP$1,29,4)),YEAR(Risultati!D448))</f>
        <v/>
      </c>
      <c r="E449" s="6">
        <f>+Risultati!E448</f>
        <v>0</v>
      </c>
      <c r="F449" s="8" t="e">
        <f>(LEFT(Risultati!AN448,2)&amp;"-")&amp;VLOOKUP((LEFT(Risultati!AN448,2)),ateco!$B$4:$C$93,2,FALSE)</f>
        <v>#N/A</v>
      </c>
      <c r="G449" s="8" t="str">
        <f>SUBSTITUTE((Risultati!AN448&amp;"-"&amp;Risultati!AO448),",",";")</f>
        <v>-</v>
      </c>
      <c r="I449" s="10">
        <f>+Risultati!G448</f>
        <v>0</v>
      </c>
      <c r="J449" s="11" t="str">
        <f t="shared" si="338"/>
        <v>0</v>
      </c>
      <c r="K449" s="12"/>
      <c r="L449" s="10">
        <f>+Risultati!G448+Risultati!H448</f>
        <v>0</v>
      </c>
      <c r="M449" s="11" t="str">
        <f t="shared" si="339"/>
        <v>0</v>
      </c>
      <c r="N449" s="12"/>
      <c r="O449" s="10">
        <f>+Risultati!I448+Risultati!J448</f>
        <v>0</v>
      </c>
      <c r="P449" s="11" t="str">
        <f t="shared" si="340"/>
        <v>0</v>
      </c>
      <c r="Q449" s="12"/>
      <c r="R449" s="13">
        <f t="shared" si="357"/>
        <v>0</v>
      </c>
      <c r="S449" s="11" t="str">
        <f t="shared" si="341"/>
        <v>0</v>
      </c>
      <c r="T449" s="12"/>
      <c r="U449" s="10">
        <f>+Risultati!F448-(Risultati!G448+Risultati!H448)</f>
        <v>0</v>
      </c>
      <c r="V449" s="12" t="str">
        <f t="shared" si="342"/>
        <v>0</v>
      </c>
      <c r="W449" s="12"/>
      <c r="X449" s="10">
        <f t="shared" si="358"/>
        <v>0</v>
      </c>
      <c r="Y449" s="12" t="str">
        <f t="shared" si="343"/>
        <v>0</v>
      </c>
      <c r="Z449" s="12"/>
      <c r="AA449" s="10">
        <f>+Risultati!K448</f>
        <v>0</v>
      </c>
      <c r="AB449" s="12" t="str">
        <f t="shared" si="344"/>
        <v>0</v>
      </c>
      <c r="AC449" s="12"/>
      <c r="AD449" s="10">
        <f>+Risultati!L448</f>
        <v>0</v>
      </c>
      <c r="AE449" s="12" t="str">
        <f t="shared" si="345"/>
        <v>0</v>
      </c>
      <c r="AF449" s="12"/>
      <c r="AG449" s="10">
        <f>+Risultati!M448+Risultati!P448+Risultati!Q448</f>
        <v>0</v>
      </c>
      <c r="AH449" s="12" t="str">
        <f t="shared" si="346"/>
        <v>0</v>
      </c>
      <c r="AI449" s="12"/>
      <c r="AJ449" s="13">
        <f t="shared" si="359"/>
        <v>0</v>
      </c>
      <c r="AK449" s="11" t="str">
        <f t="shared" si="347"/>
        <v>0</v>
      </c>
      <c r="AL449" s="12"/>
      <c r="AM449" s="10">
        <f>+Risultati!N448</f>
        <v>0</v>
      </c>
      <c r="AN449" s="12" t="str">
        <f t="shared" si="348"/>
        <v>0</v>
      </c>
      <c r="AO449" s="12"/>
      <c r="AP449" s="10">
        <f t="shared" si="360"/>
        <v>0</v>
      </c>
      <c r="AQ449" s="41" t="str">
        <f t="shared" si="349"/>
        <v>0</v>
      </c>
      <c r="AR449" s="12"/>
      <c r="AS449" s="10">
        <f>+Risultati!O448</f>
        <v>0</v>
      </c>
      <c r="AT449" s="12" t="str">
        <f t="shared" si="350"/>
        <v>0</v>
      </c>
      <c r="AU449" s="12"/>
      <c r="AV449" s="10">
        <f t="shared" si="361"/>
        <v>0</v>
      </c>
      <c r="AW449" s="12" t="str">
        <f t="shared" si="351"/>
        <v>0</v>
      </c>
      <c r="AX449" s="12"/>
      <c r="AY449" s="10">
        <f>+Risultati!R448+Risultati!S448</f>
        <v>0</v>
      </c>
      <c r="AZ449" s="12" t="str">
        <f t="shared" si="352"/>
        <v>0</v>
      </c>
      <c r="BA449" s="12"/>
      <c r="BB449" s="10">
        <f>+Risultati!T448</f>
        <v>0</v>
      </c>
      <c r="BC449" s="12" t="str">
        <f t="shared" si="353"/>
        <v>0</v>
      </c>
      <c r="BD449" s="12"/>
      <c r="BE449" s="10">
        <f>+Risultati!U448</f>
        <v>0</v>
      </c>
      <c r="BF449" s="12" t="str">
        <f t="shared" si="354"/>
        <v>0</v>
      </c>
      <c r="BG449" s="12"/>
      <c r="BH449" s="10">
        <f t="shared" si="362"/>
        <v>0</v>
      </c>
      <c r="BI449" s="12" t="str">
        <f t="shared" si="355"/>
        <v>0</v>
      </c>
      <c r="BK449" s="16">
        <f>IF(ISNUMBER(Risultati!X448/100),(Risultati!X448/100))</f>
        <v>0</v>
      </c>
      <c r="BL449" s="16">
        <f>IF(ISNUMBER(Risultati!Y448/100),(Risultati!Y448/100))</f>
        <v>0</v>
      </c>
      <c r="BM449" s="16">
        <f>IF(ISNUMBER(Risultati!Z448/100),(Risultati!Z448/100))</f>
        <v>0</v>
      </c>
      <c r="BN449" s="16">
        <f>IF(AND(Risultati!AY448&lt;0,calcoli!AP449&lt;0),-IF(ISNUMBER(Risultati!AA448/100),(Risultati!AA448/100)),IF(ISNUMBER(Risultati!AA448/100),(Risultati!AA448/100)))</f>
        <v>0</v>
      </c>
      <c r="BO449" s="16" t="str">
        <f t="shared" si="336"/>
        <v>0</v>
      </c>
      <c r="BP449" s="16" t="str">
        <f>IF(Risultati!AB448&gt;0,(AV449/Risultati!AB448),"0")</f>
        <v>0</v>
      </c>
      <c r="BQ449" s="16" t="str">
        <f>IF(Risultati!AG448&lt;&gt;0,(BH449/Risultati!AG448),"0")</f>
        <v>0</v>
      </c>
      <c r="BR449" s="16" t="str">
        <f t="shared" si="337"/>
        <v>0</v>
      </c>
      <c r="BS449" s="14" t="str">
        <f>IF(Risultati!AB448&gt;0,(Risultati!G448/Risultati!AB448),"0")</f>
        <v>0</v>
      </c>
      <c r="BT449" s="15" t="str">
        <f>IF(Risultati!AG448&lt;&gt;0,(Risultati!AB448/Risultati!AG448),"0")</f>
        <v>0</v>
      </c>
      <c r="BU449" s="23" t="str">
        <f>IF(AND(Risultati!G448&gt;0,(Risultati!AE448-Risultati!AF448)&gt;=0),((Risultati!AE448-Risultati!AF448)/Risultati!G448*360),"0")</f>
        <v>0</v>
      </c>
      <c r="BV449" s="21" t="str">
        <f>IF(OR(E449="abbreviato",Risultati!G448=0),"0",((Risultati!AC448+Risultati!AD448)/Risultati!G448*360))</f>
        <v>0</v>
      </c>
      <c r="BW449" s="21" t="str">
        <f>IF(OR(E449="abbreviato",Risultati!G448=0,SUM(Risultati!I448+Risultati!K448+Risultati!M448)=0),"0",(((Risultati!AH448+Risultati!AI448)/(Risultati!I448+Risultati!K448+Risultati!N448)*360)))</f>
        <v>0</v>
      </c>
      <c r="BX449" s="16" t="str">
        <f>IF(Risultati!AB448&gt;0,(+Risultati!AG448/Risultati!AB448),"0")</f>
        <v>0</v>
      </c>
      <c r="BY449" s="22" t="str">
        <f>IF(OR(E449="abbreviato",Risultati!G448=0),"0",(((Risultati!AK448-(Risultati!AL448+Risultati!AM448))/Risultati!G448)))</f>
        <v>0</v>
      </c>
      <c r="BZ449" s="16" t="str">
        <f>IF(Risultati!G448&gt;0,(Risultati!AJ448/Risultati!G448),"0")</f>
        <v>0</v>
      </c>
      <c r="CA449" s="8"/>
      <c r="CB449" s="9">
        <f>+Risultati!AP448</f>
        <v>0</v>
      </c>
      <c r="CC449" s="31" t="str">
        <f t="shared" si="363"/>
        <v>0</v>
      </c>
      <c r="CD449" s="9">
        <f>+Risultati!AQ448</f>
        <v>0</v>
      </c>
      <c r="CE449" s="31" t="str">
        <f t="shared" si="364"/>
        <v>0</v>
      </c>
      <c r="CF449" s="9">
        <f>+Risultati!AR448</f>
        <v>0</v>
      </c>
      <c r="CG449" s="31" t="str">
        <f t="shared" si="365"/>
        <v>0</v>
      </c>
      <c r="CH449" s="9">
        <f>+Risultati!AS448</f>
        <v>0</v>
      </c>
      <c r="CI449" s="31" t="str">
        <f t="shared" si="366"/>
        <v>0</v>
      </c>
      <c r="CJ449" s="9">
        <f t="shared" si="367"/>
        <v>0</v>
      </c>
      <c r="CK449" s="31" t="str">
        <f t="shared" si="368"/>
        <v>0</v>
      </c>
      <c r="CL449" s="10">
        <f>+Risultati!AE448+Risultati!AF448</f>
        <v>0</v>
      </c>
      <c r="CM449" s="31" t="str">
        <f t="shared" si="369"/>
        <v>0</v>
      </c>
      <c r="CN449" s="9">
        <f>+Risultati!AT448</f>
        <v>0</v>
      </c>
      <c r="CO449" s="31" t="str">
        <f t="shared" si="370"/>
        <v>0</v>
      </c>
      <c r="CP449" s="9">
        <f>+Risultati!AU448</f>
        <v>0</v>
      </c>
      <c r="CQ449" s="31" t="str">
        <f t="shared" si="371"/>
        <v>0</v>
      </c>
      <c r="CR449" s="9">
        <f>+Risultati!AL448</f>
        <v>0</v>
      </c>
      <c r="CS449" s="31" t="str">
        <f t="shared" si="372"/>
        <v>0</v>
      </c>
      <c r="CT449" s="9">
        <f t="shared" si="373"/>
        <v>0</v>
      </c>
      <c r="CU449" s="31" t="str">
        <f t="shared" si="374"/>
        <v>0</v>
      </c>
      <c r="CV449" s="9">
        <f>+Risultati!AX448</f>
        <v>0</v>
      </c>
      <c r="CW449" s="31" t="str">
        <f t="shared" si="375"/>
        <v>0</v>
      </c>
      <c r="CX449" s="9">
        <f t="shared" si="376"/>
        <v>0</v>
      </c>
      <c r="CY449" s="31" t="str">
        <f t="shared" si="377"/>
        <v>0</v>
      </c>
      <c r="CZ449" s="9">
        <f>+Risultati!AG448</f>
        <v>0</v>
      </c>
      <c r="DA449" s="31" t="str">
        <f t="shared" si="378"/>
        <v>0</v>
      </c>
      <c r="DB449" s="9">
        <f t="shared" si="379"/>
        <v>0</v>
      </c>
      <c r="DC449" s="31" t="str">
        <f t="shared" si="380"/>
        <v>0</v>
      </c>
      <c r="DD449" s="9">
        <f>+Risultati!AV448</f>
        <v>0</v>
      </c>
      <c r="DE449" s="31" t="str">
        <f t="shared" si="381"/>
        <v>0</v>
      </c>
      <c r="DF449" s="9">
        <f>+Risultati!AJ448</f>
        <v>0</v>
      </c>
      <c r="DG449" s="31" t="str">
        <f t="shared" si="382"/>
        <v>0</v>
      </c>
      <c r="DH449" s="9">
        <f t="shared" si="383"/>
        <v>0</v>
      </c>
      <c r="DI449" s="31" t="str">
        <f t="shared" si="384"/>
        <v>0</v>
      </c>
      <c r="DJ449" s="9">
        <f>+Risultati!AW448</f>
        <v>0</v>
      </c>
      <c r="DK449" s="31" t="str">
        <f t="shared" si="385"/>
        <v>0</v>
      </c>
      <c r="DL449" s="10">
        <f t="shared" si="356"/>
        <v>0</v>
      </c>
      <c r="DM449" s="31" t="str">
        <f t="shared" si="386"/>
        <v>0</v>
      </c>
      <c r="DO449" s="30"/>
      <c r="DP449" s="30"/>
    </row>
    <row r="450" spans="1:120" x14ac:dyDescent="0.2">
      <c r="A450" s="5"/>
      <c r="B450" s="6">
        <f>+Risultati!B449</f>
        <v>0</v>
      </c>
      <c r="C450" s="6">
        <f>+Risultati!C449</f>
        <v>0</v>
      </c>
      <c r="D450" s="26" t="str">
        <f>IF(YEAR(Risultati!D449)=1900,(MID(Risultati!$AP$1,29,4)),YEAR(Risultati!D449))</f>
        <v/>
      </c>
      <c r="E450" s="6">
        <f>+Risultati!E449</f>
        <v>0</v>
      </c>
      <c r="F450" s="8" t="e">
        <f>(LEFT(Risultati!AN449,2)&amp;"-")&amp;VLOOKUP((LEFT(Risultati!AN449,2)),ateco!$B$4:$C$93,2,FALSE)</f>
        <v>#N/A</v>
      </c>
      <c r="G450" s="8" t="str">
        <f>SUBSTITUTE((Risultati!AN449&amp;"-"&amp;Risultati!AO449),",",";")</f>
        <v>-</v>
      </c>
      <c r="I450" s="10">
        <f>+Risultati!G449</f>
        <v>0</v>
      </c>
      <c r="J450" s="11" t="str">
        <f t="shared" si="338"/>
        <v>0</v>
      </c>
      <c r="K450" s="12"/>
      <c r="L450" s="10">
        <f>+Risultati!G449+Risultati!H449</f>
        <v>0</v>
      </c>
      <c r="M450" s="11" t="str">
        <f t="shared" si="339"/>
        <v>0</v>
      </c>
      <c r="N450" s="12"/>
      <c r="O450" s="10">
        <f>+Risultati!I449+Risultati!J449</f>
        <v>0</v>
      </c>
      <c r="P450" s="11" t="str">
        <f t="shared" si="340"/>
        <v>0</v>
      </c>
      <c r="Q450" s="12"/>
      <c r="R450" s="13">
        <f t="shared" si="357"/>
        <v>0</v>
      </c>
      <c r="S450" s="11" t="str">
        <f t="shared" si="341"/>
        <v>0</v>
      </c>
      <c r="T450" s="12"/>
      <c r="U450" s="10">
        <f>+Risultati!F449-(Risultati!G449+Risultati!H449)</f>
        <v>0</v>
      </c>
      <c r="V450" s="12" t="str">
        <f t="shared" si="342"/>
        <v>0</v>
      </c>
      <c r="W450" s="12"/>
      <c r="X450" s="10">
        <f t="shared" si="358"/>
        <v>0</v>
      </c>
      <c r="Y450" s="12" t="str">
        <f t="shared" si="343"/>
        <v>0</v>
      </c>
      <c r="Z450" s="12"/>
      <c r="AA450" s="10">
        <f>+Risultati!K449</f>
        <v>0</v>
      </c>
      <c r="AB450" s="12" t="str">
        <f t="shared" si="344"/>
        <v>0</v>
      </c>
      <c r="AC450" s="12"/>
      <c r="AD450" s="10">
        <f>+Risultati!L449</f>
        <v>0</v>
      </c>
      <c r="AE450" s="12" t="str">
        <f t="shared" si="345"/>
        <v>0</v>
      </c>
      <c r="AF450" s="12"/>
      <c r="AG450" s="10">
        <f>+Risultati!M449+Risultati!P449+Risultati!Q449</f>
        <v>0</v>
      </c>
      <c r="AH450" s="12" t="str">
        <f t="shared" si="346"/>
        <v>0</v>
      </c>
      <c r="AI450" s="12"/>
      <c r="AJ450" s="13">
        <f t="shared" si="359"/>
        <v>0</v>
      </c>
      <c r="AK450" s="11" t="str">
        <f t="shared" si="347"/>
        <v>0</v>
      </c>
      <c r="AL450" s="12"/>
      <c r="AM450" s="10">
        <f>+Risultati!N449</f>
        <v>0</v>
      </c>
      <c r="AN450" s="12" t="str">
        <f t="shared" si="348"/>
        <v>0</v>
      </c>
      <c r="AO450" s="12"/>
      <c r="AP450" s="10">
        <f t="shared" si="360"/>
        <v>0</v>
      </c>
      <c r="AQ450" s="41" t="str">
        <f t="shared" si="349"/>
        <v>0</v>
      </c>
      <c r="AR450" s="12"/>
      <c r="AS450" s="10">
        <f>+Risultati!O449</f>
        <v>0</v>
      </c>
      <c r="AT450" s="12" t="str">
        <f t="shared" si="350"/>
        <v>0</v>
      </c>
      <c r="AU450" s="12"/>
      <c r="AV450" s="10">
        <f t="shared" si="361"/>
        <v>0</v>
      </c>
      <c r="AW450" s="12" t="str">
        <f t="shared" si="351"/>
        <v>0</v>
      </c>
      <c r="AX450" s="12"/>
      <c r="AY450" s="10">
        <f>+Risultati!R449+Risultati!S449</f>
        <v>0</v>
      </c>
      <c r="AZ450" s="12" t="str">
        <f t="shared" si="352"/>
        <v>0</v>
      </c>
      <c r="BA450" s="12"/>
      <c r="BB450" s="10">
        <f>+Risultati!T449</f>
        <v>0</v>
      </c>
      <c r="BC450" s="12" t="str">
        <f t="shared" si="353"/>
        <v>0</v>
      </c>
      <c r="BD450" s="12"/>
      <c r="BE450" s="10">
        <f>+Risultati!U449</f>
        <v>0</v>
      </c>
      <c r="BF450" s="12" t="str">
        <f t="shared" si="354"/>
        <v>0</v>
      </c>
      <c r="BG450" s="12"/>
      <c r="BH450" s="10">
        <f t="shared" si="362"/>
        <v>0</v>
      </c>
      <c r="BI450" s="12" t="str">
        <f t="shared" si="355"/>
        <v>0</v>
      </c>
      <c r="BK450" s="16">
        <f>IF(ISNUMBER(Risultati!X449/100),(Risultati!X449/100))</f>
        <v>0</v>
      </c>
      <c r="BL450" s="16">
        <f>IF(ISNUMBER(Risultati!Y449/100),(Risultati!Y449/100))</f>
        <v>0</v>
      </c>
      <c r="BM450" s="16">
        <f>IF(ISNUMBER(Risultati!Z449/100),(Risultati!Z449/100))</f>
        <v>0</v>
      </c>
      <c r="BN450" s="16">
        <f>IF(AND(Risultati!AY449&lt;0,calcoli!AP450&lt;0),-IF(ISNUMBER(Risultati!AA449/100),(Risultati!AA449/100)),IF(ISNUMBER(Risultati!AA449/100),(Risultati!AA449/100)))</f>
        <v>0</v>
      </c>
      <c r="BO450" s="16" t="str">
        <f t="shared" si="336"/>
        <v>0</v>
      </c>
      <c r="BP450" s="16" t="str">
        <f>IF(Risultati!AB449&gt;0,(AV450/Risultati!AB449),"0")</f>
        <v>0</v>
      </c>
      <c r="BQ450" s="16" t="str">
        <f>IF(Risultati!AG449&lt;&gt;0,(BH450/Risultati!AG449),"0")</f>
        <v>0</v>
      </c>
      <c r="BR450" s="16" t="str">
        <f t="shared" si="337"/>
        <v>0</v>
      </c>
      <c r="BS450" s="14" t="str">
        <f>IF(Risultati!AB449&gt;0,(Risultati!G449/Risultati!AB449),"0")</f>
        <v>0</v>
      </c>
      <c r="BT450" s="15" t="str">
        <f>IF(Risultati!AG449&lt;&gt;0,(Risultati!AB449/Risultati!AG449),"0")</f>
        <v>0</v>
      </c>
      <c r="BU450" s="23" t="str">
        <f>IF(AND(Risultati!G449&gt;0,(Risultati!AE449-Risultati!AF449)&gt;=0),((Risultati!AE449-Risultati!AF449)/Risultati!G449*360),"0")</f>
        <v>0</v>
      </c>
      <c r="BV450" s="21" t="str">
        <f>IF(OR(E450="abbreviato",Risultati!G449=0),"0",((Risultati!AC449+Risultati!AD449)/Risultati!G449*360))</f>
        <v>0</v>
      </c>
      <c r="BW450" s="21" t="str">
        <f>IF(OR(E450="abbreviato",Risultati!G449=0,SUM(Risultati!I449+Risultati!K449+Risultati!M449)=0),"0",(((Risultati!AH449+Risultati!AI449)/(Risultati!I449+Risultati!K449+Risultati!N449)*360)))</f>
        <v>0</v>
      </c>
      <c r="BX450" s="16" t="str">
        <f>IF(Risultati!AB449&gt;0,(+Risultati!AG449/Risultati!AB449),"0")</f>
        <v>0</v>
      </c>
      <c r="BY450" s="22" t="str">
        <f>IF(OR(E450="abbreviato",Risultati!G449=0),"0",(((Risultati!AK449-(Risultati!AL449+Risultati!AM449))/Risultati!G449)))</f>
        <v>0</v>
      </c>
      <c r="BZ450" s="16" t="str">
        <f>IF(Risultati!G449&gt;0,(Risultati!AJ449/Risultati!G449),"0")</f>
        <v>0</v>
      </c>
      <c r="CA450" s="8"/>
      <c r="CB450" s="9">
        <f>+Risultati!AP449</f>
        <v>0</v>
      </c>
      <c r="CC450" s="31" t="str">
        <f t="shared" si="363"/>
        <v>0</v>
      </c>
      <c r="CD450" s="9">
        <f>+Risultati!AQ449</f>
        <v>0</v>
      </c>
      <c r="CE450" s="31" t="str">
        <f t="shared" si="364"/>
        <v>0</v>
      </c>
      <c r="CF450" s="9">
        <f>+Risultati!AR449</f>
        <v>0</v>
      </c>
      <c r="CG450" s="31" t="str">
        <f t="shared" si="365"/>
        <v>0</v>
      </c>
      <c r="CH450" s="9">
        <f>+Risultati!AS449</f>
        <v>0</v>
      </c>
      <c r="CI450" s="31" t="str">
        <f t="shared" si="366"/>
        <v>0</v>
      </c>
      <c r="CJ450" s="9">
        <f t="shared" si="367"/>
        <v>0</v>
      </c>
      <c r="CK450" s="31" t="str">
        <f t="shared" si="368"/>
        <v>0</v>
      </c>
      <c r="CL450" s="10">
        <f>+Risultati!AE449+Risultati!AF449</f>
        <v>0</v>
      </c>
      <c r="CM450" s="31" t="str">
        <f t="shared" si="369"/>
        <v>0</v>
      </c>
      <c r="CN450" s="9">
        <f>+Risultati!AT449</f>
        <v>0</v>
      </c>
      <c r="CO450" s="31" t="str">
        <f t="shared" si="370"/>
        <v>0</v>
      </c>
      <c r="CP450" s="9">
        <f>+Risultati!AU449</f>
        <v>0</v>
      </c>
      <c r="CQ450" s="31" t="str">
        <f t="shared" si="371"/>
        <v>0</v>
      </c>
      <c r="CR450" s="9">
        <f>+Risultati!AL449</f>
        <v>0</v>
      </c>
      <c r="CS450" s="31" t="str">
        <f t="shared" si="372"/>
        <v>0</v>
      </c>
      <c r="CT450" s="9">
        <f t="shared" si="373"/>
        <v>0</v>
      </c>
      <c r="CU450" s="31" t="str">
        <f t="shared" si="374"/>
        <v>0</v>
      </c>
      <c r="CV450" s="9">
        <f>+Risultati!AX449</f>
        <v>0</v>
      </c>
      <c r="CW450" s="31" t="str">
        <f t="shared" si="375"/>
        <v>0</v>
      </c>
      <c r="CX450" s="9">
        <f t="shared" si="376"/>
        <v>0</v>
      </c>
      <c r="CY450" s="31" t="str">
        <f t="shared" si="377"/>
        <v>0</v>
      </c>
      <c r="CZ450" s="9">
        <f>+Risultati!AG449</f>
        <v>0</v>
      </c>
      <c r="DA450" s="31" t="str">
        <f t="shared" si="378"/>
        <v>0</v>
      </c>
      <c r="DB450" s="9">
        <f t="shared" si="379"/>
        <v>0</v>
      </c>
      <c r="DC450" s="31" t="str">
        <f t="shared" si="380"/>
        <v>0</v>
      </c>
      <c r="DD450" s="9">
        <f>+Risultati!AV449</f>
        <v>0</v>
      </c>
      <c r="DE450" s="31" t="str">
        <f t="shared" si="381"/>
        <v>0</v>
      </c>
      <c r="DF450" s="9">
        <f>+Risultati!AJ449</f>
        <v>0</v>
      </c>
      <c r="DG450" s="31" t="str">
        <f t="shared" si="382"/>
        <v>0</v>
      </c>
      <c r="DH450" s="9">
        <f t="shared" si="383"/>
        <v>0</v>
      </c>
      <c r="DI450" s="31" t="str">
        <f t="shared" si="384"/>
        <v>0</v>
      </c>
      <c r="DJ450" s="9">
        <f>+Risultati!AW449</f>
        <v>0</v>
      </c>
      <c r="DK450" s="31" t="str">
        <f t="shared" si="385"/>
        <v>0</v>
      </c>
      <c r="DL450" s="10">
        <f t="shared" si="356"/>
        <v>0</v>
      </c>
      <c r="DM450" s="31" t="str">
        <f t="shared" si="386"/>
        <v>0</v>
      </c>
      <c r="DO450" s="30"/>
      <c r="DP450" s="30"/>
    </row>
    <row r="451" spans="1:120" x14ac:dyDescent="0.2">
      <c r="A451" s="5"/>
      <c r="B451" s="6">
        <f>+Risultati!B450</f>
        <v>0</v>
      </c>
      <c r="C451" s="6">
        <f>+Risultati!C450</f>
        <v>0</v>
      </c>
      <c r="D451" s="26" t="str">
        <f>IF(YEAR(Risultati!D450)=1900,(MID(Risultati!$AP$1,29,4)),YEAR(Risultati!D450))</f>
        <v/>
      </c>
      <c r="E451" s="6">
        <f>+Risultati!E450</f>
        <v>0</v>
      </c>
      <c r="F451" s="8" t="e">
        <f>(LEFT(Risultati!AN450,2)&amp;"-")&amp;VLOOKUP((LEFT(Risultati!AN450,2)),ateco!$B$4:$C$93,2,FALSE)</f>
        <v>#N/A</v>
      </c>
      <c r="G451" s="8" t="str">
        <f>SUBSTITUTE((Risultati!AN450&amp;"-"&amp;Risultati!AO450),",",";")</f>
        <v>-</v>
      </c>
      <c r="I451" s="10">
        <f>+Risultati!G450</f>
        <v>0</v>
      </c>
      <c r="J451" s="11" t="str">
        <f t="shared" si="338"/>
        <v>0</v>
      </c>
      <c r="K451" s="12"/>
      <c r="L451" s="10">
        <f>+Risultati!G450+Risultati!H450</f>
        <v>0</v>
      </c>
      <c r="M451" s="11" t="str">
        <f t="shared" si="339"/>
        <v>0</v>
      </c>
      <c r="N451" s="12"/>
      <c r="O451" s="10">
        <f>+Risultati!I450+Risultati!J450</f>
        <v>0</v>
      </c>
      <c r="P451" s="11" t="str">
        <f t="shared" si="340"/>
        <v>0</v>
      </c>
      <c r="Q451" s="12"/>
      <c r="R451" s="13">
        <f t="shared" si="357"/>
        <v>0</v>
      </c>
      <c r="S451" s="11" t="str">
        <f t="shared" si="341"/>
        <v>0</v>
      </c>
      <c r="T451" s="12"/>
      <c r="U451" s="10">
        <f>+Risultati!F450-(Risultati!G450+Risultati!H450)</f>
        <v>0</v>
      </c>
      <c r="V451" s="12" t="str">
        <f t="shared" si="342"/>
        <v>0</v>
      </c>
      <c r="W451" s="12"/>
      <c r="X451" s="10">
        <f t="shared" si="358"/>
        <v>0</v>
      </c>
      <c r="Y451" s="12" t="str">
        <f t="shared" si="343"/>
        <v>0</v>
      </c>
      <c r="Z451" s="12"/>
      <c r="AA451" s="10">
        <f>+Risultati!K450</f>
        <v>0</v>
      </c>
      <c r="AB451" s="12" t="str">
        <f t="shared" si="344"/>
        <v>0</v>
      </c>
      <c r="AC451" s="12"/>
      <c r="AD451" s="10">
        <f>+Risultati!L450</f>
        <v>0</v>
      </c>
      <c r="AE451" s="12" t="str">
        <f t="shared" si="345"/>
        <v>0</v>
      </c>
      <c r="AF451" s="12"/>
      <c r="AG451" s="10">
        <f>+Risultati!M450+Risultati!P450+Risultati!Q450</f>
        <v>0</v>
      </c>
      <c r="AH451" s="12" t="str">
        <f t="shared" si="346"/>
        <v>0</v>
      </c>
      <c r="AI451" s="12"/>
      <c r="AJ451" s="13">
        <f t="shared" si="359"/>
        <v>0</v>
      </c>
      <c r="AK451" s="11" t="str">
        <f t="shared" si="347"/>
        <v>0</v>
      </c>
      <c r="AL451" s="12"/>
      <c r="AM451" s="10">
        <f>+Risultati!N450</f>
        <v>0</v>
      </c>
      <c r="AN451" s="12" t="str">
        <f t="shared" si="348"/>
        <v>0</v>
      </c>
      <c r="AO451" s="12"/>
      <c r="AP451" s="10">
        <f t="shared" si="360"/>
        <v>0</v>
      </c>
      <c r="AQ451" s="41" t="str">
        <f t="shared" si="349"/>
        <v>0</v>
      </c>
      <c r="AR451" s="12"/>
      <c r="AS451" s="10">
        <f>+Risultati!O450</f>
        <v>0</v>
      </c>
      <c r="AT451" s="12" t="str">
        <f t="shared" si="350"/>
        <v>0</v>
      </c>
      <c r="AU451" s="12"/>
      <c r="AV451" s="10">
        <f t="shared" si="361"/>
        <v>0</v>
      </c>
      <c r="AW451" s="12" t="str">
        <f t="shared" si="351"/>
        <v>0</v>
      </c>
      <c r="AX451" s="12"/>
      <c r="AY451" s="10">
        <f>+Risultati!R450+Risultati!S450</f>
        <v>0</v>
      </c>
      <c r="AZ451" s="12" t="str">
        <f t="shared" si="352"/>
        <v>0</v>
      </c>
      <c r="BA451" s="12"/>
      <c r="BB451" s="10">
        <f>+Risultati!T450</f>
        <v>0</v>
      </c>
      <c r="BC451" s="12" t="str">
        <f t="shared" si="353"/>
        <v>0</v>
      </c>
      <c r="BD451" s="12"/>
      <c r="BE451" s="10">
        <f>+Risultati!U450</f>
        <v>0</v>
      </c>
      <c r="BF451" s="12" t="str">
        <f t="shared" si="354"/>
        <v>0</v>
      </c>
      <c r="BG451" s="12"/>
      <c r="BH451" s="10">
        <f t="shared" si="362"/>
        <v>0</v>
      </c>
      <c r="BI451" s="12" t="str">
        <f t="shared" si="355"/>
        <v>0</v>
      </c>
      <c r="BK451" s="16">
        <f>IF(ISNUMBER(Risultati!X450/100),(Risultati!X450/100))</f>
        <v>0</v>
      </c>
      <c r="BL451" s="16">
        <f>IF(ISNUMBER(Risultati!Y450/100),(Risultati!Y450/100))</f>
        <v>0</v>
      </c>
      <c r="BM451" s="16">
        <f>IF(ISNUMBER(Risultati!Z450/100),(Risultati!Z450/100))</f>
        <v>0</v>
      </c>
      <c r="BN451" s="16">
        <f>IF(AND(Risultati!AY450&lt;0,calcoli!AP451&lt;0),-IF(ISNUMBER(Risultati!AA450/100),(Risultati!AA450/100)),IF(ISNUMBER(Risultati!AA450/100),(Risultati!AA450/100)))</f>
        <v>0</v>
      </c>
      <c r="BO451" s="16" t="str">
        <f t="shared" ref="BO451:BO502" si="387">+BI451</f>
        <v>0</v>
      </c>
      <c r="BP451" s="16" t="str">
        <f>IF(Risultati!AB450&gt;0,(AV451/Risultati!AB450),"0")</f>
        <v>0</v>
      </c>
      <c r="BQ451" s="16" t="str">
        <f>IF(Risultati!AG450&lt;&gt;0,(BH451/Risultati!AG450),"0")</f>
        <v>0</v>
      </c>
      <c r="BR451" s="16" t="str">
        <f t="shared" ref="BR451:BR502" si="388">+BI451</f>
        <v>0</v>
      </c>
      <c r="BS451" s="14" t="str">
        <f>IF(Risultati!AB450&gt;0,(Risultati!G450/Risultati!AB450),"0")</f>
        <v>0</v>
      </c>
      <c r="BT451" s="15" t="str">
        <f>IF(Risultati!AG450&lt;&gt;0,(Risultati!AB450/Risultati!AG450),"0")</f>
        <v>0</v>
      </c>
      <c r="BU451" s="23" t="str">
        <f>IF(AND(Risultati!G450&gt;0,(Risultati!AE450-Risultati!AF450)&gt;=0),((Risultati!AE450-Risultati!AF450)/Risultati!G450*360),"0")</f>
        <v>0</v>
      </c>
      <c r="BV451" s="21" t="str">
        <f>IF(OR(E451="abbreviato",Risultati!G450=0),"0",((Risultati!AC450+Risultati!AD450)/Risultati!G450*360))</f>
        <v>0</v>
      </c>
      <c r="BW451" s="21" t="str">
        <f>IF(OR(E451="abbreviato",Risultati!G450=0,SUM(Risultati!I450+Risultati!K450+Risultati!M450)=0),"0",(((Risultati!AH450+Risultati!AI450)/(Risultati!I450+Risultati!K450+Risultati!N450)*360)))</f>
        <v>0</v>
      </c>
      <c r="BX451" s="16" t="str">
        <f>IF(Risultati!AB450&gt;0,(+Risultati!AG450/Risultati!AB450),"0")</f>
        <v>0</v>
      </c>
      <c r="BY451" s="22" t="str">
        <f>IF(OR(E451="abbreviato",Risultati!G450=0),"0",(((Risultati!AK450-(Risultati!AL450+Risultati!AM450))/Risultati!G450)))</f>
        <v>0</v>
      </c>
      <c r="BZ451" s="16" t="str">
        <f>IF(Risultati!G450&gt;0,(Risultati!AJ450/Risultati!G450),"0")</f>
        <v>0</v>
      </c>
      <c r="CA451" s="8"/>
      <c r="CB451" s="9">
        <f>+Risultati!AP450</f>
        <v>0</v>
      </c>
      <c r="CC451" s="31" t="str">
        <f t="shared" si="363"/>
        <v>0</v>
      </c>
      <c r="CD451" s="9">
        <f>+Risultati!AQ450</f>
        <v>0</v>
      </c>
      <c r="CE451" s="31" t="str">
        <f t="shared" si="364"/>
        <v>0</v>
      </c>
      <c r="CF451" s="9">
        <f>+Risultati!AR450</f>
        <v>0</v>
      </c>
      <c r="CG451" s="31" t="str">
        <f t="shared" si="365"/>
        <v>0</v>
      </c>
      <c r="CH451" s="9">
        <f>+Risultati!AS450</f>
        <v>0</v>
      </c>
      <c r="CI451" s="31" t="str">
        <f t="shared" si="366"/>
        <v>0</v>
      </c>
      <c r="CJ451" s="9">
        <f t="shared" si="367"/>
        <v>0</v>
      </c>
      <c r="CK451" s="31" t="str">
        <f t="shared" si="368"/>
        <v>0</v>
      </c>
      <c r="CL451" s="10">
        <f>+Risultati!AE450+Risultati!AF450</f>
        <v>0</v>
      </c>
      <c r="CM451" s="31" t="str">
        <f t="shared" si="369"/>
        <v>0</v>
      </c>
      <c r="CN451" s="9">
        <f>+Risultati!AT450</f>
        <v>0</v>
      </c>
      <c r="CO451" s="31" t="str">
        <f t="shared" si="370"/>
        <v>0</v>
      </c>
      <c r="CP451" s="9">
        <f>+Risultati!AU450</f>
        <v>0</v>
      </c>
      <c r="CQ451" s="31" t="str">
        <f t="shared" si="371"/>
        <v>0</v>
      </c>
      <c r="CR451" s="9">
        <f>+Risultati!AL450</f>
        <v>0</v>
      </c>
      <c r="CS451" s="31" t="str">
        <f t="shared" si="372"/>
        <v>0</v>
      </c>
      <c r="CT451" s="9">
        <f t="shared" si="373"/>
        <v>0</v>
      </c>
      <c r="CU451" s="31" t="str">
        <f t="shared" si="374"/>
        <v>0</v>
      </c>
      <c r="CV451" s="9">
        <f>+Risultati!AX450</f>
        <v>0</v>
      </c>
      <c r="CW451" s="31" t="str">
        <f t="shared" si="375"/>
        <v>0</v>
      </c>
      <c r="CX451" s="9">
        <f t="shared" si="376"/>
        <v>0</v>
      </c>
      <c r="CY451" s="31" t="str">
        <f t="shared" si="377"/>
        <v>0</v>
      </c>
      <c r="CZ451" s="9">
        <f>+Risultati!AG450</f>
        <v>0</v>
      </c>
      <c r="DA451" s="31" t="str">
        <f t="shared" si="378"/>
        <v>0</v>
      </c>
      <c r="DB451" s="9">
        <f t="shared" si="379"/>
        <v>0</v>
      </c>
      <c r="DC451" s="31" t="str">
        <f t="shared" si="380"/>
        <v>0</v>
      </c>
      <c r="DD451" s="9">
        <f>+Risultati!AV450</f>
        <v>0</v>
      </c>
      <c r="DE451" s="31" t="str">
        <f t="shared" si="381"/>
        <v>0</v>
      </c>
      <c r="DF451" s="9">
        <f>+Risultati!AJ450</f>
        <v>0</v>
      </c>
      <c r="DG451" s="31" t="str">
        <f t="shared" si="382"/>
        <v>0</v>
      </c>
      <c r="DH451" s="9">
        <f t="shared" si="383"/>
        <v>0</v>
      </c>
      <c r="DI451" s="31" t="str">
        <f t="shared" si="384"/>
        <v>0</v>
      </c>
      <c r="DJ451" s="9">
        <f>+Risultati!AW450</f>
        <v>0</v>
      </c>
      <c r="DK451" s="31" t="str">
        <f t="shared" si="385"/>
        <v>0</v>
      </c>
      <c r="DL451" s="10">
        <f t="shared" si="356"/>
        <v>0</v>
      </c>
      <c r="DM451" s="31" t="str">
        <f t="shared" si="386"/>
        <v>0</v>
      </c>
      <c r="DO451" s="30"/>
      <c r="DP451" s="30"/>
    </row>
    <row r="452" spans="1:120" x14ac:dyDescent="0.2">
      <c r="A452" s="5"/>
      <c r="B452" s="6">
        <f>+Risultati!B451</f>
        <v>0</v>
      </c>
      <c r="C452" s="6">
        <f>+Risultati!C451</f>
        <v>0</v>
      </c>
      <c r="D452" s="26" t="str">
        <f>IF(YEAR(Risultati!D451)=1900,(MID(Risultati!$AP$1,29,4)),YEAR(Risultati!D451))</f>
        <v/>
      </c>
      <c r="E452" s="6">
        <f>+Risultati!E451</f>
        <v>0</v>
      </c>
      <c r="F452" s="8" t="e">
        <f>(LEFT(Risultati!AN451,2)&amp;"-")&amp;VLOOKUP((LEFT(Risultati!AN451,2)),ateco!$B$4:$C$93,2,FALSE)</f>
        <v>#N/A</v>
      </c>
      <c r="G452" s="8" t="str">
        <f>SUBSTITUTE((Risultati!AN451&amp;"-"&amp;Risultati!AO451),",",";")</f>
        <v>-</v>
      </c>
      <c r="I452" s="10">
        <f>+Risultati!G451</f>
        <v>0</v>
      </c>
      <c r="J452" s="11" t="str">
        <f t="shared" ref="J452:J500" si="389">IF(L452&lt;&gt;0,(I452/L452),"0")</f>
        <v>0</v>
      </c>
      <c r="K452" s="12"/>
      <c r="L452" s="10">
        <f>+Risultati!G451+Risultati!H451</f>
        <v>0</v>
      </c>
      <c r="M452" s="11" t="str">
        <f t="shared" ref="M452:M500" si="390">IF(L452&lt;&gt;0,(L452/(L452+U452)),"0")</f>
        <v>0</v>
      </c>
      <c r="N452" s="12"/>
      <c r="O452" s="10">
        <f>+Risultati!I451+Risultati!J451</f>
        <v>0</v>
      </c>
      <c r="P452" s="11" t="str">
        <f t="shared" ref="P452:P500" si="391">IF(L452&lt;&gt;0,(O452/(L452+U452)),"0")</f>
        <v>0</v>
      </c>
      <c r="Q452" s="12"/>
      <c r="R452" s="13">
        <f t="shared" si="357"/>
        <v>0</v>
      </c>
      <c r="S452" s="11" t="str">
        <f t="shared" ref="S452:S500" si="392">IF(L452&lt;&gt;0,(R452/(L452+U452)),"0")</f>
        <v>0</v>
      </c>
      <c r="T452" s="12"/>
      <c r="U452" s="10">
        <f>+Risultati!F451-(Risultati!G451+Risultati!H451)</f>
        <v>0</v>
      </c>
      <c r="V452" s="12" t="str">
        <f t="shared" ref="V452:V500" si="393">IF(L452&lt;&gt;0,(U452/(L452+U452)),"0")</f>
        <v>0</v>
      </c>
      <c r="W452" s="12"/>
      <c r="X452" s="10">
        <f t="shared" si="358"/>
        <v>0</v>
      </c>
      <c r="Y452" s="12" t="str">
        <f t="shared" ref="Y452:Y500" si="394">IF(L452&lt;&gt;0,(X452/(L452+U452)),"0")</f>
        <v>0</v>
      </c>
      <c r="Z452" s="12"/>
      <c r="AA452" s="10">
        <f>+Risultati!K451</f>
        <v>0</v>
      </c>
      <c r="AB452" s="12" t="str">
        <f t="shared" ref="AB452:AB500" si="395">IF(L452&lt;&gt;0,(AA452/(L452+U452)),"0")</f>
        <v>0</v>
      </c>
      <c r="AC452" s="12"/>
      <c r="AD452" s="10">
        <f>+Risultati!L451</f>
        <v>0</v>
      </c>
      <c r="AE452" s="12" t="str">
        <f t="shared" ref="AE452:AE500" si="396">IF(L452&lt;&gt;0,(AD452/(L452+U452)),"0")</f>
        <v>0</v>
      </c>
      <c r="AF452" s="12"/>
      <c r="AG452" s="10">
        <f>+Risultati!M451+Risultati!P451+Risultati!Q451</f>
        <v>0</v>
      </c>
      <c r="AH452" s="12" t="str">
        <f t="shared" ref="AH452:AH500" si="397">IF(L452&lt;&gt;0,(AG452/(L452+U452)),"0")</f>
        <v>0</v>
      </c>
      <c r="AI452" s="12"/>
      <c r="AJ452" s="13">
        <f t="shared" si="359"/>
        <v>0</v>
      </c>
      <c r="AK452" s="11" t="str">
        <f t="shared" ref="AK452:AK500" si="398">IF(L452&lt;&gt;0,(AJ452/(L452+U452)),"0")</f>
        <v>0</v>
      </c>
      <c r="AL452" s="12"/>
      <c r="AM452" s="10">
        <f>+Risultati!N451</f>
        <v>0</v>
      </c>
      <c r="AN452" s="12" t="str">
        <f t="shared" ref="AN452:AN500" si="399">IF(L452&lt;&gt;0,(AM452/(L452+U452)),"0")</f>
        <v>0</v>
      </c>
      <c r="AO452" s="12"/>
      <c r="AP452" s="10">
        <f t="shared" si="360"/>
        <v>0</v>
      </c>
      <c r="AQ452" s="41" t="str">
        <f t="shared" ref="AQ452:AQ500" si="400">IF(L452&lt;&gt;0,(AP452/(L452+U452)),"0")</f>
        <v>0</v>
      </c>
      <c r="AR452" s="12"/>
      <c r="AS452" s="10">
        <f>+Risultati!O451</f>
        <v>0</v>
      </c>
      <c r="AT452" s="12" t="str">
        <f t="shared" ref="AT452:AT500" si="401">IF(L452&lt;&gt;0,(AS452/(L452+U452)),"0")</f>
        <v>0</v>
      </c>
      <c r="AU452" s="12"/>
      <c r="AV452" s="10">
        <f t="shared" si="361"/>
        <v>0</v>
      </c>
      <c r="AW452" s="12" t="str">
        <f t="shared" ref="AW452:AW500" si="402">IF(L452&lt;&gt;0,(AV452/(L452+U452)),"0")</f>
        <v>0</v>
      </c>
      <c r="AX452" s="12"/>
      <c r="AY452" s="10">
        <f>+Risultati!R451+Risultati!S451</f>
        <v>0</v>
      </c>
      <c r="AZ452" s="12" t="str">
        <f t="shared" ref="AZ452:AZ500" si="403">IF(L452&lt;&gt;0,(AY452/(L452+U452)),"0")</f>
        <v>0</v>
      </c>
      <c r="BA452" s="12"/>
      <c r="BB452" s="10">
        <f>+Risultati!T451</f>
        <v>0</v>
      </c>
      <c r="BC452" s="12" t="str">
        <f t="shared" ref="BC452:BC500" si="404">IF(L452&lt;&gt;0,(BB452/(L452+U452)),"0")</f>
        <v>0</v>
      </c>
      <c r="BD452" s="12"/>
      <c r="BE452" s="10">
        <f>+Risultati!U451</f>
        <v>0</v>
      </c>
      <c r="BF452" s="12" t="str">
        <f t="shared" ref="BF452:BF500" si="405">IF(L452&lt;&gt;0,(BE452/(L452+U452)),"0")</f>
        <v>0</v>
      </c>
      <c r="BG452" s="12"/>
      <c r="BH452" s="10">
        <f t="shared" si="362"/>
        <v>0</v>
      </c>
      <c r="BI452" s="12" t="str">
        <f t="shared" ref="BI452:BI500" si="406">IF(L452&lt;&gt;0,(+BH452/(L452+U452)),"0")</f>
        <v>0</v>
      </c>
      <c r="BK452" s="16">
        <f>IF(ISNUMBER(Risultati!X451/100),(Risultati!X451/100))</f>
        <v>0</v>
      </c>
      <c r="BL452" s="16">
        <f>IF(ISNUMBER(Risultati!Y451/100),(Risultati!Y451/100))</f>
        <v>0</v>
      </c>
      <c r="BM452" s="16">
        <f>IF(ISNUMBER(Risultati!Z451/100),(Risultati!Z451/100))</f>
        <v>0</v>
      </c>
      <c r="BN452" s="16">
        <f>IF(AND(Risultati!AY451&lt;0,calcoli!AP452&lt;0),-IF(ISNUMBER(Risultati!AA451/100),(Risultati!AA451/100)),IF(ISNUMBER(Risultati!AA451/100),(Risultati!AA451/100)))</f>
        <v>0</v>
      </c>
      <c r="BO452" s="16" t="str">
        <f t="shared" si="387"/>
        <v>0</v>
      </c>
      <c r="BP452" s="16" t="str">
        <f>IF(Risultati!AB451&gt;0,(AV452/Risultati!AB451),"0")</f>
        <v>0</v>
      </c>
      <c r="BQ452" s="16" t="str">
        <f>IF(Risultati!AG451&lt;&gt;0,(BH452/Risultati!AG451),"0")</f>
        <v>0</v>
      </c>
      <c r="BR452" s="16" t="str">
        <f t="shared" si="388"/>
        <v>0</v>
      </c>
      <c r="BS452" s="14" t="str">
        <f>IF(Risultati!AB451&gt;0,(Risultati!G451/Risultati!AB451),"0")</f>
        <v>0</v>
      </c>
      <c r="BT452" s="15" t="str">
        <f>IF(Risultati!AG451&lt;&gt;0,(Risultati!AB451/Risultati!AG451),"0")</f>
        <v>0</v>
      </c>
      <c r="BU452" s="23" t="str">
        <f>IF(AND(Risultati!G451&gt;0,(Risultati!AE451-Risultati!AF451)&gt;=0),((Risultati!AE451-Risultati!AF451)/Risultati!G451*360),"0")</f>
        <v>0</v>
      </c>
      <c r="BV452" s="21" t="str">
        <f>IF(OR(E452="abbreviato",Risultati!G451=0),"0",((Risultati!AC451+Risultati!AD451)/Risultati!G451*360))</f>
        <v>0</v>
      </c>
      <c r="BW452" s="21" t="str">
        <f>IF(OR(E452="abbreviato",Risultati!G451=0,SUM(Risultati!I451+Risultati!K451+Risultati!M451)=0),"0",(((Risultati!AH451+Risultati!AI451)/(Risultati!I451+Risultati!K451+Risultati!N451)*360)))</f>
        <v>0</v>
      </c>
      <c r="BX452" s="16" t="str">
        <f>IF(Risultati!AB451&gt;0,(+Risultati!AG451/Risultati!AB451),"0")</f>
        <v>0</v>
      </c>
      <c r="BY452" s="22" t="str">
        <f>IF(OR(E452="abbreviato",Risultati!G451=0),"0",(((Risultati!AK451-(Risultati!AL451+Risultati!AM451))/Risultati!G451)))</f>
        <v>0</v>
      </c>
      <c r="BZ452" s="16" t="str">
        <f>IF(Risultati!G451&gt;0,(Risultati!AJ451/Risultati!G451),"0")</f>
        <v>0</v>
      </c>
      <c r="CA452" s="8"/>
      <c r="CB452" s="9">
        <f>+Risultati!AP451</f>
        <v>0</v>
      </c>
      <c r="CC452" s="31" t="str">
        <f t="shared" si="363"/>
        <v>0</v>
      </c>
      <c r="CD452" s="9">
        <f>+Risultati!AQ451</f>
        <v>0</v>
      </c>
      <c r="CE452" s="31" t="str">
        <f t="shared" si="364"/>
        <v>0</v>
      </c>
      <c r="CF452" s="9">
        <f>+Risultati!AR451</f>
        <v>0</v>
      </c>
      <c r="CG452" s="31" t="str">
        <f t="shared" si="365"/>
        <v>0</v>
      </c>
      <c r="CH452" s="9">
        <f>+Risultati!AS451</f>
        <v>0</v>
      </c>
      <c r="CI452" s="31" t="str">
        <f t="shared" si="366"/>
        <v>0</v>
      </c>
      <c r="CJ452" s="9">
        <f t="shared" si="367"/>
        <v>0</v>
      </c>
      <c r="CK452" s="31" t="str">
        <f t="shared" si="368"/>
        <v>0</v>
      </c>
      <c r="CL452" s="10">
        <f>+Risultati!AE451+Risultati!AF451</f>
        <v>0</v>
      </c>
      <c r="CM452" s="31" t="str">
        <f t="shared" si="369"/>
        <v>0</v>
      </c>
      <c r="CN452" s="9">
        <f>+Risultati!AT451</f>
        <v>0</v>
      </c>
      <c r="CO452" s="31" t="str">
        <f t="shared" si="370"/>
        <v>0</v>
      </c>
      <c r="CP452" s="9">
        <f>+Risultati!AU451</f>
        <v>0</v>
      </c>
      <c r="CQ452" s="31" t="str">
        <f t="shared" si="371"/>
        <v>0</v>
      </c>
      <c r="CR452" s="9">
        <f>+Risultati!AL451</f>
        <v>0</v>
      </c>
      <c r="CS452" s="31" t="str">
        <f t="shared" si="372"/>
        <v>0</v>
      </c>
      <c r="CT452" s="9">
        <f t="shared" si="373"/>
        <v>0</v>
      </c>
      <c r="CU452" s="31" t="str">
        <f t="shared" si="374"/>
        <v>0</v>
      </c>
      <c r="CV452" s="9">
        <f>+Risultati!AX451</f>
        <v>0</v>
      </c>
      <c r="CW452" s="31" t="str">
        <f t="shared" si="375"/>
        <v>0</v>
      </c>
      <c r="CX452" s="9">
        <f t="shared" si="376"/>
        <v>0</v>
      </c>
      <c r="CY452" s="31" t="str">
        <f t="shared" si="377"/>
        <v>0</v>
      </c>
      <c r="CZ452" s="9">
        <f>+Risultati!AG451</f>
        <v>0</v>
      </c>
      <c r="DA452" s="31" t="str">
        <f t="shared" si="378"/>
        <v>0</v>
      </c>
      <c r="DB452" s="9">
        <f t="shared" si="379"/>
        <v>0</v>
      </c>
      <c r="DC452" s="31" t="str">
        <f t="shared" si="380"/>
        <v>0</v>
      </c>
      <c r="DD452" s="9">
        <f>+Risultati!AV451</f>
        <v>0</v>
      </c>
      <c r="DE452" s="31" t="str">
        <f t="shared" si="381"/>
        <v>0</v>
      </c>
      <c r="DF452" s="9">
        <f>+Risultati!AJ451</f>
        <v>0</v>
      </c>
      <c r="DG452" s="31" t="str">
        <f t="shared" si="382"/>
        <v>0</v>
      </c>
      <c r="DH452" s="9">
        <f t="shared" si="383"/>
        <v>0</v>
      </c>
      <c r="DI452" s="31" t="str">
        <f t="shared" si="384"/>
        <v>0</v>
      </c>
      <c r="DJ452" s="9">
        <f>+Risultati!AW451</f>
        <v>0</v>
      </c>
      <c r="DK452" s="31" t="str">
        <f t="shared" si="385"/>
        <v>0</v>
      </c>
      <c r="DL452" s="10">
        <f t="shared" ref="DL452:DL500" si="407">+CX452</f>
        <v>0</v>
      </c>
      <c r="DM452" s="31" t="str">
        <f t="shared" si="386"/>
        <v>0</v>
      </c>
      <c r="DO452" s="30"/>
      <c r="DP452" s="30"/>
    </row>
    <row r="453" spans="1:120" x14ac:dyDescent="0.2">
      <c r="A453" s="5"/>
      <c r="B453" s="6">
        <f>+Risultati!B452</f>
        <v>0</v>
      </c>
      <c r="C453" s="6">
        <f>+Risultati!C452</f>
        <v>0</v>
      </c>
      <c r="D453" s="26" t="str">
        <f>IF(YEAR(Risultati!D452)=1900,(MID(Risultati!$AP$1,29,4)),YEAR(Risultati!D452))</f>
        <v/>
      </c>
      <c r="E453" s="6">
        <f>+Risultati!E452</f>
        <v>0</v>
      </c>
      <c r="F453" s="8" t="e">
        <f>(LEFT(Risultati!AN452,2)&amp;"-")&amp;VLOOKUP((LEFT(Risultati!AN452,2)),ateco!$B$4:$C$93,2,FALSE)</f>
        <v>#N/A</v>
      </c>
      <c r="G453" s="8" t="str">
        <f>SUBSTITUTE((Risultati!AN452&amp;"-"&amp;Risultati!AO452),",",";")</f>
        <v>-</v>
      </c>
      <c r="I453" s="10">
        <f>+Risultati!G452</f>
        <v>0</v>
      </c>
      <c r="J453" s="11" t="str">
        <f t="shared" si="389"/>
        <v>0</v>
      </c>
      <c r="K453" s="12"/>
      <c r="L453" s="10">
        <f>+Risultati!G452+Risultati!H452</f>
        <v>0</v>
      </c>
      <c r="M453" s="11" t="str">
        <f t="shared" si="390"/>
        <v>0</v>
      </c>
      <c r="N453" s="12"/>
      <c r="O453" s="10">
        <f>+Risultati!I452+Risultati!J452</f>
        <v>0</v>
      </c>
      <c r="P453" s="11" t="str">
        <f t="shared" si="391"/>
        <v>0</v>
      </c>
      <c r="Q453" s="12"/>
      <c r="R453" s="13">
        <f t="shared" si="357"/>
        <v>0</v>
      </c>
      <c r="S453" s="11" t="str">
        <f t="shared" si="392"/>
        <v>0</v>
      </c>
      <c r="T453" s="12"/>
      <c r="U453" s="10">
        <f>+Risultati!F452-(Risultati!G452+Risultati!H452)</f>
        <v>0</v>
      </c>
      <c r="V453" s="12" t="str">
        <f t="shared" si="393"/>
        <v>0</v>
      </c>
      <c r="W453" s="12"/>
      <c r="X453" s="10">
        <f t="shared" si="358"/>
        <v>0</v>
      </c>
      <c r="Y453" s="12" t="str">
        <f t="shared" si="394"/>
        <v>0</v>
      </c>
      <c r="Z453" s="12"/>
      <c r="AA453" s="10">
        <f>+Risultati!K452</f>
        <v>0</v>
      </c>
      <c r="AB453" s="12" t="str">
        <f t="shared" si="395"/>
        <v>0</v>
      </c>
      <c r="AC453" s="12"/>
      <c r="AD453" s="10">
        <f>+Risultati!L452</f>
        <v>0</v>
      </c>
      <c r="AE453" s="12" t="str">
        <f t="shared" si="396"/>
        <v>0</v>
      </c>
      <c r="AF453" s="12"/>
      <c r="AG453" s="10">
        <f>+Risultati!M452+Risultati!P452+Risultati!Q452</f>
        <v>0</v>
      </c>
      <c r="AH453" s="12" t="str">
        <f t="shared" si="397"/>
        <v>0</v>
      </c>
      <c r="AI453" s="12"/>
      <c r="AJ453" s="13">
        <f t="shared" si="359"/>
        <v>0</v>
      </c>
      <c r="AK453" s="11" t="str">
        <f t="shared" si="398"/>
        <v>0</v>
      </c>
      <c r="AL453" s="12"/>
      <c r="AM453" s="10">
        <f>+Risultati!N452</f>
        <v>0</v>
      </c>
      <c r="AN453" s="12" t="str">
        <f t="shared" si="399"/>
        <v>0</v>
      </c>
      <c r="AO453" s="12"/>
      <c r="AP453" s="10">
        <f t="shared" si="360"/>
        <v>0</v>
      </c>
      <c r="AQ453" s="41" t="str">
        <f t="shared" si="400"/>
        <v>0</v>
      </c>
      <c r="AR453" s="12"/>
      <c r="AS453" s="10">
        <f>+Risultati!O452</f>
        <v>0</v>
      </c>
      <c r="AT453" s="12" t="str">
        <f t="shared" si="401"/>
        <v>0</v>
      </c>
      <c r="AU453" s="12"/>
      <c r="AV453" s="10">
        <f t="shared" si="361"/>
        <v>0</v>
      </c>
      <c r="AW453" s="12" t="str">
        <f t="shared" si="402"/>
        <v>0</v>
      </c>
      <c r="AX453" s="12"/>
      <c r="AY453" s="10">
        <f>+Risultati!R452+Risultati!S452</f>
        <v>0</v>
      </c>
      <c r="AZ453" s="12" t="str">
        <f t="shared" si="403"/>
        <v>0</v>
      </c>
      <c r="BA453" s="12"/>
      <c r="BB453" s="10">
        <f>+Risultati!T452</f>
        <v>0</v>
      </c>
      <c r="BC453" s="12" t="str">
        <f t="shared" si="404"/>
        <v>0</v>
      </c>
      <c r="BD453" s="12"/>
      <c r="BE453" s="10">
        <f>+Risultati!U452</f>
        <v>0</v>
      </c>
      <c r="BF453" s="12" t="str">
        <f t="shared" si="405"/>
        <v>0</v>
      </c>
      <c r="BG453" s="12"/>
      <c r="BH453" s="10">
        <f t="shared" si="362"/>
        <v>0</v>
      </c>
      <c r="BI453" s="12" t="str">
        <f t="shared" si="406"/>
        <v>0</v>
      </c>
      <c r="BK453" s="16">
        <f>IF(ISNUMBER(Risultati!X452/100),(Risultati!X452/100))</f>
        <v>0</v>
      </c>
      <c r="BL453" s="16">
        <f>IF(ISNUMBER(Risultati!Y452/100),(Risultati!Y452/100))</f>
        <v>0</v>
      </c>
      <c r="BM453" s="16">
        <f>IF(ISNUMBER(Risultati!Z452/100),(Risultati!Z452/100))</f>
        <v>0</v>
      </c>
      <c r="BN453" s="16">
        <f>IF(AND(Risultati!AY452&lt;0,calcoli!AP453&lt;0),-IF(ISNUMBER(Risultati!AA452/100),(Risultati!AA452/100)),IF(ISNUMBER(Risultati!AA452/100),(Risultati!AA452/100)))</f>
        <v>0</v>
      </c>
      <c r="BO453" s="16" t="str">
        <f t="shared" si="387"/>
        <v>0</v>
      </c>
      <c r="BP453" s="16" t="str">
        <f>IF(Risultati!AB452&gt;0,(AV453/Risultati!AB452),"0")</f>
        <v>0</v>
      </c>
      <c r="BQ453" s="16" t="str">
        <f>IF(Risultati!AG452&lt;&gt;0,(BH453/Risultati!AG452),"0")</f>
        <v>0</v>
      </c>
      <c r="BR453" s="16" t="str">
        <f t="shared" si="388"/>
        <v>0</v>
      </c>
      <c r="BS453" s="14" t="str">
        <f>IF(Risultati!AB452&gt;0,(Risultati!G452/Risultati!AB452),"0")</f>
        <v>0</v>
      </c>
      <c r="BT453" s="15" t="str">
        <f>IF(Risultati!AG452&lt;&gt;0,(Risultati!AB452/Risultati!AG452),"0")</f>
        <v>0</v>
      </c>
      <c r="BU453" s="23" t="str">
        <f>IF(AND(Risultati!G452&gt;0,(Risultati!AE452-Risultati!AF452)&gt;=0),((Risultati!AE452-Risultati!AF452)/Risultati!G452*360),"0")</f>
        <v>0</v>
      </c>
      <c r="BV453" s="21" t="str">
        <f>IF(OR(E453="abbreviato",Risultati!G452=0),"0",((Risultati!AC452+Risultati!AD452)/Risultati!G452*360))</f>
        <v>0</v>
      </c>
      <c r="BW453" s="21" t="str">
        <f>IF(OR(E453="abbreviato",Risultati!G452=0,SUM(Risultati!I452+Risultati!K452+Risultati!M452)=0),"0",(((Risultati!AH452+Risultati!AI452)/(Risultati!I452+Risultati!K452+Risultati!N452)*360)))</f>
        <v>0</v>
      </c>
      <c r="BX453" s="16" t="str">
        <f>IF(Risultati!AB452&gt;0,(+Risultati!AG452/Risultati!AB452),"0")</f>
        <v>0</v>
      </c>
      <c r="BY453" s="22" t="str">
        <f>IF(OR(E453="abbreviato",Risultati!G452=0),"0",(((Risultati!AK452-(Risultati!AL452+Risultati!AM452))/Risultati!G452)))</f>
        <v>0</v>
      </c>
      <c r="BZ453" s="16" t="str">
        <f>IF(Risultati!G452&gt;0,(Risultati!AJ452/Risultati!G452),"0")</f>
        <v>0</v>
      </c>
      <c r="CA453" s="8"/>
      <c r="CB453" s="9">
        <f>+Risultati!AP452</f>
        <v>0</v>
      </c>
      <c r="CC453" s="31" t="str">
        <f t="shared" si="363"/>
        <v>0</v>
      </c>
      <c r="CD453" s="9">
        <f>+Risultati!AQ452</f>
        <v>0</v>
      </c>
      <c r="CE453" s="31" t="str">
        <f t="shared" si="364"/>
        <v>0</v>
      </c>
      <c r="CF453" s="9">
        <f>+Risultati!AR452</f>
        <v>0</v>
      </c>
      <c r="CG453" s="31" t="str">
        <f t="shared" si="365"/>
        <v>0</v>
      </c>
      <c r="CH453" s="9">
        <f>+Risultati!AS452</f>
        <v>0</v>
      </c>
      <c r="CI453" s="31" t="str">
        <f t="shared" si="366"/>
        <v>0</v>
      </c>
      <c r="CJ453" s="9">
        <f t="shared" si="367"/>
        <v>0</v>
      </c>
      <c r="CK453" s="31" t="str">
        <f t="shared" si="368"/>
        <v>0</v>
      </c>
      <c r="CL453" s="10">
        <f>+Risultati!AE452+Risultati!AF452</f>
        <v>0</v>
      </c>
      <c r="CM453" s="31" t="str">
        <f t="shared" si="369"/>
        <v>0</v>
      </c>
      <c r="CN453" s="9">
        <f>+Risultati!AT452</f>
        <v>0</v>
      </c>
      <c r="CO453" s="31" t="str">
        <f t="shared" si="370"/>
        <v>0</v>
      </c>
      <c r="CP453" s="9">
        <f>+Risultati!AU452</f>
        <v>0</v>
      </c>
      <c r="CQ453" s="31" t="str">
        <f t="shared" si="371"/>
        <v>0</v>
      </c>
      <c r="CR453" s="9">
        <f>+Risultati!AL452</f>
        <v>0</v>
      </c>
      <c r="CS453" s="31" t="str">
        <f t="shared" si="372"/>
        <v>0</v>
      </c>
      <c r="CT453" s="9">
        <f t="shared" si="373"/>
        <v>0</v>
      </c>
      <c r="CU453" s="31" t="str">
        <f t="shared" si="374"/>
        <v>0</v>
      </c>
      <c r="CV453" s="9">
        <f>+Risultati!AX452</f>
        <v>0</v>
      </c>
      <c r="CW453" s="31" t="str">
        <f t="shared" si="375"/>
        <v>0</v>
      </c>
      <c r="CX453" s="9">
        <f t="shared" si="376"/>
        <v>0</v>
      </c>
      <c r="CY453" s="31" t="str">
        <f t="shared" si="377"/>
        <v>0</v>
      </c>
      <c r="CZ453" s="9">
        <f>+Risultati!AG452</f>
        <v>0</v>
      </c>
      <c r="DA453" s="31" t="str">
        <f t="shared" si="378"/>
        <v>0</v>
      </c>
      <c r="DB453" s="9">
        <f t="shared" si="379"/>
        <v>0</v>
      </c>
      <c r="DC453" s="31" t="str">
        <f t="shared" si="380"/>
        <v>0</v>
      </c>
      <c r="DD453" s="9">
        <f>+Risultati!AV452</f>
        <v>0</v>
      </c>
      <c r="DE453" s="31" t="str">
        <f t="shared" si="381"/>
        <v>0</v>
      </c>
      <c r="DF453" s="9">
        <f>+Risultati!AJ452</f>
        <v>0</v>
      </c>
      <c r="DG453" s="31" t="str">
        <f t="shared" si="382"/>
        <v>0</v>
      </c>
      <c r="DH453" s="9">
        <f t="shared" si="383"/>
        <v>0</v>
      </c>
      <c r="DI453" s="31" t="str">
        <f t="shared" si="384"/>
        <v>0</v>
      </c>
      <c r="DJ453" s="9">
        <f>+Risultati!AW452</f>
        <v>0</v>
      </c>
      <c r="DK453" s="31" t="str">
        <f t="shared" si="385"/>
        <v>0</v>
      </c>
      <c r="DL453" s="10">
        <f t="shared" si="407"/>
        <v>0</v>
      </c>
      <c r="DM453" s="31" t="str">
        <f t="shared" si="386"/>
        <v>0</v>
      </c>
      <c r="DO453" s="30"/>
      <c r="DP453" s="30"/>
    </row>
    <row r="454" spans="1:120" x14ac:dyDescent="0.2">
      <c r="A454" s="5"/>
      <c r="B454" s="6">
        <f>+Risultati!B453</f>
        <v>0</v>
      </c>
      <c r="C454" s="6">
        <f>+Risultati!C453</f>
        <v>0</v>
      </c>
      <c r="D454" s="26" t="str">
        <f>IF(YEAR(Risultati!D453)=1900,(MID(Risultati!$AP$1,29,4)),YEAR(Risultati!D453))</f>
        <v/>
      </c>
      <c r="E454" s="6">
        <f>+Risultati!E453</f>
        <v>0</v>
      </c>
      <c r="F454" s="8" t="e">
        <f>(LEFT(Risultati!AN453,2)&amp;"-")&amp;VLOOKUP((LEFT(Risultati!AN453,2)),ateco!$B$4:$C$93,2,FALSE)</f>
        <v>#N/A</v>
      </c>
      <c r="G454" s="8" t="str">
        <f>SUBSTITUTE((Risultati!AN453&amp;"-"&amp;Risultati!AO453),",",";")</f>
        <v>-</v>
      </c>
      <c r="I454" s="10">
        <f>+Risultati!G453</f>
        <v>0</v>
      </c>
      <c r="J454" s="11" t="str">
        <f t="shared" si="389"/>
        <v>0</v>
      </c>
      <c r="K454" s="12"/>
      <c r="L454" s="10">
        <f>+Risultati!G453+Risultati!H453</f>
        <v>0</v>
      </c>
      <c r="M454" s="11" t="str">
        <f t="shared" si="390"/>
        <v>0</v>
      </c>
      <c r="N454" s="12"/>
      <c r="O454" s="10">
        <f>+Risultati!I453+Risultati!J453</f>
        <v>0</v>
      </c>
      <c r="P454" s="11" t="str">
        <f t="shared" si="391"/>
        <v>0</v>
      </c>
      <c r="Q454" s="12"/>
      <c r="R454" s="13">
        <f t="shared" si="357"/>
        <v>0</v>
      </c>
      <c r="S454" s="11" t="str">
        <f t="shared" si="392"/>
        <v>0</v>
      </c>
      <c r="T454" s="12"/>
      <c r="U454" s="10">
        <f>+Risultati!F453-(Risultati!G453+Risultati!H453)</f>
        <v>0</v>
      </c>
      <c r="V454" s="12" t="str">
        <f t="shared" si="393"/>
        <v>0</v>
      </c>
      <c r="W454" s="12"/>
      <c r="X454" s="10">
        <f t="shared" si="358"/>
        <v>0</v>
      </c>
      <c r="Y454" s="12" t="str">
        <f t="shared" si="394"/>
        <v>0</v>
      </c>
      <c r="Z454" s="12"/>
      <c r="AA454" s="10">
        <f>+Risultati!K453</f>
        <v>0</v>
      </c>
      <c r="AB454" s="12" t="str">
        <f t="shared" si="395"/>
        <v>0</v>
      </c>
      <c r="AC454" s="12"/>
      <c r="AD454" s="10">
        <f>+Risultati!L453</f>
        <v>0</v>
      </c>
      <c r="AE454" s="12" t="str">
        <f t="shared" si="396"/>
        <v>0</v>
      </c>
      <c r="AF454" s="12"/>
      <c r="AG454" s="10">
        <f>+Risultati!M453+Risultati!P453+Risultati!Q453</f>
        <v>0</v>
      </c>
      <c r="AH454" s="12" t="str">
        <f t="shared" si="397"/>
        <v>0</v>
      </c>
      <c r="AI454" s="12"/>
      <c r="AJ454" s="13">
        <f t="shared" si="359"/>
        <v>0</v>
      </c>
      <c r="AK454" s="11" t="str">
        <f t="shared" si="398"/>
        <v>0</v>
      </c>
      <c r="AL454" s="12"/>
      <c r="AM454" s="10">
        <f>+Risultati!N453</f>
        <v>0</v>
      </c>
      <c r="AN454" s="12" t="str">
        <f t="shared" si="399"/>
        <v>0</v>
      </c>
      <c r="AO454" s="12"/>
      <c r="AP454" s="10">
        <f t="shared" si="360"/>
        <v>0</v>
      </c>
      <c r="AQ454" s="41" t="str">
        <f t="shared" si="400"/>
        <v>0</v>
      </c>
      <c r="AR454" s="12"/>
      <c r="AS454" s="10">
        <f>+Risultati!O453</f>
        <v>0</v>
      </c>
      <c r="AT454" s="12" t="str">
        <f t="shared" si="401"/>
        <v>0</v>
      </c>
      <c r="AU454" s="12"/>
      <c r="AV454" s="10">
        <f t="shared" si="361"/>
        <v>0</v>
      </c>
      <c r="AW454" s="12" t="str">
        <f t="shared" si="402"/>
        <v>0</v>
      </c>
      <c r="AX454" s="12"/>
      <c r="AY454" s="10">
        <f>+Risultati!R453+Risultati!S453</f>
        <v>0</v>
      </c>
      <c r="AZ454" s="12" t="str">
        <f t="shared" si="403"/>
        <v>0</v>
      </c>
      <c r="BA454" s="12"/>
      <c r="BB454" s="10">
        <f>+Risultati!T453</f>
        <v>0</v>
      </c>
      <c r="BC454" s="12" t="str">
        <f t="shared" si="404"/>
        <v>0</v>
      </c>
      <c r="BD454" s="12"/>
      <c r="BE454" s="10">
        <f>+Risultati!U453</f>
        <v>0</v>
      </c>
      <c r="BF454" s="12" t="str">
        <f t="shared" si="405"/>
        <v>0</v>
      </c>
      <c r="BG454" s="12"/>
      <c r="BH454" s="10">
        <f t="shared" si="362"/>
        <v>0</v>
      </c>
      <c r="BI454" s="12" t="str">
        <f t="shared" si="406"/>
        <v>0</v>
      </c>
      <c r="BK454" s="16">
        <f>IF(ISNUMBER(Risultati!X453/100),(Risultati!X453/100))</f>
        <v>0</v>
      </c>
      <c r="BL454" s="16">
        <f>IF(ISNUMBER(Risultati!Y453/100),(Risultati!Y453/100))</f>
        <v>0</v>
      </c>
      <c r="BM454" s="16">
        <f>IF(ISNUMBER(Risultati!Z453/100),(Risultati!Z453/100))</f>
        <v>0</v>
      </c>
      <c r="BN454" s="16">
        <f>IF(AND(Risultati!AY453&lt;0,calcoli!AP454&lt;0),-IF(ISNUMBER(Risultati!AA453/100),(Risultati!AA453/100)),IF(ISNUMBER(Risultati!AA453/100),(Risultati!AA453/100)))</f>
        <v>0</v>
      </c>
      <c r="BO454" s="16" t="str">
        <f t="shared" si="387"/>
        <v>0</v>
      </c>
      <c r="BP454" s="16" t="str">
        <f>IF(Risultati!AB453&gt;0,(AV454/Risultati!AB453),"0")</f>
        <v>0</v>
      </c>
      <c r="BQ454" s="16" t="str">
        <f>IF(Risultati!AG453&lt;&gt;0,(BH454/Risultati!AG453),"0")</f>
        <v>0</v>
      </c>
      <c r="BR454" s="16" t="str">
        <f t="shared" si="388"/>
        <v>0</v>
      </c>
      <c r="BS454" s="14" t="str">
        <f>IF(Risultati!AB453&gt;0,(Risultati!G453/Risultati!AB453),"0")</f>
        <v>0</v>
      </c>
      <c r="BT454" s="15" t="str">
        <f>IF(Risultati!AG453&lt;&gt;0,(Risultati!AB453/Risultati!AG453),"0")</f>
        <v>0</v>
      </c>
      <c r="BU454" s="23" t="str">
        <f>IF(AND(Risultati!G453&gt;0,(Risultati!AE453-Risultati!AF453)&gt;=0),((Risultati!AE453-Risultati!AF453)/Risultati!G453*360),"0")</f>
        <v>0</v>
      </c>
      <c r="BV454" s="21" t="str">
        <f>IF(OR(E454="abbreviato",Risultati!G453=0),"0",((Risultati!AC453+Risultati!AD453)/Risultati!G453*360))</f>
        <v>0</v>
      </c>
      <c r="BW454" s="21" t="str">
        <f>IF(OR(E454="abbreviato",Risultati!G453=0,SUM(Risultati!I453+Risultati!K453+Risultati!M453)=0),"0",(((Risultati!AH453+Risultati!AI453)/(Risultati!I453+Risultati!K453+Risultati!N453)*360)))</f>
        <v>0</v>
      </c>
      <c r="BX454" s="16" t="str">
        <f>IF(Risultati!AB453&gt;0,(+Risultati!AG453/Risultati!AB453),"0")</f>
        <v>0</v>
      </c>
      <c r="BY454" s="22" t="str">
        <f>IF(OR(E454="abbreviato",Risultati!G453=0),"0",(((Risultati!AK453-(Risultati!AL453+Risultati!AM453))/Risultati!G453)))</f>
        <v>0</v>
      </c>
      <c r="BZ454" s="16" t="str">
        <f>IF(Risultati!G453&gt;0,(Risultati!AJ453/Risultati!G453),"0")</f>
        <v>0</v>
      </c>
      <c r="CA454" s="8"/>
      <c r="CB454" s="9">
        <f>+Risultati!AP453</f>
        <v>0</v>
      </c>
      <c r="CC454" s="31" t="str">
        <f t="shared" si="363"/>
        <v>0</v>
      </c>
      <c r="CD454" s="9">
        <f>+Risultati!AQ453</f>
        <v>0</v>
      </c>
      <c r="CE454" s="31" t="str">
        <f t="shared" si="364"/>
        <v>0</v>
      </c>
      <c r="CF454" s="9">
        <f>+Risultati!AR453</f>
        <v>0</v>
      </c>
      <c r="CG454" s="31" t="str">
        <f t="shared" si="365"/>
        <v>0</v>
      </c>
      <c r="CH454" s="9">
        <f>+Risultati!AS453</f>
        <v>0</v>
      </c>
      <c r="CI454" s="31" t="str">
        <f t="shared" si="366"/>
        <v>0</v>
      </c>
      <c r="CJ454" s="9">
        <f t="shared" si="367"/>
        <v>0</v>
      </c>
      <c r="CK454" s="31" t="str">
        <f t="shared" si="368"/>
        <v>0</v>
      </c>
      <c r="CL454" s="10">
        <f>+Risultati!AE453+Risultati!AF453</f>
        <v>0</v>
      </c>
      <c r="CM454" s="31" t="str">
        <f t="shared" si="369"/>
        <v>0</v>
      </c>
      <c r="CN454" s="9">
        <f>+Risultati!AT453</f>
        <v>0</v>
      </c>
      <c r="CO454" s="31" t="str">
        <f t="shared" si="370"/>
        <v>0</v>
      </c>
      <c r="CP454" s="9">
        <f>+Risultati!AU453</f>
        <v>0</v>
      </c>
      <c r="CQ454" s="31" t="str">
        <f t="shared" si="371"/>
        <v>0</v>
      </c>
      <c r="CR454" s="9">
        <f>+Risultati!AL453</f>
        <v>0</v>
      </c>
      <c r="CS454" s="31" t="str">
        <f t="shared" si="372"/>
        <v>0</v>
      </c>
      <c r="CT454" s="9">
        <f t="shared" si="373"/>
        <v>0</v>
      </c>
      <c r="CU454" s="31" t="str">
        <f t="shared" si="374"/>
        <v>0</v>
      </c>
      <c r="CV454" s="9">
        <f>+Risultati!AX453</f>
        <v>0</v>
      </c>
      <c r="CW454" s="31" t="str">
        <f t="shared" si="375"/>
        <v>0</v>
      </c>
      <c r="CX454" s="9">
        <f t="shared" si="376"/>
        <v>0</v>
      </c>
      <c r="CY454" s="31" t="str">
        <f t="shared" si="377"/>
        <v>0</v>
      </c>
      <c r="CZ454" s="9">
        <f>+Risultati!AG453</f>
        <v>0</v>
      </c>
      <c r="DA454" s="31" t="str">
        <f t="shared" si="378"/>
        <v>0</v>
      </c>
      <c r="DB454" s="9">
        <f t="shared" si="379"/>
        <v>0</v>
      </c>
      <c r="DC454" s="31" t="str">
        <f t="shared" si="380"/>
        <v>0</v>
      </c>
      <c r="DD454" s="9">
        <f>+Risultati!AV453</f>
        <v>0</v>
      </c>
      <c r="DE454" s="31" t="str">
        <f t="shared" si="381"/>
        <v>0</v>
      </c>
      <c r="DF454" s="9">
        <f>+Risultati!AJ453</f>
        <v>0</v>
      </c>
      <c r="DG454" s="31" t="str">
        <f t="shared" si="382"/>
        <v>0</v>
      </c>
      <c r="DH454" s="9">
        <f t="shared" si="383"/>
        <v>0</v>
      </c>
      <c r="DI454" s="31" t="str">
        <f t="shared" si="384"/>
        <v>0</v>
      </c>
      <c r="DJ454" s="9">
        <f>+Risultati!AW453</f>
        <v>0</v>
      </c>
      <c r="DK454" s="31" t="str">
        <f t="shared" si="385"/>
        <v>0</v>
      </c>
      <c r="DL454" s="10">
        <f t="shared" si="407"/>
        <v>0</v>
      </c>
      <c r="DM454" s="31" t="str">
        <f t="shared" si="386"/>
        <v>0</v>
      </c>
      <c r="DO454" s="30"/>
      <c r="DP454" s="30"/>
    </row>
    <row r="455" spans="1:120" x14ac:dyDescent="0.2">
      <c r="A455" s="5"/>
      <c r="B455" s="6">
        <f>+Risultati!B454</f>
        <v>0</v>
      </c>
      <c r="C455" s="6">
        <f>+Risultati!C454</f>
        <v>0</v>
      </c>
      <c r="D455" s="26" t="str">
        <f>IF(YEAR(Risultati!D454)=1900,(MID(Risultati!$AP$1,29,4)),YEAR(Risultati!D454))</f>
        <v/>
      </c>
      <c r="E455" s="6">
        <f>+Risultati!E454</f>
        <v>0</v>
      </c>
      <c r="F455" s="8" t="e">
        <f>(LEFT(Risultati!AN454,2)&amp;"-")&amp;VLOOKUP((LEFT(Risultati!AN454,2)),ateco!$B$4:$C$93,2,FALSE)</f>
        <v>#N/A</v>
      </c>
      <c r="G455" s="8" t="str">
        <f>SUBSTITUTE((Risultati!AN454&amp;"-"&amp;Risultati!AO454),",",";")</f>
        <v>-</v>
      </c>
      <c r="I455" s="10">
        <f>+Risultati!G454</f>
        <v>0</v>
      </c>
      <c r="J455" s="11" t="str">
        <f t="shared" si="389"/>
        <v>0</v>
      </c>
      <c r="K455" s="12"/>
      <c r="L455" s="10">
        <f>+Risultati!G454+Risultati!H454</f>
        <v>0</v>
      </c>
      <c r="M455" s="11" t="str">
        <f t="shared" si="390"/>
        <v>0</v>
      </c>
      <c r="N455" s="12"/>
      <c r="O455" s="10">
        <f>+Risultati!I454+Risultati!J454</f>
        <v>0</v>
      </c>
      <c r="P455" s="11" t="str">
        <f t="shared" si="391"/>
        <v>0</v>
      </c>
      <c r="Q455" s="12"/>
      <c r="R455" s="13">
        <f t="shared" si="357"/>
        <v>0</v>
      </c>
      <c r="S455" s="11" t="str">
        <f t="shared" si="392"/>
        <v>0</v>
      </c>
      <c r="T455" s="12"/>
      <c r="U455" s="10">
        <f>+Risultati!F454-(Risultati!G454+Risultati!H454)</f>
        <v>0</v>
      </c>
      <c r="V455" s="12" t="str">
        <f t="shared" si="393"/>
        <v>0</v>
      </c>
      <c r="W455" s="12"/>
      <c r="X455" s="10">
        <f t="shared" si="358"/>
        <v>0</v>
      </c>
      <c r="Y455" s="12" t="str">
        <f t="shared" si="394"/>
        <v>0</v>
      </c>
      <c r="Z455" s="12"/>
      <c r="AA455" s="10">
        <f>+Risultati!K454</f>
        <v>0</v>
      </c>
      <c r="AB455" s="12" t="str">
        <f t="shared" si="395"/>
        <v>0</v>
      </c>
      <c r="AC455" s="12"/>
      <c r="AD455" s="10">
        <f>+Risultati!L454</f>
        <v>0</v>
      </c>
      <c r="AE455" s="12" t="str">
        <f t="shared" si="396"/>
        <v>0</v>
      </c>
      <c r="AF455" s="12"/>
      <c r="AG455" s="10">
        <f>+Risultati!M454+Risultati!P454+Risultati!Q454</f>
        <v>0</v>
      </c>
      <c r="AH455" s="12" t="str">
        <f t="shared" si="397"/>
        <v>0</v>
      </c>
      <c r="AI455" s="12"/>
      <c r="AJ455" s="13">
        <f t="shared" si="359"/>
        <v>0</v>
      </c>
      <c r="AK455" s="11" t="str">
        <f t="shared" si="398"/>
        <v>0</v>
      </c>
      <c r="AL455" s="12"/>
      <c r="AM455" s="10">
        <f>+Risultati!N454</f>
        <v>0</v>
      </c>
      <c r="AN455" s="12" t="str">
        <f t="shared" si="399"/>
        <v>0</v>
      </c>
      <c r="AO455" s="12"/>
      <c r="AP455" s="10">
        <f t="shared" si="360"/>
        <v>0</v>
      </c>
      <c r="AQ455" s="41" t="str">
        <f t="shared" si="400"/>
        <v>0</v>
      </c>
      <c r="AR455" s="12"/>
      <c r="AS455" s="10">
        <f>+Risultati!O454</f>
        <v>0</v>
      </c>
      <c r="AT455" s="12" t="str">
        <f t="shared" si="401"/>
        <v>0</v>
      </c>
      <c r="AU455" s="12"/>
      <c r="AV455" s="10">
        <f t="shared" si="361"/>
        <v>0</v>
      </c>
      <c r="AW455" s="12" t="str">
        <f t="shared" si="402"/>
        <v>0</v>
      </c>
      <c r="AX455" s="12"/>
      <c r="AY455" s="10">
        <f>+Risultati!R454+Risultati!S454</f>
        <v>0</v>
      </c>
      <c r="AZ455" s="12" t="str">
        <f t="shared" si="403"/>
        <v>0</v>
      </c>
      <c r="BA455" s="12"/>
      <c r="BB455" s="10">
        <f>+Risultati!T454</f>
        <v>0</v>
      </c>
      <c r="BC455" s="12" t="str">
        <f t="shared" si="404"/>
        <v>0</v>
      </c>
      <c r="BD455" s="12"/>
      <c r="BE455" s="10">
        <f>+Risultati!U454</f>
        <v>0</v>
      </c>
      <c r="BF455" s="12" t="str">
        <f t="shared" si="405"/>
        <v>0</v>
      </c>
      <c r="BG455" s="12"/>
      <c r="BH455" s="10">
        <f t="shared" si="362"/>
        <v>0</v>
      </c>
      <c r="BI455" s="12" t="str">
        <f t="shared" si="406"/>
        <v>0</v>
      </c>
      <c r="BK455" s="16">
        <f>IF(ISNUMBER(Risultati!X454/100),(Risultati!X454/100))</f>
        <v>0</v>
      </c>
      <c r="BL455" s="16">
        <f>IF(ISNUMBER(Risultati!Y454/100),(Risultati!Y454/100))</f>
        <v>0</v>
      </c>
      <c r="BM455" s="16">
        <f>IF(ISNUMBER(Risultati!Z454/100),(Risultati!Z454/100))</f>
        <v>0</v>
      </c>
      <c r="BN455" s="16">
        <f>IF(AND(Risultati!AY454&lt;0,calcoli!AP455&lt;0),-IF(ISNUMBER(Risultati!AA454/100),(Risultati!AA454/100)),IF(ISNUMBER(Risultati!AA454/100),(Risultati!AA454/100)))</f>
        <v>0</v>
      </c>
      <c r="BO455" s="16" t="str">
        <f t="shared" si="387"/>
        <v>0</v>
      </c>
      <c r="BP455" s="16" t="str">
        <f>IF(Risultati!AB454&gt;0,(AV455/Risultati!AB454),"0")</f>
        <v>0</v>
      </c>
      <c r="BQ455" s="16" t="str">
        <f>IF(Risultati!AG454&lt;&gt;0,(BH455/Risultati!AG454),"0")</f>
        <v>0</v>
      </c>
      <c r="BR455" s="16" t="str">
        <f t="shared" si="388"/>
        <v>0</v>
      </c>
      <c r="BS455" s="14" t="str">
        <f>IF(Risultati!AB454&gt;0,(Risultati!G454/Risultati!AB454),"0")</f>
        <v>0</v>
      </c>
      <c r="BT455" s="15" t="str">
        <f>IF(Risultati!AG454&lt;&gt;0,(Risultati!AB454/Risultati!AG454),"0")</f>
        <v>0</v>
      </c>
      <c r="BU455" s="23" t="str">
        <f>IF(AND(Risultati!G454&gt;0,(Risultati!AE454-Risultati!AF454)&gt;=0),((Risultati!AE454-Risultati!AF454)/Risultati!G454*360),"0")</f>
        <v>0</v>
      </c>
      <c r="BV455" s="21" t="str">
        <f>IF(OR(E455="abbreviato",Risultati!G454=0),"0",((Risultati!AC454+Risultati!AD454)/Risultati!G454*360))</f>
        <v>0</v>
      </c>
      <c r="BW455" s="21" t="str">
        <f>IF(OR(E455="abbreviato",Risultati!G454=0,SUM(Risultati!I454+Risultati!K454+Risultati!M454)=0),"0",(((Risultati!AH454+Risultati!AI454)/(Risultati!I454+Risultati!K454+Risultati!N454)*360)))</f>
        <v>0</v>
      </c>
      <c r="BX455" s="16" t="str">
        <f>IF(Risultati!AB454&gt;0,(+Risultati!AG454/Risultati!AB454),"0")</f>
        <v>0</v>
      </c>
      <c r="BY455" s="22" t="str">
        <f>IF(OR(E455="abbreviato",Risultati!G454=0),"0",(((Risultati!AK454-(Risultati!AL454+Risultati!AM454))/Risultati!G454)))</f>
        <v>0</v>
      </c>
      <c r="BZ455" s="16" t="str">
        <f>IF(Risultati!G454&gt;0,(Risultati!AJ454/Risultati!G454),"0")</f>
        <v>0</v>
      </c>
      <c r="CA455" s="8"/>
      <c r="CB455" s="9">
        <f>+Risultati!AP454</f>
        <v>0</v>
      </c>
      <c r="CC455" s="31" t="str">
        <f t="shared" si="363"/>
        <v>0</v>
      </c>
      <c r="CD455" s="9">
        <f>+Risultati!AQ454</f>
        <v>0</v>
      </c>
      <c r="CE455" s="31" t="str">
        <f t="shared" si="364"/>
        <v>0</v>
      </c>
      <c r="CF455" s="9">
        <f>+Risultati!AR454</f>
        <v>0</v>
      </c>
      <c r="CG455" s="31" t="str">
        <f t="shared" si="365"/>
        <v>0</v>
      </c>
      <c r="CH455" s="9">
        <f>+Risultati!AS454</f>
        <v>0</v>
      </c>
      <c r="CI455" s="31" t="str">
        <f t="shared" si="366"/>
        <v>0</v>
      </c>
      <c r="CJ455" s="9">
        <f t="shared" si="367"/>
        <v>0</v>
      </c>
      <c r="CK455" s="31" t="str">
        <f t="shared" si="368"/>
        <v>0</v>
      </c>
      <c r="CL455" s="10">
        <f>+Risultati!AE454+Risultati!AF454</f>
        <v>0</v>
      </c>
      <c r="CM455" s="31" t="str">
        <f t="shared" si="369"/>
        <v>0</v>
      </c>
      <c r="CN455" s="9">
        <f>+Risultati!AT454</f>
        <v>0</v>
      </c>
      <c r="CO455" s="31" t="str">
        <f t="shared" si="370"/>
        <v>0</v>
      </c>
      <c r="CP455" s="9">
        <f>+Risultati!AU454</f>
        <v>0</v>
      </c>
      <c r="CQ455" s="31" t="str">
        <f t="shared" si="371"/>
        <v>0</v>
      </c>
      <c r="CR455" s="9">
        <f>+Risultati!AL454</f>
        <v>0</v>
      </c>
      <c r="CS455" s="31" t="str">
        <f t="shared" si="372"/>
        <v>0</v>
      </c>
      <c r="CT455" s="9">
        <f t="shared" si="373"/>
        <v>0</v>
      </c>
      <c r="CU455" s="31" t="str">
        <f t="shared" si="374"/>
        <v>0</v>
      </c>
      <c r="CV455" s="9">
        <f>+Risultati!AX454</f>
        <v>0</v>
      </c>
      <c r="CW455" s="31" t="str">
        <f t="shared" si="375"/>
        <v>0</v>
      </c>
      <c r="CX455" s="9">
        <f t="shared" si="376"/>
        <v>0</v>
      </c>
      <c r="CY455" s="31" t="str">
        <f t="shared" si="377"/>
        <v>0</v>
      </c>
      <c r="CZ455" s="9">
        <f>+Risultati!AG454</f>
        <v>0</v>
      </c>
      <c r="DA455" s="31" t="str">
        <f t="shared" si="378"/>
        <v>0</v>
      </c>
      <c r="DB455" s="9">
        <f t="shared" si="379"/>
        <v>0</v>
      </c>
      <c r="DC455" s="31" t="str">
        <f t="shared" si="380"/>
        <v>0</v>
      </c>
      <c r="DD455" s="9">
        <f>+Risultati!AV454</f>
        <v>0</v>
      </c>
      <c r="DE455" s="31" t="str">
        <f t="shared" si="381"/>
        <v>0</v>
      </c>
      <c r="DF455" s="9">
        <f>+Risultati!AJ454</f>
        <v>0</v>
      </c>
      <c r="DG455" s="31" t="str">
        <f t="shared" si="382"/>
        <v>0</v>
      </c>
      <c r="DH455" s="9">
        <f t="shared" si="383"/>
        <v>0</v>
      </c>
      <c r="DI455" s="31" t="str">
        <f t="shared" si="384"/>
        <v>0</v>
      </c>
      <c r="DJ455" s="9">
        <f>+Risultati!AW454</f>
        <v>0</v>
      </c>
      <c r="DK455" s="31" t="str">
        <f t="shared" si="385"/>
        <v>0</v>
      </c>
      <c r="DL455" s="10">
        <f t="shared" si="407"/>
        <v>0</v>
      </c>
      <c r="DM455" s="31" t="str">
        <f t="shared" si="386"/>
        <v>0</v>
      </c>
      <c r="DO455" s="30"/>
      <c r="DP455" s="30"/>
    </row>
    <row r="456" spans="1:120" x14ac:dyDescent="0.2">
      <c r="A456" s="5"/>
      <c r="B456" s="6">
        <f>+Risultati!B455</f>
        <v>0</v>
      </c>
      <c r="C456" s="6">
        <f>+Risultati!C455</f>
        <v>0</v>
      </c>
      <c r="D456" s="26" t="str">
        <f>IF(YEAR(Risultati!D455)=1900,(MID(Risultati!$AP$1,29,4)),YEAR(Risultati!D455))</f>
        <v/>
      </c>
      <c r="E456" s="6">
        <f>+Risultati!E455</f>
        <v>0</v>
      </c>
      <c r="F456" s="8" t="e">
        <f>(LEFT(Risultati!AN455,2)&amp;"-")&amp;VLOOKUP((LEFT(Risultati!AN455,2)),ateco!$B$4:$C$93,2,FALSE)</f>
        <v>#N/A</v>
      </c>
      <c r="G456" s="8" t="str">
        <f>SUBSTITUTE((Risultati!AN455&amp;"-"&amp;Risultati!AO455),",",";")</f>
        <v>-</v>
      </c>
      <c r="I456" s="10">
        <f>+Risultati!G455</f>
        <v>0</v>
      </c>
      <c r="J456" s="11" t="str">
        <f t="shared" si="389"/>
        <v>0</v>
      </c>
      <c r="K456" s="12"/>
      <c r="L456" s="10">
        <f>+Risultati!G455+Risultati!H455</f>
        <v>0</v>
      </c>
      <c r="M456" s="11" t="str">
        <f t="shared" si="390"/>
        <v>0</v>
      </c>
      <c r="N456" s="12"/>
      <c r="O456" s="10">
        <f>+Risultati!I455+Risultati!J455</f>
        <v>0</v>
      </c>
      <c r="P456" s="11" t="str">
        <f t="shared" si="391"/>
        <v>0</v>
      </c>
      <c r="Q456" s="12"/>
      <c r="R456" s="13">
        <f t="shared" si="357"/>
        <v>0</v>
      </c>
      <c r="S456" s="11" t="str">
        <f t="shared" si="392"/>
        <v>0</v>
      </c>
      <c r="T456" s="12"/>
      <c r="U456" s="10">
        <f>+Risultati!F455-(Risultati!G455+Risultati!H455)</f>
        <v>0</v>
      </c>
      <c r="V456" s="12" t="str">
        <f t="shared" si="393"/>
        <v>0</v>
      </c>
      <c r="W456" s="12"/>
      <c r="X456" s="10">
        <f t="shared" si="358"/>
        <v>0</v>
      </c>
      <c r="Y456" s="12" t="str">
        <f t="shared" si="394"/>
        <v>0</v>
      </c>
      <c r="Z456" s="12"/>
      <c r="AA456" s="10">
        <f>+Risultati!K455</f>
        <v>0</v>
      </c>
      <c r="AB456" s="12" t="str">
        <f t="shared" si="395"/>
        <v>0</v>
      </c>
      <c r="AC456" s="12"/>
      <c r="AD456" s="10">
        <f>+Risultati!L455</f>
        <v>0</v>
      </c>
      <c r="AE456" s="12" t="str">
        <f t="shared" si="396"/>
        <v>0</v>
      </c>
      <c r="AF456" s="12"/>
      <c r="AG456" s="10">
        <f>+Risultati!M455+Risultati!P455+Risultati!Q455</f>
        <v>0</v>
      </c>
      <c r="AH456" s="12" t="str">
        <f t="shared" si="397"/>
        <v>0</v>
      </c>
      <c r="AI456" s="12"/>
      <c r="AJ456" s="13">
        <f t="shared" si="359"/>
        <v>0</v>
      </c>
      <c r="AK456" s="11" t="str">
        <f t="shared" si="398"/>
        <v>0</v>
      </c>
      <c r="AL456" s="12"/>
      <c r="AM456" s="10">
        <f>+Risultati!N455</f>
        <v>0</v>
      </c>
      <c r="AN456" s="12" t="str">
        <f t="shared" si="399"/>
        <v>0</v>
      </c>
      <c r="AO456" s="12"/>
      <c r="AP456" s="10">
        <f t="shared" si="360"/>
        <v>0</v>
      </c>
      <c r="AQ456" s="41" t="str">
        <f t="shared" si="400"/>
        <v>0</v>
      </c>
      <c r="AR456" s="12"/>
      <c r="AS456" s="10">
        <f>+Risultati!O455</f>
        <v>0</v>
      </c>
      <c r="AT456" s="12" t="str">
        <f t="shared" si="401"/>
        <v>0</v>
      </c>
      <c r="AU456" s="12"/>
      <c r="AV456" s="10">
        <f t="shared" si="361"/>
        <v>0</v>
      </c>
      <c r="AW456" s="12" t="str">
        <f t="shared" si="402"/>
        <v>0</v>
      </c>
      <c r="AX456" s="12"/>
      <c r="AY456" s="10">
        <f>+Risultati!R455+Risultati!S455</f>
        <v>0</v>
      </c>
      <c r="AZ456" s="12" t="str">
        <f t="shared" si="403"/>
        <v>0</v>
      </c>
      <c r="BA456" s="12"/>
      <c r="BB456" s="10">
        <f>+Risultati!T455</f>
        <v>0</v>
      </c>
      <c r="BC456" s="12" t="str">
        <f t="shared" si="404"/>
        <v>0</v>
      </c>
      <c r="BD456" s="12"/>
      <c r="BE456" s="10">
        <f>+Risultati!U455</f>
        <v>0</v>
      </c>
      <c r="BF456" s="12" t="str">
        <f t="shared" si="405"/>
        <v>0</v>
      </c>
      <c r="BG456" s="12"/>
      <c r="BH456" s="10">
        <f t="shared" si="362"/>
        <v>0</v>
      </c>
      <c r="BI456" s="12" t="str">
        <f t="shared" si="406"/>
        <v>0</v>
      </c>
      <c r="BK456" s="16">
        <f>IF(ISNUMBER(Risultati!X455/100),(Risultati!X455/100))</f>
        <v>0</v>
      </c>
      <c r="BL456" s="16">
        <f>IF(ISNUMBER(Risultati!Y455/100),(Risultati!Y455/100))</f>
        <v>0</v>
      </c>
      <c r="BM456" s="16">
        <f>IF(ISNUMBER(Risultati!Z455/100),(Risultati!Z455/100))</f>
        <v>0</v>
      </c>
      <c r="BN456" s="16">
        <f>IF(AND(Risultati!AY455&lt;0,calcoli!AP456&lt;0),-IF(ISNUMBER(Risultati!AA455/100),(Risultati!AA455/100)),IF(ISNUMBER(Risultati!AA455/100),(Risultati!AA455/100)))</f>
        <v>0</v>
      </c>
      <c r="BO456" s="16" t="str">
        <f t="shared" si="387"/>
        <v>0</v>
      </c>
      <c r="BP456" s="16" t="str">
        <f>IF(Risultati!AB455&gt;0,(AV456/Risultati!AB455),"0")</f>
        <v>0</v>
      </c>
      <c r="BQ456" s="16" t="str">
        <f>IF(Risultati!AG455&lt;&gt;0,(BH456/Risultati!AG455),"0")</f>
        <v>0</v>
      </c>
      <c r="BR456" s="16" t="str">
        <f t="shared" si="388"/>
        <v>0</v>
      </c>
      <c r="BS456" s="14" t="str">
        <f>IF(Risultati!AB455&gt;0,(Risultati!G455/Risultati!AB455),"0")</f>
        <v>0</v>
      </c>
      <c r="BT456" s="15" t="str">
        <f>IF(Risultati!AG455&lt;&gt;0,(Risultati!AB455/Risultati!AG455),"0")</f>
        <v>0</v>
      </c>
      <c r="BU456" s="23" t="str">
        <f>IF(AND(Risultati!G455&gt;0,(Risultati!AE455-Risultati!AF455)&gt;=0),((Risultati!AE455-Risultati!AF455)/Risultati!G455*360),"0")</f>
        <v>0</v>
      </c>
      <c r="BV456" s="21" t="str">
        <f>IF(OR(E456="abbreviato",Risultati!G455=0),"0",((Risultati!AC455+Risultati!AD455)/Risultati!G455*360))</f>
        <v>0</v>
      </c>
      <c r="BW456" s="21" t="str">
        <f>IF(OR(E456="abbreviato",Risultati!G455=0,SUM(Risultati!I455+Risultati!K455+Risultati!M455)=0),"0",(((Risultati!AH455+Risultati!AI455)/(Risultati!I455+Risultati!K455+Risultati!N455)*360)))</f>
        <v>0</v>
      </c>
      <c r="BX456" s="16" t="str">
        <f>IF(Risultati!AB455&gt;0,(+Risultati!AG455/Risultati!AB455),"0")</f>
        <v>0</v>
      </c>
      <c r="BY456" s="22" t="str">
        <f>IF(OR(E456="abbreviato",Risultati!G455=0),"0",(((Risultati!AK455-(Risultati!AL455+Risultati!AM455))/Risultati!G455)))</f>
        <v>0</v>
      </c>
      <c r="BZ456" s="16" t="str">
        <f>IF(Risultati!G455&gt;0,(Risultati!AJ455/Risultati!G455),"0")</f>
        <v>0</v>
      </c>
      <c r="CA456" s="8"/>
      <c r="CB456" s="9">
        <f>+Risultati!AP455</f>
        <v>0</v>
      </c>
      <c r="CC456" s="31" t="str">
        <f t="shared" si="363"/>
        <v>0</v>
      </c>
      <c r="CD456" s="9">
        <f>+Risultati!AQ455</f>
        <v>0</v>
      </c>
      <c r="CE456" s="31" t="str">
        <f t="shared" si="364"/>
        <v>0</v>
      </c>
      <c r="CF456" s="9">
        <f>+Risultati!AR455</f>
        <v>0</v>
      </c>
      <c r="CG456" s="31" t="str">
        <f t="shared" si="365"/>
        <v>0</v>
      </c>
      <c r="CH456" s="9">
        <f>+Risultati!AS455</f>
        <v>0</v>
      </c>
      <c r="CI456" s="31" t="str">
        <f t="shared" si="366"/>
        <v>0</v>
      </c>
      <c r="CJ456" s="9">
        <f t="shared" si="367"/>
        <v>0</v>
      </c>
      <c r="CK456" s="31" t="str">
        <f t="shared" si="368"/>
        <v>0</v>
      </c>
      <c r="CL456" s="10">
        <f>+Risultati!AE455+Risultati!AF455</f>
        <v>0</v>
      </c>
      <c r="CM456" s="31" t="str">
        <f t="shared" si="369"/>
        <v>0</v>
      </c>
      <c r="CN456" s="9">
        <f>+Risultati!AT455</f>
        <v>0</v>
      </c>
      <c r="CO456" s="31" t="str">
        <f t="shared" si="370"/>
        <v>0</v>
      </c>
      <c r="CP456" s="9">
        <f>+Risultati!AU455</f>
        <v>0</v>
      </c>
      <c r="CQ456" s="31" t="str">
        <f t="shared" si="371"/>
        <v>0</v>
      </c>
      <c r="CR456" s="9">
        <f>+Risultati!AL455</f>
        <v>0</v>
      </c>
      <c r="CS456" s="31" t="str">
        <f t="shared" si="372"/>
        <v>0</v>
      </c>
      <c r="CT456" s="9">
        <f t="shared" si="373"/>
        <v>0</v>
      </c>
      <c r="CU456" s="31" t="str">
        <f t="shared" si="374"/>
        <v>0</v>
      </c>
      <c r="CV456" s="9">
        <f>+Risultati!AX455</f>
        <v>0</v>
      </c>
      <c r="CW456" s="31" t="str">
        <f t="shared" si="375"/>
        <v>0</v>
      </c>
      <c r="CX456" s="9">
        <f t="shared" si="376"/>
        <v>0</v>
      </c>
      <c r="CY456" s="31" t="str">
        <f t="shared" si="377"/>
        <v>0</v>
      </c>
      <c r="CZ456" s="9">
        <f>+Risultati!AG455</f>
        <v>0</v>
      </c>
      <c r="DA456" s="31" t="str">
        <f t="shared" si="378"/>
        <v>0</v>
      </c>
      <c r="DB456" s="9">
        <f t="shared" si="379"/>
        <v>0</v>
      </c>
      <c r="DC456" s="31" t="str">
        <f t="shared" si="380"/>
        <v>0</v>
      </c>
      <c r="DD456" s="9">
        <f>+Risultati!AV455</f>
        <v>0</v>
      </c>
      <c r="DE456" s="31" t="str">
        <f t="shared" si="381"/>
        <v>0</v>
      </c>
      <c r="DF456" s="9">
        <f>+Risultati!AJ455</f>
        <v>0</v>
      </c>
      <c r="DG456" s="31" t="str">
        <f t="shared" si="382"/>
        <v>0</v>
      </c>
      <c r="DH456" s="9">
        <f t="shared" si="383"/>
        <v>0</v>
      </c>
      <c r="DI456" s="31" t="str">
        <f t="shared" si="384"/>
        <v>0</v>
      </c>
      <c r="DJ456" s="9">
        <f>+Risultati!AW455</f>
        <v>0</v>
      </c>
      <c r="DK456" s="31" t="str">
        <f t="shared" si="385"/>
        <v>0</v>
      </c>
      <c r="DL456" s="10">
        <f t="shared" si="407"/>
        <v>0</v>
      </c>
      <c r="DM456" s="31" t="str">
        <f t="shared" si="386"/>
        <v>0</v>
      </c>
      <c r="DO456" s="30"/>
      <c r="DP456" s="30"/>
    </row>
    <row r="457" spans="1:120" x14ac:dyDescent="0.2">
      <c r="A457" s="5"/>
      <c r="B457" s="6">
        <f>+Risultati!B456</f>
        <v>0</v>
      </c>
      <c r="C457" s="6">
        <f>+Risultati!C456</f>
        <v>0</v>
      </c>
      <c r="D457" s="26" t="str">
        <f>IF(YEAR(Risultati!D456)=1900,(MID(Risultati!$AP$1,29,4)),YEAR(Risultati!D456))</f>
        <v/>
      </c>
      <c r="E457" s="6">
        <f>+Risultati!E456</f>
        <v>0</v>
      </c>
      <c r="F457" s="8" t="e">
        <f>(LEFT(Risultati!AN456,2)&amp;"-")&amp;VLOOKUP((LEFT(Risultati!AN456,2)),ateco!$B$4:$C$93,2,FALSE)</f>
        <v>#N/A</v>
      </c>
      <c r="G457" s="8" t="str">
        <f>SUBSTITUTE((Risultati!AN456&amp;"-"&amp;Risultati!AO456),",",";")</f>
        <v>-</v>
      </c>
      <c r="I457" s="10">
        <f>+Risultati!G456</f>
        <v>0</v>
      </c>
      <c r="J457" s="11" t="str">
        <f t="shared" si="389"/>
        <v>0</v>
      </c>
      <c r="K457" s="12"/>
      <c r="L457" s="10">
        <f>+Risultati!G456+Risultati!H456</f>
        <v>0</v>
      </c>
      <c r="M457" s="11" t="str">
        <f t="shared" si="390"/>
        <v>0</v>
      </c>
      <c r="N457" s="12"/>
      <c r="O457" s="10">
        <f>+Risultati!I456+Risultati!J456</f>
        <v>0</v>
      </c>
      <c r="P457" s="11" t="str">
        <f t="shared" si="391"/>
        <v>0</v>
      </c>
      <c r="Q457" s="12"/>
      <c r="R457" s="13">
        <f t="shared" si="357"/>
        <v>0</v>
      </c>
      <c r="S457" s="11" t="str">
        <f t="shared" si="392"/>
        <v>0</v>
      </c>
      <c r="T457" s="12"/>
      <c r="U457" s="10">
        <f>+Risultati!F456-(Risultati!G456+Risultati!H456)</f>
        <v>0</v>
      </c>
      <c r="V457" s="12" t="str">
        <f t="shared" si="393"/>
        <v>0</v>
      </c>
      <c r="W457" s="12"/>
      <c r="X457" s="10">
        <f t="shared" si="358"/>
        <v>0</v>
      </c>
      <c r="Y457" s="12" t="str">
        <f t="shared" si="394"/>
        <v>0</v>
      </c>
      <c r="Z457" s="12"/>
      <c r="AA457" s="10">
        <f>+Risultati!K456</f>
        <v>0</v>
      </c>
      <c r="AB457" s="12" t="str">
        <f t="shared" si="395"/>
        <v>0</v>
      </c>
      <c r="AC457" s="12"/>
      <c r="AD457" s="10">
        <f>+Risultati!L456</f>
        <v>0</v>
      </c>
      <c r="AE457" s="12" t="str">
        <f t="shared" si="396"/>
        <v>0</v>
      </c>
      <c r="AF457" s="12"/>
      <c r="AG457" s="10">
        <f>+Risultati!M456+Risultati!P456+Risultati!Q456</f>
        <v>0</v>
      </c>
      <c r="AH457" s="12" t="str">
        <f t="shared" si="397"/>
        <v>0</v>
      </c>
      <c r="AI457" s="12"/>
      <c r="AJ457" s="13">
        <f t="shared" si="359"/>
        <v>0</v>
      </c>
      <c r="AK457" s="11" t="str">
        <f t="shared" si="398"/>
        <v>0</v>
      </c>
      <c r="AL457" s="12"/>
      <c r="AM457" s="10">
        <f>+Risultati!N456</f>
        <v>0</v>
      </c>
      <c r="AN457" s="12" t="str">
        <f t="shared" si="399"/>
        <v>0</v>
      </c>
      <c r="AO457" s="12"/>
      <c r="AP457" s="10">
        <f t="shared" si="360"/>
        <v>0</v>
      </c>
      <c r="AQ457" s="41" t="str">
        <f t="shared" si="400"/>
        <v>0</v>
      </c>
      <c r="AR457" s="12"/>
      <c r="AS457" s="10">
        <f>+Risultati!O456</f>
        <v>0</v>
      </c>
      <c r="AT457" s="12" t="str">
        <f t="shared" si="401"/>
        <v>0</v>
      </c>
      <c r="AU457" s="12"/>
      <c r="AV457" s="10">
        <f t="shared" si="361"/>
        <v>0</v>
      </c>
      <c r="AW457" s="12" t="str">
        <f t="shared" si="402"/>
        <v>0</v>
      </c>
      <c r="AX457" s="12"/>
      <c r="AY457" s="10">
        <f>+Risultati!R456+Risultati!S456</f>
        <v>0</v>
      </c>
      <c r="AZ457" s="12" t="str">
        <f t="shared" si="403"/>
        <v>0</v>
      </c>
      <c r="BA457" s="12"/>
      <c r="BB457" s="10">
        <f>+Risultati!T456</f>
        <v>0</v>
      </c>
      <c r="BC457" s="12" t="str">
        <f t="shared" si="404"/>
        <v>0</v>
      </c>
      <c r="BD457" s="12"/>
      <c r="BE457" s="10">
        <f>+Risultati!U456</f>
        <v>0</v>
      </c>
      <c r="BF457" s="12" t="str">
        <f t="shared" si="405"/>
        <v>0</v>
      </c>
      <c r="BG457" s="12"/>
      <c r="BH457" s="10">
        <f t="shared" si="362"/>
        <v>0</v>
      </c>
      <c r="BI457" s="12" t="str">
        <f t="shared" si="406"/>
        <v>0</v>
      </c>
      <c r="BK457" s="16">
        <f>IF(ISNUMBER(Risultati!X456/100),(Risultati!X456/100))</f>
        <v>0</v>
      </c>
      <c r="BL457" s="16">
        <f>IF(ISNUMBER(Risultati!Y456/100),(Risultati!Y456/100))</f>
        <v>0</v>
      </c>
      <c r="BM457" s="16">
        <f>IF(ISNUMBER(Risultati!Z456/100),(Risultati!Z456/100))</f>
        <v>0</v>
      </c>
      <c r="BN457" s="16">
        <f>IF(AND(Risultati!AY456&lt;0,calcoli!AP457&lt;0),-IF(ISNUMBER(Risultati!AA456/100),(Risultati!AA456/100)),IF(ISNUMBER(Risultati!AA456/100),(Risultati!AA456/100)))</f>
        <v>0</v>
      </c>
      <c r="BO457" s="16" t="str">
        <f t="shared" si="387"/>
        <v>0</v>
      </c>
      <c r="BP457" s="16" t="str">
        <f>IF(Risultati!AB456&gt;0,(AV457/Risultati!AB456),"0")</f>
        <v>0</v>
      </c>
      <c r="BQ457" s="16" t="str">
        <f>IF(Risultati!AG456&lt;&gt;0,(BH457/Risultati!AG456),"0")</f>
        <v>0</v>
      </c>
      <c r="BR457" s="16" t="str">
        <f t="shared" si="388"/>
        <v>0</v>
      </c>
      <c r="BS457" s="14" t="str">
        <f>IF(Risultati!AB456&gt;0,(Risultati!G456/Risultati!AB456),"0")</f>
        <v>0</v>
      </c>
      <c r="BT457" s="15" t="str">
        <f>IF(Risultati!AG456&lt;&gt;0,(Risultati!AB456/Risultati!AG456),"0")</f>
        <v>0</v>
      </c>
      <c r="BU457" s="23" t="str">
        <f>IF(AND(Risultati!G456&gt;0,(Risultati!AE456-Risultati!AF456)&gt;=0),((Risultati!AE456-Risultati!AF456)/Risultati!G456*360),"0")</f>
        <v>0</v>
      </c>
      <c r="BV457" s="21" t="str">
        <f>IF(OR(E457="abbreviato",Risultati!G456=0),"0",((Risultati!AC456+Risultati!AD456)/Risultati!G456*360))</f>
        <v>0</v>
      </c>
      <c r="BW457" s="21" t="str">
        <f>IF(OR(E457="abbreviato",Risultati!G456=0,SUM(Risultati!I456+Risultati!K456+Risultati!M456)=0),"0",(((Risultati!AH456+Risultati!AI456)/(Risultati!I456+Risultati!K456+Risultati!N456)*360)))</f>
        <v>0</v>
      </c>
      <c r="BX457" s="16" t="str">
        <f>IF(Risultati!AB456&gt;0,(+Risultati!AG456/Risultati!AB456),"0")</f>
        <v>0</v>
      </c>
      <c r="BY457" s="22" t="str">
        <f>IF(OR(E457="abbreviato",Risultati!G456=0),"0",(((Risultati!AK456-(Risultati!AL456+Risultati!AM456))/Risultati!G456)))</f>
        <v>0</v>
      </c>
      <c r="BZ457" s="16" t="str">
        <f>IF(Risultati!G456&gt;0,(Risultati!AJ456/Risultati!G456),"0")</f>
        <v>0</v>
      </c>
      <c r="CA457" s="8"/>
      <c r="CB457" s="9">
        <f>+Risultati!AP456</f>
        <v>0</v>
      </c>
      <c r="CC457" s="31" t="str">
        <f t="shared" si="363"/>
        <v>0</v>
      </c>
      <c r="CD457" s="9">
        <f>+Risultati!AQ456</f>
        <v>0</v>
      </c>
      <c r="CE457" s="31" t="str">
        <f t="shared" si="364"/>
        <v>0</v>
      </c>
      <c r="CF457" s="9">
        <f>+Risultati!AR456</f>
        <v>0</v>
      </c>
      <c r="CG457" s="31" t="str">
        <f t="shared" si="365"/>
        <v>0</v>
      </c>
      <c r="CH457" s="9">
        <f>+Risultati!AS456</f>
        <v>0</v>
      </c>
      <c r="CI457" s="31" t="str">
        <f t="shared" si="366"/>
        <v>0</v>
      </c>
      <c r="CJ457" s="9">
        <f t="shared" si="367"/>
        <v>0</v>
      </c>
      <c r="CK457" s="31" t="str">
        <f t="shared" si="368"/>
        <v>0</v>
      </c>
      <c r="CL457" s="10">
        <f>+Risultati!AE456+Risultati!AF456</f>
        <v>0</v>
      </c>
      <c r="CM457" s="31" t="str">
        <f t="shared" si="369"/>
        <v>0</v>
      </c>
      <c r="CN457" s="9">
        <f>+Risultati!AT456</f>
        <v>0</v>
      </c>
      <c r="CO457" s="31" t="str">
        <f t="shared" si="370"/>
        <v>0</v>
      </c>
      <c r="CP457" s="9">
        <f>+Risultati!AU456</f>
        <v>0</v>
      </c>
      <c r="CQ457" s="31" t="str">
        <f t="shared" si="371"/>
        <v>0</v>
      </c>
      <c r="CR457" s="9">
        <f>+Risultati!AL456</f>
        <v>0</v>
      </c>
      <c r="CS457" s="31" t="str">
        <f t="shared" si="372"/>
        <v>0</v>
      </c>
      <c r="CT457" s="9">
        <f t="shared" si="373"/>
        <v>0</v>
      </c>
      <c r="CU457" s="31" t="str">
        <f t="shared" si="374"/>
        <v>0</v>
      </c>
      <c r="CV457" s="9">
        <f>+Risultati!AX456</f>
        <v>0</v>
      </c>
      <c r="CW457" s="31" t="str">
        <f t="shared" si="375"/>
        <v>0</v>
      </c>
      <c r="CX457" s="9">
        <f t="shared" si="376"/>
        <v>0</v>
      </c>
      <c r="CY457" s="31" t="str">
        <f t="shared" si="377"/>
        <v>0</v>
      </c>
      <c r="CZ457" s="9">
        <f>+Risultati!AG456</f>
        <v>0</v>
      </c>
      <c r="DA457" s="31" t="str">
        <f t="shared" si="378"/>
        <v>0</v>
      </c>
      <c r="DB457" s="9">
        <f t="shared" si="379"/>
        <v>0</v>
      </c>
      <c r="DC457" s="31" t="str">
        <f t="shared" si="380"/>
        <v>0</v>
      </c>
      <c r="DD457" s="9">
        <f>+Risultati!AV456</f>
        <v>0</v>
      </c>
      <c r="DE457" s="31" t="str">
        <f t="shared" si="381"/>
        <v>0</v>
      </c>
      <c r="DF457" s="9">
        <f>+Risultati!AJ456</f>
        <v>0</v>
      </c>
      <c r="DG457" s="31" t="str">
        <f t="shared" si="382"/>
        <v>0</v>
      </c>
      <c r="DH457" s="9">
        <f t="shared" si="383"/>
        <v>0</v>
      </c>
      <c r="DI457" s="31" t="str">
        <f t="shared" si="384"/>
        <v>0</v>
      </c>
      <c r="DJ457" s="9">
        <f>+Risultati!AW456</f>
        <v>0</v>
      </c>
      <c r="DK457" s="31" t="str">
        <f t="shared" si="385"/>
        <v>0</v>
      </c>
      <c r="DL457" s="10">
        <f t="shared" si="407"/>
        <v>0</v>
      </c>
      <c r="DM457" s="31" t="str">
        <f t="shared" si="386"/>
        <v>0</v>
      </c>
      <c r="DO457" s="30"/>
      <c r="DP457" s="30"/>
    </row>
    <row r="458" spans="1:120" x14ac:dyDescent="0.2">
      <c r="A458" s="5"/>
      <c r="B458" s="6">
        <f>+Risultati!B457</f>
        <v>0</v>
      </c>
      <c r="C458" s="6">
        <f>+Risultati!C457</f>
        <v>0</v>
      </c>
      <c r="D458" s="26" t="str">
        <f>IF(YEAR(Risultati!D457)=1900,(MID(Risultati!$AP$1,29,4)),YEAR(Risultati!D457))</f>
        <v/>
      </c>
      <c r="E458" s="6">
        <f>+Risultati!E457</f>
        <v>0</v>
      </c>
      <c r="F458" s="8" t="e">
        <f>(LEFT(Risultati!AN457,2)&amp;"-")&amp;VLOOKUP((LEFT(Risultati!AN457,2)),ateco!$B$4:$C$93,2,FALSE)</f>
        <v>#N/A</v>
      </c>
      <c r="G458" s="8" t="str">
        <f>SUBSTITUTE((Risultati!AN457&amp;"-"&amp;Risultati!AO457),",",";")</f>
        <v>-</v>
      </c>
      <c r="I458" s="10">
        <f>+Risultati!G457</f>
        <v>0</v>
      </c>
      <c r="J458" s="11" t="str">
        <f t="shared" si="389"/>
        <v>0</v>
      </c>
      <c r="K458" s="12"/>
      <c r="L458" s="10">
        <f>+Risultati!G457+Risultati!H457</f>
        <v>0</v>
      </c>
      <c r="M458" s="11" t="str">
        <f t="shared" si="390"/>
        <v>0</v>
      </c>
      <c r="N458" s="12"/>
      <c r="O458" s="10">
        <f>+Risultati!I457+Risultati!J457</f>
        <v>0</v>
      </c>
      <c r="P458" s="11" t="str">
        <f t="shared" si="391"/>
        <v>0</v>
      </c>
      <c r="Q458" s="12"/>
      <c r="R458" s="13">
        <f t="shared" si="357"/>
        <v>0</v>
      </c>
      <c r="S458" s="11" t="str">
        <f t="shared" si="392"/>
        <v>0</v>
      </c>
      <c r="T458" s="12"/>
      <c r="U458" s="10">
        <f>+Risultati!F457-(Risultati!G457+Risultati!H457)</f>
        <v>0</v>
      </c>
      <c r="V458" s="12" t="str">
        <f t="shared" si="393"/>
        <v>0</v>
      </c>
      <c r="W458" s="12"/>
      <c r="X458" s="10">
        <f t="shared" si="358"/>
        <v>0</v>
      </c>
      <c r="Y458" s="12" t="str">
        <f t="shared" si="394"/>
        <v>0</v>
      </c>
      <c r="Z458" s="12"/>
      <c r="AA458" s="10">
        <f>+Risultati!K457</f>
        <v>0</v>
      </c>
      <c r="AB458" s="12" t="str">
        <f t="shared" si="395"/>
        <v>0</v>
      </c>
      <c r="AC458" s="12"/>
      <c r="AD458" s="10">
        <f>+Risultati!L457</f>
        <v>0</v>
      </c>
      <c r="AE458" s="12" t="str">
        <f t="shared" si="396"/>
        <v>0</v>
      </c>
      <c r="AF458" s="12"/>
      <c r="AG458" s="10">
        <f>+Risultati!M457+Risultati!P457+Risultati!Q457</f>
        <v>0</v>
      </c>
      <c r="AH458" s="12" t="str">
        <f t="shared" si="397"/>
        <v>0</v>
      </c>
      <c r="AI458" s="12"/>
      <c r="AJ458" s="13">
        <f t="shared" si="359"/>
        <v>0</v>
      </c>
      <c r="AK458" s="11" t="str">
        <f t="shared" si="398"/>
        <v>0</v>
      </c>
      <c r="AL458" s="12"/>
      <c r="AM458" s="10">
        <f>+Risultati!N457</f>
        <v>0</v>
      </c>
      <c r="AN458" s="12" t="str">
        <f t="shared" si="399"/>
        <v>0</v>
      </c>
      <c r="AO458" s="12"/>
      <c r="AP458" s="10">
        <f t="shared" si="360"/>
        <v>0</v>
      </c>
      <c r="AQ458" s="41" t="str">
        <f t="shared" si="400"/>
        <v>0</v>
      </c>
      <c r="AR458" s="12"/>
      <c r="AS458" s="10">
        <f>+Risultati!O457</f>
        <v>0</v>
      </c>
      <c r="AT458" s="12" t="str">
        <f t="shared" si="401"/>
        <v>0</v>
      </c>
      <c r="AU458" s="12"/>
      <c r="AV458" s="10">
        <f t="shared" si="361"/>
        <v>0</v>
      </c>
      <c r="AW458" s="12" t="str">
        <f t="shared" si="402"/>
        <v>0</v>
      </c>
      <c r="AX458" s="12"/>
      <c r="AY458" s="10">
        <f>+Risultati!R457+Risultati!S457</f>
        <v>0</v>
      </c>
      <c r="AZ458" s="12" t="str">
        <f t="shared" si="403"/>
        <v>0</v>
      </c>
      <c r="BA458" s="12"/>
      <c r="BB458" s="10">
        <f>+Risultati!T457</f>
        <v>0</v>
      </c>
      <c r="BC458" s="12" t="str">
        <f t="shared" si="404"/>
        <v>0</v>
      </c>
      <c r="BD458" s="12"/>
      <c r="BE458" s="10">
        <f>+Risultati!U457</f>
        <v>0</v>
      </c>
      <c r="BF458" s="12" t="str">
        <f t="shared" si="405"/>
        <v>0</v>
      </c>
      <c r="BG458" s="12"/>
      <c r="BH458" s="10">
        <f t="shared" si="362"/>
        <v>0</v>
      </c>
      <c r="BI458" s="12" t="str">
        <f t="shared" si="406"/>
        <v>0</v>
      </c>
      <c r="BK458" s="16">
        <f>IF(ISNUMBER(Risultati!X457/100),(Risultati!X457/100))</f>
        <v>0</v>
      </c>
      <c r="BL458" s="16">
        <f>IF(ISNUMBER(Risultati!Y457/100),(Risultati!Y457/100))</f>
        <v>0</v>
      </c>
      <c r="BM458" s="16">
        <f>IF(ISNUMBER(Risultati!Z457/100),(Risultati!Z457/100))</f>
        <v>0</v>
      </c>
      <c r="BN458" s="16">
        <f>IF(AND(Risultati!AY457&lt;0,calcoli!AP458&lt;0),-IF(ISNUMBER(Risultati!AA457/100),(Risultati!AA457/100)),IF(ISNUMBER(Risultati!AA457/100),(Risultati!AA457/100)))</f>
        <v>0</v>
      </c>
      <c r="BO458" s="16" t="str">
        <f t="shared" si="387"/>
        <v>0</v>
      </c>
      <c r="BP458" s="16" t="str">
        <f>IF(Risultati!AB457&gt;0,(AV458/Risultati!AB457),"0")</f>
        <v>0</v>
      </c>
      <c r="BQ458" s="16" t="str">
        <f>IF(Risultati!AG457&lt;&gt;0,(BH458/Risultati!AG457),"0")</f>
        <v>0</v>
      </c>
      <c r="BR458" s="16" t="str">
        <f t="shared" si="388"/>
        <v>0</v>
      </c>
      <c r="BS458" s="14" t="str">
        <f>IF(Risultati!AB457&gt;0,(Risultati!G457/Risultati!AB457),"0")</f>
        <v>0</v>
      </c>
      <c r="BT458" s="15" t="str">
        <f>IF(Risultati!AG457&lt;&gt;0,(Risultati!AB457/Risultati!AG457),"0")</f>
        <v>0</v>
      </c>
      <c r="BU458" s="23" t="str">
        <f>IF(AND(Risultati!G457&gt;0,(Risultati!AE457-Risultati!AF457)&gt;=0),((Risultati!AE457-Risultati!AF457)/Risultati!G457*360),"0")</f>
        <v>0</v>
      </c>
      <c r="BV458" s="21" t="str">
        <f>IF(OR(E458="abbreviato",Risultati!G457=0),"0",((Risultati!AC457+Risultati!AD457)/Risultati!G457*360))</f>
        <v>0</v>
      </c>
      <c r="BW458" s="21" t="str">
        <f>IF(OR(E458="abbreviato",Risultati!G457=0,SUM(Risultati!I457+Risultati!K457+Risultati!M457)=0),"0",(((Risultati!AH457+Risultati!AI457)/(Risultati!I457+Risultati!K457+Risultati!N457)*360)))</f>
        <v>0</v>
      </c>
      <c r="BX458" s="16" t="str">
        <f>IF(Risultati!AB457&gt;0,(+Risultati!AG457/Risultati!AB457),"0")</f>
        <v>0</v>
      </c>
      <c r="BY458" s="22" t="str">
        <f>IF(OR(E458="abbreviato",Risultati!G457=0),"0",(((Risultati!AK457-(Risultati!AL457+Risultati!AM457))/Risultati!G457)))</f>
        <v>0</v>
      </c>
      <c r="BZ458" s="16" t="str">
        <f>IF(Risultati!G457&gt;0,(Risultati!AJ457/Risultati!G457),"0")</f>
        <v>0</v>
      </c>
      <c r="CA458" s="8"/>
      <c r="CB458" s="9">
        <f>+Risultati!AP457</f>
        <v>0</v>
      </c>
      <c r="CC458" s="31" t="str">
        <f t="shared" si="363"/>
        <v>0</v>
      </c>
      <c r="CD458" s="9">
        <f>+Risultati!AQ457</f>
        <v>0</v>
      </c>
      <c r="CE458" s="31" t="str">
        <f t="shared" si="364"/>
        <v>0</v>
      </c>
      <c r="CF458" s="9">
        <f>+Risultati!AR457</f>
        <v>0</v>
      </c>
      <c r="CG458" s="31" t="str">
        <f t="shared" si="365"/>
        <v>0</v>
      </c>
      <c r="CH458" s="9">
        <f>+Risultati!AS457</f>
        <v>0</v>
      </c>
      <c r="CI458" s="31" t="str">
        <f t="shared" si="366"/>
        <v>0</v>
      </c>
      <c r="CJ458" s="9">
        <f t="shared" si="367"/>
        <v>0</v>
      </c>
      <c r="CK458" s="31" t="str">
        <f t="shared" si="368"/>
        <v>0</v>
      </c>
      <c r="CL458" s="10">
        <f>+Risultati!AE457+Risultati!AF457</f>
        <v>0</v>
      </c>
      <c r="CM458" s="31" t="str">
        <f t="shared" si="369"/>
        <v>0</v>
      </c>
      <c r="CN458" s="9">
        <f>+Risultati!AT457</f>
        <v>0</v>
      </c>
      <c r="CO458" s="31" t="str">
        <f t="shared" si="370"/>
        <v>0</v>
      </c>
      <c r="CP458" s="9">
        <f>+Risultati!AU457</f>
        <v>0</v>
      </c>
      <c r="CQ458" s="31" t="str">
        <f t="shared" si="371"/>
        <v>0</v>
      </c>
      <c r="CR458" s="9">
        <f>+Risultati!AL457</f>
        <v>0</v>
      </c>
      <c r="CS458" s="31" t="str">
        <f t="shared" si="372"/>
        <v>0</v>
      </c>
      <c r="CT458" s="9">
        <f t="shared" si="373"/>
        <v>0</v>
      </c>
      <c r="CU458" s="31" t="str">
        <f t="shared" si="374"/>
        <v>0</v>
      </c>
      <c r="CV458" s="9">
        <f>+Risultati!AX457</f>
        <v>0</v>
      </c>
      <c r="CW458" s="31" t="str">
        <f t="shared" si="375"/>
        <v>0</v>
      </c>
      <c r="CX458" s="9">
        <f t="shared" si="376"/>
        <v>0</v>
      </c>
      <c r="CY458" s="31" t="str">
        <f t="shared" si="377"/>
        <v>0</v>
      </c>
      <c r="CZ458" s="9">
        <f>+Risultati!AG457</f>
        <v>0</v>
      </c>
      <c r="DA458" s="31" t="str">
        <f t="shared" si="378"/>
        <v>0</v>
      </c>
      <c r="DB458" s="9">
        <f t="shared" si="379"/>
        <v>0</v>
      </c>
      <c r="DC458" s="31" t="str">
        <f t="shared" si="380"/>
        <v>0</v>
      </c>
      <c r="DD458" s="9">
        <f>+Risultati!AV457</f>
        <v>0</v>
      </c>
      <c r="DE458" s="31" t="str">
        <f t="shared" si="381"/>
        <v>0</v>
      </c>
      <c r="DF458" s="9">
        <f>+Risultati!AJ457</f>
        <v>0</v>
      </c>
      <c r="DG458" s="31" t="str">
        <f t="shared" si="382"/>
        <v>0</v>
      </c>
      <c r="DH458" s="9">
        <f t="shared" si="383"/>
        <v>0</v>
      </c>
      <c r="DI458" s="31" t="str">
        <f t="shared" si="384"/>
        <v>0</v>
      </c>
      <c r="DJ458" s="9">
        <f>+Risultati!AW457</f>
        <v>0</v>
      </c>
      <c r="DK458" s="31" t="str">
        <f t="shared" si="385"/>
        <v>0</v>
      </c>
      <c r="DL458" s="10">
        <f t="shared" si="407"/>
        <v>0</v>
      </c>
      <c r="DM458" s="31" t="str">
        <f t="shared" si="386"/>
        <v>0</v>
      </c>
      <c r="DO458" s="30"/>
      <c r="DP458" s="30"/>
    </row>
    <row r="459" spans="1:120" x14ac:dyDescent="0.2">
      <c r="A459" s="5"/>
      <c r="B459" s="6">
        <f>+Risultati!B458</f>
        <v>0</v>
      </c>
      <c r="C459" s="6">
        <f>+Risultati!C458</f>
        <v>0</v>
      </c>
      <c r="D459" s="26" t="str">
        <f>IF(YEAR(Risultati!D458)=1900,(MID(Risultati!$AP$1,29,4)),YEAR(Risultati!D458))</f>
        <v/>
      </c>
      <c r="E459" s="6">
        <f>+Risultati!E458</f>
        <v>0</v>
      </c>
      <c r="F459" s="8" t="e">
        <f>(LEFT(Risultati!AN458,2)&amp;"-")&amp;VLOOKUP((LEFT(Risultati!AN458,2)),ateco!$B$4:$C$93,2,FALSE)</f>
        <v>#N/A</v>
      </c>
      <c r="G459" s="8" t="str">
        <f>SUBSTITUTE((Risultati!AN458&amp;"-"&amp;Risultati!AO458),",",";")</f>
        <v>-</v>
      </c>
      <c r="I459" s="10">
        <f>+Risultati!G458</f>
        <v>0</v>
      </c>
      <c r="J459" s="11" t="str">
        <f t="shared" si="389"/>
        <v>0</v>
      </c>
      <c r="K459" s="12"/>
      <c r="L459" s="10">
        <f>+Risultati!G458+Risultati!H458</f>
        <v>0</v>
      </c>
      <c r="M459" s="11" t="str">
        <f t="shared" si="390"/>
        <v>0</v>
      </c>
      <c r="N459" s="12"/>
      <c r="O459" s="10">
        <f>+Risultati!I458+Risultati!J458</f>
        <v>0</v>
      </c>
      <c r="P459" s="11" t="str">
        <f t="shared" si="391"/>
        <v>0</v>
      </c>
      <c r="Q459" s="12"/>
      <c r="R459" s="13">
        <f t="shared" si="357"/>
        <v>0</v>
      </c>
      <c r="S459" s="11" t="str">
        <f t="shared" si="392"/>
        <v>0</v>
      </c>
      <c r="T459" s="12"/>
      <c r="U459" s="10">
        <f>+Risultati!F458-(Risultati!G458+Risultati!H458)</f>
        <v>0</v>
      </c>
      <c r="V459" s="12" t="str">
        <f t="shared" si="393"/>
        <v>0</v>
      </c>
      <c r="W459" s="12"/>
      <c r="X459" s="10">
        <f t="shared" si="358"/>
        <v>0</v>
      </c>
      <c r="Y459" s="12" t="str">
        <f t="shared" si="394"/>
        <v>0</v>
      </c>
      <c r="Z459" s="12"/>
      <c r="AA459" s="10">
        <f>+Risultati!K458</f>
        <v>0</v>
      </c>
      <c r="AB459" s="12" t="str">
        <f t="shared" si="395"/>
        <v>0</v>
      </c>
      <c r="AC459" s="12"/>
      <c r="AD459" s="10">
        <f>+Risultati!L458</f>
        <v>0</v>
      </c>
      <c r="AE459" s="12" t="str">
        <f t="shared" si="396"/>
        <v>0</v>
      </c>
      <c r="AF459" s="12"/>
      <c r="AG459" s="10">
        <f>+Risultati!M458+Risultati!P458+Risultati!Q458</f>
        <v>0</v>
      </c>
      <c r="AH459" s="12" t="str">
        <f t="shared" si="397"/>
        <v>0</v>
      </c>
      <c r="AI459" s="12"/>
      <c r="AJ459" s="13">
        <f t="shared" si="359"/>
        <v>0</v>
      </c>
      <c r="AK459" s="11" t="str">
        <f t="shared" si="398"/>
        <v>0</v>
      </c>
      <c r="AL459" s="12"/>
      <c r="AM459" s="10">
        <f>+Risultati!N458</f>
        <v>0</v>
      </c>
      <c r="AN459" s="12" t="str">
        <f t="shared" si="399"/>
        <v>0</v>
      </c>
      <c r="AO459" s="12"/>
      <c r="AP459" s="10">
        <f t="shared" si="360"/>
        <v>0</v>
      </c>
      <c r="AQ459" s="41" t="str">
        <f t="shared" si="400"/>
        <v>0</v>
      </c>
      <c r="AR459" s="12"/>
      <c r="AS459" s="10">
        <f>+Risultati!O458</f>
        <v>0</v>
      </c>
      <c r="AT459" s="12" t="str">
        <f t="shared" si="401"/>
        <v>0</v>
      </c>
      <c r="AU459" s="12"/>
      <c r="AV459" s="10">
        <f t="shared" si="361"/>
        <v>0</v>
      </c>
      <c r="AW459" s="12" t="str">
        <f t="shared" si="402"/>
        <v>0</v>
      </c>
      <c r="AX459" s="12"/>
      <c r="AY459" s="10">
        <f>+Risultati!R458+Risultati!S458</f>
        <v>0</v>
      </c>
      <c r="AZ459" s="12" t="str">
        <f t="shared" si="403"/>
        <v>0</v>
      </c>
      <c r="BA459" s="12"/>
      <c r="BB459" s="10">
        <f>+Risultati!T458</f>
        <v>0</v>
      </c>
      <c r="BC459" s="12" t="str">
        <f t="shared" si="404"/>
        <v>0</v>
      </c>
      <c r="BD459" s="12"/>
      <c r="BE459" s="10">
        <f>+Risultati!U458</f>
        <v>0</v>
      </c>
      <c r="BF459" s="12" t="str">
        <f t="shared" si="405"/>
        <v>0</v>
      </c>
      <c r="BG459" s="12"/>
      <c r="BH459" s="10">
        <f t="shared" si="362"/>
        <v>0</v>
      </c>
      <c r="BI459" s="12" t="str">
        <f t="shared" si="406"/>
        <v>0</v>
      </c>
      <c r="BK459" s="16">
        <f>IF(ISNUMBER(Risultati!X458/100),(Risultati!X458/100))</f>
        <v>0</v>
      </c>
      <c r="BL459" s="16">
        <f>IF(ISNUMBER(Risultati!Y458/100),(Risultati!Y458/100))</f>
        <v>0</v>
      </c>
      <c r="BM459" s="16">
        <f>IF(ISNUMBER(Risultati!Z458/100),(Risultati!Z458/100))</f>
        <v>0</v>
      </c>
      <c r="BN459" s="16">
        <f>IF(AND(Risultati!AY458&lt;0,calcoli!AP459&lt;0),-IF(ISNUMBER(Risultati!AA458/100),(Risultati!AA458/100)),IF(ISNUMBER(Risultati!AA458/100),(Risultati!AA458/100)))</f>
        <v>0</v>
      </c>
      <c r="BO459" s="16" t="str">
        <f t="shared" si="387"/>
        <v>0</v>
      </c>
      <c r="BP459" s="16" t="str">
        <f>IF(Risultati!AB458&gt;0,(AV459/Risultati!AB458),"0")</f>
        <v>0</v>
      </c>
      <c r="BQ459" s="16" t="str">
        <f>IF(Risultati!AG458&lt;&gt;0,(BH459/Risultati!AG458),"0")</f>
        <v>0</v>
      </c>
      <c r="BR459" s="16" t="str">
        <f t="shared" si="388"/>
        <v>0</v>
      </c>
      <c r="BS459" s="14" t="str">
        <f>IF(Risultati!AB458&gt;0,(Risultati!G458/Risultati!AB458),"0")</f>
        <v>0</v>
      </c>
      <c r="BT459" s="15" t="str">
        <f>IF(Risultati!AG458&lt;&gt;0,(Risultati!AB458/Risultati!AG458),"0")</f>
        <v>0</v>
      </c>
      <c r="BU459" s="23" t="str">
        <f>IF(AND(Risultati!G458&gt;0,(Risultati!AE458-Risultati!AF458)&gt;=0),((Risultati!AE458-Risultati!AF458)/Risultati!G458*360),"0")</f>
        <v>0</v>
      </c>
      <c r="BV459" s="21" t="str">
        <f>IF(OR(E459="abbreviato",Risultati!G458=0),"0",((Risultati!AC458+Risultati!AD458)/Risultati!G458*360))</f>
        <v>0</v>
      </c>
      <c r="BW459" s="21" t="str">
        <f>IF(OR(E459="abbreviato",Risultati!G458=0,SUM(Risultati!I458+Risultati!K458+Risultati!M458)=0),"0",(((Risultati!AH458+Risultati!AI458)/(Risultati!I458+Risultati!K458+Risultati!N458)*360)))</f>
        <v>0</v>
      </c>
      <c r="BX459" s="16" t="str">
        <f>IF(Risultati!AB458&gt;0,(+Risultati!AG458/Risultati!AB458),"0")</f>
        <v>0</v>
      </c>
      <c r="BY459" s="22" t="str">
        <f>IF(OR(E459="abbreviato",Risultati!G458=0),"0",(((Risultati!AK458-(Risultati!AL458+Risultati!AM458))/Risultati!G458)))</f>
        <v>0</v>
      </c>
      <c r="BZ459" s="16" t="str">
        <f>IF(Risultati!G458&gt;0,(Risultati!AJ458/Risultati!G458),"0")</f>
        <v>0</v>
      </c>
      <c r="CA459" s="8"/>
      <c r="CB459" s="9">
        <f>+Risultati!AP458</f>
        <v>0</v>
      </c>
      <c r="CC459" s="31" t="str">
        <f t="shared" si="363"/>
        <v>0</v>
      </c>
      <c r="CD459" s="9">
        <f>+Risultati!AQ458</f>
        <v>0</v>
      </c>
      <c r="CE459" s="31" t="str">
        <f t="shared" si="364"/>
        <v>0</v>
      </c>
      <c r="CF459" s="9">
        <f>+Risultati!AR458</f>
        <v>0</v>
      </c>
      <c r="CG459" s="31" t="str">
        <f t="shared" si="365"/>
        <v>0</v>
      </c>
      <c r="CH459" s="9">
        <f>+Risultati!AS458</f>
        <v>0</v>
      </c>
      <c r="CI459" s="31" t="str">
        <f t="shared" si="366"/>
        <v>0</v>
      </c>
      <c r="CJ459" s="9">
        <f t="shared" si="367"/>
        <v>0</v>
      </c>
      <c r="CK459" s="31" t="str">
        <f t="shared" si="368"/>
        <v>0</v>
      </c>
      <c r="CL459" s="10">
        <f>+Risultati!AE458+Risultati!AF458</f>
        <v>0</v>
      </c>
      <c r="CM459" s="31" t="str">
        <f t="shared" si="369"/>
        <v>0</v>
      </c>
      <c r="CN459" s="9">
        <f>+Risultati!AT458</f>
        <v>0</v>
      </c>
      <c r="CO459" s="31" t="str">
        <f t="shared" si="370"/>
        <v>0</v>
      </c>
      <c r="CP459" s="9">
        <f>+Risultati!AU458</f>
        <v>0</v>
      </c>
      <c r="CQ459" s="31" t="str">
        <f t="shared" si="371"/>
        <v>0</v>
      </c>
      <c r="CR459" s="9">
        <f>+Risultati!AL458</f>
        <v>0</v>
      </c>
      <c r="CS459" s="31" t="str">
        <f t="shared" si="372"/>
        <v>0</v>
      </c>
      <c r="CT459" s="9">
        <f t="shared" si="373"/>
        <v>0</v>
      </c>
      <c r="CU459" s="31" t="str">
        <f t="shared" si="374"/>
        <v>0</v>
      </c>
      <c r="CV459" s="9">
        <f>+Risultati!AX458</f>
        <v>0</v>
      </c>
      <c r="CW459" s="31" t="str">
        <f t="shared" si="375"/>
        <v>0</v>
      </c>
      <c r="CX459" s="9">
        <f t="shared" si="376"/>
        <v>0</v>
      </c>
      <c r="CY459" s="31" t="str">
        <f t="shared" si="377"/>
        <v>0</v>
      </c>
      <c r="CZ459" s="9">
        <f>+Risultati!AG458</f>
        <v>0</v>
      </c>
      <c r="DA459" s="31" t="str">
        <f t="shared" si="378"/>
        <v>0</v>
      </c>
      <c r="DB459" s="9">
        <f t="shared" si="379"/>
        <v>0</v>
      </c>
      <c r="DC459" s="31" t="str">
        <f t="shared" si="380"/>
        <v>0</v>
      </c>
      <c r="DD459" s="9">
        <f>+Risultati!AV458</f>
        <v>0</v>
      </c>
      <c r="DE459" s="31" t="str">
        <f t="shared" si="381"/>
        <v>0</v>
      </c>
      <c r="DF459" s="9">
        <f>+Risultati!AJ458</f>
        <v>0</v>
      </c>
      <c r="DG459" s="31" t="str">
        <f t="shared" si="382"/>
        <v>0</v>
      </c>
      <c r="DH459" s="9">
        <f t="shared" si="383"/>
        <v>0</v>
      </c>
      <c r="DI459" s="31" t="str">
        <f t="shared" si="384"/>
        <v>0</v>
      </c>
      <c r="DJ459" s="9">
        <f>+Risultati!AW458</f>
        <v>0</v>
      </c>
      <c r="DK459" s="31" t="str">
        <f t="shared" si="385"/>
        <v>0</v>
      </c>
      <c r="DL459" s="10">
        <f t="shared" si="407"/>
        <v>0</v>
      </c>
      <c r="DM459" s="31" t="str">
        <f t="shared" si="386"/>
        <v>0</v>
      </c>
      <c r="DO459" s="30"/>
      <c r="DP459" s="30"/>
    </row>
    <row r="460" spans="1:120" x14ac:dyDescent="0.2">
      <c r="A460" s="5"/>
      <c r="B460" s="6">
        <f>+Risultati!B459</f>
        <v>0</v>
      </c>
      <c r="C460" s="6">
        <f>+Risultati!C459</f>
        <v>0</v>
      </c>
      <c r="D460" s="26" t="str">
        <f>IF(YEAR(Risultati!D459)=1900,(MID(Risultati!$AP$1,29,4)),YEAR(Risultati!D459))</f>
        <v/>
      </c>
      <c r="E460" s="6">
        <f>+Risultati!E459</f>
        <v>0</v>
      </c>
      <c r="F460" s="8" t="e">
        <f>(LEFT(Risultati!AN459,2)&amp;"-")&amp;VLOOKUP((LEFT(Risultati!AN459,2)),ateco!$B$4:$C$93,2,FALSE)</f>
        <v>#N/A</v>
      </c>
      <c r="G460" s="8" t="str">
        <f>SUBSTITUTE((Risultati!AN459&amp;"-"&amp;Risultati!AO459),",",";")</f>
        <v>-</v>
      </c>
      <c r="I460" s="10">
        <f>+Risultati!G459</f>
        <v>0</v>
      </c>
      <c r="J460" s="11" t="str">
        <f t="shared" si="389"/>
        <v>0</v>
      </c>
      <c r="K460" s="12"/>
      <c r="L460" s="10">
        <f>+Risultati!G459+Risultati!H459</f>
        <v>0</v>
      </c>
      <c r="M460" s="11" t="str">
        <f t="shared" si="390"/>
        <v>0</v>
      </c>
      <c r="N460" s="12"/>
      <c r="O460" s="10">
        <f>+Risultati!I459+Risultati!J459</f>
        <v>0</v>
      </c>
      <c r="P460" s="11" t="str">
        <f t="shared" si="391"/>
        <v>0</v>
      </c>
      <c r="Q460" s="12"/>
      <c r="R460" s="13">
        <f t="shared" si="357"/>
        <v>0</v>
      </c>
      <c r="S460" s="11" t="str">
        <f t="shared" si="392"/>
        <v>0</v>
      </c>
      <c r="T460" s="12"/>
      <c r="U460" s="10">
        <f>+Risultati!F459-(Risultati!G459+Risultati!H459)</f>
        <v>0</v>
      </c>
      <c r="V460" s="12" t="str">
        <f t="shared" si="393"/>
        <v>0</v>
      </c>
      <c r="W460" s="12"/>
      <c r="X460" s="10">
        <f t="shared" si="358"/>
        <v>0</v>
      </c>
      <c r="Y460" s="12" t="str">
        <f t="shared" si="394"/>
        <v>0</v>
      </c>
      <c r="Z460" s="12"/>
      <c r="AA460" s="10">
        <f>+Risultati!K459</f>
        <v>0</v>
      </c>
      <c r="AB460" s="12" t="str">
        <f t="shared" si="395"/>
        <v>0</v>
      </c>
      <c r="AC460" s="12"/>
      <c r="AD460" s="10">
        <f>+Risultati!L459</f>
        <v>0</v>
      </c>
      <c r="AE460" s="12" t="str">
        <f t="shared" si="396"/>
        <v>0</v>
      </c>
      <c r="AF460" s="12"/>
      <c r="AG460" s="10">
        <f>+Risultati!M459+Risultati!P459+Risultati!Q459</f>
        <v>0</v>
      </c>
      <c r="AH460" s="12" t="str">
        <f t="shared" si="397"/>
        <v>0</v>
      </c>
      <c r="AI460" s="12"/>
      <c r="AJ460" s="13">
        <f t="shared" si="359"/>
        <v>0</v>
      </c>
      <c r="AK460" s="11" t="str">
        <f t="shared" si="398"/>
        <v>0</v>
      </c>
      <c r="AL460" s="12"/>
      <c r="AM460" s="10">
        <f>+Risultati!N459</f>
        <v>0</v>
      </c>
      <c r="AN460" s="12" t="str">
        <f t="shared" si="399"/>
        <v>0</v>
      </c>
      <c r="AO460" s="12"/>
      <c r="AP460" s="10">
        <f t="shared" si="360"/>
        <v>0</v>
      </c>
      <c r="AQ460" s="41" t="str">
        <f t="shared" si="400"/>
        <v>0</v>
      </c>
      <c r="AR460" s="12"/>
      <c r="AS460" s="10">
        <f>+Risultati!O459</f>
        <v>0</v>
      </c>
      <c r="AT460" s="12" t="str">
        <f t="shared" si="401"/>
        <v>0</v>
      </c>
      <c r="AU460" s="12"/>
      <c r="AV460" s="10">
        <f t="shared" si="361"/>
        <v>0</v>
      </c>
      <c r="AW460" s="12" t="str">
        <f t="shared" si="402"/>
        <v>0</v>
      </c>
      <c r="AX460" s="12"/>
      <c r="AY460" s="10">
        <f>+Risultati!R459+Risultati!S459</f>
        <v>0</v>
      </c>
      <c r="AZ460" s="12" t="str">
        <f t="shared" si="403"/>
        <v>0</v>
      </c>
      <c r="BA460" s="12"/>
      <c r="BB460" s="10">
        <f>+Risultati!T459</f>
        <v>0</v>
      </c>
      <c r="BC460" s="12" t="str">
        <f t="shared" si="404"/>
        <v>0</v>
      </c>
      <c r="BD460" s="12"/>
      <c r="BE460" s="10">
        <f>+Risultati!U459</f>
        <v>0</v>
      </c>
      <c r="BF460" s="12" t="str">
        <f t="shared" si="405"/>
        <v>0</v>
      </c>
      <c r="BG460" s="12"/>
      <c r="BH460" s="10">
        <f t="shared" si="362"/>
        <v>0</v>
      </c>
      <c r="BI460" s="12" t="str">
        <f t="shared" si="406"/>
        <v>0</v>
      </c>
      <c r="BK460" s="16">
        <f>IF(ISNUMBER(Risultati!X459/100),(Risultati!X459/100))</f>
        <v>0</v>
      </c>
      <c r="BL460" s="16">
        <f>IF(ISNUMBER(Risultati!Y459/100),(Risultati!Y459/100))</f>
        <v>0</v>
      </c>
      <c r="BM460" s="16">
        <f>IF(ISNUMBER(Risultati!Z459/100),(Risultati!Z459/100))</f>
        <v>0</v>
      </c>
      <c r="BN460" s="16">
        <f>IF(AND(Risultati!AY459&lt;0,calcoli!AP460&lt;0),-IF(ISNUMBER(Risultati!AA459/100),(Risultati!AA459/100)),IF(ISNUMBER(Risultati!AA459/100),(Risultati!AA459/100)))</f>
        <v>0</v>
      </c>
      <c r="BO460" s="16" t="str">
        <f t="shared" si="387"/>
        <v>0</v>
      </c>
      <c r="BP460" s="16" t="str">
        <f>IF(Risultati!AB459&gt;0,(AV460/Risultati!AB459),"0")</f>
        <v>0</v>
      </c>
      <c r="BQ460" s="16" t="str">
        <f>IF(Risultati!AG459&lt;&gt;0,(BH460/Risultati!AG459),"0")</f>
        <v>0</v>
      </c>
      <c r="BR460" s="16" t="str">
        <f t="shared" si="388"/>
        <v>0</v>
      </c>
      <c r="BS460" s="14" t="str">
        <f>IF(Risultati!AB459&gt;0,(Risultati!G459/Risultati!AB459),"0")</f>
        <v>0</v>
      </c>
      <c r="BT460" s="15" t="str">
        <f>IF(Risultati!AG459&lt;&gt;0,(Risultati!AB459/Risultati!AG459),"0")</f>
        <v>0</v>
      </c>
      <c r="BU460" s="23" t="str">
        <f>IF(AND(Risultati!G459&gt;0,(Risultati!AE459-Risultati!AF459)&gt;=0),((Risultati!AE459-Risultati!AF459)/Risultati!G459*360),"0")</f>
        <v>0</v>
      </c>
      <c r="BV460" s="21" t="str">
        <f>IF(OR(E460="abbreviato",Risultati!G459=0),"0",((Risultati!AC459+Risultati!AD459)/Risultati!G459*360))</f>
        <v>0</v>
      </c>
      <c r="BW460" s="21" t="str">
        <f>IF(OR(E460="abbreviato",Risultati!G459=0,SUM(Risultati!I459+Risultati!K459+Risultati!M459)=0),"0",(((Risultati!AH459+Risultati!AI459)/(Risultati!I459+Risultati!K459+Risultati!N459)*360)))</f>
        <v>0</v>
      </c>
      <c r="BX460" s="16" t="str">
        <f>IF(Risultati!AB459&gt;0,(+Risultati!AG459/Risultati!AB459),"0")</f>
        <v>0</v>
      </c>
      <c r="BY460" s="22" t="str">
        <f>IF(OR(E460="abbreviato",Risultati!G459=0),"0",(((Risultati!AK459-(Risultati!AL459+Risultati!AM459))/Risultati!G459)))</f>
        <v>0</v>
      </c>
      <c r="BZ460" s="16" t="str">
        <f>IF(Risultati!G459&gt;0,(Risultati!AJ459/Risultati!G459),"0")</f>
        <v>0</v>
      </c>
      <c r="CA460" s="8"/>
      <c r="CB460" s="9">
        <f>+Risultati!AP459</f>
        <v>0</v>
      </c>
      <c r="CC460" s="31" t="str">
        <f t="shared" si="363"/>
        <v>0</v>
      </c>
      <c r="CD460" s="9">
        <f>+Risultati!AQ459</f>
        <v>0</v>
      </c>
      <c r="CE460" s="31" t="str">
        <f t="shared" si="364"/>
        <v>0</v>
      </c>
      <c r="CF460" s="9">
        <f>+Risultati!AR459</f>
        <v>0</v>
      </c>
      <c r="CG460" s="31" t="str">
        <f t="shared" si="365"/>
        <v>0</v>
      </c>
      <c r="CH460" s="9">
        <f>+Risultati!AS459</f>
        <v>0</v>
      </c>
      <c r="CI460" s="31" t="str">
        <f t="shared" si="366"/>
        <v>0</v>
      </c>
      <c r="CJ460" s="9">
        <f t="shared" si="367"/>
        <v>0</v>
      </c>
      <c r="CK460" s="31" t="str">
        <f t="shared" si="368"/>
        <v>0</v>
      </c>
      <c r="CL460" s="10">
        <f>+Risultati!AE459+Risultati!AF459</f>
        <v>0</v>
      </c>
      <c r="CM460" s="31" t="str">
        <f t="shared" si="369"/>
        <v>0</v>
      </c>
      <c r="CN460" s="9">
        <f>+Risultati!AT459</f>
        <v>0</v>
      </c>
      <c r="CO460" s="31" t="str">
        <f t="shared" si="370"/>
        <v>0</v>
      </c>
      <c r="CP460" s="9">
        <f>+Risultati!AU459</f>
        <v>0</v>
      </c>
      <c r="CQ460" s="31" t="str">
        <f t="shared" si="371"/>
        <v>0</v>
      </c>
      <c r="CR460" s="9">
        <f>+Risultati!AL459</f>
        <v>0</v>
      </c>
      <c r="CS460" s="31" t="str">
        <f t="shared" si="372"/>
        <v>0</v>
      </c>
      <c r="CT460" s="9">
        <f t="shared" si="373"/>
        <v>0</v>
      </c>
      <c r="CU460" s="31" t="str">
        <f t="shared" si="374"/>
        <v>0</v>
      </c>
      <c r="CV460" s="9">
        <f>+Risultati!AX459</f>
        <v>0</v>
      </c>
      <c r="CW460" s="31" t="str">
        <f t="shared" si="375"/>
        <v>0</v>
      </c>
      <c r="CX460" s="9">
        <f t="shared" si="376"/>
        <v>0</v>
      </c>
      <c r="CY460" s="31" t="str">
        <f t="shared" si="377"/>
        <v>0</v>
      </c>
      <c r="CZ460" s="9">
        <f>+Risultati!AG459</f>
        <v>0</v>
      </c>
      <c r="DA460" s="31" t="str">
        <f t="shared" si="378"/>
        <v>0</v>
      </c>
      <c r="DB460" s="9">
        <f t="shared" si="379"/>
        <v>0</v>
      </c>
      <c r="DC460" s="31" t="str">
        <f t="shared" si="380"/>
        <v>0</v>
      </c>
      <c r="DD460" s="9">
        <f>+Risultati!AV459</f>
        <v>0</v>
      </c>
      <c r="DE460" s="31" t="str">
        <f t="shared" si="381"/>
        <v>0</v>
      </c>
      <c r="DF460" s="9">
        <f>+Risultati!AJ459</f>
        <v>0</v>
      </c>
      <c r="DG460" s="31" t="str">
        <f t="shared" si="382"/>
        <v>0</v>
      </c>
      <c r="DH460" s="9">
        <f t="shared" si="383"/>
        <v>0</v>
      </c>
      <c r="DI460" s="31" t="str">
        <f t="shared" si="384"/>
        <v>0</v>
      </c>
      <c r="DJ460" s="9">
        <f>+Risultati!AW459</f>
        <v>0</v>
      </c>
      <c r="DK460" s="31" t="str">
        <f t="shared" si="385"/>
        <v>0</v>
      </c>
      <c r="DL460" s="10">
        <f t="shared" si="407"/>
        <v>0</v>
      </c>
      <c r="DM460" s="31" t="str">
        <f t="shared" si="386"/>
        <v>0</v>
      </c>
      <c r="DO460" s="30"/>
      <c r="DP460" s="30"/>
    </row>
    <row r="461" spans="1:120" x14ac:dyDescent="0.2">
      <c r="A461" s="5"/>
      <c r="B461" s="6">
        <f>+Risultati!B460</f>
        <v>0</v>
      </c>
      <c r="C461" s="6">
        <f>+Risultati!C460</f>
        <v>0</v>
      </c>
      <c r="D461" s="26" t="str">
        <f>IF(YEAR(Risultati!D460)=1900,(MID(Risultati!$AP$1,29,4)),YEAR(Risultati!D460))</f>
        <v/>
      </c>
      <c r="E461" s="6">
        <f>+Risultati!E460</f>
        <v>0</v>
      </c>
      <c r="F461" s="8" t="e">
        <f>(LEFT(Risultati!AN460,2)&amp;"-")&amp;VLOOKUP((LEFT(Risultati!AN460,2)),ateco!$B$4:$C$93,2,FALSE)</f>
        <v>#N/A</v>
      </c>
      <c r="G461" s="8" t="str">
        <f>SUBSTITUTE((Risultati!AN460&amp;"-"&amp;Risultati!AO460),",",";")</f>
        <v>-</v>
      </c>
      <c r="I461" s="10">
        <f>+Risultati!G460</f>
        <v>0</v>
      </c>
      <c r="J461" s="11" t="str">
        <f t="shared" si="389"/>
        <v>0</v>
      </c>
      <c r="K461" s="12"/>
      <c r="L461" s="10">
        <f>+Risultati!G460+Risultati!H460</f>
        <v>0</v>
      </c>
      <c r="M461" s="11" t="str">
        <f t="shared" si="390"/>
        <v>0</v>
      </c>
      <c r="N461" s="12"/>
      <c r="O461" s="10">
        <f>+Risultati!I460+Risultati!J460</f>
        <v>0</v>
      </c>
      <c r="P461" s="11" t="str">
        <f t="shared" si="391"/>
        <v>0</v>
      </c>
      <c r="Q461" s="12"/>
      <c r="R461" s="13">
        <f t="shared" si="357"/>
        <v>0</v>
      </c>
      <c r="S461" s="11" t="str">
        <f t="shared" si="392"/>
        <v>0</v>
      </c>
      <c r="T461" s="12"/>
      <c r="U461" s="10">
        <f>+Risultati!F460-(Risultati!G460+Risultati!H460)</f>
        <v>0</v>
      </c>
      <c r="V461" s="12" t="str">
        <f t="shared" si="393"/>
        <v>0</v>
      </c>
      <c r="W461" s="12"/>
      <c r="X461" s="10">
        <f t="shared" si="358"/>
        <v>0</v>
      </c>
      <c r="Y461" s="12" t="str">
        <f t="shared" si="394"/>
        <v>0</v>
      </c>
      <c r="Z461" s="12"/>
      <c r="AA461" s="10">
        <f>+Risultati!K460</f>
        <v>0</v>
      </c>
      <c r="AB461" s="12" t="str">
        <f t="shared" si="395"/>
        <v>0</v>
      </c>
      <c r="AC461" s="12"/>
      <c r="AD461" s="10">
        <f>+Risultati!L460</f>
        <v>0</v>
      </c>
      <c r="AE461" s="12" t="str">
        <f t="shared" si="396"/>
        <v>0</v>
      </c>
      <c r="AF461" s="12"/>
      <c r="AG461" s="10">
        <f>+Risultati!M460+Risultati!P460+Risultati!Q460</f>
        <v>0</v>
      </c>
      <c r="AH461" s="12" t="str">
        <f t="shared" si="397"/>
        <v>0</v>
      </c>
      <c r="AI461" s="12"/>
      <c r="AJ461" s="13">
        <f t="shared" si="359"/>
        <v>0</v>
      </c>
      <c r="AK461" s="11" t="str">
        <f t="shared" si="398"/>
        <v>0</v>
      </c>
      <c r="AL461" s="12"/>
      <c r="AM461" s="10">
        <f>+Risultati!N460</f>
        <v>0</v>
      </c>
      <c r="AN461" s="12" t="str">
        <f t="shared" si="399"/>
        <v>0</v>
      </c>
      <c r="AO461" s="12"/>
      <c r="AP461" s="10">
        <f t="shared" si="360"/>
        <v>0</v>
      </c>
      <c r="AQ461" s="41" t="str">
        <f t="shared" si="400"/>
        <v>0</v>
      </c>
      <c r="AR461" s="12"/>
      <c r="AS461" s="10">
        <f>+Risultati!O460</f>
        <v>0</v>
      </c>
      <c r="AT461" s="12" t="str">
        <f t="shared" si="401"/>
        <v>0</v>
      </c>
      <c r="AU461" s="12"/>
      <c r="AV461" s="10">
        <f t="shared" si="361"/>
        <v>0</v>
      </c>
      <c r="AW461" s="12" t="str">
        <f t="shared" si="402"/>
        <v>0</v>
      </c>
      <c r="AX461" s="12"/>
      <c r="AY461" s="10">
        <f>+Risultati!R460+Risultati!S460</f>
        <v>0</v>
      </c>
      <c r="AZ461" s="12" t="str">
        <f t="shared" si="403"/>
        <v>0</v>
      </c>
      <c r="BA461" s="12"/>
      <c r="BB461" s="10">
        <f>+Risultati!T460</f>
        <v>0</v>
      </c>
      <c r="BC461" s="12" t="str">
        <f t="shared" si="404"/>
        <v>0</v>
      </c>
      <c r="BD461" s="12"/>
      <c r="BE461" s="10">
        <f>+Risultati!U460</f>
        <v>0</v>
      </c>
      <c r="BF461" s="12" t="str">
        <f t="shared" si="405"/>
        <v>0</v>
      </c>
      <c r="BG461" s="12"/>
      <c r="BH461" s="10">
        <f t="shared" si="362"/>
        <v>0</v>
      </c>
      <c r="BI461" s="12" t="str">
        <f t="shared" si="406"/>
        <v>0</v>
      </c>
      <c r="BK461" s="16">
        <f>IF(ISNUMBER(Risultati!X460/100),(Risultati!X460/100))</f>
        <v>0</v>
      </c>
      <c r="BL461" s="16">
        <f>IF(ISNUMBER(Risultati!Y460/100),(Risultati!Y460/100))</f>
        <v>0</v>
      </c>
      <c r="BM461" s="16">
        <f>IF(ISNUMBER(Risultati!Z460/100),(Risultati!Z460/100))</f>
        <v>0</v>
      </c>
      <c r="BN461" s="16">
        <f>IF(AND(Risultati!AY460&lt;0,calcoli!AP461&lt;0),-IF(ISNUMBER(Risultati!AA460/100),(Risultati!AA460/100)),IF(ISNUMBER(Risultati!AA460/100),(Risultati!AA460/100)))</f>
        <v>0</v>
      </c>
      <c r="BO461" s="16" t="str">
        <f t="shared" si="387"/>
        <v>0</v>
      </c>
      <c r="BP461" s="16" t="str">
        <f>IF(Risultati!AB460&gt;0,(AV461/Risultati!AB460),"0")</f>
        <v>0</v>
      </c>
      <c r="BQ461" s="16" t="str">
        <f>IF(Risultati!AG460&lt;&gt;0,(BH461/Risultati!AG460),"0")</f>
        <v>0</v>
      </c>
      <c r="BR461" s="16" t="str">
        <f t="shared" si="388"/>
        <v>0</v>
      </c>
      <c r="BS461" s="14" t="str">
        <f>IF(Risultati!AB460&gt;0,(Risultati!G460/Risultati!AB460),"0")</f>
        <v>0</v>
      </c>
      <c r="BT461" s="15" t="str">
        <f>IF(Risultati!AG460&lt;&gt;0,(Risultati!AB460/Risultati!AG460),"0")</f>
        <v>0</v>
      </c>
      <c r="BU461" s="23" t="str">
        <f>IF(AND(Risultati!G460&gt;0,(Risultati!AE460-Risultati!AF460)&gt;=0),((Risultati!AE460-Risultati!AF460)/Risultati!G460*360),"0")</f>
        <v>0</v>
      </c>
      <c r="BV461" s="21" t="str">
        <f>IF(OR(E461="abbreviato",Risultati!G460=0),"0",((Risultati!AC460+Risultati!AD460)/Risultati!G460*360))</f>
        <v>0</v>
      </c>
      <c r="BW461" s="21" t="str">
        <f>IF(OR(E461="abbreviato",Risultati!G460=0,SUM(Risultati!I460+Risultati!K460+Risultati!M460)=0),"0",(((Risultati!AH460+Risultati!AI460)/(Risultati!I460+Risultati!K460+Risultati!N460)*360)))</f>
        <v>0</v>
      </c>
      <c r="BX461" s="16" t="str">
        <f>IF(Risultati!AB460&gt;0,(+Risultati!AG460/Risultati!AB460),"0")</f>
        <v>0</v>
      </c>
      <c r="BY461" s="22" t="str">
        <f>IF(OR(E461="abbreviato",Risultati!G460=0),"0",(((Risultati!AK460-(Risultati!AL460+Risultati!AM460))/Risultati!G460)))</f>
        <v>0</v>
      </c>
      <c r="BZ461" s="16" t="str">
        <f>IF(Risultati!G460&gt;0,(Risultati!AJ460/Risultati!G460),"0")</f>
        <v>0</v>
      </c>
      <c r="CA461" s="8"/>
      <c r="CB461" s="9">
        <f>+Risultati!AP460</f>
        <v>0</v>
      </c>
      <c r="CC461" s="31" t="str">
        <f t="shared" si="363"/>
        <v>0</v>
      </c>
      <c r="CD461" s="9">
        <f>+Risultati!AQ460</f>
        <v>0</v>
      </c>
      <c r="CE461" s="31" t="str">
        <f t="shared" si="364"/>
        <v>0</v>
      </c>
      <c r="CF461" s="9">
        <f>+Risultati!AR460</f>
        <v>0</v>
      </c>
      <c r="CG461" s="31" t="str">
        <f t="shared" si="365"/>
        <v>0</v>
      </c>
      <c r="CH461" s="9">
        <f>+Risultati!AS460</f>
        <v>0</v>
      </c>
      <c r="CI461" s="31" t="str">
        <f t="shared" si="366"/>
        <v>0</v>
      </c>
      <c r="CJ461" s="9">
        <f t="shared" si="367"/>
        <v>0</v>
      </c>
      <c r="CK461" s="31" t="str">
        <f t="shared" si="368"/>
        <v>0</v>
      </c>
      <c r="CL461" s="10">
        <f>+Risultati!AE460+Risultati!AF460</f>
        <v>0</v>
      </c>
      <c r="CM461" s="31" t="str">
        <f t="shared" si="369"/>
        <v>0</v>
      </c>
      <c r="CN461" s="9">
        <f>+Risultati!AT460</f>
        <v>0</v>
      </c>
      <c r="CO461" s="31" t="str">
        <f t="shared" si="370"/>
        <v>0</v>
      </c>
      <c r="CP461" s="9">
        <f>+Risultati!AU460</f>
        <v>0</v>
      </c>
      <c r="CQ461" s="31" t="str">
        <f t="shared" si="371"/>
        <v>0</v>
      </c>
      <c r="CR461" s="9">
        <f>+Risultati!AL460</f>
        <v>0</v>
      </c>
      <c r="CS461" s="31" t="str">
        <f t="shared" si="372"/>
        <v>0</v>
      </c>
      <c r="CT461" s="9">
        <f t="shared" si="373"/>
        <v>0</v>
      </c>
      <c r="CU461" s="31" t="str">
        <f t="shared" si="374"/>
        <v>0</v>
      </c>
      <c r="CV461" s="9">
        <f>+Risultati!AX460</f>
        <v>0</v>
      </c>
      <c r="CW461" s="31" t="str">
        <f t="shared" si="375"/>
        <v>0</v>
      </c>
      <c r="CX461" s="9">
        <f t="shared" si="376"/>
        <v>0</v>
      </c>
      <c r="CY461" s="31" t="str">
        <f t="shared" si="377"/>
        <v>0</v>
      </c>
      <c r="CZ461" s="9">
        <f>+Risultati!AG460</f>
        <v>0</v>
      </c>
      <c r="DA461" s="31" t="str">
        <f t="shared" si="378"/>
        <v>0</v>
      </c>
      <c r="DB461" s="9">
        <f t="shared" si="379"/>
        <v>0</v>
      </c>
      <c r="DC461" s="31" t="str">
        <f t="shared" si="380"/>
        <v>0</v>
      </c>
      <c r="DD461" s="9">
        <f>+Risultati!AV460</f>
        <v>0</v>
      </c>
      <c r="DE461" s="31" t="str">
        <f t="shared" si="381"/>
        <v>0</v>
      </c>
      <c r="DF461" s="9">
        <f>+Risultati!AJ460</f>
        <v>0</v>
      </c>
      <c r="DG461" s="31" t="str">
        <f t="shared" si="382"/>
        <v>0</v>
      </c>
      <c r="DH461" s="9">
        <f t="shared" si="383"/>
        <v>0</v>
      </c>
      <c r="DI461" s="31" t="str">
        <f t="shared" si="384"/>
        <v>0</v>
      </c>
      <c r="DJ461" s="9">
        <f>+Risultati!AW460</f>
        <v>0</v>
      </c>
      <c r="DK461" s="31" t="str">
        <f t="shared" si="385"/>
        <v>0</v>
      </c>
      <c r="DL461" s="10">
        <f t="shared" si="407"/>
        <v>0</v>
      </c>
      <c r="DM461" s="31" t="str">
        <f t="shared" si="386"/>
        <v>0</v>
      </c>
      <c r="DO461" s="30"/>
      <c r="DP461" s="30"/>
    </row>
    <row r="462" spans="1:120" x14ac:dyDescent="0.2">
      <c r="A462" s="5"/>
      <c r="B462" s="6">
        <f>+Risultati!B461</f>
        <v>0</v>
      </c>
      <c r="C462" s="6">
        <f>+Risultati!C461</f>
        <v>0</v>
      </c>
      <c r="D462" s="26" t="str">
        <f>IF(YEAR(Risultati!D461)=1900,(MID(Risultati!$AP$1,29,4)),YEAR(Risultati!D461))</f>
        <v/>
      </c>
      <c r="E462" s="6">
        <f>+Risultati!E461</f>
        <v>0</v>
      </c>
      <c r="F462" s="8" t="e">
        <f>(LEFT(Risultati!AN461,2)&amp;"-")&amp;VLOOKUP((LEFT(Risultati!AN461,2)),ateco!$B$4:$C$93,2,FALSE)</f>
        <v>#N/A</v>
      </c>
      <c r="G462" s="8" t="str">
        <f>SUBSTITUTE((Risultati!AN461&amp;"-"&amp;Risultati!AO461),",",";")</f>
        <v>-</v>
      </c>
      <c r="I462" s="10">
        <f>+Risultati!G461</f>
        <v>0</v>
      </c>
      <c r="J462" s="11" t="str">
        <f t="shared" si="389"/>
        <v>0</v>
      </c>
      <c r="K462" s="12"/>
      <c r="L462" s="10">
        <f>+Risultati!G461+Risultati!H461</f>
        <v>0</v>
      </c>
      <c r="M462" s="11" t="str">
        <f t="shared" si="390"/>
        <v>0</v>
      </c>
      <c r="N462" s="12"/>
      <c r="O462" s="10">
        <f>+Risultati!I461+Risultati!J461</f>
        <v>0</v>
      </c>
      <c r="P462" s="11" t="str">
        <f t="shared" si="391"/>
        <v>0</v>
      </c>
      <c r="Q462" s="12"/>
      <c r="R462" s="13">
        <f t="shared" si="357"/>
        <v>0</v>
      </c>
      <c r="S462" s="11" t="str">
        <f t="shared" si="392"/>
        <v>0</v>
      </c>
      <c r="T462" s="12"/>
      <c r="U462" s="10">
        <f>+Risultati!F461-(Risultati!G461+Risultati!H461)</f>
        <v>0</v>
      </c>
      <c r="V462" s="12" t="str">
        <f t="shared" si="393"/>
        <v>0</v>
      </c>
      <c r="W462" s="12"/>
      <c r="X462" s="10">
        <f t="shared" si="358"/>
        <v>0</v>
      </c>
      <c r="Y462" s="12" t="str">
        <f t="shared" si="394"/>
        <v>0</v>
      </c>
      <c r="Z462" s="12"/>
      <c r="AA462" s="10">
        <f>+Risultati!K461</f>
        <v>0</v>
      </c>
      <c r="AB462" s="12" t="str">
        <f t="shared" si="395"/>
        <v>0</v>
      </c>
      <c r="AC462" s="12"/>
      <c r="AD462" s="10">
        <f>+Risultati!L461</f>
        <v>0</v>
      </c>
      <c r="AE462" s="12" t="str">
        <f t="shared" si="396"/>
        <v>0</v>
      </c>
      <c r="AF462" s="12"/>
      <c r="AG462" s="10">
        <f>+Risultati!M461+Risultati!P461+Risultati!Q461</f>
        <v>0</v>
      </c>
      <c r="AH462" s="12" t="str">
        <f t="shared" si="397"/>
        <v>0</v>
      </c>
      <c r="AI462" s="12"/>
      <c r="AJ462" s="13">
        <f t="shared" si="359"/>
        <v>0</v>
      </c>
      <c r="AK462" s="11" t="str">
        <f t="shared" si="398"/>
        <v>0</v>
      </c>
      <c r="AL462" s="12"/>
      <c r="AM462" s="10">
        <f>+Risultati!N461</f>
        <v>0</v>
      </c>
      <c r="AN462" s="12" t="str">
        <f t="shared" si="399"/>
        <v>0</v>
      </c>
      <c r="AO462" s="12"/>
      <c r="AP462" s="10">
        <f t="shared" si="360"/>
        <v>0</v>
      </c>
      <c r="AQ462" s="41" t="str">
        <f t="shared" si="400"/>
        <v>0</v>
      </c>
      <c r="AR462" s="12"/>
      <c r="AS462" s="10">
        <f>+Risultati!O461</f>
        <v>0</v>
      </c>
      <c r="AT462" s="12" t="str">
        <f t="shared" si="401"/>
        <v>0</v>
      </c>
      <c r="AU462" s="12"/>
      <c r="AV462" s="10">
        <f t="shared" si="361"/>
        <v>0</v>
      </c>
      <c r="AW462" s="12" t="str">
        <f t="shared" si="402"/>
        <v>0</v>
      </c>
      <c r="AX462" s="12"/>
      <c r="AY462" s="10">
        <f>+Risultati!R461+Risultati!S461</f>
        <v>0</v>
      </c>
      <c r="AZ462" s="12" t="str">
        <f t="shared" si="403"/>
        <v>0</v>
      </c>
      <c r="BA462" s="12"/>
      <c r="BB462" s="10">
        <f>+Risultati!T461</f>
        <v>0</v>
      </c>
      <c r="BC462" s="12" t="str">
        <f t="shared" si="404"/>
        <v>0</v>
      </c>
      <c r="BD462" s="12"/>
      <c r="BE462" s="10">
        <f>+Risultati!U461</f>
        <v>0</v>
      </c>
      <c r="BF462" s="12" t="str">
        <f t="shared" si="405"/>
        <v>0</v>
      </c>
      <c r="BG462" s="12"/>
      <c r="BH462" s="10">
        <f t="shared" si="362"/>
        <v>0</v>
      </c>
      <c r="BI462" s="12" t="str">
        <f t="shared" si="406"/>
        <v>0</v>
      </c>
      <c r="BK462" s="16">
        <f>IF(ISNUMBER(Risultati!X461/100),(Risultati!X461/100))</f>
        <v>0</v>
      </c>
      <c r="BL462" s="16">
        <f>IF(ISNUMBER(Risultati!Y461/100),(Risultati!Y461/100))</f>
        <v>0</v>
      </c>
      <c r="BM462" s="16">
        <f>IF(ISNUMBER(Risultati!Z461/100),(Risultati!Z461/100))</f>
        <v>0</v>
      </c>
      <c r="BN462" s="16">
        <f>IF(AND(Risultati!AY461&lt;0,calcoli!AP462&lt;0),-IF(ISNUMBER(Risultati!AA461/100),(Risultati!AA461/100)),IF(ISNUMBER(Risultati!AA461/100),(Risultati!AA461/100)))</f>
        <v>0</v>
      </c>
      <c r="BO462" s="16" t="str">
        <f t="shared" si="387"/>
        <v>0</v>
      </c>
      <c r="BP462" s="16" t="str">
        <f>IF(Risultati!AB461&gt;0,(AV462/Risultati!AB461),"0")</f>
        <v>0</v>
      </c>
      <c r="BQ462" s="16" t="str">
        <f>IF(Risultati!AG461&lt;&gt;0,(BH462/Risultati!AG461),"0")</f>
        <v>0</v>
      </c>
      <c r="BR462" s="16" t="str">
        <f t="shared" si="388"/>
        <v>0</v>
      </c>
      <c r="BS462" s="14" t="str">
        <f>IF(Risultati!AB461&gt;0,(Risultati!G461/Risultati!AB461),"0")</f>
        <v>0</v>
      </c>
      <c r="BT462" s="15" t="str">
        <f>IF(Risultati!AG461&lt;&gt;0,(Risultati!AB461/Risultati!AG461),"0")</f>
        <v>0</v>
      </c>
      <c r="BU462" s="23" t="str">
        <f>IF(AND(Risultati!G461&gt;0,(Risultati!AE461-Risultati!AF461)&gt;=0),((Risultati!AE461-Risultati!AF461)/Risultati!G461*360),"0")</f>
        <v>0</v>
      </c>
      <c r="BV462" s="21" t="str">
        <f>IF(OR(E462="abbreviato",Risultati!G461=0),"0",((Risultati!AC461+Risultati!AD461)/Risultati!G461*360))</f>
        <v>0</v>
      </c>
      <c r="BW462" s="21" t="str">
        <f>IF(OR(E462="abbreviato",Risultati!G461=0,SUM(Risultati!I461+Risultati!K461+Risultati!M461)=0),"0",(((Risultati!AH461+Risultati!AI461)/(Risultati!I461+Risultati!K461+Risultati!N461)*360)))</f>
        <v>0</v>
      </c>
      <c r="BX462" s="16" t="str">
        <f>IF(Risultati!AB461&gt;0,(+Risultati!AG461/Risultati!AB461),"0")</f>
        <v>0</v>
      </c>
      <c r="BY462" s="22" t="str">
        <f>IF(OR(E462="abbreviato",Risultati!G461=0),"0",(((Risultati!AK461-(Risultati!AL461+Risultati!AM461))/Risultati!G461)))</f>
        <v>0</v>
      </c>
      <c r="BZ462" s="16" t="str">
        <f>IF(Risultati!G461&gt;0,(Risultati!AJ461/Risultati!G461),"0")</f>
        <v>0</v>
      </c>
      <c r="CA462" s="8"/>
      <c r="CB462" s="9">
        <f>+Risultati!AP461</f>
        <v>0</v>
      </c>
      <c r="CC462" s="31" t="str">
        <f t="shared" si="363"/>
        <v>0</v>
      </c>
      <c r="CD462" s="9">
        <f>+Risultati!AQ461</f>
        <v>0</v>
      </c>
      <c r="CE462" s="31" t="str">
        <f t="shared" si="364"/>
        <v>0</v>
      </c>
      <c r="CF462" s="9">
        <f>+Risultati!AR461</f>
        <v>0</v>
      </c>
      <c r="CG462" s="31" t="str">
        <f t="shared" si="365"/>
        <v>0</v>
      </c>
      <c r="CH462" s="9">
        <f>+Risultati!AS461</f>
        <v>0</v>
      </c>
      <c r="CI462" s="31" t="str">
        <f t="shared" si="366"/>
        <v>0</v>
      </c>
      <c r="CJ462" s="9">
        <f t="shared" si="367"/>
        <v>0</v>
      </c>
      <c r="CK462" s="31" t="str">
        <f t="shared" si="368"/>
        <v>0</v>
      </c>
      <c r="CL462" s="10">
        <f>+Risultati!AE461+Risultati!AF461</f>
        <v>0</v>
      </c>
      <c r="CM462" s="31" t="str">
        <f t="shared" si="369"/>
        <v>0</v>
      </c>
      <c r="CN462" s="9">
        <f>+Risultati!AT461</f>
        <v>0</v>
      </c>
      <c r="CO462" s="31" t="str">
        <f t="shared" si="370"/>
        <v>0</v>
      </c>
      <c r="CP462" s="9">
        <f>+Risultati!AU461</f>
        <v>0</v>
      </c>
      <c r="CQ462" s="31" t="str">
        <f t="shared" si="371"/>
        <v>0</v>
      </c>
      <c r="CR462" s="9">
        <f>+Risultati!AL461</f>
        <v>0</v>
      </c>
      <c r="CS462" s="31" t="str">
        <f t="shared" si="372"/>
        <v>0</v>
      </c>
      <c r="CT462" s="9">
        <f t="shared" si="373"/>
        <v>0</v>
      </c>
      <c r="CU462" s="31" t="str">
        <f t="shared" si="374"/>
        <v>0</v>
      </c>
      <c r="CV462" s="9">
        <f>+Risultati!AX461</f>
        <v>0</v>
      </c>
      <c r="CW462" s="31" t="str">
        <f t="shared" si="375"/>
        <v>0</v>
      </c>
      <c r="CX462" s="9">
        <f t="shared" si="376"/>
        <v>0</v>
      </c>
      <c r="CY462" s="31" t="str">
        <f t="shared" si="377"/>
        <v>0</v>
      </c>
      <c r="CZ462" s="9">
        <f>+Risultati!AG461</f>
        <v>0</v>
      </c>
      <c r="DA462" s="31" t="str">
        <f t="shared" si="378"/>
        <v>0</v>
      </c>
      <c r="DB462" s="9">
        <f t="shared" si="379"/>
        <v>0</v>
      </c>
      <c r="DC462" s="31" t="str">
        <f t="shared" si="380"/>
        <v>0</v>
      </c>
      <c r="DD462" s="9">
        <f>+Risultati!AV461</f>
        <v>0</v>
      </c>
      <c r="DE462" s="31" t="str">
        <f t="shared" si="381"/>
        <v>0</v>
      </c>
      <c r="DF462" s="9">
        <f>+Risultati!AJ461</f>
        <v>0</v>
      </c>
      <c r="DG462" s="31" t="str">
        <f t="shared" si="382"/>
        <v>0</v>
      </c>
      <c r="DH462" s="9">
        <f t="shared" si="383"/>
        <v>0</v>
      </c>
      <c r="DI462" s="31" t="str">
        <f t="shared" si="384"/>
        <v>0</v>
      </c>
      <c r="DJ462" s="9">
        <f>+Risultati!AW461</f>
        <v>0</v>
      </c>
      <c r="DK462" s="31" t="str">
        <f t="shared" si="385"/>
        <v>0</v>
      </c>
      <c r="DL462" s="10">
        <f t="shared" si="407"/>
        <v>0</v>
      </c>
      <c r="DM462" s="31" t="str">
        <f t="shared" si="386"/>
        <v>0</v>
      </c>
      <c r="DO462" s="30"/>
      <c r="DP462" s="30"/>
    </row>
    <row r="463" spans="1:120" x14ac:dyDescent="0.2">
      <c r="A463" s="5"/>
      <c r="B463" s="6">
        <f>+Risultati!B462</f>
        <v>0</v>
      </c>
      <c r="C463" s="6">
        <f>+Risultati!C462</f>
        <v>0</v>
      </c>
      <c r="D463" s="26" t="str">
        <f>IF(YEAR(Risultati!D462)=1900,(MID(Risultati!$AP$1,29,4)),YEAR(Risultati!D462))</f>
        <v/>
      </c>
      <c r="E463" s="6">
        <f>+Risultati!E462</f>
        <v>0</v>
      </c>
      <c r="F463" s="8" t="e">
        <f>(LEFT(Risultati!AN462,2)&amp;"-")&amp;VLOOKUP((LEFT(Risultati!AN462,2)),ateco!$B$4:$C$93,2,FALSE)</f>
        <v>#N/A</v>
      </c>
      <c r="G463" s="8" t="str">
        <f>SUBSTITUTE((Risultati!AN462&amp;"-"&amp;Risultati!AO462),",",";")</f>
        <v>-</v>
      </c>
      <c r="I463" s="10">
        <f>+Risultati!G462</f>
        <v>0</v>
      </c>
      <c r="J463" s="11" t="str">
        <f t="shared" si="389"/>
        <v>0</v>
      </c>
      <c r="K463" s="12"/>
      <c r="L463" s="10">
        <f>+Risultati!G462+Risultati!H462</f>
        <v>0</v>
      </c>
      <c r="M463" s="11" t="str">
        <f t="shared" si="390"/>
        <v>0</v>
      </c>
      <c r="N463" s="12"/>
      <c r="O463" s="10">
        <f>+Risultati!I462+Risultati!J462</f>
        <v>0</v>
      </c>
      <c r="P463" s="11" t="str">
        <f t="shared" si="391"/>
        <v>0</v>
      </c>
      <c r="Q463" s="12"/>
      <c r="R463" s="13">
        <f t="shared" si="357"/>
        <v>0</v>
      </c>
      <c r="S463" s="11" t="str">
        <f t="shared" si="392"/>
        <v>0</v>
      </c>
      <c r="T463" s="12"/>
      <c r="U463" s="10">
        <f>+Risultati!F462-(Risultati!G462+Risultati!H462)</f>
        <v>0</v>
      </c>
      <c r="V463" s="12" t="str">
        <f t="shared" si="393"/>
        <v>0</v>
      </c>
      <c r="W463" s="12"/>
      <c r="X463" s="10">
        <f t="shared" si="358"/>
        <v>0</v>
      </c>
      <c r="Y463" s="12" t="str">
        <f t="shared" si="394"/>
        <v>0</v>
      </c>
      <c r="Z463" s="12"/>
      <c r="AA463" s="10">
        <f>+Risultati!K462</f>
        <v>0</v>
      </c>
      <c r="AB463" s="12" t="str">
        <f t="shared" si="395"/>
        <v>0</v>
      </c>
      <c r="AC463" s="12"/>
      <c r="AD463" s="10">
        <f>+Risultati!L462</f>
        <v>0</v>
      </c>
      <c r="AE463" s="12" t="str">
        <f t="shared" si="396"/>
        <v>0</v>
      </c>
      <c r="AF463" s="12"/>
      <c r="AG463" s="10">
        <f>+Risultati!M462+Risultati!P462+Risultati!Q462</f>
        <v>0</v>
      </c>
      <c r="AH463" s="12" t="str">
        <f t="shared" si="397"/>
        <v>0</v>
      </c>
      <c r="AI463" s="12"/>
      <c r="AJ463" s="13">
        <f t="shared" si="359"/>
        <v>0</v>
      </c>
      <c r="AK463" s="11" t="str">
        <f t="shared" si="398"/>
        <v>0</v>
      </c>
      <c r="AL463" s="12"/>
      <c r="AM463" s="10">
        <f>+Risultati!N462</f>
        <v>0</v>
      </c>
      <c r="AN463" s="12" t="str">
        <f t="shared" si="399"/>
        <v>0</v>
      </c>
      <c r="AO463" s="12"/>
      <c r="AP463" s="10">
        <f t="shared" si="360"/>
        <v>0</v>
      </c>
      <c r="AQ463" s="41" t="str">
        <f t="shared" si="400"/>
        <v>0</v>
      </c>
      <c r="AR463" s="12"/>
      <c r="AS463" s="10">
        <f>+Risultati!O462</f>
        <v>0</v>
      </c>
      <c r="AT463" s="12" t="str">
        <f t="shared" si="401"/>
        <v>0</v>
      </c>
      <c r="AU463" s="12"/>
      <c r="AV463" s="10">
        <f t="shared" si="361"/>
        <v>0</v>
      </c>
      <c r="AW463" s="12" t="str">
        <f t="shared" si="402"/>
        <v>0</v>
      </c>
      <c r="AX463" s="12"/>
      <c r="AY463" s="10">
        <f>+Risultati!R462+Risultati!S462</f>
        <v>0</v>
      </c>
      <c r="AZ463" s="12" t="str">
        <f t="shared" si="403"/>
        <v>0</v>
      </c>
      <c r="BA463" s="12"/>
      <c r="BB463" s="10">
        <f>+Risultati!T462</f>
        <v>0</v>
      </c>
      <c r="BC463" s="12" t="str">
        <f t="shared" si="404"/>
        <v>0</v>
      </c>
      <c r="BD463" s="12"/>
      <c r="BE463" s="10">
        <f>+Risultati!U462</f>
        <v>0</v>
      </c>
      <c r="BF463" s="12" t="str">
        <f t="shared" si="405"/>
        <v>0</v>
      </c>
      <c r="BG463" s="12"/>
      <c r="BH463" s="10">
        <f t="shared" si="362"/>
        <v>0</v>
      </c>
      <c r="BI463" s="12" t="str">
        <f t="shared" si="406"/>
        <v>0</v>
      </c>
      <c r="BK463" s="16">
        <f>IF(ISNUMBER(Risultati!X462/100),(Risultati!X462/100))</f>
        <v>0</v>
      </c>
      <c r="BL463" s="16">
        <f>IF(ISNUMBER(Risultati!Y462/100),(Risultati!Y462/100))</f>
        <v>0</v>
      </c>
      <c r="BM463" s="16">
        <f>IF(ISNUMBER(Risultati!Z462/100),(Risultati!Z462/100))</f>
        <v>0</v>
      </c>
      <c r="BN463" s="16">
        <f>IF(AND(Risultati!AY462&lt;0,calcoli!AP463&lt;0),-IF(ISNUMBER(Risultati!AA462/100),(Risultati!AA462/100)),IF(ISNUMBER(Risultati!AA462/100),(Risultati!AA462/100)))</f>
        <v>0</v>
      </c>
      <c r="BO463" s="16" t="str">
        <f t="shared" si="387"/>
        <v>0</v>
      </c>
      <c r="BP463" s="16" t="str">
        <f>IF(Risultati!AB462&gt;0,(AV463/Risultati!AB462),"0")</f>
        <v>0</v>
      </c>
      <c r="BQ463" s="16" t="str">
        <f>IF(Risultati!AG462&lt;&gt;0,(BH463/Risultati!AG462),"0")</f>
        <v>0</v>
      </c>
      <c r="BR463" s="16" t="str">
        <f t="shared" si="388"/>
        <v>0</v>
      </c>
      <c r="BS463" s="14" t="str">
        <f>IF(Risultati!AB462&gt;0,(Risultati!G462/Risultati!AB462),"0")</f>
        <v>0</v>
      </c>
      <c r="BT463" s="15" t="str">
        <f>IF(Risultati!AG462&lt;&gt;0,(Risultati!AB462/Risultati!AG462),"0")</f>
        <v>0</v>
      </c>
      <c r="BU463" s="23" t="str">
        <f>IF(AND(Risultati!G462&gt;0,(Risultati!AE462-Risultati!AF462)&gt;=0),((Risultati!AE462-Risultati!AF462)/Risultati!G462*360),"0")</f>
        <v>0</v>
      </c>
      <c r="BV463" s="21" t="str">
        <f>IF(OR(E463="abbreviato",Risultati!G462=0),"0",((Risultati!AC462+Risultati!AD462)/Risultati!G462*360))</f>
        <v>0</v>
      </c>
      <c r="BW463" s="21" t="str">
        <f>IF(OR(E463="abbreviato",Risultati!G462=0,SUM(Risultati!I462+Risultati!K462+Risultati!M462)=0),"0",(((Risultati!AH462+Risultati!AI462)/(Risultati!I462+Risultati!K462+Risultati!N462)*360)))</f>
        <v>0</v>
      </c>
      <c r="BX463" s="16" t="str">
        <f>IF(Risultati!AB462&gt;0,(+Risultati!AG462/Risultati!AB462),"0")</f>
        <v>0</v>
      </c>
      <c r="BY463" s="22" t="str">
        <f>IF(OR(E463="abbreviato",Risultati!G462=0),"0",(((Risultati!AK462-(Risultati!AL462+Risultati!AM462))/Risultati!G462)))</f>
        <v>0</v>
      </c>
      <c r="BZ463" s="16" t="str">
        <f>IF(Risultati!G462&gt;0,(Risultati!AJ462/Risultati!G462),"0")</f>
        <v>0</v>
      </c>
      <c r="CA463" s="8"/>
      <c r="CB463" s="9">
        <f>+Risultati!AP462</f>
        <v>0</v>
      </c>
      <c r="CC463" s="31" t="str">
        <f t="shared" si="363"/>
        <v>0</v>
      </c>
      <c r="CD463" s="9">
        <f>+Risultati!AQ462</f>
        <v>0</v>
      </c>
      <c r="CE463" s="31" t="str">
        <f t="shared" si="364"/>
        <v>0</v>
      </c>
      <c r="CF463" s="9">
        <f>+Risultati!AR462</f>
        <v>0</v>
      </c>
      <c r="CG463" s="31" t="str">
        <f t="shared" si="365"/>
        <v>0</v>
      </c>
      <c r="CH463" s="9">
        <f>+Risultati!AS462</f>
        <v>0</v>
      </c>
      <c r="CI463" s="31" t="str">
        <f t="shared" si="366"/>
        <v>0</v>
      </c>
      <c r="CJ463" s="9">
        <f t="shared" si="367"/>
        <v>0</v>
      </c>
      <c r="CK463" s="31" t="str">
        <f t="shared" si="368"/>
        <v>0</v>
      </c>
      <c r="CL463" s="10">
        <f>+Risultati!AE462+Risultati!AF462</f>
        <v>0</v>
      </c>
      <c r="CM463" s="31" t="str">
        <f t="shared" si="369"/>
        <v>0</v>
      </c>
      <c r="CN463" s="9">
        <f>+Risultati!AT462</f>
        <v>0</v>
      </c>
      <c r="CO463" s="31" t="str">
        <f t="shared" si="370"/>
        <v>0</v>
      </c>
      <c r="CP463" s="9">
        <f>+Risultati!AU462</f>
        <v>0</v>
      </c>
      <c r="CQ463" s="31" t="str">
        <f t="shared" si="371"/>
        <v>0</v>
      </c>
      <c r="CR463" s="9">
        <f>+Risultati!AL462</f>
        <v>0</v>
      </c>
      <c r="CS463" s="31" t="str">
        <f t="shared" si="372"/>
        <v>0</v>
      </c>
      <c r="CT463" s="9">
        <f t="shared" si="373"/>
        <v>0</v>
      </c>
      <c r="CU463" s="31" t="str">
        <f t="shared" si="374"/>
        <v>0</v>
      </c>
      <c r="CV463" s="9">
        <f>+Risultati!AX462</f>
        <v>0</v>
      </c>
      <c r="CW463" s="31" t="str">
        <f t="shared" si="375"/>
        <v>0</v>
      </c>
      <c r="CX463" s="9">
        <f t="shared" si="376"/>
        <v>0</v>
      </c>
      <c r="CY463" s="31" t="str">
        <f t="shared" si="377"/>
        <v>0</v>
      </c>
      <c r="CZ463" s="9">
        <f>+Risultati!AG462</f>
        <v>0</v>
      </c>
      <c r="DA463" s="31" t="str">
        <f t="shared" si="378"/>
        <v>0</v>
      </c>
      <c r="DB463" s="9">
        <f t="shared" si="379"/>
        <v>0</v>
      </c>
      <c r="DC463" s="31" t="str">
        <f t="shared" si="380"/>
        <v>0</v>
      </c>
      <c r="DD463" s="9">
        <f>+Risultati!AV462</f>
        <v>0</v>
      </c>
      <c r="DE463" s="31" t="str">
        <f t="shared" si="381"/>
        <v>0</v>
      </c>
      <c r="DF463" s="9">
        <f>+Risultati!AJ462</f>
        <v>0</v>
      </c>
      <c r="DG463" s="31" t="str">
        <f t="shared" si="382"/>
        <v>0</v>
      </c>
      <c r="DH463" s="9">
        <f t="shared" si="383"/>
        <v>0</v>
      </c>
      <c r="DI463" s="31" t="str">
        <f t="shared" si="384"/>
        <v>0</v>
      </c>
      <c r="DJ463" s="9">
        <f>+Risultati!AW462</f>
        <v>0</v>
      </c>
      <c r="DK463" s="31" t="str">
        <f t="shared" si="385"/>
        <v>0</v>
      </c>
      <c r="DL463" s="10">
        <f t="shared" si="407"/>
        <v>0</v>
      </c>
      <c r="DM463" s="31" t="str">
        <f t="shared" si="386"/>
        <v>0</v>
      </c>
      <c r="DO463" s="30"/>
      <c r="DP463" s="30"/>
    </row>
    <row r="464" spans="1:120" x14ac:dyDescent="0.2">
      <c r="A464" s="5"/>
      <c r="B464" s="6">
        <f>+Risultati!B463</f>
        <v>0</v>
      </c>
      <c r="C464" s="6">
        <f>+Risultati!C463</f>
        <v>0</v>
      </c>
      <c r="D464" s="26" t="str">
        <f>IF(YEAR(Risultati!D463)=1900,(MID(Risultati!$AP$1,29,4)),YEAR(Risultati!D463))</f>
        <v/>
      </c>
      <c r="E464" s="6">
        <f>+Risultati!E463</f>
        <v>0</v>
      </c>
      <c r="F464" s="8" t="e">
        <f>(LEFT(Risultati!AN463,2)&amp;"-")&amp;VLOOKUP((LEFT(Risultati!AN463,2)),ateco!$B$4:$C$93,2,FALSE)</f>
        <v>#N/A</v>
      </c>
      <c r="G464" s="8" t="str">
        <f>SUBSTITUTE((Risultati!AN463&amp;"-"&amp;Risultati!AO463),",",";")</f>
        <v>-</v>
      </c>
      <c r="I464" s="10">
        <f>+Risultati!G463</f>
        <v>0</v>
      </c>
      <c r="J464" s="11" t="str">
        <f t="shared" si="389"/>
        <v>0</v>
      </c>
      <c r="K464" s="12"/>
      <c r="L464" s="10">
        <f>+Risultati!G463+Risultati!H463</f>
        <v>0</v>
      </c>
      <c r="M464" s="11" t="str">
        <f t="shared" si="390"/>
        <v>0</v>
      </c>
      <c r="N464" s="12"/>
      <c r="O464" s="10">
        <f>+Risultati!I463+Risultati!J463</f>
        <v>0</v>
      </c>
      <c r="P464" s="11" t="str">
        <f t="shared" si="391"/>
        <v>0</v>
      </c>
      <c r="Q464" s="12"/>
      <c r="R464" s="13">
        <f t="shared" si="357"/>
        <v>0</v>
      </c>
      <c r="S464" s="11" t="str">
        <f t="shared" si="392"/>
        <v>0</v>
      </c>
      <c r="T464" s="12"/>
      <c r="U464" s="10">
        <f>+Risultati!F463-(Risultati!G463+Risultati!H463)</f>
        <v>0</v>
      </c>
      <c r="V464" s="12" t="str">
        <f t="shared" si="393"/>
        <v>0</v>
      </c>
      <c r="W464" s="12"/>
      <c r="X464" s="10">
        <f t="shared" si="358"/>
        <v>0</v>
      </c>
      <c r="Y464" s="12" t="str">
        <f t="shared" si="394"/>
        <v>0</v>
      </c>
      <c r="Z464" s="12"/>
      <c r="AA464" s="10">
        <f>+Risultati!K463</f>
        <v>0</v>
      </c>
      <c r="AB464" s="12" t="str">
        <f t="shared" si="395"/>
        <v>0</v>
      </c>
      <c r="AC464" s="12"/>
      <c r="AD464" s="10">
        <f>+Risultati!L463</f>
        <v>0</v>
      </c>
      <c r="AE464" s="12" t="str">
        <f t="shared" si="396"/>
        <v>0</v>
      </c>
      <c r="AF464" s="12"/>
      <c r="AG464" s="10">
        <f>+Risultati!M463+Risultati!P463+Risultati!Q463</f>
        <v>0</v>
      </c>
      <c r="AH464" s="12" t="str">
        <f t="shared" si="397"/>
        <v>0</v>
      </c>
      <c r="AI464" s="12"/>
      <c r="AJ464" s="13">
        <f t="shared" si="359"/>
        <v>0</v>
      </c>
      <c r="AK464" s="11" t="str">
        <f t="shared" si="398"/>
        <v>0</v>
      </c>
      <c r="AL464" s="12"/>
      <c r="AM464" s="10">
        <f>+Risultati!N463</f>
        <v>0</v>
      </c>
      <c r="AN464" s="12" t="str">
        <f t="shared" si="399"/>
        <v>0</v>
      </c>
      <c r="AO464" s="12"/>
      <c r="AP464" s="10">
        <f t="shared" si="360"/>
        <v>0</v>
      </c>
      <c r="AQ464" s="41" t="str">
        <f t="shared" si="400"/>
        <v>0</v>
      </c>
      <c r="AR464" s="12"/>
      <c r="AS464" s="10">
        <f>+Risultati!O463</f>
        <v>0</v>
      </c>
      <c r="AT464" s="12" t="str">
        <f t="shared" si="401"/>
        <v>0</v>
      </c>
      <c r="AU464" s="12"/>
      <c r="AV464" s="10">
        <f t="shared" si="361"/>
        <v>0</v>
      </c>
      <c r="AW464" s="12" t="str">
        <f t="shared" si="402"/>
        <v>0</v>
      </c>
      <c r="AX464" s="12"/>
      <c r="AY464" s="10">
        <f>+Risultati!R463+Risultati!S463</f>
        <v>0</v>
      </c>
      <c r="AZ464" s="12" t="str">
        <f t="shared" si="403"/>
        <v>0</v>
      </c>
      <c r="BA464" s="12"/>
      <c r="BB464" s="10">
        <f>+Risultati!T463</f>
        <v>0</v>
      </c>
      <c r="BC464" s="12" t="str">
        <f t="shared" si="404"/>
        <v>0</v>
      </c>
      <c r="BD464" s="12"/>
      <c r="BE464" s="10">
        <f>+Risultati!U463</f>
        <v>0</v>
      </c>
      <c r="BF464" s="12" t="str">
        <f t="shared" si="405"/>
        <v>0</v>
      </c>
      <c r="BG464" s="12"/>
      <c r="BH464" s="10">
        <f t="shared" si="362"/>
        <v>0</v>
      </c>
      <c r="BI464" s="12" t="str">
        <f t="shared" si="406"/>
        <v>0</v>
      </c>
      <c r="BK464" s="16">
        <f>IF(ISNUMBER(Risultati!X463/100),(Risultati!X463/100))</f>
        <v>0</v>
      </c>
      <c r="BL464" s="16">
        <f>IF(ISNUMBER(Risultati!Y463/100),(Risultati!Y463/100))</f>
        <v>0</v>
      </c>
      <c r="BM464" s="16">
        <f>IF(ISNUMBER(Risultati!Z463/100),(Risultati!Z463/100))</f>
        <v>0</v>
      </c>
      <c r="BN464" s="16">
        <f>IF(AND(Risultati!AY463&lt;0,calcoli!AP464&lt;0),-IF(ISNUMBER(Risultati!AA463/100),(Risultati!AA463/100)),IF(ISNUMBER(Risultati!AA463/100),(Risultati!AA463/100)))</f>
        <v>0</v>
      </c>
      <c r="BO464" s="16" t="str">
        <f t="shared" si="387"/>
        <v>0</v>
      </c>
      <c r="BP464" s="16" t="str">
        <f>IF(Risultati!AB463&gt;0,(AV464/Risultati!AB463),"0")</f>
        <v>0</v>
      </c>
      <c r="BQ464" s="16" t="str">
        <f>IF(Risultati!AG463&lt;&gt;0,(BH464/Risultati!AG463),"0")</f>
        <v>0</v>
      </c>
      <c r="BR464" s="16" t="str">
        <f t="shared" si="388"/>
        <v>0</v>
      </c>
      <c r="BS464" s="14" t="str">
        <f>IF(Risultati!AB463&gt;0,(Risultati!G463/Risultati!AB463),"0")</f>
        <v>0</v>
      </c>
      <c r="BT464" s="15" t="str">
        <f>IF(Risultati!AG463&lt;&gt;0,(Risultati!AB463/Risultati!AG463),"0")</f>
        <v>0</v>
      </c>
      <c r="BU464" s="23" t="str">
        <f>IF(AND(Risultati!G463&gt;0,(Risultati!AE463-Risultati!AF463)&gt;=0),((Risultati!AE463-Risultati!AF463)/Risultati!G463*360),"0")</f>
        <v>0</v>
      </c>
      <c r="BV464" s="21" t="str">
        <f>IF(OR(E464="abbreviato",Risultati!G463=0),"0",((Risultati!AC463+Risultati!AD463)/Risultati!G463*360))</f>
        <v>0</v>
      </c>
      <c r="BW464" s="21" t="str">
        <f>IF(OR(E464="abbreviato",Risultati!G463=0,SUM(Risultati!I463+Risultati!K463+Risultati!M463)=0),"0",(((Risultati!AH463+Risultati!AI463)/(Risultati!I463+Risultati!K463+Risultati!N463)*360)))</f>
        <v>0</v>
      </c>
      <c r="BX464" s="16" t="str">
        <f>IF(Risultati!AB463&gt;0,(+Risultati!AG463/Risultati!AB463),"0")</f>
        <v>0</v>
      </c>
      <c r="BY464" s="22" t="str">
        <f>IF(OR(E464="abbreviato",Risultati!G463=0),"0",(((Risultati!AK463-(Risultati!AL463+Risultati!AM463))/Risultati!G463)))</f>
        <v>0</v>
      </c>
      <c r="BZ464" s="16" t="str">
        <f>IF(Risultati!G463&gt;0,(Risultati!AJ463/Risultati!G463),"0")</f>
        <v>0</v>
      </c>
      <c r="CA464" s="8"/>
      <c r="CB464" s="9">
        <f>+Risultati!AP463</f>
        <v>0</v>
      </c>
      <c r="CC464" s="31" t="str">
        <f t="shared" si="363"/>
        <v>0</v>
      </c>
      <c r="CD464" s="9">
        <f>+Risultati!AQ463</f>
        <v>0</v>
      </c>
      <c r="CE464" s="31" t="str">
        <f t="shared" si="364"/>
        <v>0</v>
      </c>
      <c r="CF464" s="9">
        <f>+Risultati!AR463</f>
        <v>0</v>
      </c>
      <c r="CG464" s="31" t="str">
        <f t="shared" si="365"/>
        <v>0</v>
      </c>
      <c r="CH464" s="9">
        <f>+Risultati!AS463</f>
        <v>0</v>
      </c>
      <c r="CI464" s="31" t="str">
        <f t="shared" si="366"/>
        <v>0</v>
      </c>
      <c r="CJ464" s="9">
        <f t="shared" si="367"/>
        <v>0</v>
      </c>
      <c r="CK464" s="31" t="str">
        <f t="shared" si="368"/>
        <v>0</v>
      </c>
      <c r="CL464" s="10">
        <f>+Risultati!AE463+Risultati!AF463</f>
        <v>0</v>
      </c>
      <c r="CM464" s="31" t="str">
        <f t="shared" si="369"/>
        <v>0</v>
      </c>
      <c r="CN464" s="9">
        <f>+Risultati!AT463</f>
        <v>0</v>
      </c>
      <c r="CO464" s="31" t="str">
        <f t="shared" si="370"/>
        <v>0</v>
      </c>
      <c r="CP464" s="9">
        <f>+Risultati!AU463</f>
        <v>0</v>
      </c>
      <c r="CQ464" s="31" t="str">
        <f t="shared" si="371"/>
        <v>0</v>
      </c>
      <c r="CR464" s="9">
        <f>+Risultati!AL463</f>
        <v>0</v>
      </c>
      <c r="CS464" s="31" t="str">
        <f t="shared" si="372"/>
        <v>0</v>
      </c>
      <c r="CT464" s="9">
        <f t="shared" si="373"/>
        <v>0</v>
      </c>
      <c r="CU464" s="31" t="str">
        <f t="shared" si="374"/>
        <v>0</v>
      </c>
      <c r="CV464" s="9">
        <f>+Risultati!AX463</f>
        <v>0</v>
      </c>
      <c r="CW464" s="31" t="str">
        <f t="shared" si="375"/>
        <v>0</v>
      </c>
      <c r="CX464" s="9">
        <f t="shared" si="376"/>
        <v>0</v>
      </c>
      <c r="CY464" s="31" t="str">
        <f t="shared" si="377"/>
        <v>0</v>
      </c>
      <c r="CZ464" s="9">
        <f>+Risultati!AG463</f>
        <v>0</v>
      </c>
      <c r="DA464" s="31" t="str">
        <f t="shared" si="378"/>
        <v>0</v>
      </c>
      <c r="DB464" s="9">
        <f t="shared" si="379"/>
        <v>0</v>
      </c>
      <c r="DC464" s="31" t="str">
        <f t="shared" si="380"/>
        <v>0</v>
      </c>
      <c r="DD464" s="9">
        <f>+Risultati!AV463</f>
        <v>0</v>
      </c>
      <c r="DE464" s="31" t="str">
        <f t="shared" si="381"/>
        <v>0</v>
      </c>
      <c r="DF464" s="9">
        <f>+Risultati!AJ463</f>
        <v>0</v>
      </c>
      <c r="DG464" s="31" t="str">
        <f t="shared" si="382"/>
        <v>0</v>
      </c>
      <c r="DH464" s="9">
        <f t="shared" si="383"/>
        <v>0</v>
      </c>
      <c r="DI464" s="31" t="str">
        <f t="shared" si="384"/>
        <v>0</v>
      </c>
      <c r="DJ464" s="9">
        <f>+Risultati!AW463</f>
        <v>0</v>
      </c>
      <c r="DK464" s="31" t="str">
        <f t="shared" si="385"/>
        <v>0</v>
      </c>
      <c r="DL464" s="10">
        <f t="shared" si="407"/>
        <v>0</v>
      </c>
      <c r="DM464" s="31" t="str">
        <f t="shared" si="386"/>
        <v>0</v>
      </c>
      <c r="DO464" s="30"/>
      <c r="DP464" s="30"/>
    </row>
    <row r="465" spans="1:120" x14ac:dyDescent="0.2">
      <c r="A465" s="5"/>
      <c r="B465" s="6">
        <f>+Risultati!B464</f>
        <v>0</v>
      </c>
      <c r="C465" s="6">
        <f>+Risultati!C464</f>
        <v>0</v>
      </c>
      <c r="D465" s="26" t="str">
        <f>IF(YEAR(Risultati!D464)=1900,(MID(Risultati!$AP$1,29,4)),YEAR(Risultati!D464))</f>
        <v/>
      </c>
      <c r="E465" s="6">
        <f>+Risultati!E464</f>
        <v>0</v>
      </c>
      <c r="F465" s="8" t="e">
        <f>(LEFT(Risultati!AN464,2)&amp;"-")&amp;VLOOKUP((LEFT(Risultati!AN464,2)),ateco!$B$4:$C$93,2,FALSE)</f>
        <v>#N/A</v>
      </c>
      <c r="G465" s="8" t="str">
        <f>SUBSTITUTE((Risultati!AN464&amp;"-"&amp;Risultati!AO464),",",";")</f>
        <v>-</v>
      </c>
      <c r="I465" s="10">
        <f>+Risultati!G464</f>
        <v>0</v>
      </c>
      <c r="J465" s="11" t="str">
        <f t="shared" si="389"/>
        <v>0</v>
      </c>
      <c r="K465" s="12"/>
      <c r="L465" s="10">
        <f>+Risultati!G464+Risultati!H464</f>
        <v>0</v>
      </c>
      <c r="M465" s="11" t="str">
        <f t="shared" si="390"/>
        <v>0</v>
      </c>
      <c r="N465" s="12"/>
      <c r="O465" s="10">
        <f>+Risultati!I464+Risultati!J464</f>
        <v>0</v>
      </c>
      <c r="P465" s="11" t="str">
        <f t="shared" si="391"/>
        <v>0</v>
      </c>
      <c r="Q465" s="12"/>
      <c r="R465" s="13">
        <f t="shared" si="357"/>
        <v>0</v>
      </c>
      <c r="S465" s="11" t="str">
        <f t="shared" si="392"/>
        <v>0</v>
      </c>
      <c r="T465" s="12"/>
      <c r="U465" s="10">
        <f>+Risultati!F464-(Risultati!G464+Risultati!H464)</f>
        <v>0</v>
      </c>
      <c r="V465" s="12" t="str">
        <f t="shared" si="393"/>
        <v>0</v>
      </c>
      <c r="W465" s="12"/>
      <c r="X465" s="10">
        <f t="shared" si="358"/>
        <v>0</v>
      </c>
      <c r="Y465" s="12" t="str">
        <f t="shared" si="394"/>
        <v>0</v>
      </c>
      <c r="Z465" s="12"/>
      <c r="AA465" s="10">
        <f>+Risultati!K464</f>
        <v>0</v>
      </c>
      <c r="AB465" s="12" t="str">
        <f t="shared" si="395"/>
        <v>0</v>
      </c>
      <c r="AC465" s="12"/>
      <c r="AD465" s="10">
        <f>+Risultati!L464</f>
        <v>0</v>
      </c>
      <c r="AE465" s="12" t="str">
        <f t="shared" si="396"/>
        <v>0</v>
      </c>
      <c r="AF465" s="12"/>
      <c r="AG465" s="10">
        <f>+Risultati!M464+Risultati!P464+Risultati!Q464</f>
        <v>0</v>
      </c>
      <c r="AH465" s="12" t="str">
        <f t="shared" si="397"/>
        <v>0</v>
      </c>
      <c r="AI465" s="12"/>
      <c r="AJ465" s="13">
        <f t="shared" si="359"/>
        <v>0</v>
      </c>
      <c r="AK465" s="11" t="str">
        <f t="shared" si="398"/>
        <v>0</v>
      </c>
      <c r="AL465" s="12"/>
      <c r="AM465" s="10">
        <f>+Risultati!N464</f>
        <v>0</v>
      </c>
      <c r="AN465" s="12" t="str">
        <f t="shared" si="399"/>
        <v>0</v>
      </c>
      <c r="AO465" s="12"/>
      <c r="AP465" s="10">
        <f t="shared" si="360"/>
        <v>0</v>
      </c>
      <c r="AQ465" s="41" t="str">
        <f t="shared" si="400"/>
        <v>0</v>
      </c>
      <c r="AR465" s="12"/>
      <c r="AS465" s="10">
        <f>+Risultati!O464</f>
        <v>0</v>
      </c>
      <c r="AT465" s="12" t="str">
        <f t="shared" si="401"/>
        <v>0</v>
      </c>
      <c r="AU465" s="12"/>
      <c r="AV465" s="10">
        <f t="shared" si="361"/>
        <v>0</v>
      </c>
      <c r="AW465" s="12" t="str">
        <f t="shared" si="402"/>
        <v>0</v>
      </c>
      <c r="AX465" s="12"/>
      <c r="AY465" s="10">
        <f>+Risultati!R464+Risultati!S464</f>
        <v>0</v>
      </c>
      <c r="AZ465" s="12" t="str">
        <f t="shared" si="403"/>
        <v>0</v>
      </c>
      <c r="BA465" s="12"/>
      <c r="BB465" s="10">
        <f>+Risultati!T464</f>
        <v>0</v>
      </c>
      <c r="BC465" s="12" t="str">
        <f t="shared" si="404"/>
        <v>0</v>
      </c>
      <c r="BD465" s="12"/>
      <c r="BE465" s="10">
        <f>+Risultati!U464</f>
        <v>0</v>
      </c>
      <c r="BF465" s="12" t="str">
        <f t="shared" si="405"/>
        <v>0</v>
      </c>
      <c r="BG465" s="12"/>
      <c r="BH465" s="10">
        <f t="shared" si="362"/>
        <v>0</v>
      </c>
      <c r="BI465" s="12" t="str">
        <f t="shared" si="406"/>
        <v>0</v>
      </c>
      <c r="BK465" s="16">
        <f>IF(ISNUMBER(Risultati!X464/100),(Risultati!X464/100))</f>
        <v>0</v>
      </c>
      <c r="BL465" s="16">
        <f>IF(ISNUMBER(Risultati!Y464/100),(Risultati!Y464/100))</f>
        <v>0</v>
      </c>
      <c r="BM465" s="16">
        <f>IF(ISNUMBER(Risultati!Z464/100),(Risultati!Z464/100))</f>
        <v>0</v>
      </c>
      <c r="BN465" s="16">
        <f>IF(AND(Risultati!AY464&lt;0,calcoli!AP465&lt;0),-IF(ISNUMBER(Risultati!AA464/100),(Risultati!AA464/100)),IF(ISNUMBER(Risultati!AA464/100),(Risultati!AA464/100)))</f>
        <v>0</v>
      </c>
      <c r="BO465" s="16" t="str">
        <f t="shared" si="387"/>
        <v>0</v>
      </c>
      <c r="BP465" s="16" t="str">
        <f>IF(Risultati!AB464&gt;0,(AV465/Risultati!AB464),"0")</f>
        <v>0</v>
      </c>
      <c r="BQ465" s="16" t="str">
        <f>IF(Risultati!AG464&lt;&gt;0,(BH465/Risultati!AG464),"0")</f>
        <v>0</v>
      </c>
      <c r="BR465" s="16" t="str">
        <f t="shared" si="388"/>
        <v>0</v>
      </c>
      <c r="BS465" s="14" t="str">
        <f>IF(Risultati!AB464&gt;0,(Risultati!G464/Risultati!AB464),"0")</f>
        <v>0</v>
      </c>
      <c r="BT465" s="15" t="str">
        <f>IF(Risultati!AG464&lt;&gt;0,(Risultati!AB464/Risultati!AG464),"0")</f>
        <v>0</v>
      </c>
      <c r="BU465" s="23" t="str">
        <f>IF(AND(Risultati!G464&gt;0,(Risultati!AE464-Risultati!AF464)&gt;=0),((Risultati!AE464-Risultati!AF464)/Risultati!G464*360),"0")</f>
        <v>0</v>
      </c>
      <c r="BV465" s="21" t="str">
        <f>IF(OR(E465="abbreviato",Risultati!G464=0),"0",((Risultati!AC464+Risultati!AD464)/Risultati!G464*360))</f>
        <v>0</v>
      </c>
      <c r="BW465" s="21" t="str">
        <f>IF(OR(E465="abbreviato",Risultati!G464=0,SUM(Risultati!I464+Risultati!K464+Risultati!M464)=0),"0",(((Risultati!AH464+Risultati!AI464)/(Risultati!I464+Risultati!K464+Risultati!N464)*360)))</f>
        <v>0</v>
      </c>
      <c r="BX465" s="16" t="str">
        <f>IF(Risultati!AB464&gt;0,(+Risultati!AG464/Risultati!AB464),"0")</f>
        <v>0</v>
      </c>
      <c r="BY465" s="22" t="str">
        <f>IF(OR(E465="abbreviato",Risultati!G464=0),"0",(((Risultati!AK464-(Risultati!AL464+Risultati!AM464))/Risultati!G464)))</f>
        <v>0</v>
      </c>
      <c r="BZ465" s="16" t="str">
        <f>IF(Risultati!G464&gt;0,(Risultati!AJ464/Risultati!G464),"0")</f>
        <v>0</v>
      </c>
      <c r="CA465" s="8"/>
      <c r="CB465" s="9">
        <f>+Risultati!AP464</f>
        <v>0</v>
      </c>
      <c r="CC465" s="31" t="str">
        <f t="shared" si="363"/>
        <v>0</v>
      </c>
      <c r="CD465" s="9">
        <f>+Risultati!AQ464</f>
        <v>0</v>
      </c>
      <c r="CE465" s="31" t="str">
        <f t="shared" si="364"/>
        <v>0</v>
      </c>
      <c r="CF465" s="9">
        <f>+Risultati!AR464</f>
        <v>0</v>
      </c>
      <c r="CG465" s="31" t="str">
        <f t="shared" si="365"/>
        <v>0</v>
      </c>
      <c r="CH465" s="9">
        <f>+Risultati!AS464</f>
        <v>0</v>
      </c>
      <c r="CI465" s="31" t="str">
        <f t="shared" si="366"/>
        <v>0</v>
      </c>
      <c r="CJ465" s="9">
        <f t="shared" si="367"/>
        <v>0</v>
      </c>
      <c r="CK465" s="31" t="str">
        <f t="shared" si="368"/>
        <v>0</v>
      </c>
      <c r="CL465" s="10">
        <f>+Risultati!AE464+Risultati!AF464</f>
        <v>0</v>
      </c>
      <c r="CM465" s="31" t="str">
        <f t="shared" si="369"/>
        <v>0</v>
      </c>
      <c r="CN465" s="9">
        <f>+Risultati!AT464</f>
        <v>0</v>
      </c>
      <c r="CO465" s="31" t="str">
        <f t="shared" si="370"/>
        <v>0</v>
      </c>
      <c r="CP465" s="9">
        <f>+Risultati!AU464</f>
        <v>0</v>
      </c>
      <c r="CQ465" s="31" t="str">
        <f t="shared" si="371"/>
        <v>0</v>
      </c>
      <c r="CR465" s="9">
        <f>+Risultati!AL464</f>
        <v>0</v>
      </c>
      <c r="CS465" s="31" t="str">
        <f t="shared" si="372"/>
        <v>0</v>
      </c>
      <c r="CT465" s="9">
        <f t="shared" si="373"/>
        <v>0</v>
      </c>
      <c r="CU465" s="31" t="str">
        <f t="shared" si="374"/>
        <v>0</v>
      </c>
      <c r="CV465" s="9">
        <f>+Risultati!AX464</f>
        <v>0</v>
      </c>
      <c r="CW465" s="31" t="str">
        <f t="shared" si="375"/>
        <v>0</v>
      </c>
      <c r="CX465" s="9">
        <f t="shared" si="376"/>
        <v>0</v>
      </c>
      <c r="CY465" s="31" t="str">
        <f t="shared" si="377"/>
        <v>0</v>
      </c>
      <c r="CZ465" s="9">
        <f>+Risultati!AG464</f>
        <v>0</v>
      </c>
      <c r="DA465" s="31" t="str">
        <f t="shared" si="378"/>
        <v>0</v>
      </c>
      <c r="DB465" s="9">
        <f t="shared" si="379"/>
        <v>0</v>
      </c>
      <c r="DC465" s="31" t="str">
        <f t="shared" si="380"/>
        <v>0</v>
      </c>
      <c r="DD465" s="9">
        <f>+Risultati!AV464</f>
        <v>0</v>
      </c>
      <c r="DE465" s="31" t="str">
        <f t="shared" si="381"/>
        <v>0</v>
      </c>
      <c r="DF465" s="9">
        <f>+Risultati!AJ464</f>
        <v>0</v>
      </c>
      <c r="DG465" s="31" t="str">
        <f t="shared" si="382"/>
        <v>0</v>
      </c>
      <c r="DH465" s="9">
        <f t="shared" si="383"/>
        <v>0</v>
      </c>
      <c r="DI465" s="31" t="str">
        <f t="shared" si="384"/>
        <v>0</v>
      </c>
      <c r="DJ465" s="9">
        <f>+Risultati!AW464</f>
        <v>0</v>
      </c>
      <c r="DK465" s="31" t="str">
        <f t="shared" si="385"/>
        <v>0</v>
      </c>
      <c r="DL465" s="10">
        <f t="shared" si="407"/>
        <v>0</v>
      </c>
      <c r="DM465" s="31" t="str">
        <f t="shared" si="386"/>
        <v>0</v>
      </c>
      <c r="DO465" s="30"/>
      <c r="DP465" s="30"/>
    </row>
    <row r="466" spans="1:120" x14ac:dyDescent="0.2">
      <c r="A466" s="5"/>
      <c r="B466" s="6">
        <f>+Risultati!B465</f>
        <v>0</v>
      </c>
      <c r="C466" s="6">
        <f>+Risultati!C465</f>
        <v>0</v>
      </c>
      <c r="D466" s="26" t="str">
        <f>IF(YEAR(Risultati!D465)=1900,(MID(Risultati!$AP$1,29,4)),YEAR(Risultati!D465))</f>
        <v/>
      </c>
      <c r="E466" s="6">
        <f>+Risultati!E465</f>
        <v>0</v>
      </c>
      <c r="F466" s="8" t="e">
        <f>(LEFT(Risultati!AN465,2)&amp;"-")&amp;VLOOKUP((LEFT(Risultati!AN465,2)),ateco!$B$4:$C$93,2,FALSE)</f>
        <v>#N/A</v>
      </c>
      <c r="G466" s="8" t="str">
        <f>SUBSTITUTE((Risultati!AN465&amp;"-"&amp;Risultati!AO465),",",";")</f>
        <v>-</v>
      </c>
      <c r="I466" s="10">
        <f>+Risultati!G465</f>
        <v>0</v>
      </c>
      <c r="J466" s="11" t="str">
        <f t="shared" si="389"/>
        <v>0</v>
      </c>
      <c r="K466" s="12"/>
      <c r="L466" s="10">
        <f>+Risultati!G465+Risultati!H465</f>
        <v>0</v>
      </c>
      <c r="M466" s="11" t="str">
        <f t="shared" si="390"/>
        <v>0</v>
      </c>
      <c r="N466" s="12"/>
      <c r="O466" s="10">
        <f>+Risultati!I465+Risultati!J465</f>
        <v>0</v>
      </c>
      <c r="P466" s="11" t="str">
        <f t="shared" si="391"/>
        <v>0</v>
      </c>
      <c r="Q466" s="12"/>
      <c r="R466" s="13">
        <f t="shared" si="357"/>
        <v>0</v>
      </c>
      <c r="S466" s="11" t="str">
        <f t="shared" si="392"/>
        <v>0</v>
      </c>
      <c r="T466" s="12"/>
      <c r="U466" s="10">
        <f>+Risultati!F465-(Risultati!G465+Risultati!H465)</f>
        <v>0</v>
      </c>
      <c r="V466" s="12" t="str">
        <f t="shared" si="393"/>
        <v>0</v>
      </c>
      <c r="W466" s="12"/>
      <c r="X466" s="10">
        <f t="shared" si="358"/>
        <v>0</v>
      </c>
      <c r="Y466" s="12" t="str">
        <f t="shared" si="394"/>
        <v>0</v>
      </c>
      <c r="Z466" s="12"/>
      <c r="AA466" s="10">
        <f>+Risultati!K465</f>
        <v>0</v>
      </c>
      <c r="AB466" s="12" t="str">
        <f t="shared" si="395"/>
        <v>0</v>
      </c>
      <c r="AC466" s="12"/>
      <c r="AD466" s="10">
        <f>+Risultati!L465</f>
        <v>0</v>
      </c>
      <c r="AE466" s="12" t="str">
        <f t="shared" si="396"/>
        <v>0</v>
      </c>
      <c r="AF466" s="12"/>
      <c r="AG466" s="10">
        <f>+Risultati!M465+Risultati!P465+Risultati!Q465</f>
        <v>0</v>
      </c>
      <c r="AH466" s="12" t="str">
        <f t="shared" si="397"/>
        <v>0</v>
      </c>
      <c r="AI466" s="12"/>
      <c r="AJ466" s="13">
        <f t="shared" si="359"/>
        <v>0</v>
      </c>
      <c r="AK466" s="11" t="str">
        <f t="shared" si="398"/>
        <v>0</v>
      </c>
      <c r="AL466" s="12"/>
      <c r="AM466" s="10">
        <f>+Risultati!N465</f>
        <v>0</v>
      </c>
      <c r="AN466" s="12" t="str">
        <f t="shared" si="399"/>
        <v>0</v>
      </c>
      <c r="AO466" s="12"/>
      <c r="AP466" s="10">
        <f t="shared" si="360"/>
        <v>0</v>
      </c>
      <c r="AQ466" s="41" t="str">
        <f t="shared" si="400"/>
        <v>0</v>
      </c>
      <c r="AR466" s="12"/>
      <c r="AS466" s="10">
        <f>+Risultati!O465</f>
        <v>0</v>
      </c>
      <c r="AT466" s="12" t="str">
        <f t="shared" si="401"/>
        <v>0</v>
      </c>
      <c r="AU466" s="12"/>
      <c r="AV466" s="10">
        <f t="shared" si="361"/>
        <v>0</v>
      </c>
      <c r="AW466" s="12" t="str">
        <f t="shared" si="402"/>
        <v>0</v>
      </c>
      <c r="AX466" s="12"/>
      <c r="AY466" s="10">
        <f>+Risultati!R465+Risultati!S465</f>
        <v>0</v>
      </c>
      <c r="AZ466" s="12" t="str">
        <f t="shared" si="403"/>
        <v>0</v>
      </c>
      <c r="BA466" s="12"/>
      <c r="BB466" s="10">
        <f>+Risultati!T465</f>
        <v>0</v>
      </c>
      <c r="BC466" s="12" t="str">
        <f t="shared" si="404"/>
        <v>0</v>
      </c>
      <c r="BD466" s="12"/>
      <c r="BE466" s="10">
        <f>+Risultati!U465</f>
        <v>0</v>
      </c>
      <c r="BF466" s="12" t="str">
        <f t="shared" si="405"/>
        <v>0</v>
      </c>
      <c r="BG466" s="12"/>
      <c r="BH466" s="10">
        <f t="shared" si="362"/>
        <v>0</v>
      </c>
      <c r="BI466" s="12" t="str">
        <f t="shared" si="406"/>
        <v>0</v>
      </c>
      <c r="BK466" s="16">
        <f>IF(ISNUMBER(Risultati!X465/100),(Risultati!X465/100))</f>
        <v>0</v>
      </c>
      <c r="BL466" s="16">
        <f>IF(ISNUMBER(Risultati!Y465/100),(Risultati!Y465/100))</f>
        <v>0</v>
      </c>
      <c r="BM466" s="16">
        <f>IF(ISNUMBER(Risultati!Z465/100),(Risultati!Z465/100))</f>
        <v>0</v>
      </c>
      <c r="BN466" s="16">
        <f>IF(AND(Risultati!AY465&lt;0,calcoli!AP466&lt;0),-IF(ISNUMBER(Risultati!AA465/100),(Risultati!AA465/100)),IF(ISNUMBER(Risultati!AA465/100),(Risultati!AA465/100)))</f>
        <v>0</v>
      </c>
      <c r="BO466" s="16" t="str">
        <f t="shared" si="387"/>
        <v>0</v>
      </c>
      <c r="BP466" s="16" t="str">
        <f>IF(Risultati!AB465&gt;0,(AV466/Risultati!AB465),"0")</f>
        <v>0</v>
      </c>
      <c r="BQ466" s="16" t="str">
        <f>IF(Risultati!AG465&lt;&gt;0,(BH466/Risultati!AG465),"0")</f>
        <v>0</v>
      </c>
      <c r="BR466" s="16" t="str">
        <f t="shared" si="388"/>
        <v>0</v>
      </c>
      <c r="BS466" s="14" t="str">
        <f>IF(Risultati!AB465&gt;0,(Risultati!G465/Risultati!AB465),"0")</f>
        <v>0</v>
      </c>
      <c r="BT466" s="15" t="str">
        <f>IF(Risultati!AG465&lt;&gt;0,(Risultati!AB465/Risultati!AG465),"0")</f>
        <v>0</v>
      </c>
      <c r="BU466" s="23" t="str">
        <f>IF(AND(Risultati!G465&gt;0,(Risultati!AE465-Risultati!AF465)&gt;=0),((Risultati!AE465-Risultati!AF465)/Risultati!G465*360),"0")</f>
        <v>0</v>
      </c>
      <c r="BV466" s="21" t="str">
        <f>IF(OR(E466="abbreviato",Risultati!G465=0),"0",((Risultati!AC465+Risultati!AD465)/Risultati!G465*360))</f>
        <v>0</v>
      </c>
      <c r="BW466" s="21" t="str">
        <f>IF(OR(E466="abbreviato",Risultati!G465=0,SUM(Risultati!I465+Risultati!K465+Risultati!M465)=0),"0",(((Risultati!AH465+Risultati!AI465)/(Risultati!I465+Risultati!K465+Risultati!N465)*360)))</f>
        <v>0</v>
      </c>
      <c r="BX466" s="16" t="str">
        <f>IF(Risultati!AB465&gt;0,(+Risultati!AG465/Risultati!AB465),"0")</f>
        <v>0</v>
      </c>
      <c r="BY466" s="22" t="str">
        <f>IF(OR(E466="abbreviato",Risultati!G465=0),"0",(((Risultati!AK465-(Risultati!AL465+Risultati!AM465))/Risultati!G465)))</f>
        <v>0</v>
      </c>
      <c r="BZ466" s="16" t="str">
        <f>IF(Risultati!G465&gt;0,(Risultati!AJ465/Risultati!G465),"0")</f>
        <v>0</v>
      </c>
      <c r="CA466" s="8"/>
      <c r="CB466" s="9">
        <f>+Risultati!AP465</f>
        <v>0</v>
      </c>
      <c r="CC466" s="31" t="str">
        <f t="shared" si="363"/>
        <v>0</v>
      </c>
      <c r="CD466" s="9">
        <f>+Risultati!AQ465</f>
        <v>0</v>
      </c>
      <c r="CE466" s="31" t="str">
        <f t="shared" si="364"/>
        <v>0</v>
      </c>
      <c r="CF466" s="9">
        <f>+Risultati!AR465</f>
        <v>0</v>
      </c>
      <c r="CG466" s="31" t="str">
        <f t="shared" si="365"/>
        <v>0</v>
      </c>
      <c r="CH466" s="9">
        <f>+Risultati!AS465</f>
        <v>0</v>
      </c>
      <c r="CI466" s="31" t="str">
        <f t="shared" si="366"/>
        <v>0</v>
      </c>
      <c r="CJ466" s="9">
        <f t="shared" si="367"/>
        <v>0</v>
      </c>
      <c r="CK466" s="31" t="str">
        <f t="shared" si="368"/>
        <v>0</v>
      </c>
      <c r="CL466" s="10">
        <f>+Risultati!AE465+Risultati!AF465</f>
        <v>0</v>
      </c>
      <c r="CM466" s="31" t="str">
        <f t="shared" si="369"/>
        <v>0</v>
      </c>
      <c r="CN466" s="9">
        <f>+Risultati!AT465</f>
        <v>0</v>
      </c>
      <c r="CO466" s="31" t="str">
        <f t="shared" si="370"/>
        <v>0</v>
      </c>
      <c r="CP466" s="9">
        <f>+Risultati!AU465</f>
        <v>0</v>
      </c>
      <c r="CQ466" s="31" t="str">
        <f t="shared" si="371"/>
        <v>0</v>
      </c>
      <c r="CR466" s="9">
        <f>+Risultati!AL465</f>
        <v>0</v>
      </c>
      <c r="CS466" s="31" t="str">
        <f t="shared" si="372"/>
        <v>0</v>
      </c>
      <c r="CT466" s="9">
        <f t="shared" si="373"/>
        <v>0</v>
      </c>
      <c r="CU466" s="31" t="str">
        <f t="shared" si="374"/>
        <v>0</v>
      </c>
      <c r="CV466" s="9">
        <f>+Risultati!AX465</f>
        <v>0</v>
      </c>
      <c r="CW466" s="31" t="str">
        <f t="shared" si="375"/>
        <v>0</v>
      </c>
      <c r="CX466" s="9">
        <f t="shared" si="376"/>
        <v>0</v>
      </c>
      <c r="CY466" s="31" t="str">
        <f t="shared" si="377"/>
        <v>0</v>
      </c>
      <c r="CZ466" s="9">
        <f>+Risultati!AG465</f>
        <v>0</v>
      </c>
      <c r="DA466" s="31" t="str">
        <f t="shared" si="378"/>
        <v>0</v>
      </c>
      <c r="DB466" s="9">
        <f t="shared" si="379"/>
        <v>0</v>
      </c>
      <c r="DC466" s="31" t="str">
        <f t="shared" si="380"/>
        <v>0</v>
      </c>
      <c r="DD466" s="9">
        <f>+Risultati!AV465</f>
        <v>0</v>
      </c>
      <c r="DE466" s="31" t="str">
        <f t="shared" si="381"/>
        <v>0</v>
      </c>
      <c r="DF466" s="9">
        <f>+Risultati!AJ465</f>
        <v>0</v>
      </c>
      <c r="DG466" s="31" t="str">
        <f t="shared" si="382"/>
        <v>0</v>
      </c>
      <c r="DH466" s="9">
        <f t="shared" si="383"/>
        <v>0</v>
      </c>
      <c r="DI466" s="31" t="str">
        <f t="shared" si="384"/>
        <v>0</v>
      </c>
      <c r="DJ466" s="9">
        <f>+Risultati!AW465</f>
        <v>0</v>
      </c>
      <c r="DK466" s="31" t="str">
        <f t="shared" si="385"/>
        <v>0</v>
      </c>
      <c r="DL466" s="10">
        <f t="shared" si="407"/>
        <v>0</v>
      </c>
      <c r="DM466" s="31" t="str">
        <f t="shared" si="386"/>
        <v>0</v>
      </c>
      <c r="DO466" s="30"/>
      <c r="DP466" s="30"/>
    </row>
    <row r="467" spans="1:120" x14ac:dyDescent="0.2">
      <c r="A467" s="5"/>
      <c r="B467" s="6">
        <f>+Risultati!B466</f>
        <v>0</v>
      </c>
      <c r="C467" s="6">
        <f>+Risultati!C466</f>
        <v>0</v>
      </c>
      <c r="D467" s="26" t="str">
        <f>IF(YEAR(Risultati!D466)=1900,(MID(Risultati!$AP$1,29,4)),YEAR(Risultati!D466))</f>
        <v/>
      </c>
      <c r="E467" s="6">
        <f>+Risultati!E466</f>
        <v>0</v>
      </c>
      <c r="F467" s="8" t="e">
        <f>(LEFT(Risultati!AN466,2)&amp;"-")&amp;VLOOKUP((LEFT(Risultati!AN466,2)),ateco!$B$4:$C$93,2,FALSE)</f>
        <v>#N/A</v>
      </c>
      <c r="G467" s="8" t="str">
        <f>SUBSTITUTE((Risultati!AN466&amp;"-"&amp;Risultati!AO466),",",";")</f>
        <v>-</v>
      </c>
      <c r="I467" s="10">
        <f>+Risultati!G466</f>
        <v>0</v>
      </c>
      <c r="J467" s="11" t="str">
        <f t="shared" si="389"/>
        <v>0</v>
      </c>
      <c r="K467" s="12"/>
      <c r="L467" s="10">
        <f>+Risultati!G466+Risultati!H466</f>
        <v>0</v>
      </c>
      <c r="M467" s="11" t="str">
        <f t="shared" si="390"/>
        <v>0</v>
      </c>
      <c r="N467" s="12"/>
      <c r="O467" s="10">
        <f>+Risultati!I466+Risultati!J466</f>
        <v>0</v>
      </c>
      <c r="P467" s="11" t="str">
        <f t="shared" si="391"/>
        <v>0</v>
      </c>
      <c r="Q467" s="12"/>
      <c r="R467" s="13">
        <f t="shared" si="357"/>
        <v>0</v>
      </c>
      <c r="S467" s="11" t="str">
        <f t="shared" si="392"/>
        <v>0</v>
      </c>
      <c r="T467" s="12"/>
      <c r="U467" s="10">
        <f>+Risultati!F466-(Risultati!G466+Risultati!H466)</f>
        <v>0</v>
      </c>
      <c r="V467" s="12" t="str">
        <f t="shared" si="393"/>
        <v>0</v>
      </c>
      <c r="W467" s="12"/>
      <c r="X467" s="10">
        <f t="shared" si="358"/>
        <v>0</v>
      </c>
      <c r="Y467" s="12" t="str">
        <f t="shared" si="394"/>
        <v>0</v>
      </c>
      <c r="Z467" s="12"/>
      <c r="AA467" s="10">
        <f>+Risultati!K466</f>
        <v>0</v>
      </c>
      <c r="AB467" s="12" t="str">
        <f t="shared" si="395"/>
        <v>0</v>
      </c>
      <c r="AC467" s="12"/>
      <c r="AD467" s="10">
        <f>+Risultati!L466</f>
        <v>0</v>
      </c>
      <c r="AE467" s="12" t="str">
        <f t="shared" si="396"/>
        <v>0</v>
      </c>
      <c r="AF467" s="12"/>
      <c r="AG467" s="10">
        <f>+Risultati!M466+Risultati!P466+Risultati!Q466</f>
        <v>0</v>
      </c>
      <c r="AH467" s="12" t="str">
        <f t="shared" si="397"/>
        <v>0</v>
      </c>
      <c r="AI467" s="12"/>
      <c r="AJ467" s="13">
        <f t="shared" si="359"/>
        <v>0</v>
      </c>
      <c r="AK467" s="11" t="str">
        <f t="shared" si="398"/>
        <v>0</v>
      </c>
      <c r="AL467" s="12"/>
      <c r="AM467" s="10">
        <f>+Risultati!N466</f>
        <v>0</v>
      </c>
      <c r="AN467" s="12" t="str">
        <f t="shared" si="399"/>
        <v>0</v>
      </c>
      <c r="AO467" s="12"/>
      <c r="AP467" s="10">
        <f t="shared" si="360"/>
        <v>0</v>
      </c>
      <c r="AQ467" s="41" t="str">
        <f t="shared" si="400"/>
        <v>0</v>
      </c>
      <c r="AR467" s="12"/>
      <c r="AS467" s="10">
        <f>+Risultati!O466</f>
        <v>0</v>
      </c>
      <c r="AT467" s="12" t="str">
        <f t="shared" si="401"/>
        <v>0</v>
      </c>
      <c r="AU467" s="12"/>
      <c r="AV467" s="10">
        <f t="shared" si="361"/>
        <v>0</v>
      </c>
      <c r="AW467" s="12" t="str">
        <f t="shared" si="402"/>
        <v>0</v>
      </c>
      <c r="AX467" s="12"/>
      <c r="AY467" s="10">
        <f>+Risultati!R466+Risultati!S466</f>
        <v>0</v>
      </c>
      <c r="AZ467" s="12" t="str">
        <f t="shared" si="403"/>
        <v>0</v>
      </c>
      <c r="BA467" s="12"/>
      <c r="BB467" s="10">
        <f>+Risultati!T466</f>
        <v>0</v>
      </c>
      <c r="BC467" s="12" t="str">
        <f t="shared" si="404"/>
        <v>0</v>
      </c>
      <c r="BD467" s="12"/>
      <c r="BE467" s="10">
        <f>+Risultati!U466</f>
        <v>0</v>
      </c>
      <c r="BF467" s="12" t="str">
        <f t="shared" si="405"/>
        <v>0</v>
      </c>
      <c r="BG467" s="12"/>
      <c r="BH467" s="10">
        <f t="shared" si="362"/>
        <v>0</v>
      </c>
      <c r="BI467" s="12" t="str">
        <f t="shared" si="406"/>
        <v>0</v>
      </c>
      <c r="BK467" s="16">
        <f>IF(ISNUMBER(Risultati!X466/100),(Risultati!X466/100))</f>
        <v>0</v>
      </c>
      <c r="BL467" s="16">
        <f>IF(ISNUMBER(Risultati!Y466/100),(Risultati!Y466/100))</f>
        <v>0</v>
      </c>
      <c r="BM467" s="16">
        <f>IF(ISNUMBER(Risultati!Z466/100),(Risultati!Z466/100))</f>
        <v>0</v>
      </c>
      <c r="BN467" s="16">
        <f>IF(AND(Risultati!AY466&lt;0,calcoli!AP467&lt;0),-IF(ISNUMBER(Risultati!AA466/100),(Risultati!AA466/100)),IF(ISNUMBER(Risultati!AA466/100),(Risultati!AA466/100)))</f>
        <v>0</v>
      </c>
      <c r="BO467" s="16" t="str">
        <f t="shared" si="387"/>
        <v>0</v>
      </c>
      <c r="BP467" s="16" t="str">
        <f>IF(Risultati!AB466&gt;0,(AV467/Risultati!AB466),"0")</f>
        <v>0</v>
      </c>
      <c r="BQ467" s="16" t="str">
        <f>IF(Risultati!AG466&lt;&gt;0,(BH467/Risultati!AG466),"0")</f>
        <v>0</v>
      </c>
      <c r="BR467" s="16" t="str">
        <f t="shared" si="388"/>
        <v>0</v>
      </c>
      <c r="BS467" s="14" t="str">
        <f>IF(Risultati!AB466&gt;0,(Risultati!G466/Risultati!AB466),"0")</f>
        <v>0</v>
      </c>
      <c r="BT467" s="15" t="str">
        <f>IF(Risultati!AG466&lt;&gt;0,(Risultati!AB466/Risultati!AG466),"0")</f>
        <v>0</v>
      </c>
      <c r="BU467" s="23" t="str">
        <f>IF(AND(Risultati!G466&gt;0,(Risultati!AE466-Risultati!AF466)&gt;=0),((Risultati!AE466-Risultati!AF466)/Risultati!G466*360),"0")</f>
        <v>0</v>
      </c>
      <c r="BV467" s="21" t="str">
        <f>IF(OR(E467="abbreviato",Risultati!G466=0),"0",((Risultati!AC466+Risultati!AD466)/Risultati!G466*360))</f>
        <v>0</v>
      </c>
      <c r="BW467" s="21" t="str">
        <f>IF(OR(E467="abbreviato",Risultati!G466=0,SUM(Risultati!I466+Risultati!K466+Risultati!M466)=0),"0",(((Risultati!AH466+Risultati!AI466)/(Risultati!I466+Risultati!K466+Risultati!N466)*360)))</f>
        <v>0</v>
      </c>
      <c r="BX467" s="16" t="str">
        <f>IF(Risultati!AB466&gt;0,(+Risultati!AG466/Risultati!AB466),"0")</f>
        <v>0</v>
      </c>
      <c r="BY467" s="22" t="str">
        <f>IF(OR(E467="abbreviato",Risultati!G466=0),"0",(((Risultati!AK466-(Risultati!AL466+Risultati!AM466))/Risultati!G466)))</f>
        <v>0</v>
      </c>
      <c r="BZ467" s="16" t="str">
        <f>IF(Risultati!G466&gt;0,(Risultati!AJ466/Risultati!G466),"0")</f>
        <v>0</v>
      </c>
      <c r="CA467" s="8"/>
      <c r="CB467" s="9">
        <f>+Risultati!AP466</f>
        <v>0</v>
      </c>
      <c r="CC467" s="31" t="str">
        <f t="shared" si="363"/>
        <v>0</v>
      </c>
      <c r="CD467" s="9">
        <f>+Risultati!AQ466</f>
        <v>0</v>
      </c>
      <c r="CE467" s="31" t="str">
        <f t="shared" si="364"/>
        <v>0</v>
      </c>
      <c r="CF467" s="9">
        <f>+Risultati!AR466</f>
        <v>0</v>
      </c>
      <c r="CG467" s="31" t="str">
        <f t="shared" si="365"/>
        <v>0</v>
      </c>
      <c r="CH467" s="9">
        <f>+Risultati!AS466</f>
        <v>0</v>
      </c>
      <c r="CI467" s="31" t="str">
        <f t="shared" si="366"/>
        <v>0</v>
      </c>
      <c r="CJ467" s="9">
        <f t="shared" si="367"/>
        <v>0</v>
      </c>
      <c r="CK467" s="31" t="str">
        <f t="shared" si="368"/>
        <v>0</v>
      </c>
      <c r="CL467" s="10">
        <f>+Risultati!AE466+Risultati!AF466</f>
        <v>0</v>
      </c>
      <c r="CM467" s="31" t="str">
        <f t="shared" si="369"/>
        <v>0</v>
      </c>
      <c r="CN467" s="9">
        <f>+Risultati!AT466</f>
        <v>0</v>
      </c>
      <c r="CO467" s="31" t="str">
        <f t="shared" si="370"/>
        <v>0</v>
      </c>
      <c r="CP467" s="9">
        <f>+Risultati!AU466</f>
        <v>0</v>
      </c>
      <c r="CQ467" s="31" t="str">
        <f t="shared" si="371"/>
        <v>0</v>
      </c>
      <c r="CR467" s="9">
        <f>+Risultati!AL466</f>
        <v>0</v>
      </c>
      <c r="CS467" s="31" t="str">
        <f t="shared" si="372"/>
        <v>0</v>
      </c>
      <c r="CT467" s="9">
        <f t="shared" si="373"/>
        <v>0</v>
      </c>
      <c r="CU467" s="31" t="str">
        <f t="shared" si="374"/>
        <v>0</v>
      </c>
      <c r="CV467" s="9">
        <f>+Risultati!AX466</f>
        <v>0</v>
      </c>
      <c r="CW467" s="31" t="str">
        <f t="shared" si="375"/>
        <v>0</v>
      </c>
      <c r="CX467" s="9">
        <f t="shared" si="376"/>
        <v>0</v>
      </c>
      <c r="CY467" s="31" t="str">
        <f t="shared" si="377"/>
        <v>0</v>
      </c>
      <c r="CZ467" s="9">
        <f>+Risultati!AG466</f>
        <v>0</v>
      </c>
      <c r="DA467" s="31" t="str">
        <f t="shared" si="378"/>
        <v>0</v>
      </c>
      <c r="DB467" s="9">
        <f t="shared" si="379"/>
        <v>0</v>
      </c>
      <c r="DC467" s="31" t="str">
        <f t="shared" si="380"/>
        <v>0</v>
      </c>
      <c r="DD467" s="9">
        <f>+Risultati!AV466</f>
        <v>0</v>
      </c>
      <c r="DE467" s="31" t="str">
        <f t="shared" si="381"/>
        <v>0</v>
      </c>
      <c r="DF467" s="9">
        <f>+Risultati!AJ466</f>
        <v>0</v>
      </c>
      <c r="DG467" s="31" t="str">
        <f t="shared" si="382"/>
        <v>0</v>
      </c>
      <c r="DH467" s="9">
        <f t="shared" si="383"/>
        <v>0</v>
      </c>
      <c r="DI467" s="31" t="str">
        <f t="shared" si="384"/>
        <v>0</v>
      </c>
      <c r="DJ467" s="9">
        <f>+Risultati!AW466</f>
        <v>0</v>
      </c>
      <c r="DK467" s="31" t="str">
        <f t="shared" si="385"/>
        <v>0</v>
      </c>
      <c r="DL467" s="10">
        <f t="shared" si="407"/>
        <v>0</v>
      </c>
      <c r="DM467" s="31" t="str">
        <f t="shared" si="386"/>
        <v>0</v>
      </c>
      <c r="DO467" s="30"/>
      <c r="DP467" s="30"/>
    </row>
    <row r="468" spans="1:120" x14ac:dyDescent="0.2">
      <c r="A468" s="5"/>
      <c r="B468" s="6">
        <f>+Risultati!B467</f>
        <v>0</v>
      </c>
      <c r="C468" s="6">
        <f>+Risultati!C467</f>
        <v>0</v>
      </c>
      <c r="D468" s="26" t="str">
        <f>IF(YEAR(Risultati!D467)=1900,(MID(Risultati!$AP$1,29,4)),YEAR(Risultati!D467))</f>
        <v/>
      </c>
      <c r="E468" s="6">
        <f>+Risultati!E467</f>
        <v>0</v>
      </c>
      <c r="F468" s="8" t="e">
        <f>(LEFT(Risultati!AN467,2)&amp;"-")&amp;VLOOKUP((LEFT(Risultati!AN467,2)),ateco!$B$4:$C$93,2,FALSE)</f>
        <v>#N/A</v>
      </c>
      <c r="G468" s="8" t="str">
        <f>SUBSTITUTE((Risultati!AN467&amp;"-"&amp;Risultati!AO467),",",";")</f>
        <v>-</v>
      </c>
      <c r="I468" s="10">
        <f>+Risultati!G467</f>
        <v>0</v>
      </c>
      <c r="J468" s="11" t="str">
        <f t="shared" si="389"/>
        <v>0</v>
      </c>
      <c r="K468" s="12"/>
      <c r="L468" s="10">
        <f>+Risultati!G467+Risultati!H467</f>
        <v>0</v>
      </c>
      <c r="M468" s="11" t="str">
        <f t="shared" si="390"/>
        <v>0</v>
      </c>
      <c r="N468" s="12"/>
      <c r="O468" s="10">
        <f>+Risultati!I467+Risultati!J467</f>
        <v>0</v>
      </c>
      <c r="P468" s="11" t="str">
        <f t="shared" si="391"/>
        <v>0</v>
      </c>
      <c r="Q468" s="12"/>
      <c r="R468" s="13">
        <f t="shared" si="357"/>
        <v>0</v>
      </c>
      <c r="S468" s="11" t="str">
        <f t="shared" si="392"/>
        <v>0</v>
      </c>
      <c r="T468" s="12"/>
      <c r="U468" s="10">
        <f>+Risultati!F467-(Risultati!G467+Risultati!H467)</f>
        <v>0</v>
      </c>
      <c r="V468" s="12" t="str">
        <f t="shared" si="393"/>
        <v>0</v>
      </c>
      <c r="W468" s="12"/>
      <c r="X468" s="10">
        <f t="shared" si="358"/>
        <v>0</v>
      </c>
      <c r="Y468" s="12" t="str">
        <f t="shared" si="394"/>
        <v>0</v>
      </c>
      <c r="Z468" s="12"/>
      <c r="AA468" s="10">
        <f>+Risultati!K467</f>
        <v>0</v>
      </c>
      <c r="AB468" s="12" t="str">
        <f t="shared" si="395"/>
        <v>0</v>
      </c>
      <c r="AC468" s="12"/>
      <c r="AD468" s="10">
        <f>+Risultati!L467</f>
        <v>0</v>
      </c>
      <c r="AE468" s="12" t="str">
        <f t="shared" si="396"/>
        <v>0</v>
      </c>
      <c r="AF468" s="12"/>
      <c r="AG468" s="10">
        <f>+Risultati!M467+Risultati!P467+Risultati!Q467</f>
        <v>0</v>
      </c>
      <c r="AH468" s="12" t="str">
        <f t="shared" si="397"/>
        <v>0</v>
      </c>
      <c r="AI468" s="12"/>
      <c r="AJ468" s="13">
        <f t="shared" si="359"/>
        <v>0</v>
      </c>
      <c r="AK468" s="11" t="str">
        <f t="shared" si="398"/>
        <v>0</v>
      </c>
      <c r="AL468" s="12"/>
      <c r="AM468" s="10">
        <f>+Risultati!N467</f>
        <v>0</v>
      </c>
      <c r="AN468" s="12" t="str">
        <f t="shared" si="399"/>
        <v>0</v>
      </c>
      <c r="AO468" s="12"/>
      <c r="AP468" s="10">
        <f t="shared" si="360"/>
        <v>0</v>
      </c>
      <c r="AQ468" s="41" t="str">
        <f t="shared" si="400"/>
        <v>0</v>
      </c>
      <c r="AR468" s="12"/>
      <c r="AS468" s="10">
        <f>+Risultati!O467</f>
        <v>0</v>
      </c>
      <c r="AT468" s="12" t="str">
        <f t="shared" si="401"/>
        <v>0</v>
      </c>
      <c r="AU468" s="12"/>
      <c r="AV468" s="10">
        <f t="shared" si="361"/>
        <v>0</v>
      </c>
      <c r="AW468" s="12" t="str">
        <f t="shared" si="402"/>
        <v>0</v>
      </c>
      <c r="AX468" s="12"/>
      <c r="AY468" s="10">
        <f>+Risultati!R467+Risultati!S467</f>
        <v>0</v>
      </c>
      <c r="AZ468" s="12" t="str">
        <f t="shared" si="403"/>
        <v>0</v>
      </c>
      <c r="BA468" s="12"/>
      <c r="BB468" s="10">
        <f>+Risultati!T467</f>
        <v>0</v>
      </c>
      <c r="BC468" s="12" t="str">
        <f t="shared" si="404"/>
        <v>0</v>
      </c>
      <c r="BD468" s="12"/>
      <c r="BE468" s="10">
        <f>+Risultati!U467</f>
        <v>0</v>
      </c>
      <c r="BF468" s="12" t="str">
        <f t="shared" si="405"/>
        <v>0</v>
      </c>
      <c r="BG468" s="12"/>
      <c r="BH468" s="10">
        <f t="shared" si="362"/>
        <v>0</v>
      </c>
      <c r="BI468" s="12" t="str">
        <f t="shared" si="406"/>
        <v>0</v>
      </c>
      <c r="BK468" s="16">
        <f>IF(ISNUMBER(Risultati!X467/100),(Risultati!X467/100))</f>
        <v>0</v>
      </c>
      <c r="BL468" s="16">
        <f>IF(ISNUMBER(Risultati!Y467/100),(Risultati!Y467/100))</f>
        <v>0</v>
      </c>
      <c r="BM468" s="16">
        <f>IF(ISNUMBER(Risultati!Z467/100),(Risultati!Z467/100))</f>
        <v>0</v>
      </c>
      <c r="BN468" s="16">
        <f>IF(AND(Risultati!AY467&lt;0,calcoli!AP468&lt;0),-IF(ISNUMBER(Risultati!AA467/100),(Risultati!AA467/100)),IF(ISNUMBER(Risultati!AA467/100),(Risultati!AA467/100)))</f>
        <v>0</v>
      </c>
      <c r="BO468" s="16" t="str">
        <f t="shared" si="387"/>
        <v>0</v>
      </c>
      <c r="BP468" s="16" t="str">
        <f>IF(Risultati!AB467&gt;0,(AV468/Risultati!AB467),"0")</f>
        <v>0</v>
      </c>
      <c r="BQ468" s="16" t="str">
        <f>IF(Risultati!AG467&lt;&gt;0,(BH468/Risultati!AG467),"0")</f>
        <v>0</v>
      </c>
      <c r="BR468" s="16" t="str">
        <f t="shared" si="388"/>
        <v>0</v>
      </c>
      <c r="BS468" s="14" t="str">
        <f>IF(Risultati!AB467&gt;0,(Risultati!G467/Risultati!AB467),"0")</f>
        <v>0</v>
      </c>
      <c r="BT468" s="15" t="str">
        <f>IF(Risultati!AG467&lt;&gt;0,(Risultati!AB467/Risultati!AG467),"0")</f>
        <v>0</v>
      </c>
      <c r="BU468" s="23" t="str">
        <f>IF(AND(Risultati!G467&gt;0,(Risultati!AE467-Risultati!AF467)&gt;=0),((Risultati!AE467-Risultati!AF467)/Risultati!G467*360),"0")</f>
        <v>0</v>
      </c>
      <c r="BV468" s="21" t="str">
        <f>IF(OR(E468="abbreviato",Risultati!G467=0),"0",((Risultati!AC467+Risultati!AD467)/Risultati!G467*360))</f>
        <v>0</v>
      </c>
      <c r="BW468" s="21" t="str">
        <f>IF(OR(E468="abbreviato",Risultati!G467=0,SUM(Risultati!I467+Risultati!K467+Risultati!M467)=0),"0",(((Risultati!AH467+Risultati!AI467)/(Risultati!I467+Risultati!K467+Risultati!N467)*360)))</f>
        <v>0</v>
      </c>
      <c r="BX468" s="16" t="str">
        <f>IF(Risultati!AB467&gt;0,(+Risultati!AG467/Risultati!AB467),"0")</f>
        <v>0</v>
      </c>
      <c r="BY468" s="22" t="str">
        <f>IF(OR(E468="abbreviato",Risultati!G467=0),"0",(((Risultati!AK467-(Risultati!AL467+Risultati!AM467))/Risultati!G467)))</f>
        <v>0</v>
      </c>
      <c r="BZ468" s="16" t="str">
        <f>IF(Risultati!G467&gt;0,(Risultati!AJ467/Risultati!G467),"0")</f>
        <v>0</v>
      </c>
      <c r="CA468" s="8"/>
      <c r="CB468" s="9">
        <f>+Risultati!AP467</f>
        <v>0</v>
      </c>
      <c r="CC468" s="31" t="str">
        <f t="shared" si="363"/>
        <v>0</v>
      </c>
      <c r="CD468" s="9">
        <f>+Risultati!AQ467</f>
        <v>0</v>
      </c>
      <c r="CE468" s="31" t="str">
        <f t="shared" si="364"/>
        <v>0</v>
      </c>
      <c r="CF468" s="9">
        <f>+Risultati!AR467</f>
        <v>0</v>
      </c>
      <c r="CG468" s="31" t="str">
        <f t="shared" si="365"/>
        <v>0</v>
      </c>
      <c r="CH468" s="9">
        <f>+Risultati!AS467</f>
        <v>0</v>
      </c>
      <c r="CI468" s="31" t="str">
        <f t="shared" si="366"/>
        <v>0</v>
      </c>
      <c r="CJ468" s="9">
        <f t="shared" si="367"/>
        <v>0</v>
      </c>
      <c r="CK468" s="31" t="str">
        <f t="shared" si="368"/>
        <v>0</v>
      </c>
      <c r="CL468" s="10">
        <f>+Risultati!AE467+Risultati!AF467</f>
        <v>0</v>
      </c>
      <c r="CM468" s="31" t="str">
        <f t="shared" si="369"/>
        <v>0</v>
      </c>
      <c r="CN468" s="9">
        <f>+Risultati!AT467</f>
        <v>0</v>
      </c>
      <c r="CO468" s="31" t="str">
        <f t="shared" si="370"/>
        <v>0</v>
      </c>
      <c r="CP468" s="9">
        <f>+Risultati!AU467</f>
        <v>0</v>
      </c>
      <c r="CQ468" s="31" t="str">
        <f t="shared" si="371"/>
        <v>0</v>
      </c>
      <c r="CR468" s="9">
        <f>+Risultati!AL467</f>
        <v>0</v>
      </c>
      <c r="CS468" s="31" t="str">
        <f t="shared" si="372"/>
        <v>0</v>
      </c>
      <c r="CT468" s="9">
        <f t="shared" si="373"/>
        <v>0</v>
      </c>
      <c r="CU468" s="31" t="str">
        <f t="shared" si="374"/>
        <v>0</v>
      </c>
      <c r="CV468" s="9">
        <f>+Risultati!AX467</f>
        <v>0</v>
      </c>
      <c r="CW468" s="31" t="str">
        <f t="shared" si="375"/>
        <v>0</v>
      </c>
      <c r="CX468" s="9">
        <f t="shared" si="376"/>
        <v>0</v>
      </c>
      <c r="CY468" s="31" t="str">
        <f t="shared" si="377"/>
        <v>0</v>
      </c>
      <c r="CZ468" s="9">
        <f>+Risultati!AG467</f>
        <v>0</v>
      </c>
      <c r="DA468" s="31" t="str">
        <f t="shared" si="378"/>
        <v>0</v>
      </c>
      <c r="DB468" s="9">
        <f t="shared" si="379"/>
        <v>0</v>
      </c>
      <c r="DC468" s="31" t="str">
        <f t="shared" si="380"/>
        <v>0</v>
      </c>
      <c r="DD468" s="9">
        <f>+Risultati!AV467</f>
        <v>0</v>
      </c>
      <c r="DE468" s="31" t="str">
        <f t="shared" si="381"/>
        <v>0</v>
      </c>
      <c r="DF468" s="9">
        <f>+Risultati!AJ467</f>
        <v>0</v>
      </c>
      <c r="DG468" s="31" t="str">
        <f t="shared" si="382"/>
        <v>0</v>
      </c>
      <c r="DH468" s="9">
        <f t="shared" si="383"/>
        <v>0</v>
      </c>
      <c r="DI468" s="31" t="str">
        <f t="shared" si="384"/>
        <v>0</v>
      </c>
      <c r="DJ468" s="9">
        <f>+Risultati!AW467</f>
        <v>0</v>
      </c>
      <c r="DK468" s="31" t="str">
        <f t="shared" si="385"/>
        <v>0</v>
      </c>
      <c r="DL468" s="10">
        <f t="shared" si="407"/>
        <v>0</v>
      </c>
      <c r="DM468" s="31" t="str">
        <f t="shared" si="386"/>
        <v>0</v>
      </c>
      <c r="DO468" s="30"/>
      <c r="DP468" s="30"/>
    </row>
    <row r="469" spans="1:120" x14ac:dyDescent="0.2">
      <c r="A469" s="5"/>
      <c r="B469" s="6">
        <f>+Risultati!B468</f>
        <v>0</v>
      </c>
      <c r="C469" s="6">
        <f>+Risultati!C468</f>
        <v>0</v>
      </c>
      <c r="D469" s="26" t="str">
        <f>IF(YEAR(Risultati!D468)=1900,(MID(Risultati!$AP$1,29,4)),YEAR(Risultati!D468))</f>
        <v/>
      </c>
      <c r="E469" s="6">
        <f>+Risultati!E468</f>
        <v>0</v>
      </c>
      <c r="F469" s="8" t="e">
        <f>(LEFT(Risultati!AN468,2)&amp;"-")&amp;VLOOKUP((LEFT(Risultati!AN468,2)),ateco!$B$4:$C$93,2,FALSE)</f>
        <v>#N/A</v>
      </c>
      <c r="G469" s="8" t="str">
        <f>SUBSTITUTE((Risultati!AN468&amp;"-"&amp;Risultati!AO468),",",";")</f>
        <v>-</v>
      </c>
      <c r="I469" s="10">
        <f>+Risultati!G468</f>
        <v>0</v>
      </c>
      <c r="J469" s="11" t="str">
        <f t="shared" si="389"/>
        <v>0</v>
      </c>
      <c r="K469" s="12"/>
      <c r="L469" s="10">
        <f>+Risultati!G468+Risultati!H468</f>
        <v>0</v>
      </c>
      <c r="M469" s="11" t="str">
        <f t="shared" si="390"/>
        <v>0</v>
      </c>
      <c r="N469" s="12"/>
      <c r="O469" s="10">
        <f>+Risultati!I468+Risultati!J468</f>
        <v>0</v>
      </c>
      <c r="P469" s="11" t="str">
        <f t="shared" si="391"/>
        <v>0</v>
      </c>
      <c r="Q469" s="12"/>
      <c r="R469" s="13">
        <f t="shared" si="357"/>
        <v>0</v>
      </c>
      <c r="S469" s="11" t="str">
        <f t="shared" si="392"/>
        <v>0</v>
      </c>
      <c r="T469" s="12"/>
      <c r="U469" s="10">
        <f>+Risultati!F468-(Risultati!G468+Risultati!H468)</f>
        <v>0</v>
      </c>
      <c r="V469" s="12" t="str">
        <f t="shared" si="393"/>
        <v>0</v>
      </c>
      <c r="W469" s="12"/>
      <c r="X469" s="10">
        <f t="shared" si="358"/>
        <v>0</v>
      </c>
      <c r="Y469" s="12" t="str">
        <f t="shared" si="394"/>
        <v>0</v>
      </c>
      <c r="Z469" s="12"/>
      <c r="AA469" s="10">
        <f>+Risultati!K468</f>
        <v>0</v>
      </c>
      <c r="AB469" s="12" t="str">
        <f t="shared" si="395"/>
        <v>0</v>
      </c>
      <c r="AC469" s="12"/>
      <c r="AD469" s="10">
        <f>+Risultati!L468</f>
        <v>0</v>
      </c>
      <c r="AE469" s="12" t="str">
        <f t="shared" si="396"/>
        <v>0</v>
      </c>
      <c r="AF469" s="12"/>
      <c r="AG469" s="10">
        <f>+Risultati!M468+Risultati!P468+Risultati!Q468</f>
        <v>0</v>
      </c>
      <c r="AH469" s="12" t="str">
        <f t="shared" si="397"/>
        <v>0</v>
      </c>
      <c r="AI469" s="12"/>
      <c r="AJ469" s="13">
        <f t="shared" si="359"/>
        <v>0</v>
      </c>
      <c r="AK469" s="11" t="str">
        <f t="shared" si="398"/>
        <v>0</v>
      </c>
      <c r="AL469" s="12"/>
      <c r="AM469" s="10">
        <f>+Risultati!N468</f>
        <v>0</v>
      </c>
      <c r="AN469" s="12" t="str">
        <f t="shared" si="399"/>
        <v>0</v>
      </c>
      <c r="AO469" s="12"/>
      <c r="AP469" s="10">
        <f t="shared" si="360"/>
        <v>0</v>
      </c>
      <c r="AQ469" s="41" t="str">
        <f t="shared" si="400"/>
        <v>0</v>
      </c>
      <c r="AR469" s="12"/>
      <c r="AS469" s="10">
        <f>+Risultati!O468</f>
        <v>0</v>
      </c>
      <c r="AT469" s="12" t="str">
        <f t="shared" si="401"/>
        <v>0</v>
      </c>
      <c r="AU469" s="12"/>
      <c r="AV469" s="10">
        <f t="shared" si="361"/>
        <v>0</v>
      </c>
      <c r="AW469" s="12" t="str">
        <f t="shared" si="402"/>
        <v>0</v>
      </c>
      <c r="AX469" s="12"/>
      <c r="AY469" s="10">
        <f>+Risultati!R468+Risultati!S468</f>
        <v>0</v>
      </c>
      <c r="AZ469" s="12" t="str">
        <f t="shared" si="403"/>
        <v>0</v>
      </c>
      <c r="BA469" s="12"/>
      <c r="BB469" s="10">
        <f>+Risultati!T468</f>
        <v>0</v>
      </c>
      <c r="BC469" s="12" t="str">
        <f t="shared" si="404"/>
        <v>0</v>
      </c>
      <c r="BD469" s="12"/>
      <c r="BE469" s="10">
        <f>+Risultati!U468</f>
        <v>0</v>
      </c>
      <c r="BF469" s="12" t="str">
        <f t="shared" si="405"/>
        <v>0</v>
      </c>
      <c r="BG469" s="12"/>
      <c r="BH469" s="10">
        <f t="shared" si="362"/>
        <v>0</v>
      </c>
      <c r="BI469" s="12" t="str">
        <f t="shared" si="406"/>
        <v>0</v>
      </c>
      <c r="BK469" s="16">
        <f>IF(ISNUMBER(Risultati!X468/100),(Risultati!X468/100))</f>
        <v>0</v>
      </c>
      <c r="BL469" s="16">
        <f>IF(ISNUMBER(Risultati!Y468/100),(Risultati!Y468/100))</f>
        <v>0</v>
      </c>
      <c r="BM469" s="16">
        <f>IF(ISNUMBER(Risultati!Z468/100),(Risultati!Z468/100))</f>
        <v>0</v>
      </c>
      <c r="BN469" s="16">
        <f>IF(AND(Risultati!AY468&lt;0,calcoli!AP469&lt;0),-IF(ISNUMBER(Risultati!AA468/100),(Risultati!AA468/100)),IF(ISNUMBER(Risultati!AA468/100),(Risultati!AA468/100)))</f>
        <v>0</v>
      </c>
      <c r="BO469" s="16" t="str">
        <f t="shared" si="387"/>
        <v>0</v>
      </c>
      <c r="BP469" s="16" t="str">
        <f>IF(Risultati!AB468&gt;0,(AV469/Risultati!AB468),"0")</f>
        <v>0</v>
      </c>
      <c r="BQ469" s="16" t="str">
        <f>IF(Risultati!AG468&lt;&gt;0,(BH469/Risultati!AG468),"0")</f>
        <v>0</v>
      </c>
      <c r="BR469" s="16" t="str">
        <f t="shared" si="388"/>
        <v>0</v>
      </c>
      <c r="BS469" s="14" t="str">
        <f>IF(Risultati!AB468&gt;0,(Risultati!G468/Risultati!AB468),"0")</f>
        <v>0</v>
      </c>
      <c r="BT469" s="15" t="str">
        <f>IF(Risultati!AG468&lt;&gt;0,(Risultati!AB468/Risultati!AG468),"0")</f>
        <v>0</v>
      </c>
      <c r="BU469" s="23" t="str">
        <f>IF(AND(Risultati!G468&gt;0,(Risultati!AE468-Risultati!AF468)&gt;=0),((Risultati!AE468-Risultati!AF468)/Risultati!G468*360),"0")</f>
        <v>0</v>
      </c>
      <c r="BV469" s="21" t="str">
        <f>IF(OR(E469="abbreviato",Risultati!G468=0),"0",((Risultati!AC468+Risultati!AD468)/Risultati!G468*360))</f>
        <v>0</v>
      </c>
      <c r="BW469" s="21" t="str">
        <f>IF(OR(E469="abbreviato",Risultati!G468=0,SUM(Risultati!I468+Risultati!K468+Risultati!M468)=0),"0",(((Risultati!AH468+Risultati!AI468)/(Risultati!I468+Risultati!K468+Risultati!N468)*360)))</f>
        <v>0</v>
      </c>
      <c r="BX469" s="16" t="str">
        <f>IF(Risultati!AB468&gt;0,(+Risultati!AG468/Risultati!AB468),"0")</f>
        <v>0</v>
      </c>
      <c r="BY469" s="22" t="str">
        <f>IF(OR(E469="abbreviato",Risultati!G468=0),"0",(((Risultati!AK468-(Risultati!AL468+Risultati!AM468))/Risultati!G468)))</f>
        <v>0</v>
      </c>
      <c r="BZ469" s="16" t="str">
        <f>IF(Risultati!G468&gt;0,(Risultati!AJ468/Risultati!G468),"0")</f>
        <v>0</v>
      </c>
      <c r="CA469" s="8"/>
      <c r="CB469" s="9">
        <f>+Risultati!AP468</f>
        <v>0</v>
      </c>
      <c r="CC469" s="31" t="str">
        <f t="shared" si="363"/>
        <v>0</v>
      </c>
      <c r="CD469" s="9">
        <f>+Risultati!AQ468</f>
        <v>0</v>
      </c>
      <c r="CE469" s="31" t="str">
        <f t="shared" si="364"/>
        <v>0</v>
      </c>
      <c r="CF469" s="9">
        <f>+Risultati!AR468</f>
        <v>0</v>
      </c>
      <c r="CG469" s="31" t="str">
        <f t="shared" si="365"/>
        <v>0</v>
      </c>
      <c r="CH469" s="9">
        <f>+Risultati!AS468</f>
        <v>0</v>
      </c>
      <c r="CI469" s="31" t="str">
        <f t="shared" si="366"/>
        <v>0</v>
      </c>
      <c r="CJ469" s="9">
        <f t="shared" si="367"/>
        <v>0</v>
      </c>
      <c r="CK469" s="31" t="str">
        <f t="shared" si="368"/>
        <v>0</v>
      </c>
      <c r="CL469" s="10">
        <f>+Risultati!AE468+Risultati!AF468</f>
        <v>0</v>
      </c>
      <c r="CM469" s="31" t="str">
        <f t="shared" si="369"/>
        <v>0</v>
      </c>
      <c r="CN469" s="9">
        <f>+Risultati!AT468</f>
        <v>0</v>
      </c>
      <c r="CO469" s="31" t="str">
        <f t="shared" si="370"/>
        <v>0</v>
      </c>
      <c r="CP469" s="9">
        <f>+Risultati!AU468</f>
        <v>0</v>
      </c>
      <c r="CQ469" s="31" t="str">
        <f t="shared" si="371"/>
        <v>0</v>
      </c>
      <c r="CR469" s="9">
        <f>+Risultati!AL468</f>
        <v>0</v>
      </c>
      <c r="CS469" s="31" t="str">
        <f t="shared" si="372"/>
        <v>0</v>
      </c>
      <c r="CT469" s="9">
        <f t="shared" si="373"/>
        <v>0</v>
      </c>
      <c r="CU469" s="31" t="str">
        <f t="shared" si="374"/>
        <v>0</v>
      </c>
      <c r="CV469" s="9">
        <f>+Risultati!AX468</f>
        <v>0</v>
      </c>
      <c r="CW469" s="31" t="str">
        <f t="shared" si="375"/>
        <v>0</v>
      </c>
      <c r="CX469" s="9">
        <f t="shared" si="376"/>
        <v>0</v>
      </c>
      <c r="CY469" s="31" t="str">
        <f t="shared" si="377"/>
        <v>0</v>
      </c>
      <c r="CZ469" s="9">
        <f>+Risultati!AG468</f>
        <v>0</v>
      </c>
      <c r="DA469" s="31" t="str">
        <f t="shared" si="378"/>
        <v>0</v>
      </c>
      <c r="DB469" s="9">
        <f t="shared" si="379"/>
        <v>0</v>
      </c>
      <c r="DC469" s="31" t="str">
        <f t="shared" si="380"/>
        <v>0</v>
      </c>
      <c r="DD469" s="9">
        <f>+Risultati!AV468</f>
        <v>0</v>
      </c>
      <c r="DE469" s="31" t="str">
        <f t="shared" si="381"/>
        <v>0</v>
      </c>
      <c r="DF469" s="9">
        <f>+Risultati!AJ468</f>
        <v>0</v>
      </c>
      <c r="DG469" s="31" t="str">
        <f t="shared" si="382"/>
        <v>0</v>
      </c>
      <c r="DH469" s="9">
        <f t="shared" si="383"/>
        <v>0</v>
      </c>
      <c r="DI469" s="31" t="str">
        <f t="shared" si="384"/>
        <v>0</v>
      </c>
      <c r="DJ469" s="9">
        <f>+Risultati!AW468</f>
        <v>0</v>
      </c>
      <c r="DK469" s="31" t="str">
        <f t="shared" si="385"/>
        <v>0</v>
      </c>
      <c r="DL469" s="10">
        <f t="shared" si="407"/>
        <v>0</v>
      </c>
      <c r="DM469" s="31" t="str">
        <f t="shared" si="386"/>
        <v>0</v>
      </c>
      <c r="DO469" s="30"/>
      <c r="DP469" s="30"/>
    </row>
    <row r="470" spans="1:120" x14ac:dyDescent="0.2">
      <c r="A470" s="5"/>
      <c r="B470" s="6">
        <f>+Risultati!B469</f>
        <v>0</v>
      </c>
      <c r="C470" s="6">
        <f>+Risultati!C469</f>
        <v>0</v>
      </c>
      <c r="D470" s="26" t="str">
        <f>IF(YEAR(Risultati!D469)=1900,(MID(Risultati!$AP$1,29,4)),YEAR(Risultati!D469))</f>
        <v/>
      </c>
      <c r="E470" s="6">
        <f>+Risultati!E469</f>
        <v>0</v>
      </c>
      <c r="F470" s="8" t="e">
        <f>(LEFT(Risultati!AN469,2)&amp;"-")&amp;VLOOKUP((LEFT(Risultati!AN469,2)),ateco!$B$4:$C$93,2,FALSE)</f>
        <v>#N/A</v>
      </c>
      <c r="G470" s="8" t="str">
        <f>SUBSTITUTE((Risultati!AN469&amp;"-"&amp;Risultati!AO469),",",";")</f>
        <v>-</v>
      </c>
      <c r="I470" s="10">
        <f>+Risultati!G469</f>
        <v>0</v>
      </c>
      <c r="J470" s="11" t="str">
        <f t="shared" si="389"/>
        <v>0</v>
      </c>
      <c r="K470" s="12"/>
      <c r="L470" s="10">
        <f>+Risultati!G469+Risultati!H469</f>
        <v>0</v>
      </c>
      <c r="M470" s="11" t="str">
        <f t="shared" si="390"/>
        <v>0</v>
      </c>
      <c r="N470" s="12"/>
      <c r="O470" s="10">
        <f>+Risultati!I469+Risultati!J469</f>
        <v>0</v>
      </c>
      <c r="P470" s="11" t="str">
        <f t="shared" si="391"/>
        <v>0</v>
      </c>
      <c r="Q470" s="12"/>
      <c r="R470" s="13">
        <f t="shared" si="357"/>
        <v>0</v>
      </c>
      <c r="S470" s="11" t="str">
        <f t="shared" si="392"/>
        <v>0</v>
      </c>
      <c r="T470" s="12"/>
      <c r="U470" s="10">
        <f>+Risultati!F469-(Risultati!G469+Risultati!H469)</f>
        <v>0</v>
      </c>
      <c r="V470" s="12" t="str">
        <f t="shared" si="393"/>
        <v>0</v>
      </c>
      <c r="W470" s="12"/>
      <c r="X470" s="10">
        <f t="shared" si="358"/>
        <v>0</v>
      </c>
      <c r="Y470" s="12" t="str">
        <f t="shared" si="394"/>
        <v>0</v>
      </c>
      <c r="Z470" s="12"/>
      <c r="AA470" s="10">
        <f>+Risultati!K469</f>
        <v>0</v>
      </c>
      <c r="AB470" s="12" t="str">
        <f t="shared" si="395"/>
        <v>0</v>
      </c>
      <c r="AC470" s="12"/>
      <c r="AD470" s="10">
        <f>+Risultati!L469</f>
        <v>0</v>
      </c>
      <c r="AE470" s="12" t="str">
        <f t="shared" si="396"/>
        <v>0</v>
      </c>
      <c r="AF470" s="12"/>
      <c r="AG470" s="10">
        <f>+Risultati!M469+Risultati!P469+Risultati!Q469</f>
        <v>0</v>
      </c>
      <c r="AH470" s="12" t="str">
        <f t="shared" si="397"/>
        <v>0</v>
      </c>
      <c r="AI470" s="12"/>
      <c r="AJ470" s="13">
        <f t="shared" si="359"/>
        <v>0</v>
      </c>
      <c r="AK470" s="11" t="str">
        <f t="shared" si="398"/>
        <v>0</v>
      </c>
      <c r="AL470" s="12"/>
      <c r="AM470" s="10">
        <f>+Risultati!N469</f>
        <v>0</v>
      </c>
      <c r="AN470" s="12" t="str">
        <f t="shared" si="399"/>
        <v>0</v>
      </c>
      <c r="AO470" s="12"/>
      <c r="AP470" s="10">
        <f t="shared" si="360"/>
        <v>0</v>
      </c>
      <c r="AQ470" s="41" t="str">
        <f t="shared" si="400"/>
        <v>0</v>
      </c>
      <c r="AR470" s="12"/>
      <c r="AS470" s="10">
        <f>+Risultati!O469</f>
        <v>0</v>
      </c>
      <c r="AT470" s="12" t="str">
        <f t="shared" si="401"/>
        <v>0</v>
      </c>
      <c r="AU470" s="12"/>
      <c r="AV470" s="10">
        <f t="shared" si="361"/>
        <v>0</v>
      </c>
      <c r="AW470" s="12" t="str">
        <f t="shared" si="402"/>
        <v>0</v>
      </c>
      <c r="AX470" s="12"/>
      <c r="AY470" s="10">
        <f>+Risultati!R469+Risultati!S469</f>
        <v>0</v>
      </c>
      <c r="AZ470" s="12" t="str">
        <f t="shared" si="403"/>
        <v>0</v>
      </c>
      <c r="BA470" s="12"/>
      <c r="BB470" s="10">
        <f>+Risultati!T469</f>
        <v>0</v>
      </c>
      <c r="BC470" s="12" t="str">
        <f t="shared" si="404"/>
        <v>0</v>
      </c>
      <c r="BD470" s="12"/>
      <c r="BE470" s="10">
        <f>+Risultati!U469</f>
        <v>0</v>
      </c>
      <c r="BF470" s="12" t="str">
        <f t="shared" si="405"/>
        <v>0</v>
      </c>
      <c r="BG470" s="12"/>
      <c r="BH470" s="10">
        <f t="shared" si="362"/>
        <v>0</v>
      </c>
      <c r="BI470" s="12" t="str">
        <f t="shared" si="406"/>
        <v>0</v>
      </c>
      <c r="BK470" s="16">
        <f>IF(ISNUMBER(Risultati!X469/100),(Risultati!X469/100))</f>
        <v>0</v>
      </c>
      <c r="BL470" s="16">
        <f>IF(ISNUMBER(Risultati!Y469/100),(Risultati!Y469/100))</f>
        <v>0</v>
      </c>
      <c r="BM470" s="16">
        <f>IF(ISNUMBER(Risultati!Z469/100),(Risultati!Z469/100))</f>
        <v>0</v>
      </c>
      <c r="BN470" s="16">
        <f>IF(AND(Risultati!AY469&lt;0,calcoli!AP470&lt;0),-IF(ISNUMBER(Risultati!AA469/100),(Risultati!AA469/100)),IF(ISNUMBER(Risultati!AA469/100),(Risultati!AA469/100)))</f>
        <v>0</v>
      </c>
      <c r="BO470" s="16" t="str">
        <f t="shared" si="387"/>
        <v>0</v>
      </c>
      <c r="BP470" s="16" t="str">
        <f>IF(Risultati!AB469&gt;0,(AV470/Risultati!AB469),"0")</f>
        <v>0</v>
      </c>
      <c r="BQ470" s="16" t="str">
        <f>IF(Risultati!AG469&lt;&gt;0,(BH470/Risultati!AG469),"0")</f>
        <v>0</v>
      </c>
      <c r="BR470" s="16" t="str">
        <f t="shared" si="388"/>
        <v>0</v>
      </c>
      <c r="BS470" s="14" t="str">
        <f>IF(Risultati!AB469&gt;0,(Risultati!G469/Risultati!AB469),"0")</f>
        <v>0</v>
      </c>
      <c r="BT470" s="15" t="str">
        <f>IF(Risultati!AG469&lt;&gt;0,(Risultati!AB469/Risultati!AG469),"0")</f>
        <v>0</v>
      </c>
      <c r="BU470" s="23" t="str">
        <f>IF(AND(Risultati!G469&gt;0,(Risultati!AE469-Risultati!AF469)&gt;=0),((Risultati!AE469-Risultati!AF469)/Risultati!G469*360),"0")</f>
        <v>0</v>
      </c>
      <c r="BV470" s="21" t="str">
        <f>IF(OR(E470="abbreviato",Risultati!G469=0),"0",((Risultati!AC469+Risultati!AD469)/Risultati!G469*360))</f>
        <v>0</v>
      </c>
      <c r="BW470" s="21" t="str">
        <f>IF(OR(E470="abbreviato",Risultati!G469=0,SUM(Risultati!I469+Risultati!K469+Risultati!M469)=0),"0",(((Risultati!AH469+Risultati!AI469)/(Risultati!I469+Risultati!K469+Risultati!N469)*360)))</f>
        <v>0</v>
      </c>
      <c r="BX470" s="16" t="str">
        <f>IF(Risultati!AB469&gt;0,(+Risultati!AG469/Risultati!AB469),"0")</f>
        <v>0</v>
      </c>
      <c r="BY470" s="22" t="str">
        <f>IF(OR(E470="abbreviato",Risultati!G469=0),"0",(((Risultati!AK469-(Risultati!AL469+Risultati!AM469))/Risultati!G469)))</f>
        <v>0</v>
      </c>
      <c r="BZ470" s="16" t="str">
        <f>IF(Risultati!G469&gt;0,(Risultati!AJ469/Risultati!G469),"0")</f>
        <v>0</v>
      </c>
      <c r="CA470" s="8"/>
      <c r="CB470" s="9">
        <f>+Risultati!AP469</f>
        <v>0</v>
      </c>
      <c r="CC470" s="31" t="str">
        <f t="shared" si="363"/>
        <v>0</v>
      </c>
      <c r="CD470" s="9">
        <f>+Risultati!AQ469</f>
        <v>0</v>
      </c>
      <c r="CE470" s="31" t="str">
        <f t="shared" si="364"/>
        <v>0</v>
      </c>
      <c r="CF470" s="9">
        <f>+Risultati!AR469</f>
        <v>0</v>
      </c>
      <c r="CG470" s="31" t="str">
        <f t="shared" si="365"/>
        <v>0</v>
      </c>
      <c r="CH470" s="9">
        <f>+Risultati!AS469</f>
        <v>0</v>
      </c>
      <c r="CI470" s="31" t="str">
        <f t="shared" si="366"/>
        <v>0</v>
      </c>
      <c r="CJ470" s="9">
        <f t="shared" si="367"/>
        <v>0</v>
      </c>
      <c r="CK470" s="31" t="str">
        <f t="shared" si="368"/>
        <v>0</v>
      </c>
      <c r="CL470" s="10">
        <f>+Risultati!AE469+Risultati!AF469</f>
        <v>0</v>
      </c>
      <c r="CM470" s="31" t="str">
        <f t="shared" si="369"/>
        <v>0</v>
      </c>
      <c r="CN470" s="9">
        <f>+Risultati!AT469</f>
        <v>0</v>
      </c>
      <c r="CO470" s="31" t="str">
        <f t="shared" si="370"/>
        <v>0</v>
      </c>
      <c r="CP470" s="9">
        <f>+Risultati!AU469</f>
        <v>0</v>
      </c>
      <c r="CQ470" s="31" t="str">
        <f t="shared" si="371"/>
        <v>0</v>
      </c>
      <c r="CR470" s="9">
        <f>+Risultati!AL469</f>
        <v>0</v>
      </c>
      <c r="CS470" s="31" t="str">
        <f t="shared" si="372"/>
        <v>0</v>
      </c>
      <c r="CT470" s="9">
        <f t="shared" si="373"/>
        <v>0</v>
      </c>
      <c r="CU470" s="31" t="str">
        <f t="shared" si="374"/>
        <v>0</v>
      </c>
      <c r="CV470" s="9">
        <f>+Risultati!AX469</f>
        <v>0</v>
      </c>
      <c r="CW470" s="31" t="str">
        <f t="shared" si="375"/>
        <v>0</v>
      </c>
      <c r="CX470" s="9">
        <f t="shared" si="376"/>
        <v>0</v>
      </c>
      <c r="CY470" s="31" t="str">
        <f t="shared" si="377"/>
        <v>0</v>
      </c>
      <c r="CZ470" s="9">
        <f>+Risultati!AG469</f>
        <v>0</v>
      </c>
      <c r="DA470" s="31" t="str">
        <f t="shared" si="378"/>
        <v>0</v>
      </c>
      <c r="DB470" s="9">
        <f t="shared" si="379"/>
        <v>0</v>
      </c>
      <c r="DC470" s="31" t="str">
        <f t="shared" si="380"/>
        <v>0</v>
      </c>
      <c r="DD470" s="9">
        <f>+Risultati!AV469</f>
        <v>0</v>
      </c>
      <c r="DE470" s="31" t="str">
        <f t="shared" si="381"/>
        <v>0</v>
      </c>
      <c r="DF470" s="9">
        <f>+Risultati!AJ469</f>
        <v>0</v>
      </c>
      <c r="DG470" s="31" t="str">
        <f t="shared" si="382"/>
        <v>0</v>
      </c>
      <c r="DH470" s="9">
        <f t="shared" si="383"/>
        <v>0</v>
      </c>
      <c r="DI470" s="31" t="str">
        <f t="shared" si="384"/>
        <v>0</v>
      </c>
      <c r="DJ470" s="9">
        <f>+Risultati!AW469</f>
        <v>0</v>
      </c>
      <c r="DK470" s="31" t="str">
        <f t="shared" si="385"/>
        <v>0</v>
      </c>
      <c r="DL470" s="10">
        <f t="shared" si="407"/>
        <v>0</v>
      </c>
      <c r="DM470" s="31" t="str">
        <f t="shared" si="386"/>
        <v>0</v>
      </c>
      <c r="DO470" s="30"/>
      <c r="DP470" s="30"/>
    </row>
    <row r="471" spans="1:120" x14ac:dyDescent="0.2">
      <c r="A471" s="5"/>
      <c r="B471" s="6">
        <f>+Risultati!B470</f>
        <v>0</v>
      </c>
      <c r="C471" s="6">
        <f>+Risultati!C470</f>
        <v>0</v>
      </c>
      <c r="D471" s="26" t="str">
        <f>IF(YEAR(Risultati!D470)=1900,(MID(Risultati!$AP$1,29,4)),YEAR(Risultati!D470))</f>
        <v/>
      </c>
      <c r="E471" s="6">
        <f>+Risultati!E470</f>
        <v>0</v>
      </c>
      <c r="F471" s="8" t="e">
        <f>(LEFT(Risultati!AN470,2)&amp;"-")&amp;VLOOKUP((LEFT(Risultati!AN470,2)),ateco!$B$4:$C$93,2,FALSE)</f>
        <v>#N/A</v>
      </c>
      <c r="G471" s="8" t="str">
        <f>SUBSTITUTE((Risultati!AN470&amp;"-"&amp;Risultati!AO470),",",";")</f>
        <v>-</v>
      </c>
      <c r="I471" s="10">
        <f>+Risultati!G470</f>
        <v>0</v>
      </c>
      <c r="J471" s="11" t="str">
        <f t="shared" si="389"/>
        <v>0</v>
      </c>
      <c r="K471" s="12"/>
      <c r="L471" s="10">
        <f>+Risultati!G470+Risultati!H470</f>
        <v>0</v>
      </c>
      <c r="M471" s="11" t="str">
        <f t="shared" si="390"/>
        <v>0</v>
      </c>
      <c r="N471" s="12"/>
      <c r="O471" s="10">
        <f>+Risultati!I470+Risultati!J470</f>
        <v>0</v>
      </c>
      <c r="P471" s="11" t="str">
        <f t="shared" si="391"/>
        <v>0</v>
      </c>
      <c r="Q471" s="12"/>
      <c r="R471" s="13">
        <f t="shared" si="357"/>
        <v>0</v>
      </c>
      <c r="S471" s="11" t="str">
        <f t="shared" si="392"/>
        <v>0</v>
      </c>
      <c r="T471" s="12"/>
      <c r="U471" s="10">
        <f>+Risultati!F470-(Risultati!G470+Risultati!H470)</f>
        <v>0</v>
      </c>
      <c r="V471" s="12" t="str">
        <f t="shared" si="393"/>
        <v>0</v>
      </c>
      <c r="W471" s="12"/>
      <c r="X471" s="10">
        <f t="shared" si="358"/>
        <v>0</v>
      </c>
      <c r="Y471" s="12" t="str">
        <f t="shared" si="394"/>
        <v>0</v>
      </c>
      <c r="Z471" s="12"/>
      <c r="AA471" s="10">
        <f>+Risultati!K470</f>
        <v>0</v>
      </c>
      <c r="AB471" s="12" t="str">
        <f t="shared" si="395"/>
        <v>0</v>
      </c>
      <c r="AC471" s="12"/>
      <c r="AD471" s="10">
        <f>+Risultati!L470</f>
        <v>0</v>
      </c>
      <c r="AE471" s="12" t="str">
        <f t="shared" si="396"/>
        <v>0</v>
      </c>
      <c r="AF471" s="12"/>
      <c r="AG471" s="10">
        <f>+Risultati!M470+Risultati!P470+Risultati!Q470</f>
        <v>0</v>
      </c>
      <c r="AH471" s="12" t="str">
        <f t="shared" si="397"/>
        <v>0</v>
      </c>
      <c r="AI471" s="12"/>
      <c r="AJ471" s="13">
        <f t="shared" si="359"/>
        <v>0</v>
      </c>
      <c r="AK471" s="11" t="str">
        <f t="shared" si="398"/>
        <v>0</v>
      </c>
      <c r="AL471" s="12"/>
      <c r="AM471" s="10">
        <f>+Risultati!N470</f>
        <v>0</v>
      </c>
      <c r="AN471" s="12" t="str">
        <f t="shared" si="399"/>
        <v>0</v>
      </c>
      <c r="AO471" s="12"/>
      <c r="AP471" s="10">
        <f t="shared" si="360"/>
        <v>0</v>
      </c>
      <c r="AQ471" s="41" t="str">
        <f t="shared" si="400"/>
        <v>0</v>
      </c>
      <c r="AR471" s="12"/>
      <c r="AS471" s="10">
        <f>+Risultati!O470</f>
        <v>0</v>
      </c>
      <c r="AT471" s="12" t="str">
        <f t="shared" si="401"/>
        <v>0</v>
      </c>
      <c r="AU471" s="12"/>
      <c r="AV471" s="10">
        <f t="shared" si="361"/>
        <v>0</v>
      </c>
      <c r="AW471" s="12" t="str">
        <f t="shared" si="402"/>
        <v>0</v>
      </c>
      <c r="AX471" s="12"/>
      <c r="AY471" s="10">
        <f>+Risultati!R470+Risultati!S470</f>
        <v>0</v>
      </c>
      <c r="AZ471" s="12" t="str">
        <f t="shared" si="403"/>
        <v>0</v>
      </c>
      <c r="BA471" s="12"/>
      <c r="BB471" s="10">
        <f>+Risultati!T470</f>
        <v>0</v>
      </c>
      <c r="BC471" s="12" t="str">
        <f t="shared" si="404"/>
        <v>0</v>
      </c>
      <c r="BD471" s="12"/>
      <c r="BE471" s="10">
        <f>+Risultati!U470</f>
        <v>0</v>
      </c>
      <c r="BF471" s="12" t="str">
        <f t="shared" si="405"/>
        <v>0</v>
      </c>
      <c r="BG471" s="12"/>
      <c r="BH471" s="10">
        <f t="shared" si="362"/>
        <v>0</v>
      </c>
      <c r="BI471" s="12" t="str">
        <f t="shared" si="406"/>
        <v>0</v>
      </c>
      <c r="BK471" s="16">
        <f>IF(ISNUMBER(Risultati!X470/100),(Risultati!X470/100))</f>
        <v>0</v>
      </c>
      <c r="BL471" s="16">
        <f>IF(ISNUMBER(Risultati!Y470/100),(Risultati!Y470/100))</f>
        <v>0</v>
      </c>
      <c r="BM471" s="16">
        <f>IF(ISNUMBER(Risultati!Z470/100),(Risultati!Z470/100))</f>
        <v>0</v>
      </c>
      <c r="BN471" s="16">
        <f>IF(AND(Risultati!AY470&lt;0,calcoli!AP471&lt;0),-IF(ISNUMBER(Risultati!AA470/100),(Risultati!AA470/100)),IF(ISNUMBER(Risultati!AA470/100),(Risultati!AA470/100)))</f>
        <v>0</v>
      </c>
      <c r="BO471" s="16" t="str">
        <f t="shared" si="387"/>
        <v>0</v>
      </c>
      <c r="BP471" s="16" t="str">
        <f>IF(Risultati!AB470&gt;0,(AV471/Risultati!AB470),"0")</f>
        <v>0</v>
      </c>
      <c r="BQ471" s="16" t="str">
        <f>IF(Risultati!AG470&lt;&gt;0,(BH471/Risultati!AG470),"0")</f>
        <v>0</v>
      </c>
      <c r="BR471" s="16" t="str">
        <f t="shared" si="388"/>
        <v>0</v>
      </c>
      <c r="BS471" s="14" t="str">
        <f>IF(Risultati!AB470&gt;0,(Risultati!G470/Risultati!AB470),"0")</f>
        <v>0</v>
      </c>
      <c r="BT471" s="15" t="str">
        <f>IF(Risultati!AG470&lt;&gt;0,(Risultati!AB470/Risultati!AG470),"0")</f>
        <v>0</v>
      </c>
      <c r="BU471" s="23" t="str">
        <f>IF(AND(Risultati!G470&gt;0,(Risultati!AE470-Risultati!AF470)&gt;=0),((Risultati!AE470-Risultati!AF470)/Risultati!G470*360),"0")</f>
        <v>0</v>
      </c>
      <c r="BV471" s="21" t="str">
        <f>IF(OR(E471="abbreviato",Risultati!G470=0),"0",((Risultati!AC470+Risultati!AD470)/Risultati!G470*360))</f>
        <v>0</v>
      </c>
      <c r="BW471" s="21" t="str">
        <f>IF(OR(E471="abbreviato",Risultati!G470=0,SUM(Risultati!I470+Risultati!K470+Risultati!M470)=0),"0",(((Risultati!AH470+Risultati!AI470)/(Risultati!I470+Risultati!K470+Risultati!N470)*360)))</f>
        <v>0</v>
      </c>
      <c r="BX471" s="16" t="str">
        <f>IF(Risultati!AB470&gt;0,(+Risultati!AG470/Risultati!AB470),"0")</f>
        <v>0</v>
      </c>
      <c r="BY471" s="22" t="str">
        <f>IF(OR(E471="abbreviato",Risultati!G470=0),"0",(((Risultati!AK470-(Risultati!AL470+Risultati!AM470))/Risultati!G470)))</f>
        <v>0</v>
      </c>
      <c r="BZ471" s="16" t="str">
        <f>IF(Risultati!G470&gt;0,(Risultati!AJ470/Risultati!G470),"0")</f>
        <v>0</v>
      </c>
      <c r="CA471" s="8"/>
      <c r="CB471" s="9">
        <f>+Risultati!AP470</f>
        <v>0</v>
      </c>
      <c r="CC471" s="31" t="str">
        <f t="shared" si="363"/>
        <v>0</v>
      </c>
      <c r="CD471" s="9">
        <f>+Risultati!AQ470</f>
        <v>0</v>
      </c>
      <c r="CE471" s="31" t="str">
        <f t="shared" si="364"/>
        <v>0</v>
      </c>
      <c r="CF471" s="9">
        <f>+Risultati!AR470</f>
        <v>0</v>
      </c>
      <c r="CG471" s="31" t="str">
        <f t="shared" si="365"/>
        <v>0</v>
      </c>
      <c r="CH471" s="9">
        <f>+Risultati!AS470</f>
        <v>0</v>
      </c>
      <c r="CI471" s="31" t="str">
        <f t="shared" si="366"/>
        <v>0</v>
      </c>
      <c r="CJ471" s="9">
        <f t="shared" si="367"/>
        <v>0</v>
      </c>
      <c r="CK471" s="31" t="str">
        <f t="shared" si="368"/>
        <v>0</v>
      </c>
      <c r="CL471" s="10">
        <f>+Risultati!AE470+Risultati!AF470</f>
        <v>0</v>
      </c>
      <c r="CM471" s="31" t="str">
        <f t="shared" si="369"/>
        <v>0</v>
      </c>
      <c r="CN471" s="9">
        <f>+Risultati!AT470</f>
        <v>0</v>
      </c>
      <c r="CO471" s="31" t="str">
        <f t="shared" si="370"/>
        <v>0</v>
      </c>
      <c r="CP471" s="9">
        <f>+Risultati!AU470</f>
        <v>0</v>
      </c>
      <c r="CQ471" s="31" t="str">
        <f t="shared" si="371"/>
        <v>0</v>
      </c>
      <c r="CR471" s="9">
        <f>+Risultati!AL470</f>
        <v>0</v>
      </c>
      <c r="CS471" s="31" t="str">
        <f t="shared" si="372"/>
        <v>0</v>
      </c>
      <c r="CT471" s="9">
        <f t="shared" si="373"/>
        <v>0</v>
      </c>
      <c r="CU471" s="31" t="str">
        <f t="shared" si="374"/>
        <v>0</v>
      </c>
      <c r="CV471" s="9">
        <f>+Risultati!AX470</f>
        <v>0</v>
      </c>
      <c r="CW471" s="31" t="str">
        <f t="shared" si="375"/>
        <v>0</v>
      </c>
      <c r="CX471" s="9">
        <f t="shared" si="376"/>
        <v>0</v>
      </c>
      <c r="CY471" s="31" t="str">
        <f t="shared" si="377"/>
        <v>0</v>
      </c>
      <c r="CZ471" s="9">
        <f>+Risultati!AG470</f>
        <v>0</v>
      </c>
      <c r="DA471" s="31" t="str">
        <f t="shared" si="378"/>
        <v>0</v>
      </c>
      <c r="DB471" s="9">
        <f t="shared" si="379"/>
        <v>0</v>
      </c>
      <c r="DC471" s="31" t="str">
        <f t="shared" si="380"/>
        <v>0</v>
      </c>
      <c r="DD471" s="9">
        <f>+Risultati!AV470</f>
        <v>0</v>
      </c>
      <c r="DE471" s="31" t="str">
        <f t="shared" si="381"/>
        <v>0</v>
      </c>
      <c r="DF471" s="9">
        <f>+Risultati!AJ470</f>
        <v>0</v>
      </c>
      <c r="DG471" s="31" t="str">
        <f t="shared" si="382"/>
        <v>0</v>
      </c>
      <c r="DH471" s="9">
        <f t="shared" si="383"/>
        <v>0</v>
      </c>
      <c r="DI471" s="31" t="str">
        <f t="shared" si="384"/>
        <v>0</v>
      </c>
      <c r="DJ471" s="9">
        <f>+Risultati!AW470</f>
        <v>0</v>
      </c>
      <c r="DK471" s="31" t="str">
        <f t="shared" si="385"/>
        <v>0</v>
      </c>
      <c r="DL471" s="10">
        <f t="shared" si="407"/>
        <v>0</v>
      </c>
      <c r="DM471" s="31" t="str">
        <f t="shared" si="386"/>
        <v>0</v>
      </c>
      <c r="DO471" s="30"/>
      <c r="DP471" s="30"/>
    </row>
    <row r="472" spans="1:120" x14ac:dyDescent="0.2">
      <c r="A472" s="5"/>
      <c r="B472" s="6">
        <f>+Risultati!B471</f>
        <v>0</v>
      </c>
      <c r="C472" s="6">
        <f>+Risultati!C471</f>
        <v>0</v>
      </c>
      <c r="D472" s="26" t="str">
        <f>IF(YEAR(Risultati!D471)=1900,(MID(Risultati!$AP$1,29,4)),YEAR(Risultati!D471))</f>
        <v/>
      </c>
      <c r="E472" s="6">
        <f>+Risultati!E471</f>
        <v>0</v>
      </c>
      <c r="F472" s="8" t="e">
        <f>(LEFT(Risultati!AN471,2)&amp;"-")&amp;VLOOKUP((LEFT(Risultati!AN471,2)),ateco!$B$4:$C$93,2,FALSE)</f>
        <v>#N/A</v>
      </c>
      <c r="G472" s="8" t="str">
        <f>SUBSTITUTE((Risultati!AN471&amp;"-"&amp;Risultati!AO471),",",";")</f>
        <v>-</v>
      </c>
      <c r="I472" s="10">
        <f>+Risultati!G471</f>
        <v>0</v>
      </c>
      <c r="J472" s="11" t="str">
        <f t="shared" si="389"/>
        <v>0</v>
      </c>
      <c r="K472" s="12"/>
      <c r="L472" s="10">
        <f>+Risultati!G471+Risultati!H471</f>
        <v>0</v>
      </c>
      <c r="M472" s="11" t="str">
        <f t="shared" si="390"/>
        <v>0</v>
      </c>
      <c r="N472" s="12"/>
      <c r="O472" s="10">
        <f>+Risultati!I471+Risultati!J471</f>
        <v>0</v>
      </c>
      <c r="P472" s="11" t="str">
        <f t="shared" si="391"/>
        <v>0</v>
      </c>
      <c r="Q472" s="12"/>
      <c r="R472" s="13">
        <f t="shared" si="357"/>
        <v>0</v>
      </c>
      <c r="S472" s="11" t="str">
        <f t="shared" si="392"/>
        <v>0</v>
      </c>
      <c r="T472" s="12"/>
      <c r="U472" s="10">
        <f>+Risultati!F471-(Risultati!G471+Risultati!H471)</f>
        <v>0</v>
      </c>
      <c r="V472" s="12" t="str">
        <f t="shared" si="393"/>
        <v>0</v>
      </c>
      <c r="W472" s="12"/>
      <c r="X472" s="10">
        <f t="shared" si="358"/>
        <v>0</v>
      </c>
      <c r="Y472" s="12" t="str">
        <f t="shared" si="394"/>
        <v>0</v>
      </c>
      <c r="Z472" s="12"/>
      <c r="AA472" s="10">
        <f>+Risultati!K471</f>
        <v>0</v>
      </c>
      <c r="AB472" s="12" t="str">
        <f t="shared" si="395"/>
        <v>0</v>
      </c>
      <c r="AC472" s="12"/>
      <c r="AD472" s="10">
        <f>+Risultati!L471</f>
        <v>0</v>
      </c>
      <c r="AE472" s="12" t="str">
        <f t="shared" si="396"/>
        <v>0</v>
      </c>
      <c r="AF472" s="12"/>
      <c r="AG472" s="10">
        <f>+Risultati!M471+Risultati!P471+Risultati!Q471</f>
        <v>0</v>
      </c>
      <c r="AH472" s="12" t="str">
        <f t="shared" si="397"/>
        <v>0</v>
      </c>
      <c r="AI472" s="12"/>
      <c r="AJ472" s="13">
        <f t="shared" si="359"/>
        <v>0</v>
      </c>
      <c r="AK472" s="11" t="str">
        <f t="shared" si="398"/>
        <v>0</v>
      </c>
      <c r="AL472" s="12"/>
      <c r="AM472" s="10">
        <f>+Risultati!N471</f>
        <v>0</v>
      </c>
      <c r="AN472" s="12" t="str">
        <f t="shared" si="399"/>
        <v>0</v>
      </c>
      <c r="AO472" s="12"/>
      <c r="AP472" s="10">
        <f t="shared" si="360"/>
        <v>0</v>
      </c>
      <c r="AQ472" s="41" t="str">
        <f t="shared" si="400"/>
        <v>0</v>
      </c>
      <c r="AR472" s="12"/>
      <c r="AS472" s="10">
        <f>+Risultati!O471</f>
        <v>0</v>
      </c>
      <c r="AT472" s="12" t="str">
        <f t="shared" si="401"/>
        <v>0</v>
      </c>
      <c r="AU472" s="12"/>
      <c r="AV472" s="10">
        <f t="shared" si="361"/>
        <v>0</v>
      </c>
      <c r="AW472" s="12" t="str">
        <f t="shared" si="402"/>
        <v>0</v>
      </c>
      <c r="AX472" s="12"/>
      <c r="AY472" s="10">
        <f>+Risultati!R471+Risultati!S471</f>
        <v>0</v>
      </c>
      <c r="AZ472" s="12" t="str">
        <f t="shared" si="403"/>
        <v>0</v>
      </c>
      <c r="BA472" s="12"/>
      <c r="BB472" s="10">
        <f>+Risultati!T471</f>
        <v>0</v>
      </c>
      <c r="BC472" s="12" t="str">
        <f t="shared" si="404"/>
        <v>0</v>
      </c>
      <c r="BD472" s="12"/>
      <c r="BE472" s="10">
        <f>+Risultati!U471</f>
        <v>0</v>
      </c>
      <c r="BF472" s="12" t="str">
        <f t="shared" si="405"/>
        <v>0</v>
      </c>
      <c r="BG472" s="12"/>
      <c r="BH472" s="10">
        <f t="shared" si="362"/>
        <v>0</v>
      </c>
      <c r="BI472" s="12" t="str">
        <f t="shared" si="406"/>
        <v>0</v>
      </c>
      <c r="BK472" s="16">
        <f>IF(ISNUMBER(Risultati!X471/100),(Risultati!X471/100))</f>
        <v>0</v>
      </c>
      <c r="BL472" s="16">
        <f>IF(ISNUMBER(Risultati!Y471/100),(Risultati!Y471/100))</f>
        <v>0</v>
      </c>
      <c r="BM472" s="16">
        <f>IF(ISNUMBER(Risultati!Z471/100),(Risultati!Z471/100))</f>
        <v>0</v>
      </c>
      <c r="BN472" s="16">
        <f>IF(AND(Risultati!AY471&lt;0,calcoli!AP472&lt;0),-IF(ISNUMBER(Risultati!AA471/100),(Risultati!AA471/100)),IF(ISNUMBER(Risultati!AA471/100),(Risultati!AA471/100)))</f>
        <v>0</v>
      </c>
      <c r="BO472" s="16" t="str">
        <f t="shared" si="387"/>
        <v>0</v>
      </c>
      <c r="BP472" s="16" t="str">
        <f>IF(Risultati!AB471&gt;0,(AV472/Risultati!AB471),"0")</f>
        <v>0</v>
      </c>
      <c r="BQ472" s="16" t="str">
        <f>IF(Risultati!AG471&lt;&gt;0,(BH472/Risultati!AG471),"0")</f>
        <v>0</v>
      </c>
      <c r="BR472" s="16" t="str">
        <f t="shared" si="388"/>
        <v>0</v>
      </c>
      <c r="BS472" s="14" t="str">
        <f>IF(Risultati!AB471&gt;0,(Risultati!G471/Risultati!AB471),"0")</f>
        <v>0</v>
      </c>
      <c r="BT472" s="15" t="str">
        <f>IF(Risultati!AG471&lt;&gt;0,(Risultati!AB471/Risultati!AG471),"0")</f>
        <v>0</v>
      </c>
      <c r="BU472" s="23" t="str">
        <f>IF(AND(Risultati!G471&gt;0,(Risultati!AE471-Risultati!AF471)&gt;=0),((Risultati!AE471-Risultati!AF471)/Risultati!G471*360),"0")</f>
        <v>0</v>
      </c>
      <c r="BV472" s="21" t="str">
        <f>IF(OR(E472="abbreviato",Risultati!G471=0),"0",((Risultati!AC471+Risultati!AD471)/Risultati!G471*360))</f>
        <v>0</v>
      </c>
      <c r="BW472" s="21" t="str">
        <f>IF(OR(E472="abbreviato",Risultati!G471=0,SUM(Risultati!I471+Risultati!K471+Risultati!M471)=0),"0",(((Risultati!AH471+Risultati!AI471)/(Risultati!I471+Risultati!K471+Risultati!N471)*360)))</f>
        <v>0</v>
      </c>
      <c r="BX472" s="16" t="str">
        <f>IF(Risultati!AB471&gt;0,(+Risultati!AG471/Risultati!AB471),"0")</f>
        <v>0</v>
      </c>
      <c r="BY472" s="22" t="str">
        <f>IF(OR(E472="abbreviato",Risultati!G471=0),"0",(((Risultati!AK471-(Risultati!AL471+Risultati!AM471))/Risultati!G471)))</f>
        <v>0</v>
      </c>
      <c r="BZ472" s="16" t="str">
        <f>IF(Risultati!G471&gt;0,(Risultati!AJ471/Risultati!G471),"0")</f>
        <v>0</v>
      </c>
      <c r="CA472" s="8"/>
      <c r="CB472" s="9">
        <f>+Risultati!AP471</f>
        <v>0</v>
      </c>
      <c r="CC472" s="31" t="str">
        <f t="shared" si="363"/>
        <v>0</v>
      </c>
      <c r="CD472" s="9">
        <f>+Risultati!AQ471</f>
        <v>0</v>
      </c>
      <c r="CE472" s="31" t="str">
        <f t="shared" si="364"/>
        <v>0</v>
      </c>
      <c r="CF472" s="9">
        <f>+Risultati!AR471</f>
        <v>0</v>
      </c>
      <c r="CG472" s="31" t="str">
        <f t="shared" si="365"/>
        <v>0</v>
      </c>
      <c r="CH472" s="9">
        <f>+Risultati!AS471</f>
        <v>0</v>
      </c>
      <c r="CI472" s="31" t="str">
        <f t="shared" si="366"/>
        <v>0</v>
      </c>
      <c r="CJ472" s="9">
        <f t="shared" si="367"/>
        <v>0</v>
      </c>
      <c r="CK472" s="31" t="str">
        <f t="shared" si="368"/>
        <v>0</v>
      </c>
      <c r="CL472" s="10">
        <f>+Risultati!AE471+Risultati!AF471</f>
        <v>0</v>
      </c>
      <c r="CM472" s="31" t="str">
        <f t="shared" si="369"/>
        <v>0</v>
      </c>
      <c r="CN472" s="9">
        <f>+Risultati!AT471</f>
        <v>0</v>
      </c>
      <c r="CO472" s="31" t="str">
        <f t="shared" si="370"/>
        <v>0</v>
      </c>
      <c r="CP472" s="9">
        <f>+Risultati!AU471</f>
        <v>0</v>
      </c>
      <c r="CQ472" s="31" t="str">
        <f t="shared" si="371"/>
        <v>0</v>
      </c>
      <c r="CR472" s="9">
        <f>+Risultati!AL471</f>
        <v>0</v>
      </c>
      <c r="CS472" s="31" t="str">
        <f t="shared" si="372"/>
        <v>0</v>
      </c>
      <c r="CT472" s="9">
        <f t="shared" si="373"/>
        <v>0</v>
      </c>
      <c r="CU472" s="31" t="str">
        <f t="shared" si="374"/>
        <v>0</v>
      </c>
      <c r="CV472" s="9">
        <f>+Risultati!AX471</f>
        <v>0</v>
      </c>
      <c r="CW472" s="31" t="str">
        <f t="shared" si="375"/>
        <v>0</v>
      </c>
      <c r="CX472" s="9">
        <f t="shared" si="376"/>
        <v>0</v>
      </c>
      <c r="CY472" s="31" t="str">
        <f t="shared" si="377"/>
        <v>0</v>
      </c>
      <c r="CZ472" s="9">
        <f>+Risultati!AG471</f>
        <v>0</v>
      </c>
      <c r="DA472" s="31" t="str">
        <f t="shared" si="378"/>
        <v>0</v>
      </c>
      <c r="DB472" s="9">
        <f t="shared" si="379"/>
        <v>0</v>
      </c>
      <c r="DC472" s="31" t="str">
        <f t="shared" si="380"/>
        <v>0</v>
      </c>
      <c r="DD472" s="9">
        <f>+Risultati!AV471</f>
        <v>0</v>
      </c>
      <c r="DE472" s="31" t="str">
        <f t="shared" si="381"/>
        <v>0</v>
      </c>
      <c r="DF472" s="9">
        <f>+Risultati!AJ471</f>
        <v>0</v>
      </c>
      <c r="DG472" s="31" t="str">
        <f t="shared" si="382"/>
        <v>0</v>
      </c>
      <c r="DH472" s="9">
        <f t="shared" si="383"/>
        <v>0</v>
      </c>
      <c r="DI472" s="31" t="str">
        <f t="shared" si="384"/>
        <v>0</v>
      </c>
      <c r="DJ472" s="9">
        <f>+Risultati!AW471</f>
        <v>0</v>
      </c>
      <c r="DK472" s="31" t="str">
        <f t="shared" si="385"/>
        <v>0</v>
      </c>
      <c r="DL472" s="10">
        <f t="shared" si="407"/>
        <v>0</v>
      </c>
      <c r="DM472" s="31" t="str">
        <f t="shared" si="386"/>
        <v>0</v>
      </c>
      <c r="DO472" s="30"/>
      <c r="DP472" s="30"/>
    </row>
    <row r="473" spans="1:120" x14ac:dyDescent="0.2">
      <c r="A473" s="5"/>
      <c r="B473" s="6">
        <f>+Risultati!B472</f>
        <v>0</v>
      </c>
      <c r="C473" s="6">
        <f>+Risultati!C472</f>
        <v>0</v>
      </c>
      <c r="D473" s="26" t="str">
        <f>IF(YEAR(Risultati!D472)=1900,(MID(Risultati!$AP$1,29,4)),YEAR(Risultati!D472))</f>
        <v/>
      </c>
      <c r="E473" s="6">
        <f>+Risultati!E472</f>
        <v>0</v>
      </c>
      <c r="F473" s="8" t="e">
        <f>(LEFT(Risultati!AN472,2)&amp;"-")&amp;VLOOKUP((LEFT(Risultati!AN472,2)),ateco!$B$4:$C$93,2,FALSE)</f>
        <v>#N/A</v>
      </c>
      <c r="G473" s="8" t="str">
        <f>SUBSTITUTE((Risultati!AN472&amp;"-"&amp;Risultati!AO472),",",";")</f>
        <v>-</v>
      </c>
      <c r="I473" s="10">
        <f>+Risultati!G472</f>
        <v>0</v>
      </c>
      <c r="J473" s="11" t="str">
        <f t="shared" si="389"/>
        <v>0</v>
      </c>
      <c r="K473" s="12"/>
      <c r="L473" s="10">
        <f>+Risultati!G472+Risultati!H472</f>
        <v>0</v>
      </c>
      <c r="M473" s="11" t="str">
        <f t="shared" si="390"/>
        <v>0</v>
      </c>
      <c r="N473" s="12"/>
      <c r="O473" s="10">
        <f>+Risultati!I472+Risultati!J472</f>
        <v>0</v>
      </c>
      <c r="P473" s="11" t="str">
        <f t="shared" si="391"/>
        <v>0</v>
      </c>
      <c r="Q473" s="12"/>
      <c r="R473" s="13">
        <f t="shared" si="357"/>
        <v>0</v>
      </c>
      <c r="S473" s="11" t="str">
        <f t="shared" si="392"/>
        <v>0</v>
      </c>
      <c r="T473" s="12"/>
      <c r="U473" s="10">
        <f>+Risultati!F472-(Risultati!G472+Risultati!H472)</f>
        <v>0</v>
      </c>
      <c r="V473" s="12" t="str">
        <f t="shared" si="393"/>
        <v>0</v>
      </c>
      <c r="W473" s="12"/>
      <c r="X473" s="10">
        <f t="shared" si="358"/>
        <v>0</v>
      </c>
      <c r="Y473" s="12" t="str">
        <f t="shared" si="394"/>
        <v>0</v>
      </c>
      <c r="Z473" s="12"/>
      <c r="AA473" s="10">
        <f>+Risultati!K472</f>
        <v>0</v>
      </c>
      <c r="AB473" s="12" t="str">
        <f t="shared" si="395"/>
        <v>0</v>
      </c>
      <c r="AC473" s="12"/>
      <c r="AD473" s="10">
        <f>+Risultati!L472</f>
        <v>0</v>
      </c>
      <c r="AE473" s="12" t="str">
        <f t="shared" si="396"/>
        <v>0</v>
      </c>
      <c r="AF473" s="12"/>
      <c r="AG473" s="10">
        <f>+Risultati!M472+Risultati!P472+Risultati!Q472</f>
        <v>0</v>
      </c>
      <c r="AH473" s="12" t="str">
        <f t="shared" si="397"/>
        <v>0</v>
      </c>
      <c r="AI473" s="12"/>
      <c r="AJ473" s="13">
        <f t="shared" si="359"/>
        <v>0</v>
      </c>
      <c r="AK473" s="11" t="str">
        <f t="shared" si="398"/>
        <v>0</v>
      </c>
      <c r="AL473" s="12"/>
      <c r="AM473" s="10">
        <f>+Risultati!N472</f>
        <v>0</v>
      </c>
      <c r="AN473" s="12" t="str">
        <f t="shared" si="399"/>
        <v>0</v>
      </c>
      <c r="AO473" s="12"/>
      <c r="AP473" s="10">
        <f t="shared" si="360"/>
        <v>0</v>
      </c>
      <c r="AQ473" s="41" t="str">
        <f t="shared" si="400"/>
        <v>0</v>
      </c>
      <c r="AR473" s="12"/>
      <c r="AS473" s="10">
        <f>+Risultati!O472</f>
        <v>0</v>
      </c>
      <c r="AT473" s="12" t="str">
        <f t="shared" si="401"/>
        <v>0</v>
      </c>
      <c r="AU473" s="12"/>
      <c r="AV473" s="10">
        <f t="shared" si="361"/>
        <v>0</v>
      </c>
      <c r="AW473" s="12" t="str">
        <f t="shared" si="402"/>
        <v>0</v>
      </c>
      <c r="AX473" s="12"/>
      <c r="AY473" s="10">
        <f>+Risultati!R472+Risultati!S472</f>
        <v>0</v>
      </c>
      <c r="AZ473" s="12" t="str">
        <f t="shared" si="403"/>
        <v>0</v>
      </c>
      <c r="BA473" s="12"/>
      <c r="BB473" s="10">
        <f>+Risultati!T472</f>
        <v>0</v>
      </c>
      <c r="BC473" s="12" t="str">
        <f t="shared" si="404"/>
        <v>0</v>
      </c>
      <c r="BD473" s="12"/>
      <c r="BE473" s="10">
        <f>+Risultati!U472</f>
        <v>0</v>
      </c>
      <c r="BF473" s="12" t="str">
        <f t="shared" si="405"/>
        <v>0</v>
      </c>
      <c r="BG473" s="12"/>
      <c r="BH473" s="10">
        <f t="shared" si="362"/>
        <v>0</v>
      </c>
      <c r="BI473" s="12" t="str">
        <f t="shared" si="406"/>
        <v>0</v>
      </c>
      <c r="BK473" s="16">
        <f>IF(ISNUMBER(Risultati!X472/100),(Risultati!X472/100))</f>
        <v>0</v>
      </c>
      <c r="BL473" s="16">
        <f>IF(ISNUMBER(Risultati!Y472/100),(Risultati!Y472/100))</f>
        <v>0</v>
      </c>
      <c r="BM473" s="16">
        <f>IF(ISNUMBER(Risultati!Z472/100),(Risultati!Z472/100))</f>
        <v>0</v>
      </c>
      <c r="BN473" s="16">
        <f>IF(AND(Risultati!AY472&lt;0,calcoli!AP473&lt;0),-IF(ISNUMBER(Risultati!AA472/100),(Risultati!AA472/100)),IF(ISNUMBER(Risultati!AA472/100),(Risultati!AA472/100)))</f>
        <v>0</v>
      </c>
      <c r="BO473" s="16" t="str">
        <f t="shared" si="387"/>
        <v>0</v>
      </c>
      <c r="BP473" s="16" t="str">
        <f>IF(Risultati!AB472&gt;0,(AV473/Risultati!AB472),"0")</f>
        <v>0</v>
      </c>
      <c r="BQ473" s="16" t="str">
        <f>IF(Risultati!AG472&lt;&gt;0,(BH473/Risultati!AG472),"0")</f>
        <v>0</v>
      </c>
      <c r="BR473" s="16" t="str">
        <f t="shared" si="388"/>
        <v>0</v>
      </c>
      <c r="BS473" s="14" t="str">
        <f>IF(Risultati!AB472&gt;0,(Risultati!G472/Risultati!AB472),"0")</f>
        <v>0</v>
      </c>
      <c r="BT473" s="15" t="str">
        <f>IF(Risultati!AG472&lt;&gt;0,(Risultati!AB472/Risultati!AG472),"0")</f>
        <v>0</v>
      </c>
      <c r="BU473" s="23" t="str">
        <f>IF(AND(Risultati!G472&gt;0,(Risultati!AE472-Risultati!AF472)&gt;=0),((Risultati!AE472-Risultati!AF472)/Risultati!G472*360),"0")</f>
        <v>0</v>
      </c>
      <c r="BV473" s="21" t="str">
        <f>IF(OR(E473="abbreviato",Risultati!G472=0),"0",((Risultati!AC472+Risultati!AD472)/Risultati!G472*360))</f>
        <v>0</v>
      </c>
      <c r="BW473" s="21" t="str">
        <f>IF(OR(E473="abbreviato",Risultati!G472=0,SUM(Risultati!I472+Risultati!K472+Risultati!M472)=0),"0",(((Risultati!AH472+Risultati!AI472)/(Risultati!I472+Risultati!K472+Risultati!N472)*360)))</f>
        <v>0</v>
      </c>
      <c r="BX473" s="16" t="str">
        <f>IF(Risultati!AB472&gt;0,(+Risultati!AG472/Risultati!AB472),"0")</f>
        <v>0</v>
      </c>
      <c r="BY473" s="22" t="str">
        <f>IF(OR(E473="abbreviato",Risultati!G472=0),"0",(((Risultati!AK472-(Risultati!AL472+Risultati!AM472))/Risultati!G472)))</f>
        <v>0</v>
      </c>
      <c r="BZ473" s="16" t="str">
        <f>IF(Risultati!G472&gt;0,(Risultati!AJ472/Risultati!G472),"0")</f>
        <v>0</v>
      </c>
      <c r="CA473" s="8"/>
      <c r="CB473" s="9">
        <f>+Risultati!AP472</f>
        <v>0</v>
      </c>
      <c r="CC473" s="31" t="str">
        <f t="shared" si="363"/>
        <v>0</v>
      </c>
      <c r="CD473" s="9">
        <f>+Risultati!AQ472</f>
        <v>0</v>
      </c>
      <c r="CE473" s="31" t="str">
        <f t="shared" si="364"/>
        <v>0</v>
      </c>
      <c r="CF473" s="9">
        <f>+Risultati!AR472</f>
        <v>0</v>
      </c>
      <c r="CG473" s="31" t="str">
        <f t="shared" si="365"/>
        <v>0</v>
      </c>
      <c r="CH473" s="9">
        <f>+Risultati!AS472</f>
        <v>0</v>
      </c>
      <c r="CI473" s="31" t="str">
        <f t="shared" si="366"/>
        <v>0</v>
      </c>
      <c r="CJ473" s="9">
        <f t="shared" si="367"/>
        <v>0</v>
      </c>
      <c r="CK473" s="31" t="str">
        <f t="shared" si="368"/>
        <v>0</v>
      </c>
      <c r="CL473" s="10">
        <f>+Risultati!AE472+Risultati!AF472</f>
        <v>0</v>
      </c>
      <c r="CM473" s="31" t="str">
        <f t="shared" si="369"/>
        <v>0</v>
      </c>
      <c r="CN473" s="9">
        <f>+Risultati!AT472</f>
        <v>0</v>
      </c>
      <c r="CO473" s="31" t="str">
        <f t="shared" si="370"/>
        <v>0</v>
      </c>
      <c r="CP473" s="9">
        <f>+Risultati!AU472</f>
        <v>0</v>
      </c>
      <c r="CQ473" s="31" t="str">
        <f t="shared" si="371"/>
        <v>0</v>
      </c>
      <c r="CR473" s="9">
        <f>+Risultati!AL472</f>
        <v>0</v>
      </c>
      <c r="CS473" s="31" t="str">
        <f t="shared" si="372"/>
        <v>0</v>
      </c>
      <c r="CT473" s="9">
        <f t="shared" si="373"/>
        <v>0</v>
      </c>
      <c r="CU473" s="31" t="str">
        <f t="shared" si="374"/>
        <v>0</v>
      </c>
      <c r="CV473" s="9">
        <f>+Risultati!AX472</f>
        <v>0</v>
      </c>
      <c r="CW473" s="31" t="str">
        <f t="shared" si="375"/>
        <v>0</v>
      </c>
      <c r="CX473" s="9">
        <f t="shared" si="376"/>
        <v>0</v>
      </c>
      <c r="CY473" s="31" t="str">
        <f t="shared" si="377"/>
        <v>0</v>
      </c>
      <c r="CZ473" s="9">
        <f>+Risultati!AG472</f>
        <v>0</v>
      </c>
      <c r="DA473" s="31" t="str">
        <f t="shared" si="378"/>
        <v>0</v>
      </c>
      <c r="DB473" s="9">
        <f t="shared" si="379"/>
        <v>0</v>
      </c>
      <c r="DC473" s="31" t="str">
        <f t="shared" si="380"/>
        <v>0</v>
      </c>
      <c r="DD473" s="9">
        <f>+Risultati!AV472</f>
        <v>0</v>
      </c>
      <c r="DE473" s="31" t="str">
        <f t="shared" si="381"/>
        <v>0</v>
      </c>
      <c r="DF473" s="9">
        <f>+Risultati!AJ472</f>
        <v>0</v>
      </c>
      <c r="DG473" s="31" t="str">
        <f t="shared" si="382"/>
        <v>0</v>
      </c>
      <c r="DH473" s="9">
        <f t="shared" si="383"/>
        <v>0</v>
      </c>
      <c r="DI473" s="31" t="str">
        <f t="shared" si="384"/>
        <v>0</v>
      </c>
      <c r="DJ473" s="9">
        <f>+Risultati!AW472</f>
        <v>0</v>
      </c>
      <c r="DK473" s="31" t="str">
        <f t="shared" si="385"/>
        <v>0</v>
      </c>
      <c r="DL473" s="10">
        <f t="shared" si="407"/>
        <v>0</v>
      </c>
      <c r="DM473" s="31" t="str">
        <f t="shared" si="386"/>
        <v>0</v>
      </c>
      <c r="DO473" s="30"/>
      <c r="DP473" s="30"/>
    </row>
    <row r="474" spans="1:120" x14ac:dyDescent="0.2">
      <c r="A474" s="5"/>
      <c r="B474" s="6">
        <f>+Risultati!B473</f>
        <v>0</v>
      </c>
      <c r="C474" s="6">
        <f>+Risultati!C473</f>
        <v>0</v>
      </c>
      <c r="D474" s="26" t="str">
        <f>IF(YEAR(Risultati!D473)=1900,(MID(Risultati!$AP$1,29,4)),YEAR(Risultati!D473))</f>
        <v/>
      </c>
      <c r="E474" s="6">
        <f>+Risultati!E473</f>
        <v>0</v>
      </c>
      <c r="F474" s="8" t="e">
        <f>(LEFT(Risultati!AN473,2)&amp;"-")&amp;VLOOKUP((LEFT(Risultati!AN473,2)),ateco!$B$4:$C$93,2,FALSE)</f>
        <v>#N/A</v>
      </c>
      <c r="G474" s="8" t="str">
        <f>SUBSTITUTE((Risultati!AN473&amp;"-"&amp;Risultati!AO473),",",";")</f>
        <v>-</v>
      </c>
      <c r="I474" s="10">
        <f>+Risultati!G473</f>
        <v>0</v>
      </c>
      <c r="J474" s="11" t="str">
        <f t="shared" si="389"/>
        <v>0</v>
      </c>
      <c r="K474" s="12"/>
      <c r="L474" s="10">
        <f>+Risultati!G473+Risultati!H473</f>
        <v>0</v>
      </c>
      <c r="M474" s="11" t="str">
        <f t="shared" si="390"/>
        <v>0</v>
      </c>
      <c r="N474" s="12"/>
      <c r="O474" s="10">
        <f>+Risultati!I473+Risultati!J473</f>
        <v>0</v>
      </c>
      <c r="P474" s="11" t="str">
        <f t="shared" si="391"/>
        <v>0</v>
      </c>
      <c r="Q474" s="12"/>
      <c r="R474" s="13">
        <f t="shared" ref="R474:R500" si="408">+L474-O474</f>
        <v>0</v>
      </c>
      <c r="S474" s="11" t="str">
        <f t="shared" si="392"/>
        <v>0</v>
      </c>
      <c r="T474" s="12"/>
      <c r="U474" s="10">
        <f>+Risultati!F473-(Risultati!G473+Risultati!H473)</f>
        <v>0</v>
      </c>
      <c r="V474" s="12" t="str">
        <f t="shared" si="393"/>
        <v>0</v>
      </c>
      <c r="W474" s="12"/>
      <c r="X474" s="10">
        <f t="shared" ref="X474:X500" si="409">+U474+R474</f>
        <v>0</v>
      </c>
      <c r="Y474" s="12" t="str">
        <f t="shared" si="394"/>
        <v>0</v>
      </c>
      <c r="Z474" s="12"/>
      <c r="AA474" s="10">
        <f>+Risultati!K473</f>
        <v>0</v>
      </c>
      <c r="AB474" s="12" t="str">
        <f t="shared" si="395"/>
        <v>0</v>
      </c>
      <c r="AC474" s="12"/>
      <c r="AD474" s="10">
        <f>+Risultati!L473</f>
        <v>0</v>
      </c>
      <c r="AE474" s="12" t="str">
        <f t="shared" si="396"/>
        <v>0</v>
      </c>
      <c r="AF474" s="12"/>
      <c r="AG474" s="10">
        <f>+Risultati!M473+Risultati!P473+Risultati!Q473</f>
        <v>0</v>
      </c>
      <c r="AH474" s="12" t="str">
        <f t="shared" si="397"/>
        <v>0</v>
      </c>
      <c r="AI474" s="12"/>
      <c r="AJ474" s="13">
        <f t="shared" ref="AJ474:AJ500" si="410">+X474-AA474-AD474-AG474</f>
        <v>0</v>
      </c>
      <c r="AK474" s="11" t="str">
        <f t="shared" si="398"/>
        <v>0</v>
      </c>
      <c r="AL474" s="12"/>
      <c r="AM474" s="10">
        <f>+Risultati!N473</f>
        <v>0</v>
      </c>
      <c r="AN474" s="12" t="str">
        <f t="shared" si="399"/>
        <v>0</v>
      </c>
      <c r="AO474" s="12"/>
      <c r="AP474" s="10">
        <f t="shared" ref="AP474:AP500" si="411">+AJ474-AM474</f>
        <v>0</v>
      </c>
      <c r="AQ474" s="41" t="str">
        <f t="shared" si="400"/>
        <v>0</v>
      </c>
      <c r="AR474" s="12"/>
      <c r="AS474" s="10">
        <f>+Risultati!O473</f>
        <v>0</v>
      </c>
      <c r="AT474" s="12" t="str">
        <f t="shared" si="401"/>
        <v>0</v>
      </c>
      <c r="AU474" s="12"/>
      <c r="AV474" s="10">
        <f t="shared" ref="AV474:AV500" si="412">+AP474-AS474</f>
        <v>0</v>
      </c>
      <c r="AW474" s="12" t="str">
        <f t="shared" si="402"/>
        <v>0</v>
      </c>
      <c r="AX474" s="12"/>
      <c r="AY474" s="10">
        <f>+Risultati!R473+Risultati!S473</f>
        <v>0</v>
      </c>
      <c r="AZ474" s="12" t="str">
        <f t="shared" si="403"/>
        <v>0</v>
      </c>
      <c r="BA474" s="12"/>
      <c r="BB474" s="10">
        <f>+Risultati!T473</f>
        <v>0</v>
      </c>
      <c r="BC474" s="12" t="str">
        <f t="shared" si="404"/>
        <v>0</v>
      </c>
      <c r="BD474" s="12"/>
      <c r="BE474" s="10">
        <f>+Risultati!U473</f>
        <v>0</v>
      </c>
      <c r="BF474" s="12" t="str">
        <f t="shared" si="405"/>
        <v>0</v>
      </c>
      <c r="BG474" s="12"/>
      <c r="BH474" s="10">
        <f t="shared" ref="BH474:BH500" si="413">+AV474+AY474+BB474-BE474</f>
        <v>0</v>
      </c>
      <c r="BI474" s="12" t="str">
        <f t="shared" si="406"/>
        <v>0</v>
      </c>
      <c r="BK474" s="16">
        <f>IF(ISNUMBER(Risultati!X473/100),(Risultati!X473/100))</f>
        <v>0</v>
      </c>
      <c r="BL474" s="16">
        <f>IF(ISNUMBER(Risultati!Y473/100),(Risultati!Y473/100))</f>
        <v>0</v>
      </c>
      <c r="BM474" s="16">
        <f>IF(ISNUMBER(Risultati!Z473/100),(Risultati!Z473/100))</f>
        <v>0</v>
      </c>
      <c r="BN474" s="16">
        <f>IF(AND(Risultati!AY473&lt;0,calcoli!AP474&lt;0),-IF(ISNUMBER(Risultati!AA473/100),(Risultati!AA473/100)),IF(ISNUMBER(Risultati!AA473/100),(Risultati!AA473/100)))</f>
        <v>0</v>
      </c>
      <c r="BO474" s="16" t="str">
        <f t="shared" si="387"/>
        <v>0</v>
      </c>
      <c r="BP474" s="16" t="str">
        <f>IF(Risultati!AB473&gt;0,(AV474/Risultati!AB473),"0")</f>
        <v>0</v>
      </c>
      <c r="BQ474" s="16" t="str">
        <f>IF(Risultati!AG473&lt;&gt;0,(BH474/Risultati!AG473),"0")</f>
        <v>0</v>
      </c>
      <c r="BR474" s="16" t="str">
        <f t="shared" si="388"/>
        <v>0</v>
      </c>
      <c r="BS474" s="14" t="str">
        <f>IF(Risultati!AB473&gt;0,(Risultati!G473/Risultati!AB473),"0")</f>
        <v>0</v>
      </c>
      <c r="BT474" s="15" t="str">
        <f>IF(Risultati!AG473&lt;&gt;0,(Risultati!AB473/Risultati!AG473),"0")</f>
        <v>0</v>
      </c>
      <c r="BU474" s="23" t="str">
        <f>IF(AND(Risultati!G473&gt;0,(Risultati!AE473-Risultati!AF473)&gt;=0),((Risultati!AE473-Risultati!AF473)/Risultati!G473*360),"0")</f>
        <v>0</v>
      </c>
      <c r="BV474" s="21" t="str">
        <f>IF(OR(E474="abbreviato",Risultati!G473=0),"0",((Risultati!AC473+Risultati!AD473)/Risultati!G473*360))</f>
        <v>0</v>
      </c>
      <c r="BW474" s="21" t="str">
        <f>IF(OR(E474="abbreviato",Risultati!G473=0,SUM(Risultati!I473+Risultati!K473+Risultati!M473)=0),"0",(((Risultati!AH473+Risultati!AI473)/(Risultati!I473+Risultati!K473+Risultati!N473)*360)))</f>
        <v>0</v>
      </c>
      <c r="BX474" s="16" t="str">
        <f>IF(Risultati!AB473&gt;0,(+Risultati!AG473/Risultati!AB473),"0")</f>
        <v>0</v>
      </c>
      <c r="BY474" s="22" t="str">
        <f>IF(OR(E474="abbreviato",Risultati!G473=0),"0",(((Risultati!AK473-(Risultati!AL473+Risultati!AM473))/Risultati!G473)))</f>
        <v>0</v>
      </c>
      <c r="BZ474" s="16" t="str">
        <f>IF(Risultati!G473&gt;0,(Risultati!AJ473/Risultati!G473),"0")</f>
        <v>0</v>
      </c>
      <c r="CA474" s="8"/>
      <c r="CB474" s="9">
        <f>+Risultati!AP473</f>
        <v>0</v>
      </c>
      <c r="CC474" s="31" t="str">
        <f t="shared" ref="CC474:CC500" si="414">IF($CX474&gt;0,(CB474/$CX474),"0")</f>
        <v>0</v>
      </c>
      <c r="CD474" s="9">
        <f>+Risultati!AQ473</f>
        <v>0</v>
      </c>
      <c r="CE474" s="31" t="str">
        <f t="shared" ref="CE474:CE500" si="415">IF($CX474&gt;0,(CD474/$CX474),"0")</f>
        <v>0</v>
      </c>
      <c r="CF474" s="9">
        <f>+Risultati!AR473</f>
        <v>0</v>
      </c>
      <c r="CG474" s="31" t="str">
        <f t="shared" ref="CG474:CG500" si="416">IF($CX474&gt;0,(CF474/$CX474),"0")</f>
        <v>0</v>
      </c>
      <c r="CH474" s="9">
        <f>+Risultati!AS473</f>
        <v>0</v>
      </c>
      <c r="CI474" s="31" t="str">
        <f t="shared" ref="CI474:CI500" si="417">IF($CX474&gt;0,(CH474/$CX474),"0")</f>
        <v>0</v>
      </c>
      <c r="CJ474" s="9">
        <f t="shared" ref="CJ474:CJ500" si="418">+CH474+CF474+CD474</f>
        <v>0</v>
      </c>
      <c r="CK474" s="31" t="str">
        <f t="shared" ref="CK474:CK500" si="419">IF($CX474&gt;0,(CJ474/$CX474),"0")</f>
        <v>0</v>
      </c>
      <c r="CL474" s="10">
        <f>+Risultati!AE473+Risultati!AF473</f>
        <v>0</v>
      </c>
      <c r="CM474" s="31" t="str">
        <f t="shared" ref="CM474:CM500" si="420">IF($CX474&gt;0,(CL474/$CX474),"0")</f>
        <v>0</v>
      </c>
      <c r="CN474" s="9">
        <f>+Risultati!AT473</f>
        <v>0</v>
      </c>
      <c r="CO474" s="31" t="str">
        <f t="shared" ref="CO474:CO500" si="421">IF($CX474&gt;0,(CN474/$CX474),"0")</f>
        <v>0</v>
      </c>
      <c r="CP474" s="9">
        <f>+Risultati!AU473</f>
        <v>0</v>
      </c>
      <c r="CQ474" s="31" t="str">
        <f t="shared" ref="CQ474:CQ500" si="422">IF($CX474&gt;0,(CP474/$CX474),"0")</f>
        <v>0</v>
      </c>
      <c r="CR474" s="9">
        <f>+Risultati!AL473</f>
        <v>0</v>
      </c>
      <c r="CS474" s="31" t="str">
        <f t="shared" ref="CS474:CS500" si="423">IF($CX474&gt;0,(CR474/$CX474),"0")</f>
        <v>0</v>
      </c>
      <c r="CT474" s="9">
        <f t="shared" ref="CT474:CT500" si="424">+CR474+CP474+CN474+CL474</f>
        <v>0</v>
      </c>
      <c r="CU474" s="31" t="str">
        <f t="shared" ref="CU474:CU500" si="425">IF($CX474&gt;0,(CT474/$CX474),"0")</f>
        <v>0</v>
      </c>
      <c r="CV474" s="9">
        <f>+Risultati!AX473</f>
        <v>0</v>
      </c>
      <c r="CW474" s="31" t="str">
        <f t="shared" ref="CW474:CW500" si="426">IF($CX474&gt;0,(CV474/$CX474),"0")</f>
        <v>0</v>
      </c>
      <c r="CX474" s="9">
        <f t="shared" ref="CX474:CX500" si="427">+CV474+CT474+CJ474</f>
        <v>0</v>
      </c>
      <c r="CY474" s="31" t="str">
        <f t="shared" ref="CY474:CY500" si="428">IF($CX474&gt;0,(CX474/$CX474),"0")</f>
        <v>0</v>
      </c>
      <c r="CZ474" s="9">
        <f>+Risultati!AG473</f>
        <v>0</v>
      </c>
      <c r="DA474" s="31" t="str">
        <f t="shared" ref="DA474:DA500" si="429">IF($CX474&gt;0,(CZ474/$CX474),"0")</f>
        <v>0</v>
      </c>
      <c r="DB474" s="9">
        <f t="shared" ref="DB474:DB500" si="430">+DL474-CZ474-DD474-DJ474</f>
        <v>0</v>
      </c>
      <c r="DC474" s="31" t="str">
        <f t="shared" ref="DC474:DC500" si="431">IF($CX474&gt;0,(DB474/$CX474),"0")</f>
        <v>0</v>
      </c>
      <c r="DD474" s="9">
        <f>+Risultati!AV473</f>
        <v>0</v>
      </c>
      <c r="DE474" s="31" t="str">
        <f t="shared" ref="DE474:DE500" si="432">IF($CX474&gt;0,(DD474/$CX474),"0")</f>
        <v>0</v>
      </c>
      <c r="DF474" s="9">
        <f>+Risultati!AJ473</f>
        <v>0</v>
      </c>
      <c r="DG474" s="31" t="str">
        <f t="shared" ref="DG474:DG500" si="433">IF($CX474&gt;0,(DF474/$CX474),"0")</f>
        <v>0</v>
      </c>
      <c r="DH474" s="9">
        <f t="shared" ref="DH474:DH500" si="434">+DD474-DF474</f>
        <v>0</v>
      </c>
      <c r="DI474" s="31" t="str">
        <f t="shared" ref="DI474:DI500" si="435">IF($CX474&gt;0,(DH474/$CX474),"0")</f>
        <v>0</v>
      </c>
      <c r="DJ474" s="9">
        <f>+Risultati!AW473</f>
        <v>0</v>
      </c>
      <c r="DK474" s="31" t="str">
        <f t="shared" ref="DK474:DK500" si="436">IF($CX474&gt;0,(DJ474/$CX474),"0")</f>
        <v>0</v>
      </c>
      <c r="DL474" s="10">
        <f t="shared" si="407"/>
        <v>0</v>
      </c>
      <c r="DM474" s="31" t="str">
        <f t="shared" ref="DM474:DM500" si="437">IF($CX474&gt;0,(DL474/$CX474),"0")</f>
        <v>0</v>
      </c>
      <c r="DO474" s="30"/>
      <c r="DP474" s="30"/>
    </row>
    <row r="475" spans="1:120" x14ac:dyDescent="0.2">
      <c r="A475" s="5"/>
      <c r="B475" s="6">
        <f>+Risultati!B474</f>
        <v>0</v>
      </c>
      <c r="C475" s="6">
        <f>+Risultati!C474</f>
        <v>0</v>
      </c>
      <c r="D475" s="26" t="str">
        <f>IF(YEAR(Risultati!D474)=1900,(MID(Risultati!$AP$1,29,4)),YEAR(Risultati!D474))</f>
        <v/>
      </c>
      <c r="E475" s="6">
        <f>+Risultati!E474</f>
        <v>0</v>
      </c>
      <c r="F475" s="8" t="e">
        <f>(LEFT(Risultati!AN474,2)&amp;"-")&amp;VLOOKUP((LEFT(Risultati!AN474,2)),ateco!$B$4:$C$93,2,FALSE)</f>
        <v>#N/A</v>
      </c>
      <c r="G475" s="8" t="str">
        <f>SUBSTITUTE((Risultati!AN474&amp;"-"&amp;Risultati!AO474),",",";")</f>
        <v>-</v>
      </c>
      <c r="I475" s="10">
        <f>+Risultati!G474</f>
        <v>0</v>
      </c>
      <c r="J475" s="11" t="str">
        <f t="shared" si="389"/>
        <v>0</v>
      </c>
      <c r="K475" s="12"/>
      <c r="L475" s="10">
        <f>+Risultati!G474+Risultati!H474</f>
        <v>0</v>
      </c>
      <c r="M475" s="11" t="str">
        <f t="shared" si="390"/>
        <v>0</v>
      </c>
      <c r="N475" s="12"/>
      <c r="O475" s="10">
        <f>+Risultati!I474+Risultati!J474</f>
        <v>0</v>
      </c>
      <c r="P475" s="11" t="str">
        <f t="shared" si="391"/>
        <v>0</v>
      </c>
      <c r="Q475" s="12"/>
      <c r="R475" s="13">
        <f t="shared" si="408"/>
        <v>0</v>
      </c>
      <c r="S475" s="11" t="str">
        <f t="shared" si="392"/>
        <v>0</v>
      </c>
      <c r="T475" s="12"/>
      <c r="U475" s="10">
        <f>+Risultati!F474-(Risultati!G474+Risultati!H474)</f>
        <v>0</v>
      </c>
      <c r="V475" s="12" t="str">
        <f t="shared" si="393"/>
        <v>0</v>
      </c>
      <c r="W475" s="12"/>
      <c r="X475" s="10">
        <f t="shared" si="409"/>
        <v>0</v>
      </c>
      <c r="Y475" s="12" t="str">
        <f t="shared" si="394"/>
        <v>0</v>
      </c>
      <c r="Z475" s="12"/>
      <c r="AA475" s="10">
        <f>+Risultati!K474</f>
        <v>0</v>
      </c>
      <c r="AB475" s="12" t="str">
        <f t="shared" si="395"/>
        <v>0</v>
      </c>
      <c r="AC475" s="12"/>
      <c r="AD475" s="10">
        <f>+Risultati!L474</f>
        <v>0</v>
      </c>
      <c r="AE475" s="12" t="str">
        <f t="shared" si="396"/>
        <v>0</v>
      </c>
      <c r="AF475" s="12"/>
      <c r="AG475" s="10">
        <f>+Risultati!M474+Risultati!P474+Risultati!Q474</f>
        <v>0</v>
      </c>
      <c r="AH475" s="12" t="str">
        <f t="shared" si="397"/>
        <v>0</v>
      </c>
      <c r="AI475" s="12"/>
      <c r="AJ475" s="13">
        <f t="shared" si="410"/>
        <v>0</v>
      </c>
      <c r="AK475" s="11" t="str">
        <f t="shared" si="398"/>
        <v>0</v>
      </c>
      <c r="AL475" s="12"/>
      <c r="AM475" s="10">
        <f>+Risultati!N474</f>
        <v>0</v>
      </c>
      <c r="AN475" s="12" t="str">
        <f t="shared" si="399"/>
        <v>0</v>
      </c>
      <c r="AO475" s="12"/>
      <c r="AP475" s="10">
        <f t="shared" si="411"/>
        <v>0</v>
      </c>
      <c r="AQ475" s="41" t="str">
        <f t="shared" si="400"/>
        <v>0</v>
      </c>
      <c r="AR475" s="12"/>
      <c r="AS475" s="10">
        <f>+Risultati!O474</f>
        <v>0</v>
      </c>
      <c r="AT475" s="12" t="str">
        <f t="shared" si="401"/>
        <v>0</v>
      </c>
      <c r="AU475" s="12"/>
      <c r="AV475" s="10">
        <f t="shared" si="412"/>
        <v>0</v>
      </c>
      <c r="AW475" s="12" t="str">
        <f t="shared" si="402"/>
        <v>0</v>
      </c>
      <c r="AX475" s="12"/>
      <c r="AY475" s="10">
        <f>+Risultati!R474+Risultati!S474</f>
        <v>0</v>
      </c>
      <c r="AZ475" s="12" t="str">
        <f t="shared" si="403"/>
        <v>0</v>
      </c>
      <c r="BA475" s="12"/>
      <c r="BB475" s="10">
        <f>+Risultati!T474</f>
        <v>0</v>
      </c>
      <c r="BC475" s="12" t="str">
        <f t="shared" si="404"/>
        <v>0</v>
      </c>
      <c r="BD475" s="12"/>
      <c r="BE475" s="10">
        <f>+Risultati!U474</f>
        <v>0</v>
      </c>
      <c r="BF475" s="12" t="str">
        <f t="shared" si="405"/>
        <v>0</v>
      </c>
      <c r="BG475" s="12"/>
      <c r="BH475" s="10">
        <f t="shared" si="413"/>
        <v>0</v>
      </c>
      <c r="BI475" s="12" t="str">
        <f t="shared" si="406"/>
        <v>0</v>
      </c>
      <c r="BK475" s="16">
        <f>IF(ISNUMBER(Risultati!X474/100),(Risultati!X474/100))</f>
        <v>0</v>
      </c>
      <c r="BL475" s="16">
        <f>IF(ISNUMBER(Risultati!Y474/100),(Risultati!Y474/100))</f>
        <v>0</v>
      </c>
      <c r="BM475" s="16">
        <f>IF(ISNUMBER(Risultati!Z474/100),(Risultati!Z474/100))</f>
        <v>0</v>
      </c>
      <c r="BN475" s="16">
        <f>IF(AND(Risultati!AY474&lt;0,calcoli!AP475&lt;0),-IF(ISNUMBER(Risultati!AA474/100),(Risultati!AA474/100)),IF(ISNUMBER(Risultati!AA474/100),(Risultati!AA474/100)))</f>
        <v>0</v>
      </c>
      <c r="BO475" s="16" t="str">
        <f t="shared" si="387"/>
        <v>0</v>
      </c>
      <c r="BP475" s="16" t="str">
        <f>IF(Risultati!AB474&gt;0,(AV475/Risultati!AB474),"0")</f>
        <v>0</v>
      </c>
      <c r="BQ475" s="16" t="str">
        <f>IF(Risultati!AG474&lt;&gt;0,(BH475/Risultati!AG474),"0")</f>
        <v>0</v>
      </c>
      <c r="BR475" s="16" t="str">
        <f t="shared" si="388"/>
        <v>0</v>
      </c>
      <c r="BS475" s="14" t="str">
        <f>IF(Risultati!AB474&gt;0,(Risultati!G474/Risultati!AB474),"0")</f>
        <v>0</v>
      </c>
      <c r="BT475" s="15" t="str">
        <f>IF(Risultati!AG474&lt;&gt;0,(Risultati!AB474/Risultati!AG474),"0")</f>
        <v>0</v>
      </c>
      <c r="BU475" s="23" t="str">
        <f>IF(AND(Risultati!G474&gt;0,(Risultati!AE474-Risultati!AF474)&gt;=0),((Risultati!AE474-Risultati!AF474)/Risultati!G474*360),"0")</f>
        <v>0</v>
      </c>
      <c r="BV475" s="21" t="str">
        <f>IF(OR(E475="abbreviato",Risultati!G474=0),"0",((Risultati!AC474+Risultati!AD474)/Risultati!G474*360))</f>
        <v>0</v>
      </c>
      <c r="BW475" s="21" t="str">
        <f>IF(OR(E475="abbreviato",Risultati!G474=0,SUM(Risultati!I474+Risultati!K474+Risultati!M474)=0),"0",(((Risultati!AH474+Risultati!AI474)/(Risultati!I474+Risultati!K474+Risultati!N474)*360)))</f>
        <v>0</v>
      </c>
      <c r="BX475" s="16" t="str">
        <f>IF(Risultati!AB474&gt;0,(+Risultati!AG474/Risultati!AB474),"0")</f>
        <v>0</v>
      </c>
      <c r="BY475" s="22" t="str">
        <f>IF(OR(E475="abbreviato",Risultati!G474=0),"0",(((Risultati!AK474-(Risultati!AL474+Risultati!AM474))/Risultati!G474)))</f>
        <v>0</v>
      </c>
      <c r="BZ475" s="16" t="str">
        <f>IF(Risultati!G474&gt;0,(Risultati!AJ474/Risultati!G474),"0")</f>
        <v>0</v>
      </c>
      <c r="CA475" s="8"/>
      <c r="CB475" s="9">
        <f>+Risultati!AP474</f>
        <v>0</v>
      </c>
      <c r="CC475" s="31" t="str">
        <f t="shared" si="414"/>
        <v>0</v>
      </c>
      <c r="CD475" s="9">
        <f>+Risultati!AQ474</f>
        <v>0</v>
      </c>
      <c r="CE475" s="31" t="str">
        <f t="shared" si="415"/>
        <v>0</v>
      </c>
      <c r="CF475" s="9">
        <f>+Risultati!AR474</f>
        <v>0</v>
      </c>
      <c r="CG475" s="31" t="str">
        <f t="shared" si="416"/>
        <v>0</v>
      </c>
      <c r="CH475" s="9">
        <f>+Risultati!AS474</f>
        <v>0</v>
      </c>
      <c r="CI475" s="31" t="str">
        <f t="shared" si="417"/>
        <v>0</v>
      </c>
      <c r="CJ475" s="9">
        <f t="shared" si="418"/>
        <v>0</v>
      </c>
      <c r="CK475" s="31" t="str">
        <f t="shared" si="419"/>
        <v>0</v>
      </c>
      <c r="CL475" s="10">
        <f>+Risultati!AE474+Risultati!AF474</f>
        <v>0</v>
      </c>
      <c r="CM475" s="31" t="str">
        <f t="shared" si="420"/>
        <v>0</v>
      </c>
      <c r="CN475" s="9">
        <f>+Risultati!AT474</f>
        <v>0</v>
      </c>
      <c r="CO475" s="31" t="str">
        <f t="shared" si="421"/>
        <v>0</v>
      </c>
      <c r="CP475" s="9">
        <f>+Risultati!AU474</f>
        <v>0</v>
      </c>
      <c r="CQ475" s="31" t="str">
        <f t="shared" si="422"/>
        <v>0</v>
      </c>
      <c r="CR475" s="9">
        <f>+Risultati!AL474</f>
        <v>0</v>
      </c>
      <c r="CS475" s="31" t="str">
        <f t="shared" si="423"/>
        <v>0</v>
      </c>
      <c r="CT475" s="9">
        <f t="shared" si="424"/>
        <v>0</v>
      </c>
      <c r="CU475" s="31" t="str">
        <f t="shared" si="425"/>
        <v>0</v>
      </c>
      <c r="CV475" s="9">
        <f>+Risultati!AX474</f>
        <v>0</v>
      </c>
      <c r="CW475" s="31" t="str">
        <f t="shared" si="426"/>
        <v>0</v>
      </c>
      <c r="CX475" s="9">
        <f t="shared" si="427"/>
        <v>0</v>
      </c>
      <c r="CY475" s="31" t="str">
        <f t="shared" si="428"/>
        <v>0</v>
      </c>
      <c r="CZ475" s="9">
        <f>+Risultati!AG474</f>
        <v>0</v>
      </c>
      <c r="DA475" s="31" t="str">
        <f t="shared" si="429"/>
        <v>0</v>
      </c>
      <c r="DB475" s="9">
        <f t="shared" si="430"/>
        <v>0</v>
      </c>
      <c r="DC475" s="31" t="str">
        <f t="shared" si="431"/>
        <v>0</v>
      </c>
      <c r="DD475" s="9">
        <f>+Risultati!AV474</f>
        <v>0</v>
      </c>
      <c r="DE475" s="31" t="str">
        <f t="shared" si="432"/>
        <v>0</v>
      </c>
      <c r="DF475" s="9">
        <f>+Risultati!AJ474</f>
        <v>0</v>
      </c>
      <c r="DG475" s="31" t="str">
        <f t="shared" si="433"/>
        <v>0</v>
      </c>
      <c r="DH475" s="9">
        <f t="shared" si="434"/>
        <v>0</v>
      </c>
      <c r="DI475" s="31" t="str">
        <f t="shared" si="435"/>
        <v>0</v>
      </c>
      <c r="DJ475" s="9">
        <f>+Risultati!AW474</f>
        <v>0</v>
      </c>
      <c r="DK475" s="31" t="str">
        <f t="shared" si="436"/>
        <v>0</v>
      </c>
      <c r="DL475" s="10">
        <f t="shared" si="407"/>
        <v>0</v>
      </c>
      <c r="DM475" s="31" t="str">
        <f t="shared" si="437"/>
        <v>0</v>
      </c>
      <c r="DO475" s="30"/>
      <c r="DP475" s="30"/>
    </row>
    <row r="476" spans="1:120" x14ac:dyDescent="0.2">
      <c r="A476" s="5"/>
      <c r="B476" s="6">
        <f>+Risultati!B475</f>
        <v>0</v>
      </c>
      <c r="C476" s="6">
        <f>+Risultati!C475</f>
        <v>0</v>
      </c>
      <c r="D476" s="26" t="str">
        <f>IF(YEAR(Risultati!D475)=1900,(MID(Risultati!$AP$1,29,4)),YEAR(Risultati!D475))</f>
        <v/>
      </c>
      <c r="E476" s="6">
        <f>+Risultati!E475</f>
        <v>0</v>
      </c>
      <c r="F476" s="8" t="e">
        <f>(LEFT(Risultati!AN475,2)&amp;"-")&amp;VLOOKUP((LEFT(Risultati!AN475,2)),ateco!$B$4:$C$93,2,FALSE)</f>
        <v>#N/A</v>
      </c>
      <c r="G476" s="8" t="str">
        <f>SUBSTITUTE((Risultati!AN475&amp;"-"&amp;Risultati!AO475),",",";")</f>
        <v>-</v>
      </c>
      <c r="I476" s="10">
        <f>+Risultati!G475</f>
        <v>0</v>
      </c>
      <c r="J476" s="11" t="str">
        <f t="shared" si="389"/>
        <v>0</v>
      </c>
      <c r="K476" s="12"/>
      <c r="L476" s="10">
        <f>+Risultati!G475+Risultati!H475</f>
        <v>0</v>
      </c>
      <c r="M476" s="11" t="str">
        <f t="shared" si="390"/>
        <v>0</v>
      </c>
      <c r="N476" s="12"/>
      <c r="O476" s="10">
        <f>+Risultati!I475+Risultati!J475</f>
        <v>0</v>
      </c>
      <c r="P476" s="11" t="str">
        <f t="shared" si="391"/>
        <v>0</v>
      </c>
      <c r="Q476" s="12"/>
      <c r="R476" s="13">
        <f t="shared" si="408"/>
        <v>0</v>
      </c>
      <c r="S476" s="11" t="str">
        <f t="shared" si="392"/>
        <v>0</v>
      </c>
      <c r="T476" s="12"/>
      <c r="U476" s="10">
        <f>+Risultati!F475-(Risultati!G475+Risultati!H475)</f>
        <v>0</v>
      </c>
      <c r="V476" s="12" t="str">
        <f t="shared" si="393"/>
        <v>0</v>
      </c>
      <c r="W476" s="12"/>
      <c r="X476" s="10">
        <f t="shared" si="409"/>
        <v>0</v>
      </c>
      <c r="Y476" s="12" t="str">
        <f t="shared" si="394"/>
        <v>0</v>
      </c>
      <c r="Z476" s="12"/>
      <c r="AA476" s="10">
        <f>+Risultati!K475</f>
        <v>0</v>
      </c>
      <c r="AB476" s="12" t="str">
        <f t="shared" si="395"/>
        <v>0</v>
      </c>
      <c r="AC476" s="12"/>
      <c r="AD476" s="10">
        <f>+Risultati!L475</f>
        <v>0</v>
      </c>
      <c r="AE476" s="12" t="str">
        <f t="shared" si="396"/>
        <v>0</v>
      </c>
      <c r="AF476" s="12"/>
      <c r="AG476" s="10">
        <f>+Risultati!M475+Risultati!P475+Risultati!Q475</f>
        <v>0</v>
      </c>
      <c r="AH476" s="12" t="str">
        <f t="shared" si="397"/>
        <v>0</v>
      </c>
      <c r="AI476" s="12"/>
      <c r="AJ476" s="13">
        <f t="shared" si="410"/>
        <v>0</v>
      </c>
      <c r="AK476" s="11" t="str">
        <f t="shared" si="398"/>
        <v>0</v>
      </c>
      <c r="AL476" s="12"/>
      <c r="AM476" s="10">
        <f>+Risultati!N475</f>
        <v>0</v>
      </c>
      <c r="AN476" s="12" t="str">
        <f t="shared" si="399"/>
        <v>0</v>
      </c>
      <c r="AO476" s="12"/>
      <c r="AP476" s="10">
        <f t="shared" si="411"/>
        <v>0</v>
      </c>
      <c r="AQ476" s="41" t="str">
        <f t="shared" si="400"/>
        <v>0</v>
      </c>
      <c r="AR476" s="12"/>
      <c r="AS476" s="10">
        <f>+Risultati!O475</f>
        <v>0</v>
      </c>
      <c r="AT476" s="12" t="str">
        <f t="shared" si="401"/>
        <v>0</v>
      </c>
      <c r="AU476" s="12"/>
      <c r="AV476" s="10">
        <f t="shared" si="412"/>
        <v>0</v>
      </c>
      <c r="AW476" s="12" t="str">
        <f t="shared" si="402"/>
        <v>0</v>
      </c>
      <c r="AX476" s="12"/>
      <c r="AY476" s="10">
        <f>+Risultati!R475+Risultati!S475</f>
        <v>0</v>
      </c>
      <c r="AZ476" s="12" t="str">
        <f t="shared" si="403"/>
        <v>0</v>
      </c>
      <c r="BA476" s="12"/>
      <c r="BB476" s="10">
        <f>+Risultati!T475</f>
        <v>0</v>
      </c>
      <c r="BC476" s="12" t="str">
        <f t="shared" si="404"/>
        <v>0</v>
      </c>
      <c r="BD476" s="12"/>
      <c r="BE476" s="10">
        <f>+Risultati!U475</f>
        <v>0</v>
      </c>
      <c r="BF476" s="12" t="str">
        <f t="shared" si="405"/>
        <v>0</v>
      </c>
      <c r="BG476" s="12"/>
      <c r="BH476" s="10">
        <f t="shared" si="413"/>
        <v>0</v>
      </c>
      <c r="BI476" s="12" t="str">
        <f t="shared" si="406"/>
        <v>0</v>
      </c>
      <c r="BK476" s="16">
        <f>IF(ISNUMBER(Risultati!X475/100),(Risultati!X475/100))</f>
        <v>0</v>
      </c>
      <c r="BL476" s="16">
        <f>IF(ISNUMBER(Risultati!Y475/100),(Risultati!Y475/100))</f>
        <v>0</v>
      </c>
      <c r="BM476" s="16">
        <f>IF(ISNUMBER(Risultati!Z475/100),(Risultati!Z475/100))</f>
        <v>0</v>
      </c>
      <c r="BN476" s="16">
        <f>IF(AND(Risultati!AY475&lt;0,calcoli!AP476&lt;0),-IF(ISNUMBER(Risultati!AA475/100),(Risultati!AA475/100)),IF(ISNUMBER(Risultati!AA475/100),(Risultati!AA475/100)))</f>
        <v>0</v>
      </c>
      <c r="BO476" s="16" t="str">
        <f t="shared" si="387"/>
        <v>0</v>
      </c>
      <c r="BP476" s="16" t="str">
        <f>IF(Risultati!AB475&gt;0,(AV476/Risultati!AB475),"0")</f>
        <v>0</v>
      </c>
      <c r="BQ476" s="16" t="str">
        <f>IF(Risultati!AG475&lt;&gt;0,(BH476/Risultati!AG475),"0")</f>
        <v>0</v>
      </c>
      <c r="BR476" s="16" t="str">
        <f t="shared" si="388"/>
        <v>0</v>
      </c>
      <c r="BS476" s="14" t="str">
        <f>IF(Risultati!AB475&gt;0,(Risultati!G475/Risultati!AB475),"0")</f>
        <v>0</v>
      </c>
      <c r="BT476" s="15" t="str">
        <f>IF(Risultati!AG475&lt;&gt;0,(Risultati!AB475/Risultati!AG475),"0")</f>
        <v>0</v>
      </c>
      <c r="BU476" s="23" t="str">
        <f>IF(AND(Risultati!G475&gt;0,(Risultati!AE475-Risultati!AF475)&gt;=0),((Risultati!AE475-Risultati!AF475)/Risultati!G475*360),"0")</f>
        <v>0</v>
      </c>
      <c r="BV476" s="21" t="str">
        <f>IF(OR(E476="abbreviato",Risultati!G475=0),"0",((Risultati!AC475+Risultati!AD475)/Risultati!G475*360))</f>
        <v>0</v>
      </c>
      <c r="BW476" s="21" t="str">
        <f>IF(OR(E476="abbreviato",Risultati!G475=0,SUM(Risultati!I475+Risultati!K475+Risultati!M475)=0),"0",(((Risultati!AH475+Risultati!AI475)/(Risultati!I475+Risultati!K475+Risultati!N475)*360)))</f>
        <v>0</v>
      </c>
      <c r="BX476" s="16" t="str">
        <f>IF(Risultati!AB475&gt;0,(+Risultati!AG475/Risultati!AB475),"0")</f>
        <v>0</v>
      </c>
      <c r="BY476" s="22" t="str">
        <f>IF(OR(E476="abbreviato",Risultati!G475=0),"0",(((Risultati!AK475-(Risultati!AL475+Risultati!AM475))/Risultati!G475)))</f>
        <v>0</v>
      </c>
      <c r="BZ476" s="16" t="str">
        <f>IF(Risultati!G475&gt;0,(Risultati!AJ475/Risultati!G475),"0")</f>
        <v>0</v>
      </c>
      <c r="CA476" s="8"/>
      <c r="CB476" s="9">
        <f>+Risultati!AP475</f>
        <v>0</v>
      </c>
      <c r="CC476" s="31" t="str">
        <f t="shared" si="414"/>
        <v>0</v>
      </c>
      <c r="CD476" s="9">
        <f>+Risultati!AQ475</f>
        <v>0</v>
      </c>
      <c r="CE476" s="31" t="str">
        <f t="shared" si="415"/>
        <v>0</v>
      </c>
      <c r="CF476" s="9">
        <f>+Risultati!AR475</f>
        <v>0</v>
      </c>
      <c r="CG476" s="31" t="str">
        <f t="shared" si="416"/>
        <v>0</v>
      </c>
      <c r="CH476" s="9">
        <f>+Risultati!AS475</f>
        <v>0</v>
      </c>
      <c r="CI476" s="31" t="str">
        <f t="shared" si="417"/>
        <v>0</v>
      </c>
      <c r="CJ476" s="9">
        <f t="shared" si="418"/>
        <v>0</v>
      </c>
      <c r="CK476" s="31" t="str">
        <f t="shared" si="419"/>
        <v>0</v>
      </c>
      <c r="CL476" s="10">
        <f>+Risultati!AE475+Risultati!AF475</f>
        <v>0</v>
      </c>
      <c r="CM476" s="31" t="str">
        <f t="shared" si="420"/>
        <v>0</v>
      </c>
      <c r="CN476" s="9">
        <f>+Risultati!AT475</f>
        <v>0</v>
      </c>
      <c r="CO476" s="31" t="str">
        <f t="shared" si="421"/>
        <v>0</v>
      </c>
      <c r="CP476" s="9">
        <f>+Risultati!AU475</f>
        <v>0</v>
      </c>
      <c r="CQ476" s="31" t="str">
        <f t="shared" si="422"/>
        <v>0</v>
      </c>
      <c r="CR476" s="9">
        <f>+Risultati!AL475</f>
        <v>0</v>
      </c>
      <c r="CS476" s="31" t="str">
        <f t="shared" si="423"/>
        <v>0</v>
      </c>
      <c r="CT476" s="9">
        <f t="shared" si="424"/>
        <v>0</v>
      </c>
      <c r="CU476" s="31" t="str">
        <f t="shared" si="425"/>
        <v>0</v>
      </c>
      <c r="CV476" s="9">
        <f>+Risultati!AX475</f>
        <v>0</v>
      </c>
      <c r="CW476" s="31" t="str">
        <f t="shared" si="426"/>
        <v>0</v>
      </c>
      <c r="CX476" s="9">
        <f t="shared" si="427"/>
        <v>0</v>
      </c>
      <c r="CY476" s="31" t="str">
        <f t="shared" si="428"/>
        <v>0</v>
      </c>
      <c r="CZ476" s="9">
        <f>+Risultati!AG475</f>
        <v>0</v>
      </c>
      <c r="DA476" s="31" t="str">
        <f t="shared" si="429"/>
        <v>0</v>
      </c>
      <c r="DB476" s="9">
        <f t="shared" si="430"/>
        <v>0</v>
      </c>
      <c r="DC476" s="31" t="str">
        <f t="shared" si="431"/>
        <v>0</v>
      </c>
      <c r="DD476" s="9">
        <f>+Risultati!AV475</f>
        <v>0</v>
      </c>
      <c r="DE476" s="31" t="str">
        <f t="shared" si="432"/>
        <v>0</v>
      </c>
      <c r="DF476" s="9">
        <f>+Risultati!AJ475</f>
        <v>0</v>
      </c>
      <c r="DG476" s="31" t="str">
        <f t="shared" si="433"/>
        <v>0</v>
      </c>
      <c r="DH476" s="9">
        <f t="shared" si="434"/>
        <v>0</v>
      </c>
      <c r="DI476" s="31" t="str">
        <f t="shared" si="435"/>
        <v>0</v>
      </c>
      <c r="DJ476" s="9">
        <f>+Risultati!AW475</f>
        <v>0</v>
      </c>
      <c r="DK476" s="31" t="str">
        <f t="shared" si="436"/>
        <v>0</v>
      </c>
      <c r="DL476" s="10">
        <f t="shared" si="407"/>
        <v>0</v>
      </c>
      <c r="DM476" s="31" t="str">
        <f t="shared" si="437"/>
        <v>0</v>
      </c>
      <c r="DO476" s="30"/>
      <c r="DP476" s="30"/>
    </row>
    <row r="477" spans="1:120" x14ac:dyDescent="0.2">
      <c r="A477" s="5"/>
      <c r="B477" s="6">
        <f>+Risultati!B476</f>
        <v>0</v>
      </c>
      <c r="C477" s="6">
        <f>+Risultati!C476</f>
        <v>0</v>
      </c>
      <c r="D477" s="26" t="str">
        <f>IF(YEAR(Risultati!D476)=1900,(MID(Risultati!$AP$1,29,4)),YEAR(Risultati!D476))</f>
        <v/>
      </c>
      <c r="E477" s="6">
        <f>+Risultati!E476</f>
        <v>0</v>
      </c>
      <c r="F477" s="8" t="e">
        <f>(LEFT(Risultati!AN476,2)&amp;"-")&amp;VLOOKUP((LEFT(Risultati!AN476,2)),ateco!$B$4:$C$93,2,FALSE)</f>
        <v>#N/A</v>
      </c>
      <c r="G477" s="8" t="str">
        <f>SUBSTITUTE((Risultati!AN476&amp;"-"&amp;Risultati!AO476),",",";")</f>
        <v>-</v>
      </c>
      <c r="I477" s="10">
        <f>+Risultati!G476</f>
        <v>0</v>
      </c>
      <c r="J477" s="11" t="str">
        <f t="shared" si="389"/>
        <v>0</v>
      </c>
      <c r="K477" s="12"/>
      <c r="L477" s="10">
        <f>+Risultati!G476+Risultati!H476</f>
        <v>0</v>
      </c>
      <c r="M477" s="11" t="str">
        <f t="shared" si="390"/>
        <v>0</v>
      </c>
      <c r="N477" s="12"/>
      <c r="O477" s="10">
        <f>+Risultati!I476+Risultati!J476</f>
        <v>0</v>
      </c>
      <c r="P477" s="11" t="str">
        <f t="shared" si="391"/>
        <v>0</v>
      </c>
      <c r="Q477" s="12"/>
      <c r="R477" s="13">
        <f t="shared" si="408"/>
        <v>0</v>
      </c>
      <c r="S477" s="11" t="str">
        <f t="shared" si="392"/>
        <v>0</v>
      </c>
      <c r="T477" s="12"/>
      <c r="U477" s="10">
        <f>+Risultati!F476-(Risultati!G476+Risultati!H476)</f>
        <v>0</v>
      </c>
      <c r="V477" s="12" t="str">
        <f t="shared" si="393"/>
        <v>0</v>
      </c>
      <c r="W477" s="12"/>
      <c r="X477" s="10">
        <f t="shared" si="409"/>
        <v>0</v>
      </c>
      <c r="Y477" s="12" t="str">
        <f t="shared" si="394"/>
        <v>0</v>
      </c>
      <c r="Z477" s="12"/>
      <c r="AA477" s="10">
        <f>+Risultati!K476</f>
        <v>0</v>
      </c>
      <c r="AB477" s="12" t="str">
        <f t="shared" si="395"/>
        <v>0</v>
      </c>
      <c r="AC477" s="12"/>
      <c r="AD477" s="10">
        <f>+Risultati!L476</f>
        <v>0</v>
      </c>
      <c r="AE477" s="12" t="str">
        <f t="shared" si="396"/>
        <v>0</v>
      </c>
      <c r="AF477" s="12"/>
      <c r="AG477" s="10">
        <f>+Risultati!M476+Risultati!P476+Risultati!Q476</f>
        <v>0</v>
      </c>
      <c r="AH477" s="12" t="str">
        <f t="shared" si="397"/>
        <v>0</v>
      </c>
      <c r="AI477" s="12"/>
      <c r="AJ477" s="13">
        <f t="shared" si="410"/>
        <v>0</v>
      </c>
      <c r="AK477" s="11" t="str">
        <f t="shared" si="398"/>
        <v>0</v>
      </c>
      <c r="AL477" s="12"/>
      <c r="AM477" s="10">
        <f>+Risultati!N476</f>
        <v>0</v>
      </c>
      <c r="AN477" s="12" t="str">
        <f t="shared" si="399"/>
        <v>0</v>
      </c>
      <c r="AO477" s="12"/>
      <c r="AP477" s="10">
        <f t="shared" si="411"/>
        <v>0</v>
      </c>
      <c r="AQ477" s="41" t="str">
        <f t="shared" si="400"/>
        <v>0</v>
      </c>
      <c r="AR477" s="12"/>
      <c r="AS477" s="10">
        <f>+Risultati!O476</f>
        <v>0</v>
      </c>
      <c r="AT477" s="12" t="str">
        <f t="shared" si="401"/>
        <v>0</v>
      </c>
      <c r="AU477" s="12"/>
      <c r="AV477" s="10">
        <f t="shared" si="412"/>
        <v>0</v>
      </c>
      <c r="AW477" s="12" t="str">
        <f t="shared" si="402"/>
        <v>0</v>
      </c>
      <c r="AX477" s="12"/>
      <c r="AY477" s="10">
        <f>+Risultati!R476+Risultati!S476</f>
        <v>0</v>
      </c>
      <c r="AZ477" s="12" t="str">
        <f t="shared" si="403"/>
        <v>0</v>
      </c>
      <c r="BA477" s="12"/>
      <c r="BB477" s="10">
        <f>+Risultati!T476</f>
        <v>0</v>
      </c>
      <c r="BC477" s="12" t="str">
        <f t="shared" si="404"/>
        <v>0</v>
      </c>
      <c r="BD477" s="12"/>
      <c r="BE477" s="10">
        <f>+Risultati!U476</f>
        <v>0</v>
      </c>
      <c r="BF477" s="12" t="str">
        <f t="shared" si="405"/>
        <v>0</v>
      </c>
      <c r="BG477" s="12"/>
      <c r="BH477" s="10">
        <f t="shared" si="413"/>
        <v>0</v>
      </c>
      <c r="BI477" s="12" t="str">
        <f t="shared" si="406"/>
        <v>0</v>
      </c>
      <c r="BK477" s="16">
        <f>IF(ISNUMBER(Risultati!X476/100),(Risultati!X476/100))</f>
        <v>0</v>
      </c>
      <c r="BL477" s="16">
        <f>IF(ISNUMBER(Risultati!Y476/100),(Risultati!Y476/100))</f>
        <v>0</v>
      </c>
      <c r="BM477" s="16">
        <f>IF(ISNUMBER(Risultati!Z476/100),(Risultati!Z476/100))</f>
        <v>0</v>
      </c>
      <c r="BN477" s="16">
        <f>IF(AND(Risultati!AY476&lt;0,calcoli!AP477&lt;0),-IF(ISNUMBER(Risultati!AA476/100),(Risultati!AA476/100)),IF(ISNUMBER(Risultati!AA476/100),(Risultati!AA476/100)))</f>
        <v>0</v>
      </c>
      <c r="BO477" s="16" t="str">
        <f t="shared" si="387"/>
        <v>0</v>
      </c>
      <c r="BP477" s="16" t="str">
        <f>IF(Risultati!AB476&gt;0,(AV477/Risultati!AB476),"0")</f>
        <v>0</v>
      </c>
      <c r="BQ477" s="16" t="str">
        <f>IF(Risultati!AG476&lt;&gt;0,(BH477/Risultati!AG476),"0")</f>
        <v>0</v>
      </c>
      <c r="BR477" s="16" t="str">
        <f t="shared" si="388"/>
        <v>0</v>
      </c>
      <c r="BS477" s="14" t="str">
        <f>IF(Risultati!AB476&gt;0,(Risultati!G476/Risultati!AB476),"0")</f>
        <v>0</v>
      </c>
      <c r="BT477" s="15" t="str">
        <f>IF(Risultati!AG476&lt;&gt;0,(Risultati!AB476/Risultati!AG476),"0")</f>
        <v>0</v>
      </c>
      <c r="BU477" s="23" t="str">
        <f>IF(AND(Risultati!G476&gt;0,(Risultati!AE476-Risultati!AF476)&gt;=0),((Risultati!AE476-Risultati!AF476)/Risultati!G476*360),"0")</f>
        <v>0</v>
      </c>
      <c r="BV477" s="21" t="str">
        <f>IF(OR(E477="abbreviato",Risultati!G476=0),"0",((Risultati!AC476+Risultati!AD476)/Risultati!G476*360))</f>
        <v>0</v>
      </c>
      <c r="BW477" s="21" t="str">
        <f>IF(OR(E477="abbreviato",Risultati!G476=0,SUM(Risultati!I476+Risultati!K476+Risultati!M476)=0),"0",(((Risultati!AH476+Risultati!AI476)/(Risultati!I476+Risultati!K476+Risultati!N476)*360)))</f>
        <v>0</v>
      </c>
      <c r="BX477" s="16" t="str">
        <f>IF(Risultati!AB476&gt;0,(+Risultati!AG476/Risultati!AB476),"0")</f>
        <v>0</v>
      </c>
      <c r="BY477" s="22" t="str">
        <f>IF(OR(E477="abbreviato",Risultati!G476=0),"0",(((Risultati!AK476-(Risultati!AL476+Risultati!AM476))/Risultati!G476)))</f>
        <v>0</v>
      </c>
      <c r="BZ477" s="16" t="str">
        <f>IF(Risultati!G476&gt;0,(Risultati!AJ476/Risultati!G476),"0")</f>
        <v>0</v>
      </c>
      <c r="CA477" s="8"/>
      <c r="CB477" s="9">
        <f>+Risultati!AP476</f>
        <v>0</v>
      </c>
      <c r="CC477" s="31" t="str">
        <f t="shared" si="414"/>
        <v>0</v>
      </c>
      <c r="CD477" s="9">
        <f>+Risultati!AQ476</f>
        <v>0</v>
      </c>
      <c r="CE477" s="31" t="str">
        <f t="shared" si="415"/>
        <v>0</v>
      </c>
      <c r="CF477" s="9">
        <f>+Risultati!AR476</f>
        <v>0</v>
      </c>
      <c r="CG477" s="31" t="str">
        <f t="shared" si="416"/>
        <v>0</v>
      </c>
      <c r="CH477" s="9">
        <f>+Risultati!AS476</f>
        <v>0</v>
      </c>
      <c r="CI477" s="31" t="str">
        <f t="shared" si="417"/>
        <v>0</v>
      </c>
      <c r="CJ477" s="9">
        <f t="shared" si="418"/>
        <v>0</v>
      </c>
      <c r="CK477" s="31" t="str">
        <f t="shared" si="419"/>
        <v>0</v>
      </c>
      <c r="CL477" s="10">
        <f>+Risultati!AE476+Risultati!AF476</f>
        <v>0</v>
      </c>
      <c r="CM477" s="31" t="str">
        <f t="shared" si="420"/>
        <v>0</v>
      </c>
      <c r="CN477" s="9">
        <f>+Risultati!AT476</f>
        <v>0</v>
      </c>
      <c r="CO477" s="31" t="str">
        <f t="shared" si="421"/>
        <v>0</v>
      </c>
      <c r="CP477" s="9">
        <f>+Risultati!AU476</f>
        <v>0</v>
      </c>
      <c r="CQ477" s="31" t="str">
        <f t="shared" si="422"/>
        <v>0</v>
      </c>
      <c r="CR477" s="9">
        <f>+Risultati!AL476</f>
        <v>0</v>
      </c>
      <c r="CS477" s="31" t="str">
        <f t="shared" si="423"/>
        <v>0</v>
      </c>
      <c r="CT477" s="9">
        <f t="shared" si="424"/>
        <v>0</v>
      </c>
      <c r="CU477" s="31" t="str">
        <f t="shared" si="425"/>
        <v>0</v>
      </c>
      <c r="CV477" s="9">
        <f>+Risultati!AX476</f>
        <v>0</v>
      </c>
      <c r="CW477" s="31" t="str">
        <f t="shared" si="426"/>
        <v>0</v>
      </c>
      <c r="CX477" s="9">
        <f t="shared" si="427"/>
        <v>0</v>
      </c>
      <c r="CY477" s="31" t="str">
        <f t="shared" si="428"/>
        <v>0</v>
      </c>
      <c r="CZ477" s="9">
        <f>+Risultati!AG476</f>
        <v>0</v>
      </c>
      <c r="DA477" s="31" t="str">
        <f t="shared" si="429"/>
        <v>0</v>
      </c>
      <c r="DB477" s="9">
        <f t="shared" si="430"/>
        <v>0</v>
      </c>
      <c r="DC477" s="31" t="str">
        <f t="shared" si="431"/>
        <v>0</v>
      </c>
      <c r="DD477" s="9">
        <f>+Risultati!AV476</f>
        <v>0</v>
      </c>
      <c r="DE477" s="31" t="str">
        <f t="shared" si="432"/>
        <v>0</v>
      </c>
      <c r="DF477" s="9">
        <f>+Risultati!AJ476</f>
        <v>0</v>
      </c>
      <c r="DG477" s="31" t="str">
        <f t="shared" si="433"/>
        <v>0</v>
      </c>
      <c r="DH477" s="9">
        <f t="shared" si="434"/>
        <v>0</v>
      </c>
      <c r="DI477" s="31" t="str">
        <f t="shared" si="435"/>
        <v>0</v>
      </c>
      <c r="DJ477" s="9">
        <f>+Risultati!AW476</f>
        <v>0</v>
      </c>
      <c r="DK477" s="31" t="str">
        <f t="shared" si="436"/>
        <v>0</v>
      </c>
      <c r="DL477" s="10">
        <f t="shared" si="407"/>
        <v>0</v>
      </c>
      <c r="DM477" s="31" t="str">
        <f t="shared" si="437"/>
        <v>0</v>
      </c>
      <c r="DO477" s="30"/>
      <c r="DP477" s="30"/>
    </row>
    <row r="478" spans="1:120" x14ac:dyDescent="0.2">
      <c r="A478" s="5"/>
      <c r="B478" s="6">
        <f>+Risultati!B477</f>
        <v>0</v>
      </c>
      <c r="C478" s="6">
        <f>+Risultati!C477</f>
        <v>0</v>
      </c>
      <c r="D478" s="26" t="str">
        <f>IF(YEAR(Risultati!D477)=1900,(MID(Risultati!$AP$1,29,4)),YEAR(Risultati!D477))</f>
        <v/>
      </c>
      <c r="E478" s="6">
        <f>+Risultati!E477</f>
        <v>0</v>
      </c>
      <c r="F478" s="8" t="e">
        <f>(LEFT(Risultati!AN477,2)&amp;"-")&amp;VLOOKUP((LEFT(Risultati!AN477,2)),ateco!$B$4:$C$93,2,FALSE)</f>
        <v>#N/A</v>
      </c>
      <c r="G478" s="8" t="str">
        <f>SUBSTITUTE((Risultati!AN477&amp;"-"&amp;Risultati!AO477),",",";")</f>
        <v>-</v>
      </c>
      <c r="I478" s="10">
        <f>+Risultati!G477</f>
        <v>0</v>
      </c>
      <c r="J478" s="11" t="str">
        <f t="shared" si="389"/>
        <v>0</v>
      </c>
      <c r="K478" s="12"/>
      <c r="L478" s="10">
        <f>+Risultati!G477+Risultati!H477</f>
        <v>0</v>
      </c>
      <c r="M478" s="11" t="str">
        <f t="shared" si="390"/>
        <v>0</v>
      </c>
      <c r="N478" s="12"/>
      <c r="O478" s="10">
        <f>+Risultati!I477+Risultati!J477</f>
        <v>0</v>
      </c>
      <c r="P478" s="11" t="str">
        <f t="shared" si="391"/>
        <v>0</v>
      </c>
      <c r="Q478" s="12"/>
      <c r="R478" s="13">
        <f t="shared" si="408"/>
        <v>0</v>
      </c>
      <c r="S478" s="11" t="str">
        <f t="shared" si="392"/>
        <v>0</v>
      </c>
      <c r="T478" s="12"/>
      <c r="U478" s="10">
        <f>+Risultati!F477-(Risultati!G477+Risultati!H477)</f>
        <v>0</v>
      </c>
      <c r="V478" s="12" t="str">
        <f t="shared" si="393"/>
        <v>0</v>
      </c>
      <c r="W478" s="12"/>
      <c r="X478" s="10">
        <f t="shared" si="409"/>
        <v>0</v>
      </c>
      <c r="Y478" s="12" t="str">
        <f t="shared" si="394"/>
        <v>0</v>
      </c>
      <c r="Z478" s="12"/>
      <c r="AA478" s="10">
        <f>+Risultati!K477</f>
        <v>0</v>
      </c>
      <c r="AB478" s="12" t="str">
        <f t="shared" si="395"/>
        <v>0</v>
      </c>
      <c r="AC478" s="12"/>
      <c r="AD478" s="10">
        <f>+Risultati!L477</f>
        <v>0</v>
      </c>
      <c r="AE478" s="12" t="str">
        <f t="shared" si="396"/>
        <v>0</v>
      </c>
      <c r="AF478" s="12"/>
      <c r="AG478" s="10">
        <f>+Risultati!M477+Risultati!P477+Risultati!Q477</f>
        <v>0</v>
      </c>
      <c r="AH478" s="12" t="str">
        <f t="shared" si="397"/>
        <v>0</v>
      </c>
      <c r="AI478" s="12"/>
      <c r="AJ478" s="13">
        <f t="shared" si="410"/>
        <v>0</v>
      </c>
      <c r="AK478" s="11" t="str">
        <f t="shared" si="398"/>
        <v>0</v>
      </c>
      <c r="AL478" s="12"/>
      <c r="AM478" s="10">
        <f>+Risultati!N477</f>
        <v>0</v>
      </c>
      <c r="AN478" s="12" t="str">
        <f t="shared" si="399"/>
        <v>0</v>
      </c>
      <c r="AO478" s="12"/>
      <c r="AP478" s="10">
        <f t="shared" si="411"/>
        <v>0</v>
      </c>
      <c r="AQ478" s="41" t="str">
        <f t="shared" si="400"/>
        <v>0</v>
      </c>
      <c r="AR478" s="12"/>
      <c r="AS478" s="10">
        <f>+Risultati!O477</f>
        <v>0</v>
      </c>
      <c r="AT478" s="12" t="str">
        <f t="shared" si="401"/>
        <v>0</v>
      </c>
      <c r="AU478" s="12"/>
      <c r="AV478" s="10">
        <f t="shared" si="412"/>
        <v>0</v>
      </c>
      <c r="AW478" s="12" t="str">
        <f t="shared" si="402"/>
        <v>0</v>
      </c>
      <c r="AX478" s="12"/>
      <c r="AY478" s="10">
        <f>+Risultati!R477+Risultati!S477</f>
        <v>0</v>
      </c>
      <c r="AZ478" s="12" t="str">
        <f t="shared" si="403"/>
        <v>0</v>
      </c>
      <c r="BA478" s="12"/>
      <c r="BB478" s="10">
        <f>+Risultati!T477</f>
        <v>0</v>
      </c>
      <c r="BC478" s="12" t="str">
        <f t="shared" si="404"/>
        <v>0</v>
      </c>
      <c r="BD478" s="12"/>
      <c r="BE478" s="10">
        <f>+Risultati!U477</f>
        <v>0</v>
      </c>
      <c r="BF478" s="12" t="str">
        <f t="shared" si="405"/>
        <v>0</v>
      </c>
      <c r="BG478" s="12"/>
      <c r="BH478" s="10">
        <f t="shared" si="413"/>
        <v>0</v>
      </c>
      <c r="BI478" s="12" t="str">
        <f t="shared" si="406"/>
        <v>0</v>
      </c>
      <c r="BK478" s="16">
        <f>IF(ISNUMBER(Risultati!X477/100),(Risultati!X477/100))</f>
        <v>0</v>
      </c>
      <c r="BL478" s="16">
        <f>IF(ISNUMBER(Risultati!Y477/100),(Risultati!Y477/100))</f>
        <v>0</v>
      </c>
      <c r="BM478" s="16">
        <f>IF(ISNUMBER(Risultati!Z477/100),(Risultati!Z477/100))</f>
        <v>0</v>
      </c>
      <c r="BN478" s="16">
        <f>IF(AND(Risultati!AY477&lt;0,calcoli!AP478&lt;0),-IF(ISNUMBER(Risultati!AA477/100),(Risultati!AA477/100)),IF(ISNUMBER(Risultati!AA477/100),(Risultati!AA477/100)))</f>
        <v>0</v>
      </c>
      <c r="BO478" s="16" t="str">
        <f t="shared" si="387"/>
        <v>0</v>
      </c>
      <c r="BP478" s="16" t="str">
        <f>IF(Risultati!AB477&gt;0,(AV478/Risultati!AB477),"0")</f>
        <v>0</v>
      </c>
      <c r="BQ478" s="16" t="str">
        <f>IF(Risultati!AG477&lt;&gt;0,(BH478/Risultati!AG477),"0")</f>
        <v>0</v>
      </c>
      <c r="BR478" s="16" t="str">
        <f t="shared" si="388"/>
        <v>0</v>
      </c>
      <c r="BS478" s="14" t="str">
        <f>IF(Risultati!AB477&gt;0,(Risultati!G477/Risultati!AB477),"0")</f>
        <v>0</v>
      </c>
      <c r="BT478" s="15" t="str">
        <f>IF(Risultati!AG477&lt;&gt;0,(Risultati!AB477/Risultati!AG477),"0")</f>
        <v>0</v>
      </c>
      <c r="BU478" s="23" t="str">
        <f>IF(AND(Risultati!G477&gt;0,(Risultati!AE477-Risultati!AF477)&gt;=0),((Risultati!AE477-Risultati!AF477)/Risultati!G477*360),"0")</f>
        <v>0</v>
      </c>
      <c r="BV478" s="21" t="str">
        <f>IF(OR(E478="abbreviato",Risultati!G477=0),"0",((Risultati!AC477+Risultati!AD477)/Risultati!G477*360))</f>
        <v>0</v>
      </c>
      <c r="BW478" s="21" t="str">
        <f>IF(OR(E478="abbreviato",Risultati!G477=0,SUM(Risultati!I477+Risultati!K477+Risultati!M477)=0),"0",(((Risultati!AH477+Risultati!AI477)/(Risultati!I477+Risultati!K477+Risultati!N477)*360)))</f>
        <v>0</v>
      </c>
      <c r="BX478" s="16" t="str">
        <f>IF(Risultati!AB477&gt;0,(+Risultati!AG477/Risultati!AB477),"0")</f>
        <v>0</v>
      </c>
      <c r="BY478" s="22" t="str">
        <f>IF(OR(E478="abbreviato",Risultati!G477=0),"0",(((Risultati!AK477-(Risultati!AL477+Risultati!AM477))/Risultati!G477)))</f>
        <v>0</v>
      </c>
      <c r="BZ478" s="16" t="str">
        <f>IF(Risultati!G477&gt;0,(Risultati!AJ477/Risultati!G477),"0")</f>
        <v>0</v>
      </c>
      <c r="CA478" s="8"/>
      <c r="CB478" s="9">
        <f>+Risultati!AP477</f>
        <v>0</v>
      </c>
      <c r="CC478" s="31" t="str">
        <f t="shared" si="414"/>
        <v>0</v>
      </c>
      <c r="CD478" s="9">
        <f>+Risultati!AQ477</f>
        <v>0</v>
      </c>
      <c r="CE478" s="31" t="str">
        <f t="shared" si="415"/>
        <v>0</v>
      </c>
      <c r="CF478" s="9">
        <f>+Risultati!AR477</f>
        <v>0</v>
      </c>
      <c r="CG478" s="31" t="str">
        <f t="shared" si="416"/>
        <v>0</v>
      </c>
      <c r="CH478" s="9">
        <f>+Risultati!AS477</f>
        <v>0</v>
      </c>
      <c r="CI478" s="31" t="str">
        <f t="shared" si="417"/>
        <v>0</v>
      </c>
      <c r="CJ478" s="9">
        <f t="shared" si="418"/>
        <v>0</v>
      </c>
      <c r="CK478" s="31" t="str">
        <f t="shared" si="419"/>
        <v>0</v>
      </c>
      <c r="CL478" s="10">
        <f>+Risultati!AE477+Risultati!AF477</f>
        <v>0</v>
      </c>
      <c r="CM478" s="31" t="str">
        <f t="shared" si="420"/>
        <v>0</v>
      </c>
      <c r="CN478" s="9">
        <f>+Risultati!AT477</f>
        <v>0</v>
      </c>
      <c r="CO478" s="31" t="str">
        <f t="shared" si="421"/>
        <v>0</v>
      </c>
      <c r="CP478" s="9">
        <f>+Risultati!AU477</f>
        <v>0</v>
      </c>
      <c r="CQ478" s="31" t="str">
        <f t="shared" si="422"/>
        <v>0</v>
      </c>
      <c r="CR478" s="9">
        <f>+Risultati!AL477</f>
        <v>0</v>
      </c>
      <c r="CS478" s="31" t="str">
        <f t="shared" si="423"/>
        <v>0</v>
      </c>
      <c r="CT478" s="9">
        <f t="shared" si="424"/>
        <v>0</v>
      </c>
      <c r="CU478" s="31" t="str">
        <f t="shared" si="425"/>
        <v>0</v>
      </c>
      <c r="CV478" s="9">
        <f>+Risultati!AX477</f>
        <v>0</v>
      </c>
      <c r="CW478" s="31" t="str">
        <f t="shared" si="426"/>
        <v>0</v>
      </c>
      <c r="CX478" s="9">
        <f t="shared" si="427"/>
        <v>0</v>
      </c>
      <c r="CY478" s="31" t="str">
        <f t="shared" si="428"/>
        <v>0</v>
      </c>
      <c r="CZ478" s="9">
        <f>+Risultati!AG477</f>
        <v>0</v>
      </c>
      <c r="DA478" s="31" t="str">
        <f t="shared" si="429"/>
        <v>0</v>
      </c>
      <c r="DB478" s="9">
        <f t="shared" si="430"/>
        <v>0</v>
      </c>
      <c r="DC478" s="31" t="str">
        <f t="shared" si="431"/>
        <v>0</v>
      </c>
      <c r="DD478" s="9">
        <f>+Risultati!AV477</f>
        <v>0</v>
      </c>
      <c r="DE478" s="31" t="str">
        <f t="shared" si="432"/>
        <v>0</v>
      </c>
      <c r="DF478" s="9">
        <f>+Risultati!AJ477</f>
        <v>0</v>
      </c>
      <c r="DG478" s="31" t="str">
        <f t="shared" si="433"/>
        <v>0</v>
      </c>
      <c r="DH478" s="9">
        <f t="shared" si="434"/>
        <v>0</v>
      </c>
      <c r="DI478" s="31" t="str">
        <f t="shared" si="435"/>
        <v>0</v>
      </c>
      <c r="DJ478" s="9">
        <f>+Risultati!AW477</f>
        <v>0</v>
      </c>
      <c r="DK478" s="31" t="str">
        <f t="shared" si="436"/>
        <v>0</v>
      </c>
      <c r="DL478" s="10">
        <f t="shared" si="407"/>
        <v>0</v>
      </c>
      <c r="DM478" s="31" t="str">
        <f t="shared" si="437"/>
        <v>0</v>
      </c>
      <c r="DO478" s="30"/>
      <c r="DP478" s="30"/>
    </row>
    <row r="479" spans="1:120" x14ac:dyDescent="0.2">
      <c r="A479" s="5"/>
      <c r="B479" s="6">
        <f>+Risultati!B478</f>
        <v>0</v>
      </c>
      <c r="C479" s="6">
        <f>+Risultati!C478</f>
        <v>0</v>
      </c>
      <c r="D479" s="26" t="str">
        <f>IF(YEAR(Risultati!D478)=1900,(MID(Risultati!$AP$1,29,4)),YEAR(Risultati!D478))</f>
        <v/>
      </c>
      <c r="E479" s="6">
        <f>+Risultati!E478</f>
        <v>0</v>
      </c>
      <c r="F479" s="8" t="e">
        <f>(LEFT(Risultati!AN478,2)&amp;"-")&amp;VLOOKUP((LEFT(Risultati!AN478,2)),ateco!$B$4:$C$93,2,FALSE)</f>
        <v>#N/A</v>
      </c>
      <c r="G479" s="8" t="str">
        <f>SUBSTITUTE((Risultati!AN478&amp;"-"&amp;Risultati!AO478),",",";")</f>
        <v>-</v>
      </c>
      <c r="I479" s="10">
        <f>+Risultati!G478</f>
        <v>0</v>
      </c>
      <c r="J479" s="11" t="str">
        <f t="shared" si="389"/>
        <v>0</v>
      </c>
      <c r="K479" s="12"/>
      <c r="L479" s="10">
        <f>+Risultati!G478+Risultati!H478</f>
        <v>0</v>
      </c>
      <c r="M479" s="11" t="str">
        <f t="shared" si="390"/>
        <v>0</v>
      </c>
      <c r="N479" s="12"/>
      <c r="O479" s="10">
        <f>+Risultati!I478+Risultati!J478</f>
        <v>0</v>
      </c>
      <c r="P479" s="11" t="str">
        <f t="shared" si="391"/>
        <v>0</v>
      </c>
      <c r="Q479" s="12"/>
      <c r="R479" s="13">
        <f t="shared" si="408"/>
        <v>0</v>
      </c>
      <c r="S479" s="11" t="str">
        <f t="shared" si="392"/>
        <v>0</v>
      </c>
      <c r="T479" s="12"/>
      <c r="U479" s="10">
        <f>+Risultati!F478-(Risultati!G478+Risultati!H478)</f>
        <v>0</v>
      </c>
      <c r="V479" s="12" t="str">
        <f t="shared" si="393"/>
        <v>0</v>
      </c>
      <c r="W479" s="12"/>
      <c r="X479" s="10">
        <f t="shared" si="409"/>
        <v>0</v>
      </c>
      <c r="Y479" s="12" t="str">
        <f t="shared" si="394"/>
        <v>0</v>
      </c>
      <c r="Z479" s="12"/>
      <c r="AA479" s="10">
        <f>+Risultati!K478</f>
        <v>0</v>
      </c>
      <c r="AB479" s="12" t="str">
        <f t="shared" si="395"/>
        <v>0</v>
      </c>
      <c r="AC479" s="12"/>
      <c r="AD479" s="10">
        <f>+Risultati!L478</f>
        <v>0</v>
      </c>
      <c r="AE479" s="12" t="str">
        <f t="shared" si="396"/>
        <v>0</v>
      </c>
      <c r="AF479" s="12"/>
      <c r="AG479" s="10">
        <f>+Risultati!M478+Risultati!P478+Risultati!Q478</f>
        <v>0</v>
      </c>
      <c r="AH479" s="12" t="str">
        <f t="shared" si="397"/>
        <v>0</v>
      </c>
      <c r="AI479" s="12"/>
      <c r="AJ479" s="13">
        <f t="shared" si="410"/>
        <v>0</v>
      </c>
      <c r="AK479" s="11" t="str">
        <f t="shared" si="398"/>
        <v>0</v>
      </c>
      <c r="AL479" s="12"/>
      <c r="AM479" s="10">
        <f>+Risultati!N478</f>
        <v>0</v>
      </c>
      <c r="AN479" s="12" t="str">
        <f t="shared" si="399"/>
        <v>0</v>
      </c>
      <c r="AO479" s="12"/>
      <c r="AP479" s="10">
        <f t="shared" si="411"/>
        <v>0</v>
      </c>
      <c r="AQ479" s="41" t="str">
        <f t="shared" si="400"/>
        <v>0</v>
      </c>
      <c r="AR479" s="12"/>
      <c r="AS479" s="10">
        <f>+Risultati!O478</f>
        <v>0</v>
      </c>
      <c r="AT479" s="12" t="str">
        <f t="shared" si="401"/>
        <v>0</v>
      </c>
      <c r="AU479" s="12"/>
      <c r="AV479" s="10">
        <f t="shared" si="412"/>
        <v>0</v>
      </c>
      <c r="AW479" s="12" t="str">
        <f t="shared" si="402"/>
        <v>0</v>
      </c>
      <c r="AX479" s="12"/>
      <c r="AY479" s="10">
        <f>+Risultati!R478+Risultati!S478</f>
        <v>0</v>
      </c>
      <c r="AZ479" s="12" t="str">
        <f t="shared" si="403"/>
        <v>0</v>
      </c>
      <c r="BA479" s="12"/>
      <c r="BB479" s="10">
        <f>+Risultati!T478</f>
        <v>0</v>
      </c>
      <c r="BC479" s="12" t="str">
        <f t="shared" si="404"/>
        <v>0</v>
      </c>
      <c r="BD479" s="12"/>
      <c r="BE479" s="10">
        <f>+Risultati!U478</f>
        <v>0</v>
      </c>
      <c r="BF479" s="12" t="str">
        <f t="shared" si="405"/>
        <v>0</v>
      </c>
      <c r="BG479" s="12"/>
      <c r="BH479" s="10">
        <f t="shared" si="413"/>
        <v>0</v>
      </c>
      <c r="BI479" s="12" t="str">
        <f t="shared" si="406"/>
        <v>0</v>
      </c>
      <c r="BK479" s="16">
        <f>IF(ISNUMBER(Risultati!X478/100),(Risultati!X478/100))</f>
        <v>0</v>
      </c>
      <c r="BL479" s="16">
        <f>IF(ISNUMBER(Risultati!Y478/100),(Risultati!Y478/100))</f>
        <v>0</v>
      </c>
      <c r="BM479" s="16">
        <f>IF(ISNUMBER(Risultati!Z478/100),(Risultati!Z478/100))</f>
        <v>0</v>
      </c>
      <c r="BN479" s="16">
        <f>IF(AND(Risultati!AY478&lt;0,calcoli!AP479&lt;0),-IF(ISNUMBER(Risultati!AA478/100),(Risultati!AA478/100)),IF(ISNUMBER(Risultati!AA478/100),(Risultati!AA478/100)))</f>
        <v>0</v>
      </c>
      <c r="BO479" s="16" t="str">
        <f t="shared" si="387"/>
        <v>0</v>
      </c>
      <c r="BP479" s="16" t="str">
        <f>IF(Risultati!AB478&gt;0,(AV479/Risultati!AB478),"0")</f>
        <v>0</v>
      </c>
      <c r="BQ479" s="16" t="str">
        <f>IF(Risultati!AG478&lt;&gt;0,(BH479/Risultati!AG478),"0")</f>
        <v>0</v>
      </c>
      <c r="BR479" s="16" t="str">
        <f t="shared" si="388"/>
        <v>0</v>
      </c>
      <c r="BS479" s="14" t="str">
        <f>IF(Risultati!AB478&gt;0,(Risultati!G478/Risultati!AB478),"0")</f>
        <v>0</v>
      </c>
      <c r="BT479" s="15" t="str">
        <f>IF(Risultati!AG478&lt;&gt;0,(Risultati!AB478/Risultati!AG478),"0")</f>
        <v>0</v>
      </c>
      <c r="BU479" s="23" t="str">
        <f>IF(AND(Risultati!G478&gt;0,(Risultati!AE478-Risultati!AF478)&gt;=0),((Risultati!AE478-Risultati!AF478)/Risultati!G478*360),"0")</f>
        <v>0</v>
      </c>
      <c r="BV479" s="21" t="str">
        <f>IF(OR(E479="abbreviato",Risultati!G478=0),"0",((Risultati!AC478+Risultati!AD478)/Risultati!G478*360))</f>
        <v>0</v>
      </c>
      <c r="BW479" s="21" t="str">
        <f>IF(OR(E479="abbreviato",Risultati!G478=0,SUM(Risultati!I478+Risultati!K478+Risultati!M478)=0),"0",(((Risultati!AH478+Risultati!AI478)/(Risultati!I478+Risultati!K478+Risultati!N478)*360)))</f>
        <v>0</v>
      </c>
      <c r="BX479" s="16" t="str">
        <f>IF(Risultati!AB478&gt;0,(+Risultati!AG478/Risultati!AB478),"0")</f>
        <v>0</v>
      </c>
      <c r="BY479" s="22" t="str">
        <f>IF(OR(E479="abbreviato",Risultati!G478=0),"0",(((Risultati!AK478-(Risultati!AL478+Risultati!AM478))/Risultati!G478)))</f>
        <v>0</v>
      </c>
      <c r="BZ479" s="16" t="str">
        <f>IF(Risultati!G478&gt;0,(Risultati!AJ478/Risultati!G478),"0")</f>
        <v>0</v>
      </c>
      <c r="CA479" s="8"/>
      <c r="CB479" s="9">
        <f>+Risultati!AP478</f>
        <v>0</v>
      </c>
      <c r="CC479" s="31" t="str">
        <f t="shared" si="414"/>
        <v>0</v>
      </c>
      <c r="CD479" s="9">
        <f>+Risultati!AQ478</f>
        <v>0</v>
      </c>
      <c r="CE479" s="31" t="str">
        <f t="shared" si="415"/>
        <v>0</v>
      </c>
      <c r="CF479" s="9">
        <f>+Risultati!AR478</f>
        <v>0</v>
      </c>
      <c r="CG479" s="31" t="str">
        <f t="shared" si="416"/>
        <v>0</v>
      </c>
      <c r="CH479" s="9">
        <f>+Risultati!AS478</f>
        <v>0</v>
      </c>
      <c r="CI479" s="31" t="str">
        <f t="shared" si="417"/>
        <v>0</v>
      </c>
      <c r="CJ479" s="9">
        <f t="shared" si="418"/>
        <v>0</v>
      </c>
      <c r="CK479" s="31" t="str">
        <f t="shared" si="419"/>
        <v>0</v>
      </c>
      <c r="CL479" s="10">
        <f>+Risultati!AE478+Risultati!AF478</f>
        <v>0</v>
      </c>
      <c r="CM479" s="31" t="str">
        <f t="shared" si="420"/>
        <v>0</v>
      </c>
      <c r="CN479" s="9">
        <f>+Risultati!AT478</f>
        <v>0</v>
      </c>
      <c r="CO479" s="31" t="str">
        <f t="shared" si="421"/>
        <v>0</v>
      </c>
      <c r="CP479" s="9">
        <f>+Risultati!AU478</f>
        <v>0</v>
      </c>
      <c r="CQ479" s="31" t="str">
        <f t="shared" si="422"/>
        <v>0</v>
      </c>
      <c r="CR479" s="9">
        <f>+Risultati!AL478</f>
        <v>0</v>
      </c>
      <c r="CS479" s="31" t="str">
        <f t="shared" si="423"/>
        <v>0</v>
      </c>
      <c r="CT479" s="9">
        <f t="shared" si="424"/>
        <v>0</v>
      </c>
      <c r="CU479" s="31" t="str">
        <f t="shared" si="425"/>
        <v>0</v>
      </c>
      <c r="CV479" s="9">
        <f>+Risultati!AX478</f>
        <v>0</v>
      </c>
      <c r="CW479" s="31" t="str">
        <f t="shared" si="426"/>
        <v>0</v>
      </c>
      <c r="CX479" s="9">
        <f t="shared" si="427"/>
        <v>0</v>
      </c>
      <c r="CY479" s="31" t="str">
        <f t="shared" si="428"/>
        <v>0</v>
      </c>
      <c r="CZ479" s="9">
        <f>+Risultati!AG478</f>
        <v>0</v>
      </c>
      <c r="DA479" s="31" t="str">
        <f t="shared" si="429"/>
        <v>0</v>
      </c>
      <c r="DB479" s="9">
        <f t="shared" si="430"/>
        <v>0</v>
      </c>
      <c r="DC479" s="31" t="str">
        <f t="shared" si="431"/>
        <v>0</v>
      </c>
      <c r="DD479" s="9">
        <f>+Risultati!AV478</f>
        <v>0</v>
      </c>
      <c r="DE479" s="31" t="str">
        <f t="shared" si="432"/>
        <v>0</v>
      </c>
      <c r="DF479" s="9">
        <f>+Risultati!AJ478</f>
        <v>0</v>
      </c>
      <c r="DG479" s="31" t="str">
        <f t="shared" si="433"/>
        <v>0</v>
      </c>
      <c r="DH479" s="9">
        <f t="shared" si="434"/>
        <v>0</v>
      </c>
      <c r="DI479" s="31" t="str">
        <f t="shared" si="435"/>
        <v>0</v>
      </c>
      <c r="DJ479" s="9">
        <f>+Risultati!AW478</f>
        <v>0</v>
      </c>
      <c r="DK479" s="31" t="str">
        <f t="shared" si="436"/>
        <v>0</v>
      </c>
      <c r="DL479" s="10">
        <f t="shared" si="407"/>
        <v>0</v>
      </c>
      <c r="DM479" s="31" t="str">
        <f t="shared" si="437"/>
        <v>0</v>
      </c>
      <c r="DO479" s="30"/>
      <c r="DP479" s="30"/>
    </row>
    <row r="480" spans="1:120" x14ac:dyDescent="0.2">
      <c r="A480" s="5"/>
      <c r="B480" s="6">
        <f>+Risultati!B479</f>
        <v>0</v>
      </c>
      <c r="C480" s="6">
        <f>+Risultati!C479</f>
        <v>0</v>
      </c>
      <c r="D480" s="26" t="str">
        <f>IF(YEAR(Risultati!D479)=1900,(MID(Risultati!$AP$1,29,4)),YEAR(Risultati!D479))</f>
        <v/>
      </c>
      <c r="E480" s="6">
        <f>+Risultati!E479</f>
        <v>0</v>
      </c>
      <c r="F480" s="8" t="e">
        <f>(LEFT(Risultati!AN479,2)&amp;"-")&amp;VLOOKUP((LEFT(Risultati!AN479,2)),ateco!$B$4:$C$93,2,FALSE)</f>
        <v>#N/A</v>
      </c>
      <c r="G480" s="8" t="str">
        <f>SUBSTITUTE((Risultati!AN479&amp;"-"&amp;Risultati!AO479),",",";")</f>
        <v>-</v>
      </c>
      <c r="I480" s="10">
        <f>+Risultati!G479</f>
        <v>0</v>
      </c>
      <c r="J480" s="11" t="str">
        <f t="shared" si="389"/>
        <v>0</v>
      </c>
      <c r="K480" s="12"/>
      <c r="L480" s="10">
        <f>+Risultati!G479+Risultati!H479</f>
        <v>0</v>
      </c>
      <c r="M480" s="11" t="str">
        <f t="shared" si="390"/>
        <v>0</v>
      </c>
      <c r="N480" s="12"/>
      <c r="O480" s="10">
        <f>+Risultati!I479+Risultati!J479</f>
        <v>0</v>
      </c>
      <c r="P480" s="11" t="str">
        <f t="shared" si="391"/>
        <v>0</v>
      </c>
      <c r="Q480" s="12"/>
      <c r="R480" s="13">
        <f t="shared" si="408"/>
        <v>0</v>
      </c>
      <c r="S480" s="11" t="str">
        <f t="shared" si="392"/>
        <v>0</v>
      </c>
      <c r="T480" s="12"/>
      <c r="U480" s="10">
        <f>+Risultati!F479-(Risultati!G479+Risultati!H479)</f>
        <v>0</v>
      </c>
      <c r="V480" s="12" t="str">
        <f t="shared" si="393"/>
        <v>0</v>
      </c>
      <c r="W480" s="12"/>
      <c r="X480" s="10">
        <f t="shared" si="409"/>
        <v>0</v>
      </c>
      <c r="Y480" s="12" t="str">
        <f t="shared" si="394"/>
        <v>0</v>
      </c>
      <c r="Z480" s="12"/>
      <c r="AA480" s="10">
        <f>+Risultati!K479</f>
        <v>0</v>
      </c>
      <c r="AB480" s="12" t="str">
        <f t="shared" si="395"/>
        <v>0</v>
      </c>
      <c r="AC480" s="12"/>
      <c r="AD480" s="10">
        <f>+Risultati!L479</f>
        <v>0</v>
      </c>
      <c r="AE480" s="12" t="str">
        <f t="shared" si="396"/>
        <v>0</v>
      </c>
      <c r="AF480" s="12"/>
      <c r="AG480" s="10">
        <f>+Risultati!M479+Risultati!P479+Risultati!Q479</f>
        <v>0</v>
      </c>
      <c r="AH480" s="12" t="str">
        <f t="shared" si="397"/>
        <v>0</v>
      </c>
      <c r="AI480" s="12"/>
      <c r="AJ480" s="13">
        <f t="shared" si="410"/>
        <v>0</v>
      </c>
      <c r="AK480" s="11" t="str">
        <f t="shared" si="398"/>
        <v>0</v>
      </c>
      <c r="AL480" s="12"/>
      <c r="AM480" s="10">
        <f>+Risultati!N479</f>
        <v>0</v>
      </c>
      <c r="AN480" s="12" t="str">
        <f t="shared" si="399"/>
        <v>0</v>
      </c>
      <c r="AO480" s="12"/>
      <c r="AP480" s="10">
        <f t="shared" si="411"/>
        <v>0</v>
      </c>
      <c r="AQ480" s="41" t="str">
        <f t="shared" si="400"/>
        <v>0</v>
      </c>
      <c r="AR480" s="12"/>
      <c r="AS480" s="10">
        <f>+Risultati!O479</f>
        <v>0</v>
      </c>
      <c r="AT480" s="12" t="str">
        <f t="shared" si="401"/>
        <v>0</v>
      </c>
      <c r="AU480" s="12"/>
      <c r="AV480" s="10">
        <f t="shared" si="412"/>
        <v>0</v>
      </c>
      <c r="AW480" s="12" t="str">
        <f t="shared" si="402"/>
        <v>0</v>
      </c>
      <c r="AX480" s="12"/>
      <c r="AY480" s="10">
        <f>+Risultati!R479+Risultati!S479</f>
        <v>0</v>
      </c>
      <c r="AZ480" s="12" t="str">
        <f t="shared" si="403"/>
        <v>0</v>
      </c>
      <c r="BA480" s="12"/>
      <c r="BB480" s="10">
        <f>+Risultati!T479</f>
        <v>0</v>
      </c>
      <c r="BC480" s="12" t="str">
        <f t="shared" si="404"/>
        <v>0</v>
      </c>
      <c r="BD480" s="12"/>
      <c r="BE480" s="10">
        <f>+Risultati!U479</f>
        <v>0</v>
      </c>
      <c r="BF480" s="12" t="str">
        <f t="shared" si="405"/>
        <v>0</v>
      </c>
      <c r="BG480" s="12"/>
      <c r="BH480" s="10">
        <f t="shared" si="413"/>
        <v>0</v>
      </c>
      <c r="BI480" s="12" t="str">
        <f t="shared" si="406"/>
        <v>0</v>
      </c>
      <c r="BK480" s="16">
        <f>IF(ISNUMBER(Risultati!X479/100),(Risultati!X479/100))</f>
        <v>0</v>
      </c>
      <c r="BL480" s="16">
        <f>IF(ISNUMBER(Risultati!Y479/100),(Risultati!Y479/100))</f>
        <v>0</v>
      </c>
      <c r="BM480" s="16">
        <f>IF(ISNUMBER(Risultati!Z479/100),(Risultati!Z479/100))</f>
        <v>0</v>
      </c>
      <c r="BN480" s="16">
        <f>IF(AND(Risultati!AY479&lt;0,calcoli!AP480&lt;0),-IF(ISNUMBER(Risultati!AA479/100),(Risultati!AA479/100)),IF(ISNUMBER(Risultati!AA479/100),(Risultati!AA479/100)))</f>
        <v>0</v>
      </c>
      <c r="BO480" s="16" t="str">
        <f t="shared" si="387"/>
        <v>0</v>
      </c>
      <c r="BP480" s="16" t="str">
        <f>IF(Risultati!AB479&gt;0,(AV480/Risultati!AB479),"0")</f>
        <v>0</v>
      </c>
      <c r="BQ480" s="16" t="str">
        <f>IF(Risultati!AG479&lt;&gt;0,(BH480/Risultati!AG479),"0")</f>
        <v>0</v>
      </c>
      <c r="BR480" s="16" t="str">
        <f t="shared" si="388"/>
        <v>0</v>
      </c>
      <c r="BS480" s="14" t="str">
        <f>IF(Risultati!AB479&gt;0,(Risultati!G479/Risultati!AB479),"0")</f>
        <v>0</v>
      </c>
      <c r="BT480" s="15" t="str">
        <f>IF(Risultati!AG479&lt;&gt;0,(Risultati!AB479/Risultati!AG479),"0")</f>
        <v>0</v>
      </c>
      <c r="BU480" s="23" t="str">
        <f>IF(AND(Risultati!G479&gt;0,(Risultati!AE479-Risultati!AF479)&gt;=0),((Risultati!AE479-Risultati!AF479)/Risultati!G479*360),"0")</f>
        <v>0</v>
      </c>
      <c r="BV480" s="21" t="str">
        <f>IF(OR(E480="abbreviato",Risultati!G479=0),"0",((Risultati!AC479+Risultati!AD479)/Risultati!G479*360))</f>
        <v>0</v>
      </c>
      <c r="BW480" s="21" t="str">
        <f>IF(OR(E480="abbreviato",Risultati!G479=0,SUM(Risultati!I479+Risultati!K479+Risultati!M479)=0),"0",(((Risultati!AH479+Risultati!AI479)/(Risultati!I479+Risultati!K479+Risultati!N479)*360)))</f>
        <v>0</v>
      </c>
      <c r="BX480" s="16" t="str">
        <f>IF(Risultati!AB479&gt;0,(+Risultati!AG479/Risultati!AB479),"0")</f>
        <v>0</v>
      </c>
      <c r="BY480" s="22" t="str">
        <f>IF(OR(E480="abbreviato",Risultati!G479=0),"0",(((Risultati!AK479-(Risultati!AL479+Risultati!AM479))/Risultati!G479)))</f>
        <v>0</v>
      </c>
      <c r="BZ480" s="16" t="str">
        <f>IF(Risultati!G479&gt;0,(Risultati!AJ479/Risultati!G479),"0")</f>
        <v>0</v>
      </c>
      <c r="CA480" s="8"/>
      <c r="CB480" s="9">
        <f>+Risultati!AP479</f>
        <v>0</v>
      </c>
      <c r="CC480" s="31" t="str">
        <f t="shared" si="414"/>
        <v>0</v>
      </c>
      <c r="CD480" s="9">
        <f>+Risultati!AQ479</f>
        <v>0</v>
      </c>
      <c r="CE480" s="31" t="str">
        <f t="shared" si="415"/>
        <v>0</v>
      </c>
      <c r="CF480" s="9">
        <f>+Risultati!AR479</f>
        <v>0</v>
      </c>
      <c r="CG480" s="31" t="str">
        <f t="shared" si="416"/>
        <v>0</v>
      </c>
      <c r="CH480" s="9">
        <f>+Risultati!AS479</f>
        <v>0</v>
      </c>
      <c r="CI480" s="31" t="str">
        <f t="shared" si="417"/>
        <v>0</v>
      </c>
      <c r="CJ480" s="9">
        <f t="shared" si="418"/>
        <v>0</v>
      </c>
      <c r="CK480" s="31" t="str">
        <f t="shared" si="419"/>
        <v>0</v>
      </c>
      <c r="CL480" s="10">
        <f>+Risultati!AE479+Risultati!AF479</f>
        <v>0</v>
      </c>
      <c r="CM480" s="31" t="str">
        <f t="shared" si="420"/>
        <v>0</v>
      </c>
      <c r="CN480" s="9">
        <f>+Risultati!AT479</f>
        <v>0</v>
      </c>
      <c r="CO480" s="31" t="str">
        <f t="shared" si="421"/>
        <v>0</v>
      </c>
      <c r="CP480" s="9">
        <f>+Risultati!AU479</f>
        <v>0</v>
      </c>
      <c r="CQ480" s="31" t="str">
        <f t="shared" si="422"/>
        <v>0</v>
      </c>
      <c r="CR480" s="9">
        <f>+Risultati!AL479</f>
        <v>0</v>
      </c>
      <c r="CS480" s="31" t="str">
        <f t="shared" si="423"/>
        <v>0</v>
      </c>
      <c r="CT480" s="9">
        <f t="shared" si="424"/>
        <v>0</v>
      </c>
      <c r="CU480" s="31" t="str">
        <f t="shared" si="425"/>
        <v>0</v>
      </c>
      <c r="CV480" s="9">
        <f>+Risultati!AX479</f>
        <v>0</v>
      </c>
      <c r="CW480" s="31" t="str">
        <f t="shared" si="426"/>
        <v>0</v>
      </c>
      <c r="CX480" s="9">
        <f t="shared" si="427"/>
        <v>0</v>
      </c>
      <c r="CY480" s="31" t="str">
        <f t="shared" si="428"/>
        <v>0</v>
      </c>
      <c r="CZ480" s="9">
        <f>+Risultati!AG479</f>
        <v>0</v>
      </c>
      <c r="DA480" s="31" t="str">
        <f t="shared" si="429"/>
        <v>0</v>
      </c>
      <c r="DB480" s="9">
        <f t="shared" si="430"/>
        <v>0</v>
      </c>
      <c r="DC480" s="31" t="str">
        <f t="shared" si="431"/>
        <v>0</v>
      </c>
      <c r="DD480" s="9">
        <f>+Risultati!AV479</f>
        <v>0</v>
      </c>
      <c r="DE480" s="31" t="str">
        <f t="shared" si="432"/>
        <v>0</v>
      </c>
      <c r="DF480" s="9">
        <f>+Risultati!AJ479</f>
        <v>0</v>
      </c>
      <c r="DG480" s="31" t="str">
        <f t="shared" si="433"/>
        <v>0</v>
      </c>
      <c r="DH480" s="9">
        <f t="shared" si="434"/>
        <v>0</v>
      </c>
      <c r="DI480" s="31" t="str">
        <f t="shared" si="435"/>
        <v>0</v>
      </c>
      <c r="DJ480" s="9">
        <f>+Risultati!AW479</f>
        <v>0</v>
      </c>
      <c r="DK480" s="31" t="str">
        <f t="shared" si="436"/>
        <v>0</v>
      </c>
      <c r="DL480" s="10">
        <f t="shared" si="407"/>
        <v>0</v>
      </c>
      <c r="DM480" s="31" t="str">
        <f t="shared" si="437"/>
        <v>0</v>
      </c>
      <c r="DO480" s="30"/>
      <c r="DP480" s="30"/>
    </row>
    <row r="481" spans="1:120" x14ac:dyDescent="0.2">
      <c r="A481" s="5"/>
      <c r="B481" s="6">
        <f>+Risultati!B480</f>
        <v>0</v>
      </c>
      <c r="C481" s="6">
        <f>+Risultati!C480</f>
        <v>0</v>
      </c>
      <c r="D481" s="26" t="str">
        <f>IF(YEAR(Risultati!D480)=1900,(MID(Risultati!$AP$1,29,4)),YEAR(Risultati!D480))</f>
        <v/>
      </c>
      <c r="E481" s="6">
        <f>+Risultati!E480</f>
        <v>0</v>
      </c>
      <c r="F481" s="8" t="e">
        <f>(LEFT(Risultati!AN480,2)&amp;"-")&amp;VLOOKUP((LEFT(Risultati!AN480,2)),ateco!$B$4:$C$93,2,FALSE)</f>
        <v>#N/A</v>
      </c>
      <c r="G481" s="8" t="str">
        <f>SUBSTITUTE((Risultati!AN480&amp;"-"&amp;Risultati!AO480),",",";")</f>
        <v>-</v>
      </c>
      <c r="I481" s="10">
        <f>+Risultati!G480</f>
        <v>0</v>
      </c>
      <c r="J481" s="11" t="str">
        <f t="shared" si="389"/>
        <v>0</v>
      </c>
      <c r="K481" s="12"/>
      <c r="L481" s="10">
        <f>+Risultati!G480+Risultati!H480</f>
        <v>0</v>
      </c>
      <c r="M481" s="11" t="str">
        <f t="shared" si="390"/>
        <v>0</v>
      </c>
      <c r="N481" s="12"/>
      <c r="O481" s="10">
        <f>+Risultati!I480+Risultati!J480</f>
        <v>0</v>
      </c>
      <c r="P481" s="11" t="str">
        <f t="shared" si="391"/>
        <v>0</v>
      </c>
      <c r="Q481" s="12"/>
      <c r="R481" s="13">
        <f t="shared" si="408"/>
        <v>0</v>
      </c>
      <c r="S481" s="11" t="str">
        <f t="shared" si="392"/>
        <v>0</v>
      </c>
      <c r="T481" s="12"/>
      <c r="U481" s="10">
        <f>+Risultati!F480-(Risultati!G480+Risultati!H480)</f>
        <v>0</v>
      </c>
      <c r="V481" s="12" t="str">
        <f t="shared" si="393"/>
        <v>0</v>
      </c>
      <c r="W481" s="12"/>
      <c r="X481" s="10">
        <f t="shared" si="409"/>
        <v>0</v>
      </c>
      <c r="Y481" s="12" t="str">
        <f t="shared" si="394"/>
        <v>0</v>
      </c>
      <c r="Z481" s="12"/>
      <c r="AA481" s="10">
        <f>+Risultati!K480</f>
        <v>0</v>
      </c>
      <c r="AB481" s="12" t="str">
        <f t="shared" si="395"/>
        <v>0</v>
      </c>
      <c r="AC481" s="12"/>
      <c r="AD481" s="10">
        <f>+Risultati!L480</f>
        <v>0</v>
      </c>
      <c r="AE481" s="12" t="str">
        <f t="shared" si="396"/>
        <v>0</v>
      </c>
      <c r="AF481" s="12"/>
      <c r="AG481" s="10">
        <f>+Risultati!M480+Risultati!P480+Risultati!Q480</f>
        <v>0</v>
      </c>
      <c r="AH481" s="12" t="str">
        <f t="shared" si="397"/>
        <v>0</v>
      </c>
      <c r="AI481" s="12"/>
      <c r="AJ481" s="13">
        <f t="shared" si="410"/>
        <v>0</v>
      </c>
      <c r="AK481" s="11" t="str">
        <f t="shared" si="398"/>
        <v>0</v>
      </c>
      <c r="AL481" s="12"/>
      <c r="AM481" s="10">
        <f>+Risultati!N480</f>
        <v>0</v>
      </c>
      <c r="AN481" s="12" t="str">
        <f t="shared" si="399"/>
        <v>0</v>
      </c>
      <c r="AO481" s="12"/>
      <c r="AP481" s="10">
        <f t="shared" si="411"/>
        <v>0</v>
      </c>
      <c r="AQ481" s="41" t="str">
        <f t="shared" si="400"/>
        <v>0</v>
      </c>
      <c r="AR481" s="12"/>
      <c r="AS481" s="10">
        <f>+Risultati!O480</f>
        <v>0</v>
      </c>
      <c r="AT481" s="12" t="str">
        <f t="shared" si="401"/>
        <v>0</v>
      </c>
      <c r="AU481" s="12"/>
      <c r="AV481" s="10">
        <f t="shared" si="412"/>
        <v>0</v>
      </c>
      <c r="AW481" s="12" t="str">
        <f t="shared" si="402"/>
        <v>0</v>
      </c>
      <c r="AX481" s="12"/>
      <c r="AY481" s="10">
        <f>+Risultati!R480+Risultati!S480</f>
        <v>0</v>
      </c>
      <c r="AZ481" s="12" t="str">
        <f t="shared" si="403"/>
        <v>0</v>
      </c>
      <c r="BA481" s="12"/>
      <c r="BB481" s="10">
        <f>+Risultati!T480</f>
        <v>0</v>
      </c>
      <c r="BC481" s="12" t="str">
        <f t="shared" si="404"/>
        <v>0</v>
      </c>
      <c r="BD481" s="12"/>
      <c r="BE481" s="10">
        <f>+Risultati!U480</f>
        <v>0</v>
      </c>
      <c r="BF481" s="12" t="str">
        <f t="shared" si="405"/>
        <v>0</v>
      </c>
      <c r="BG481" s="12"/>
      <c r="BH481" s="10">
        <f t="shared" si="413"/>
        <v>0</v>
      </c>
      <c r="BI481" s="12" t="str">
        <f t="shared" si="406"/>
        <v>0</v>
      </c>
      <c r="BK481" s="16">
        <f>IF(ISNUMBER(Risultati!X480/100),(Risultati!X480/100))</f>
        <v>0</v>
      </c>
      <c r="BL481" s="16">
        <f>IF(ISNUMBER(Risultati!Y480/100),(Risultati!Y480/100))</f>
        <v>0</v>
      </c>
      <c r="BM481" s="16">
        <f>IF(ISNUMBER(Risultati!Z480/100),(Risultati!Z480/100))</f>
        <v>0</v>
      </c>
      <c r="BN481" s="16">
        <f>IF(AND(Risultati!AY480&lt;0,calcoli!AP481&lt;0),-IF(ISNUMBER(Risultati!AA480/100),(Risultati!AA480/100)),IF(ISNUMBER(Risultati!AA480/100),(Risultati!AA480/100)))</f>
        <v>0</v>
      </c>
      <c r="BO481" s="16" t="str">
        <f t="shared" si="387"/>
        <v>0</v>
      </c>
      <c r="BP481" s="16" t="str">
        <f>IF(Risultati!AB480&gt;0,(AV481/Risultati!AB480),"0")</f>
        <v>0</v>
      </c>
      <c r="BQ481" s="16" t="str">
        <f>IF(Risultati!AG480&lt;&gt;0,(BH481/Risultati!AG480),"0")</f>
        <v>0</v>
      </c>
      <c r="BR481" s="16" t="str">
        <f t="shared" si="388"/>
        <v>0</v>
      </c>
      <c r="BS481" s="14" t="str">
        <f>IF(Risultati!AB480&gt;0,(Risultati!G480/Risultati!AB480),"0")</f>
        <v>0</v>
      </c>
      <c r="BT481" s="15" t="str">
        <f>IF(Risultati!AG480&lt;&gt;0,(Risultati!AB480/Risultati!AG480),"0")</f>
        <v>0</v>
      </c>
      <c r="BU481" s="23" t="str">
        <f>IF(AND(Risultati!G480&gt;0,(Risultati!AE480-Risultati!AF480)&gt;=0),((Risultati!AE480-Risultati!AF480)/Risultati!G480*360),"0")</f>
        <v>0</v>
      </c>
      <c r="BV481" s="21" t="str">
        <f>IF(OR(E481="abbreviato",Risultati!G480=0),"0",((Risultati!AC480+Risultati!AD480)/Risultati!G480*360))</f>
        <v>0</v>
      </c>
      <c r="BW481" s="21" t="str">
        <f>IF(OR(E481="abbreviato",Risultati!G480=0,SUM(Risultati!I480+Risultati!K480+Risultati!M480)=0),"0",(((Risultati!AH480+Risultati!AI480)/(Risultati!I480+Risultati!K480+Risultati!N480)*360)))</f>
        <v>0</v>
      </c>
      <c r="BX481" s="16" t="str">
        <f>IF(Risultati!AB480&gt;0,(+Risultati!AG480/Risultati!AB480),"0")</f>
        <v>0</v>
      </c>
      <c r="BY481" s="22" t="str">
        <f>IF(OR(E481="abbreviato",Risultati!G480=0),"0",(((Risultati!AK480-(Risultati!AL480+Risultati!AM480))/Risultati!G480)))</f>
        <v>0</v>
      </c>
      <c r="BZ481" s="16" t="str">
        <f>IF(Risultati!G480&gt;0,(Risultati!AJ480/Risultati!G480),"0")</f>
        <v>0</v>
      </c>
      <c r="CA481" s="8"/>
      <c r="CB481" s="9">
        <f>+Risultati!AP480</f>
        <v>0</v>
      </c>
      <c r="CC481" s="31" t="str">
        <f t="shared" si="414"/>
        <v>0</v>
      </c>
      <c r="CD481" s="9">
        <f>+Risultati!AQ480</f>
        <v>0</v>
      </c>
      <c r="CE481" s="31" t="str">
        <f t="shared" si="415"/>
        <v>0</v>
      </c>
      <c r="CF481" s="9">
        <f>+Risultati!AR480</f>
        <v>0</v>
      </c>
      <c r="CG481" s="31" t="str">
        <f t="shared" si="416"/>
        <v>0</v>
      </c>
      <c r="CH481" s="9">
        <f>+Risultati!AS480</f>
        <v>0</v>
      </c>
      <c r="CI481" s="31" t="str">
        <f t="shared" si="417"/>
        <v>0</v>
      </c>
      <c r="CJ481" s="9">
        <f t="shared" si="418"/>
        <v>0</v>
      </c>
      <c r="CK481" s="31" t="str">
        <f t="shared" si="419"/>
        <v>0</v>
      </c>
      <c r="CL481" s="10">
        <f>+Risultati!AE480+Risultati!AF480</f>
        <v>0</v>
      </c>
      <c r="CM481" s="31" t="str">
        <f t="shared" si="420"/>
        <v>0</v>
      </c>
      <c r="CN481" s="9">
        <f>+Risultati!AT480</f>
        <v>0</v>
      </c>
      <c r="CO481" s="31" t="str">
        <f t="shared" si="421"/>
        <v>0</v>
      </c>
      <c r="CP481" s="9">
        <f>+Risultati!AU480</f>
        <v>0</v>
      </c>
      <c r="CQ481" s="31" t="str">
        <f t="shared" si="422"/>
        <v>0</v>
      </c>
      <c r="CR481" s="9">
        <f>+Risultati!AL480</f>
        <v>0</v>
      </c>
      <c r="CS481" s="31" t="str">
        <f t="shared" si="423"/>
        <v>0</v>
      </c>
      <c r="CT481" s="9">
        <f t="shared" si="424"/>
        <v>0</v>
      </c>
      <c r="CU481" s="31" t="str">
        <f t="shared" si="425"/>
        <v>0</v>
      </c>
      <c r="CV481" s="9">
        <f>+Risultati!AX480</f>
        <v>0</v>
      </c>
      <c r="CW481" s="31" t="str">
        <f t="shared" si="426"/>
        <v>0</v>
      </c>
      <c r="CX481" s="9">
        <f t="shared" si="427"/>
        <v>0</v>
      </c>
      <c r="CY481" s="31" t="str">
        <f t="shared" si="428"/>
        <v>0</v>
      </c>
      <c r="CZ481" s="9">
        <f>+Risultati!AG480</f>
        <v>0</v>
      </c>
      <c r="DA481" s="31" t="str">
        <f t="shared" si="429"/>
        <v>0</v>
      </c>
      <c r="DB481" s="9">
        <f t="shared" si="430"/>
        <v>0</v>
      </c>
      <c r="DC481" s="31" t="str">
        <f t="shared" si="431"/>
        <v>0</v>
      </c>
      <c r="DD481" s="9">
        <f>+Risultati!AV480</f>
        <v>0</v>
      </c>
      <c r="DE481" s="31" t="str">
        <f t="shared" si="432"/>
        <v>0</v>
      </c>
      <c r="DF481" s="9">
        <f>+Risultati!AJ480</f>
        <v>0</v>
      </c>
      <c r="DG481" s="31" t="str">
        <f t="shared" si="433"/>
        <v>0</v>
      </c>
      <c r="DH481" s="9">
        <f t="shared" si="434"/>
        <v>0</v>
      </c>
      <c r="DI481" s="31" t="str">
        <f t="shared" si="435"/>
        <v>0</v>
      </c>
      <c r="DJ481" s="9">
        <f>+Risultati!AW480</f>
        <v>0</v>
      </c>
      <c r="DK481" s="31" t="str">
        <f t="shared" si="436"/>
        <v>0</v>
      </c>
      <c r="DL481" s="10">
        <f t="shared" si="407"/>
        <v>0</v>
      </c>
      <c r="DM481" s="31" t="str">
        <f t="shared" si="437"/>
        <v>0</v>
      </c>
      <c r="DO481" s="30"/>
      <c r="DP481" s="30"/>
    </row>
    <row r="482" spans="1:120" x14ac:dyDescent="0.2">
      <c r="A482" s="5"/>
      <c r="B482" s="6">
        <f>+Risultati!B481</f>
        <v>0</v>
      </c>
      <c r="C482" s="6">
        <f>+Risultati!C481</f>
        <v>0</v>
      </c>
      <c r="D482" s="26" t="str">
        <f>IF(YEAR(Risultati!D481)=1900,(MID(Risultati!$AP$1,29,4)),YEAR(Risultati!D481))</f>
        <v/>
      </c>
      <c r="E482" s="6">
        <f>+Risultati!E481</f>
        <v>0</v>
      </c>
      <c r="F482" s="8" t="e">
        <f>(LEFT(Risultati!AN481,2)&amp;"-")&amp;VLOOKUP((LEFT(Risultati!AN481,2)),ateco!$B$4:$C$93,2,FALSE)</f>
        <v>#N/A</v>
      </c>
      <c r="G482" s="8" t="str">
        <f>SUBSTITUTE((Risultati!AN481&amp;"-"&amp;Risultati!AO481),",",";")</f>
        <v>-</v>
      </c>
      <c r="I482" s="10">
        <f>+Risultati!G481</f>
        <v>0</v>
      </c>
      <c r="J482" s="11" t="str">
        <f t="shared" si="389"/>
        <v>0</v>
      </c>
      <c r="K482" s="12"/>
      <c r="L482" s="10">
        <f>+Risultati!G481+Risultati!H481</f>
        <v>0</v>
      </c>
      <c r="M482" s="11" t="str">
        <f t="shared" si="390"/>
        <v>0</v>
      </c>
      <c r="N482" s="12"/>
      <c r="O482" s="10">
        <f>+Risultati!I481+Risultati!J481</f>
        <v>0</v>
      </c>
      <c r="P482" s="11" t="str">
        <f t="shared" si="391"/>
        <v>0</v>
      </c>
      <c r="Q482" s="12"/>
      <c r="R482" s="13">
        <f t="shared" si="408"/>
        <v>0</v>
      </c>
      <c r="S482" s="11" t="str">
        <f t="shared" si="392"/>
        <v>0</v>
      </c>
      <c r="T482" s="12"/>
      <c r="U482" s="10">
        <f>+Risultati!F481-(Risultati!G481+Risultati!H481)</f>
        <v>0</v>
      </c>
      <c r="V482" s="12" t="str">
        <f t="shared" si="393"/>
        <v>0</v>
      </c>
      <c r="W482" s="12"/>
      <c r="X482" s="10">
        <f t="shared" si="409"/>
        <v>0</v>
      </c>
      <c r="Y482" s="12" t="str">
        <f t="shared" si="394"/>
        <v>0</v>
      </c>
      <c r="Z482" s="12"/>
      <c r="AA482" s="10">
        <f>+Risultati!K481</f>
        <v>0</v>
      </c>
      <c r="AB482" s="12" t="str">
        <f t="shared" si="395"/>
        <v>0</v>
      </c>
      <c r="AC482" s="12"/>
      <c r="AD482" s="10">
        <f>+Risultati!L481</f>
        <v>0</v>
      </c>
      <c r="AE482" s="12" t="str">
        <f t="shared" si="396"/>
        <v>0</v>
      </c>
      <c r="AF482" s="12"/>
      <c r="AG482" s="10">
        <f>+Risultati!M481+Risultati!P481+Risultati!Q481</f>
        <v>0</v>
      </c>
      <c r="AH482" s="12" t="str">
        <f t="shared" si="397"/>
        <v>0</v>
      </c>
      <c r="AI482" s="12"/>
      <c r="AJ482" s="13">
        <f t="shared" si="410"/>
        <v>0</v>
      </c>
      <c r="AK482" s="11" t="str">
        <f t="shared" si="398"/>
        <v>0</v>
      </c>
      <c r="AL482" s="12"/>
      <c r="AM482" s="10">
        <f>+Risultati!N481</f>
        <v>0</v>
      </c>
      <c r="AN482" s="12" t="str">
        <f t="shared" si="399"/>
        <v>0</v>
      </c>
      <c r="AO482" s="12"/>
      <c r="AP482" s="10">
        <f t="shared" si="411"/>
        <v>0</v>
      </c>
      <c r="AQ482" s="41" t="str">
        <f t="shared" si="400"/>
        <v>0</v>
      </c>
      <c r="AR482" s="12"/>
      <c r="AS482" s="10">
        <f>+Risultati!O481</f>
        <v>0</v>
      </c>
      <c r="AT482" s="12" t="str">
        <f t="shared" si="401"/>
        <v>0</v>
      </c>
      <c r="AU482" s="12"/>
      <c r="AV482" s="10">
        <f t="shared" si="412"/>
        <v>0</v>
      </c>
      <c r="AW482" s="12" t="str">
        <f t="shared" si="402"/>
        <v>0</v>
      </c>
      <c r="AX482" s="12"/>
      <c r="AY482" s="10">
        <f>+Risultati!R481+Risultati!S481</f>
        <v>0</v>
      </c>
      <c r="AZ482" s="12" t="str">
        <f t="shared" si="403"/>
        <v>0</v>
      </c>
      <c r="BA482" s="12"/>
      <c r="BB482" s="10">
        <f>+Risultati!T481</f>
        <v>0</v>
      </c>
      <c r="BC482" s="12" t="str">
        <f t="shared" si="404"/>
        <v>0</v>
      </c>
      <c r="BD482" s="12"/>
      <c r="BE482" s="10">
        <f>+Risultati!U481</f>
        <v>0</v>
      </c>
      <c r="BF482" s="12" t="str">
        <f t="shared" si="405"/>
        <v>0</v>
      </c>
      <c r="BG482" s="12"/>
      <c r="BH482" s="10">
        <f t="shared" si="413"/>
        <v>0</v>
      </c>
      <c r="BI482" s="12" t="str">
        <f t="shared" si="406"/>
        <v>0</v>
      </c>
      <c r="BK482" s="16">
        <f>IF(ISNUMBER(Risultati!X481/100),(Risultati!X481/100))</f>
        <v>0</v>
      </c>
      <c r="BL482" s="16">
        <f>IF(ISNUMBER(Risultati!Y481/100),(Risultati!Y481/100))</f>
        <v>0</v>
      </c>
      <c r="BM482" s="16">
        <f>IF(ISNUMBER(Risultati!Z481/100),(Risultati!Z481/100))</f>
        <v>0</v>
      </c>
      <c r="BN482" s="16">
        <f>IF(AND(Risultati!AY481&lt;0,calcoli!AP482&lt;0),-IF(ISNUMBER(Risultati!AA481/100),(Risultati!AA481/100)),IF(ISNUMBER(Risultati!AA481/100),(Risultati!AA481/100)))</f>
        <v>0</v>
      </c>
      <c r="BO482" s="16" t="str">
        <f t="shared" si="387"/>
        <v>0</v>
      </c>
      <c r="BP482" s="16" t="str">
        <f>IF(Risultati!AB481&gt;0,(AV482/Risultati!AB481),"0")</f>
        <v>0</v>
      </c>
      <c r="BQ482" s="16" t="str">
        <f>IF(Risultati!AG481&lt;&gt;0,(BH482/Risultati!AG481),"0")</f>
        <v>0</v>
      </c>
      <c r="BR482" s="16" t="str">
        <f t="shared" si="388"/>
        <v>0</v>
      </c>
      <c r="BS482" s="14" t="str">
        <f>IF(Risultati!AB481&gt;0,(Risultati!G481/Risultati!AB481),"0")</f>
        <v>0</v>
      </c>
      <c r="BT482" s="15" t="str">
        <f>IF(Risultati!AG481&lt;&gt;0,(Risultati!AB481/Risultati!AG481),"0")</f>
        <v>0</v>
      </c>
      <c r="BU482" s="23" t="str">
        <f>IF(AND(Risultati!G481&gt;0,(Risultati!AE481-Risultati!AF481)&gt;=0),((Risultati!AE481-Risultati!AF481)/Risultati!G481*360),"0")</f>
        <v>0</v>
      </c>
      <c r="BV482" s="21" t="str">
        <f>IF(OR(E482="abbreviato",Risultati!G481=0),"0",((Risultati!AC481+Risultati!AD481)/Risultati!G481*360))</f>
        <v>0</v>
      </c>
      <c r="BW482" s="21" t="str">
        <f>IF(OR(E482="abbreviato",Risultati!G481=0,SUM(Risultati!I481+Risultati!K481+Risultati!M481)=0),"0",(((Risultati!AH481+Risultati!AI481)/(Risultati!I481+Risultati!K481+Risultati!N481)*360)))</f>
        <v>0</v>
      </c>
      <c r="BX482" s="16" t="str">
        <f>IF(Risultati!AB481&gt;0,(+Risultati!AG481/Risultati!AB481),"0")</f>
        <v>0</v>
      </c>
      <c r="BY482" s="22" t="str">
        <f>IF(OR(E482="abbreviato",Risultati!G481=0),"0",(((Risultati!AK481-(Risultati!AL481+Risultati!AM481))/Risultati!G481)))</f>
        <v>0</v>
      </c>
      <c r="BZ482" s="16" t="str">
        <f>IF(Risultati!G481&gt;0,(Risultati!AJ481/Risultati!G481),"0")</f>
        <v>0</v>
      </c>
      <c r="CA482" s="8"/>
      <c r="CB482" s="9">
        <f>+Risultati!AP481</f>
        <v>0</v>
      </c>
      <c r="CC482" s="31" t="str">
        <f t="shared" si="414"/>
        <v>0</v>
      </c>
      <c r="CD482" s="9">
        <f>+Risultati!AQ481</f>
        <v>0</v>
      </c>
      <c r="CE482" s="31" t="str">
        <f t="shared" si="415"/>
        <v>0</v>
      </c>
      <c r="CF482" s="9">
        <f>+Risultati!AR481</f>
        <v>0</v>
      </c>
      <c r="CG482" s="31" t="str">
        <f t="shared" si="416"/>
        <v>0</v>
      </c>
      <c r="CH482" s="9">
        <f>+Risultati!AS481</f>
        <v>0</v>
      </c>
      <c r="CI482" s="31" t="str">
        <f t="shared" si="417"/>
        <v>0</v>
      </c>
      <c r="CJ482" s="9">
        <f t="shared" si="418"/>
        <v>0</v>
      </c>
      <c r="CK482" s="31" t="str">
        <f t="shared" si="419"/>
        <v>0</v>
      </c>
      <c r="CL482" s="10">
        <f>+Risultati!AE481+Risultati!AF481</f>
        <v>0</v>
      </c>
      <c r="CM482" s="31" t="str">
        <f t="shared" si="420"/>
        <v>0</v>
      </c>
      <c r="CN482" s="9">
        <f>+Risultati!AT481</f>
        <v>0</v>
      </c>
      <c r="CO482" s="31" t="str">
        <f t="shared" si="421"/>
        <v>0</v>
      </c>
      <c r="CP482" s="9">
        <f>+Risultati!AU481</f>
        <v>0</v>
      </c>
      <c r="CQ482" s="31" t="str">
        <f t="shared" si="422"/>
        <v>0</v>
      </c>
      <c r="CR482" s="9">
        <f>+Risultati!AL481</f>
        <v>0</v>
      </c>
      <c r="CS482" s="31" t="str">
        <f t="shared" si="423"/>
        <v>0</v>
      </c>
      <c r="CT482" s="9">
        <f t="shared" si="424"/>
        <v>0</v>
      </c>
      <c r="CU482" s="31" t="str">
        <f t="shared" si="425"/>
        <v>0</v>
      </c>
      <c r="CV482" s="9">
        <f>+Risultati!AX481</f>
        <v>0</v>
      </c>
      <c r="CW482" s="31" t="str">
        <f t="shared" si="426"/>
        <v>0</v>
      </c>
      <c r="CX482" s="9">
        <f t="shared" si="427"/>
        <v>0</v>
      </c>
      <c r="CY482" s="31" t="str">
        <f t="shared" si="428"/>
        <v>0</v>
      </c>
      <c r="CZ482" s="9">
        <f>+Risultati!AG481</f>
        <v>0</v>
      </c>
      <c r="DA482" s="31" t="str">
        <f t="shared" si="429"/>
        <v>0</v>
      </c>
      <c r="DB482" s="9">
        <f t="shared" si="430"/>
        <v>0</v>
      </c>
      <c r="DC482" s="31" t="str">
        <f t="shared" si="431"/>
        <v>0</v>
      </c>
      <c r="DD482" s="9">
        <f>+Risultati!AV481</f>
        <v>0</v>
      </c>
      <c r="DE482" s="31" t="str">
        <f t="shared" si="432"/>
        <v>0</v>
      </c>
      <c r="DF482" s="9">
        <f>+Risultati!AJ481</f>
        <v>0</v>
      </c>
      <c r="DG482" s="31" t="str">
        <f t="shared" si="433"/>
        <v>0</v>
      </c>
      <c r="DH482" s="9">
        <f t="shared" si="434"/>
        <v>0</v>
      </c>
      <c r="DI482" s="31" t="str">
        <f t="shared" si="435"/>
        <v>0</v>
      </c>
      <c r="DJ482" s="9">
        <f>+Risultati!AW481</f>
        <v>0</v>
      </c>
      <c r="DK482" s="31" t="str">
        <f t="shared" si="436"/>
        <v>0</v>
      </c>
      <c r="DL482" s="10">
        <f t="shared" si="407"/>
        <v>0</v>
      </c>
      <c r="DM482" s="31" t="str">
        <f t="shared" si="437"/>
        <v>0</v>
      </c>
      <c r="DO482" s="30"/>
      <c r="DP482" s="30"/>
    </row>
    <row r="483" spans="1:120" x14ac:dyDescent="0.2">
      <c r="A483" s="5"/>
      <c r="B483" s="6">
        <f>+Risultati!B482</f>
        <v>0</v>
      </c>
      <c r="C483" s="6">
        <f>+Risultati!C482</f>
        <v>0</v>
      </c>
      <c r="D483" s="26" t="str">
        <f>IF(YEAR(Risultati!D482)=1900,(MID(Risultati!$AP$1,29,4)),YEAR(Risultati!D482))</f>
        <v/>
      </c>
      <c r="E483" s="6">
        <f>+Risultati!E482</f>
        <v>0</v>
      </c>
      <c r="F483" s="8" t="e">
        <f>(LEFT(Risultati!AN482,2)&amp;"-")&amp;VLOOKUP((LEFT(Risultati!AN482,2)),ateco!$B$4:$C$93,2,FALSE)</f>
        <v>#N/A</v>
      </c>
      <c r="G483" s="8" t="str">
        <f>SUBSTITUTE((Risultati!AN482&amp;"-"&amp;Risultati!AO482),",",";")</f>
        <v>-</v>
      </c>
      <c r="I483" s="10">
        <f>+Risultati!G482</f>
        <v>0</v>
      </c>
      <c r="J483" s="11" t="str">
        <f t="shared" si="389"/>
        <v>0</v>
      </c>
      <c r="K483" s="12"/>
      <c r="L483" s="10">
        <f>+Risultati!G482+Risultati!H482</f>
        <v>0</v>
      </c>
      <c r="M483" s="11" t="str">
        <f t="shared" si="390"/>
        <v>0</v>
      </c>
      <c r="N483" s="12"/>
      <c r="O483" s="10">
        <f>+Risultati!I482+Risultati!J482</f>
        <v>0</v>
      </c>
      <c r="P483" s="11" t="str">
        <f t="shared" si="391"/>
        <v>0</v>
      </c>
      <c r="Q483" s="12"/>
      <c r="R483" s="13">
        <f t="shared" si="408"/>
        <v>0</v>
      </c>
      <c r="S483" s="11" t="str">
        <f t="shared" si="392"/>
        <v>0</v>
      </c>
      <c r="T483" s="12"/>
      <c r="U483" s="10">
        <f>+Risultati!F482-(Risultati!G482+Risultati!H482)</f>
        <v>0</v>
      </c>
      <c r="V483" s="12" t="str">
        <f t="shared" si="393"/>
        <v>0</v>
      </c>
      <c r="W483" s="12"/>
      <c r="X483" s="10">
        <f t="shared" si="409"/>
        <v>0</v>
      </c>
      <c r="Y483" s="12" t="str">
        <f t="shared" si="394"/>
        <v>0</v>
      </c>
      <c r="Z483" s="12"/>
      <c r="AA483" s="10">
        <f>+Risultati!K482</f>
        <v>0</v>
      </c>
      <c r="AB483" s="12" t="str">
        <f t="shared" si="395"/>
        <v>0</v>
      </c>
      <c r="AC483" s="12"/>
      <c r="AD483" s="10">
        <f>+Risultati!L482</f>
        <v>0</v>
      </c>
      <c r="AE483" s="12" t="str">
        <f t="shared" si="396"/>
        <v>0</v>
      </c>
      <c r="AF483" s="12"/>
      <c r="AG483" s="10">
        <f>+Risultati!M482+Risultati!P482+Risultati!Q482</f>
        <v>0</v>
      </c>
      <c r="AH483" s="12" t="str">
        <f t="shared" si="397"/>
        <v>0</v>
      </c>
      <c r="AI483" s="12"/>
      <c r="AJ483" s="13">
        <f t="shared" si="410"/>
        <v>0</v>
      </c>
      <c r="AK483" s="11" t="str">
        <f t="shared" si="398"/>
        <v>0</v>
      </c>
      <c r="AL483" s="12"/>
      <c r="AM483" s="10">
        <f>+Risultati!N482</f>
        <v>0</v>
      </c>
      <c r="AN483" s="12" t="str">
        <f t="shared" si="399"/>
        <v>0</v>
      </c>
      <c r="AO483" s="12"/>
      <c r="AP483" s="10">
        <f t="shared" si="411"/>
        <v>0</v>
      </c>
      <c r="AQ483" s="41" t="str">
        <f t="shared" si="400"/>
        <v>0</v>
      </c>
      <c r="AR483" s="12"/>
      <c r="AS483" s="10">
        <f>+Risultati!O482</f>
        <v>0</v>
      </c>
      <c r="AT483" s="12" t="str">
        <f t="shared" si="401"/>
        <v>0</v>
      </c>
      <c r="AU483" s="12"/>
      <c r="AV483" s="10">
        <f t="shared" si="412"/>
        <v>0</v>
      </c>
      <c r="AW483" s="12" t="str">
        <f t="shared" si="402"/>
        <v>0</v>
      </c>
      <c r="AX483" s="12"/>
      <c r="AY483" s="10">
        <f>+Risultati!R482+Risultati!S482</f>
        <v>0</v>
      </c>
      <c r="AZ483" s="12" t="str">
        <f t="shared" si="403"/>
        <v>0</v>
      </c>
      <c r="BA483" s="12"/>
      <c r="BB483" s="10">
        <f>+Risultati!T482</f>
        <v>0</v>
      </c>
      <c r="BC483" s="12" t="str">
        <f t="shared" si="404"/>
        <v>0</v>
      </c>
      <c r="BD483" s="12"/>
      <c r="BE483" s="10">
        <f>+Risultati!U482</f>
        <v>0</v>
      </c>
      <c r="BF483" s="12" t="str">
        <f t="shared" si="405"/>
        <v>0</v>
      </c>
      <c r="BG483" s="12"/>
      <c r="BH483" s="10">
        <f t="shared" si="413"/>
        <v>0</v>
      </c>
      <c r="BI483" s="12" t="str">
        <f t="shared" si="406"/>
        <v>0</v>
      </c>
      <c r="BK483" s="16">
        <f>IF(ISNUMBER(Risultati!X482/100),(Risultati!X482/100))</f>
        <v>0</v>
      </c>
      <c r="BL483" s="16">
        <f>IF(ISNUMBER(Risultati!Y482/100),(Risultati!Y482/100))</f>
        <v>0</v>
      </c>
      <c r="BM483" s="16">
        <f>IF(ISNUMBER(Risultati!Z482/100),(Risultati!Z482/100))</f>
        <v>0</v>
      </c>
      <c r="BN483" s="16">
        <f>IF(AND(Risultati!AY482&lt;0,calcoli!AP483&lt;0),-IF(ISNUMBER(Risultati!AA482/100),(Risultati!AA482/100)),IF(ISNUMBER(Risultati!AA482/100),(Risultati!AA482/100)))</f>
        <v>0</v>
      </c>
      <c r="BO483" s="16" t="str">
        <f t="shared" si="387"/>
        <v>0</v>
      </c>
      <c r="BP483" s="16" t="str">
        <f>IF(Risultati!AB482&gt;0,(AV483/Risultati!AB482),"0")</f>
        <v>0</v>
      </c>
      <c r="BQ483" s="16" t="str">
        <f>IF(Risultati!AG482&lt;&gt;0,(BH483/Risultati!AG482),"0")</f>
        <v>0</v>
      </c>
      <c r="BR483" s="16" t="str">
        <f t="shared" si="388"/>
        <v>0</v>
      </c>
      <c r="BS483" s="14" t="str">
        <f>IF(Risultati!AB482&gt;0,(Risultati!G482/Risultati!AB482),"0")</f>
        <v>0</v>
      </c>
      <c r="BT483" s="15" t="str">
        <f>IF(Risultati!AG482&lt;&gt;0,(Risultati!AB482/Risultati!AG482),"0")</f>
        <v>0</v>
      </c>
      <c r="BU483" s="23" t="str">
        <f>IF(AND(Risultati!G482&gt;0,(Risultati!AE482-Risultati!AF482)&gt;=0),((Risultati!AE482-Risultati!AF482)/Risultati!G482*360),"0")</f>
        <v>0</v>
      </c>
      <c r="BV483" s="21" t="str">
        <f>IF(OR(E483="abbreviato",Risultati!G482=0),"0",((Risultati!AC482+Risultati!AD482)/Risultati!G482*360))</f>
        <v>0</v>
      </c>
      <c r="BW483" s="21" t="str">
        <f>IF(OR(E483="abbreviato",Risultati!G482=0,SUM(Risultati!I482+Risultati!K482+Risultati!M482)=0),"0",(((Risultati!AH482+Risultati!AI482)/(Risultati!I482+Risultati!K482+Risultati!N482)*360)))</f>
        <v>0</v>
      </c>
      <c r="BX483" s="16" t="str">
        <f>IF(Risultati!AB482&gt;0,(+Risultati!AG482/Risultati!AB482),"0")</f>
        <v>0</v>
      </c>
      <c r="BY483" s="22" t="str">
        <f>IF(OR(E483="abbreviato",Risultati!G482=0),"0",(((Risultati!AK482-(Risultati!AL482+Risultati!AM482))/Risultati!G482)))</f>
        <v>0</v>
      </c>
      <c r="BZ483" s="16" t="str">
        <f>IF(Risultati!G482&gt;0,(Risultati!AJ482/Risultati!G482),"0")</f>
        <v>0</v>
      </c>
      <c r="CA483" s="8"/>
      <c r="CB483" s="9">
        <f>+Risultati!AP482</f>
        <v>0</v>
      </c>
      <c r="CC483" s="31" t="str">
        <f t="shared" si="414"/>
        <v>0</v>
      </c>
      <c r="CD483" s="9">
        <f>+Risultati!AQ482</f>
        <v>0</v>
      </c>
      <c r="CE483" s="31" t="str">
        <f t="shared" si="415"/>
        <v>0</v>
      </c>
      <c r="CF483" s="9">
        <f>+Risultati!AR482</f>
        <v>0</v>
      </c>
      <c r="CG483" s="31" t="str">
        <f t="shared" si="416"/>
        <v>0</v>
      </c>
      <c r="CH483" s="9">
        <f>+Risultati!AS482</f>
        <v>0</v>
      </c>
      <c r="CI483" s="31" t="str">
        <f t="shared" si="417"/>
        <v>0</v>
      </c>
      <c r="CJ483" s="9">
        <f t="shared" si="418"/>
        <v>0</v>
      </c>
      <c r="CK483" s="31" t="str">
        <f t="shared" si="419"/>
        <v>0</v>
      </c>
      <c r="CL483" s="10">
        <f>+Risultati!AE482+Risultati!AF482</f>
        <v>0</v>
      </c>
      <c r="CM483" s="31" t="str">
        <f t="shared" si="420"/>
        <v>0</v>
      </c>
      <c r="CN483" s="9">
        <f>+Risultati!AT482</f>
        <v>0</v>
      </c>
      <c r="CO483" s="31" t="str">
        <f t="shared" si="421"/>
        <v>0</v>
      </c>
      <c r="CP483" s="9">
        <f>+Risultati!AU482</f>
        <v>0</v>
      </c>
      <c r="CQ483" s="31" t="str">
        <f t="shared" si="422"/>
        <v>0</v>
      </c>
      <c r="CR483" s="9">
        <f>+Risultati!AL482</f>
        <v>0</v>
      </c>
      <c r="CS483" s="31" t="str">
        <f t="shared" si="423"/>
        <v>0</v>
      </c>
      <c r="CT483" s="9">
        <f t="shared" si="424"/>
        <v>0</v>
      </c>
      <c r="CU483" s="31" t="str">
        <f t="shared" si="425"/>
        <v>0</v>
      </c>
      <c r="CV483" s="9">
        <f>+Risultati!AX482</f>
        <v>0</v>
      </c>
      <c r="CW483" s="31" t="str">
        <f t="shared" si="426"/>
        <v>0</v>
      </c>
      <c r="CX483" s="9">
        <f t="shared" si="427"/>
        <v>0</v>
      </c>
      <c r="CY483" s="31" t="str">
        <f t="shared" si="428"/>
        <v>0</v>
      </c>
      <c r="CZ483" s="9">
        <f>+Risultati!AG482</f>
        <v>0</v>
      </c>
      <c r="DA483" s="31" t="str">
        <f t="shared" si="429"/>
        <v>0</v>
      </c>
      <c r="DB483" s="9">
        <f t="shared" si="430"/>
        <v>0</v>
      </c>
      <c r="DC483" s="31" t="str">
        <f t="shared" si="431"/>
        <v>0</v>
      </c>
      <c r="DD483" s="9">
        <f>+Risultati!AV482</f>
        <v>0</v>
      </c>
      <c r="DE483" s="31" t="str">
        <f t="shared" si="432"/>
        <v>0</v>
      </c>
      <c r="DF483" s="9">
        <f>+Risultati!AJ482</f>
        <v>0</v>
      </c>
      <c r="DG483" s="31" t="str">
        <f t="shared" si="433"/>
        <v>0</v>
      </c>
      <c r="DH483" s="9">
        <f t="shared" si="434"/>
        <v>0</v>
      </c>
      <c r="DI483" s="31" t="str">
        <f t="shared" si="435"/>
        <v>0</v>
      </c>
      <c r="DJ483" s="9">
        <f>+Risultati!AW482</f>
        <v>0</v>
      </c>
      <c r="DK483" s="31" t="str">
        <f t="shared" si="436"/>
        <v>0</v>
      </c>
      <c r="DL483" s="10">
        <f t="shared" si="407"/>
        <v>0</v>
      </c>
      <c r="DM483" s="31" t="str">
        <f t="shared" si="437"/>
        <v>0</v>
      </c>
      <c r="DO483" s="30"/>
      <c r="DP483" s="30"/>
    </row>
    <row r="484" spans="1:120" x14ac:dyDescent="0.2">
      <c r="A484" s="5"/>
      <c r="B484" s="6">
        <f>+Risultati!B483</f>
        <v>0</v>
      </c>
      <c r="C484" s="6">
        <f>+Risultati!C483</f>
        <v>0</v>
      </c>
      <c r="D484" s="26" t="str">
        <f>IF(YEAR(Risultati!D483)=1900,(MID(Risultati!$AP$1,29,4)),YEAR(Risultati!D483))</f>
        <v/>
      </c>
      <c r="E484" s="6">
        <f>+Risultati!E483</f>
        <v>0</v>
      </c>
      <c r="F484" s="8" t="e">
        <f>(LEFT(Risultati!AN483,2)&amp;"-")&amp;VLOOKUP((LEFT(Risultati!AN483,2)),ateco!$B$4:$C$93,2,FALSE)</f>
        <v>#N/A</v>
      </c>
      <c r="G484" s="8" t="str">
        <f>SUBSTITUTE((Risultati!AN483&amp;"-"&amp;Risultati!AO483),",",";")</f>
        <v>-</v>
      </c>
      <c r="I484" s="10">
        <f>+Risultati!G483</f>
        <v>0</v>
      </c>
      <c r="J484" s="11" t="str">
        <f t="shared" si="389"/>
        <v>0</v>
      </c>
      <c r="K484" s="12"/>
      <c r="L484" s="10">
        <f>+Risultati!G483+Risultati!H483</f>
        <v>0</v>
      </c>
      <c r="M484" s="11" t="str">
        <f t="shared" si="390"/>
        <v>0</v>
      </c>
      <c r="N484" s="12"/>
      <c r="O484" s="10">
        <f>+Risultati!I483+Risultati!J483</f>
        <v>0</v>
      </c>
      <c r="P484" s="11" t="str">
        <f t="shared" si="391"/>
        <v>0</v>
      </c>
      <c r="Q484" s="12"/>
      <c r="R484" s="13">
        <f t="shared" si="408"/>
        <v>0</v>
      </c>
      <c r="S484" s="11" t="str">
        <f t="shared" si="392"/>
        <v>0</v>
      </c>
      <c r="T484" s="12"/>
      <c r="U484" s="10">
        <f>+Risultati!F483-(Risultati!G483+Risultati!H483)</f>
        <v>0</v>
      </c>
      <c r="V484" s="12" t="str">
        <f t="shared" si="393"/>
        <v>0</v>
      </c>
      <c r="W484" s="12"/>
      <c r="X484" s="10">
        <f t="shared" si="409"/>
        <v>0</v>
      </c>
      <c r="Y484" s="12" t="str">
        <f t="shared" si="394"/>
        <v>0</v>
      </c>
      <c r="Z484" s="12"/>
      <c r="AA484" s="10">
        <f>+Risultati!K483</f>
        <v>0</v>
      </c>
      <c r="AB484" s="12" t="str">
        <f t="shared" si="395"/>
        <v>0</v>
      </c>
      <c r="AC484" s="12"/>
      <c r="AD484" s="10">
        <f>+Risultati!L483</f>
        <v>0</v>
      </c>
      <c r="AE484" s="12" t="str">
        <f t="shared" si="396"/>
        <v>0</v>
      </c>
      <c r="AF484" s="12"/>
      <c r="AG484" s="10">
        <f>+Risultati!M483+Risultati!P483+Risultati!Q483</f>
        <v>0</v>
      </c>
      <c r="AH484" s="12" t="str">
        <f t="shared" si="397"/>
        <v>0</v>
      </c>
      <c r="AI484" s="12"/>
      <c r="AJ484" s="13">
        <f t="shared" si="410"/>
        <v>0</v>
      </c>
      <c r="AK484" s="11" t="str">
        <f t="shared" si="398"/>
        <v>0</v>
      </c>
      <c r="AL484" s="12"/>
      <c r="AM484" s="10">
        <f>+Risultati!N483</f>
        <v>0</v>
      </c>
      <c r="AN484" s="12" t="str">
        <f t="shared" si="399"/>
        <v>0</v>
      </c>
      <c r="AO484" s="12"/>
      <c r="AP484" s="10">
        <f t="shared" si="411"/>
        <v>0</v>
      </c>
      <c r="AQ484" s="41" t="str">
        <f t="shared" si="400"/>
        <v>0</v>
      </c>
      <c r="AR484" s="12"/>
      <c r="AS484" s="10">
        <f>+Risultati!O483</f>
        <v>0</v>
      </c>
      <c r="AT484" s="12" t="str">
        <f t="shared" si="401"/>
        <v>0</v>
      </c>
      <c r="AU484" s="12"/>
      <c r="AV484" s="10">
        <f t="shared" si="412"/>
        <v>0</v>
      </c>
      <c r="AW484" s="12" t="str">
        <f t="shared" si="402"/>
        <v>0</v>
      </c>
      <c r="AX484" s="12"/>
      <c r="AY484" s="10">
        <f>+Risultati!R483+Risultati!S483</f>
        <v>0</v>
      </c>
      <c r="AZ484" s="12" t="str">
        <f t="shared" si="403"/>
        <v>0</v>
      </c>
      <c r="BA484" s="12"/>
      <c r="BB484" s="10">
        <f>+Risultati!T483</f>
        <v>0</v>
      </c>
      <c r="BC484" s="12" t="str">
        <f t="shared" si="404"/>
        <v>0</v>
      </c>
      <c r="BD484" s="12"/>
      <c r="BE484" s="10">
        <f>+Risultati!U483</f>
        <v>0</v>
      </c>
      <c r="BF484" s="12" t="str">
        <f t="shared" si="405"/>
        <v>0</v>
      </c>
      <c r="BG484" s="12"/>
      <c r="BH484" s="10">
        <f t="shared" si="413"/>
        <v>0</v>
      </c>
      <c r="BI484" s="12" t="str">
        <f t="shared" si="406"/>
        <v>0</v>
      </c>
      <c r="BK484" s="16">
        <f>IF(ISNUMBER(Risultati!X483/100),(Risultati!X483/100))</f>
        <v>0</v>
      </c>
      <c r="BL484" s="16">
        <f>IF(ISNUMBER(Risultati!Y483/100),(Risultati!Y483/100))</f>
        <v>0</v>
      </c>
      <c r="BM484" s="16">
        <f>IF(ISNUMBER(Risultati!Z483/100),(Risultati!Z483/100))</f>
        <v>0</v>
      </c>
      <c r="BN484" s="16">
        <f>IF(AND(Risultati!AY483&lt;0,calcoli!AP484&lt;0),-IF(ISNUMBER(Risultati!AA483/100),(Risultati!AA483/100)),IF(ISNUMBER(Risultati!AA483/100),(Risultati!AA483/100)))</f>
        <v>0</v>
      </c>
      <c r="BO484" s="16" t="str">
        <f t="shared" si="387"/>
        <v>0</v>
      </c>
      <c r="BP484" s="16" t="str">
        <f>IF(Risultati!AB483&gt;0,(AV484/Risultati!AB483),"0")</f>
        <v>0</v>
      </c>
      <c r="BQ484" s="16" t="str">
        <f>IF(Risultati!AG483&lt;&gt;0,(BH484/Risultati!AG483),"0")</f>
        <v>0</v>
      </c>
      <c r="BR484" s="16" t="str">
        <f t="shared" si="388"/>
        <v>0</v>
      </c>
      <c r="BS484" s="14" t="str">
        <f>IF(Risultati!AB483&gt;0,(Risultati!G483/Risultati!AB483),"0")</f>
        <v>0</v>
      </c>
      <c r="BT484" s="15" t="str">
        <f>IF(Risultati!AG483&lt;&gt;0,(Risultati!AB483/Risultati!AG483),"0")</f>
        <v>0</v>
      </c>
      <c r="BU484" s="23" t="str">
        <f>IF(AND(Risultati!G483&gt;0,(Risultati!AE483-Risultati!AF483)&gt;=0),((Risultati!AE483-Risultati!AF483)/Risultati!G483*360),"0")</f>
        <v>0</v>
      </c>
      <c r="BV484" s="21" t="str">
        <f>IF(OR(E484="abbreviato",Risultati!G483=0),"0",((Risultati!AC483+Risultati!AD483)/Risultati!G483*360))</f>
        <v>0</v>
      </c>
      <c r="BW484" s="21" t="str">
        <f>IF(OR(E484="abbreviato",Risultati!G483=0,SUM(Risultati!I483+Risultati!K483+Risultati!M483)=0),"0",(((Risultati!AH483+Risultati!AI483)/(Risultati!I483+Risultati!K483+Risultati!N483)*360)))</f>
        <v>0</v>
      </c>
      <c r="BX484" s="16" t="str">
        <f>IF(Risultati!AB483&gt;0,(+Risultati!AG483/Risultati!AB483),"0")</f>
        <v>0</v>
      </c>
      <c r="BY484" s="22" t="str">
        <f>IF(OR(E484="abbreviato",Risultati!G483=0),"0",(((Risultati!AK483-(Risultati!AL483+Risultati!AM483))/Risultati!G483)))</f>
        <v>0</v>
      </c>
      <c r="BZ484" s="16" t="str">
        <f>IF(Risultati!G483&gt;0,(Risultati!AJ483/Risultati!G483),"0")</f>
        <v>0</v>
      </c>
      <c r="CA484" s="8"/>
      <c r="CB484" s="9">
        <f>+Risultati!AP483</f>
        <v>0</v>
      </c>
      <c r="CC484" s="31" t="str">
        <f t="shared" si="414"/>
        <v>0</v>
      </c>
      <c r="CD484" s="9">
        <f>+Risultati!AQ483</f>
        <v>0</v>
      </c>
      <c r="CE484" s="31" t="str">
        <f t="shared" si="415"/>
        <v>0</v>
      </c>
      <c r="CF484" s="9">
        <f>+Risultati!AR483</f>
        <v>0</v>
      </c>
      <c r="CG484" s="31" t="str">
        <f t="shared" si="416"/>
        <v>0</v>
      </c>
      <c r="CH484" s="9">
        <f>+Risultati!AS483</f>
        <v>0</v>
      </c>
      <c r="CI484" s="31" t="str">
        <f t="shared" si="417"/>
        <v>0</v>
      </c>
      <c r="CJ484" s="9">
        <f t="shared" si="418"/>
        <v>0</v>
      </c>
      <c r="CK484" s="31" t="str">
        <f t="shared" si="419"/>
        <v>0</v>
      </c>
      <c r="CL484" s="10">
        <f>+Risultati!AE483+Risultati!AF483</f>
        <v>0</v>
      </c>
      <c r="CM484" s="31" t="str">
        <f t="shared" si="420"/>
        <v>0</v>
      </c>
      <c r="CN484" s="9">
        <f>+Risultati!AT483</f>
        <v>0</v>
      </c>
      <c r="CO484" s="31" t="str">
        <f t="shared" si="421"/>
        <v>0</v>
      </c>
      <c r="CP484" s="9">
        <f>+Risultati!AU483</f>
        <v>0</v>
      </c>
      <c r="CQ484" s="31" t="str">
        <f t="shared" si="422"/>
        <v>0</v>
      </c>
      <c r="CR484" s="9">
        <f>+Risultati!AL483</f>
        <v>0</v>
      </c>
      <c r="CS484" s="31" t="str">
        <f t="shared" si="423"/>
        <v>0</v>
      </c>
      <c r="CT484" s="9">
        <f t="shared" si="424"/>
        <v>0</v>
      </c>
      <c r="CU484" s="31" t="str">
        <f t="shared" si="425"/>
        <v>0</v>
      </c>
      <c r="CV484" s="9">
        <f>+Risultati!AX483</f>
        <v>0</v>
      </c>
      <c r="CW484" s="31" t="str">
        <f t="shared" si="426"/>
        <v>0</v>
      </c>
      <c r="CX484" s="9">
        <f t="shared" si="427"/>
        <v>0</v>
      </c>
      <c r="CY484" s="31" t="str">
        <f t="shared" si="428"/>
        <v>0</v>
      </c>
      <c r="CZ484" s="9">
        <f>+Risultati!AG483</f>
        <v>0</v>
      </c>
      <c r="DA484" s="31" t="str">
        <f t="shared" si="429"/>
        <v>0</v>
      </c>
      <c r="DB484" s="9">
        <f t="shared" si="430"/>
        <v>0</v>
      </c>
      <c r="DC484" s="31" t="str">
        <f t="shared" si="431"/>
        <v>0</v>
      </c>
      <c r="DD484" s="9">
        <f>+Risultati!AV483</f>
        <v>0</v>
      </c>
      <c r="DE484" s="31" t="str">
        <f t="shared" si="432"/>
        <v>0</v>
      </c>
      <c r="DF484" s="9">
        <f>+Risultati!AJ483</f>
        <v>0</v>
      </c>
      <c r="DG484" s="31" t="str">
        <f t="shared" si="433"/>
        <v>0</v>
      </c>
      <c r="DH484" s="9">
        <f t="shared" si="434"/>
        <v>0</v>
      </c>
      <c r="DI484" s="31" t="str">
        <f t="shared" si="435"/>
        <v>0</v>
      </c>
      <c r="DJ484" s="9">
        <f>+Risultati!AW483</f>
        <v>0</v>
      </c>
      <c r="DK484" s="31" t="str">
        <f t="shared" si="436"/>
        <v>0</v>
      </c>
      <c r="DL484" s="10">
        <f t="shared" si="407"/>
        <v>0</v>
      </c>
      <c r="DM484" s="31" t="str">
        <f t="shared" si="437"/>
        <v>0</v>
      </c>
      <c r="DO484" s="30"/>
      <c r="DP484" s="30"/>
    </row>
    <row r="485" spans="1:120" x14ac:dyDescent="0.2">
      <c r="A485" s="5"/>
      <c r="B485" s="6">
        <f>+Risultati!B484</f>
        <v>0</v>
      </c>
      <c r="C485" s="6">
        <f>+Risultati!C484</f>
        <v>0</v>
      </c>
      <c r="D485" s="26" t="str">
        <f>IF(YEAR(Risultati!D484)=1900,(MID(Risultati!$AP$1,29,4)),YEAR(Risultati!D484))</f>
        <v/>
      </c>
      <c r="E485" s="6">
        <f>+Risultati!E484</f>
        <v>0</v>
      </c>
      <c r="F485" s="8" t="e">
        <f>(LEFT(Risultati!AN484,2)&amp;"-")&amp;VLOOKUP((LEFT(Risultati!AN484,2)),ateco!$B$4:$C$93,2,FALSE)</f>
        <v>#N/A</v>
      </c>
      <c r="G485" s="8" t="str">
        <f>SUBSTITUTE((Risultati!AN484&amp;"-"&amp;Risultati!AO484),",",";")</f>
        <v>-</v>
      </c>
      <c r="I485" s="10">
        <f>+Risultati!G484</f>
        <v>0</v>
      </c>
      <c r="J485" s="11" t="str">
        <f t="shared" si="389"/>
        <v>0</v>
      </c>
      <c r="K485" s="12"/>
      <c r="L485" s="10">
        <f>+Risultati!G484+Risultati!H484</f>
        <v>0</v>
      </c>
      <c r="M485" s="11" t="str">
        <f t="shared" si="390"/>
        <v>0</v>
      </c>
      <c r="N485" s="12"/>
      <c r="O485" s="10">
        <f>+Risultati!I484+Risultati!J484</f>
        <v>0</v>
      </c>
      <c r="P485" s="11" t="str">
        <f t="shared" si="391"/>
        <v>0</v>
      </c>
      <c r="Q485" s="12"/>
      <c r="R485" s="13">
        <f t="shared" si="408"/>
        <v>0</v>
      </c>
      <c r="S485" s="11" t="str">
        <f t="shared" si="392"/>
        <v>0</v>
      </c>
      <c r="T485" s="12"/>
      <c r="U485" s="10">
        <f>+Risultati!F484-(Risultati!G484+Risultati!H484)</f>
        <v>0</v>
      </c>
      <c r="V485" s="12" t="str">
        <f t="shared" si="393"/>
        <v>0</v>
      </c>
      <c r="W485" s="12"/>
      <c r="X485" s="10">
        <f t="shared" si="409"/>
        <v>0</v>
      </c>
      <c r="Y485" s="12" t="str">
        <f t="shared" si="394"/>
        <v>0</v>
      </c>
      <c r="Z485" s="12"/>
      <c r="AA485" s="10">
        <f>+Risultati!K484</f>
        <v>0</v>
      </c>
      <c r="AB485" s="12" t="str">
        <f t="shared" si="395"/>
        <v>0</v>
      </c>
      <c r="AC485" s="12"/>
      <c r="AD485" s="10">
        <f>+Risultati!L484</f>
        <v>0</v>
      </c>
      <c r="AE485" s="12" t="str">
        <f t="shared" si="396"/>
        <v>0</v>
      </c>
      <c r="AF485" s="12"/>
      <c r="AG485" s="10">
        <f>+Risultati!M484+Risultati!P484+Risultati!Q484</f>
        <v>0</v>
      </c>
      <c r="AH485" s="12" t="str">
        <f t="shared" si="397"/>
        <v>0</v>
      </c>
      <c r="AI485" s="12"/>
      <c r="AJ485" s="13">
        <f t="shared" si="410"/>
        <v>0</v>
      </c>
      <c r="AK485" s="11" t="str">
        <f t="shared" si="398"/>
        <v>0</v>
      </c>
      <c r="AL485" s="12"/>
      <c r="AM485" s="10">
        <f>+Risultati!N484</f>
        <v>0</v>
      </c>
      <c r="AN485" s="12" t="str">
        <f t="shared" si="399"/>
        <v>0</v>
      </c>
      <c r="AO485" s="12"/>
      <c r="AP485" s="10">
        <f t="shared" si="411"/>
        <v>0</v>
      </c>
      <c r="AQ485" s="41" t="str">
        <f t="shared" si="400"/>
        <v>0</v>
      </c>
      <c r="AR485" s="12"/>
      <c r="AS485" s="10">
        <f>+Risultati!O484</f>
        <v>0</v>
      </c>
      <c r="AT485" s="12" t="str">
        <f t="shared" si="401"/>
        <v>0</v>
      </c>
      <c r="AU485" s="12"/>
      <c r="AV485" s="10">
        <f t="shared" si="412"/>
        <v>0</v>
      </c>
      <c r="AW485" s="12" t="str">
        <f t="shared" si="402"/>
        <v>0</v>
      </c>
      <c r="AX485" s="12"/>
      <c r="AY485" s="10">
        <f>+Risultati!R484+Risultati!S484</f>
        <v>0</v>
      </c>
      <c r="AZ485" s="12" t="str">
        <f t="shared" si="403"/>
        <v>0</v>
      </c>
      <c r="BA485" s="12"/>
      <c r="BB485" s="10">
        <f>+Risultati!T484</f>
        <v>0</v>
      </c>
      <c r="BC485" s="12" t="str">
        <f t="shared" si="404"/>
        <v>0</v>
      </c>
      <c r="BD485" s="12"/>
      <c r="BE485" s="10">
        <f>+Risultati!U484</f>
        <v>0</v>
      </c>
      <c r="BF485" s="12" t="str">
        <f t="shared" si="405"/>
        <v>0</v>
      </c>
      <c r="BG485" s="12"/>
      <c r="BH485" s="10">
        <f t="shared" si="413"/>
        <v>0</v>
      </c>
      <c r="BI485" s="12" t="str">
        <f t="shared" si="406"/>
        <v>0</v>
      </c>
      <c r="BK485" s="16">
        <f>IF(ISNUMBER(Risultati!X484/100),(Risultati!X484/100))</f>
        <v>0</v>
      </c>
      <c r="BL485" s="16">
        <f>IF(ISNUMBER(Risultati!Y484/100),(Risultati!Y484/100))</f>
        <v>0</v>
      </c>
      <c r="BM485" s="16">
        <f>IF(ISNUMBER(Risultati!Z484/100),(Risultati!Z484/100))</f>
        <v>0</v>
      </c>
      <c r="BN485" s="16">
        <f>IF(AND(Risultati!AY484&lt;0,calcoli!AP485&lt;0),-IF(ISNUMBER(Risultati!AA484/100),(Risultati!AA484/100)),IF(ISNUMBER(Risultati!AA484/100),(Risultati!AA484/100)))</f>
        <v>0</v>
      </c>
      <c r="BO485" s="16" t="str">
        <f t="shared" si="387"/>
        <v>0</v>
      </c>
      <c r="BP485" s="16" t="str">
        <f>IF(Risultati!AB484&gt;0,(AV485/Risultati!AB484),"0")</f>
        <v>0</v>
      </c>
      <c r="BQ485" s="16" t="str">
        <f>IF(Risultati!AG484&lt;&gt;0,(BH485/Risultati!AG484),"0")</f>
        <v>0</v>
      </c>
      <c r="BR485" s="16" t="str">
        <f t="shared" si="388"/>
        <v>0</v>
      </c>
      <c r="BS485" s="14" t="str">
        <f>IF(Risultati!AB484&gt;0,(Risultati!G484/Risultati!AB484),"0")</f>
        <v>0</v>
      </c>
      <c r="BT485" s="15" t="str">
        <f>IF(Risultati!AG484&lt;&gt;0,(Risultati!AB484/Risultati!AG484),"0")</f>
        <v>0</v>
      </c>
      <c r="BU485" s="23" t="str">
        <f>IF(AND(Risultati!G484&gt;0,(Risultati!AE484-Risultati!AF484)&gt;=0),((Risultati!AE484-Risultati!AF484)/Risultati!G484*360),"0")</f>
        <v>0</v>
      </c>
      <c r="BV485" s="21" t="str">
        <f>IF(OR(E485="abbreviato",Risultati!G484=0),"0",((Risultati!AC484+Risultati!AD484)/Risultati!G484*360))</f>
        <v>0</v>
      </c>
      <c r="BW485" s="21" t="str">
        <f>IF(OR(E485="abbreviato",Risultati!G484=0,SUM(Risultati!I484+Risultati!K484+Risultati!M484)=0),"0",(((Risultati!AH484+Risultati!AI484)/(Risultati!I484+Risultati!K484+Risultati!N484)*360)))</f>
        <v>0</v>
      </c>
      <c r="BX485" s="16" t="str">
        <f>IF(Risultati!AB484&gt;0,(+Risultati!AG484/Risultati!AB484),"0")</f>
        <v>0</v>
      </c>
      <c r="BY485" s="22" t="str">
        <f>IF(OR(E485="abbreviato",Risultati!G484=0),"0",(((Risultati!AK484-(Risultati!AL484+Risultati!AM484))/Risultati!G484)))</f>
        <v>0</v>
      </c>
      <c r="BZ485" s="16" t="str">
        <f>IF(Risultati!G484&gt;0,(Risultati!AJ484/Risultati!G484),"0")</f>
        <v>0</v>
      </c>
      <c r="CA485" s="8"/>
      <c r="CB485" s="9">
        <f>+Risultati!AP484</f>
        <v>0</v>
      </c>
      <c r="CC485" s="31" t="str">
        <f t="shared" si="414"/>
        <v>0</v>
      </c>
      <c r="CD485" s="9">
        <f>+Risultati!AQ484</f>
        <v>0</v>
      </c>
      <c r="CE485" s="31" t="str">
        <f t="shared" si="415"/>
        <v>0</v>
      </c>
      <c r="CF485" s="9">
        <f>+Risultati!AR484</f>
        <v>0</v>
      </c>
      <c r="CG485" s="31" t="str">
        <f t="shared" si="416"/>
        <v>0</v>
      </c>
      <c r="CH485" s="9">
        <f>+Risultati!AS484</f>
        <v>0</v>
      </c>
      <c r="CI485" s="31" t="str">
        <f t="shared" si="417"/>
        <v>0</v>
      </c>
      <c r="CJ485" s="9">
        <f t="shared" si="418"/>
        <v>0</v>
      </c>
      <c r="CK485" s="31" t="str">
        <f t="shared" si="419"/>
        <v>0</v>
      </c>
      <c r="CL485" s="10">
        <f>+Risultati!AE484+Risultati!AF484</f>
        <v>0</v>
      </c>
      <c r="CM485" s="31" t="str">
        <f t="shared" si="420"/>
        <v>0</v>
      </c>
      <c r="CN485" s="9">
        <f>+Risultati!AT484</f>
        <v>0</v>
      </c>
      <c r="CO485" s="31" t="str">
        <f t="shared" si="421"/>
        <v>0</v>
      </c>
      <c r="CP485" s="9">
        <f>+Risultati!AU484</f>
        <v>0</v>
      </c>
      <c r="CQ485" s="31" t="str">
        <f t="shared" si="422"/>
        <v>0</v>
      </c>
      <c r="CR485" s="9">
        <f>+Risultati!AL484</f>
        <v>0</v>
      </c>
      <c r="CS485" s="31" t="str">
        <f t="shared" si="423"/>
        <v>0</v>
      </c>
      <c r="CT485" s="9">
        <f t="shared" si="424"/>
        <v>0</v>
      </c>
      <c r="CU485" s="31" t="str">
        <f t="shared" si="425"/>
        <v>0</v>
      </c>
      <c r="CV485" s="9">
        <f>+Risultati!AX484</f>
        <v>0</v>
      </c>
      <c r="CW485" s="31" t="str">
        <f t="shared" si="426"/>
        <v>0</v>
      </c>
      <c r="CX485" s="9">
        <f t="shared" si="427"/>
        <v>0</v>
      </c>
      <c r="CY485" s="31" t="str">
        <f t="shared" si="428"/>
        <v>0</v>
      </c>
      <c r="CZ485" s="9">
        <f>+Risultati!AG484</f>
        <v>0</v>
      </c>
      <c r="DA485" s="31" t="str">
        <f t="shared" si="429"/>
        <v>0</v>
      </c>
      <c r="DB485" s="9">
        <f t="shared" si="430"/>
        <v>0</v>
      </c>
      <c r="DC485" s="31" t="str">
        <f t="shared" si="431"/>
        <v>0</v>
      </c>
      <c r="DD485" s="9">
        <f>+Risultati!AV484</f>
        <v>0</v>
      </c>
      <c r="DE485" s="31" t="str">
        <f t="shared" si="432"/>
        <v>0</v>
      </c>
      <c r="DF485" s="9">
        <f>+Risultati!AJ484</f>
        <v>0</v>
      </c>
      <c r="DG485" s="31" t="str">
        <f t="shared" si="433"/>
        <v>0</v>
      </c>
      <c r="DH485" s="9">
        <f t="shared" si="434"/>
        <v>0</v>
      </c>
      <c r="DI485" s="31" t="str">
        <f t="shared" si="435"/>
        <v>0</v>
      </c>
      <c r="DJ485" s="9">
        <f>+Risultati!AW484</f>
        <v>0</v>
      </c>
      <c r="DK485" s="31" t="str">
        <f t="shared" si="436"/>
        <v>0</v>
      </c>
      <c r="DL485" s="10">
        <f t="shared" si="407"/>
        <v>0</v>
      </c>
      <c r="DM485" s="31" t="str">
        <f t="shared" si="437"/>
        <v>0</v>
      </c>
      <c r="DO485" s="30"/>
      <c r="DP485" s="30"/>
    </row>
    <row r="486" spans="1:120" x14ac:dyDescent="0.2">
      <c r="A486" s="5"/>
      <c r="B486" s="6">
        <f>+Risultati!B485</f>
        <v>0</v>
      </c>
      <c r="C486" s="6">
        <f>+Risultati!C485</f>
        <v>0</v>
      </c>
      <c r="D486" s="26" t="str">
        <f>IF(YEAR(Risultati!D485)=1900,(MID(Risultati!$AP$1,29,4)),YEAR(Risultati!D485))</f>
        <v/>
      </c>
      <c r="E486" s="6">
        <f>+Risultati!E485</f>
        <v>0</v>
      </c>
      <c r="F486" s="8" t="e">
        <f>(LEFT(Risultati!AN485,2)&amp;"-")&amp;VLOOKUP((LEFT(Risultati!AN485,2)),ateco!$B$4:$C$93,2,FALSE)</f>
        <v>#N/A</v>
      </c>
      <c r="G486" s="8" t="str">
        <f>SUBSTITUTE((Risultati!AN485&amp;"-"&amp;Risultati!AO485),",",";")</f>
        <v>-</v>
      </c>
      <c r="I486" s="10">
        <f>+Risultati!G485</f>
        <v>0</v>
      </c>
      <c r="J486" s="11" t="str">
        <f t="shared" si="389"/>
        <v>0</v>
      </c>
      <c r="K486" s="12"/>
      <c r="L486" s="10">
        <f>+Risultati!G485+Risultati!H485</f>
        <v>0</v>
      </c>
      <c r="M486" s="11" t="str">
        <f t="shared" si="390"/>
        <v>0</v>
      </c>
      <c r="N486" s="12"/>
      <c r="O486" s="10">
        <f>+Risultati!I485+Risultati!J485</f>
        <v>0</v>
      </c>
      <c r="P486" s="11" t="str">
        <f t="shared" si="391"/>
        <v>0</v>
      </c>
      <c r="Q486" s="12"/>
      <c r="R486" s="13">
        <f t="shared" si="408"/>
        <v>0</v>
      </c>
      <c r="S486" s="11" t="str">
        <f t="shared" si="392"/>
        <v>0</v>
      </c>
      <c r="T486" s="12"/>
      <c r="U486" s="10">
        <f>+Risultati!F485-(Risultati!G485+Risultati!H485)</f>
        <v>0</v>
      </c>
      <c r="V486" s="12" t="str">
        <f t="shared" si="393"/>
        <v>0</v>
      </c>
      <c r="W486" s="12"/>
      <c r="X486" s="10">
        <f t="shared" si="409"/>
        <v>0</v>
      </c>
      <c r="Y486" s="12" t="str">
        <f t="shared" si="394"/>
        <v>0</v>
      </c>
      <c r="Z486" s="12"/>
      <c r="AA486" s="10">
        <f>+Risultati!K485</f>
        <v>0</v>
      </c>
      <c r="AB486" s="12" t="str">
        <f t="shared" si="395"/>
        <v>0</v>
      </c>
      <c r="AC486" s="12"/>
      <c r="AD486" s="10">
        <f>+Risultati!L485</f>
        <v>0</v>
      </c>
      <c r="AE486" s="12" t="str">
        <f t="shared" si="396"/>
        <v>0</v>
      </c>
      <c r="AF486" s="12"/>
      <c r="AG486" s="10">
        <f>+Risultati!M485+Risultati!P485+Risultati!Q485</f>
        <v>0</v>
      </c>
      <c r="AH486" s="12" t="str">
        <f t="shared" si="397"/>
        <v>0</v>
      </c>
      <c r="AI486" s="12"/>
      <c r="AJ486" s="13">
        <f t="shared" si="410"/>
        <v>0</v>
      </c>
      <c r="AK486" s="11" t="str">
        <f t="shared" si="398"/>
        <v>0</v>
      </c>
      <c r="AL486" s="12"/>
      <c r="AM486" s="10">
        <f>+Risultati!N485</f>
        <v>0</v>
      </c>
      <c r="AN486" s="12" t="str">
        <f t="shared" si="399"/>
        <v>0</v>
      </c>
      <c r="AO486" s="12"/>
      <c r="AP486" s="10">
        <f t="shared" si="411"/>
        <v>0</v>
      </c>
      <c r="AQ486" s="41" t="str">
        <f t="shared" si="400"/>
        <v>0</v>
      </c>
      <c r="AR486" s="12"/>
      <c r="AS486" s="10">
        <f>+Risultati!O485</f>
        <v>0</v>
      </c>
      <c r="AT486" s="12" t="str">
        <f t="shared" si="401"/>
        <v>0</v>
      </c>
      <c r="AU486" s="12"/>
      <c r="AV486" s="10">
        <f t="shared" si="412"/>
        <v>0</v>
      </c>
      <c r="AW486" s="12" t="str">
        <f t="shared" si="402"/>
        <v>0</v>
      </c>
      <c r="AX486" s="12"/>
      <c r="AY486" s="10">
        <f>+Risultati!R485+Risultati!S485</f>
        <v>0</v>
      </c>
      <c r="AZ486" s="12" t="str">
        <f t="shared" si="403"/>
        <v>0</v>
      </c>
      <c r="BA486" s="12"/>
      <c r="BB486" s="10">
        <f>+Risultati!T485</f>
        <v>0</v>
      </c>
      <c r="BC486" s="12" t="str">
        <f t="shared" si="404"/>
        <v>0</v>
      </c>
      <c r="BD486" s="12"/>
      <c r="BE486" s="10">
        <f>+Risultati!U485</f>
        <v>0</v>
      </c>
      <c r="BF486" s="12" t="str">
        <f t="shared" si="405"/>
        <v>0</v>
      </c>
      <c r="BG486" s="12"/>
      <c r="BH486" s="10">
        <f t="shared" si="413"/>
        <v>0</v>
      </c>
      <c r="BI486" s="12" t="str">
        <f t="shared" si="406"/>
        <v>0</v>
      </c>
      <c r="BK486" s="16">
        <f>IF(ISNUMBER(Risultati!X485/100),(Risultati!X485/100))</f>
        <v>0</v>
      </c>
      <c r="BL486" s="16">
        <f>IF(ISNUMBER(Risultati!Y485/100),(Risultati!Y485/100))</f>
        <v>0</v>
      </c>
      <c r="BM486" s="16">
        <f>IF(ISNUMBER(Risultati!Z485/100),(Risultati!Z485/100))</f>
        <v>0</v>
      </c>
      <c r="BN486" s="16">
        <f>IF(AND(Risultati!AY485&lt;0,calcoli!AP486&lt;0),-IF(ISNUMBER(Risultati!AA485/100),(Risultati!AA485/100)),IF(ISNUMBER(Risultati!AA485/100),(Risultati!AA485/100)))</f>
        <v>0</v>
      </c>
      <c r="BO486" s="16" t="str">
        <f t="shared" si="387"/>
        <v>0</v>
      </c>
      <c r="BP486" s="16" t="str">
        <f>IF(Risultati!AB485&gt;0,(AV486/Risultati!AB485),"0")</f>
        <v>0</v>
      </c>
      <c r="BQ486" s="16" t="str">
        <f>IF(Risultati!AG485&lt;&gt;0,(BH486/Risultati!AG485),"0")</f>
        <v>0</v>
      </c>
      <c r="BR486" s="16" t="str">
        <f t="shared" si="388"/>
        <v>0</v>
      </c>
      <c r="BS486" s="14" t="str">
        <f>IF(Risultati!AB485&gt;0,(Risultati!G485/Risultati!AB485),"0")</f>
        <v>0</v>
      </c>
      <c r="BT486" s="15" t="str">
        <f>IF(Risultati!AG485&lt;&gt;0,(Risultati!AB485/Risultati!AG485),"0")</f>
        <v>0</v>
      </c>
      <c r="BU486" s="23" t="str">
        <f>IF(AND(Risultati!G485&gt;0,(Risultati!AE485-Risultati!AF485)&gt;=0),((Risultati!AE485-Risultati!AF485)/Risultati!G485*360),"0")</f>
        <v>0</v>
      </c>
      <c r="BV486" s="21" t="str">
        <f>IF(OR(E486="abbreviato",Risultati!G485=0),"0",((Risultati!AC485+Risultati!AD485)/Risultati!G485*360))</f>
        <v>0</v>
      </c>
      <c r="BW486" s="21" t="str">
        <f>IF(OR(E486="abbreviato",Risultati!G485=0,SUM(Risultati!I485+Risultati!K485+Risultati!M485)=0),"0",(((Risultati!AH485+Risultati!AI485)/(Risultati!I485+Risultati!K485+Risultati!N485)*360)))</f>
        <v>0</v>
      </c>
      <c r="BX486" s="16" t="str">
        <f>IF(Risultati!AB485&gt;0,(+Risultati!AG485/Risultati!AB485),"0")</f>
        <v>0</v>
      </c>
      <c r="BY486" s="22" t="str">
        <f>IF(OR(E486="abbreviato",Risultati!G485=0),"0",(((Risultati!AK485-(Risultati!AL485+Risultati!AM485))/Risultati!G485)))</f>
        <v>0</v>
      </c>
      <c r="BZ486" s="16" t="str">
        <f>IF(Risultati!G485&gt;0,(Risultati!AJ485/Risultati!G485),"0")</f>
        <v>0</v>
      </c>
      <c r="CA486" s="8"/>
      <c r="CB486" s="9">
        <f>+Risultati!AP485</f>
        <v>0</v>
      </c>
      <c r="CC486" s="31" t="str">
        <f t="shared" si="414"/>
        <v>0</v>
      </c>
      <c r="CD486" s="9">
        <f>+Risultati!AQ485</f>
        <v>0</v>
      </c>
      <c r="CE486" s="31" t="str">
        <f t="shared" si="415"/>
        <v>0</v>
      </c>
      <c r="CF486" s="9">
        <f>+Risultati!AR485</f>
        <v>0</v>
      </c>
      <c r="CG486" s="31" t="str">
        <f t="shared" si="416"/>
        <v>0</v>
      </c>
      <c r="CH486" s="9">
        <f>+Risultati!AS485</f>
        <v>0</v>
      </c>
      <c r="CI486" s="31" t="str">
        <f t="shared" si="417"/>
        <v>0</v>
      </c>
      <c r="CJ486" s="9">
        <f t="shared" si="418"/>
        <v>0</v>
      </c>
      <c r="CK486" s="31" t="str">
        <f t="shared" si="419"/>
        <v>0</v>
      </c>
      <c r="CL486" s="10">
        <f>+Risultati!AE485+Risultati!AF485</f>
        <v>0</v>
      </c>
      <c r="CM486" s="31" t="str">
        <f t="shared" si="420"/>
        <v>0</v>
      </c>
      <c r="CN486" s="9">
        <f>+Risultati!AT485</f>
        <v>0</v>
      </c>
      <c r="CO486" s="31" t="str">
        <f t="shared" si="421"/>
        <v>0</v>
      </c>
      <c r="CP486" s="9">
        <f>+Risultati!AU485</f>
        <v>0</v>
      </c>
      <c r="CQ486" s="31" t="str">
        <f t="shared" si="422"/>
        <v>0</v>
      </c>
      <c r="CR486" s="9">
        <f>+Risultati!AL485</f>
        <v>0</v>
      </c>
      <c r="CS486" s="31" t="str">
        <f t="shared" si="423"/>
        <v>0</v>
      </c>
      <c r="CT486" s="9">
        <f t="shared" si="424"/>
        <v>0</v>
      </c>
      <c r="CU486" s="31" t="str">
        <f t="shared" si="425"/>
        <v>0</v>
      </c>
      <c r="CV486" s="9">
        <f>+Risultati!AX485</f>
        <v>0</v>
      </c>
      <c r="CW486" s="31" t="str">
        <f t="shared" si="426"/>
        <v>0</v>
      </c>
      <c r="CX486" s="9">
        <f t="shared" si="427"/>
        <v>0</v>
      </c>
      <c r="CY486" s="31" t="str">
        <f t="shared" si="428"/>
        <v>0</v>
      </c>
      <c r="CZ486" s="9">
        <f>+Risultati!AG485</f>
        <v>0</v>
      </c>
      <c r="DA486" s="31" t="str">
        <f t="shared" si="429"/>
        <v>0</v>
      </c>
      <c r="DB486" s="9">
        <f t="shared" si="430"/>
        <v>0</v>
      </c>
      <c r="DC486" s="31" t="str">
        <f t="shared" si="431"/>
        <v>0</v>
      </c>
      <c r="DD486" s="9">
        <f>+Risultati!AV485</f>
        <v>0</v>
      </c>
      <c r="DE486" s="31" t="str">
        <f t="shared" si="432"/>
        <v>0</v>
      </c>
      <c r="DF486" s="9">
        <f>+Risultati!AJ485</f>
        <v>0</v>
      </c>
      <c r="DG486" s="31" t="str">
        <f t="shared" si="433"/>
        <v>0</v>
      </c>
      <c r="DH486" s="9">
        <f t="shared" si="434"/>
        <v>0</v>
      </c>
      <c r="DI486" s="31" t="str">
        <f t="shared" si="435"/>
        <v>0</v>
      </c>
      <c r="DJ486" s="9">
        <f>+Risultati!AW485</f>
        <v>0</v>
      </c>
      <c r="DK486" s="31" t="str">
        <f t="shared" si="436"/>
        <v>0</v>
      </c>
      <c r="DL486" s="10">
        <f t="shared" si="407"/>
        <v>0</v>
      </c>
      <c r="DM486" s="31" t="str">
        <f t="shared" si="437"/>
        <v>0</v>
      </c>
      <c r="DO486" s="30"/>
      <c r="DP486" s="30"/>
    </row>
    <row r="487" spans="1:120" x14ac:dyDescent="0.2">
      <c r="A487" s="5"/>
      <c r="B487" s="6">
        <f>+Risultati!B486</f>
        <v>0</v>
      </c>
      <c r="C487" s="6">
        <f>+Risultati!C486</f>
        <v>0</v>
      </c>
      <c r="D487" s="26" t="str">
        <f>IF(YEAR(Risultati!D486)=1900,(MID(Risultati!$AP$1,29,4)),YEAR(Risultati!D486))</f>
        <v/>
      </c>
      <c r="E487" s="6">
        <f>+Risultati!E486</f>
        <v>0</v>
      </c>
      <c r="F487" s="8" t="e">
        <f>(LEFT(Risultati!AN486,2)&amp;"-")&amp;VLOOKUP((LEFT(Risultati!AN486,2)),ateco!$B$4:$C$93,2,FALSE)</f>
        <v>#N/A</v>
      </c>
      <c r="G487" s="8" t="str">
        <f>SUBSTITUTE((Risultati!AN486&amp;"-"&amp;Risultati!AO486),",",";")</f>
        <v>-</v>
      </c>
      <c r="I487" s="10">
        <f>+Risultati!G486</f>
        <v>0</v>
      </c>
      <c r="J487" s="11" t="str">
        <f t="shared" si="389"/>
        <v>0</v>
      </c>
      <c r="K487" s="12"/>
      <c r="L487" s="10">
        <f>+Risultati!G486+Risultati!H486</f>
        <v>0</v>
      </c>
      <c r="M487" s="11" t="str">
        <f t="shared" si="390"/>
        <v>0</v>
      </c>
      <c r="N487" s="12"/>
      <c r="O487" s="10">
        <f>+Risultati!I486+Risultati!J486</f>
        <v>0</v>
      </c>
      <c r="P487" s="11" t="str">
        <f t="shared" si="391"/>
        <v>0</v>
      </c>
      <c r="Q487" s="12"/>
      <c r="R487" s="13">
        <f t="shared" si="408"/>
        <v>0</v>
      </c>
      <c r="S487" s="11" t="str">
        <f t="shared" si="392"/>
        <v>0</v>
      </c>
      <c r="T487" s="12"/>
      <c r="U487" s="10">
        <f>+Risultati!F486-(Risultati!G486+Risultati!H486)</f>
        <v>0</v>
      </c>
      <c r="V487" s="12" t="str">
        <f t="shared" si="393"/>
        <v>0</v>
      </c>
      <c r="W487" s="12"/>
      <c r="X487" s="10">
        <f t="shared" si="409"/>
        <v>0</v>
      </c>
      <c r="Y487" s="12" t="str">
        <f t="shared" si="394"/>
        <v>0</v>
      </c>
      <c r="Z487" s="12"/>
      <c r="AA487" s="10">
        <f>+Risultati!K486</f>
        <v>0</v>
      </c>
      <c r="AB487" s="12" t="str">
        <f t="shared" si="395"/>
        <v>0</v>
      </c>
      <c r="AC487" s="12"/>
      <c r="AD487" s="10">
        <f>+Risultati!L486</f>
        <v>0</v>
      </c>
      <c r="AE487" s="12" t="str">
        <f t="shared" si="396"/>
        <v>0</v>
      </c>
      <c r="AF487" s="12"/>
      <c r="AG487" s="10">
        <f>+Risultati!M486+Risultati!P486+Risultati!Q486</f>
        <v>0</v>
      </c>
      <c r="AH487" s="12" t="str">
        <f t="shared" si="397"/>
        <v>0</v>
      </c>
      <c r="AI487" s="12"/>
      <c r="AJ487" s="13">
        <f t="shared" si="410"/>
        <v>0</v>
      </c>
      <c r="AK487" s="11" t="str">
        <f t="shared" si="398"/>
        <v>0</v>
      </c>
      <c r="AL487" s="12"/>
      <c r="AM487" s="10">
        <f>+Risultati!N486</f>
        <v>0</v>
      </c>
      <c r="AN487" s="12" t="str">
        <f t="shared" si="399"/>
        <v>0</v>
      </c>
      <c r="AO487" s="12"/>
      <c r="AP487" s="10">
        <f t="shared" si="411"/>
        <v>0</v>
      </c>
      <c r="AQ487" s="41" t="str">
        <f t="shared" si="400"/>
        <v>0</v>
      </c>
      <c r="AR487" s="12"/>
      <c r="AS487" s="10">
        <f>+Risultati!O486</f>
        <v>0</v>
      </c>
      <c r="AT487" s="12" t="str">
        <f t="shared" si="401"/>
        <v>0</v>
      </c>
      <c r="AU487" s="12"/>
      <c r="AV487" s="10">
        <f t="shared" si="412"/>
        <v>0</v>
      </c>
      <c r="AW487" s="12" t="str">
        <f t="shared" si="402"/>
        <v>0</v>
      </c>
      <c r="AX487" s="12"/>
      <c r="AY487" s="10">
        <f>+Risultati!R486+Risultati!S486</f>
        <v>0</v>
      </c>
      <c r="AZ487" s="12" t="str">
        <f t="shared" si="403"/>
        <v>0</v>
      </c>
      <c r="BA487" s="12"/>
      <c r="BB487" s="10">
        <f>+Risultati!T486</f>
        <v>0</v>
      </c>
      <c r="BC487" s="12" t="str">
        <f t="shared" si="404"/>
        <v>0</v>
      </c>
      <c r="BD487" s="12"/>
      <c r="BE487" s="10">
        <f>+Risultati!U486</f>
        <v>0</v>
      </c>
      <c r="BF487" s="12" t="str">
        <f t="shared" si="405"/>
        <v>0</v>
      </c>
      <c r="BG487" s="12"/>
      <c r="BH487" s="10">
        <f t="shared" si="413"/>
        <v>0</v>
      </c>
      <c r="BI487" s="12" t="str">
        <f t="shared" si="406"/>
        <v>0</v>
      </c>
      <c r="BK487" s="16">
        <f>IF(ISNUMBER(Risultati!X486/100),(Risultati!X486/100))</f>
        <v>0</v>
      </c>
      <c r="BL487" s="16">
        <f>IF(ISNUMBER(Risultati!Y486/100),(Risultati!Y486/100))</f>
        <v>0</v>
      </c>
      <c r="BM487" s="16">
        <f>IF(ISNUMBER(Risultati!Z486/100),(Risultati!Z486/100))</f>
        <v>0</v>
      </c>
      <c r="BN487" s="16">
        <f>IF(AND(Risultati!AY486&lt;0,calcoli!AP487&lt;0),-IF(ISNUMBER(Risultati!AA486/100),(Risultati!AA486/100)),IF(ISNUMBER(Risultati!AA486/100),(Risultati!AA486/100)))</f>
        <v>0</v>
      </c>
      <c r="BO487" s="16" t="str">
        <f t="shared" si="387"/>
        <v>0</v>
      </c>
      <c r="BP487" s="16" t="str">
        <f>IF(Risultati!AB486&gt;0,(AV487/Risultati!AB486),"0")</f>
        <v>0</v>
      </c>
      <c r="BQ487" s="16" t="str">
        <f>IF(Risultati!AG486&lt;&gt;0,(BH487/Risultati!AG486),"0")</f>
        <v>0</v>
      </c>
      <c r="BR487" s="16" t="str">
        <f t="shared" si="388"/>
        <v>0</v>
      </c>
      <c r="BS487" s="14" t="str">
        <f>IF(Risultati!AB486&gt;0,(Risultati!G486/Risultati!AB486),"0")</f>
        <v>0</v>
      </c>
      <c r="BT487" s="15" t="str">
        <f>IF(Risultati!AG486&lt;&gt;0,(Risultati!AB486/Risultati!AG486),"0")</f>
        <v>0</v>
      </c>
      <c r="BU487" s="23" t="str">
        <f>IF(AND(Risultati!G486&gt;0,(Risultati!AE486-Risultati!AF486)&gt;=0),((Risultati!AE486-Risultati!AF486)/Risultati!G486*360),"0")</f>
        <v>0</v>
      </c>
      <c r="BV487" s="21" t="str">
        <f>IF(OR(E487="abbreviato",Risultati!G486=0),"0",((Risultati!AC486+Risultati!AD486)/Risultati!G486*360))</f>
        <v>0</v>
      </c>
      <c r="BW487" s="21" t="str">
        <f>IF(OR(E487="abbreviato",Risultati!G486=0,SUM(Risultati!I486+Risultati!K486+Risultati!M486)=0),"0",(((Risultati!AH486+Risultati!AI486)/(Risultati!I486+Risultati!K486+Risultati!N486)*360)))</f>
        <v>0</v>
      </c>
      <c r="BX487" s="16" t="str">
        <f>IF(Risultati!AB486&gt;0,(+Risultati!AG486/Risultati!AB486),"0")</f>
        <v>0</v>
      </c>
      <c r="BY487" s="22" t="str">
        <f>IF(OR(E487="abbreviato",Risultati!G486=0),"0",(((Risultati!AK486-(Risultati!AL486+Risultati!AM486))/Risultati!G486)))</f>
        <v>0</v>
      </c>
      <c r="BZ487" s="16" t="str">
        <f>IF(Risultati!G486&gt;0,(Risultati!AJ486/Risultati!G486),"0")</f>
        <v>0</v>
      </c>
      <c r="CA487" s="8"/>
      <c r="CB487" s="9">
        <f>+Risultati!AP486</f>
        <v>0</v>
      </c>
      <c r="CC487" s="31" t="str">
        <f t="shared" si="414"/>
        <v>0</v>
      </c>
      <c r="CD487" s="9">
        <f>+Risultati!AQ486</f>
        <v>0</v>
      </c>
      <c r="CE487" s="31" t="str">
        <f t="shared" si="415"/>
        <v>0</v>
      </c>
      <c r="CF487" s="9">
        <f>+Risultati!AR486</f>
        <v>0</v>
      </c>
      <c r="CG487" s="31" t="str">
        <f t="shared" si="416"/>
        <v>0</v>
      </c>
      <c r="CH487" s="9">
        <f>+Risultati!AS486</f>
        <v>0</v>
      </c>
      <c r="CI487" s="31" t="str">
        <f t="shared" si="417"/>
        <v>0</v>
      </c>
      <c r="CJ487" s="9">
        <f t="shared" si="418"/>
        <v>0</v>
      </c>
      <c r="CK487" s="31" t="str">
        <f t="shared" si="419"/>
        <v>0</v>
      </c>
      <c r="CL487" s="10">
        <f>+Risultati!AE486+Risultati!AF486</f>
        <v>0</v>
      </c>
      <c r="CM487" s="31" t="str">
        <f t="shared" si="420"/>
        <v>0</v>
      </c>
      <c r="CN487" s="9">
        <f>+Risultati!AT486</f>
        <v>0</v>
      </c>
      <c r="CO487" s="31" t="str">
        <f t="shared" si="421"/>
        <v>0</v>
      </c>
      <c r="CP487" s="9">
        <f>+Risultati!AU486</f>
        <v>0</v>
      </c>
      <c r="CQ487" s="31" t="str">
        <f t="shared" si="422"/>
        <v>0</v>
      </c>
      <c r="CR487" s="9">
        <f>+Risultati!AL486</f>
        <v>0</v>
      </c>
      <c r="CS487" s="31" t="str">
        <f t="shared" si="423"/>
        <v>0</v>
      </c>
      <c r="CT487" s="9">
        <f t="shared" si="424"/>
        <v>0</v>
      </c>
      <c r="CU487" s="31" t="str">
        <f t="shared" si="425"/>
        <v>0</v>
      </c>
      <c r="CV487" s="9">
        <f>+Risultati!AX486</f>
        <v>0</v>
      </c>
      <c r="CW487" s="31" t="str">
        <f t="shared" si="426"/>
        <v>0</v>
      </c>
      <c r="CX487" s="9">
        <f t="shared" si="427"/>
        <v>0</v>
      </c>
      <c r="CY487" s="31" t="str">
        <f t="shared" si="428"/>
        <v>0</v>
      </c>
      <c r="CZ487" s="9">
        <f>+Risultati!AG486</f>
        <v>0</v>
      </c>
      <c r="DA487" s="31" t="str">
        <f t="shared" si="429"/>
        <v>0</v>
      </c>
      <c r="DB487" s="9">
        <f t="shared" si="430"/>
        <v>0</v>
      </c>
      <c r="DC487" s="31" t="str">
        <f t="shared" si="431"/>
        <v>0</v>
      </c>
      <c r="DD487" s="9">
        <f>+Risultati!AV486</f>
        <v>0</v>
      </c>
      <c r="DE487" s="31" t="str">
        <f t="shared" si="432"/>
        <v>0</v>
      </c>
      <c r="DF487" s="9">
        <f>+Risultati!AJ486</f>
        <v>0</v>
      </c>
      <c r="DG487" s="31" t="str">
        <f t="shared" si="433"/>
        <v>0</v>
      </c>
      <c r="DH487" s="9">
        <f t="shared" si="434"/>
        <v>0</v>
      </c>
      <c r="DI487" s="31" t="str">
        <f t="shared" si="435"/>
        <v>0</v>
      </c>
      <c r="DJ487" s="9">
        <f>+Risultati!AW486</f>
        <v>0</v>
      </c>
      <c r="DK487" s="31" t="str">
        <f t="shared" si="436"/>
        <v>0</v>
      </c>
      <c r="DL487" s="10">
        <f t="shared" si="407"/>
        <v>0</v>
      </c>
      <c r="DM487" s="31" t="str">
        <f t="shared" si="437"/>
        <v>0</v>
      </c>
      <c r="DO487" s="30"/>
      <c r="DP487" s="30"/>
    </row>
    <row r="488" spans="1:120" x14ac:dyDescent="0.2">
      <c r="A488" s="5"/>
      <c r="B488" s="6">
        <f>+Risultati!B487</f>
        <v>0</v>
      </c>
      <c r="C488" s="6">
        <f>+Risultati!C487</f>
        <v>0</v>
      </c>
      <c r="D488" s="26" t="str">
        <f>IF(YEAR(Risultati!D487)=1900,(MID(Risultati!$AP$1,29,4)),YEAR(Risultati!D487))</f>
        <v/>
      </c>
      <c r="E488" s="6">
        <f>+Risultati!E487</f>
        <v>0</v>
      </c>
      <c r="F488" s="8" t="e">
        <f>(LEFT(Risultati!AN487,2)&amp;"-")&amp;VLOOKUP((LEFT(Risultati!AN487,2)),ateco!$B$4:$C$93,2,FALSE)</f>
        <v>#N/A</v>
      </c>
      <c r="G488" s="8" t="str">
        <f>SUBSTITUTE((Risultati!AN487&amp;"-"&amp;Risultati!AO487),",",";")</f>
        <v>-</v>
      </c>
      <c r="I488" s="10">
        <f>+Risultati!G487</f>
        <v>0</v>
      </c>
      <c r="J488" s="11" t="str">
        <f t="shared" si="389"/>
        <v>0</v>
      </c>
      <c r="K488" s="12"/>
      <c r="L488" s="10">
        <f>+Risultati!G487+Risultati!H487</f>
        <v>0</v>
      </c>
      <c r="M488" s="11" t="str">
        <f t="shared" si="390"/>
        <v>0</v>
      </c>
      <c r="N488" s="12"/>
      <c r="O488" s="10">
        <f>+Risultati!I487+Risultati!J487</f>
        <v>0</v>
      </c>
      <c r="P488" s="11" t="str">
        <f t="shared" si="391"/>
        <v>0</v>
      </c>
      <c r="Q488" s="12"/>
      <c r="R488" s="13">
        <f t="shared" si="408"/>
        <v>0</v>
      </c>
      <c r="S488" s="11" t="str">
        <f t="shared" si="392"/>
        <v>0</v>
      </c>
      <c r="T488" s="12"/>
      <c r="U488" s="10">
        <f>+Risultati!F487-(Risultati!G487+Risultati!H487)</f>
        <v>0</v>
      </c>
      <c r="V488" s="12" t="str">
        <f t="shared" si="393"/>
        <v>0</v>
      </c>
      <c r="W488" s="12"/>
      <c r="X488" s="10">
        <f t="shared" si="409"/>
        <v>0</v>
      </c>
      <c r="Y488" s="12" t="str">
        <f t="shared" si="394"/>
        <v>0</v>
      </c>
      <c r="Z488" s="12"/>
      <c r="AA488" s="10">
        <f>+Risultati!K487</f>
        <v>0</v>
      </c>
      <c r="AB488" s="12" t="str">
        <f t="shared" si="395"/>
        <v>0</v>
      </c>
      <c r="AC488" s="12"/>
      <c r="AD488" s="10">
        <f>+Risultati!L487</f>
        <v>0</v>
      </c>
      <c r="AE488" s="12" t="str">
        <f t="shared" si="396"/>
        <v>0</v>
      </c>
      <c r="AF488" s="12"/>
      <c r="AG488" s="10">
        <f>+Risultati!M487+Risultati!P487+Risultati!Q487</f>
        <v>0</v>
      </c>
      <c r="AH488" s="12" t="str">
        <f t="shared" si="397"/>
        <v>0</v>
      </c>
      <c r="AI488" s="12"/>
      <c r="AJ488" s="13">
        <f t="shared" si="410"/>
        <v>0</v>
      </c>
      <c r="AK488" s="11" t="str">
        <f t="shared" si="398"/>
        <v>0</v>
      </c>
      <c r="AL488" s="12"/>
      <c r="AM488" s="10">
        <f>+Risultati!N487</f>
        <v>0</v>
      </c>
      <c r="AN488" s="12" t="str">
        <f t="shared" si="399"/>
        <v>0</v>
      </c>
      <c r="AO488" s="12"/>
      <c r="AP488" s="10">
        <f t="shared" si="411"/>
        <v>0</v>
      </c>
      <c r="AQ488" s="41" t="str">
        <f t="shared" si="400"/>
        <v>0</v>
      </c>
      <c r="AR488" s="12"/>
      <c r="AS488" s="10">
        <f>+Risultati!O487</f>
        <v>0</v>
      </c>
      <c r="AT488" s="12" t="str">
        <f t="shared" si="401"/>
        <v>0</v>
      </c>
      <c r="AU488" s="12"/>
      <c r="AV488" s="10">
        <f t="shared" si="412"/>
        <v>0</v>
      </c>
      <c r="AW488" s="12" t="str">
        <f t="shared" si="402"/>
        <v>0</v>
      </c>
      <c r="AX488" s="12"/>
      <c r="AY488" s="10">
        <f>+Risultati!R487+Risultati!S487</f>
        <v>0</v>
      </c>
      <c r="AZ488" s="12" t="str">
        <f t="shared" si="403"/>
        <v>0</v>
      </c>
      <c r="BA488" s="12"/>
      <c r="BB488" s="10">
        <f>+Risultati!T487</f>
        <v>0</v>
      </c>
      <c r="BC488" s="12" t="str">
        <f t="shared" si="404"/>
        <v>0</v>
      </c>
      <c r="BD488" s="12"/>
      <c r="BE488" s="10">
        <f>+Risultati!U487</f>
        <v>0</v>
      </c>
      <c r="BF488" s="12" t="str">
        <f t="shared" si="405"/>
        <v>0</v>
      </c>
      <c r="BG488" s="12"/>
      <c r="BH488" s="10">
        <f t="shared" si="413"/>
        <v>0</v>
      </c>
      <c r="BI488" s="12" t="str">
        <f t="shared" si="406"/>
        <v>0</v>
      </c>
      <c r="BK488" s="16">
        <f>IF(ISNUMBER(Risultati!X487/100),(Risultati!X487/100))</f>
        <v>0</v>
      </c>
      <c r="BL488" s="16">
        <f>IF(ISNUMBER(Risultati!Y487/100),(Risultati!Y487/100))</f>
        <v>0</v>
      </c>
      <c r="BM488" s="16">
        <f>IF(ISNUMBER(Risultati!Z487/100),(Risultati!Z487/100))</f>
        <v>0</v>
      </c>
      <c r="BN488" s="16">
        <f>IF(AND(Risultati!AY487&lt;0,calcoli!AP488&lt;0),-IF(ISNUMBER(Risultati!AA487/100),(Risultati!AA487/100)),IF(ISNUMBER(Risultati!AA487/100),(Risultati!AA487/100)))</f>
        <v>0</v>
      </c>
      <c r="BO488" s="16" t="str">
        <f t="shared" si="387"/>
        <v>0</v>
      </c>
      <c r="BP488" s="16" t="str">
        <f>IF(Risultati!AB487&gt;0,(AV488/Risultati!AB487),"0")</f>
        <v>0</v>
      </c>
      <c r="BQ488" s="16" t="str">
        <f>IF(Risultati!AG487&lt;&gt;0,(BH488/Risultati!AG487),"0")</f>
        <v>0</v>
      </c>
      <c r="BR488" s="16" t="str">
        <f t="shared" si="388"/>
        <v>0</v>
      </c>
      <c r="BS488" s="14" t="str">
        <f>IF(Risultati!AB487&gt;0,(Risultati!G487/Risultati!AB487),"0")</f>
        <v>0</v>
      </c>
      <c r="BT488" s="15" t="str">
        <f>IF(Risultati!AG487&lt;&gt;0,(Risultati!AB487/Risultati!AG487),"0")</f>
        <v>0</v>
      </c>
      <c r="BU488" s="23" t="str">
        <f>IF(AND(Risultati!G487&gt;0,(Risultati!AE487-Risultati!AF487)&gt;=0),((Risultati!AE487-Risultati!AF487)/Risultati!G487*360),"0")</f>
        <v>0</v>
      </c>
      <c r="BV488" s="21" t="str">
        <f>IF(OR(E488="abbreviato",Risultati!G487=0),"0",((Risultati!AC487+Risultati!AD487)/Risultati!G487*360))</f>
        <v>0</v>
      </c>
      <c r="BW488" s="21" t="str">
        <f>IF(OR(E488="abbreviato",Risultati!G487=0,SUM(Risultati!I487+Risultati!K487+Risultati!M487)=0),"0",(((Risultati!AH487+Risultati!AI487)/(Risultati!I487+Risultati!K487+Risultati!N487)*360)))</f>
        <v>0</v>
      </c>
      <c r="BX488" s="16" t="str">
        <f>IF(Risultati!AB487&gt;0,(+Risultati!AG487/Risultati!AB487),"0")</f>
        <v>0</v>
      </c>
      <c r="BY488" s="22" t="str">
        <f>IF(OR(E488="abbreviato",Risultati!G487=0),"0",(((Risultati!AK487-(Risultati!AL487+Risultati!AM487))/Risultati!G487)))</f>
        <v>0</v>
      </c>
      <c r="BZ488" s="16" t="str">
        <f>IF(Risultati!G487&gt;0,(Risultati!AJ487/Risultati!G487),"0")</f>
        <v>0</v>
      </c>
      <c r="CA488" s="8"/>
      <c r="CB488" s="9">
        <f>+Risultati!AP487</f>
        <v>0</v>
      </c>
      <c r="CC488" s="31" t="str">
        <f t="shared" si="414"/>
        <v>0</v>
      </c>
      <c r="CD488" s="9">
        <f>+Risultati!AQ487</f>
        <v>0</v>
      </c>
      <c r="CE488" s="31" t="str">
        <f t="shared" si="415"/>
        <v>0</v>
      </c>
      <c r="CF488" s="9">
        <f>+Risultati!AR487</f>
        <v>0</v>
      </c>
      <c r="CG488" s="31" t="str">
        <f t="shared" si="416"/>
        <v>0</v>
      </c>
      <c r="CH488" s="9">
        <f>+Risultati!AS487</f>
        <v>0</v>
      </c>
      <c r="CI488" s="31" t="str">
        <f t="shared" si="417"/>
        <v>0</v>
      </c>
      <c r="CJ488" s="9">
        <f t="shared" si="418"/>
        <v>0</v>
      </c>
      <c r="CK488" s="31" t="str">
        <f t="shared" si="419"/>
        <v>0</v>
      </c>
      <c r="CL488" s="10">
        <f>+Risultati!AE487+Risultati!AF487</f>
        <v>0</v>
      </c>
      <c r="CM488" s="31" t="str">
        <f t="shared" si="420"/>
        <v>0</v>
      </c>
      <c r="CN488" s="9">
        <f>+Risultati!AT487</f>
        <v>0</v>
      </c>
      <c r="CO488" s="31" t="str">
        <f t="shared" si="421"/>
        <v>0</v>
      </c>
      <c r="CP488" s="9">
        <f>+Risultati!AU487</f>
        <v>0</v>
      </c>
      <c r="CQ488" s="31" t="str">
        <f t="shared" si="422"/>
        <v>0</v>
      </c>
      <c r="CR488" s="9">
        <f>+Risultati!AL487</f>
        <v>0</v>
      </c>
      <c r="CS488" s="31" t="str">
        <f t="shared" si="423"/>
        <v>0</v>
      </c>
      <c r="CT488" s="9">
        <f t="shared" si="424"/>
        <v>0</v>
      </c>
      <c r="CU488" s="31" t="str">
        <f t="shared" si="425"/>
        <v>0</v>
      </c>
      <c r="CV488" s="9">
        <f>+Risultati!AX487</f>
        <v>0</v>
      </c>
      <c r="CW488" s="31" t="str">
        <f t="shared" si="426"/>
        <v>0</v>
      </c>
      <c r="CX488" s="9">
        <f t="shared" si="427"/>
        <v>0</v>
      </c>
      <c r="CY488" s="31" t="str">
        <f t="shared" si="428"/>
        <v>0</v>
      </c>
      <c r="CZ488" s="9">
        <f>+Risultati!AG487</f>
        <v>0</v>
      </c>
      <c r="DA488" s="31" t="str">
        <f t="shared" si="429"/>
        <v>0</v>
      </c>
      <c r="DB488" s="9">
        <f t="shared" si="430"/>
        <v>0</v>
      </c>
      <c r="DC488" s="31" t="str">
        <f t="shared" si="431"/>
        <v>0</v>
      </c>
      <c r="DD488" s="9">
        <f>+Risultati!AV487</f>
        <v>0</v>
      </c>
      <c r="DE488" s="31" t="str">
        <f t="shared" si="432"/>
        <v>0</v>
      </c>
      <c r="DF488" s="9">
        <f>+Risultati!AJ487</f>
        <v>0</v>
      </c>
      <c r="DG488" s="31" t="str">
        <f t="shared" si="433"/>
        <v>0</v>
      </c>
      <c r="DH488" s="9">
        <f t="shared" si="434"/>
        <v>0</v>
      </c>
      <c r="DI488" s="31" t="str">
        <f t="shared" si="435"/>
        <v>0</v>
      </c>
      <c r="DJ488" s="9">
        <f>+Risultati!AW487</f>
        <v>0</v>
      </c>
      <c r="DK488" s="31" t="str">
        <f t="shared" si="436"/>
        <v>0</v>
      </c>
      <c r="DL488" s="10">
        <f t="shared" si="407"/>
        <v>0</v>
      </c>
      <c r="DM488" s="31" t="str">
        <f t="shared" si="437"/>
        <v>0</v>
      </c>
      <c r="DO488" s="30"/>
      <c r="DP488" s="30"/>
    </row>
    <row r="489" spans="1:120" x14ac:dyDescent="0.2">
      <c r="A489" s="5"/>
      <c r="B489" s="6">
        <f>+Risultati!B488</f>
        <v>0</v>
      </c>
      <c r="C489" s="6">
        <f>+Risultati!C488</f>
        <v>0</v>
      </c>
      <c r="D489" s="26" t="str">
        <f>IF(YEAR(Risultati!D488)=1900,(MID(Risultati!$AP$1,29,4)),YEAR(Risultati!D488))</f>
        <v/>
      </c>
      <c r="E489" s="6">
        <f>+Risultati!E488</f>
        <v>0</v>
      </c>
      <c r="F489" s="8" t="e">
        <f>(LEFT(Risultati!AN488,2)&amp;"-")&amp;VLOOKUP((LEFT(Risultati!AN488,2)),ateco!$B$4:$C$93,2,FALSE)</f>
        <v>#N/A</v>
      </c>
      <c r="G489" s="8" t="str">
        <f>SUBSTITUTE((Risultati!AN488&amp;"-"&amp;Risultati!AO488),",",";")</f>
        <v>-</v>
      </c>
      <c r="I489" s="10">
        <f>+Risultati!G488</f>
        <v>0</v>
      </c>
      <c r="J489" s="11" t="str">
        <f t="shared" si="389"/>
        <v>0</v>
      </c>
      <c r="K489" s="12"/>
      <c r="L489" s="10">
        <f>+Risultati!G488+Risultati!H488</f>
        <v>0</v>
      </c>
      <c r="M489" s="11" t="str">
        <f t="shared" si="390"/>
        <v>0</v>
      </c>
      <c r="N489" s="12"/>
      <c r="O489" s="10">
        <f>+Risultati!I488+Risultati!J488</f>
        <v>0</v>
      </c>
      <c r="P489" s="11" t="str">
        <f t="shared" si="391"/>
        <v>0</v>
      </c>
      <c r="Q489" s="12"/>
      <c r="R489" s="13">
        <f t="shared" si="408"/>
        <v>0</v>
      </c>
      <c r="S489" s="11" t="str">
        <f t="shared" si="392"/>
        <v>0</v>
      </c>
      <c r="T489" s="12"/>
      <c r="U489" s="10">
        <f>+Risultati!F488-(Risultati!G488+Risultati!H488)</f>
        <v>0</v>
      </c>
      <c r="V489" s="12" t="str">
        <f t="shared" si="393"/>
        <v>0</v>
      </c>
      <c r="W489" s="12"/>
      <c r="X489" s="10">
        <f t="shared" si="409"/>
        <v>0</v>
      </c>
      <c r="Y489" s="12" t="str">
        <f t="shared" si="394"/>
        <v>0</v>
      </c>
      <c r="Z489" s="12"/>
      <c r="AA489" s="10">
        <f>+Risultati!K488</f>
        <v>0</v>
      </c>
      <c r="AB489" s="12" t="str">
        <f t="shared" si="395"/>
        <v>0</v>
      </c>
      <c r="AC489" s="12"/>
      <c r="AD489" s="10">
        <f>+Risultati!L488</f>
        <v>0</v>
      </c>
      <c r="AE489" s="12" t="str">
        <f t="shared" si="396"/>
        <v>0</v>
      </c>
      <c r="AF489" s="12"/>
      <c r="AG489" s="10">
        <f>+Risultati!M488+Risultati!P488+Risultati!Q488</f>
        <v>0</v>
      </c>
      <c r="AH489" s="12" t="str">
        <f t="shared" si="397"/>
        <v>0</v>
      </c>
      <c r="AI489" s="12"/>
      <c r="AJ489" s="13">
        <f t="shared" si="410"/>
        <v>0</v>
      </c>
      <c r="AK489" s="11" t="str">
        <f t="shared" si="398"/>
        <v>0</v>
      </c>
      <c r="AL489" s="12"/>
      <c r="AM489" s="10">
        <f>+Risultati!N488</f>
        <v>0</v>
      </c>
      <c r="AN489" s="12" t="str">
        <f t="shared" si="399"/>
        <v>0</v>
      </c>
      <c r="AO489" s="12"/>
      <c r="AP489" s="10">
        <f t="shared" si="411"/>
        <v>0</v>
      </c>
      <c r="AQ489" s="41" t="str">
        <f t="shared" si="400"/>
        <v>0</v>
      </c>
      <c r="AR489" s="12"/>
      <c r="AS489" s="10">
        <f>+Risultati!O488</f>
        <v>0</v>
      </c>
      <c r="AT489" s="12" t="str">
        <f t="shared" si="401"/>
        <v>0</v>
      </c>
      <c r="AU489" s="12"/>
      <c r="AV489" s="10">
        <f t="shared" si="412"/>
        <v>0</v>
      </c>
      <c r="AW489" s="12" t="str">
        <f t="shared" si="402"/>
        <v>0</v>
      </c>
      <c r="AX489" s="12"/>
      <c r="AY489" s="10">
        <f>+Risultati!R488+Risultati!S488</f>
        <v>0</v>
      </c>
      <c r="AZ489" s="12" t="str">
        <f t="shared" si="403"/>
        <v>0</v>
      </c>
      <c r="BA489" s="12"/>
      <c r="BB489" s="10">
        <f>+Risultati!T488</f>
        <v>0</v>
      </c>
      <c r="BC489" s="12" t="str">
        <f t="shared" si="404"/>
        <v>0</v>
      </c>
      <c r="BD489" s="12"/>
      <c r="BE489" s="10">
        <f>+Risultati!U488</f>
        <v>0</v>
      </c>
      <c r="BF489" s="12" t="str">
        <f t="shared" si="405"/>
        <v>0</v>
      </c>
      <c r="BG489" s="12"/>
      <c r="BH489" s="10">
        <f t="shared" si="413"/>
        <v>0</v>
      </c>
      <c r="BI489" s="12" t="str">
        <f t="shared" si="406"/>
        <v>0</v>
      </c>
      <c r="BK489" s="16">
        <f>IF(ISNUMBER(Risultati!X488/100),(Risultati!X488/100))</f>
        <v>0</v>
      </c>
      <c r="BL489" s="16">
        <f>IF(ISNUMBER(Risultati!Y488/100),(Risultati!Y488/100))</f>
        <v>0</v>
      </c>
      <c r="BM489" s="16">
        <f>IF(ISNUMBER(Risultati!Z488/100),(Risultati!Z488/100))</f>
        <v>0</v>
      </c>
      <c r="BN489" s="16">
        <f>IF(AND(Risultati!AY488&lt;0,calcoli!AP489&lt;0),-IF(ISNUMBER(Risultati!AA488/100),(Risultati!AA488/100)),IF(ISNUMBER(Risultati!AA488/100),(Risultati!AA488/100)))</f>
        <v>0</v>
      </c>
      <c r="BO489" s="16" t="str">
        <f t="shared" si="387"/>
        <v>0</v>
      </c>
      <c r="BP489" s="16" t="str">
        <f>IF(Risultati!AB488&gt;0,(AV489/Risultati!AB488),"0")</f>
        <v>0</v>
      </c>
      <c r="BQ489" s="16" t="str">
        <f>IF(Risultati!AG488&lt;&gt;0,(BH489/Risultati!AG488),"0")</f>
        <v>0</v>
      </c>
      <c r="BR489" s="16" t="str">
        <f t="shared" si="388"/>
        <v>0</v>
      </c>
      <c r="BS489" s="14" t="str">
        <f>IF(Risultati!AB488&gt;0,(Risultati!G488/Risultati!AB488),"0")</f>
        <v>0</v>
      </c>
      <c r="BT489" s="15" t="str">
        <f>IF(Risultati!AG488&lt;&gt;0,(Risultati!AB488/Risultati!AG488),"0")</f>
        <v>0</v>
      </c>
      <c r="BU489" s="23" t="str">
        <f>IF(AND(Risultati!G488&gt;0,(Risultati!AE488-Risultati!AF488)&gt;=0),((Risultati!AE488-Risultati!AF488)/Risultati!G488*360),"0")</f>
        <v>0</v>
      </c>
      <c r="BV489" s="21" t="str">
        <f>IF(OR(E489="abbreviato",Risultati!G488=0),"0",((Risultati!AC488+Risultati!AD488)/Risultati!G488*360))</f>
        <v>0</v>
      </c>
      <c r="BW489" s="21" t="str">
        <f>IF(OR(E489="abbreviato",Risultati!G488=0,SUM(Risultati!I488+Risultati!K488+Risultati!M488)=0),"0",(((Risultati!AH488+Risultati!AI488)/(Risultati!I488+Risultati!K488+Risultati!N488)*360)))</f>
        <v>0</v>
      </c>
      <c r="BX489" s="16" t="str">
        <f>IF(Risultati!AB488&gt;0,(+Risultati!AG488/Risultati!AB488),"0")</f>
        <v>0</v>
      </c>
      <c r="BY489" s="22" t="str">
        <f>IF(OR(E489="abbreviato",Risultati!G488=0),"0",(((Risultati!AK488-(Risultati!AL488+Risultati!AM488))/Risultati!G488)))</f>
        <v>0</v>
      </c>
      <c r="BZ489" s="16" t="str">
        <f>IF(Risultati!G488&gt;0,(Risultati!AJ488/Risultati!G488),"0")</f>
        <v>0</v>
      </c>
      <c r="CA489" s="8"/>
      <c r="CB489" s="9">
        <f>+Risultati!AP488</f>
        <v>0</v>
      </c>
      <c r="CC489" s="31" t="str">
        <f t="shared" si="414"/>
        <v>0</v>
      </c>
      <c r="CD489" s="9">
        <f>+Risultati!AQ488</f>
        <v>0</v>
      </c>
      <c r="CE489" s="31" t="str">
        <f t="shared" si="415"/>
        <v>0</v>
      </c>
      <c r="CF489" s="9">
        <f>+Risultati!AR488</f>
        <v>0</v>
      </c>
      <c r="CG489" s="31" t="str">
        <f t="shared" si="416"/>
        <v>0</v>
      </c>
      <c r="CH489" s="9">
        <f>+Risultati!AS488</f>
        <v>0</v>
      </c>
      <c r="CI489" s="31" t="str">
        <f t="shared" si="417"/>
        <v>0</v>
      </c>
      <c r="CJ489" s="9">
        <f t="shared" si="418"/>
        <v>0</v>
      </c>
      <c r="CK489" s="31" t="str">
        <f t="shared" si="419"/>
        <v>0</v>
      </c>
      <c r="CL489" s="10">
        <f>+Risultati!AE488+Risultati!AF488</f>
        <v>0</v>
      </c>
      <c r="CM489" s="31" t="str">
        <f t="shared" si="420"/>
        <v>0</v>
      </c>
      <c r="CN489" s="9">
        <f>+Risultati!AT488</f>
        <v>0</v>
      </c>
      <c r="CO489" s="31" t="str">
        <f t="shared" si="421"/>
        <v>0</v>
      </c>
      <c r="CP489" s="9">
        <f>+Risultati!AU488</f>
        <v>0</v>
      </c>
      <c r="CQ489" s="31" t="str">
        <f t="shared" si="422"/>
        <v>0</v>
      </c>
      <c r="CR489" s="9">
        <f>+Risultati!AL488</f>
        <v>0</v>
      </c>
      <c r="CS489" s="31" t="str">
        <f t="shared" si="423"/>
        <v>0</v>
      </c>
      <c r="CT489" s="9">
        <f t="shared" si="424"/>
        <v>0</v>
      </c>
      <c r="CU489" s="31" t="str">
        <f t="shared" si="425"/>
        <v>0</v>
      </c>
      <c r="CV489" s="9">
        <f>+Risultati!AX488</f>
        <v>0</v>
      </c>
      <c r="CW489" s="31" t="str">
        <f t="shared" si="426"/>
        <v>0</v>
      </c>
      <c r="CX489" s="9">
        <f t="shared" si="427"/>
        <v>0</v>
      </c>
      <c r="CY489" s="31" t="str">
        <f t="shared" si="428"/>
        <v>0</v>
      </c>
      <c r="CZ489" s="9">
        <f>+Risultati!AG488</f>
        <v>0</v>
      </c>
      <c r="DA489" s="31" t="str">
        <f t="shared" si="429"/>
        <v>0</v>
      </c>
      <c r="DB489" s="9">
        <f t="shared" si="430"/>
        <v>0</v>
      </c>
      <c r="DC489" s="31" t="str">
        <f t="shared" si="431"/>
        <v>0</v>
      </c>
      <c r="DD489" s="9">
        <f>+Risultati!AV488</f>
        <v>0</v>
      </c>
      <c r="DE489" s="31" t="str">
        <f t="shared" si="432"/>
        <v>0</v>
      </c>
      <c r="DF489" s="9">
        <f>+Risultati!AJ488</f>
        <v>0</v>
      </c>
      <c r="DG489" s="31" t="str">
        <f t="shared" si="433"/>
        <v>0</v>
      </c>
      <c r="DH489" s="9">
        <f t="shared" si="434"/>
        <v>0</v>
      </c>
      <c r="DI489" s="31" t="str">
        <f t="shared" si="435"/>
        <v>0</v>
      </c>
      <c r="DJ489" s="9">
        <f>+Risultati!AW488</f>
        <v>0</v>
      </c>
      <c r="DK489" s="31" t="str">
        <f t="shared" si="436"/>
        <v>0</v>
      </c>
      <c r="DL489" s="10">
        <f t="shared" si="407"/>
        <v>0</v>
      </c>
      <c r="DM489" s="31" t="str">
        <f t="shared" si="437"/>
        <v>0</v>
      </c>
      <c r="DO489" s="30"/>
      <c r="DP489" s="30"/>
    </row>
    <row r="490" spans="1:120" x14ac:dyDescent="0.2">
      <c r="A490" s="5"/>
      <c r="B490" s="6">
        <f>+Risultati!B489</f>
        <v>0</v>
      </c>
      <c r="C490" s="6">
        <f>+Risultati!C489</f>
        <v>0</v>
      </c>
      <c r="D490" s="26" t="str">
        <f>IF(YEAR(Risultati!D489)=1900,(MID(Risultati!$AP$1,29,4)),YEAR(Risultati!D489))</f>
        <v/>
      </c>
      <c r="E490" s="6">
        <f>+Risultati!E489</f>
        <v>0</v>
      </c>
      <c r="F490" s="8" t="e">
        <f>(LEFT(Risultati!AN489,2)&amp;"-")&amp;VLOOKUP((LEFT(Risultati!AN489,2)),ateco!$B$4:$C$93,2,FALSE)</f>
        <v>#N/A</v>
      </c>
      <c r="G490" s="8" t="str">
        <f>SUBSTITUTE((Risultati!AN489&amp;"-"&amp;Risultati!AO489),",",";")</f>
        <v>-</v>
      </c>
      <c r="I490" s="10">
        <f>+Risultati!G489</f>
        <v>0</v>
      </c>
      <c r="J490" s="11" t="str">
        <f t="shared" si="389"/>
        <v>0</v>
      </c>
      <c r="K490" s="12"/>
      <c r="L490" s="10">
        <f>+Risultati!G489+Risultati!H489</f>
        <v>0</v>
      </c>
      <c r="M490" s="11" t="str">
        <f t="shared" si="390"/>
        <v>0</v>
      </c>
      <c r="N490" s="12"/>
      <c r="O490" s="10">
        <f>+Risultati!I489+Risultati!J489</f>
        <v>0</v>
      </c>
      <c r="P490" s="11" t="str">
        <f t="shared" si="391"/>
        <v>0</v>
      </c>
      <c r="Q490" s="12"/>
      <c r="R490" s="13">
        <f t="shared" si="408"/>
        <v>0</v>
      </c>
      <c r="S490" s="11" t="str">
        <f t="shared" si="392"/>
        <v>0</v>
      </c>
      <c r="T490" s="12"/>
      <c r="U490" s="10">
        <f>+Risultati!F489-(Risultati!G489+Risultati!H489)</f>
        <v>0</v>
      </c>
      <c r="V490" s="12" t="str">
        <f t="shared" si="393"/>
        <v>0</v>
      </c>
      <c r="W490" s="12"/>
      <c r="X490" s="10">
        <f t="shared" si="409"/>
        <v>0</v>
      </c>
      <c r="Y490" s="12" t="str">
        <f t="shared" si="394"/>
        <v>0</v>
      </c>
      <c r="Z490" s="12"/>
      <c r="AA490" s="10">
        <f>+Risultati!K489</f>
        <v>0</v>
      </c>
      <c r="AB490" s="12" t="str">
        <f t="shared" si="395"/>
        <v>0</v>
      </c>
      <c r="AC490" s="12"/>
      <c r="AD490" s="10">
        <f>+Risultati!L489</f>
        <v>0</v>
      </c>
      <c r="AE490" s="12" t="str">
        <f t="shared" si="396"/>
        <v>0</v>
      </c>
      <c r="AF490" s="12"/>
      <c r="AG490" s="10">
        <f>+Risultati!M489+Risultati!P489+Risultati!Q489</f>
        <v>0</v>
      </c>
      <c r="AH490" s="12" t="str">
        <f t="shared" si="397"/>
        <v>0</v>
      </c>
      <c r="AI490" s="12"/>
      <c r="AJ490" s="13">
        <f t="shared" si="410"/>
        <v>0</v>
      </c>
      <c r="AK490" s="11" t="str">
        <f t="shared" si="398"/>
        <v>0</v>
      </c>
      <c r="AL490" s="12"/>
      <c r="AM490" s="10">
        <f>+Risultati!N489</f>
        <v>0</v>
      </c>
      <c r="AN490" s="12" t="str">
        <f t="shared" si="399"/>
        <v>0</v>
      </c>
      <c r="AO490" s="12"/>
      <c r="AP490" s="10">
        <f t="shared" si="411"/>
        <v>0</v>
      </c>
      <c r="AQ490" s="41" t="str">
        <f t="shared" si="400"/>
        <v>0</v>
      </c>
      <c r="AR490" s="12"/>
      <c r="AS490" s="10">
        <f>+Risultati!O489</f>
        <v>0</v>
      </c>
      <c r="AT490" s="12" t="str">
        <f t="shared" si="401"/>
        <v>0</v>
      </c>
      <c r="AU490" s="12"/>
      <c r="AV490" s="10">
        <f t="shared" si="412"/>
        <v>0</v>
      </c>
      <c r="AW490" s="12" t="str">
        <f t="shared" si="402"/>
        <v>0</v>
      </c>
      <c r="AX490" s="12"/>
      <c r="AY490" s="10">
        <f>+Risultati!R489+Risultati!S489</f>
        <v>0</v>
      </c>
      <c r="AZ490" s="12" t="str">
        <f t="shared" si="403"/>
        <v>0</v>
      </c>
      <c r="BA490" s="12"/>
      <c r="BB490" s="10">
        <f>+Risultati!T489</f>
        <v>0</v>
      </c>
      <c r="BC490" s="12" t="str">
        <f t="shared" si="404"/>
        <v>0</v>
      </c>
      <c r="BD490" s="12"/>
      <c r="BE490" s="10">
        <f>+Risultati!U489</f>
        <v>0</v>
      </c>
      <c r="BF490" s="12" t="str">
        <f t="shared" si="405"/>
        <v>0</v>
      </c>
      <c r="BG490" s="12"/>
      <c r="BH490" s="10">
        <f t="shared" si="413"/>
        <v>0</v>
      </c>
      <c r="BI490" s="12" t="str">
        <f t="shared" si="406"/>
        <v>0</v>
      </c>
      <c r="BK490" s="16">
        <f>IF(ISNUMBER(Risultati!X489/100),(Risultati!X489/100))</f>
        <v>0</v>
      </c>
      <c r="BL490" s="16">
        <f>IF(ISNUMBER(Risultati!Y489/100),(Risultati!Y489/100))</f>
        <v>0</v>
      </c>
      <c r="BM490" s="16">
        <f>IF(ISNUMBER(Risultati!Z489/100),(Risultati!Z489/100))</f>
        <v>0</v>
      </c>
      <c r="BN490" s="16">
        <f>IF(AND(Risultati!AY489&lt;0,calcoli!AP490&lt;0),-IF(ISNUMBER(Risultati!AA489/100),(Risultati!AA489/100)),IF(ISNUMBER(Risultati!AA489/100),(Risultati!AA489/100)))</f>
        <v>0</v>
      </c>
      <c r="BO490" s="16" t="str">
        <f t="shared" si="387"/>
        <v>0</v>
      </c>
      <c r="BP490" s="16" t="str">
        <f>IF(Risultati!AB489&gt;0,(AV490/Risultati!AB489),"0")</f>
        <v>0</v>
      </c>
      <c r="BQ490" s="16" t="str">
        <f>IF(Risultati!AG489&lt;&gt;0,(BH490/Risultati!AG489),"0")</f>
        <v>0</v>
      </c>
      <c r="BR490" s="16" t="str">
        <f t="shared" si="388"/>
        <v>0</v>
      </c>
      <c r="BS490" s="14" t="str">
        <f>IF(Risultati!AB489&gt;0,(Risultati!G489/Risultati!AB489),"0")</f>
        <v>0</v>
      </c>
      <c r="BT490" s="15" t="str">
        <f>IF(Risultati!AG489&lt;&gt;0,(Risultati!AB489/Risultati!AG489),"0")</f>
        <v>0</v>
      </c>
      <c r="BU490" s="23" t="str">
        <f>IF(AND(Risultati!G489&gt;0,(Risultati!AE489-Risultati!AF489)&gt;=0),((Risultati!AE489-Risultati!AF489)/Risultati!G489*360),"0")</f>
        <v>0</v>
      </c>
      <c r="BV490" s="21" t="str">
        <f>IF(OR(E490="abbreviato",Risultati!G489=0),"0",((Risultati!AC489+Risultati!AD489)/Risultati!G489*360))</f>
        <v>0</v>
      </c>
      <c r="BW490" s="21" t="str">
        <f>IF(OR(E490="abbreviato",Risultati!G489=0,SUM(Risultati!I489+Risultati!K489+Risultati!M489)=0),"0",(((Risultati!AH489+Risultati!AI489)/(Risultati!I489+Risultati!K489+Risultati!N489)*360)))</f>
        <v>0</v>
      </c>
      <c r="BX490" s="16" t="str">
        <f>IF(Risultati!AB489&gt;0,(+Risultati!AG489/Risultati!AB489),"0")</f>
        <v>0</v>
      </c>
      <c r="BY490" s="22" t="str">
        <f>IF(OR(E490="abbreviato",Risultati!G489=0),"0",(((Risultati!AK489-(Risultati!AL489+Risultati!AM489))/Risultati!G489)))</f>
        <v>0</v>
      </c>
      <c r="BZ490" s="16" t="str">
        <f>IF(Risultati!G489&gt;0,(Risultati!AJ489/Risultati!G489),"0")</f>
        <v>0</v>
      </c>
      <c r="CA490" s="8"/>
      <c r="CB490" s="9">
        <f>+Risultati!AP489</f>
        <v>0</v>
      </c>
      <c r="CC490" s="31" t="str">
        <f t="shared" si="414"/>
        <v>0</v>
      </c>
      <c r="CD490" s="9">
        <f>+Risultati!AQ489</f>
        <v>0</v>
      </c>
      <c r="CE490" s="31" t="str">
        <f t="shared" si="415"/>
        <v>0</v>
      </c>
      <c r="CF490" s="9">
        <f>+Risultati!AR489</f>
        <v>0</v>
      </c>
      <c r="CG490" s="31" t="str">
        <f t="shared" si="416"/>
        <v>0</v>
      </c>
      <c r="CH490" s="9">
        <f>+Risultati!AS489</f>
        <v>0</v>
      </c>
      <c r="CI490" s="31" t="str">
        <f t="shared" si="417"/>
        <v>0</v>
      </c>
      <c r="CJ490" s="9">
        <f t="shared" si="418"/>
        <v>0</v>
      </c>
      <c r="CK490" s="31" t="str">
        <f t="shared" si="419"/>
        <v>0</v>
      </c>
      <c r="CL490" s="10">
        <f>+Risultati!AE489+Risultati!AF489</f>
        <v>0</v>
      </c>
      <c r="CM490" s="31" t="str">
        <f t="shared" si="420"/>
        <v>0</v>
      </c>
      <c r="CN490" s="9">
        <f>+Risultati!AT489</f>
        <v>0</v>
      </c>
      <c r="CO490" s="31" t="str">
        <f t="shared" si="421"/>
        <v>0</v>
      </c>
      <c r="CP490" s="9">
        <f>+Risultati!AU489</f>
        <v>0</v>
      </c>
      <c r="CQ490" s="31" t="str">
        <f t="shared" si="422"/>
        <v>0</v>
      </c>
      <c r="CR490" s="9">
        <f>+Risultati!AL489</f>
        <v>0</v>
      </c>
      <c r="CS490" s="31" t="str">
        <f t="shared" si="423"/>
        <v>0</v>
      </c>
      <c r="CT490" s="9">
        <f t="shared" si="424"/>
        <v>0</v>
      </c>
      <c r="CU490" s="31" t="str">
        <f t="shared" si="425"/>
        <v>0</v>
      </c>
      <c r="CV490" s="9">
        <f>+Risultati!AX489</f>
        <v>0</v>
      </c>
      <c r="CW490" s="31" t="str">
        <f t="shared" si="426"/>
        <v>0</v>
      </c>
      <c r="CX490" s="9">
        <f t="shared" si="427"/>
        <v>0</v>
      </c>
      <c r="CY490" s="31" t="str">
        <f t="shared" si="428"/>
        <v>0</v>
      </c>
      <c r="CZ490" s="9">
        <f>+Risultati!AG489</f>
        <v>0</v>
      </c>
      <c r="DA490" s="31" t="str">
        <f t="shared" si="429"/>
        <v>0</v>
      </c>
      <c r="DB490" s="9">
        <f t="shared" si="430"/>
        <v>0</v>
      </c>
      <c r="DC490" s="31" t="str">
        <f t="shared" si="431"/>
        <v>0</v>
      </c>
      <c r="DD490" s="9">
        <f>+Risultati!AV489</f>
        <v>0</v>
      </c>
      <c r="DE490" s="31" t="str">
        <f t="shared" si="432"/>
        <v>0</v>
      </c>
      <c r="DF490" s="9">
        <f>+Risultati!AJ489</f>
        <v>0</v>
      </c>
      <c r="DG490" s="31" t="str">
        <f t="shared" si="433"/>
        <v>0</v>
      </c>
      <c r="DH490" s="9">
        <f t="shared" si="434"/>
        <v>0</v>
      </c>
      <c r="DI490" s="31" t="str">
        <f t="shared" si="435"/>
        <v>0</v>
      </c>
      <c r="DJ490" s="9">
        <f>+Risultati!AW489</f>
        <v>0</v>
      </c>
      <c r="DK490" s="31" t="str">
        <f t="shared" si="436"/>
        <v>0</v>
      </c>
      <c r="DL490" s="10">
        <f t="shared" si="407"/>
        <v>0</v>
      </c>
      <c r="DM490" s="31" t="str">
        <f t="shared" si="437"/>
        <v>0</v>
      </c>
      <c r="DO490" s="30"/>
      <c r="DP490" s="30"/>
    </row>
    <row r="491" spans="1:120" x14ac:dyDescent="0.2">
      <c r="A491" s="5"/>
      <c r="B491" s="6">
        <f>+Risultati!B490</f>
        <v>0</v>
      </c>
      <c r="C491" s="6">
        <f>+Risultati!C490</f>
        <v>0</v>
      </c>
      <c r="D491" s="26" t="str">
        <f>IF(YEAR(Risultati!D490)=1900,(MID(Risultati!$AP$1,29,4)),YEAR(Risultati!D490))</f>
        <v/>
      </c>
      <c r="E491" s="6">
        <f>+Risultati!E490</f>
        <v>0</v>
      </c>
      <c r="F491" s="8" t="e">
        <f>(LEFT(Risultati!AN490,2)&amp;"-")&amp;VLOOKUP((LEFT(Risultati!AN490,2)),ateco!$B$4:$C$93,2,FALSE)</f>
        <v>#N/A</v>
      </c>
      <c r="G491" s="8" t="str">
        <f>SUBSTITUTE((Risultati!AN490&amp;"-"&amp;Risultati!AO490),",",";")</f>
        <v>-</v>
      </c>
      <c r="I491" s="10">
        <f>+Risultati!G490</f>
        <v>0</v>
      </c>
      <c r="J491" s="11" t="str">
        <f t="shared" si="389"/>
        <v>0</v>
      </c>
      <c r="K491" s="12"/>
      <c r="L491" s="10">
        <f>+Risultati!G490+Risultati!H490</f>
        <v>0</v>
      </c>
      <c r="M491" s="11" t="str">
        <f t="shared" si="390"/>
        <v>0</v>
      </c>
      <c r="N491" s="12"/>
      <c r="O491" s="10">
        <f>+Risultati!I490+Risultati!J490</f>
        <v>0</v>
      </c>
      <c r="P491" s="11" t="str">
        <f t="shared" si="391"/>
        <v>0</v>
      </c>
      <c r="Q491" s="12"/>
      <c r="R491" s="13">
        <f t="shared" si="408"/>
        <v>0</v>
      </c>
      <c r="S491" s="11" t="str">
        <f t="shared" si="392"/>
        <v>0</v>
      </c>
      <c r="T491" s="12"/>
      <c r="U491" s="10">
        <f>+Risultati!F490-(Risultati!G490+Risultati!H490)</f>
        <v>0</v>
      </c>
      <c r="V491" s="12" t="str">
        <f t="shared" si="393"/>
        <v>0</v>
      </c>
      <c r="W491" s="12"/>
      <c r="X491" s="10">
        <f t="shared" si="409"/>
        <v>0</v>
      </c>
      <c r="Y491" s="12" t="str">
        <f t="shared" si="394"/>
        <v>0</v>
      </c>
      <c r="Z491" s="12"/>
      <c r="AA491" s="10">
        <f>+Risultati!K490</f>
        <v>0</v>
      </c>
      <c r="AB491" s="12" t="str">
        <f t="shared" si="395"/>
        <v>0</v>
      </c>
      <c r="AC491" s="12"/>
      <c r="AD491" s="10">
        <f>+Risultati!L490</f>
        <v>0</v>
      </c>
      <c r="AE491" s="12" t="str">
        <f t="shared" si="396"/>
        <v>0</v>
      </c>
      <c r="AF491" s="12"/>
      <c r="AG491" s="10">
        <f>+Risultati!M490+Risultati!P490+Risultati!Q490</f>
        <v>0</v>
      </c>
      <c r="AH491" s="12" t="str">
        <f t="shared" si="397"/>
        <v>0</v>
      </c>
      <c r="AI491" s="12"/>
      <c r="AJ491" s="13">
        <f t="shared" si="410"/>
        <v>0</v>
      </c>
      <c r="AK491" s="11" t="str">
        <f t="shared" si="398"/>
        <v>0</v>
      </c>
      <c r="AL491" s="12"/>
      <c r="AM491" s="10">
        <f>+Risultati!N490</f>
        <v>0</v>
      </c>
      <c r="AN491" s="12" t="str">
        <f t="shared" si="399"/>
        <v>0</v>
      </c>
      <c r="AO491" s="12"/>
      <c r="AP491" s="10">
        <f t="shared" si="411"/>
        <v>0</v>
      </c>
      <c r="AQ491" s="41" t="str">
        <f t="shared" si="400"/>
        <v>0</v>
      </c>
      <c r="AR491" s="12"/>
      <c r="AS491" s="10">
        <f>+Risultati!O490</f>
        <v>0</v>
      </c>
      <c r="AT491" s="12" t="str">
        <f t="shared" si="401"/>
        <v>0</v>
      </c>
      <c r="AU491" s="12"/>
      <c r="AV491" s="10">
        <f t="shared" si="412"/>
        <v>0</v>
      </c>
      <c r="AW491" s="12" t="str">
        <f t="shared" si="402"/>
        <v>0</v>
      </c>
      <c r="AX491" s="12"/>
      <c r="AY491" s="10">
        <f>+Risultati!R490+Risultati!S490</f>
        <v>0</v>
      </c>
      <c r="AZ491" s="12" t="str">
        <f t="shared" si="403"/>
        <v>0</v>
      </c>
      <c r="BA491" s="12"/>
      <c r="BB491" s="10">
        <f>+Risultati!T490</f>
        <v>0</v>
      </c>
      <c r="BC491" s="12" t="str">
        <f t="shared" si="404"/>
        <v>0</v>
      </c>
      <c r="BD491" s="12"/>
      <c r="BE491" s="10">
        <f>+Risultati!U490</f>
        <v>0</v>
      </c>
      <c r="BF491" s="12" t="str">
        <f t="shared" si="405"/>
        <v>0</v>
      </c>
      <c r="BG491" s="12"/>
      <c r="BH491" s="10">
        <f t="shared" si="413"/>
        <v>0</v>
      </c>
      <c r="BI491" s="12" t="str">
        <f t="shared" si="406"/>
        <v>0</v>
      </c>
      <c r="BK491" s="16">
        <f>IF(ISNUMBER(Risultati!X490/100),(Risultati!X490/100))</f>
        <v>0</v>
      </c>
      <c r="BL491" s="16">
        <f>IF(ISNUMBER(Risultati!Y490/100),(Risultati!Y490/100))</f>
        <v>0</v>
      </c>
      <c r="BM491" s="16">
        <f>IF(ISNUMBER(Risultati!Z490/100),(Risultati!Z490/100))</f>
        <v>0</v>
      </c>
      <c r="BN491" s="16">
        <f>IF(AND(Risultati!AY490&lt;0,calcoli!AP491&lt;0),-IF(ISNUMBER(Risultati!AA490/100),(Risultati!AA490/100)),IF(ISNUMBER(Risultati!AA490/100),(Risultati!AA490/100)))</f>
        <v>0</v>
      </c>
      <c r="BO491" s="16" t="str">
        <f t="shared" si="387"/>
        <v>0</v>
      </c>
      <c r="BP491" s="16" t="str">
        <f>IF(Risultati!AB490&gt;0,(AV491/Risultati!AB490),"0")</f>
        <v>0</v>
      </c>
      <c r="BQ491" s="16" t="str">
        <f>IF(Risultati!AG490&lt;&gt;0,(BH491/Risultati!AG490),"0")</f>
        <v>0</v>
      </c>
      <c r="BR491" s="16" t="str">
        <f t="shared" si="388"/>
        <v>0</v>
      </c>
      <c r="BS491" s="14" t="str">
        <f>IF(Risultati!AB490&gt;0,(Risultati!G490/Risultati!AB490),"0")</f>
        <v>0</v>
      </c>
      <c r="BT491" s="15" t="str">
        <f>IF(Risultati!AG490&lt;&gt;0,(Risultati!AB490/Risultati!AG490),"0")</f>
        <v>0</v>
      </c>
      <c r="BU491" s="23" t="str">
        <f>IF(AND(Risultati!G490&gt;0,(Risultati!AE490-Risultati!AF490)&gt;=0),((Risultati!AE490-Risultati!AF490)/Risultati!G490*360),"0")</f>
        <v>0</v>
      </c>
      <c r="BV491" s="21" t="str">
        <f>IF(OR(E491="abbreviato",Risultati!G490=0),"0",((Risultati!AC490+Risultati!AD490)/Risultati!G490*360))</f>
        <v>0</v>
      </c>
      <c r="BW491" s="21" t="str">
        <f>IF(OR(E491="abbreviato",Risultati!G490=0,SUM(Risultati!I490+Risultati!K490+Risultati!M490)=0),"0",(((Risultati!AH490+Risultati!AI490)/(Risultati!I490+Risultati!K490+Risultati!N490)*360)))</f>
        <v>0</v>
      </c>
      <c r="BX491" s="16" t="str">
        <f>IF(Risultati!AB490&gt;0,(+Risultati!AG490/Risultati!AB490),"0")</f>
        <v>0</v>
      </c>
      <c r="BY491" s="22" t="str">
        <f>IF(OR(E491="abbreviato",Risultati!G490=0),"0",(((Risultati!AK490-(Risultati!AL490+Risultati!AM490))/Risultati!G490)))</f>
        <v>0</v>
      </c>
      <c r="BZ491" s="16" t="str">
        <f>IF(Risultati!G490&gt;0,(Risultati!AJ490/Risultati!G490),"0")</f>
        <v>0</v>
      </c>
      <c r="CA491" s="8"/>
      <c r="CB491" s="9">
        <f>+Risultati!AP490</f>
        <v>0</v>
      </c>
      <c r="CC491" s="31" t="str">
        <f t="shared" si="414"/>
        <v>0</v>
      </c>
      <c r="CD491" s="9">
        <f>+Risultati!AQ490</f>
        <v>0</v>
      </c>
      <c r="CE491" s="31" t="str">
        <f t="shared" si="415"/>
        <v>0</v>
      </c>
      <c r="CF491" s="9">
        <f>+Risultati!AR490</f>
        <v>0</v>
      </c>
      <c r="CG491" s="31" t="str">
        <f t="shared" si="416"/>
        <v>0</v>
      </c>
      <c r="CH491" s="9">
        <f>+Risultati!AS490</f>
        <v>0</v>
      </c>
      <c r="CI491" s="31" t="str">
        <f t="shared" si="417"/>
        <v>0</v>
      </c>
      <c r="CJ491" s="9">
        <f t="shared" si="418"/>
        <v>0</v>
      </c>
      <c r="CK491" s="31" t="str">
        <f t="shared" si="419"/>
        <v>0</v>
      </c>
      <c r="CL491" s="10">
        <f>+Risultati!AE490+Risultati!AF490</f>
        <v>0</v>
      </c>
      <c r="CM491" s="31" t="str">
        <f t="shared" si="420"/>
        <v>0</v>
      </c>
      <c r="CN491" s="9">
        <f>+Risultati!AT490</f>
        <v>0</v>
      </c>
      <c r="CO491" s="31" t="str">
        <f t="shared" si="421"/>
        <v>0</v>
      </c>
      <c r="CP491" s="9">
        <f>+Risultati!AU490</f>
        <v>0</v>
      </c>
      <c r="CQ491" s="31" t="str">
        <f t="shared" si="422"/>
        <v>0</v>
      </c>
      <c r="CR491" s="9">
        <f>+Risultati!AL490</f>
        <v>0</v>
      </c>
      <c r="CS491" s="31" t="str">
        <f t="shared" si="423"/>
        <v>0</v>
      </c>
      <c r="CT491" s="9">
        <f t="shared" si="424"/>
        <v>0</v>
      </c>
      <c r="CU491" s="31" t="str">
        <f t="shared" si="425"/>
        <v>0</v>
      </c>
      <c r="CV491" s="9">
        <f>+Risultati!AX490</f>
        <v>0</v>
      </c>
      <c r="CW491" s="31" t="str">
        <f t="shared" si="426"/>
        <v>0</v>
      </c>
      <c r="CX491" s="9">
        <f t="shared" si="427"/>
        <v>0</v>
      </c>
      <c r="CY491" s="31" t="str">
        <f t="shared" si="428"/>
        <v>0</v>
      </c>
      <c r="CZ491" s="9">
        <f>+Risultati!AG490</f>
        <v>0</v>
      </c>
      <c r="DA491" s="31" t="str">
        <f t="shared" si="429"/>
        <v>0</v>
      </c>
      <c r="DB491" s="9">
        <f t="shared" si="430"/>
        <v>0</v>
      </c>
      <c r="DC491" s="31" t="str">
        <f t="shared" si="431"/>
        <v>0</v>
      </c>
      <c r="DD491" s="9">
        <f>+Risultati!AV490</f>
        <v>0</v>
      </c>
      <c r="DE491" s="31" t="str">
        <f t="shared" si="432"/>
        <v>0</v>
      </c>
      <c r="DF491" s="9">
        <f>+Risultati!AJ490</f>
        <v>0</v>
      </c>
      <c r="DG491" s="31" t="str">
        <f t="shared" si="433"/>
        <v>0</v>
      </c>
      <c r="DH491" s="9">
        <f t="shared" si="434"/>
        <v>0</v>
      </c>
      <c r="DI491" s="31" t="str">
        <f t="shared" si="435"/>
        <v>0</v>
      </c>
      <c r="DJ491" s="9">
        <f>+Risultati!AW490</f>
        <v>0</v>
      </c>
      <c r="DK491" s="31" t="str">
        <f t="shared" si="436"/>
        <v>0</v>
      </c>
      <c r="DL491" s="10">
        <f t="shared" si="407"/>
        <v>0</v>
      </c>
      <c r="DM491" s="31" t="str">
        <f t="shared" si="437"/>
        <v>0</v>
      </c>
      <c r="DO491" s="30"/>
      <c r="DP491" s="30"/>
    </row>
    <row r="492" spans="1:120" x14ac:dyDescent="0.2">
      <c r="A492" s="5"/>
      <c r="B492" s="6">
        <f>+Risultati!B491</f>
        <v>0</v>
      </c>
      <c r="C492" s="6">
        <f>+Risultati!C491</f>
        <v>0</v>
      </c>
      <c r="D492" s="26" t="str">
        <f>IF(YEAR(Risultati!D491)=1900,(MID(Risultati!$AP$1,29,4)),YEAR(Risultati!D491))</f>
        <v/>
      </c>
      <c r="E492" s="6">
        <f>+Risultati!E491</f>
        <v>0</v>
      </c>
      <c r="F492" s="8" t="e">
        <f>(LEFT(Risultati!AN491,2)&amp;"-")&amp;VLOOKUP((LEFT(Risultati!AN491,2)),ateco!$B$4:$C$93,2,FALSE)</f>
        <v>#N/A</v>
      </c>
      <c r="G492" s="8" t="str">
        <f>SUBSTITUTE((Risultati!AN491&amp;"-"&amp;Risultati!AO491),",",";")</f>
        <v>-</v>
      </c>
      <c r="I492" s="10">
        <f>+Risultati!G491</f>
        <v>0</v>
      </c>
      <c r="J492" s="11" t="str">
        <f t="shared" si="389"/>
        <v>0</v>
      </c>
      <c r="K492" s="12"/>
      <c r="L492" s="10">
        <f>+Risultati!G491+Risultati!H491</f>
        <v>0</v>
      </c>
      <c r="M492" s="11" t="str">
        <f t="shared" si="390"/>
        <v>0</v>
      </c>
      <c r="N492" s="12"/>
      <c r="O492" s="10">
        <f>+Risultati!I491+Risultati!J491</f>
        <v>0</v>
      </c>
      <c r="P492" s="11" t="str">
        <f t="shared" si="391"/>
        <v>0</v>
      </c>
      <c r="Q492" s="12"/>
      <c r="R492" s="13">
        <f t="shared" si="408"/>
        <v>0</v>
      </c>
      <c r="S492" s="11" t="str">
        <f t="shared" si="392"/>
        <v>0</v>
      </c>
      <c r="T492" s="12"/>
      <c r="U492" s="10">
        <f>+Risultati!F491-(Risultati!G491+Risultati!H491)</f>
        <v>0</v>
      </c>
      <c r="V492" s="12" t="str">
        <f t="shared" si="393"/>
        <v>0</v>
      </c>
      <c r="W492" s="12"/>
      <c r="X492" s="10">
        <f t="shared" si="409"/>
        <v>0</v>
      </c>
      <c r="Y492" s="12" t="str">
        <f t="shared" si="394"/>
        <v>0</v>
      </c>
      <c r="Z492" s="12"/>
      <c r="AA492" s="10">
        <f>+Risultati!K491</f>
        <v>0</v>
      </c>
      <c r="AB492" s="12" t="str">
        <f t="shared" si="395"/>
        <v>0</v>
      </c>
      <c r="AC492" s="12"/>
      <c r="AD492" s="10">
        <f>+Risultati!L491</f>
        <v>0</v>
      </c>
      <c r="AE492" s="12" t="str">
        <f t="shared" si="396"/>
        <v>0</v>
      </c>
      <c r="AF492" s="12"/>
      <c r="AG492" s="10">
        <f>+Risultati!M491+Risultati!P491+Risultati!Q491</f>
        <v>0</v>
      </c>
      <c r="AH492" s="12" t="str">
        <f t="shared" si="397"/>
        <v>0</v>
      </c>
      <c r="AI492" s="12"/>
      <c r="AJ492" s="13">
        <f t="shared" si="410"/>
        <v>0</v>
      </c>
      <c r="AK492" s="11" t="str">
        <f t="shared" si="398"/>
        <v>0</v>
      </c>
      <c r="AL492" s="12"/>
      <c r="AM492" s="10">
        <f>+Risultati!N491</f>
        <v>0</v>
      </c>
      <c r="AN492" s="12" t="str">
        <f t="shared" si="399"/>
        <v>0</v>
      </c>
      <c r="AO492" s="12"/>
      <c r="AP492" s="10">
        <f t="shared" si="411"/>
        <v>0</v>
      </c>
      <c r="AQ492" s="41" t="str">
        <f t="shared" si="400"/>
        <v>0</v>
      </c>
      <c r="AR492" s="12"/>
      <c r="AS492" s="10">
        <f>+Risultati!O491</f>
        <v>0</v>
      </c>
      <c r="AT492" s="12" t="str">
        <f t="shared" si="401"/>
        <v>0</v>
      </c>
      <c r="AU492" s="12"/>
      <c r="AV492" s="10">
        <f t="shared" si="412"/>
        <v>0</v>
      </c>
      <c r="AW492" s="12" t="str">
        <f t="shared" si="402"/>
        <v>0</v>
      </c>
      <c r="AX492" s="12"/>
      <c r="AY492" s="10">
        <f>+Risultati!R491+Risultati!S491</f>
        <v>0</v>
      </c>
      <c r="AZ492" s="12" t="str">
        <f t="shared" si="403"/>
        <v>0</v>
      </c>
      <c r="BA492" s="12"/>
      <c r="BB492" s="10">
        <f>+Risultati!T491</f>
        <v>0</v>
      </c>
      <c r="BC492" s="12" t="str">
        <f t="shared" si="404"/>
        <v>0</v>
      </c>
      <c r="BD492" s="12"/>
      <c r="BE492" s="10">
        <f>+Risultati!U491</f>
        <v>0</v>
      </c>
      <c r="BF492" s="12" t="str">
        <f t="shared" si="405"/>
        <v>0</v>
      </c>
      <c r="BG492" s="12"/>
      <c r="BH492" s="10">
        <f t="shared" si="413"/>
        <v>0</v>
      </c>
      <c r="BI492" s="12" t="str">
        <f t="shared" si="406"/>
        <v>0</v>
      </c>
      <c r="BK492" s="16">
        <f>IF(ISNUMBER(Risultati!X491/100),(Risultati!X491/100))</f>
        <v>0</v>
      </c>
      <c r="BL492" s="16">
        <f>IF(ISNUMBER(Risultati!Y491/100),(Risultati!Y491/100))</f>
        <v>0</v>
      </c>
      <c r="BM492" s="16">
        <f>IF(ISNUMBER(Risultati!Z491/100),(Risultati!Z491/100))</f>
        <v>0</v>
      </c>
      <c r="BN492" s="16">
        <f>IF(AND(Risultati!AY491&lt;0,calcoli!AP492&lt;0),-IF(ISNUMBER(Risultati!AA491/100),(Risultati!AA491/100)),IF(ISNUMBER(Risultati!AA491/100),(Risultati!AA491/100)))</f>
        <v>0</v>
      </c>
      <c r="BO492" s="16" t="str">
        <f t="shared" si="387"/>
        <v>0</v>
      </c>
      <c r="BP492" s="16" t="str">
        <f>IF(Risultati!AB491&gt;0,(AV492/Risultati!AB491),"0")</f>
        <v>0</v>
      </c>
      <c r="BQ492" s="16" t="str">
        <f>IF(Risultati!AG491&lt;&gt;0,(BH492/Risultati!AG491),"0")</f>
        <v>0</v>
      </c>
      <c r="BR492" s="16" t="str">
        <f t="shared" si="388"/>
        <v>0</v>
      </c>
      <c r="BS492" s="14" t="str">
        <f>IF(Risultati!AB491&gt;0,(Risultati!G491/Risultati!AB491),"0")</f>
        <v>0</v>
      </c>
      <c r="BT492" s="15" t="str">
        <f>IF(Risultati!AG491&lt;&gt;0,(Risultati!AB491/Risultati!AG491),"0")</f>
        <v>0</v>
      </c>
      <c r="BU492" s="23" t="str">
        <f>IF(AND(Risultati!G491&gt;0,(Risultati!AE491-Risultati!AF491)&gt;=0),((Risultati!AE491-Risultati!AF491)/Risultati!G491*360),"0")</f>
        <v>0</v>
      </c>
      <c r="BV492" s="21" t="str">
        <f>IF(OR(E492="abbreviato",Risultati!G491=0),"0",((Risultati!AC491+Risultati!AD491)/Risultati!G491*360))</f>
        <v>0</v>
      </c>
      <c r="BW492" s="21" t="str">
        <f>IF(OR(E492="abbreviato",Risultati!G491=0,SUM(Risultati!I491+Risultati!K491+Risultati!M491)=0),"0",(((Risultati!AH491+Risultati!AI491)/(Risultati!I491+Risultati!K491+Risultati!N491)*360)))</f>
        <v>0</v>
      </c>
      <c r="BX492" s="16" t="str">
        <f>IF(Risultati!AB491&gt;0,(+Risultati!AG491/Risultati!AB491),"0")</f>
        <v>0</v>
      </c>
      <c r="BY492" s="22" t="str">
        <f>IF(OR(E492="abbreviato",Risultati!G491=0),"0",(((Risultati!AK491-(Risultati!AL491+Risultati!AM491))/Risultati!G491)))</f>
        <v>0</v>
      </c>
      <c r="BZ492" s="16" t="str">
        <f>IF(Risultati!G491&gt;0,(Risultati!AJ491/Risultati!G491),"0")</f>
        <v>0</v>
      </c>
      <c r="CA492" s="8"/>
      <c r="CB492" s="9">
        <f>+Risultati!AP491</f>
        <v>0</v>
      </c>
      <c r="CC492" s="31" t="str">
        <f t="shared" si="414"/>
        <v>0</v>
      </c>
      <c r="CD492" s="9">
        <f>+Risultati!AQ491</f>
        <v>0</v>
      </c>
      <c r="CE492" s="31" t="str">
        <f t="shared" si="415"/>
        <v>0</v>
      </c>
      <c r="CF492" s="9">
        <f>+Risultati!AR491</f>
        <v>0</v>
      </c>
      <c r="CG492" s="31" t="str">
        <f t="shared" si="416"/>
        <v>0</v>
      </c>
      <c r="CH492" s="9">
        <f>+Risultati!AS491</f>
        <v>0</v>
      </c>
      <c r="CI492" s="31" t="str">
        <f t="shared" si="417"/>
        <v>0</v>
      </c>
      <c r="CJ492" s="9">
        <f t="shared" si="418"/>
        <v>0</v>
      </c>
      <c r="CK492" s="31" t="str">
        <f t="shared" si="419"/>
        <v>0</v>
      </c>
      <c r="CL492" s="10">
        <f>+Risultati!AE491+Risultati!AF491</f>
        <v>0</v>
      </c>
      <c r="CM492" s="31" t="str">
        <f t="shared" si="420"/>
        <v>0</v>
      </c>
      <c r="CN492" s="9">
        <f>+Risultati!AT491</f>
        <v>0</v>
      </c>
      <c r="CO492" s="31" t="str">
        <f t="shared" si="421"/>
        <v>0</v>
      </c>
      <c r="CP492" s="9">
        <f>+Risultati!AU491</f>
        <v>0</v>
      </c>
      <c r="CQ492" s="31" t="str">
        <f t="shared" si="422"/>
        <v>0</v>
      </c>
      <c r="CR492" s="9">
        <f>+Risultati!AL491</f>
        <v>0</v>
      </c>
      <c r="CS492" s="31" t="str">
        <f t="shared" si="423"/>
        <v>0</v>
      </c>
      <c r="CT492" s="9">
        <f t="shared" si="424"/>
        <v>0</v>
      </c>
      <c r="CU492" s="31" t="str">
        <f t="shared" si="425"/>
        <v>0</v>
      </c>
      <c r="CV492" s="9">
        <f>+Risultati!AX491</f>
        <v>0</v>
      </c>
      <c r="CW492" s="31" t="str">
        <f t="shared" si="426"/>
        <v>0</v>
      </c>
      <c r="CX492" s="9">
        <f t="shared" si="427"/>
        <v>0</v>
      </c>
      <c r="CY492" s="31" t="str">
        <f t="shared" si="428"/>
        <v>0</v>
      </c>
      <c r="CZ492" s="9">
        <f>+Risultati!AG491</f>
        <v>0</v>
      </c>
      <c r="DA492" s="31" t="str">
        <f t="shared" si="429"/>
        <v>0</v>
      </c>
      <c r="DB492" s="9">
        <f t="shared" si="430"/>
        <v>0</v>
      </c>
      <c r="DC492" s="31" t="str">
        <f t="shared" si="431"/>
        <v>0</v>
      </c>
      <c r="DD492" s="9">
        <f>+Risultati!AV491</f>
        <v>0</v>
      </c>
      <c r="DE492" s="31" t="str">
        <f t="shared" si="432"/>
        <v>0</v>
      </c>
      <c r="DF492" s="9">
        <f>+Risultati!AJ491</f>
        <v>0</v>
      </c>
      <c r="DG492" s="31" t="str">
        <f t="shared" si="433"/>
        <v>0</v>
      </c>
      <c r="DH492" s="9">
        <f t="shared" si="434"/>
        <v>0</v>
      </c>
      <c r="DI492" s="31" t="str">
        <f t="shared" si="435"/>
        <v>0</v>
      </c>
      <c r="DJ492" s="9">
        <f>+Risultati!AW491</f>
        <v>0</v>
      </c>
      <c r="DK492" s="31" t="str">
        <f t="shared" si="436"/>
        <v>0</v>
      </c>
      <c r="DL492" s="10">
        <f t="shared" si="407"/>
        <v>0</v>
      </c>
      <c r="DM492" s="31" t="str">
        <f t="shared" si="437"/>
        <v>0</v>
      </c>
      <c r="DO492" s="30"/>
      <c r="DP492" s="30"/>
    </row>
    <row r="493" spans="1:120" x14ac:dyDescent="0.2">
      <c r="A493" s="5"/>
      <c r="B493" s="6">
        <f>+Risultati!B492</f>
        <v>0</v>
      </c>
      <c r="C493" s="6">
        <f>+Risultati!C492</f>
        <v>0</v>
      </c>
      <c r="D493" s="26" t="str">
        <f>IF(YEAR(Risultati!D492)=1900,(MID(Risultati!$AP$1,29,4)),YEAR(Risultati!D492))</f>
        <v/>
      </c>
      <c r="E493" s="6">
        <f>+Risultati!E492</f>
        <v>0</v>
      </c>
      <c r="F493" s="8" t="e">
        <f>(LEFT(Risultati!AN492,2)&amp;"-")&amp;VLOOKUP((LEFT(Risultati!AN492,2)),ateco!$B$4:$C$93,2,FALSE)</f>
        <v>#N/A</v>
      </c>
      <c r="G493" s="8" t="str">
        <f>SUBSTITUTE((Risultati!AN492&amp;"-"&amp;Risultati!AO492),",",";")</f>
        <v>-</v>
      </c>
      <c r="I493" s="10">
        <f>+Risultati!G492</f>
        <v>0</v>
      </c>
      <c r="J493" s="11" t="str">
        <f t="shared" si="389"/>
        <v>0</v>
      </c>
      <c r="K493" s="12"/>
      <c r="L493" s="10">
        <f>+Risultati!G492+Risultati!H492</f>
        <v>0</v>
      </c>
      <c r="M493" s="11" t="str">
        <f t="shared" si="390"/>
        <v>0</v>
      </c>
      <c r="N493" s="12"/>
      <c r="O493" s="10">
        <f>+Risultati!I492+Risultati!J492</f>
        <v>0</v>
      </c>
      <c r="P493" s="11" t="str">
        <f t="shared" si="391"/>
        <v>0</v>
      </c>
      <c r="Q493" s="12"/>
      <c r="R493" s="13">
        <f t="shared" si="408"/>
        <v>0</v>
      </c>
      <c r="S493" s="11" t="str">
        <f t="shared" si="392"/>
        <v>0</v>
      </c>
      <c r="T493" s="12"/>
      <c r="U493" s="10">
        <f>+Risultati!F492-(Risultati!G492+Risultati!H492)</f>
        <v>0</v>
      </c>
      <c r="V493" s="12" t="str">
        <f t="shared" si="393"/>
        <v>0</v>
      </c>
      <c r="W493" s="12"/>
      <c r="X493" s="10">
        <f t="shared" si="409"/>
        <v>0</v>
      </c>
      <c r="Y493" s="12" t="str">
        <f t="shared" si="394"/>
        <v>0</v>
      </c>
      <c r="Z493" s="12"/>
      <c r="AA493" s="10">
        <f>+Risultati!K492</f>
        <v>0</v>
      </c>
      <c r="AB493" s="12" t="str">
        <f t="shared" si="395"/>
        <v>0</v>
      </c>
      <c r="AC493" s="12"/>
      <c r="AD493" s="10">
        <f>+Risultati!L492</f>
        <v>0</v>
      </c>
      <c r="AE493" s="12" t="str">
        <f t="shared" si="396"/>
        <v>0</v>
      </c>
      <c r="AF493" s="12"/>
      <c r="AG493" s="10">
        <f>+Risultati!M492+Risultati!P492+Risultati!Q492</f>
        <v>0</v>
      </c>
      <c r="AH493" s="12" t="str">
        <f t="shared" si="397"/>
        <v>0</v>
      </c>
      <c r="AI493" s="12"/>
      <c r="AJ493" s="13">
        <f t="shared" si="410"/>
        <v>0</v>
      </c>
      <c r="AK493" s="11" t="str">
        <f t="shared" si="398"/>
        <v>0</v>
      </c>
      <c r="AL493" s="12"/>
      <c r="AM493" s="10">
        <f>+Risultati!N492</f>
        <v>0</v>
      </c>
      <c r="AN493" s="12" t="str">
        <f t="shared" si="399"/>
        <v>0</v>
      </c>
      <c r="AO493" s="12"/>
      <c r="AP493" s="10">
        <f t="shared" si="411"/>
        <v>0</v>
      </c>
      <c r="AQ493" s="41" t="str">
        <f t="shared" si="400"/>
        <v>0</v>
      </c>
      <c r="AR493" s="12"/>
      <c r="AS493" s="10">
        <f>+Risultati!O492</f>
        <v>0</v>
      </c>
      <c r="AT493" s="12" t="str">
        <f t="shared" si="401"/>
        <v>0</v>
      </c>
      <c r="AU493" s="12"/>
      <c r="AV493" s="10">
        <f t="shared" si="412"/>
        <v>0</v>
      </c>
      <c r="AW493" s="12" t="str">
        <f t="shared" si="402"/>
        <v>0</v>
      </c>
      <c r="AX493" s="12"/>
      <c r="AY493" s="10">
        <f>+Risultati!R492+Risultati!S492</f>
        <v>0</v>
      </c>
      <c r="AZ493" s="12" t="str">
        <f t="shared" si="403"/>
        <v>0</v>
      </c>
      <c r="BA493" s="12"/>
      <c r="BB493" s="10">
        <f>+Risultati!T492</f>
        <v>0</v>
      </c>
      <c r="BC493" s="12" t="str">
        <f t="shared" si="404"/>
        <v>0</v>
      </c>
      <c r="BD493" s="12"/>
      <c r="BE493" s="10">
        <f>+Risultati!U492</f>
        <v>0</v>
      </c>
      <c r="BF493" s="12" t="str">
        <f t="shared" si="405"/>
        <v>0</v>
      </c>
      <c r="BG493" s="12"/>
      <c r="BH493" s="10">
        <f t="shared" si="413"/>
        <v>0</v>
      </c>
      <c r="BI493" s="12" t="str">
        <f t="shared" si="406"/>
        <v>0</v>
      </c>
      <c r="BK493" s="16">
        <f>IF(ISNUMBER(Risultati!X492/100),(Risultati!X492/100))</f>
        <v>0</v>
      </c>
      <c r="BL493" s="16">
        <f>IF(ISNUMBER(Risultati!Y492/100),(Risultati!Y492/100))</f>
        <v>0</v>
      </c>
      <c r="BM493" s="16">
        <f>IF(ISNUMBER(Risultati!Z492/100),(Risultati!Z492/100))</f>
        <v>0</v>
      </c>
      <c r="BN493" s="16">
        <f>IF(AND(Risultati!AY492&lt;0,calcoli!AP493&lt;0),-IF(ISNUMBER(Risultati!AA492/100),(Risultati!AA492/100)),IF(ISNUMBER(Risultati!AA492/100),(Risultati!AA492/100)))</f>
        <v>0</v>
      </c>
      <c r="BO493" s="16" t="str">
        <f t="shared" si="387"/>
        <v>0</v>
      </c>
      <c r="BP493" s="16" t="str">
        <f>IF(Risultati!AB492&gt;0,(AV493/Risultati!AB492),"0")</f>
        <v>0</v>
      </c>
      <c r="BQ493" s="16" t="str">
        <f>IF(Risultati!AG492&lt;&gt;0,(BH493/Risultati!AG492),"0")</f>
        <v>0</v>
      </c>
      <c r="BR493" s="16" t="str">
        <f t="shared" si="388"/>
        <v>0</v>
      </c>
      <c r="BS493" s="14" t="str">
        <f>IF(Risultati!AB492&gt;0,(Risultati!G492/Risultati!AB492),"0")</f>
        <v>0</v>
      </c>
      <c r="BT493" s="15" t="str">
        <f>IF(Risultati!AG492&lt;&gt;0,(Risultati!AB492/Risultati!AG492),"0")</f>
        <v>0</v>
      </c>
      <c r="BU493" s="23" t="str">
        <f>IF(AND(Risultati!G492&gt;0,(Risultati!AE492-Risultati!AF492)&gt;=0),((Risultati!AE492-Risultati!AF492)/Risultati!G492*360),"0")</f>
        <v>0</v>
      </c>
      <c r="BV493" s="21" t="str">
        <f>IF(OR(E493="abbreviato",Risultati!G492=0),"0",((Risultati!AC492+Risultati!AD492)/Risultati!G492*360))</f>
        <v>0</v>
      </c>
      <c r="BW493" s="21" t="str">
        <f>IF(OR(E493="abbreviato",Risultati!G492=0,SUM(Risultati!I492+Risultati!K492+Risultati!M492)=0),"0",(((Risultati!AH492+Risultati!AI492)/(Risultati!I492+Risultati!K492+Risultati!N492)*360)))</f>
        <v>0</v>
      </c>
      <c r="BX493" s="16" t="str">
        <f>IF(Risultati!AB492&gt;0,(+Risultati!AG492/Risultati!AB492),"0")</f>
        <v>0</v>
      </c>
      <c r="BY493" s="22" t="str">
        <f>IF(OR(E493="abbreviato",Risultati!G492=0),"0",(((Risultati!AK492-(Risultati!AL492+Risultati!AM492))/Risultati!G492)))</f>
        <v>0</v>
      </c>
      <c r="BZ493" s="16" t="str">
        <f>IF(Risultati!G492&gt;0,(Risultati!AJ492/Risultati!G492),"0")</f>
        <v>0</v>
      </c>
      <c r="CA493" s="8"/>
      <c r="CB493" s="9">
        <f>+Risultati!AP492</f>
        <v>0</v>
      </c>
      <c r="CC493" s="31" t="str">
        <f t="shared" si="414"/>
        <v>0</v>
      </c>
      <c r="CD493" s="9">
        <f>+Risultati!AQ492</f>
        <v>0</v>
      </c>
      <c r="CE493" s="31" t="str">
        <f t="shared" si="415"/>
        <v>0</v>
      </c>
      <c r="CF493" s="9">
        <f>+Risultati!AR492</f>
        <v>0</v>
      </c>
      <c r="CG493" s="31" t="str">
        <f t="shared" si="416"/>
        <v>0</v>
      </c>
      <c r="CH493" s="9">
        <f>+Risultati!AS492</f>
        <v>0</v>
      </c>
      <c r="CI493" s="31" t="str">
        <f t="shared" si="417"/>
        <v>0</v>
      </c>
      <c r="CJ493" s="9">
        <f t="shared" si="418"/>
        <v>0</v>
      </c>
      <c r="CK493" s="31" t="str">
        <f t="shared" si="419"/>
        <v>0</v>
      </c>
      <c r="CL493" s="10">
        <f>+Risultati!AE492+Risultati!AF492</f>
        <v>0</v>
      </c>
      <c r="CM493" s="31" t="str">
        <f t="shared" si="420"/>
        <v>0</v>
      </c>
      <c r="CN493" s="9">
        <f>+Risultati!AT492</f>
        <v>0</v>
      </c>
      <c r="CO493" s="31" t="str">
        <f t="shared" si="421"/>
        <v>0</v>
      </c>
      <c r="CP493" s="9">
        <f>+Risultati!AU492</f>
        <v>0</v>
      </c>
      <c r="CQ493" s="31" t="str">
        <f t="shared" si="422"/>
        <v>0</v>
      </c>
      <c r="CR493" s="9">
        <f>+Risultati!AL492</f>
        <v>0</v>
      </c>
      <c r="CS493" s="31" t="str">
        <f t="shared" si="423"/>
        <v>0</v>
      </c>
      <c r="CT493" s="9">
        <f t="shared" si="424"/>
        <v>0</v>
      </c>
      <c r="CU493" s="31" t="str">
        <f t="shared" si="425"/>
        <v>0</v>
      </c>
      <c r="CV493" s="9">
        <f>+Risultati!AX492</f>
        <v>0</v>
      </c>
      <c r="CW493" s="31" t="str">
        <f t="shared" si="426"/>
        <v>0</v>
      </c>
      <c r="CX493" s="9">
        <f t="shared" si="427"/>
        <v>0</v>
      </c>
      <c r="CY493" s="31" t="str">
        <f t="shared" si="428"/>
        <v>0</v>
      </c>
      <c r="CZ493" s="9">
        <f>+Risultati!AG492</f>
        <v>0</v>
      </c>
      <c r="DA493" s="31" t="str">
        <f t="shared" si="429"/>
        <v>0</v>
      </c>
      <c r="DB493" s="9">
        <f t="shared" si="430"/>
        <v>0</v>
      </c>
      <c r="DC493" s="31" t="str">
        <f t="shared" si="431"/>
        <v>0</v>
      </c>
      <c r="DD493" s="9">
        <f>+Risultati!AV492</f>
        <v>0</v>
      </c>
      <c r="DE493" s="31" t="str">
        <f t="shared" si="432"/>
        <v>0</v>
      </c>
      <c r="DF493" s="9">
        <f>+Risultati!AJ492</f>
        <v>0</v>
      </c>
      <c r="DG493" s="31" t="str">
        <f t="shared" si="433"/>
        <v>0</v>
      </c>
      <c r="DH493" s="9">
        <f t="shared" si="434"/>
        <v>0</v>
      </c>
      <c r="DI493" s="31" t="str">
        <f t="shared" si="435"/>
        <v>0</v>
      </c>
      <c r="DJ493" s="9">
        <f>+Risultati!AW492</f>
        <v>0</v>
      </c>
      <c r="DK493" s="31" t="str">
        <f t="shared" si="436"/>
        <v>0</v>
      </c>
      <c r="DL493" s="10">
        <f t="shared" si="407"/>
        <v>0</v>
      </c>
      <c r="DM493" s="31" t="str">
        <f t="shared" si="437"/>
        <v>0</v>
      </c>
      <c r="DO493" s="30"/>
      <c r="DP493" s="30"/>
    </row>
    <row r="494" spans="1:120" x14ac:dyDescent="0.2">
      <c r="A494" s="5"/>
      <c r="B494" s="6">
        <f>+Risultati!B493</f>
        <v>0</v>
      </c>
      <c r="C494" s="6">
        <f>+Risultati!C493</f>
        <v>0</v>
      </c>
      <c r="D494" s="26" t="str">
        <f>IF(YEAR(Risultati!D493)=1900,(MID(Risultati!$AP$1,29,4)),YEAR(Risultati!D493))</f>
        <v/>
      </c>
      <c r="E494" s="6">
        <f>+Risultati!E493</f>
        <v>0</v>
      </c>
      <c r="F494" s="8" t="e">
        <f>(LEFT(Risultati!AN493,2)&amp;"-")&amp;VLOOKUP((LEFT(Risultati!AN493,2)),ateco!$B$4:$C$93,2,FALSE)</f>
        <v>#N/A</v>
      </c>
      <c r="G494" s="8" t="str">
        <f>SUBSTITUTE((Risultati!AN493&amp;"-"&amp;Risultati!AO493),",",";")</f>
        <v>-</v>
      </c>
      <c r="I494" s="10">
        <f>+Risultati!G493</f>
        <v>0</v>
      </c>
      <c r="J494" s="11" t="str">
        <f t="shared" si="389"/>
        <v>0</v>
      </c>
      <c r="K494" s="12"/>
      <c r="L494" s="10">
        <f>+Risultati!G493+Risultati!H493</f>
        <v>0</v>
      </c>
      <c r="M494" s="11" t="str">
        <f t="shared" si="390"/>
        <v>0</v>
      </c>
      <c r="N494" s="12"/>
      <c r="O494" s="10">
        <f>+Risultati!I493+Risultati!J493</f>
        <v>0</v>
      </c>
      <c r="P494" s="11" t="str">
        <f t="shared" si="391"/>
        <v>0</v>
      </c>
      <c r="Q494" s="12"/>
      <c r="R494" s="13">
        <f t="shared" si="408"/>
        <v>0</v>
      </c>
      <c r="S494" s="11" t="str">
        <f t="shared" si="392"/>
        <v>0</v>
      </c>
      <c r="T494" s="12"/>
      <c r="U494" s="10">
        <f>+Risultati!F493-(Risultati!G493+Risultati!H493)</f>
        <v>0</v>
      </c>
      <c r="V494" s="12" t="str">
        <f t="shared" si="393"/>
        <v>0</v>
      </c>
      <c r="W494" s="12"/>
      <c r="X494" s="10">
        <f t="shared" si="409"/>
        <v>0</v>
      </c>
      <c r="Y494" s="12" t="str">
        <f t="shared" si="394"/>
        <v>0</v>
      </c>
      <c r="Z494" s="12"/>
      <c r="AA494" s="10">
        <f>+Risultati!K493</f>
        <v>0</v>
      </c>
      <c r="AB494" s="12" t="str">
        <f t="shared" si="395"/>
        <v>0</v>
      </c>
      <c r="AC494" s="12"/>
      <c r="AD494" s="10">
        <f>+Risultati!L493</f>
        <v>0</v>
      </c>
      <c r="AE494" s="12" t="str">
        <f t="shared" si="396"/>
        <v>0</v>
      </c>
      <c r="AF494" s="12"/>
      <c r="AG494" s="10">
        <f>+Risultati!M493+Risultati!P493+Risultati!Q493</f>
        <v>0</v>
      </c>
      <c r="AH494" s="12" t="str">
        <f t="shared" si="397"/>
        <v>0</v>
      </c>
      <c r="AI494" s="12"/>
      <c r="AJ494" s="13">
        <f t="shared" si="410"/>
        <v>0</v>
      </c>
      <c r="AK494" s="11" t="str">
        <f t="shared" si="398"/>
        <v>0</v>
      </c>
      <c r="AL494" s="12"/>
      <c r="AM494" s="10">
        <f>+Risultati!N493</f>
        <v>0</v>
      </c>
      <c r="AN494" s="12" t="str">
        <f t="shared" si="399"/>
        <v>0</v>
      </c>
      <c r="AO494" s="12"/>
      <c r="AP494" s="10">
        <f t="shared" si="411"/>
        <v>0</v>
      </c>
      <c r="AQ494" s="41" t="str">
        <f t="shared" si="400"/>
        <v>0</v>
      </c>
      <c r="AR494" s="12"/>
      <c r="AS494" s="10">
        <f>+Risultati!O493</f>
        <v>0</v>
      </c>
      <c r="AT494" s="12" t="str">
        <f t="shared" si="401"/>
        <v>0</v>
      </c>
      <c r="AU494" s="12"/>
      <c r="AV494" s="10">
        <f t="shared" si="412"/>
        <v>0</v>
      </c>
      <c r="AW494" s="12" t="str">
        <f t="shared" si="402"/>
        <v>0</v>
      </c>
      <c r="AX494" s="12"/>
      <c r="AY494" s="10">
        <f>+Risultati!R493+Risultati!S493</f>
        <v>0</v>
      </c>
      <c r="AZ494" s="12" t="str">
        <f t="shared" si="403"/>
        <v>0</v>
      </c>
      <c r="BA494" s="12"/>
      <c r="BB494" s="10">
        <f>+Risultati!T493</f>
        <v>0</v>
      </c>
      <c r="BC494" s="12" t="str">
        <f t="shared" si="404"/>
        <v>0</v>
      </c>
      <c r="BD494" s="12"/>
      <c r="BE494" s="10">
        <f>+Risultati!U493</f>
        <v>0</v>
      </c>
      <c r="BF494" s="12" t="str">
        <f t="shared" si="405"/>
        <v>0</v>
      </c>
      <c r="BG494" s="12"/>
      <c r="BH494" s="10">
        <f t="shared" si="413"/>
        <v>0</v>
      </c>
      <c r="BI494" s="12" t="str">
        <f t="shared" si="406"/>
        <v>0</v>
      </c>
      <c r="BK494" s="16">
        <f>IF(ISNUMBER(Risultati!X493/100),(Risultati!X493/100))</f>
        <v>0</v>
      </c>
      <c r="BL494" s="16">
        <f>IF(ISNUMBER(Risultati!Y493/100),(Risultati!Y493/100))</f>
        <v>0</v>
      </c>
      <c r="BM494" s="16">
        <f>IF(ISNUMBER(Risultati!Z493/100),(Risultati!Z493/100))</f>
        <v>0</v>
      </c>
      <c r="BN494" s="16">
        <f>IF(AND(Risultati!AY493&lt;0,calcoli!AP494&lt;0),-IF(ISNUMBER(Risultati!AA493/100),(Risultati!AA493/100)),IF(ISNUMBER(Risultati!AA493/100),(Risultati!AA493/100)))</f>
        <v>0</v>
      </c>
      <c r="BO494" s="16" t="str">
        <f t="shared" si="387"/>
        <v>0</v>
      </c>
      <c r="BP494" s="16" t="str">
        <f>IF(Risultati!AB493&gt;0,(AV494/Risultati!AB493),"0")</f>
        <v>0</v>
      </c>
      <c r="BQ494" s="16" t="str">
        <f>IF(Risultati!AG493&lt;&gt;0,(BH494/Risultati!AG493),"0")</f>
        <v>0</v>
      </c>
      <c r="BR494" s="16" t="str">
        <f t="shared" si="388"/>
        <v>0</v>
      </c>
      <c r="BS494" s="14" t="str">
        <f>IF(Risultati!AB493&gt;0,(Risultati!G493/Risultati!AB493),"0")</f>
        <v>0</v>
      </c>
      <c r="BT494" s="15" t="str">
        <f>IF(Risultati!AG493&lt;&gt;0,(Risultati!AB493/Risultati!AG493),"0")</f>
        <v>0</v>
      </c>
      <c r="BU494" s="23" t="str">
        <f>IF(AND(Risultati!G493&gt;0,(Risultati!AE493-Risultati!AF493)&gt;=0),((Risultati!AE493-Risultati!AF493)/Risultati!G493*360),"0")</f>
        <v>0</v>
      </c>
      <c r="BV494" s="21" t="str">
        <f>IF(OR(E494="abbreviato",Risultati!G493=0),"0",((Risultati!AC493+Risultati!AD493)/Risultati!G493*360))</f>
        <v>0</v>
      </c>
      <c r="BW494" s="21" t="str">
        <f>IF(OR(E494="abbreviato",Risultati!G493=0,SUM(Risultati!I493+Risultati!K493+Risultati!M493)=0),"0",(((Risultati!AH493+Risultati!AI493)/(Risultati!I493+Risultati!K493+Risultati!N493)*360)))</f>
        <v>0</v>
      </c>
      <c r="BX494" s="16" t="str">
        <f>IF(Risultati!AB493&gt;0,(+Risultati!AG493/Risultati!AB493),"0")</f>
        <v>0</v>
      </c>
      <c r="BY494" s="22" t="str">
        <f>IF(OR(E494="abbreviato",Risultati!G493=0),"0",(((Risultati!AK493-(Risultati!AL493+Risultati!AM493))/Risultati!G493)))</f>
        <v>0</v>
      </c>
      <c r="BZ494" s="16" t="str">
        <f>IF(Risultati!G493&gt;0,(Risultati!AJ493/Risultati!G493),"0")</f>
        <v>0</v>
      </c>
      <c r="CA494" s="8"/>
      <c r="CB494" s="9">
        <f>+Risultati!AP493</f>
        <v>0</v>
      </c>
      <c r="CC494" s="31" t="str">
        <f t="shared" si="414"/>
        <v>0</v>
      </c>
      <c r="CD494" s="9">
        <f>+Risultati!AQ493</f>
        <v>0</v>
      </c>
      <c r="CE494" s="31" t="str">
        <f t="shared" si="415"/>
        <v>0</v>
      </c>
      <c r="CF494" s="9">
        <f>+Risultati!AR493</f>
        <v>0</v>
      </c>
      <c r="CG494" s="31" t="str">
        <f t="shared" si="416"/>
        <v>0</v>
      </c>
      <c r="CH494" s="9">
        <f>+Risultati!AS493</f>
        <v>0</v>
      </c>
      <c r="CI494" s="31" t="str">
        <f t="shared" si="417"/>
        <v>0</v>
      </c>
      <c r="CJ494" s="9">
        <f t="shared" si="418"/>
        <v>0</v>
      </c>
      <c r="CK494" s="31" t="str">
        <f t="shared" si="419"/>
        <v>0</v>
      </c>
      <c r="CL494" s="10">
        <f>+Risultati!AE493+Risultati!AF493</f>
        <v>0</v>
      </c>
      <c r="CM494" s="31" t="str">
        <f t="shared" si="420"/>
        <v>0</v>
      </c>
      <c r="CN494" s="9">
        <f>+Risultati!AT493</f>
        <v>0</v>
      </c>
      <c r="CO494" s="31" t="str">
        <f t="shared" si="421"/>
        <v>0</v>
      </c>
      <c r="CP494" s="9">
        <f>+Risultati!AU493</f>
        <v>0</v>
      </c>
      <c r="CQ494" s="31" t="str">
        <f t="shared" si="422"/>
        <v>0</v>
      </c>
      <c r="CR494" s="9">
        <f>+Risultati!AL493</f>
        <v>0</v>
      </c>
      <c r="CS494" s="31" t="str">
        <f t="shared" si="423"/>
        <v>0</v>
      </c>
      <c r="CT494" s="9">
        <f t="shared" si="424"/>
        <v>0</v>
      </c>
      <c r="CU494" s="31" t="str">
        <f t="shared" si="425"/>
        <v>0</v>
      </c>
      <c r="CV494" s="9">
        <f>+Risultati!AX493</f>
        <v>0</v>
      </c>
      <c r="CW494" s="31" t="str">
        <f t="shared" si="426"/>
        <v>0</v>
      </c>
      <c r="CX494" s="9">
        <f t="shared" si="427"/>
        <v>0</v>
      </c>
      <c r="CY494" s="31" t="str">
        <f t="shared" si="428"/>
        <v>0</v>
      </c>
      <c r="CZ494" s="9">
        <f>+Risultati!AG493</f>
        <v>0</v>
      </c>
      <c r="DA494" s="31" t="str">
        <f t="shared" si="429"/>
        <v>0</v>
      </c>
      <c r="DB494" s="9">
        <f t="shared" si="430"/>
        <v>0</v>
      </c>
      <c r="DC494" s="31" t="str">
        <f t="shared" si="431"/>
        <v>0</v>
      </c>
      <c r="DD494" s="9">
        <f>+Risultati!AV493</f>
        <v>0</v>
      </c>
      <c r="DE494" s="31" t="str">
        <f t="shared" si="432"/>
        <v>0</v>
      </c>
      <c r="DF494" s="9">
        <f>+Risultati!AJ493</f>
        <v>0</v>
      </c>
      <c r="DG494" s="31" t="str">
        <f t="shared" si="433"/>
        <v>0</v>
      </c>
      <c r="DH494" s="9">
        <f t="shared" si="434"/>
        <v>0</v>
      </c>
      <c r="DI494" s="31" t="str">
        <f t="shared" si="435"/>
        <v>0</v>
      </c>
      <c r="DJ494" s="9">
        <f>+Risultati!AW493</f>
        <v>0</v>
      </c>
      <c r="DK494" s="31" t="str">
        <f t="shared" si="436"/>
        <v>0</v>
      </c>
      <c r="DL494" s="10">
        <f t="shared" si="407"/>
        <v>0</v>
      </c>
      <c r="DM494" s="31" t="str">
        <f t="shared" si="437"/>
        <v>0</v>
      </c>
      <c r="DO494" s="30"/>
      <c r="DP494" s="30"/>
    </row>
    <row r="495" spans="1:120" x14ac:dyDescent="0.2">
      <c r="A495" s="5"/>
      <c r="B495" s="6">
        <f>+Risultati!B494</f>
        <v>0</v>
      </c>
      <c r="C495" s="6">
        <f>+Risultati!C494</f>
        <v>0</v>
      </c>
      <c r="D495" s="26" t="str">
        <f>IF(YEAR(Risultati!D494)=1900,(MID(Risultati!$AP$1,29,4)),YEAR(Risultati!D494))</f>
        <v/>
      </c>
      <c r="E495" s="6">
        <f>+Risultati!E494</f>
        <v>0</v>
      </c>
      <c r="F495" s="8" t="e">
        <f>(LEFT(Risultati!AN494,2)&amp;"-")&amp;VLOOKUP((LEFT(Risultati!AN494,2)),ateco!$B$4:$C$93,2,FALSE)</f>
        <v>#N/A</v>
      </c>
      <c r="G495" s="8" t="str">
        <f>SUBSTITUTE((Risultati!AN494&amp;"-"&amp;Risultati!AO494),",",";")</f>
        <v>-</v>
      </c>
      <c r="I495" s="10">
        <f>+Risultati!G494</f>
        <v>0</v>
      </c>
      <c r="J495" s="11" t="str">
        <f t="shared" si="389"/>
        <v>0</v>
      </c>
      <c r="K495" s="12"/>
      <c r="L495" s="10">
        <f>+Risultati!G494+Risultati!H494</f>
        <v>0</v>
      </c>
      <c r="M495" s="11" t="str">
        <f t="shared" si="390"/>
        <v>0</v>
      </c>
      <c r="N495" s="12"/>
      <c r="O495" s="10">
        <f>+Risultati!I494+Risultati!J494</f>
        <v>0</v>
      </c>
      <c r="P495" s="11" t="str">
        <f t="shared" si="391"/>
        <v>0</v>
      </c>
      <c r="Q495" s="12"/>
      <c r="R495" s="13">
        <f t="shared" si="408"/>
        <v>0</v>
      </c>
      <c r="S495" s="11" t="str">
        <f t="shared" si="392"/>
        <v>0</v>
      </c>
      <c r="T495" s="12"/>
      <c r="U495" s="10">
        <f>+Risultati!F494-(Risultati!G494+Risultati!H494)</f>
        <v>0</v>
      </c>
      <c r="V495" s="12" t="str">
        <f t="shared" si="393"/>
        <v>0</v>
      </c>
      <c r="W495" s="12"/>
      <c r="X495" s="10">
        <f t="shared" si="409"/>
        <v>0</v>
      </c>
      <c r="Y495" s="12" t="str">
        <f t="shared" si="394"/>
        <v>0</v>
      </c>
      <c r="Z495" s="12"/>
      <c r="AA495" s="10">
        <f>+Risultati!K494</f>
        <v>0</v>
      </c>
      <c r="AB495" s="12" t="str">
        <f t="shared" si="395"/>
        <v>0</v>
      </c>
      <c r="AC495" s="12"/>
      <c r="AD495" s="10">
        <f>+Risultati!L494</f>
        <v>0</v>
      </c>
      <c r="AE495" s="12" t="str">
        <f t="shared" si="396"/>
        <v>0</v>
      </c>
      <c r="AF495" s="12"/>
      <c r="AG495" s="10">
        <f>+Risultati!M494+Risultati!P494+Risultati!Q494</f>
        <v>0</v>
      </c>
      <c r="AH495" s="12" t="str">
        <f t="shared" si="397"/>
        <v>0</v>
      </c>
      <c r="AI495" s="12"/>
      <c r="AJ495" s="13">
        <f t="shared" si="410"/>
        <v>0</v>
      </c>
      <c r="AK495" s="11" t="str">
        <f t="shared" si="398"/>
        <v>0</v>
      </c>
      <c r="AL495" s="12"/>
      <c r="AM495" s="10">
        <f>+Risultati!N494</f>
        <v>0</v>
      </c>
      <c r="AN495" s="12" t="str">
        <f t="shared" si="399"/>
        <v>0</v>
      </c>
      <c r="AO495" s="12"/>
      <c r="AP495" s="10">
        <f t="shared" si="411"/>
        <v>0</v>
      </c>
      <c r="AQ495" s="41" t="str">
        <f t="shared" si="400"/>
        <v>0</v>
      </c>
      <c r="AR495" s="12"/>
      <c r="AS495" s="10">
        <f>+Risultati!O494</f>
        <v>0</v>
      </c>
      <c r="AT495" s="12" t="str">
        <f t="shared" si="401"/>
        <v>0</v>
      </c>
      <c r="AU495" s="12"/>
      <c r="AV495" s="10">
        <f t="shared" si="412"/>
        <v>0</v>
      </c>
      <c r="AW495" s="12" t="str">
        <f t="shared" si="402"/>
        <v>0</v>
      </c>
      <c r="AX495" s="12"/>
      <c r="AY495" s="10">
        <f>+Risultati!R494+Risultati!S494</f>
        <v>0</v>
      </c>
      <c r="AZ495" s="12" t="str">
        <f t="shared" si="403"/>
        <v>0</v>
      </c>
      <c r="BA495" s="12"/>
      <c r="BB495" s="10">
        <f>+Risultati!T494</f>
        <v>0</v>
      </c>
      <c r="BC495" s="12" t="str">
        <f t="shared" si="404"/>
        <v>0</v>
      </c>
      <c r="BD495" s="12"/>
      <c r="BE495" s="10">
        <f>+Risultati!U494</f>
        <v>0</v>
      </c>
      <c r="BF495" s="12" t="str">
        <f t="shared" si="405"/>
        <v>0</v>
      </c>
      <c r="BG495" s="12"/>
      <c r="BH495" s="10">
        <f t="shared" si="413"/>
        <v>0</v>
      </c>
      <c r="BI495" s="12" t="str">
        <f t="shared" si="406"/>
        <v>0</v>
      </c>
      <c r="BK495" s="16">
        <f>IF(ISNUMBER(Risultati!X494/100),(Risultati!X494/100))</f>
        <v>0</v>
      </c>
      <c r="BL495" s="16">
        <f>IF(ISNUMBER(Risultati!Y494/100),(Risultati!Y494/100))</f>
        <v>0</v>
      </c>
      <c r="BM495" s="16">
        <f>IF(ISNUMBER(Risultati!Z494/100),(Risultati!Z494/100))</f>
        <v>0</v>
      </c>
      <c r="BN495" s="16">
        <f>IF(AND(Risultati!AY494&lt;0,calcoli!AP495&lt;0),-IF(ISNUMBER(Risultati!AA494/100),(Risultati!AA494/100)),IF(ISNUMBER(Risultati!AA494/100),(Risultati!AA494/100)))</f>
        <v>0</v>
      </c>
      <c r="BO495" s="16" t="str">
        <f t="shared" si="387"/>
        <v>0</v>
      </c>
      <c r="BP495" s="16" t="str">
        <f>IF(Risultati!AB494&gt;0,(AV495/Risultati!AB494),"0")</f>
        <v>0</v>
      </c>
      <c r="BQ495" s="16" t="str">
        <f>IF(Risultati!AG494&lt;&gt;0,(BH495/Risultati!AG494),"0")</f>
        <v>0</v>
      </c>
      <c r="BR495" s="16" t="str">
        <f t="shared" si="388"/>
        <v>0</v>
      </c>
      <c r="BS495" s="14" t="str">
        <f>IF(Risultati!AB494&gt;0,(Risultati!G494/Risultati!AB494),"0")</f>
        <v>0</v>
      </c>
      <c r="BT495" s="15" t="str">
        <f>IF(Risultati!AG494&lt;&gt;0,(Risultati!AB494/Risultati!AG494),"0")</f>
        <v>0</v>
      </c>
      <c r="BU495" s="23" t="str">
        <f>IF(AND(Risultati!G494&gt;0,(Risultati!AE494-Risultati!AF494)&gt;=0),((Risultati!AE494-Risultati!AF494)/Risultati!G494*360),"0")</f>
        <v>0</v>
      </c>
      <c r="BV495" s="21" t="str">
        <f>IF(OR(E495="abbreviato",Risultati!G494=0),"0",((Risultati!AC494+Risultati!AD494)/Risultati!G494*360))</f>
        <v>0</v>
      </c>
      <c r="BW495" s="21" t="str">
        <f>IF(OR(E495="abbreviato",Risultati!G494=0,SUM(Risultati!I494+Risultati!K494+Risultati!M494)=0),"0",(((Risultati!AH494+Risultati!AI494)/(Risultati!I494+Risultati!K494+Risultati!N494)*360)))</f>
        <v>0</v>
      </c>
      <c r="BX495" s="16" t="str">
        <f>IF(Risultati!AB494&gt;0,(+Risultati!AG494/Risultati!AB494),"0")</f>
        <v>0</v>
      </c>
      <c r="BY495" s="22" t="str">
        <f>IF(OR(E495="abbreviato",Risultati!G494=0),"0",(((Risultati!AK494-(Risultati!AL494+Risultati!AM494))/Risultati!G494)))</f>
        <v>0</v>
      </c>
      <c r="BZ495" s="16" t="str">
        <f>IF(Risultati!G494&gt;0,(Risultati!AJ494/Risultati!G494),"0")</f>
        <v>0</v>
      </c>
      <c r="CA495" s="8"/>
      <c r="CB495" s="9">
        <f>+Risultati!AP494</f>
        <v>0</v>
      </c>
      <c r="CC495" s="31" t="str">
        <f t="shared" si="414"/>
        <v>0</v>
      </c>
      <c r="CD495" s="9">
        <f>+Risultati!AQ494</f>
        <v>0</v>
      </c>
      <c r="CE495" s="31" t="str">
        <f t="shared" si="415"/>
        <v>0</v>
      </c>
      <c r="CF495" s="9">
        <f>+Risultati!AR494</f>
        <v>0</v>
      </c>
      <c r="CG495" s="31" t="str">
        <f t="shared" si="416"/>
        <v>0</v>
      </c>
      <c r="CH495" s="9">
        <f>+Risultati!AS494</f>
        <v>0</v>
      </c>
      <c r="CI495" s="31" t="str">
        <f t="shared" si="417"/>
        <v>0</v>
      </c>
      <c r="CJ495" s="9">
        <f t="shared" si="418"/>
        <v>0</v>
      </c>
      <c r="CK495" s="31" t="str">
        <f t="shared" si="419"/>
        <v>0</v>
      </c>
      <c r="CL495" s="10">
        <f>+Risultati!AE494+Risultati!AF494</f>
        <v>0</v>
      </c>
      <c r="CM495" s="31" t="str">
        <f t="shared" si="420"/>
        <v>0</v>
      </c>
      <c r="CN495" s="9">
        <f>+Risultati!AT494</f>
        <v>0</v>
      </c>
      <c r="CO495" s="31" t="str">
        <f t="shared" si="421"/>
        <v>0</v>
      </c>
      <c r="CP495" s="9">
        <f>+Risultati!AU494</f>
        <v>0</v>
      </c>
      <c r="CQ495" s="31" t="str">
        <f t="shared" si="422"/>
        <v>0</v>
      </c>
      <c r="CR495" s="9">
        <f>+Risultati!AL494</f>
        <v>0</v>
      </c>
      <c r="CS495" s="31" t="str">
        <f t="shared" si="423"/>
        <v>0</v>
      </c>
      <c r="CT495" s="9">
        <f t="shared" si="424"/>
        <v>0</v>
      </c>
      <c r="CU495" s="31" t="str">
        <f t="shared" si="425"/>
        <v>0</v>
      </c>
      <c r="CV495" s="9">
        <f>+Risultati!AX494</f>
        <v>0</v>
      </c>
      <c r="CW495" s="31" t="str">
        <f t="shared" si="426"/>
        <v>0</v>
      </c>
      <c r="CX495" s="9">
        <f t="shared" si="427"/>
        <v>0</v>
      </c>
      <c r="CY495" s="31" t="str">
        <f t="shared" si="428"/>
        <v>0</v>
      </c>
      <c r="CZ495" s="9">
        <f>+Risultati!AG494</f>
        <v>0</v>
      </c>
      <c r="DA495" s="31" t="str">
        <f t="shared" si="429"/>
        <v>0</v>
      </c>
      <c r="DB495" s="9">
        <f t="shared" si="430"/>
        <v>0</v>
      </c>
      <c r="DC495" s="31" t="str">
        <f t="shared" si="431"/>
        <v>0</v>
      </c>
      <c r="DD495" s="9">
        <f>+Risultati!AV494</f>
        <v>0</v>
      </c>
      <c r="DE495" s="31" t="str">
        <f t="shared" si="432"/>
        <v>0</v>
      </c>
      <c r="DF495" s="9">
        <f>+Risultati!AJ494</f>
        <v>0</v>
      </c>
      <c r="DG495" s="31" t="str">
        <f t="shared" si="433"/>
        <v>0</v>
      </c>
      <c r="DH495" s="9">
        <f t="shared" si="434"/>
        <v>0</v>
      </c>
      <c r="DI495" s="31" t="str">
        <f t="shared" si="435"/>
        <v>0</v>
      </c>
      <c r="DJ495" s="9">
        <f>+Risultati!AW494</f>
        <v>0</v>
      </c>
      <c r="DK495" s="31" t="str">
        <f t="shared" si="436"/>
        <v>0</v>
      </c>
      <c r="DL495" s="10">
        <f t="shared" si="407"/>
        <v>0</v>
      </c>
      <c r="DM495" s="31" t="str">
        <f t="shared" si="437"/>
        <v>0</v>
      </c>
      <c r="DO495" s="30"/>
      <c r="DP495" s="30"/>
    </row>
    <row r="496" spans="1:120" x14ac:dyDescent="0.2">
      <c r="A496" s="5"/>
      <c r="B496" s="6">
        <f>+Risultati!B495</f>
        <v>0</v>
      </c>
      <c r="C496" s="6">
        <f>+Risultati!C495</f>
        <v>0</v>
      </c>
      <c r="D496" s="26" t="str">
        <f>IF(YEAR(Risultati!D495)=1900,(MID(Risultati!$AP$1,29,4)),YEAR(Risultati!D495))</f>
        <v/>
      </c>
      <c r="E496" s="6">
        <f>+Risultati!E495</f>
        <v>0</v>
      </c>
      <c r="F496" s="8" t="e">
        <f>(LEFT(Risultati!AN495,2)&amp;"-")&amp;VLOOKUP((LEFT(Risultati!AN495,2)),ateco!$B$4:$C$93,2,FALSE)</f>
        <v>#N/A</v>
      </c>
      <c r="G496" s="8" t="str">
        <f>SUBSTITUTE((Risultati!AN495&amp;"-"&amp;Risultati!AO495),",",";")</f>
        <v>-</v>
      </c>
      <c r="I496" s="10">
        <f>+Risultati!G495</f>
        <v>0</v>
      </c>
      <c r="J496" s="11" t="str">
        <f t="shared" si="389"/>
        <v>0</v>
      </c>
      <c r="K496" s="12"/>
      <c r="L496" s="10">
        <f>+Risultati!G495+Risultati!H495</f>
        <v>0</v>
      </c>
      <c r="M496" s="11" t="str">
        <f t="shared" si="390"/>
        <v>0</v>
      </c>
      <c r="N496" s="12"/>
      <c r="O496" s="10">
        <f>+Risultati!I495+Risultati!J495</f>
        <v>0</v>
      </c>
      <c r="P496" s="11" t="str">
        <f t="shared" si="391"/>
        <v>0</v>
      </c>
      <c r="Q496" s="12"/>
      <c r="R496" s="13">
        <f t="shared" si="408"/>
        <v>0</v>
      </c>
      <c r="S496" s="11" t="str">
        <f t="shared" si="392"/>
        <v>0</v>
      </c>
      <c r="T496" s="12"/>
      <c r="U496" s="10">
        <f>+Risultati!F495-(Risultati!G495+Risultati!H495)</f>
        <v>0</v>
      </c>
      <c r="V496" s="12" t="str">
        <f t="shared" si="393"/>
        <v>0</v>
      </c>
      <c r="W496" s="12"/>
      <c r="X496" s="10">
        <f t="shared" si="409"/>
        <v>0</v>
      </c>
      <c r="Y496" s="12" t="str">
        <f t="shared" si="394"/>
        <v>0</v>
      </c>
      <c r="Z496" s="12"/>
      <c r="AA496" s="10">
        <f>+Risultati!K495</f>
        <v>0</v>
      </c>
      <c r="AB496" s="12" t="str">
        <f t="shared" si="395"/>
        <v>0</v>
      </c>
      <c r="AC496" s="12"/>
      <c r="AD496" s="10">
        <f>+Risultati!L495</f>
        <v>0</v>
      </c>
      <c r="AE496" s="12" t="str">
        <f t="shared" si="396"/>
        <v>0</v>
      </c>
      <c r="AF496" s="12"/>
      <c r="AG496" s="10">
        <f>+Risultati!M495+Risultati!P495+Risultati!Q495</f>
        <v>0</v>
      </c>
      <c r="AH496" s="12" t="str">
        <f t="shared" si="397"/>
        <v>0</v>
      </c>
      <c r="AI496" s="12"/>
      <c r="AJ496" s="13">
        <f t="shared" si="410"/>
        <v>0</v>
      </c>
      <c r="AK496" s="11" t="str">
        <f t="shared" si="398"/>
        <v>0</v>
      </c>
      <c r="AL496" s="12"/>
      <c r="AM496" s="10">
        <f>+Risultati!N495</f>
        <v>0</v>
      </c>
      <c r="AN496" s="12" t="str">
        <f t="shared" si="399"/>
        <v>0</v>
      </c>
      <c r="AO496" s="12"/>
      <c r="AP496" s="10">
        <f t="shared" si="411"/>
        <v>0</v>
      </c>
      <c r="AQ496" s="41" t="str">
        <f t="shared" si="400"/>
        <v>0</v>
      </c>
      <c r="AR496" s="12"/>
      <c r="AS496" s="10">
        <f>+Risultati!O495</f>
        <v>0</v>
      </c>
      <c r="AT496" s="12" t="str">
        <f t="shared" si="401"/>
        <v>0</v>
      </c>
      <c r="AU496" s="12"/>
      <c r="AV496" s="10">
        <f t="shared" si="412"/>
        <v>0</v>
      </c>
      <c r="AW496" s="12" t="str">
        <f t="shared" si="402"/>
        <v>0</v>
      </c>
      <c r="AX496" s="12"/>
      <c r="AY496" s="10">
        <f>+Risultati!R495+Risultati!S495</f>
        <v>0</v>
      </c>
      <c r="AZ496" s="12" t="str">
        <f t="shared" si="403"/>
        <v>0</v>
      </c>
      <c r="BA496" s="12"/>
      <c r="BB496" s="10">
        <f>+Risultati!T495</f>
        <v>0</v>
      </c>
      <c r="BC496" s="12" t="str">
        <f t="shared" si="404"/>
        <v>0</v>
      </c>
      <c r="BD496" s="12"/>
      <c r="BE496" s="10">
        <f>+Risultati!U495</f>
        <v>0</v>
      </c>
      <c r="BF496" s="12" t="str">
        <f t="shared" si="405"/>
        <v>0</v>
      </c>
      <c r="BG496" s="12"/>
      <c r="BH496" s="10">
        <f t="shared" si="413"/>
        <v>0</v>
      </c>
      <c r="BI496" s="12" t="str">
        <f t="shared" si="406"/>
        <v>0</v>
      </c>
      <c r="BK496" s="16">
        <f>IF(ISNUMBER(Risultati!X495/100),(Risultati!X495/100))</f>
        <v>0</v>
      </c>
      <c r="BL496" s="16">
        <f>IF(ISNUMBER(Risultati!Y495/100),(Risultati!Y495/100))</f>
        <v>0</v>
      </c>
      <c r="BM496" s="16">
        <f>IF(ISNUMBER(Risultati!Z495/100),(Risultati!Z495/100))</f>
        <v>0</v>
      </c>
      <c r="BN496" s="16">
        <f>IF(AND(Risultati!AY495&lt;0,calcoli!AP496&lt;0),-IF(ISNUMBER(Risultati!AA495/100),(Risultati!AA495/100)),IF(ISNUMBER(Risultati!AA495/100),(Risultati!AA495/100)))</f>
        <v>0</v>
      </c>
      <c r="BO496" s="16" t="str">
        <f t="shared" si="387"/>
        <v>0</v>
      </c>
      <c r="BP496" s="16" t="str">
        <f>IF(Risultati!AB495&gt;0,(AV496/Risultati!AB495),"0")</f>
        <v>0</v>
      </c>
      <c r="BQ496" s="16" t="str">
        <f>IF(Risultati!AG495&lt;&gt;0,(BH496/Risultati!AG495),"0")</f>
        <v>0</v>
      </c>
      <c r="BR496" s="16" t="str">
        <f t="shared" si="388"/>
        <v>0</v>
      </c>
      <c r="BS496" s="14" t="str">
        <f>IF(Risultati!AB495&gt;0,(Risultati!G495/Risultati!AB495),"0")</f>
        <v>0</v>
      </c>
      <c r="BT496" s="15" t="str">
        <f>IF(Risultati!AG495&lt;&gt;0,(Risultati!AB495/Risultati!AG495),"0")</f>
        <v>0</v>
      </c>
      <c r="BU496" s="23" t="str">
        <f>IF(AND(Risultati!G495&gt;0,(Risultati!AE495-Risultati!AF495)&gt;=0),((Risultati!AE495-Risultati!AF495)/Risultati!G495*360),"0")</f>
        <v>0</v>
      </c>
      <c r="BV496" s="21" t="str">
        <f>IF(OR(E496="abbreviato",Risultati!G495=0),"0",((Risultati!AC495+Risultati!AD495)/Risultati!G495*360))</f>
        <v>0</v>
      </c>
      <c r="BW496" s="21" t="str">
        <f>IF(OR(E496="abbreviato",Risultati!G495=0,SUM(Risultati!I495+Risultati!K495+Risultati!M495)=0),"0",(((Risultati!AH495+Risultati!AI495)/(Risultati!I495+Risultati!K495+Risultati!N495)*360)))</f>
        <v>0</v>
      </c>
      <c r="BX496" s="16" t="str">
        <f>IF(Risultati!AB495&gt;0,(+Risultati!AG495/Risultati!AB495),"0")</f>
        <v>0</v>
      </c>
      <c r="BY496" s="22" t="str">
        <f>IF(OR(E496="abbreviato",Risultati!G495=0),"0",(((Risultati!AK495-(Risultati!AL495+Risultati!AM495))/Risultati!G495)))</f>
        <v>0</v>
      </c>
      <c r="BZ496" s="16" t="str">
        <f>IF(Risultati!G495&gt;0,(Risultati!AJ495/Risultati!G495),"0")</f>
        <v>0</v>
      </c>
      <c r="CA496" s="8"/>
      <c r="CB496" s="9">
        <f>+Risultati!AP495</f>
        <v>0</v>
      </c>
      <c r="CC496" s="31" t="str">
        <f t="shared" si="414"/>
        <v>0</v>
      </c>
      <c r="CD496" s="9">
        <f>+Risultati!AQ495</f>
        <v>0</v>
      </c>
      <c r="CE496" s="31" t="str">
        <f t="shared" si="415"/>
        <v>0</v>
      </c>
      <c r="CF496" s="9">
        <f>+Risultati!AR495</f>
        <v>0</v>
      </c>
      <c r="CG496" s="31" t="str">
        <f t="shared" si="416"/>
        <v>0</v>
      </c>
      <c r="CH496" s="9">
        <f>+Risultati!AS495</f>
        <v>0</v>
      </c>
      <c r="CI496" s="31" t="str">
        <f t="shared" si="417"/>
        <v>0</v>
      </c>
      <c r="CJ496" s="9">
        <f t="shared" si="418"/>
        <v>0</v>
      </c>
      <c r="CK496" s="31" t="str">
        <f t="shared" si="419"/>
        <v>0</v>
      </c>
      <c r="CL496" s="10">
        <f>+Risultati!AE495+Risultati!AF495</f>
        <v>0</v>
      </c>
      <c r="CM496" s="31" t="str">
        <f t="shared" si="420"/>
        <v>0</v>
      </c>
      <c r="CN496" s="9">
        <f>+Risultati!AT495</f>
        <v>0</v>
      </c>
      <c r="CO496" s="31" t="str">
        <f t="shared" si="421"/>
        <v>0</v>
      </c>
      <c r="CP496" s="9">
        <f>+Risultati!AU495</f>
        <v>0</v>
      </c>
      <c r="CQ496" s="31" t="str">
        <f t="shared" si="422"/>
        <v>0</v>
      </c>
      <c r="CR496" s="9">
        <f>+Risultati!AL495</f>
        <v>0</v>
      </c>
      <c r="CS496" s="31" t="str">
        <f t="shared" si="423"/>
        <v>0</v>
      </c>
      <c r="CT496" s="9">
        <f t="shared" si="424"/>
        <v>0</v>
      </c>
      <c r="CU496" s="31" t="str">
        <f t="shared" si="425"/>
        <v>0</v>
      </c>
      <c r="CV496" s="9">
        <f>+Risultati!AX495</f>
        <v>0</v>
      </c>
      <c r="CW496" s="31" t="str">
        <f t="shared" si="426"/>
        <v>0</v>
      </c>
      <c r="CX496" s="9">
        <f t="shared" si="427"/>
        <v>0</v>
      </c>
      <c r="CY496" s="31" t="str">
        <f t="shared" si="428"/>
        <v>0</v>
      </c>
      <c r="CZ496" s="9">
        <f>+Risultati!AG495</f>
        <v>0</v>
      </c>
      <c r="DA496" s="31" t="str">
        <f t="shared" si="429"/>
        <v>0</v>
      </c>
      <c r="DB496" s="9">
        <f t="shared" si="430"/>
        <v>0</v>
      </c>
      <c r="DC496" s="31" t="str">
        <f t="shared" si="431"/>
        <v>0</v>
      </c>
      <c r="DD496" s="9">
        <f>+Risultati!AV495</f>
        <v>0</v>
      </c>
      <c r="DE496" s="31" t="str">
        <f t="shared" si="432"/>
        <v>0</v>
      </c>
      <c r="DF496" s="9">
        <f>+Risultati!AJ495</f>
        <v>0</v>
      </c>
      <c r="DG496" s="31" t="str">
        <f t="shared" si="433"/>
        <v>0</v>
      </c>
      <c r="DH496" s="9">
        <f t="shared" si="434"/>
        <v>0</v>
      </c>
      <c r="DI496" s="31" t="str">
        <f t="shared" si="435"/>
        <v>0</v>
      </c>
      <c r="DJ496" s="9">
        <f>+Risultati!AW495</f>
        <v>0</v>
      </c>
      <c r="DK496" s="31" t="str">
        <f t="shared" si="436"/>
        <v>0</v>
      </c>
      <c r="DL496" s="10">
        <f t="shared" si="407"/>
        <v>0</v>
      </c>
      <c r="DM496" s="31" t="str">
        <f t="shared" si="437"/>
        <v>0</v>
      </c>
      <c r="DO496" s="30"/>
      <c r="DP496" s="30"/>
    </row>
    <row r="497" spans="1:120" x14ac:dyDescent="0.2">
      <c r="A497" s="5"/>
      <c r="B497" s="6">
        <f>+Risultati!B496</f>
        <v>0</v>
      </c>
      <c r="C497" s="6">
        <f>+Risultati!C496</f>
        <v>0</v>
      </c>
      <c r="D497" s="26" t="str">
        <f>IF(YEAR(Risultati!D496)=1900,(MID(Risultati!$AP$1,29,4)),YEAR(Risultati!D496))</f>
        <v/>
      </c>
      <c r="E497" s="6">
        <f>+Risultati!E496</f>
        <v>0</v>
      </c>
      <c r="F497" s="8" t="e">
        <f>(LEFT(Risultati!AN496,2)&amp;"-")&amp;VLOOKUP((LEFT(Risultati!AN496,2)),ateco!$B$4:$C$93,2,FALSE)</f>
        <v>#N/A</v>
      </c>
      <c r="G497" s="8" t="str">
        <f>SUBSTITUTE((Risultati!AN496&amp;"-"&amp;Risultati!AO496),",",";")</f>
        <v>-</v>
      </c>
      <c r="I497" s="10">
        <f>+Risultati!G496</f>
        <v>0</v>
      </c>
      <c r="J497" s="11" t="str">
        <f t="shared" si="389"/>
        <v>0</v>
      </c>
      <c r="K497" s="12"/>
      <c r="L497" s="10">
        <f>+Risultati!G496+Risultati!H496</f>
        <v>0</v>
      </c>
      <c r="M497" s="11" t="str">
        <f t="shared" si="390"/>
        <v>0</v>
      </c>
      <c r="N497" s="12"/>
      <c r="O497" s="10">
        <f>+Risultati!I496+Risultati!J496</f>
        <v>0</v>
      </c>
      <c r="P497" s="11" t="str">
        <f t="shared" si="391"/>
        <v>0</v>
      </c>
      <c r="Q497" s="12"/>
      <c r="R497" s="13">
        <f t="shared" si="408"/>
        <v>0</v>
      </c>
      <c r="S497" s="11" t="str">
        <f t="shared" si="392"/>
        <v>0</v>
      </c>
      <c r="T497" s="12"/>
      <c r="U497" s="10">
        <f>+Risultati!F496-(Risultati!G496+Risultati!H496)</f>
        <v>0</v>
      </c>
      <c r="V497" s="12" t="str">
        <f t="shared" si="393"/>
        <v>0</v>
      </c>
      <c r="W497" s="12"/>
      <c r="X497" s="10">
        <f t="shared" si="409"/>
        <v>0</v>
      </c>
      <c r="Y497" s="12" t="str">
        <f t="shared" si="394"/>
        <v>0</v>
      </c>
      <c r="Z497" s="12"/>
      <c r="AA497" s="10">
        <f>+Risultati!K496</f>
        <v>0</v>
      </c>
      <c r="AB497" s="12" t="str">
        <f t="shared" si="395"/>
        <v>0</v>
      </c>
      <c r="AC497" s="12"/>
      <c r="AD497" s="10">
        <f>+Risultati!L496</f>
        <v>0</v>
      </c>
      <c r="AE497" s="12" t="str">
        <f t="shared" si="396"/>
        <v>0</v>
      </c>
      <c r="AF497" s="12"/>
      <c r="AG497" s="10">
        <f>+Risultati!M496+Risultati!P496+Risultati!Q496</f>
        <v>0</v>
      </c>
      <c r="AH497" s="12" t="str">
        <f t="shared" si="397"/>
        <v>0</v>
      </c>
      <c r="AI497" s="12"/>
      <c r="AJ497" s="13">
        <f t="shared" si="410"/>
        <v>0</v>
      </c>
      <c r="AK497" s="11" t="str">
        <f t="shared" si="398"/>
        <v>0</v>
      </c>
      <c r="AL497" s="12"/>
      <c r="AM497" s="10">
        <f>+Risultati!N496</f>
        <v>0</v>
      </c>
      <c r="AN497" s="12" t="str">
        <f t="shared" si="399"/>
        <v>0</v>
      </c>
      <c r="AO497" s="12"/>
      <c r="AP497" s="10">
        <f t="shared" si="411"/>
        <v>0</v>
      </c>
      <c r="AQ497" s="41" t="str">
        <f t="shared" si="400"/>
        <v>0</v>
      </c>
      <c r="AR497" s="12"/>
      <c r="AS497" s="10">
        <f>+Risultati!O496</f>
        <v>0</v>
      </c>
      <c r="AT497" s="12" t="str">
        <f t="shared" si="401"/>
        <v>0</v>
      </c>
      <c r="AU497" s="12"/>
      <c r="AV497" s="10">
        <f t="shared" si="412"/>
        <v>0</v>
      </c>
      <c r="AW497" s="12" t="str">
        <f t="shared" si="402"/>
        <v>0</v>
      </c>
      <c r="AX497" s="12"/>
      <c r="AY497" s="10">
        <f>+Risultati!R496+Risultati!S496</f>
        <v>0</v>
      </c>
      <c r="AZ497" s="12" t="str">
        <f t="shared" si="403"/>
        <v>0</v>
      </c>
      <c r="BA497" s="12"/>
      <c r="BB497" s="10">
        <f>+Risultati!T496</f>
        <v>0</v>
      </c>
      <c r="BC497" s="12" t="str">
        <f t="shared" si="404"/>
        <v>0</v>
      </c>
      <c r="BD497" s="12"/>
      <c r="BE497" s="10">
        <f>+Risultati!U496</f>
        <v>0</v>
      </c>
      <c r="BF497" s="12" t="str">
        <f t="shared" si="405"/>
        <v>0</v>
      </c>
      <c r="BG497" s="12"/>
      <c r="BH497" s="10">
        <f t="shared" si="413"/>
        <v>0</v>
      </c>
      <c r="BI497" s="12" t="str">
        <f t="shared" si="406"/>
        <v>0</v>
      </c>
      <c r="BK497" s="16">
        <f>IF(ISNUMBER(Risultati!X496/100),(Risultati!X496/100))</f>
        <v>0</v>
      </c>
      <c r="BL497" s="16">
        <f>IF(ISNUMBER(Risultati!Y496/100),(Risultati!Y496/100))</f>
        <v>0</v>
      </c>
      <c r="BM497" s="16">
        <f>IF(ISNUMBER(Risultati!Z496/100),(Risultati!Z496/100))</f>
        <v>0</v>
      </c>
      <c r="BN497" s="16">
        <f>IF(AND(Risultati!AY496&lt;0,calcoli!AP497&lt;0),-IF(ISNUMBER(Risultati!AA496/100),(Risultati!AA496/100)),IF(ISNUMBER(Risultati!AA496/100),(Risultati!AA496/100)))</f>
        <v>0</v>
      </c>
      <c r="BO497" s="16" t="str">
        <f t="shared" si="387"/>
        <v>0</v>
      </c>
      <c r="BP497" s="16" t="str">
        <f>IF(Risultati!AB496&gt;0,(AV497/Risultati!AB496),"0")</f>
        <v>0</v>
      </c>
      <c r="BQ497" s="16" t="str">
        <f>IF(Risultati!AG496&lt;&gt;0,(BH497/Risultati!AG496),"0")</f>
        <v>0</v>
      </c>
      <c r="BR497" s="16" t="str">
        <f t="shared" si="388"/>
        <v>0</v>
      </c>
      <c r="BS497" s="14" t="str">
        <f>IF(Risultati!AB496&gt;0,(Risultati!G496/Risultati!AB496),"0")</f>
        <v>0</v>
      </c>
      <c r="BT497" s="15" t="str">
        <f>IF(Risultati!AG496&lt;&gt;0,(Risultati!AB496/Risultati!AG496),"0")</f>
        <v>0</v>
      </c>
      <c r="BU497" s="23" t="str">
        <f>IF(AND(Risultati!G496&gt;0,(Risultati!AE496-Risultati!AF496)&gt;=0),((Risultati!AE496-Risultati!AF496)/Risultati!G496*360),"0")</f>
        <v>0</v>
      </c>
      <c r="BV497" s="21" t="str">
        <f>IF(OR(E497="abbreviato",Risultati!G496=0),"0",((Risultati!AC496+Risultati!AD496)/Risultati!G496*360))</f>
        <v>0</v>
      </c>
      <c r="BW497" s="21" t="str">
        <f>IF(OR(E497="abbreviato",Risultati!G496=0,SUM(Risultati!I496+Risultati!K496+Risultati!M496)=0),"0",(((Risultati!AH496+Risultati!AI496)/(Risultati!I496+Risultati!K496+Risultati!N496)*360)))</f>
        <v>0</v>
      </c>
      <c r="BX497" s="16" t="str">
        <f>IF(Risultati!AB496&gt;0,(+Risultati!AG496/Risultati!AB496),"0")</f>
        <v>0</v>
      </c>
      <c r="BY497" s="22" t="str">
        <f>IF(OR(E497="abbreviato",Risultati!G496=0),"0",(((Risultati!AK496-(Risultati!AL496+Risultati!AM496))/Risultati!G496)))</f>
        <v>0</v>
      </c>
      <c r="BZ497" s="16" t="str">
        <f>IF(Risultati!G496&gt;0,(Risultati!AJ496/Risultati!G496),"0")</f>
        <v>0</v>
      </c>
      <c r="CA497" s="8"/>
      <c r="CB497" s="9">
        <f>+Risultati!AP496</f>
        <v>0</v>
      </c>
      <c r="CC497" s="31" t="str">
        <f t="shared" si="414"/>
        <v>0</v>
      </c>
      <c r="CD497" s="9">
        <f>+Risultati!AQ496</f>
        <v>0</v>
      </c>
      <c r="CE497" s="31" t="str">
        <f t="shared" si="415"/>
        <v>0</v>
      </c>
      <c r="CF497" s="9">
        <f>+Risultati!AR496</f>
        <v>0</v>
      </c>
      <c r="CG497" s="31" t="str">
        <f t="shared" si="416"/>
        <v>0</v>
      </c>
      <c r="CH497" s="9">
        <f>+Risultati!AS496</f>
        <v>0</v>
      </c>
      <c r="CI497" s="31" t="str">
        <f t="shared" si="417"/>
        <v>0</v>
      </c>
      <c r="CJ497" s="9">
        <f t="shared" si="418"/>
        <v>0</v>
      </c>
      <c r="CK497" s="31" t="str">
        <f t="shared" si="419"/>
        <v>0</v>
      </c>
      <c r="CL497" s="10">
        <f>+Risultati!AE496+Risultati!AF496</f>
        <v>0</v>
      </c>
      <c r="CM497" s="31" t="str">
        <f t="shared" si="420"/>
        <v>0</v>
      </c>
      <c r="CN497" s="9">
        <f>+Risultati!AT496</f>
        <v>0</v>
      </c>
      <c r="CO497" s="31" t="str">
        <f t="shared" si="421"/>
        <v>0</v>
      </c>
      <c r="CP497" s="9">
        <f>+Risultati!AU496</f>
        <v>0</v>
      </c>
      <c r="CQ497" s="31" t="str">
        <f t="shared" si="422"/>
        <v>0</v>
      </c>
      <c r="CR497" s="9">
        <f>+Risultati!AL496</f>
        <v>0</v>
      </c>
      <c r="CS497" s="31" t="str">
        <f t="shared" si="423"/>
        <v>0</v>
      </c>
      <c r="CT497" s="9">
        <f t="shared" si="424"/>
        <v>0</v>
      </c>
      <c r="CU497" s="31" t="str">
        <f t="shared" si="425"/>
        <v>0</v>
      </c>
      <c r="CV497" s="9">
        <f>+Risultati!AX496</f>
        <v>0</v>
      </c>
      <c r="CW497" s="31" t="str">
        <f t="shared" si="426"/>
        <v>0</v>
      </c>
      <c r="CX497" s="9">
        <f t="shared" si="427"/>
        <v>0</v>
      </c>
      <c r="CY497" s="31" t="str">
        <f t="shared" si="428"/>
        <v>0</v>
      </c>
      <c r="CZ497" s="9">
        <f>+Risultati!AG496</f>
        <v>0</v>
      </c>
      <c r="DA497" s="31" t="str">
        <f t="shared" si="429"/>
        <v>0</v>
      </c>
      <c r="DB497" s="9">
        <f t="shared" si="430"/>
        <v>0</v>
      </c>
      <c r="DC497" s="31" t="str">
        <f t="shared" si="431"/>
        <v>0</v>
      </c>
      <c r="DD497" s="9">
        <f>+Risultati!AV496</f>
        <v>0</v>
      </c>
      <c r="DE497" s="31" t="str">
        <f t="shared" si="432"/>
        <v>0</v>
      </c>
      <c r="DF497" s="9">
        <f>+Risultati!AJ496</f>
        <v>0</v>
      </c>
      <c r="DG497" s="31" t="str">
        <f t="shared" si="433"/>
        <v>0</v>
      </c>
      <c r="DH497" s="9">
        <f t="shared" si="434"/>
        <v>0</v>
      </c>
      <c r="DI497" s="31" t="str">
        <f t="shared" si="435"/>
        <v>0</v>
      </c>
      <c r="DJ497" s="9">
        <f>+Risultati!AW496</f>
        <v>0</v>
      </c>
      <c r="DK497" s="31" t="str">
        <f t="shared" si="436"/>
        <v>0</v>
      </c>
      <c r="DL497" s="10">
        <f t="shared" si="407"/>
        <v>0</v>
      </c>
      <c r="DM497" s="31" t="str">
        <f t="shared" si="437"/>
        <v>0</v>
      </c>
      <c r="DO497" s="30"/>
      <c r="DP497" s="30"/>
    </row>
    <row r="498" spans="1:120" x14ac:dyDescent="0.2">
      <c r="A498" s="5"/>
      <c r="B498" s="6">
        <f>+Risultati!B497</f>
        <v>0</v>
      </c>
      <c r="C498" s="6">
        <f>+Risultati!C497</f>
        <v>0</v>
      </c>
      <c r="D498" s="26" t="str">
        <f>IF(YEAR(Risultati!D497)=1900,(MID(Risultati!$AP$1,29,4)),YEAR(Risultati!D497))</f>
        <v/>
      </c>
      <c r="E498" s="6">
        <f>+Risultati!E497</f>
        <v>0</v>
      </c>
      <c r="F498" s="8" t="e">
        <f>(LEFT(Risultati!AN497,2)&amp;"-")&amp;VLOOKUP((LEFT(Risultati!AN497,2)),ateco!$B$4:$C$93,2,FALSE)</f>
        <v>#N/A</v>
      </c>
      <c r="G498" s="8" t="str">
        <f>SUBSTITUTE((Risultati!AN497&amp;"-"&amp;Risultati!AO497),",",";")</f>
        <v>-</v>
      </c>
      <c r="I498" s="10">
        <f>+Risultati!G497</f>
        <v>0</v>
      </c>
      <c r="J498" s="11" t="str">
        <f t="shared" si="389"/>
        <v>0</v>
      </c>
      <c r="K498" s="12"/>
      <c r="L498" s="10">
        <f>+Risultati!G497+Risultati!H497</f>
        <v>0</v>
      </c>
      <c r="M498" s="11" t="str">
        <f t="shared" si="390"/>
        <v>0</v>
      </c>
      <c r="N498" s="12"/>
      <c r="O498" s="10">
        <f>+Risultati!I497+Risultati!J497</f>
        <v>0</v>
      </c>
      <c r="P498" s="11" t="str">
        <f t="shared" si="391"/>
        <v>0</v>
      </c>
      <c r="Q498" s="12"/>
      <c r="R498" s="13">
        <f t="shared" si="408"/>
        <v>0</v>
      </c>
      <c r="S498" s="11" t="str">
        <f t="shared" si="392"/>
        <v>0</v>
      </c>
      <c r="T498" s="12"/>
      <c r="U498" s="10">
        <f>+Risultati!F497-(Risultati!G497+Risultati!H497)</f>
        <v>0</v>
      </c>
      <c r="V498" s="12" t="str">
        <f t="shared" si="393"/>
        <v>0</v>
      </c>
      <c r="W498" s="12"/>
      <c r="X498" s="10">
        <f t="shared" si="409"/>
        <v>0</v>
      </c>
      <c r="Y498" s="12" t="str">
        <f t="shared" si="394"/>
        <v>0</v>
      </c>
      <c r="Z498" s="12"/>
      <c r="AA498" s="10">
        <f>+Risultati!K497</f>
        <v>0</v>
      </c>
      <c r="AB498" s="12" t="str">
        <f t="shared" si="395"/>
        <v>0</v>
      </c>
      <c r="AC498" s="12"/>
      <c r="AD498" s="10">
        <f>+Risultati!L497</f>
        <v>0</v>
      </c>
      <c r="AE498" s="12" t="str">
        <f t="shared" si="396"/>
        <v>0</v>
      </c>
      <c r="AF498" s="12"/>
      <c r="AG498" s="10">
        <f>+Risultati!M497+Risultati!P497+Risultati!Q497</f>
        <v>0</v>
      </c>
      <c r="AH498" s="12" t="str">
        <f t="shared" si="397"/>
        <v>0</v>
      </c>
      <c r="AI498" s="12"/>
      <c r="AJ498" s="13">
        <f t="shared" si="410"/>
        <v>0</v>
      </c>
      <c r="AK498" s="11" t="str">
        <f t="shared" si="398"/>
        <v>0</v>
      </c>
      <c r="AL498" s="12"/>
      <c r="AM498" s="10">
        <f>+Risultati!N497</f>
        <v>0</v>
      </c>
      <c r="AN498" s="12" t="str">
        <f t="shared" si="399"/>
        <v>0</v>
      </c>
      <c r="AO498" s="12"/>
      <c r="AP498" s="10">
        <f t="shared" si="411"/>
        <v>0</v>
      </c>
      <c r="AQ498" s="41" t="str">
        <f t="shared" si="400"/>
        <v>0</v>
      </c>
      <c r="AR498" s="12"/>
      <c r="AS498" s="10">
        <f>+Risultati!O497</f>
        <v>0</v>
      </c>
      <c r="AT498" s="12" t="str">
        <f t="shared" si="401"/>
        <v>0</v>
      </c>
      <c r="AU498" s="12"/>
      <c r="AV498" s="10">
        <f t="shared" si="412"/>
        <v>0</v>
      </c>
      <c r="AW498" s="12" t="str">
        <f t="shared" si="402"/>
        <v>0</v>
      </c>
      <c r="AX498" s="12"/>
      <c r="AY498" s="10">
        <f>+Risultati!R497+Risultati!S497</f>
        <v>0</v>
      </c>
      <c r="AZ498" s="12" t="str">
        <f t="shared" si="403"/>
        <v>0</v>
      </c>
      <c r="BA498" s="12"/>
      <c r="BB498" s="10">
        <f>+Risultati!T497</f>
        <v>0</v>
      </c>
      <c r="BC498" s="12" t="str">
        <f t="shared" si="404"/>
        <v>0</v>
      </c>
      <c r="BD498" s="12"/>
      <c r="BE498" s="10">
        <f>+Risultati!U497</f>
        <v>0</v>
      </c>
      <c r="BF498" s="12" t="str">
        <f t="shared" si="405"/>
        <v>0</v>
      </c>
      <c r="BG498" s="12"/>
      <c r="BH498" s="10">
        <f t="shared" si="413"/>
        <v>0</v>
      </c>
      <c r="BI498" s="12" t="str">
        <f t="shared" si="406"/>
        <v>0</v>
      </c>
      <c r="BK498" s="16">
        <f>IF(ISNUMBER(Risultati!X497/100),(Risultati!X497/100))</f>
        <v>0</v>
      </c>
      <c r="BL498" s="16">
        <f>IF(ISNUMBER(Risultati!Y497/100),(Risultati!Y497/100))</f>
        <v>0</v>
      </c>
      <c r="BM498" s="16">
        <f>IF(ISNUMBER(Risultati!Z497/100),(Risultati!Z497/100))</f>
        <v>0</v>
      </c>
      <c r="BN498" s="16">
        <f>IF(AND(Risultati!AY497&lt;0,calcoli!AP498&lt;0),-IF(ISNUMBER(Risultati!AA497/100),(Risultati!AA497/100)),IF(ISNUMBER(Risultati!AA497/100),(Risultati!AA497/100)))</f>
        <v>0</v>
      </c>
      <c r="BO498" s="16" t="str">
        <f t="shared" si="387"/>
        <v>0</v>
      </c>
      <c r="BP498" s="16" t="str">
        <f>IF(Risultati!AB497&gt;0,(AV498/Risultati!AB497),"0")</f>
        <v>0</v>
      </c>
      <c r="BQ498" s="16" t="str">
        <f>IF(Risultati!AG497&lt;&gt;0,(BH498/Risultati!AG497),"0")</f>
        <v>0</v>
      </c>
      <c r="BR498" s="16" t="str">
        <f t="shared" si="388"/>
        <v>0</v>
      </c>
      <c r="BS498" s="14" t="str">
        <f>IF(Risultati!AB497&gt;0,(Risultati!G497/Risultati!AB497),"0")</f>
        <v>0</v>
      </c>
      <c r="BT498" s="15" t="str">
        <f>IF(Risultati!AG497&lt;&gt;0,(Risultati!AB497/Risultati!AG497),"0")</f>
        <v>0</v>
      </c>
      <c r="BU498" s="23" t="str">
        <f>IF(AND(Risultati!G497&gt;0,(Risultati!AE497-Risultati!AF497)&gt;=0),((Risultati!AE497-Risultati!AF497)/Risultati!G497*360),"0")</f>
        <v>0</v>
      </c>
      <c r="BV498" s="21" t="str">
        <f>IF(OR(E498="abbreviato",Risultati!G497=0),"0",((Risultati!AC497+Risultati!AD497)/Risultati!G497*360))</f>
        <v>0</v>
      </c>
      <c r="BW498" s="21" t="str">
        <f>IF(OR(E498="abbreviato",Risultati!G497=0,SUM(Risultati!I497+Risultati!K497+Risultati!M497)=0),"0",(((Risultati!AH497+Risultati!AI497)/(Risultati!I497+Risultati!K497+Risultati!N497)*360)))</f>
        <v>0</v>
      </c>
      <c r="BX498" s="16" t="str">
        <f>IF(Risultati!AB497&gt;0,(+Risultati!AG497/Risultati!AB497),"0")</f>
        <v>0</v>
      </c>
      <c r="BY498" s="22" t="str">
        <f>IF(OR(E498="abbreviato",Risultati!G497=0),"0",(((Risultati!AK497-(Risultati!AL497+Risultati!AM497))/Risultati!G497)))</f>
        <v>0</v>
      </c>
      <c r="BZ498" s="16" t="str">
        <f>IF(Risultati!G497&gt;0,(Risultati!AJ497/Risultati!G497),"0")</f>
        <v>0</v>
      </c>
      <c r="CA498" s="8"/>
      <c r="CB498" s="9">
        <f>+Risultati!AP497</f>
        <v>0</v>
      </c>
      <c r="CC498" s="31" t="str">
        <f t="shared" si="414"/>
        <v>0</v>
      </c>
      <c r="CD498" s="9">
        <f>+Risultati!AQ497</f>
        <v>0</v>
      </c>
      <c r="CE498" s="31" t="str">
        <f t="shared" si="415"/>
        <v>0</v>
      </c>
      <c r="CF498" s="9">
        <f>+Risultati!AR497</f>
        <v>0</v>
      </c>
      <c r="CG498" s="31" t="str">
        <f t="shared" si="416"/>
        <v>0</v>
      </c>
      <c r="CH498" s="9">
        <f>+Risultati!AS497</f>
        <v>0</v>
      </c>
      <c r="CI498" s="31" t="str">
        <f t="shared" si="417"/>
        <v>0</v>
      </c>
      <c r="CJ498" s="9">
        <f t="shared" si="418"/>
        <v>0</v>
      </c>
      <c r="CK498" s="31" t="str">
        <f t="shared" si="419"/>
        <v>0</v>
      </c>
      <c r="CL498" s="10">
        <f>+Risultati!AE497+Risultati!AF497</f>
        <v>0</v>
      </c>
      <c r="CM498" s="31" t="str">
        <f t="shared" si="420"/>
        <v>0</v>
      </c>
      <c r="CN498" s="9">
        <f>+Risultati!AT497</f>
        <v>0</v>
      </c>
      <c r="CO498" s="31" t="str">
        <f t="shared" si="421"/>
        <v>0</v>
      </c>
      <c r="CP498" s="9">
        <f>+Risultati!AU497</f>
        <v>0</v>
      </c>
      <c r="CQ498" s="31" t="str">
        <f t="shared" si="422"/>
        <v>0</v>
      </c>
      <c r="CR498" s="9">
        <f>+Risultati!AL497</f>
        <v>0</v>
      </c>
      <c r="CS498" s="31" t="str">
        <f t="shared" si="423"/>
        <v>0</v>
      </c>
      <c r="CT498" s="9">
        <f t="shared" si="424"/>
        <v>0</v>
      </c>
      <c r="CU498" s="31" t="str">
        <f t="shared" si="425"/>
        <v>0</v>
      </c>
      <c r="CV498" s="9">
        <f>+Risultati!AX497</f>
        <v>0</v>
      </c>
      <c r="CW498" s="31" t="str">
        <f t="shared" si="426"/>
        <v>0</v>
      </c>
      <c r="CX498" s="9">
        <f t="shared" si="427"/>
        <v>0</v>
      </c>
      <c r="CY498" s="31" t="str">
        <f t="shared" si="428"/>
        <v>0</v>
      </c>
      <c r="CZ498" s="9">
        <f>+Risultati!AG497</f>
        <v>0</v>
      </c>
      <c r="DA498" s="31" t="str">
        <f t="shared" si="429"/>
        <v>0</v>
      </c>
      <c r="DB498" s="9">
        <f t="shared" si="430"/>
        <v>0</v>
      </c>
      <c r="DC498" s="31" t="str">
        <f t="shared" si="431"/>
        <v>0</v>
      </c>
      <c r="DD498" s="9">
        <f>+Risultati!AV497</f>
        <v>0</v>
      </c>
      <c r="DE498" s="31" t="str">
        <f t="shared" si="432"/>
        <v>0</v>
      </c>
      <c r="DF498" s="9">
        <f>+Risultati!AJ497</f>
        <v>0</v>
      </c>
      <c r="DG498" s="31" t="str">
        <f t="shared" si="433"/>
        <v>0</v>
      </c>
      <c r="DH498" s="9">
        <f t="shared" si="434"/>
        <v>0</v>
      </c>
      <c r="DI498" s="31" t="str">
        <f t="shared" si="435"/>
        <v>0</v>
      </c>
      <c r="DJ498" s="9">
        <f>+Risultati!AW497</f>
        <v>0</v>
      </c>
      <c r="DK498" s="31" t="str">
        <f t="shared" si="436"/>
        <v>0</v>
      </c>
      <c r="DL498" s="10">
        <f t="shared" si="407"/>
        <v>0</v>
      </c>
      <c r="DM498" s="31" t="str">
        <f t="shared" si="437"/>
        <v>0</v>
      </c>
      <c r="DO498" s="30"/>
      <c r="DP498" s="30"/>
    </row>
    <row r="499" spans="1:120" x14ac:dyDescent="0.2">
      <c r="A499" s="5"/>
      <c r="B499" s="6">
        <f>+Risultati!B498</f>
        <v>0</v>
      </c>
      <c r="C499" s="6">
        <f>+Risultati!C498</f>
        <v>0</v>
      </c>
      <c r="D499" s="26" t="str">
        <f>IF(YEAR(Risultati!D498)=1900,(MID(Risultati!$AP$1,29,4)),YEAR(Risultati!D498))</f>
        <v/>
      </c>
      <c r="E499" s="6">
        <f>+Risultati!E498</f>
        <v>0</v>
      </c>
      <c r="F499" s="8" t="e">
        <f>(LEFT(Risultati!AN498,2)&amp;"-")&amp;VLOOKUP((LEFT(Risultati!AN498,2)),ateco!$B$4:$C$93,2,FALSE)</f>
        <v>#N/A</v>
      </c>
      <c r="G499" s="8" t="str">
        <f>SUBSTITUTE((Risultati!AN498&amp;"-"&amp;Risultati!AO498),",",";")</f>
        <v>-</v>
      </c>
      <c r="I499" s="10">
        <f>+Risultati!G498</f>
        <v>0</v>
      </c>
      <c r="J499" s="11" t="str">
        <f t="shared" si="389"/>
        <v>0</v>
      </c>
      <c r="K499" s="12"/>
      <c r="L499" s="10">
        <f>+Risultati!G498+Risultati!H498</f>
        <v>0</v>
      </c>
      <c r="M499" s="11" t="str">
        <f t="shared" si="390"/>
        <v>0</v>
      </c>
      <c r="N499" s="12"/>
      <c r="O499" s="10">
        <f>+Risultati!I498+Risultati!J498</f>
        <v>0</v>
      </c>
      <c r="P499" s="11" t="str">
        <f t="shared" si="391"/>
        <v>0</v>
      </c>
      <c r="Q499" s="12"/>
      <c r="R499" s="13">
        <f t="shared" si="408"/>
        <v>0</v>
      </c>
      <c r="S499" s="11" t="str">
        <f t="shared" si="392"/>
        <v>0</v>
      </c>
      <c r="T499" s="12"/>
      <c r="U499" s="10">
        <f>+Risultati!F498-(Risultati!G498+Risultati!H498)</f>
        <v>0</v>
      </c>
      <c r="V499" s="12" t="str">
        <f t="shared" si="393"/>
        <v>0</v>
      </c>
      <c r="W499" s="12"/>
      <c r="X499" s="10">
        <f t="shared" si="409"/>
        <v>0</v>
      </c>
      <c r="Y499" s="12" t="str">
        <f t="shared" si="394"/>
        <v>0</v>
      </c>
      <c r="Z499" s="12"/>
      <c r="AA499" s="10">
        <f>+Risultati!K498</f>
        <v>0</v>
      </c>
      <c r="AB499" s="12" t="str">
        <f t="shared" si="395"/>
        <v>0</v>
      </c>
      <c r="AC499" s="12"/>
      <c r="AD499" s="10">
        <f>+Risultati!L498</f>
        <v>0</v>
      </c>
      <c r="AE499" s="12" t="str">
        <f t="shared" si="396"/>
        <v>0</v>
      </c>
      <c r="AF499" s="12"/>
      <c r="AG499" s="10">
        <f>+Risultati!M498+Risultati!P498+Risultati!Q498</f>
        <v>0</v>
      </c>
      <c r="AH499" s="12" t="str">
        <f t="shared" si="397"/>
        <v>0</v>
      </c>
      <c r="AI499" s="12"/>
      <c r="AJ499" s="13">
        <f t="shared" si="410"/>
        <v>0</v>
      </c>
      <c r="AK499" s="11" t="str">
        <f t="shared" si="398"/>
        <v>0</v>
      </c>
      <c r="AL499" s="12"/>
      <c r="AM499" s="10">
        <f>+Risultati!N498</f>
        <v>0</v>
      </c>
      <c r="AN499" s="12" t="str">
        <f t="shared" si="399"/>
        <v>0</v>
      </c>
      <c r="AO499" s="12"/>
      <c r="AP499" s="10">
        <f t="shared" si="411"/>
        <v>0</v>
      </c>
      <c r="AQ499" s="41" t="str">
        <f t="shared" si="400"/>
        <v>0</v>
      </c>
      <c r="AR499" s="12"/>
      <c r="AS499" s="10">
        <f>+Risultati!O498</f>
        <v>0</v>
      </c>
      <c r="AT499" s="12" t="str">
        <f t="shared" si="401"/>
        <v>0</v>
      </c>
      <c r="AU499" s="12"/>
      <c r="AV499" s="10">
        <f t="shared" si="412"/>
        <v>0</v>
      </c>
      <c r="AW499" s="12" t="str">
        <f t="shared" si="402"/>
        <v>0</v>
      </c>
      <c r="AX499" s="12"/>
      <c r="AY499" s="10">
        <f>+Risultati!R498+Risultati!S498</f>
        <v>0</v>
      </c>
      <c r="AZ499" s="12" t="str">
        <f t="shared" si="403"/>
        <v>0</v>
      </c>
      <c r="BA499" s="12"/>
      <c r="BB499" s="10">
        <f>+Risultati!T498</f>
        <v>0</v>
      </c>
      <c r="BC499" s="12" t="str">
        <f t="shared" si="404"/>
        <v>0</v>
      </c>
      <c r="BD499" s="12"/>
      <c r="BE499" s="10">
        <f>+Risultati!U498</f>
        <v>0</v>
      </c>
      <c r="BF499" s="12" t="str">
        <f t="shared" si="405"/>
        <v>0</v>
      </c>
      <c r="BG499" s="12"/>
      <c r="BH499" s="10">
        <f t="shared" si="413"/>
        <v>0</v>
      </c>
      <c r="BI499" s="12" t="str">
        <f t="shared" si="406"/>
        <v>0</v>
      </c>
      <c r="BK499" s="16">
        <f>IF(ISNUMBER(Risultati!X498/100),(Risultati!X498/100))</f>
        <v>0</v>
      </c>
      <c r="BL499" s="16">
        <f>IF(ISNUMBER(Risultati!Y498/100),(Risultati!Y498/100))</f>
        <v>0</v>
      </c>
      <c r="BM499" s="16">
        <f>IF(ISNUMBER(Risultati!Z498/100),(Risultati!Z498/100))</f>
        <v>0</v>
      </c>
      <c r="BN499" s="16">
        <f>IF(AND(Risultati!AY498&lt;0,calcoli!AP499&lt;0),-IF(ISNUMBER(Risultati!AA498/100),(Risultati!AA498/100)),IF(ISNUMBER(Risultati!AA498/100),(Risultati!AA498/100)))</f>
        <v>0</v>
      </c>
      <c r="BO499" s="16" t="str">
        <f t="shared" si="387"/>
        <v>0</v>
      </c>
      <c r="BP499" s="16" t="str">
        <f>IF(Risultati!AB498&gt;0,(AV499/Risultati!AB498),"0")</f>
        <v>0</v>
      </c>
      <c r="BQ499" s="16" t="str">
        <f>IF(Risultati!AG498&lt;&gt;0,(BH499/Risultati!AG498),"0")</f>
        <v>0</v>
      </c>
      <c r="BR499" s="16" t="str">
        <f t="shared" si="388"/>
        <v>0</v>
      </c>
      <c r="BS499" s="14" t="str">
        <f>IF(Risultati!AB498&gt;0,(Risultati!G498/Risultati!AB498),"0")</f>
        <v>0</v>
      </c>
      <c r="BT499" s="15" t="str">
        <f>IF(Risultati!AG498&lt;&gt;0,(Risultati!AB498/Risultati!AG498),"0")</f>
        <v>0</v>
      </c>
      <c r="BU499" s="23" t="str">
        <f>IF(AND(Risultati!G498&gt;0,(Risultati!AE498-Risultati!AF498)&gt;=0),((Risultati!AE498-Risultati!AF498)/Risultati!G498*360),"0")</f>
        <v>0</v>
      </c>
      <c r="BV499" s="21" t="str">
        <f>IF(OR(E499="abbreviato",Risultati!G498=0),"0",((Risultati!AC498+Risultati!AD498)/Risultati!G498*360))</f>
        <v>0</v>
      </c>
      <c r="BW499" s="21" t="str">
        <f>IF(OR(E499="abbreviato",Risultati!G498=0,SUM(Risultati!I498+Risultati!K498+Risultati!M498)=0),"0",(((Risultati!AH498+Risultati!AI498)/(Risultati!I498+Risultati!K498+Risultati!N498)*360)))</f>
        <v>0</v>
      </c>
      <c r="BX499" s="16" t="str">
        <f>IF(Risultati!AB498&gt;0,(+Risultati!AG498/Risultati!AB498),"0")</f>
        <v>0</v>
      </c>
      <c r="BY499" s="22" t="str">
        <f>IF(OR(E499="abbreviato",Risultati!G498=0),"0",(((Risultati!AK498-(Risultati!AL498+Risultati!AM498))/Risultati!G498)))</f>
        <v>0</v>
      </c>
      <c r="BZ499" s="16" t="str">
        <f>IF(Risultati!G498&gt;0,(Risultati!AJ498/Risultati!G498),"0")</f>
        <v>0</v>
      </c>
      <c r="CA499" s="8"/>
      <c r="CB499" s="9">
        <f>+Risultati!AP498</f>
        <v>0</v>
      </c>
      <c r="CC499" s="31" t="str">
        <f t="shared" si="414"/>
        <v>0</v>
      </c>
      <c r="CD499" s="9">
        <f>+Risultati!AQ498</f>
        <v>0</v>
      </c>
      <c r="CE499" s="31" t="str">
        <f t="shared" si="415"/>
        <v>0</v>
      </c>
      <c r="CF499" s="9">
        <f>+Risultati!AR498</f>
        <v>0</v>
      </c>
      <c r="CG499" s="31" t="str">
        <f t="shared" si="416"/>
        <v>0</v>
      </c>
      <c r="CH499" s="9">
        <f>+Risultati!AS498</f>
        <v>0</v>
      </c>
      <c r="CI499" s="31" t="str">
        <f t="shared" si="417"/>
        <v>0</v>
      </c>
      <c r="CJ499" s="9">
        <f t="shared" si="418"/>
        <v>0</v>
      </c>
      <c r="CK499" s="31" t="str">
        <f t="shared" si="419"/>
        <v>0</v>
      </c>
      <c r="CL499" s="10">
        <f>+Risultati!AE498+Risultati!AF498</f>
        <v>0</v>
      </c>
      <c r="CM499" s="31" t="str">
        <f t="shared" si="420"/>
        <v>0</v>
      </c>
      <c r="CN499" s="9">
        <f>+Risultati!AT498</f>
        <v>0</v>
      </c>
      <c r="CO499" s="31" t="str">
        <f t="shared" si="421"/>
        <v>0</v>
      </c>
      <c r="CP499" s="9">
        <f>+Risultati!AU498</f>
        <v>0</v>
      </c>
      <c r="CQ499" s="31" t="str">
        <f t="shared" si="422"/>
        <v>0</v>
      </c>
      <c r="CR499" s="9">
        <f>+Risultati!AL498</f>
        <v>0</v>
      </c>
      <c r="CS499" s="31" t="str">
        <f t="shared" si="423"/>
        <v>0</v>
      </c>
      <c r="CT499" s="9">
        <f t="shared" si="424"/>
        <v>0</v>
      </c>
      <c r="CU499" s="31" t="str">
        <f t="shared" si="425"/>
        <v>0</v>
      </c>
      <c r="CV499" s="9">
        <f>+Risultati!AX498</f>
        <v>0</v>
      </c>
      <c r="CW499" s="31" t="str">
        <f t="shared" si="426"/>
        <v>0</v>
      </c>
      <c r="CX499" s="9">
        <f t="shared" si="427"/>
        <v>0</v>
      </c>
      <c r="CY499" s="31" t="str">
        <f t="shared" si="428"/>
        <v>0</v>
      </c>
      <c r="CZ499" s="9">
        <f>+Risultati!AG498</f>
        <v>0</v>
      </c>
      <c r="DA499" s="31" t="str">
        <f t="shared" si="429"/>
        <v>0</v>
      </c>
      <c r="DB499" s="9">
        <f t="shared" si="430"/>
        <v>0</v>
      </c>
      <c r="DC499" s="31" t="str">
        <f t="shared" si="431"/>
        <v>0</v>
      </c>
      <c r="DD499" s="9">
        <f>+Risultati!AV498</f>
        <v>0</v>
      </c>
      <c r="DE499" s="31" t="str">
        <f t="shared" si="432"/>
        <v>0</v>
      </c>
      <c r="DF499" s="9">
        <f>+Risultati!AJ498</f>
        <v>0</v>
      </c>
      <c r="DG499" s="31" t="str">
        <f t="shared" si="433"/>
        <v>0</v>
      </c>
      <c r="DH499" s="9">
        <f t="shared" si="434"/>
        <v>0</v>
      </c>
      <c r="DI499" s="31" t="str">
        <f t="shared" si="435"/>
        <v>0</v>
      </c>
      <c r="DJ499" s="9">
        <f>+Risultati!AW498</f>
        <v>0</v>
      </c>
      <c r="DK499" s="31" t="str">
        <f t="shared" si="436"/>
        <v>0</v>
      </c>
      <c r="DL499" s="10">
        <f t="shared" si="407"/>
        <v>0</v>
      </c>
      <c r="DM499" s="31" t="str">
        <f t="shared" si="437"/>
        <v>0</v>
      </c>
      <c r="DO499" s="30"/>
      <c r="DP499" s="30"/>
    </row>
    <row r="500" spans="1:120" x14ac:dyDescent="0.2">
      <c r="A500" s="5"/>
      <c r="B500" s="6">
        <f>+Risultati!B499</f>
        <v>0</v>
      </c>
      <c r="C500" s="6">
        <f>+Risultati!C499</f>
        <v>0</v>
      </c>
      <c r="D500" s="26" t="str">
        <f>IF(YEAR(Risultati!D499)=1900,(MID(Risultati!$AP$1,29,4)),YEAR(Risultati!D499))</f>
        <v/>
      </c>
      <c r="E500" s="6">
        <f>+Risultati!E499</f>
        <v>0</v>
      </c>
      <c r="F500" s="8" t="e">
        <f>(LEFT(Risultati!AN499,2)&amp;"-")&amp;VLOOKUP((LEFT(Risultati!AN499,2)),ateco!$B$4:$C$93,2,FALSE)</f>
        <v>#N/A</v>
      </c>
      <c r="G500" s="8" t="str">
        <f>SUBSTITUTE((Risultati!AN499&amp;"-"&amp;Risultati!AO499),",",";")</f>
        <v>-</v>
      </c>
      <c r="I500" s="10">
        <f>+Risultati!G499</f>
        <v>0</v>
      </c>
      <c r="J500" s="11" t="str">
        <f t="shared" si="389"/>
        <v>0</v>
      </c>
      <c r="K500" s="12"/>
      <c r="L500" s="10">
        <f>+Risultati!G499+Risultati!H499</f>
        <v>0</v>
      </c>
      <c r="M500" s="11" t="str">
        <f t="shared" si="390"/>
        <v>0</v>
      </c>
      <c r="N500" s="12"/>
      <c r="O500" s="10">
        <f>+Risultati!I499+Risultati!J499</f>
        <v>0</v>
      </c>
      <c r="P500" s="11" t="str">
        <f t="shared" si="391"/>
        <v>0</v>
      </c>
      <c r="Q500" s="12"/>
      <c r="R500" s="13">
        <f t="shared" si="408"/>
        <v>0</v>
      </c>
      <c r="S500" s="11" t="str">
        <f t="shared" si="392"/>
        <v>0</v>
      </c>
      <c r="T500" s="12"/>
      <c r="U500" s="10">
        <f>+Risultati!F499-(Risultati!G499+Risultati!H499)</f>
        <v>0</v>
      </c>
      <c r="V500" s="12" t="str">
        <f t="shared" si="393"/>
        <v>0</v>
      </c>
      <c r="W500" s="12"/>
      <c r="X500" s="10">
        <f t="shared" si="409"/>
        <v>0</v>
      </c>
      <c r="Y500" s="12" t="str">
        <f t="shared" si="394"/>
        <v>0</v>
      </c>
      <c r="Z500" s="12"/>
      <c r="AA500" s="10">
        <f>+Risultati!K499</f>
        <v>0</v>
      </c>
      <c r="AB500" s="12" t="str">
        <f t="shared" si="395"/>
        <v>0</v>
      </c>
      <c r="AC500" s="12"/>
      <c r="AD500" s="10">
        <f>+Risultati!L499</f>
        <v>0</v>
      </c>
      <c r="AE500" s="12" t="str">
        <f t="shared" si="396"/>
        <v>0</v>
      </c>
      <c r="AF500" s="12"/>
      <c r="AG500" s="10">
        <f>+Risultati!M499+Risultati!P499+Risultati!Q499</f>
        <v>0</v>
      </c>
      <c r="AH500" s="12" t="str">
        <f t="shared" si="397"/>
        <v>0</v>
      </c>
      <c r="AI500" s="12"/>
      <c r="AJ500" s="13">
        <f t="shared" si="410"/>
        <v>0</v>
      </c>
      <c r="AK500" s="11" t="str">
        <f t="shared" si="398"/>
        <v>0</v>
      </c>
      <c r="AL500" s="12"/>
      <c r="AM500" s="10">
        <f>+Risultati!N499</f>
        <v>0</v>
      </c>
      <c r="AN500" s="12" t="str">
        <f t="shared" si="399"/>
        <v>0</v>
      </c>
      <c r="AO500" s="12"/>
      <c r="AP500" s="10">
        <f t="shared" si="411"/>
        <v>0</v>
      </c>
      <c r="AQ500" s="41" t="str">
        <f t="shared" si="400"/>
        <v>0</v>
      </c>
      <c r="AR500" s="12"/>
      <c r="AS500" s="10">
        <f>+Risultati!O499</f>
        <v>0</v>
      </c>
      <c r="AT500" s="12" t="str">
        <f t="shared" si="401"/>
        <v>0</v>
      </c>
      <c r="AU500" s="12"/>
      <c r="AV500" s="10">
        <f t="shared" si="412"/>
        <v>0</v>
      </c>
      <c r="AW500" s="12" t="str">
        <f t="shared" si="402"/>
        <v>0</v>
      </c>
      <c r="AX500" s="12"/>
      <c r="AY500" s="10">
        <f>+Risultati!R499+Risultati!S499</f>
        <v>0</v>
      </c>
      <c r="AZ500" s="12" t="str">
        <f t="shared" si="403"/>
        <v>0</v>
      </c>
      <c r="BA500" s="12"/>
      <c r="BB500" s="10">
        <f>+Risultati!T499</f>
        <v>0</v>
      </c>
      <c r="BC500" s="12" t="str">
        <f t="shared" si="404"/>
        <v>0</v>
      </c>
      <c r="BD500" s="12"/>
      <c r="BE500" s="10">
        <f>+Risultati!U499</f>
        <v>0</v>
      </c>
      <c r="BF500" s="12" t="str">
        <f t="shared" si="405"/>
        <v>0</v>
      </c>
      <c r="BG500" s="12"/>
      <c r="BH500" s="10">
        <f t="shared" si="413"/>
        <v>0</v>
      </c>
      <c r="BI500" s="12" t="str">
        <f t="shared" si="406"/>
        <v>0</v>
      </c>
      <c r="BK500" s="16">
        <f>IF(ISNUMBER(Risultati!X499/100),(Risultati!X499/100))</f>
        <v>0</v>
      </c>
      <c r="BL500" s="16">
        <f>IF(ISNUMBER(Risultati!Y499/100),(Risultati!Y499/100))</f>
        <v>0</v>
      </c>
      <c r="BM500" s="16">
        <f>IF(ISNUMBER(Risultati!Z499/100),(Risultati!Z499/100))</f>
        <v>0</v>
      </c>
      <c r="BN500" s="16">
        <f>IF(AND(Risultati!AY499&lt;0,calcoli!AP500&lt;0),-IF(ISNUMBER(Risultati!AA499/100),(Risultati!AA499/100)),IF(ISNUMBER(Risultati!AA499/100),(Risultati!AA499/100)))</f>
        <v>0</v>
      </c>
      <c r="BO500" s="16" t="str">
        <f t="shared" si="387"/>
        <v>0</v>
      </c>
      <c r="BP500" s="16" t="str">
        <f>IF(Risultati!AB499&gt;0,(AV500/Risultati!AB499),"0")</f>
        <v>0</v>
      </c>
      <c r="BQ500" s="16" t="str">
        <f>IF(Risultati!AG499&lt;&gt;0,(BH500/Risultati!AG499),"0")</f>
        <v>0</v>
      </c>
      <c r="BR500" s="16" t="str">
        <f t="shared" si="388"/>
        <v>0</v>
      </c>
      <c r="BS500" s="14" t="str">
        <f>IF(Risultati!AB499&gt;0,(Risultati!G499/Risultati!AB499),"0")</f>
        <v>0</v>
      </c>
      <c r="BT500" s="15" t="str">
        <f>IF(Risultati!AG499&lt;&gt;0,(Risultati!AB499/Risultati!AG499),"0")</f>
        <v>0</v>
      </c>
      <c r="BU500" s="23" t="str">
        <f>IF(AND(Risultati!G499&gt;0,(Risultati!AE499-Risultati!AF499)&gt;=0),((Risultati!AE499-Risultati!AF499)/Risultati!G499*360),"0")</f>
        <v>0</v>
      </c>
      <c r="BV500" s="21" t="str">
        <f>IF(OR(E500="abbreviato",Risultati!G499=0),"0",((Risultati!AC499+Risultati!AD499)/Risultati!G499*360))</f>
        <v>0</v>
      </c>
      <c r="BW500" s="21" t="str">
        <f>IF(OR(E500="abbreviato",Risultati!G499=0,SUM(Risultati!I499+Risultati!K499+Risultati!M499)=0),"0",(((Risultati!AH499+Risultati!AI499)/(Risultati!I499+Risultati!K499+Risultati!N499)*360)))</f>
        <v>0</v>
      </c>
      <c r="BX500" s="16" t="str">
        <f>IF(Risultati!AB499&gt;0,(+Risultati!AG499/Risultati!AB499),"0")</f>
        <v>0</v>
      </c>
      <c r="BY500" s="22" t="str">
        <f>IF(OR(E500="abbreviato",Risultati!G499=0),"0",(((Risultati!AK499-(Risultati!AL499+Risultati!AM499))/Risultati!G499)))</f>
        <v>0</v>
      </c>
      <c r="BZ500" s="16" t="str">
        <f>IF(Risultati!G499&gt;0,(Risultati!AJ499/Risultati!G499),"0")</f>
        <v>0</v>
      </c>
      <c r="CA500" s="8"/>
      <c r="CB500" s="9">
        <f>+Risultati!AP499</f>
        <v>0</v>
      </c>
      <c r="CC500" s="31" t="str">
        <f t="shared" si="414"/>
        <v>0</v>
      </c>
      <c r="CD500" s="9">
        <f>+Risultati!AQ499</f>
        <v>0</v>
      </c>
      <c r="CE500" s="31" t="str">
        <f t="shared" si="415"/>
        <v>0</v>
      </c>
      <c r="CF500" s="9">
        <f>+Risultati!AR499</f>
        <v>0</v>
      </c>
      <c r="CG500" s="31" t="str">
        <f t="shared" si="416"/>
        <v>0</v>
      </c>
      <c r="CH500" s="9">
        <f>+Risultati!AS499</f>
        <v>0</v>
      </c>
      <c r="CI500" s="31" t="str">
        <f t="shared" si="417"/>
        <v>0</v>
      </c>
      <c r="CJ500" s="9">
        <f t="shared" si="418"/>
        <v>0</v>
      </c>
      <c r="CK500" s="31" t="str">
        <f t="shared" si="419"/>
        <v>0</v>
      </c>
      <c r="CL500" s="10">
        <f>+Risultati!AE499+Risultati!AF499</f>
        <v>0</v>
      </c>
      <c r="CM500" s="31" t="str">
        <f t="shared" si="420"/>
        <v>0</v>
      </c>
      <c r="CN500" s="9">
        <f>+Risultati!AT499</f>
        <v>0</v>
      </c>
      <c r="CO500" s="31" t="str">
        <f t="shared" si="421"/>
        <v>0</v>
      </c>
      <c r="CP500" s="9">
        <f>+Risultati!AU499</f>
        <v>0</v>
      </c>
      <c r="CQ500" s="31" t="str">
        <f t="shared" si="422"/>
        <v>0</v>
      </c>
      <c r="CR500" s="9">
        <f>+Risultati!AL499</f>
        <v>0</v>
      </c>
      <c r="CS500" s="31" t="str">
        <f t="shared" si="423"/>
        <v>0</v>
      </c>
      <c r="CT500" s="9">
        <f t="shared" si="424"/>
        <v>0</v>
      </c>
      <c r="CU500" s="31" t="str">
        <f t="shared" si="425"/>
        <v>0</v>
      </c>
      <c r="CV500" s="9">
        <f>+Risultati!AX499</f>
        <v>0</v>
      </c>
      <c r="CW500" s="31" t="str">
        <f t="shared" si="426"/>
        <v>0</v>
      </c>
      <c r="CX500" s="9">
        <f t="shared" si="427"/>
        <v>0</v>
      </c>
      <c r="CY500" s="31" t="str">
        <f t="shared" si="428"/>
        <v>0</v>
      </c>
      <c r="CZ500" s="9">
        <f>+Risultati!AG499</f>
        <v>0</v>
      </c>
      <c r="DA500" s="31" t="str">
        <f t="shared" si="429"/>
        <v>0</v>
      </c>
      <c r="DB500" s="9">
        <f t="shared" si="430"/>
        <v>0</v>
      </c>
      <c r="DC500" s="31" t="str">
        <f t="shared" si="431"/>
        <v>0</v>
      </c>
      <c r="DD500" s="9">
        <f>+Risultati!AV499</f>
        <v>0</v>
      </c>
      <c r="DE500" s="31" t="str">
        <f t="shared" si="432"/>
        <v>0</v>
      </c>
      <c r="DF500" s="9">
        <f>+Risultati!AJ499</f>
        <v>0</v>
      </c>
      <c r="DG500" s="31" t="str">
        <f t="shared" si="433"/>
        <v>0</v>
      </c>
      <c r="DH500" s="9">
        <f t="shared" si="434"/>
        <v>0</v>
      </c>
      <c r="DI500" s="31" t="str">
        <f t="shared" si="435"/>
        <v>0</v>
      </c>
      <c r="DJ500" s="9">
        <f>+Risultati!AW499</f>
        <v>0</v>
      </c>
      <c r="DK500" s="31" t="str">
        <f t="shared" si="436"/>
        <v>0</v>
      </c>
      <c r="DL500" s="10">
        <f t="shared" si="407"/>
        <v>0</v>
      </c>
      <c r="DM500" s="31" t="str">
        <f t="shared" si="437"/>
        <v>0</v>
      </c>
      <c r="DO500" s="30"/>
      <c r="DP500" s="30"/>
    </row>
    <row r="501" spans="1:120" x14ac:dyDescent="0.2">
      <c r="A501" s="5"/>
      <c r="B501" s="6">
        <f>+Risultati!B500</f>
        <v>0</v>
      </c>
      <c r="C501" s="6">
        <f>+Risultati!C500</f>
        <v>0</v>
      </c>
      <c r="D501" s="26" t="str">
        <f>IF(YEAR(Risultati!D500)=1900,(MID(Risultati!$AP$1,29,4)),YEAR(Risultati!D500))</f>
        <v/>
      </c>
      <c r="E501" s="6">
        <f>+Risultati!E500</f>
        <v>0</v>
      </c>
      <c r="F501" s="8" t="e">
        <f>(LEFT(Risultati!AN500,2)&amp;"-")&amp;VLOOKUP((LEFT(Risultati!AN500,2)),ateco!$B$4:$C$93,2,FALSE)</f>
        <v>#N/A</v>
      </c>
      <c r="G501" s="8" t="str">
        <f>SUBSTITUTE((Risultati!AN500&amp;"-"&amp;Risultati!AO500),",",";")</f>
        <v>-</v>
      </c>
      <c r="I501" s="10">
        <f>+Risultati!G500</f>
        <v>0</v>
      </c>
      <c r="J501" s="11" t="str">
        <f t="shared" ref="J501:J502" si="438">IF(L501&lt;&gt;0,(I501/L501),"0")</f>
        <v>0</v>
      </c>
      <c r="K501" s="12"/>
      <c r="L501" s="10">
        <f>+Risultati!G500+Risultati!H500</f>
        <v>0</v>
      </c>
      <c r="M501" s="11" t="str">
        <f t="shared" ref="M501:M502" si="439">IF(L501&lt;&gt;0,(L501/(L501+U501)),"0")</f>
        <v>0</v>
      </c>
      <c r="N501" s="12"/>
      <c r="O501" s="10">
        <f>+Risultati!I500+Risultati!J500</f>
        <v>0</v>
      </c>
      <c r="P501" s="11" t="str">
        <f t="shared" ref="P501:P502" si="440">IF(L501&lt;&gt;0,(O501/(L501+U501)),"0")</f>
        <v>0</v>
      </c>
      <c r="Q501" s="12"/>
      <c r="R501" s="13">
        <f t="shared" ref="R501:R502" si="441">+L501-O501</f>
        <v>0</v>
      </c>
      <c r="S501" s="11" t="str">
        <f t="shared" ref="S501:S502" si="442">IF(L501&lt;&gt;0,(R501/(L501+U501)),"0")</f>
        <v>0</v>
      </c>
      <c r="T501" s="12"/>
      <c r="U501" s="10">
        <f>+Risultati!F500-(Risultati!G500+Risultati!H500)</f>
        <v>0</v>
      </c>
      <c r="V501" s="12" t="str">
        <f t="shared" ref="V501:V502" si="443">IF(L501&lt;&gt;0,(U501/(L501+U501)),"0")</f>
        <v>0</v>
      </c>
      <c r="W501" s="12"/>
      <c r="X501" s="10">
        <f t="shared" ref="X501:X502" si="444">+U501+R501</f>
        <v>0</v>
      </c>
      <c r="Y501" s="12" t="str">
        <f t="shared" ref="Y501:Y502" si="445">IF(L501&lt;&gt;0,(X501/(L501+U501)),"0")</f>
        <v>0</v>
      </c>
      <c r="Z501" s="12"/>
      <c r="AA501" s="10">
        <f>+Risultati!K500</f>
        <v>0</v>
      </c>
      <c r="AB501" s="12" t="str">
        <f t="shared" ref="AB501:AB502" si="446">IF(L501&lt;&gt;0,(AA501/(L501+U501)),"0")</f>
        <v>0</v>
      </c>
      <c r="AC501" s="12"/>
      <c r="AD501" s="10">
        <f>+Risultati!L500</f>
        <v>0</v>
      </c>
      <c r="AE501" s="12" t="str">
        <f t="shared" ref="AE501:AE502" si="447">IF(L501&lt;&gt;0,(AD501/(L501+U501)),"0")</f>
        <v>0</v>
      </c>
      <c r="AF501" s="12"/>
      <c r="AG501" s="10">
        <f>+Risultati!M500+Risultati!P500+Risultati!Q500</f>
        <v>0</v>
      </c>
      <c r="AH501" s="12" t="str">
        <f t="shared" ref="AH501:AH502" si="448">IF(L501&lt;&gt;0,(AG501/(L501+U501)),"0")</f>
        <v>0</v>
      </c>
      <c r="AI501" s="12"/>
      <c r="AJ501" s="13">
        <f t="shared" ref="AJ501:AJ502" si="449">+X501-AA501-AD501-AG501</f>
        <v>0</v>
      </c>
      <c r="AK501" s="11" t="str">
        <f t="shared" ref="AK501:AK502" si="450">IF(L501&lt;&gt;0,(AJ501/(L501+U501)),"0")</f>
        <v>0</v>
      </c>
      <c r="AL501" s="12"/>
      <c r="AM501" s="10">
        <f>+Risultati!N500</f>
        <v>0</v>
      </c>
      <c r="AN501" s="12" t="str">
        <f t="shared" ref="AN501:AN502" si="451">IF(L501&lt;&gt;0,(AM501/(L501+U501)),"0")</f>
        <v>0</v>
      </c>
      <c r="AO501" s="12"/>
      <c r="AP501" s="10">
        <f t="shared" ref="AP501:AP502" si="452">+AJ501-AM501</f>
        <v>0</v>
      </c>
      <c r="AQ501" s="41" t="str">
        <f t="shared" ref="AQ501:AQ502" si="453">IF(L501&lt;&gt;0,(AP501/(L501+U501)),"0")</f>
        <v>0</v>
      </c>
      <c r="AR501" s="12"/>
      <c r="AS501" s="10">
        <f>+Risultati!O500</f>
        <v>0</v>
      </c>
      <c r="AT501" s="12" t="str">
        <f t="shared" ref="AT501:AT502" si="454">IF(L501&lt;&gt;0,(AS501/(L501+U501)),"0")</f>
        <v>0</v>
      </c>
      <c r="AU501" s="12"/>
      <c r="AV501" s="10">
        <f t="shared" ref="AV501:AV502" si="455">+AP501-AS501</f>
        <v>0</v>
      </c>
      <c r="AW501" s="12" t="str">
        <f t="shared" ref="AW501:AW502" si="456">IF(L501&lt;&gt;0,(AV501/(L501+U501)),"0")</f>
        <v>0</v>
      </c>
      <c r="AX501" s="12"/>
      <c r="AY501" s="10">
        <f>+Risultati!R500+Risultati!S500</f>
        <v>0</v>
      </c>
      <c r="AZ501" s="12" t="str">
        <f t="shared" ref="AZ501:AZ502" si="457">IF(L501&lt;&gt;0,(AY501/(L501+U501)),"0")</f>
        <v>0</v>
      </c>
      <c r="BA501" s="12"/>
      <c r="BB501" s="10">
        <f>+Risultati!T500</f>
        <v>0</v>
      </c>
      <c r="BC501" s="12" t="str">
        <f t="shared" ref="BC501:BC502" si="458">IF(L501&lt;&gt;0,(BB501/(L501+U501)),"0")</f>
        <v>0</v>
      </c>
      <c r="BD501" s="12"/>
      <c r="BE501" s="10">
        <f>+Risultati!U500</f>
        <v>0</v>
      </c>
      <c r="BF501" s="12" t="str">
        <f t="shared" ref="BF501:BF502" si="459">IF(L501&lt;&gt;0,(BE501/(L501+U501)),"0")</f>
        <v>0</v>
      </c>
      <c r="BG501" s="12"/>
      <c r="BH501" s="10">
        <f t="shared" ref="BH501:BH502" si="460">+AV501+AY501+BB501-BE501</f>
        <v>0</v>
      </c>
      <c r="BI501" s="12" t="str">
        <f t="shared" ref="BI501:BI502" si="461">IF(L501&lt;&gt;0,(+BH501/(L501+U501)),"0")</f>
        <v>0</v>
      </c>
      <c r="BK501" s="16">
        <f>IF(ISNUMBER(Risultati!X500/100),(Risultati!X500/100))</f>
        <v>0</v>
      </c>
      <c r="BL501" s="16">
        <f>IF(ISNUMBER(Risultati!Y500/100),(Risultati!Y500/100))</f>
        <v>0</v>
      </c>
      <c r="BM501" s="16">
        <f>IF(ISNUMBER(Risultati!Z500/100),(Risultati!Z500/100))</f>
        <v>0</v>
      </c>
      <c r="BN501" s="16">
        <f>IF(AND(Risultati!AY500&lt;0,calcoli!AP501&lt;0),-IF(ISNUMBER(Risultati!AA500/100),(Risultati!AA500/100)),IF(ISNUMBER(Risultati!AA500/100),(Risultati!AA500/100)))</f>
        <v>0</v>
      </c>
      <c r="BO501" s="16" t="str">
        <f t="shared" si="387"/>
        <v>0</v>
      </c>
      <c r="BP501" s="16" t="str">
        <f>IF(Risultati!AB500&gt;0,(AV501/Risultati!AB500),"0")</f>
        <v>0</v>
      </c>
      <c r="BQ501" s="16" t="str">
        <f>IF(Risultati!AG500&lt;&gt;0,(BH501/Risultati!AG500),"0")</f>
        <v>0</v>
      </c>
      <c r="BR501" s="16" t="str">
        <f t="shared" si="388"/>
        <v>0</v>
      </c>
      <c r="BS501" s="14" t="str">
        <f>IF(Risultati!AB500&gt;0,(Risultati!G500/Risultati!AB500),"0")</f>
        <v>0</v>
      </c>
      <c r="BT501" s="15" t="str">
        <f>IF(Risultati!AG500&lt;&gt;0,(Risultati!AB500/Risultati!AG500),"0")</f>
        <v>0</v>
      </c>
      <c r="BU501" s="23" t="str">
        <f>IF(AND(Risultati!G500&gt;0,(Risultati!AE500-Risultati!AF500)&gt;=0),((Risultati!AE500-Risultati!AF500)/Risultati!G500*360),"0")</f>
        <v>0</v>
      </c>
      <c r="BV501" s="21" t="str">
        <f>IF(OR(E501="abbreviato",Risultati!G500=0),"0",((Risultati!AC500+Risultati!AD500)/Risultati!G500*360))</f>
        <v>0</v>
      </c>
      <c r="BW501" s="21" t="str">
        <f>IF(OR(E501="abbreviato",Risultati!G500=0,SUM(Risultati!I500+Risultati!K500+Risultati!M500)=0),"0",(((Risultati!AH500+Risultati!AI500)/(Risultati!I500+Risultati!K500+Risultati!N500)*360)))</f>
        <v>0</v>
      </c>
      <c r="BX501" s="16" t="str">
        <f>IF(Risultati!AB500&gt;0,(+Risultati!AG500/Risultati!AB500),"0")</f>
        <v>0</v>
      </c>
      <c r="BY501" s="22" t="str">
        <f>IF(OR(E501="abbreviato",Risultati!G500=0),"0",(((Risultati!AK500-(Risultati!AL500+Risultati!AM500))/Risultati!G500)))</f>
        <v>0</v>
      </c>
      <c r="BZ501" s="16" t="str">
        <f>IF(Risultati!G500&gt;0,(Risultati!AJ500/Risultati!G500),"0")</f>
        <v>0</v>
      </c>
      <c r="CA501" s="8"/>
      <c r="CB501" s="9">
        <f>+Risultati!AP500</f>
        <v>0</v>
      </c>
      <c r="CC501" s="31" t="str">
        <f t="shared" ref="CC501:CC502" si="462">IF($CX501&gt;0,(CB501/$CX501),"0")</f>
        <v>0</v>
      </c>
      <c r="CD501" s="9">
        <f>+Risultati!AQ500</f>
        <v>0</v>
      </c>
      <c r="CE501" s="31" t="str">
        <f t="shared" ref="CE501:CE502" si="463">IF($CX501&gt;0,(CD501/$CX501),"0")</f>
        <v>0</v>
      </c>
      <c r="CF501" s="9">
        <f>+Risultati!AR500</f>
        <v>0</v>
      </c>
      <c r="CG501" s="31" t="str">
        <f t="shared" ref="CG501:CG502" si="464">IF($CX501&gt;0,(CF501/$CX501),"0")</f>
        <v>0</v>
      </c>
      <c r="CH501" s="9">
        <f>+Risultati!AS500</f>
        <v>0</v>
      </c>
      <c r="CI501" s="31" t="str">
        <f t="shared" ref="CI501:CI502" si="465">IF($CX501&gt;0,(CH501/$CX501),"0")</f>
        <v>0</v>
      </c>
      <c r="CJ501" s="9">
        <f t="shared" ref="CJ501:CJ502" si="466">+CH501+CF501+CD501</f>
        <v>0</v>
      </c>
      <c r="CK501" s="31" t="str">
        <f t="shared" ref="CK501:CK502" si="467">IF($CX501&gt;0,(CJ501/$CX501),"0")</f>
        <v>0</v>
      </c>
      <c r="CL501" s="10">
        <f>+Risultati!AE500+Risultati!AF500</f>
        <v>0</v>
      </c>
      <c r="CM501" s="31" t="str">
        <f t="shared" ref="CM501:CM502" si="468">IF($CX501&gt;0,(CL501/$CX501),"0")</f>
        <v>0</v>
      </c>
      <c r="CN501" s="9">
        <f>+Risultati!AT500</f>
        <v>0</v>
      </c>
      <c r="CO501" s="31" t="str">
        <f t="shared" ref="CO501:CO502" si="469">IF($CX501&gt;0,(CN501/$CX501),"0")</f>
        <v>0</v>
      </c>
      <c r="CP501" s="9">
        <f>+Risultati!AU500</f>
        <v>0</v>
      </c>
      <c r="CQ501" s="31" t="str">
        <f t="shared" ref="CQ501:CQ502" si="470">IF($CX501&gt;0,(CP501/$CX501),"0")</f>
        <v>0</v>
      </c>
      <c r="CR501" s="9">
        <f>+Risultati!AL500</f>
        <v>0</v>
      </c>
      <c r="CS501" s="31" t="str">
        <f t="shared" ref="CS501:CS502" si="471">IF($CX501&gt;0,(CR501/$CX501),"0")</f>
        <v>0</v>
      </c>
      <c r="CT501" s="9">
        <f t="shared" ref="CT501:CT502" si="472">+CR501+CP501+CN501+CL501</f>
        <v>0</v>
      </c>
      <c r="CU501" s="31" t="str">
        <f t="shared" ref="CU501:CU502" si="473">IF($CX501&gt;0,(CT501/$CX501),"0")</f>
        <v>0</v>
      </c>
      <c r="CV501" s="9">
        <f>+Risultati!AX500</f>
        <v>0</v>
      </c>
      <c r="CW501" s="31" t="str">
        <f t="shared" ref="CW501:CW502" si="474">IF($CX501&gt;0,(CV501/$CX501),"0")</f>
        <v>0</v>
      </c>
      <c r="CX501" s="9">
        <f t="shared" ref="CX501:CX502" si="475">+CV501+CT501+CJ501</f>
        <v>0</v>
      </c>
      <c r="CY501" s="31" t="str">
        <f t="shared" ref="CY501:CY502" si="476">IF($CX501&gt;0,(CX501/$CX501),"0")</f>
        <v>0</v>
      </c>
      <c r="CZ501" s="9">
        <f>+Risultati!AG500</f>
        <v>0</v>
      </c>
      <c r="DA501" s="31" t="str">
        <f t="shared" ref="DA501:DA502" si="477">IF($CX501&gt;0,(CZ501/$CX501),"0")</f>
        <v>0</v>
      </c>
      <c r="DB501" s="9">
        <f t="shared" ref="DB501:DB502" si="478">+DL501-CZ501-DD501-DJ501</f>
        <v>0</v>
      </c>
      <c r="DC501" s="31" t="str">
        <f t="shared" ref="DC501:DC502" si="479">IF($CX501&gt;0,(DB501/$CX501),"0")</f>
        <v>0</v>
      </c>
      <c r="DD501" s="9">
        <f>+Risultati!AV500</f>
        <v>0</v>
      </c>
      <c r="DE501" s="31" t="str">
        <f t="shared" ref="DE501:DE502" si="480">IF($CX501&gt;0,(DD501/$CX501),"0")</f>
        <v>0</v>
      </c>
      <c r="DF501" s="9">
        <f>+Risultati!AJ500</f>
        <v>0</v>
      </c>
      <c r="DG501" s="31" t="str">
        <f t="shared" ref="DG501:DG502" si="481">IF($CX501&gt;0,(DF501/$CX501),"0")</f>
        <v>0</v>
      </c>
      <c r="DH501" s="9">
        <f t="shared" ref="DH501:DH502" si="482">+DD501-DF501</f>
        <v>0</v>
      </c>
      <c r="DI501" s="31" t="str">
        <f t="shared" ref="DI501:DI502" si="483">IF($CX501&gt;0,(DH501/$CX501),"0")</f>
        <v>0</v>
      </c>
      <c r="DJ501" s="9">
        <f>+Risultati!AW500</f>
        <v>0</v>
      </c>
      <c r="DK501" s="31" t="str">
        <f t="shared" ref="DK501:DK502" si="484">IF($CX501&gt;0,(DJ501/$CX501),"0")</f>
        <v>0</v>
      </c>
      <c r="DL501" s="10">
        <f t="shared" ref="DL501:DL502" si="485">+CX501</f>
        <v>0</v>
      </c>
      <c r="DM501" s="31" t="str">
        <f t="shared" ref="DM501:DM502" si="486">IF($CX501&gt;0,(DL501/$CX501),"0")</f>
        <v>0</v>
      </c>
      <c r="DO501" s="30"/>
      <c r="DP501" s="30"/>
    </row>
    <row r="502" spans="1:120" x14ac:dyDescent="0.2">
      <c r="A502" s="5"/>
      <c r="B502" s="6">
        <f>+Risultati!B501</f>
        <v>0</v>
      </c>
      <c r="C502" s="6">
        <f>+Risultati!C501</f>
        <v>0</v>
      </c>
      <c r="D502" s="26" t="str">
        <f>IF(YEAR(Risultati!D501)=1900,(MID(Risultati!$AP$1,29,4)),YEAR(Risultati!D501))</f>
        <v/>
      </c>
      <c r="E502" s="6">
        <f>+Risultati!E501</f>
        <v>0</v>
      </c>
      <c r="F502" s="8" t="e">
        <f>(LEFT(Risultati!AN501,2)&amp;"-")&amp;VLOOKUP((LEFT(Risultati!AN501,2)),ateco!$B$4:$C$93,2,FALSE)</f>
        <v>#N/A</v>
      </c>
      <c r="G502" s="8" t="str">
        <f>SUBSTITUTE((Risultati!AN501&amp;"-"&amp;Risultati!AO501),",",";")</f>
        <v>-</v>
      </c>
      <c r="I502" s="10">
        <f>+Risultati!G501</f>
        <v>0</v>
      </c>
      <c r="J502" s="11" t="str">
        <f t="shared" si="438"/>
        <v>0</v>
      </c>
      <c r="K502" s="12"/>
      <c r="L502" s="10">
        <f>+Risultati!G501+Risultati!H501</f>
        <v>0</v>
      </c>
      <c r="M502" s="11" t="str">
        <f t="shared" si="439"/>
        <v>0</v>
      </c>
      <c r="N502" s="12"/>
      <c r="O502" s="10">
        <f>+Risultati!I501+Risultati!J501</f>
        <v>0</v>
      </c>
      <c r="P502" s="11" t="str">
        <f t="shared" si="440"/>
        <v>0</v>
      </c>
      <c r="Q502" s="12"/>
      <c r="R502" s="13">
        <f t="shared" si="441"/>
        <v>0</v>
      </c>
      <c r="S502" s="11" t="str">
        <f t="shared" si="442"/>
        <v>0</v>
      </c>
      <c r="T502" s="12"/>
      <c r="U502" s="10">
        <f>+Risultati!F501-(Risultati!G501+Risultati!H501)</f>
        <v>0</v>
      </c>
      <c r="V502" s="12" t="str">
        <f t="shared" si="443"/>
        <v>0</v>
      </c>
      <c r="W502" s="12"/>
      <c r="X502" s="10">
        <f t="shared" si="444"/>
        <v>0</v>
      </c>
      <c r="Y502" s="12" t="str">
        <f t="shared" si="445"/>
        <v>0</v>
      </c>
      <c r="Z502" s="12"/>
      <c r="AA502" s="10">
        <f>+Risultati!K501</f>
        <v>0</v>
      </c>
      <c r="AB502" s="12" t="str">
        <f t="shared" si="446"/>
        <v>0</v>
      </c>
      <c r="AC502" s="12"/>
      <c r="AD502" s="10">
        <f>+Risultati!L501</f>
        <v>0</v>
      </c>
      <c r="AE502" s="12" t="str">
        <f t="shared" si="447"/>
        <v>0</v>
      </c>
      <c r="AF502" s="12"/>
      <c r="AG502" s="10">
        <f>+Risultati!M501+Risultati!P501+Risultati!Q501</f>
        <v>0</v>
      </c>
      <c r="AH502" s="12" t="str">
        <f t="shared" si="448"/>
        <v>0</v>
      </c>
      <c r="AI502" s="12"/>
      <c r="AJ502" s="13">
        <f t="shared" si="449"/>
        <v>0</v>
      </c>
      <c r="AK502" s="11" t="str">
        <f t="shared" si="450"/>
        <v>0</v>
      </c>
      <c r="AL502" s="12"/>
      <c r="AM502" s="10">
        <f>+Risultati!N501</f>
        <v>0</v>
      </c>
      <c r="AN502" s="12" t="str">
        <f t="shared" si="451"/>
        <v>0</v>
      </c>
      <c r="AO502" s="12"/>
      <c r="AP502" s="10">
        <f t="shared" si="452"/>
        <v>0</v>
      </c>
      <c r="AQ502" s="41" t="str">
        <f t="shared" si="453"/>
        <v>0</v>
      </c>
      <c r="AR502" s="12"/>
      <c r="AS502" s="10">
        <f>+Risultati!O501</f>
        <v>0</v>
      </c>
      <c r="AT502" s="12" t="str">
        <f t="shared" si="454"/>
        <v>0</v>
      </c>
      <c r="AU502" s="12"/>
      <c r="AV502" s="10">
        <f t="shared" si="455"/>
        <v>0</v>
      </c>
      <c r="AW502" s="12" t="str">
        <f t="shared" si="456"/>
        <v>0</v>
      </c>
      <c r="AX502" s="12"/>
      <c r="AY502" s="10">
        <f>+Risultati!R501+Risultati!S501</f>
        <v>0</v>
      </c>
      <c r="AZ502" s="12" t="str">
        <f t="shared" si="457"/>
        <v>0</v>
      </c>
      <c r="BA502" s="12"/>
      <c r="BB502" s="10">
        <f>+Risultati!T501</f>
        <v>0</v>
      </c>
      <c r="BC502" s="12" t="str">
        <f t="shared" si="458"/>
        <v>0</v>
      </c>
      <c r="BD502" s="12"/>
      <c r="BE502" s="10">
        <f>+Risultati!U501</f>
        <v>0</v>
      </c>
      <c r="BF502" s="12" t="str">
        <f t="shared" si="459"/>
        <v>0</v>
      </c>
      <c r="BG502" s="12"/>
      <c r="BH502" s="10">
        <f t="shared" si="460"/>
        <v>0</v>
      </c>
      <c r="BI502" s="12" t="str">
        <f t="shared" si="461"/>
        <v>0</v>
      </c>
      <c r="BK502" s="16">
        <f>IF(ISNUMBER(Risultati!X501/100),(Risultati!X501/100))</f>
        <v>0</v>
      </c>
      <c r="BL502" s="16">
        <f>IF(ISNUMBER(Risultati!Y501/100),(Risultati!Y501/100))</f>
        <v>0</v>
      </c>
      <c r="BM502" s="16">
        <f>IF(ISNUMBER(Risultati!Z501/100),(Risultati!Z501/100))</f>
        <v>0</v>
      </c>
      <c r="BN502" s="16">
        <f>IF(AND(Risultati!AY501&lt;0,calcoli!AP502&lt;0),-IF(ISNUMBER(Risultati!AA501/100),(Risultati!AA501/100)),IF(ISNUMBER(Risultati!AA501/100),(Risultati!AA501/100)))</f>
        <v>0</v>
      </c>
      <c r="BO502" s="16" t="str">
        <f t="shared" si="387"/>
        <v>0</v>
      </c>
      <c r="BP502" s="16" t="str">
        <f>IF(Risultati!AB501&gt;0,(AV502/Risultati!AB501),"0")</f>
        <v>0</v>
      </c>
      <c r="BQ502" s="16" t="str">
        <f>IF(Risultati!AG501&lt;&gt;0,(BH502/Risultati!AG501),"0")</f>
        <v>0</v>
      </c>
      <c r="BR502" s="16" t="str">
        <f t="shared" si="388"/>
        <v>0</v>
      </c>
      <c r="BS502" s="14" t="str">
        <f>IF(Risultati!AB501&gt;0,(Risultati!G501/Risultati!AB501),"0")</f>
        <v>0</v>
      </c>
      <c r="BT502" s="15" t="str">
        <f>IF(Risultati!AG501&lt;&gt;0,(Risultati!AB501/Risultati!AG501),"0")</f>
        <v>0</v>
      </c>
      <c r="BU502" s="23" t="str">
        <f>IF(AND(Risultati!G501&gt;0,(Risultati!AE501-Risultati!AF501)&gt;=0),((Risultati!AE501-Risultati!AF501)/Risultati!G501*360),"0")</f>
        <v>0</v>
      </c>
      <c r="BV502" s="21" t="str">
        <f>IF(OR(E502="abbreviato",Risultati!G501=0),"0",((Risultati!AC501+Risultati!AD501)/Risultati!G501*360))</f>
        <v>0</v>
      </c>
      <c r="BW502" s="21" t="str">
        <f>IF(OR(E502="abbreviato",Risultati!G501=0,SUM(Risultati!I501+Risultati!K501+Risultati!M501)=0),"0",(((Risultati!AH501+Risultati!AI501)/(Risultati!I501+Risultati!K501+Risultati!N501)*360)))</f>
        <v>0</v>
      </c>
      <c r="BX502" s="16" t="str">
        <f>IF(Risultati!AB501&gt;0,(+Risultati!AG501/Risultati!AB501),"0")</f>
        <v>0</v>
      </c>
      <c r="BY502" s="22" t="str">
        <f>IF(OR(E502="abbreviato",Risultati!G501=0),"0",(((Risultati!AK501-(Risultati!AL501+Risultati!AM501))/Risultati!G501)))</f>
        <v>0</v>
      </c>
      <c r="BZ502" s="16" t="str">
        <f>IF(Risultati!G501&gt;0,(Risultati!AJ501/Risultati!G501),"0")</f>
        <v>0</v>
      </c>
      <c r="CA502" s="8"/>
      <c r="CB502" s="9">
        <f>+Risultati!AP501</f>
        <v>0</v>
      </c>
      <c r="CC502" s="31" t="str">
        <f t="shared" si="462"/>
        <v>0</v>
      </c>
      <c r="CD502" s="9">
        <f>+Risultati!AQ501</f>
        <v>0</v>
      </c>
      <c r="CE502" s="31" t="str">
        <f t="shared" si="463"/>
        <v>0</v>
      </c>
      <c r="CF502" s="9">
        <f>+Risultati!AR501</f>
        <v>0</v>
      </c>
      <c r="CG502" s="31" t="str">
        <f t="shared" si="464"/>
        <v>0</v>
      </c>
      <c r="CH502" s="9">
        <f>+Risultati!AS501</f>
        <v>0</v>
      </c>
      <c r="CI502" s="31" t="str">
        <f t="shared" si="465"/>
        <v>0</v>
      </c>
      <c r="CJ502" s="9">
        <f t="shared" si="466"/>
        <v>0</v>
      </c>
      <c r="CK502" s="31" t="str">
        <f t="shared" si="467"/>
        <v>0</v>
      </c>
      <c r="CL502" s="10">
        <f>+Risultati!AE501+Risultati!AF501</f>
        <v>0</v>
      </c>
      <c r="CM502" s="31" t="str">
        <f t="shared" si="468"/>
        <v>0</v>
      </c>
      <c r="CN502" s="9">
        <f>+Risultati!AT501</f>
        <v>0</v>
      </c>
      <c r="CO502" s="31" t="str">
        <f t="shared" si="469"/>
        <v>0</v>
      </c>
      <c r="CP502" s="9">
        <f>+Risultati!AU501</f>
        <v>0</v>
      </c>
      <c r="CQ502" s="31" t="str">
        <f t="shared" si="470"/>
        <v>0</v>
      </c>
      <c r="CR502" s="9">
        <f>+Risultati!AL501</f>
        <v>0</v>
      </c>
      <c r="CS502" s="31" t="str">
        <f t="shared" si="471"/>
        <v>0</v>
      </c>
      <c r="CT502" s="9">
        <f t="shared" si="472"/>
        <v>0</v>
      </c>
      <c r="CU502" s="31" t="str">
        <f t="shared" si="473"/>
        <v>0</v>
      </c>
      <c r="CV502" s="9">
        <f>+Risultati!AX501</f>
        <v>0</v>
      </c>
      <c r="CW502" s="31" t="str">
        <f t="shared" si="474"/>
        <v>0</v>
      </c>
      <c r="CX502" s="9">
        <f t="shared" si="475"/>
        <v>0</v>
      </c>
      <c r="CY502" s="31" t="str">
        <f t="shared" si="476"/>
        <v>0</v>
      </c>
      <c r="CZ502" s="9">
        <f>+Risultati!AG501</f>
        <v>0</v>
      </c>
      <c r="DA502" s="31" t="str">
        <f t="shared" si="477"/>
        <v>0</v>
      </c>
      <c r="DB502" s="9">
        <f t="shared" si="478"/>
        <v>0</v>
      </c>
      <c r="DC502" s="31" t="str">
        <f t="shared" si="479"/>
        <v>0</v>
      </c>
      <c r="DD502" s="9">
        <f>+Risultati!AV501</f>
        <v>0</v>
      </c>
      <c r="DE502" s="31" t="str">
        <f t="shared" si="480"/>
        <v>0</v>
      </c>
      <c r="DF502" s="9">
        <f>+Risultati!AJ501</f>
        <v>0</v>
      </c>
      <c r="DG502" s="31" t="str">
        <f t="shared" si="481"/>
        <v>0</v>
      </c>
      <c r="DH502" s="9">
        <f t="shared" si="482"/>
        <v>0</v>
      </c>
      <c r="DI502" s="31" t="str">
        <f t="shared" si="483"/>
        <v>0</v>
      </c>
      <c r="DJ502" s="9">
        <f>+Risultati!AW501</f>
        <v>0</v>
      </c>
      <c r="DK502" s="31" t="str">
        <f t="shared" si="484"/>
        <v>0</v>
      </c>
      <c r="DL502" s="10">
        <f t="shared" si="485"/>
        <v>0</v>
      </c>
      <c r="DM502" s="31" t="str">
        <f t="shared" si="486"/>
        <v>0</v>
      </c>
      <c r="DO502" s="30"/>
      <c r="DP502" s="30"/>
    </row>
  </sheetData>
  <mergeCells count="18">
    <mergeCell ref="AV1:AX1"/>
    <mergeCell ref="AY1:BA1"/>
    <mergeCell ref="BB1:BD1"/>
    <mergeCell ref="BE1:BG1"/>
    <mergeCell ref="BH1:BJ1"/>
    <mergeCell ref="I1:K1"/>
    <mergeCell ref="AS1:AU1"/>
    <mergeCell ref="L1:N1"/>
    <mergeCell ref="O1:Q1"/>
    <mergeCell ref="R1:T1"/>
    <mergeCell ref="U1:W1"/>
    <mergeCell ref="X1:Z1"/>
    <mergeCell ref="AA1:AC1"/>
    <mergeCell ref="AD1:AF1"/>
    <mergeCell ref="AG1:AI1"/>
    <mergeCell ref="AJ1:AL1"/>
    <mergeCell ref="AM1:AO1"/>
    <mergeCell ref="AP1:AR1"/>
  </mergeCells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BFCBB47-2DF4-4328-9D46-DE433F1E4F0C}">
            <xm:f>AND(Risultati!AY2&lt;0,AP3&lt;0)</xm:f>
            <x14:dxf>
              <fill>
                <patternFill>
                  <bgColor rgb="FFFFC000"/>
                </patternFill>
              </fill>
            </x14:dxf>
          </x14:cfRule>
          <xm:sqref>BN3:BN502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M28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2.75" x14ac:dyDescent="0.2"/>
  <cols>
    <col min="1" max="1" width="13.28515625" style="9" bestFit="1" customWidth="1"/>
    <col min="2" max="2" width="31.5703125" style="9" customWidth="1"/>
    <col min="3" max="3" width="13.7109375" style="9" bestFit="1" customWidth="1"/>
    <col min="4" max="4" width="11.85546875" style="9" bestFit="1" customWidth="1"/>
    <col min="5" max="5" width="14" style="9" bestFit="1" customWidth="1"/>
    <col min="6" max="7" width="22.7109375" style="9" customWidth="1"/>
    <col min="8" max="8" width="11.5703125" style="9" customWidth="1"/>
    <col min="9" max="9" width="15.7109375" style="9" bestFit="1" customWidth="1"/>
    <col min="10" max="10" width="7.5703125" style="9" bestFit="1" customWidth="1"/>
    <col min="11" max="11" width="4.5703125" style="9" bestFit="1" customWidth="1"/>
    <col min="12" max="12" width="15.7109375" style="9" bestFit="1" customWidth="1"/>
    <col min="13" max="13" width="7.5703125" style="9" bestFit="1" customWidth="1"/>
    <col min="14" max="14" width="4.5703125" style="9" bestFit="1" customWidth="1"/>
    <col min="15" max="15" width="15.7109375" style="9" bestFit="1" customWidth="1"/>
    <col min="16" max="16" width="6.42578125" style="9" bestFit="1" customWidth="1"/>
    <col min="17" max="17" width="4.5703125" style="9" bestFit="1" customWidth="1"/>
    <col min="18" max="18" width="14" style="9" bestFit="1" customWidth="1"/>
    <col min="19" max="19" width="9.140625" style="9" bestFit="1" customWidth="1"/>
    <col min="20" max="20" width="11" style="9" customWidth="1"/>
    <col min="21" max="21" width="14" style="9" bestFit="1" customWidth="1"/>
    <col min="22" max="22" width="9.140625" style="9" bestFit="1" customWidth="1"/>
    <col min="23" max="23" width="11" style="9" customWidth="1"/>
    <col min="24" max="24" width="14" style="9" bestFit="1" customWidth="1"/>
    <col min="25" max="25" width="6.42578125" style="9" bestFit="1" customWidth="1"/>
    <col min="26" max="26" width="4.5703125" style="9" bestFit="1" customWidth="1"/>
    <col min="27" max="27" width="14" style="9" bestFit="1" customWidth="1"/>
    <col min="28" max="28" width="6.7109375" style="9" bestFit="1" customWidth="1"/>
    <col min="29" max="29" width="4.5703125" style="9" bestFit="1" customWidth="1"/>
    <col min="30" max="30" width="14" style="9" bestFit="1" customWidth="1"/>
    <col min="31" max="31" width="6.42578125" style="9" bestFit="1" customWidth="1"/>
    <col min="32" max="32" width="4.5703125" style="9" bestFit="1" customWidth="1"/>
    <col min="33" max="33" width="12.7109375" style="9" bestFit="1" customWidth="1"/>
    <col min="34" max="34" width="7.7109375" style="9" bestFit="1" customWidth="1"/>
    <col min="35" max="35" width="4.5703125" style="9" bestFit="1" customWidth="1"/>
    <col min="36" max="36" width="14" style="9" bestFit="1" customWidth="1"/>
    <col min="37" max="37" width="8.28515625" style="9" bestFit="1" customWidth="1"/>
    <col min="38" max="38" width="4.5703125" style="9" bestFit="1" customWidth="1"/>
    <col min="39" max="39" width="12.7109375" style="9" bestFit="1" customWidth="1"/>
    <col min="40" max="40" width="6.7109375" style="9" bestFit="1" customWidth="1"/>
    <col min="41" max="41" width="4.5703125" style="9" bestFit="1" customWidth="1"/>
    <col min="42" max="42" width="12.7109375" style="9" bestFit="1" customWidth="1"/>
    <col min="43" max="43" width="8.28515625" style="9" bestFit="1" customWidth="1"/>
    <col min="44" max="44" width="4.5703125" style="9" bestFit="1" customWidth="1"/>
    <col min="45" max="45" width="12.7109375" style="9" bestFit="1" customWidth="1"/>
    <col min="46" max="46" width="6.7109375" style="9" bestFit="1" customWidth="1"/>
    <col min="47" max="47" width="4.5703125" style="9" bestFit="1" customWidth="1"/>
    <col min="48" max="48" width="11.5703125" style="9" bestFit="1" customWidth="1"/>
    <col min="49" max="49" width="8.28515625" style="9" bestFit="1" customWidth="1"/>
    <col min="50" max="50" width="4.5703125" style="9" bestFit="1" customWidth="1"/>
    <col min="51" max="51" width="9.85546875" style="9" bestFit="1" customWidth="1"/>
    <col min="52" max="52" width="6.7109375" style="9" bestFit="1" customWidth="1"/>
    <col min="53" max="53" width="4.5703125" style="9" bestFit="1" customWidth="1"/>
    <col min="54" max="54" width="9.85546875" style="9" bestFit="1" customWidth="1"/>
    <col min="55" max="55" width="6.7109375" style="9" bestFit="1" customWidth="1"/>
    <col min="56" max="56" width="4.5703125" style="9" bestFit="1" customWidth="1"/>
    <col min="57" max="57" width="11.5703125" style="9" bestFit="1" customWidth="1"/>
    <col min="58" max="58" width="7.7109375" style="9" bestFit="1" customWidth="1"/>
    <col min="59" max="59" width="4.5703125" style="9" bestFit="1" customWidth="1"/>
    <col min="60" max="60" width="11.5703125" style="9" bestFit="1" customWidth="1"/>
    <col min="61" max="61" width="8.28515625" style="9" bestFit="1" customWidth="1"/>
    <col min="62" max="62" width="4.5703125" style="9" bestFit="1" customWidth="1"/>
    <col min="63" max="63" width="13.28515625" style="9" bestFit="1" customWidth="1"/>
    <col min="64" max="65" width="10.5703125" style="9" bestFit="1" customWidth="1"/>
    <col min="66" max="66" width="12.42578125" style="9" bestFit="1" customWidth="1"/>
    <col min="67" max="67" width="10" style="9" bestFit="1" customWidth="1"/>
    <col min="68" max="68" width="7.28515625" style="9" bestFit="1" customWidth="1"/>
    <col min="69" max="69" width="8.28515625" style="9" bestFit="1" customWidth="1"/>
    <col min="70" max="70" width="10.85546875" style="9" bestFit="1" customWidth="1"/>
    <col min="71" max="71" width="13.42578125" style="9" bestFit="1" customWidth="1"/>
    <col min="72" max="72" width="12.7109375" style="9" bestFit="1" customWidth="1"/>
    <col min="73" max="73" width="13.5703125" style="9" bestFit="1" customWidth="1"/>
    <col min="74" max="74" width="14.5703125" style="9" bestFit="1" customWidth="1"/>
    <col min="75" max="75" width="15" style="9" bestFit="1" customWidth="1"/>
    <col min="76" max="76" width="10.5703125" style="9" bestFit="1" customWidth="1"/>
    <col min="77" max="77" width="12.5703125" style="9" bestFit="1" customWidth="1"/>
    <col min="78" max="78" width="12.28515625" style="9" customWidth="1"/>
    <col min="79" max="79" width="26.5703125" style="9" customWidth="1"/>
    <col min="80" max="80" width="12.7109375" style="9" customWidth="1"/>
    <col min="81" max="81" width="7.28515625" style="31" customWidth="1"/>
    <col min="82" max="82" width="12.7109375" style="9" customWidth="1"/>
    <col min="83" max="83" width="7.28515625" style="31" customWidth="1"/>
    <col min="84" max="84" width="12.7109375" style="9" customWidth="1"/>
    <col min="85" max="85" width="7.28515625" style="31" customWidth="1"/>
    <col min="86" max="86" width="12.7109375" style="9" customWidth="1"/>
    <col min="87" max="87" width="7.28515625" style="31" customWidth="1"/>
    <col min="88" max="88" width="12.7109375" style="9" customWidth="1"/>
    <col min="89" max="89" width="7.28515625" style="31" customWidth="1"/>
    <col min="90" max="90" width="12.7109375" style="9" customWidth="1"/>
    <col min="91" max="91" width="7.28515625" style="31" customWidth="1"/>
    <col min="92" max="92" width="12.7109375" style="9" customWidth="1"/>
    <col min="93" max="93" width="7.28515625" style="31" customWidth="1"/>
    <col min="94" max="94" width="12.7109375" style="9" customWidth="1"/>
    <col min="95" max="95" width="7.28515625" style="31" customWidth="1"/>
    <col min="96" max="96" width="12.7109375" style="9" customWidth="1"/>
    <col min="97" max="97" width="7.28515625" style="31" customWidth="1"/>
    <col min="98" max="98" width="12.7109375" style="9" customWidth="1"/>
    <col min="99" max="99" width="7.28515625" style="31" customWidth="1"/>
    <col min="100" max="100" width="12.7109375" style="9" customWidth="1"/>
    <col min="101" max="101" width="7.28515625" style="31" customWidth="1"/>
    <col min="102" max="102" width="12.7109375" style="9" customWidth="1"/>
    <col min="103" max="103" width="7.28515625" style="31" customWidth="1"/>
    <col min="104" max="104" width="12.7109375" style="9" customWidth="1"/>
    <col min="105" max="105" width="7.28515625" style="31" customWidth="1"/>
    <col min="106" max="106" width="12.7109375" style="9" customWidth="1"/>
    <col min="107" max="107" width="7.28515625" style="31" customWidth="1"/>
    <col min="108" max="108" width="12.7109375" style="9" customWidth="1"/>
    <col min="109" max="109" width="7.28515625" style="31" customWidth="1"/>
    <col min="110" max="110" width="12.7109375" style="9" customWidth="1"/>
    <col min="111" max="111" width="7.28515625" style="31" customWidth="1"/>
    <col min="112" max="112" width="12.7109375" style="9" customWidth="1"/>
    <col min="113" max="113" width="7.28515625" style="31" customWidth="1"/>
    <col min="114" max="114" width="12.7109375" style="9" customWidth="1"/>
    <col min="115" max="115" width="7.28515625" style="31" customWidth="1"/>
    <col min="116" max="116" width="12.7109375" style="9" customWidth="1"/>
    <col min="117" max="117" width="7.28515625" style="31" customWidth="1"/>
    <col min="118" max="16384" width="8.7109375" style="9"/>
  </cols>
  <sheetData>
    <row r="1" spans="1:117" s="3" customFormat="1" ht="76.5" x14ac:dyDescent="0.25">
      <c r="A1" s="32" t="s">
        <v>2</v>
      </c>
      <c r="B1" s="32" t="s">
        <v>0</v>
      </c>
      <c r="C1" s="32" t="s">
        <v>3</v>
      </c>
      <c r="D1" s="32" t="s">
        <v>4</v>
      </c>
      <c r="E1" s="32" t="s">
        <v>5</v>
      </c>
      <c r="F1" s="33" t="s">
        <v>6</v>
      </c>
      <c r="G1" s="33" t="s">
        <v>7</v>
      </c>
      <c r="H1" s="32" t="s">
        <v>8</v>
      </c>
      <c r="I1" s="63" t="s">
        <v>46</v>
      </c>
      <c r="J1" s="63"/>
      <c r="K1" s="63"/>
      <c r="L1" s="63" t="s">
        <v>9</v>
      </c>
      <c r="M1" s="63"/>
      <c r="N1" s="63"/>
      <c r="O1" s="64" t="s">
        <v>10</v>
      </c>
      <c r="P1" s="64"/>
      <c r="Q1" s="64"/>
      <c r="R1" s="63" t="s">
        <v>11</v>
      </c>
      <c r="S1" s="63"/>
      <c r="T1" s="63"/>
      <c r="U1" s="63" t="s">
        <v>12</v>
      </c>
      <c r="V1" s="63"/>
      <c r="W1" s="63"/>
      <c r="X1" s="64" t="s">
        <v>13</v>
      </c>
      <c r="Y1" s="64"/>
      <c r="Z1" s="64"/>
      <c r="AA1" s="64" t="s">
        <v>14</v>
      </c>
      <c r="AB1" s="64"/>
      <c r="AC1" s="64"/>
      <c r="AD1" s="64" t="s">
        <v>15</v>
      </c>
      <c r="AE1" s="64"/>
      <c r="AF1" s="64"/>
      <c r="AG1" s="64" t="s">
        <v>16</v>
      </c>
      <c r="AH1" s="64"/>
      <c r="AI1" s="64"/>
      <c r="AJ1" s="64" t="s">
        <v>17</v>
      </c>
      <c r="AK1" s="64"/>
      <c r="AL1" s="64"/>
      <c r="AM1" s="64" t="s">
        <v>18</v>
      </c>
      <c r="AN1" s="64"/>
      <c r="AO1" s="64"/>
      <c r="AP1" s="64" t="s">
        <v>19</v>
      </c>
      <c r="AQ1" s="64"/>
      <c r="AR1" s="64"/>
      <c r="AS1" s="64" t="s">
        <v>20</v>
      </c>
      <c r="AT1" s="64"/>
      <c r="AU1" s="64"/>
      <c r="AV1" s="64" t="s">
        <v>21</v>
      </c>
      <c r="AW1" s="64"/>
      <c r="AX1" s="64"/>
      <c r="AY1" s="64" t="s">
        <v>22</v>
      </c>
      <c r="AZ1" s="64"/>
      <c r="BA1" s="64"/>
      <c r="BB1" s="63" t="s">
        <v>23</v>
      </c>
      <c r="BC1" s="63"/>
      <c r="BD1" s="63"/>
      <c r="BE1" s="64" t="s">
        <v>24</v>
      </c>
      <c r="BF1" s="64"/>
      <c r="BG1" s="64"/>
      <c r="BH1" s="64" t="s">
        <v>25</v>
      </c>
      <c r="BI1" s="64"/>
      <c r="BJ1" s="64"/>
      <c r="BK1" s="3" t="s">
        <v>26</v>
      </c>
      <c r="BL1" s="3" t="s">
        <v>27</v>
      </c>
      <c r="BM1" s="3" t="s">
        <v>28</v>
      </c>
      <c r="BN1" s="3" t="s">
        <v>29</v>
      </c>
      <c r="BO1" s="3" t="s">
        <v>30</v>
      </c>
      <c r="BP1" s="3" t="s">
        <v>31</v>
      </c>
      <c r="BQ1" s="3" t="s">
        <v>32</v>
      </c>
      <c r="BR1" s="3" t="s">
        <v>33</v>
      </c>
      <c r="BS1" s="3" t="s">
        <v>34</v>
      </c>
      <c r="BT1" s="3" t="s">
        <v>35</v>
      </c>
      <c r="BU1" s="3" t="s">
        <v>36</v>
      </c>
      <c r="BV1" s="3" t="s">
        <v>37</v>
      </c>
      <c r="BW1" s="3" t="s">
        <v>38</v>
      </c>
      <c r="BX1" s="3" t="s">
        <v>39</v>
      </c>
      <c r="BY1" s="3" t="s">
        <v>40</v>
      </c>
      <c r="BZ1" s="3" t="s">
        <v>41</v>
      </c>
      <c r="CA1" s="34" t="s">
        <v>42</v>
      </c>
      <c r="CB1" s="3" t="s">
        <v>233</v>
      </c>
      <c r="CC1" s="35" t="s">
        <v>44</v>
      </c>
      <c r="CD1" s="3" t="s">
        <v>234</v>
      </c>
      <c r="CE1" s="35" t="s">
        <v>44</v>
      </c>
      <c r="CF1" s="3" t="s">
        <v>235</v>
      </c>
      <c r="CG1" s="35" t="s">
        <v>44</v>
      </c>
      <c r="CH1" s="3" t="s">
        <v>236</v>
      </c>
      <c r="CI1" s="35" t="s">
        <v>44</v>
      </c>
      <c r="CJ1" s="3" t="s">
        <v>243</v>
      </c>
      <c r="CK1" s="35" t="s">
        <v>44</v>
      </c>
      <c r="CL1" s="3" t="s">
        <v>237</v>
      </c>
      <c r="CM1" s="35" t="s">
        <v>44</v>
      </c>
      <c r="CN1" s="3" t="s">
        <v>238</v>
      </c>
      <c r="CO1" s="35" t="s">
        <v>44</v>
      </c>
      <c r="CP1" s="3" t="s">
        <v>239</v>
      </c>
      <c r="CQ1" s="35" t="s">
        <v>44</v>
      </c>
      <c r="CR1" s="3" t="s">
        <v>240</v>
      </c>
      <c r="CS1" s="35" t="s">
        <v>44</v>
      </c>
      <c r="CT1" s="3" t="s">
        <v>242</v>
      </c>
      <c r="CU1" s="35" t="s">
        <v>44</v>
      </c>
      <c r="CV1" s="3" t="s">
        <v>241</v>
      </c>
      <c r="CW1" s="35" t="s">
        <v>44</v>
      </c>
      <c r="CX1" s="3" t="s">
        <v>244</v>
      </c>
      <c r="CY1" s="35" t="s">
        <v>44</v>
      </c>
      <c r="CZ1" s="3" t="s">
        <v>245</v>
      </c>
      <c r="DA1" s="35" t="s">
        <v>44</v>
      </c>
      <c r="DB1" s="3" t="s">
        <v>249</v>
      </c>
      <c r="DC1" s="35" t="s">
        <v>44</v>
      </c>
      <c r="DD1" s="3" t="s">
        <v>246</v>
      </c>
      <c r="DE1" s="35" t="s">
        <v>44</v>
      </c>
      <c r="DF1" s="3" t="s">
        <v>247</v>
      </c>
      <c r="DG1" s="35" t="s">
        <v>44</v>
      </c>
      <c r="DH1" s="3" t="s">
        <v>248</v>
      </c>
      <c r="DI1" s="35" t="s">
        <v>44</v>
      </c>
      <c r="DJ1" s="3" t="s">
        <v>250</v>
      </c>
      <c r="DK1" s="35" t="s">
        <v>44</v>
      </c>
      <c r="DL1" s="3" t="s">
        <v>251</v>
      </c>
      <c r="DM1" s="35" t="s">
        <v>44</v>
      </c>
    </row>
    <row r="2" spans="1:117" s="17" customFormat="1" x14ac:dyDescent="0.2">
      <c r="F2" s="18"/>
      <c r="G2" s="18"/>
      <c r="I2" s="19" t="s">
        <v>43</v>
      </c>
      <c r="J2" s="19" t="s">
        <v>44</v>
      </c>
      <c r="K2" s="19" t="s">
        <v>45</v>
      </c>
      <c r="L2" s="19" t="s">
        <v>43</v>
      </c>
      <c r="M2" s="19" t="s">
        <v>44</v>
      </c>
      <c r="N2" s="19" t="s">
        <v>45</v>
      </c>
      <c r="O2" s="19" t="s">
        <v>43</v>
      </c>
      <c r="P2" s="19" t="s">
        <v>44</v>
      </c>
      <c r="Q2" s="19" t="s">
        <v>45</v>
      </c>
      <c r="R2" s="19" t="s">
        <v>43</v>
      </c>
      <c r="S2" s="19" t="s">
        <v>44</v>
      </c>
      <c r="T2" s="19" t="s">
        <v>45</v>
      </c>
      <c r="U2" s="19" t="s">
        <v>43</v>
      </c>
      <c r="V2" s="19" t="s">
        <v>44</v>
      </c>
      <c r="W2" s="19" t="s">
        <v>45</v>
      </c>
      <c r="X2" s="19" t="s">
        <v>43</v>
      </c>
      <c r="Y2" s="19" t="s">
        <v>44</v>
      </c>
      <c r="Z2" s="19" t="s">
        <v>45</v>
      </c>
      <c r="AA2" s="19" t="s">
        <v>43</v>
      </c>
      <c r="AB2" s="19" t="s">
        <v>44</v>
      </c>
      <c r="AC2" s="19" t="s">
        <v>45</v>
      </c>
      <c r="AD2" s="19" t="s">
        <v>43</v>
      </c>
      <c r="AE2" s="19" t="s">
        <v>44</v>
      </c>
      <c r="AF2" s="19" t="s">
        <v>45</v>
      </c>
      <c r="AG2" s="19" t="s">
        <v>43</v>
      </c>
      <c r="AH2" s="19" t="s">
        <v>44</v>
      </c>
      <c r="AI2" s="19" t="s">
        <v>45</v>
      </c>
      <c r="AJ2" s="19" t="s">
        <v>43</v>
      </c>
      <c r="AK2" s="19" t="s">
        <v>44</v>
      </c>
      <c r="AL2" s="19" t="s">
        <v>45</v>
      </c>
      <c r="AM2" s="19" t="s">
        <v>43</v>
      </c>
      <c r="AN2" s="19" t="s">
        <v>44</v>
      </c>
      <c r="AO2" s="19" t="s">
        <v>45</v>
      </c>
      <c r="AP2" s="19" t="s">
        <v>43</v>
      </c>
      <c r="AQ2" s="19" t="s">
        <v>44</v>
      </c>
      <c r="AR2" s="19" t="s">
        <v>45</v>
      </c>
      <c r="AS2" s="19" t="s">
        <v>43</v>
      </c>
      <c r="AT2" s="19" t="s">
        <v>44</v>
      </c>
      <c r="AU2" s="19" t="s">
        <v>45</v>
      </c>
      <c r="AV2" s="19" t="s">
        <v>43</v>
      </c>
      <c r="AW2" s="19" t="s">
        <v>44</v>
      </c>
      <c r="AX2" s="19" t="s">
        <v>45</v>
      </c>
      <c r="AY2" s="19" t="s">
        <v>43</v>
      </c>
      <c r="AZ2" s="19" t="s">
        <v>44</v>
      </c>
      <c r="BA2" s="19" t="s">
        <v>45</v>
      </c>
      <c r="BB2" s="19" t="s">
        <v>43</v>
      </c>
      <c r="BC2" s="19" t="s">
        <v>44</v>
      </c>
      <c r="BD2" s="19" t="s">
        <v>45</v>
      </c>
      <c r="BE2" s="19" t="s">
        <v>43</v>
      </c>
      <c r="BF2" s="19" t="s">
        <v>44</v>
      </c>
      <c r="BG2" s="19" t="s">
        <v>45</v>
      </c>
      <c r="BH2" s="19" t="s">
        <v>43</v>
      </c>
      <c r="BI2" s="19" t="s">
        <v>44</v>
      </c>
      <c r="BJ2" s="19" t="s">
        <v>45</v>
      </c>
      <c r="BK2" s="20"/>
      <c r="BL2" s="20"/>
      <c r="BM2" s="20"/>
      <c r="BN2" s="20"/>
      <c r="BO2" s="20"/>
      <c r="BP2" s="20"/>
      <c r="BQ2" s="20"/>
      <c r="BR2" s="20"/>
      <c r="CA2" s="18"/>
      <c r="CB2" s="19"/>
      <c r="CC2" s="36"/>
      <c r="CD2" s="19"/>
      <c r="CE2" s="36"/>
      <c r="CF2" s="19"/>
      <c r="CG2" s="36"/>
      <c r="CH2" s="19"/>
      <c r="CI2" s="36"/>
      <c r="CJ2" s="19"/>
      <c r="CK2" s="36"/>
      <c r="CL2" s="19"/>
      <c r="CM2" s="36"/>
      <c r="CN2" s="19"/>
      <c r="CO2" s="36"/>
      <c r="CP2" s="19"/>
      <c r="CQ2" s="36"/>
      <c r="CR2" s="19"/>
      <c r="CS2" s="36"/>
      <c r="CT2" s="19"/>
      <c r="CU2" s="36"/>
      <c r="CV2" s="19"/>
      <c r="CW2" s="36"/>
      <c r="CX2" s="19"/>
      <c r="CY2" s="36"/>
      <c r="CZ2" s="19"/>
      <c r="DA2" s="36"/>
      <c r="DB2" s="19"/>
      <c r="DC2" s="36"/>
      <c r="DD2" s="19"/>
      <c r="DE2" s="36"/>
      <c r="DF2" s="19"/>
      <c r="DG2" s="36"/>
      <c r="DH2" s="19"/>
      <c r="DI2" s="36"/>
      <c r="DJ2" s="19"/>
      <c r="DK2" s="36"/>
      <c r="DL2" s="19"/>
      <c r="DM2" s="36"/>
    </row>
    <row r="3" spans="1:117" x14ac:dyDescent="0.2">
      <c r="A3" s="5"/>
      <c r="B3" s="6"/>
      <c r="C3" s="6"/>
      <c r="D3" s="27"/>
      <c r="E3" s="6"/>
      <c r="F3" s="8"/>
      <c r="G3" s="8"/>
      <c r="I3" s="10"/>
      <c r="J3" s="11"/>
      <c r="K3" s="12"/>
      <c r="L3" s="10"/>
      <c r="M3" s="11"/>
      <c r="N3" s="12"/>
      <c r="O3" s="10"/>
      <c r="P3" s="11"/>
      <c r="Q3" s="12"/>
      <c r="R3" s="13"/>
      <c r="S3" s="11"/>
      <c r="T3" s="12"/>
      <c r="U3" s="10"/>
      <c r="V3" s="12"/>
      <c r="W3" s="12"/>
      <c r="X3" s="10"/>
      <c r="Y3" s="12"/>
      <c r="Z3" s="12"/>
      <c r="AA3" s="10"/>
      <c r="AB3" s="12"/>
      <c r="AC3" s="12"/>
      <c r="AD3" s="10"/>
      <c r="AE3" s="12"/>
      <c r="AF3" s="12"/>
      <c r="AG3" s="10"/>
      <c r="AH3" s="12"/>
      <c r="AI3" s="12"/>
      <c r="AJ3" s="13"/>
      <c r="AK3" s="11"/>
      <c r="AL3" s="12"/>
      <c r="AM3" s="10"/>
      <c r="AN3" s="12"/>
      <c r="AO3" s="12"/>
      <c r="AP3" s="10"/>
      <c r="AQ3" s="41"/>
      <c r="AR3" s="12"/>
      <c r="AS3" s="10"/>
      <c r="AT3" s="12"/>
      <c r="AU3" s="12"/>
      <c r="AV3" s="10"/>
      <c r="AW3" s="12"/>
      <c r="AX3" s="12"/>
      <c r="AY3" s="10"/>
      <c r="AZ3" s="12"/>
      <c r="BA3" s="12"/>
      <c r="BB3" s="10"/>
      <c r="BC3" s="12"/>
      <c r="BD3" s="12"/>
      <c r="BE3" s="10"/>
      <c r="BF3" s="12"/>
      <c r="BG3" s="12"/>
      <c r="BH3" s="10"/>
      <c r="BI3" s="12"/>
      <c r="BK3" s="16"/>
      <c r="BL3" s="16"/>
      <c r="BM3" s="16"/>
      <c r="BN3" s="16"/>
      <c r="BO3" s="16"/>
      <c r="BP3" s="16"/>
      <c r="BQ3" s="16"/>
      <c r="BR3" s="16"/>
      <c r="BS3" s="14"/>
      <c r="BT3" s="15"/>
      <c r="BU3" s="23"/>
      <c r="BV3" s="21"/>
      <c r="BW3" s="21"/>
      <c r="BX3" s="16"/>
      <c r="BY3" s="22"/>
      <c r="BZ3" s="16"/>
      <c r="CA3" s="8"/>
      <c r="CB3" s="10"/>
      <c r="CD3" s="10"/>
      <c r="CF3" s="10"/>
      <c r="CH3" s="10"/>
      <c r="CJ3" s="10"/>
      <c r="CL3" s="10"/>
      <c r="CN3" s="10"/>
      <c r="CP3" s="10"/>
      <c r="CR3" s="10"/>
      <c r="CT3" s="10"/>
      <c r="CV3" s="10"/>
      <c r="CX3" s="10"/>
      <c r="CZ3" s="10"/>
      <c r="DB3" s="10"/>
      <c r="DD3" s="10"/>
      <c r="DF3" s="10"/>
      <c r="DH3" s="10"/>
      <c r="DJ3" s="10"/>
      <c r="DL3" s="10"/>
    </row>
    <row r="4" spans="1:117" x14ac:dyDescent="0.2">
      <c r="A4" s="5"/>
      <c r="B4" s="6"/>
      <c r="C4" s="6"/>
      <c r="D4" s="27"/>
      <c r="E4" s="6"/>
      <c r="F4" s="8"/>
      <c r="G4" s="8"/>
      <c r="I4" s="10"/>
      <c r="J4" s="11"/>
      <c r="K4" s="12"/>
      <c r="L4" s="10"/>
      <c r="M4" s="11"/>
      <c r="N4" s="12"/>
      <c r="O4" s="10"/>
      <c r="P4" s="11"/>
      <c r="Q4" s="12"/>
      <c r="R4" s="13"/>
      <c r="S4" s="11"/>
      <c r="T4" s="12"/>
      <c r="U4" s="10"/>
      <c r="V4" s="12"/>
      <c r="W4" s="12"/>
      <c r="X4" s="10"/>
      <c r="Y4" s="12"/>
      <c r="Z4" s="12"/>
      <c r="AA4" s="10"/>
      <c r="AB4" s="12"/>
      <c r="AC4" s="12"/>
      <c r="AD4" s="10"/>
      <c r="AE4" s="12"/>
      <c r="AF4" s="12"/>
      <c r="AG4" s="10"/>
      <c r="AH4" s="12"/>
      <c r="AI4" s="12"/>
      <c r="AJ4" s="13"/>
      <c r="AK4" s="11"/>
      <c r="AL4" s="12"/>
      <c r="AM4" s="10"/>
      <c r="AN4" s="12"/>
      <c r="AO4" s="12"/>
      <c r="AP4" s="10"/>
      <c r="AQ4" s="12"/>
      <c r="AR4" s="12"/>
      <c r="AS4" s="10"/>
      <c r="AT4" s="12"/>
      <c r="AU4" s="12"/>
      <c r="AV4" s="10"/>
      <c r="AW4" s="12"/>
      <c r="AX4" s="12"/>
      <c r="AY4" s="10"/>
      <c r="AZ4" s="12"/>
      <c r="BA4" s="12"/>
      <c r="BB4" s="10"/>
      <c r="BC4" s="12"/>
      <c r="BD4" s="12"/>
      <c r="BE4" s="10"/>
      <c r="BF4" s="12"/>
      <c r="BG4" s="12"/>
      <c r="BH4" s="10"/>
      <c r="BI4" s="12"/>
      <c r="BK4" s="16"/>
      <c r="BL4" s="16"/>
      <c r="BM4" s="16"/>
      <c r="BN4" s="16"/>
      <c r="BO4" s="16"/>
      <c r="BP4" s="16"/>
      <c r="BQ4" s="16"/>
      <c r="BR4" s="16"/>
      <c r="BS4" s="14"/>
      <c r="BT4" s="15"/>
      <c r="BU4" s="23"/>
      <c r="BV4" s="21"/>
      <c r="BW4" s="21"/>
      <c r="BX4" s="16"/>
      <c r="BY4" s="22"/>
      <c r="BZ4" s="16"/>
      <c r="CA4" s="8"/>
      <c r="CB4" s="10"/>
      <c r="CD4" s="10"/>
      <c r="CF4" s="10"/>
      <c r="CH4" s="10"/>
      <c r="CJ4" s="10"/>
      <c r="CL4" s="10"/>
      <c r="CN4" s="10"/>
      <c r="CP4" s="10"/>
      <c r="CR4" s="10"/>
      <c r="CT4" s="10"/>
      <c r="CV4" s="10"/>
      <c r="CX4" s="10"/>
      <c r="CZ4" s="10"/>
      <c r="DB4" s="10"/>
      <c r="DD4" s="10"/>
      <c r="DF4" s="10"/>
      <c r="DH4" s="10"/>
      <c r="DJ4" s="10"/>
      <c r="DL4" s="10"/>
    </row>
    <row r="5" spans="1:117" x14ac:dyDescent="0.2">
      <c r="A5" s="5"/>
      <c r="B5" s="6"/>
      <c r="C5" s="6"/>
      <c r="D5" s="27"/>
      <c r="E5" s="6"/>
      <c r="F5" s="8"/>
      <c r="G5" s="8"/>
      <c r="I5" s="10"/>
      <c r="J5" s="11"/>
      <c r="K5" s="12"/>
      <c r="L5" s="10"/>
      <c r="M5" s="11"/>
      <c r="N5" s="12"/>
      <c r="O5" s="10"/>
      <c r="P5" s="11"/>
      <c r="Q5" s="12"/>
      <c r="R5" s="13"/>
      <c r="S5" s="11"/>
      <c r="T5" s="12"/>
      <c r="U5" s="10"/>
      <c r="V5" s="12"/>
      <c r="W5" s="12"/>
      <c r="X5" s="10"/>
      <c r="Y5" s="12"/>
      <c r="Z5" s="12"/>
      <c r="AA5" s="10"/>
      <c r="AB5" s="12"/>
      <c r="AC5" s="12"/>
      <c r="AD5" s="10"/>
      <c r="AE5" s="12"/>
      <c r="AF5" s="12"/>
      <c r="AG5" s="10"/>
      <c r="AH5" s="12"/>
      <c r="AI5" s="12"/>
      <c r="AJ5" s="13"/>
      <c r="AK5" s="11"/>
      <c r="AL5" s="12"/>
      <c r="AM5" s="10"/>
      <c r="AN5" s="12"/>
      <c r="AO5" s="12"/>
      <c r="AP5" s="10"/>
      <c r="AQ5" s="12"/>
      <c r="AR5" s="12"/>
      <c r="AS5" s="10"/>
      <c r="AT5" s="12"/>
      <c r="AU5" s="12"/>
      <c r="AV5" s="10"/>
      <c r="AW5" s="12"/>
      <c r="AX5" s="12"/>
      <c r="AY5" s="10"/>
      <c r="AZ5" s="12"/>
      <c r="BA5" s="12"/>
      <c r="BB5" s="10"/>
      <c r="BC5" s="12"/>
      <c r="BD5" s="12"/>
      <c r="BE5" s="10"/>
      <c r="BF5" s="12"/>
      <c r="BG5" s="12"/>
      <c r="BH5" s="10"/>
      <c r="BI5" s="12"/>
      <c r="BK5" s="16"/>
      <c r="BL5" s="16"/>
      <c r="BM5" s="16"/>
      <c r="BN5" s="16"/>
      <c r="BO5" s="16"/>
      <c r="BP5" s="16"/>
      <c r="BQ5" s="16"/>
      <c r="BR5" s="16"/>
      <c r="BS5" s="14"/>
      <c r="BT5" s="15"/>
      <c r="BU5" s="23"/>
      <c r="BV5" s="21"/>
      <c r="BW5" s="21"/>
      <c r="BX5" s="16"/>
      <c r="BY5" s="22"/>
      <c r="BZ5" s="16"/>
      <c r="CA5" s="8"/>
      <c r="CB5" s="10"/>
      <c r="CD5" s="10"/>
      <c r="CF5" s="10"/>
      <c r="CH5" s="10"/>
      <c r="CJ5" s="10"/>
      <c r="CL5" s="10"/>
      <c r="CN5" s="10"/>
      <c r="CP5" s="10"/>
      <c r="CR5" s="10"/>
      <c r="CT5" s="10"/>
      <c r="CV5" s="10"/>
      <c r="CX5" s="10"/>
      <c r="CZ5" s="10"/>
      <c r="DB5" s="10"/>
      <c r="DD5" s="10"/>
      <c r="DF5" s="10"/>
      <c r="DH5" s="10"/>
      <c r="DJ5" s="10"/>
      <c r="DL5" s="10"/>
    </row>
    <row r="6" spans="1:117" x14ac:dyDescent="0.2">
      <c r="A6" s="5"/>
      <c r="B6" s="6"/>
      <c r="C6" s="6"/>
      <c r="D6" s="27"/>
      <c r="E6" s="6"/>
      <c r="F6" s="8"/>
      <c r="G6" s="8"/>
      <c r="I6" s="10"/>
      <c r="J6" s="11"/>
      <c r="K6" s="12"/>
      <c r="L6" s="10"/>
      <c r="M6" s="11"/>
      <c r="N6" s="12"/>
      <c r="O6" s="10"/>
      <c r="P6" s="11"/>
      <c r="Q6" s="12"/>
      <c r="R6" s="13"/>
      <c r="S6" s="11"/>
      <c r="T6" s="12"/>
      <c r="U6" s="10"/>
      <c r="V6" s="12"/>
      <c r="W6" s="12"/>
      <c r="X6" s="10"/>
      <c r="Y6" s="12"/>
      <c r="Z6" s="12"/>
      <c r="AA6" s="10"/>
      <c r="AB6" s="12"/>
      <c r="AC6" s="12"/>
      <c r="AD6" s="10"/>
      <c r="AE6" s="12"/>
      <c r="AF6" s="12"/>
      <c r="AG6" s="10"/>
      <c r="AH6" s="12"/>
      <c r="AI6" s="12"/>
      <c r="AJ6" s="13"/>
      <c r="AK6" s="11"/>
      <c r="AL6" s="12"/>
      <c r="AM6" s="10"/>
      <c r="AN6" s="12"/>
      <c r="AO6" s="12"/>
      <c r="AP6" s="10"/>
      <c r="AQ6" s="12"/>
      <c r="AR6" s="12"/>
      <c r="AS6" s="10"/>
      <c r="AT6" s="12"/>
      <c r="AU6" s="12"/>
      <c r="AV6" s="10"/>
      <c r="AW6" s="12"/>
      <c r="AX6" s="12"/>
      <c r="AY6" s="10"/>
      <c r="AZ6" s="12"/>
      <c r="BA6" s="12"/>
      <c r="BB6" s="10"/>
      <c r="BC6" s="12"/>
      <c r="BD6" s="12"/>
      <c r="BE6" s="10"/>
      <c r="BF6" s="12"/>
      <c r="BG6" s="12"/>
      <c r="BH6" s="10"/>
      <c r="BI6" s="12"/>
      <c r="BK6" s="16"/>
      <c r="BL6" s="16"/>
      <c r="BM6" s="16"/>
      <c r="BN6" s="16"/>
      <c r="BO6" s="16"/>
      <c r="BP6" s="16"/>
      <c r="BQ6" s="16"/>
      <c r="BR6" s="16"/>
      <c r="BS6" s="14"/>
      <c r="BT6" s="15"/>
      <c r="BU6" s="23"/>
      <c r="BV6" s="21"/>
      <c r="BW6" s="21"/>
      <c r="BX6" s="16"/>
      <c r="BY6" s="22"/>
      <c r="BZ6" s="16"/>
      <c r="CA6" s="8"/>
      <c r="CB6" s="10"/>
      <c r="CD6" s="10"/>
      <c r="CF6" s="10"/>
      <c r="CH6" s="10"/>
      <c r="CJ6" s="10"/>
      <c r="CL6" s="10"/>
      <c r="CN6" s="10"/>
      <c r="CP6" s="10"/>
      <c r="CR6" s="10"/>
      <c r="CT6" s="10"/>
      <c r="CV6" s="10"/>
      <c r="CX6" s="10"/>
      <c r="CZ6" s="10"/>
      <c r="DB6" s="10"/>
      <c r="DD6" s="10"/>
      <c r="DF6" s="10"/>
      <c r="DH6" s="10"/>
      <c r="DJ6" s="10"/>
      <c r="DL6" s="10"/>
    </row>
    <row r="7" spans="1:117" x14ac:dyDescent="0.2">
      <c r="A7" s="5"/>
      <c r="B7" s="6"/>
      <c r="C7" s="6"/>
      <c r="D7" s="27"/>
      <c r="E7" s="6"/>
      <c r="F7" s="8"/>
      <c r="G7" s="8"/>
      <c r="I7" s="10"/>
      <c r="J7" s="11"/>
      <c r="K7" s="12"/>
      <c r="L7" s="10"/>
      <c r="M7" s="11"/>
      <c r="N7" s="12"/>
      <c r="O7" s="10"/>
      <c r="P7" s="11"/>
      <c r="Q7" s="12"/>
      <c r="R7" s="13"/>
      <c r="S7" s="11"/>
      <c r="T7" s="12"/>
      <c r="U7" s="10"/>
      <c r="V7" s="12"/>
      <c r="W7" s="12"/>
      <c r="X7" s="10"/>
      <c r="Y7" s="12"/>
      <c r="Z7" s="12"/>
      <c r="AA7" s="10"/>
      <c r="AB7" s="12"/>
      <c r="AC7" s="12"/>
      <c r="AD7" s="10"/>
      <c r="AE7" s="12"/>
      <c r="AF7" s="12"/>
      <c r="AG7" s="10"/>
      <c r="AH7" s="12"/>
      <c r="AI7" s="12"/>
      <c r="AJ7" s="13"/>
      <c r="AK7" s="11"/>
      <c r="AL7" s="12"/>
      <c r="AM7" s="10"/>
      <c r="AN7" s="12"/>
      <c r="AO7" s="12"/>
      <c r="AP7" s="10"/>
      <c r="AQ7" s="12"/>
      <c r="AR7" s="12"/>
      <c r="AS7" s="10"/>
      <c r="AT7" s="12"/>
      <c r="AU7" s="12"/>
      <c r="AV7" s="10"/>
      <c r="AW7" s="12"/>
      <c r="AX7" s="12"/>
      <c r="AY7" s="10"/>
      <c r="AZ7" s="12"/>
      <c r="BA7" s="12"/>
      <c r="BB7" s="10"/>
      <c r="BC7" s="12"/>
      <c r="BD7" s="12"/>
      <c r="BE7" s="10"/>
      <c r="BF7" s="12"/>
      <c r="BG7" s="12"/>
      <c r="BH7" s="10"/>
      <c r="BI7" s="12"/>
      <c r="BK7" s="16"/>
      <c r="BL7" s="16"/>
      <c r="BM7" s="16"/>
      <c r="BN7" s="16"/>
      <c r="BO7" s="16"/>
      <c r="BP7" s="16"/>
      <c r="BQ7" s="16"/>
      <c r="BR7" s="16"/>
      <c r="BS7" s="14"/>
      <c r="BT7" s="15"/>
      <c r="BU7" s="23"/>
      <c r="BV7" s="21"/>
      <c r="BW7" s="21"/>
      <c r="BX7" s="16"/>
      <c r="BY7" s="22"/>
      <c r="BZ7" s="16"/>
      <c r="CA7" s="8"/>
      <c r="CB7" s="10"/>
      <c r="CD7" s="10"/>
      <c r="CF7" s="10"/>
      <c r="CH7" s="10"/>
      <c r="CJ7" s="10"/>
      <c r="CL7" s="10"/>
      <c r="CN7" s="10"/>
      <c r="CP7" s="10"/>
      <c r="CR7" s="10"/>
      <c r="CT7" s="10"/>
      <c r="CV7" s="10"/>
      <c r="CX7" s="10"/>
      <c r="CZ7" s="10"/>
      <c r="DB7" s="10"/>
      <c r="DD7" s="10"/>
      <c r="DF7" s="10"/>
      <c r="DH7" s="10"/>
      <c r="DJ7" s="10"/>
      <c r="DL7" s="10"/>
    </row>
    <row r="8" spans="1:117" x14ac:dyDescent="0.2">
      <c r="A8" s="5"/>
      <c r="B8" s="6"/>
      <c r="C8" s="6"/>
      <c r="D8" s="27"/>
      <c r="E8" s="6"/>
      <c r="F8" s="8"/>
      <c r="G8" s="8"/>
      <c r="I8" s="10"/>
      <c r="J8" s="11"/>
      <c r="K8" s="12"/>
      <c r="L8" s="10"/>
      <c r="M8" s="11"/>
      <c r="N8" s="12"/>
      <c r="O8" s="10"/>
      <c r="P8" s="11"/>
      <c r="Q8" s="12"/>
      <c r="R8" s="13"/>
      <c r="S8" s="11"/>
      <c r="T8" s="12"/>
      <c r="U8" s="10"/>
      <c r="V8" s="12"/>
      <c r="W8" s="12"/>
      <c r="X8" s="10"/>
      <c r="Y8" s="12"/>
      <c r="Z8" s="12"/>
      <c r="AA8" s="10"/>
      <c r="AB8" s="12"/>
      <c r="AC8" s="12"/>
      <c r="AD8" s="10"/>
      <c r="AE8" s="12"/>
      <c r="AF8" s="12"/>
      <c r="AG8" s="10"/>
      <c r="AH8" s="12"/>
      <c r="AI8" s="12"/>
      <c r="AJ8" s="13"/>
      <c r="AK8" s="11"/>
      <c r="AL8" s="12"/>
      <c r="AM8" s="10"/>
      <c r="AN8" s="12"/>
      <c r="AO8" s="12"/>
      <c r="AP8" s="10"/>
      <c r="AQ8" s="12"/>
      <c r="AR8" s="12"/>
      <c r="AS8" s="10"/>
      <c r="AT8" s="12"/>
      <c r="AU8" s="12"/>
      <c r="AV8" s="10"/>
      <c r="AW8" s="12"/>
      <c r="AX8" s="12"/>
      <c r="AY8" s="10"/>
      <c r="AZ8" s="12"/>
      <c r="BA8" s="12"/>
      <c r="BB8" s="10"/>
      <c r="BC8" s="12"/>
      <c r="BD8" s="12"/>
      <c r="BE8" s="10"/>
      <c r="BF8" s="12"/>
      <c r="BG8" s="12"/>
      <c r="BH8" s="10"/>
      <c r="BI8" s="12"/>
      <c r="BK8" s="16"/>
      <c r="BL8" s="16"/>
      <c r="BM8" s="16"/>
      <c r="BN8" s="16"/>
      <c r="BO8" s="16"/>
      <c r="BP8" s="16"/>
      <c r="BQ8" s="16"/>
      <c r="BR8" s="16"/>
      <c r="BS8" s="14"/>
      <c r="BT8" s="15"/>
      <c r="BU8" s="23"/>
      <c r="BV8" s="21"/>
      <c r="BW8" s="21"/>
      <c r="BX8" s="16"/>
      <c r="BY8" s="22"/>
      <c r="BZ8" s="16"/>
      <c r="CA8" s="8"/>
      <c r="CB8" s="10"/>
      <c r="CD8" s="10"/>
      <c r="CF8" s="10"/>
      <c r="CH8" s="10"/>
      <c r="CJ8" s="10"/>
      <c r="CL8" s="10"/>
      <c r="CN8" s="10"/>
      <c r="CP8" s="10"/>
      <c r="CR8" s="10"/>
      <c r="CT8" s="10"/>
      <c r="CV8" s="10"/>
      <c r="CX8" s="10"/>
      <c r="CZ8" s="10"/>
      <c r="DB8" s="10"/>
      <c r="DD8" s="10"/>
      <c r="DF8" s="10"/>
      <c r="DH8" s="10"/>
      <c r="DJ8" s="10"/>
      <c r="DL8" s="10"/>
    </row>
    <row r="9" spans="1:117" x14ac:dyDescent="0.2">
      <c r="A9" s="5"/>
      <c r="B9" s="6"/>
      <c r="C9" s="6"/>
      <c r="D9" s="27"/>
      <c r="E9" s="6"/>
      <c r="F9" s="8"/>
      <c r="G9" s="8"/>
      <c r="I9" s="10"/>
      <c r="J9" s="11"/>
      <c r="K9" s="12"/>
      <c r="L9" s="10"/>
      <c r="M9" s="11"/>
      <c r="N9" s="12"/>
      <c r="O9" s="10"/>
      <c r="P9" s="11"/>
      <c r="Q9" s="12"/>
      <c r="R9" s="13"/>
      <c r="S9" s="11"/>
      <c r="T9" s="12"/>
      <c r="U9" s="10"/>
      <c r="V9" s="12"/>
      <c r="W9" s="12"/>
      <c r="X9" s="10"/>
      <c r="Y9" s="12"/>
      <c r="Z9" s="12"/>
      <c r="AA9" s="10"/>
      <c r="AB9" s="12"/>
      <c r="AC9" s="12"/>
      <c r="AD9" s="10"/>
      <c r="AE9" s="12"/>
      <c r="AF9" s="12"/>
      <c r="AG9" s="10"/>
      <c r="AH9" s="12"/>
      <c r="AI9" s="12"/>
      <c r="AJ9" s="13"/>
      <c r="AK9" s="11"/>
      <c r="AL9" s="12"/>
      <c r="AM9" s="10"/>
      <c r="AN9" s="12"/>
      <c r="AO9" s="12"/>
      <c r="AP9" s="10"/>
      <c r="AQ9" s="12"/>
      <c r="AR9" s="12"/>
      <c r="AS9" s="10"/>
      <c r="AT9" s="12"/>
      <c r="AU9" s="12"/>
      <c r="AV9" s="10"/>
      <c r="AW9" s="12"/>
      <c r="AX9" s="12"/>
      <c r="AY9" s="10"/>
      <c r="AZ9" s="12"/>
      <c r="BA9" s="12"/>
      <c r="BB9" s="10"/>
      <c r="BC9" s="12"/>
      <c r="BD9" s="12"/>
      <c r="BE9" s="10"/>
      <c r="BF9" s="12"/>
      <c r="BG9" s="12"/>
      <c r="BH9" s="10"/>
      <c r="BI9" s="12"/>
      <c r="BK9" s="16"/>
      <c r="BL9" s="16"/>
      <c r="BM9" s="16"/>
      <c r="BN9" s="16"/>
      <c r="BO9" s="16"/>
      <c r="BP9" s="16"/>
      <c r="BQ9" s="16"/>
      <c r="BR9" s="16"/>
      <c r="BS9" s="14"/>
      <c r="BT9" s="15"/>
      <c r="BU9" s="23"/>
      <c r="BV9" s="21"/>
      <c r="BW9" s="21"/>
      <c r="BX9" s="16"/>
      <c r="BY9" s="22"/>
      <c r="BZ9" s="16"/>
      <c r="CA9" s="8"/>
      <c r="CB9" s="10"/>
      <c r="CD9" s="10"/>
      <c r="CF9" s="10"/>
      <c r="CH9" s="10"/>
      <c r="CJ9" s="10"/>
      <c r="CL9" s="10"/>
      <c r="CN9" s="10"/>
      <c r="CP9" s="10"/>
      <c r="CR9" s="10"/>
      <c r="CT9" s="10"/>
      <c r="CV9" s="10"/>
      <c r="CX9" s="10"/>
      <c r="CZ9" s="10"/>
      <c r="DB9" s="10"/>
      <c r="DD9" s="10"/>
      <c r="DF9" s="10"/>
      <c r="DH9" s="10"/>
      <c r="DJ9" s="10"/>
      <c r="DL9" s="10"/>
    </row>
    <row r="10" spans="1:117" x14ac:dyDescent="0.2">
      <c r="A10" s="5"/>
      <c r="B10" s="6"/>
      <c r="C10" s="6"/>
      <c r="D10" s="27"/>
      <c r="E10" s="6"/>
      <c r="F10" s="8"/>
      <c r="G10" s="8"/>
      <c r="I10" s="10"/>
      <c r="J10" s="11"/>
      <c r="K10" s="12"/>
      <c r="L10" s="10"/>
      <c r="M10" s="11"/>
      <c r="N10" s="12"/>
      <c r="O10" s="10"/>
      <c r="P10" s="11"/>
      <c r="Q10" s="12"/>
      <c r="R10" s="13"/>
      <c r="S10" s="11"/>
      <c r="T10" s="12"/>
      <c r="U10" s="10"/>
      <c r="V10" s="12"/>
      <c r="W10" s="12"/>
      <c r="X10" s="10"/>
      <c r="Y10" s="12"/>
      <c r="Z10" s="12"/>
      <c r="AA10" s="10"/>
      <c r="AB10" s="12"/>
      <c r="AC10" s="12"/>
      <c r="AD10" s="10"/>
      <c r="AE10" s="12"/>
      <c r="AF10" s="12"/>
      <c r="AG10" s="10"/>
      <c r="AH10" s="12"/>
      <c r="AI10" s="12"/>
      <c r="AJ10" s="13"/>
      <c r="AK10" s="11"/>
      <c r="AL10" s="12"/>
      <c r="AM10" s="10"/>
      <c r="AN10" s="12"/>
      <c r="AO10" s="12"/>
      <c r="AP10" s="10"/>
      <c r="AQ10" s="12"/>
      <c r="AR10" s="12"/>
      <c r="AS10" s="10"/>
      <c r="AT10" s="12"/>
      <c r="AU10" s="12"/>
      <c r="AV10" s="10"/>
      <c r="AW10" s="12"/>
      <c r="AX10" s="12"/>
      <c r="AY10" s="10"/>
      <c r="AZ10" s="12"/>
      <c r="BA10" s="12"/>
      <c r="BB10" s="10"/>
      <c r="BC10" s="12"/>
      <c r="BD10" s="12"/>
      <c r="BE10" s="10"/>
      <c r="BF10" s="12"/>
      <c r="BG10" s="12"/>
      <c r="BH10" s="10"/>
      <c r="BI10" s="12"/>
      <c r="BK10" s="16"/>
      <c r="BL10" s="16"/>
      <c r="BM10" s="16"/>
      <c r="BN10" s="16"/>
      <c r="BO10" s="16"/>
      <c r="BP10" s="16"/>
      <c r="BQ10" s="16"/>
      <c r="BR10" s="16"/>
      <c r="BS10" s="14"/>
      <c r="BT10" s="15"/>
      <c r="BU10" s="23"/>
      <c r="BV10" s="21"/>
      <c r="BW10" s="21"/>
      <c r="BX10" s="16"/>
      <c r="BY10" s="22"/>
      <c r="BZ10" s="16"/>
      <c r="CA10" s="8"/>
      <c r="CB10" s="10"/>
      <c r="CD10" s="10"/>
      <c r="CF10" s="10"/>
      <c r="CH10" s="10"/>
      <c r="CJ10" s="10"/>
      <c r="CL10" s="10"/>
      <c r="CN10" s="10"/>
      <c r="CP10" s="10"/>
      <c r="CR10" s="10"/>
      <c r="CT10" s="10"/>
      <c r="CV10" s="10"/>
      <c r="CX10" s="10"/>
      <c r="CZ10" s="10"/>
      <c r="DB10" s="10"/>
      <c r="DD10" s="10"/>
      <c r="DF10" s="10"/>
      <c r="DH10" s="10"/>
      <c r="DJ10" s="10"/>
      <c r="DL10" s="10"/>
    </row>
    <row r="11" spans="1:117" x14ac:dyDescent="0.2">
      <c r="A11" s="5"/>
      <c r="B11" s="6"/>
      <c r="C11" s="6"/>
      <c r="D11" s="27"/>
      <c r="E11" s="6"/>
      <c r="F11" s="8"/>
      <c r="G11" s="8"/>
      <c r="I11" s="10"/>
      <c r="J11" s="11"/>
      <c r="K11" s="12"/>
      <c r="L11" s="10"/>
      <c r="M11" s="11"/>
      <c r="N11" s="12"/>
      <c r="O11" s="10"/>
      <c r="P11" s="11"/>
      <c r="Q11" s="12"/>
      <c r="R11" s="13"/>
      <c r="S11" s="11"/>
      <c r="T11" s="12"/>
      <c r="U11" s="10"/>
      <c r="V11" s="12"/>
      <c r="W11" s="12"/>
      <c r="X11" s="10"/>
      <c r="Y11" s="12"/>
      <c r="Z11" s="12"/>
      <c r="AA11" s="10"/>
      <c r="AB11" s="12"/>
      <c r="AC11" s="12"/>
      <c r="AD11" s="10"/>
      <c r="AE11" s="12"/>
      <c r="AF11" s="12"/>
      <c r="AG11" s="10"/>
      <c r="AH11" s="12"/>
      <c r="AI11" s="12"/>
      <c r="AJ11" s="13"/>
      <c r="AK11" s="11"/>
      <c r="AL11" s="12"/>
      <c r="AM11" s="10"/>
      <c r="AN11" s="12"/>
      <c r="AO11" s="12"/>
      <c r="AP11" s="10"/>
      <c r="AQ11" s="12"/>
      <c r="AR11" s="12"/>
      <c r="AS11" s="10"/>
      <c r="AT11" s="12"/>
      <c r="AU11" s="12"/>
      <c r="AV11" s="10"/>
      <c r="AW11" s="12"/>
      <c r="AX11" s="12"/>
      <c r="AY11" s="10"/>
      <c r="AZ11" s="12"/>
      <c r="BA11" s="12"/>
      <c r="BB11" s="10"/>
      <c r="BC11" s="12"/>
      <c r="BD11" s="12"/>
      <c r="BE11" s="10"/>
      <c r="BF11" s="12"/>
      <c r="BG11" s="12"/>
      <c r="BH11" s="10"/>
      <c r="BI11" s="12"/>
      <c r="BK11" s="16"/>
      <c r="BL11" s="16"/>
      <c r="BM11" s="16"/>
      <c r="BN11" s="16"/>
      <c r="BO11" s="16"/>
      <c r="BP11" s="16"/>
      <c r="BQ11" s="16"/>
      <c r="BR11" s="16"/>
      <c r="BS11" s="14"/>
      <c r="BT11" s="15"/>
      <c r="BU11" s="23"/>
      <c r="BV11" s="21"/>
      <c r="BW11" s="21"/>
      <c r="BX11" s="16"/>
      <c r="BY11" s="22"/>
      <c r="BZ11" s="16"/>
      <c r="CA11" s="8"/>
      <c r="CB11" s="10"/>
      <c r="CD11" s="10"/>
      <c r="CF11" s="10"/>
      <c r="CH11" s="10"/>
      <c r="CJ11" s="10"/>
      <c r="CL11" s="10"/>
      <c r="CN11" s="10"/>
      <c r="CP11" s="10"/>
      <c r="CR11" s="10"/>
      <c r="CT11" s="10"/>
      <c r="CV11" s="10"/>
      <c r="CX11" s="10"/>
      <c r="CZ11" s="10"/>
      <c r="DB11" s="10"/>
      <c r="DD11" s="10"/>
      <c r="DF11" s="10"/>
      <c r="DH11" s="10"/>
      <c r="DJ11" s="10"/>
      <c r="DL11" s="10"/>
    </row>
    <row r="12" spans="1:117" x14ac:dyDescent="0.2">
      <c r="A12" s="5"/>
      <c r="B12" s="6"/>
      <c r="C12" s="6"/>
      <c r="D12" s="27"/>
      <c r="E12" s="6"/>
      <c r="F12" s="8"/>
      <c r="G12" s="8"/>
      <c r="I12" s="10"/>
      <c r="J12" s="11"/>
      <c r="K12" s="12"/>
      <c r="L12" s="10"/>
      <c r="M12" s="11"/>
      <c r="N12" s="12"/>
      <c r="O12" s="10"/>
      <c r="P12" s="11"/>
      <c r="Q12" s="12"/>
      <c r="R12" s="13"/>
      <c r="S12" s="11"/>
      <c r="T12" s="12"/>
      <c r="U12" s="10"/>
      <c r="V12" s="12"/>
      <c r="W12" s="12"/>
      <c r="X12" s="10"/>
      <c r="Y12" s="12"/>
      <c r="Z12" s="12"/>
      <c r="AA12" s="10"/>
      <c r="AB12" s="12"/>
      <c r="AC12" s="12"/>
      <c r="AD12" s="10"/>
      <c r="AE12" s="12"/>
      <c r="AF12" s="12"/>
      <c r="AG12" s="10"/>
      <c r="AH12" s="12"/>
      <c r="AI12" s="12"/>
      <c r="AJ12" s="13"/>
      <c r="AK12" s="11"/>
      <c r="AL12" s="12"/>
      <c r="AM12" s="10"/>
      <c r="AN12" s="12"/>
      <c r="AO12" s="12"/>
      <c r="AP12" s="10"/>
      <c r="AQ12" s="12"/>
      <c r="AR12" s="12"/>
      <c r="AS12" s="10"/>
      <c r="AT12" s="12"/>
      <c r="AU12" s="12"/>
      <c r="AV12" s="10"/>
      <c r="AW12" s="12"/>
      <c r="AX12" s="12"/>
      <c r="AY12" s="10"/>
      <c r="AZ12" s="12"/>
      <c r="BA12" s="12"/>
      <c r="BB12" s="10"/>
      <c r="BC12" s="12"/>
      <c r="BD12" s="12"/>
      <c r="BE12" s="10"/>
      <c r="BF12" s="12"/>
      <c r="BG12" s="12"/>
      <c r="BH12" s="10"/>
      <c r="BI12" s="12"/>
      <c r="BK12" s="16"/>
      <c r="BL12" s="16"/>
      <c r="BM12" s="16"/>
      <c r="BN12" s="16"/>
      <c r="BO12" s="16"/>
      <c r="BP12" s="16"/>
      <c r="BQ12" s="16"/>
      <c r="BR12" s="16"/>
      <c r="BS12" s="14"/>
      <c r="BT12" s="15"/>
      <c r="BU12" s="23"/>
      <c r="BV12" s="21"/>
      <c r="BW12" s="21"/>
      <c r="BX12" s="16"/>
      <c r="BY12" s="22"/>
      <c r="BZ12" s="16"/>
      <c r="CA12" s="8"/>
      <c r="CB12" s="10"/>
      <c r="CD12" s="10"/>
      <c r="CF12" s="10"/>
      <c r="CH12" s="10"/>
      <c r="CJ12" s="10"/>
      <c r="CL12" s="10"/>
      <c r="CN12" s="10"/>
      <c r="CP12" s="10"/>
      <c r="CR12" s="10"/>
      <c r="CT12" s="10"/>
      <c r="CV12" s="10"/>
      <c r="CX12" s="10"/>
      <c r="CZ12" s="10"/>
      <c r="DB12" s="10"/>
      <c r="DD12" s="10"/>
      <c r="DF12" s="10"/>
      <c r="DH12" s="10"/>
      <c r="DJ12" s="10"/>
      <c r="DL12" s="10"/>
    </row>
    <row r="13" spans="1:117" x14ac:dyDescent="0.2">
      <c r="A13" s="5"/>
      <c r="B13" s="6"/>
      <c r="C13" s="6"/>
      <c r="D13" s="27"/>
      <c r="E13" s="6"/>
      <c r="F13" s="8"/>
      <c r="G13" s="8"/>
      <c r="I13" s="10"/>
      <c r="J13" s="11"/>
      <c r="K13" s="12"/>
      <c r="L13" s="10"/>
      <c r="M13" s="11"/>
      <c r="N13" s="12"/>
      <c r="O13" s="10"/>
      <c r="P13" s="11"/>
      <c r="Q13" s="12"/>
      <c r="R13" s="13"/>
      <c r="S13" s="11"/>
      <c r="T13" s="12"/>
      <c r="U13" s="10"/>
      <c r="V13" s="12"/>
      <c r="W13" s="12"/>
      <c r="X13" s="10"/>
      <c r="Y13" s="12"/>
      <c r="Z13" s="12"/>
      <c r="AA13" s="10"/>
      <c r="AB13" s="12"/>
      <c r="AC13" s="12"/>
      <c r="AD13" s="10"/>
      <c r="AE13" s="12"/>
      <c r="AF13" s="12"/>
      <c r="AG13" s="10"/>
      <c r="AH13" s="12"/>
      <c r="AI13" s="12"/>
      <c r="AJ13" s="13"/>
      <c r="AK13" s="11"/>
      <c r="AL13" s="12"/>
      <c r="AM13" s="10"/>
      <c r="AN13" s="12"/>
      <c r="AO13" s="12"/>
      <c r="AP13" s="10"/>
      <c r="AQ13" s="12"/>
      <c r="AR13" s="12"/>
      <c r="AS13" s="10"/>
      <c r="AT13" s="12"/>
      <c r="AU13" s="12"/>
      <c r="AV13" s="10"/>
      <c r="AW13" s="12"/>
      <c r="AX13" s="12"/>
      <c r="AY13" s="10"/>
      <c r="AZ13" s="12"/>
      <c r="BA13" s="12"/>
      <c r="BB13" s="10"/>
      <c r="BC13" s="12"/>
      <c r="BD13" s="12"/>
      <c r="BE13" s="10"/>
      <c r="BF13" s="12"/>
      <c r="BG13" s="12"/>
      <c r="BH13" s="10"/>
      <c r="BI13" s="12"/>
      <c r="BK13" s="16"/>
      <c r="BL13" s="16"/>
      <c r="BM13" s="16"/>
      <c r="BN13" s="16"/>
      <c r="BO13" s="16"/>
      <c r="BP13" s="16"/>
      <c r="BQ13" s="16"/>
      <c r="BR13" s="16"/>
      <c r="BS13" s="14"/>
      <c r="BT13" s="15"/>
      <c r="BU13" s="23"/>
      <c r="BV13" s="21"/>
      <c r="BW13" s="21"/>
      <c r="BX13" s="16"/>
      <c r="BY13" s="22"/>
      <c r="BZ13" s="16"/>
      <c r="CA13" s="8"/>
      <c r="CB13" s="10"/>
      <c r="CD13" s="10"/>
      <c r="CF13" s="10"/>
      <c r="CH13" s="10"/>
      <c r="CJ13" s="10"/>
      <c r="CL13" s="10"/>
      <c r="CN13" s="10"/>
      <c r="CP13" s="10"/>
      <c r="CR13" s="10"/>
      <c r="CT13" s="10"/>
      <c r="CV13" s="10"/>
      <c r="CX13" s="10"/>
      <c r="CZ13" s="10"/>
      <c r="DB13" s="10"/>
      <c r="DD13" s="10"/>
      <c r="DF13" s="10"/>
      <c r="DH13" s="10"/>
      <c r="DJ13" s="10"/>
      <c r="DL13" s="10"/>
    </row>
    <row r="14" spans="1:117" x14ac:dyDescent="0.2">
      <c r="A14" s="5"/>
      <c r="B14" s="6"/>
      <c r="C14" s="6"/>
      <c r="D14" s="27"/>
      <c r="E14" s="6"/>
      <c r="F14" s="8"/>
      <c r="G14" s="8"/>
      <c r="I14" s="10"/>
      <c r="J14" s="11"/>
      <c r="K14" s="12"/>
      <c r="L14" s="10"/>
      <c r="M14" s="11"/>
      <c r="N14" s="12"/>
      <c r="O14" s="10"/>
      <c r="P14" s="11"/>
      <c r="Q14" s="12"/>
      <c r="R14" s="13"/>
      <c r="S14" s="11"/>
      <c r="T14" s="12"/>
      <c r="U14" s="10"/>
      <c r="V14" s="12"/>
      <c r="W14" s="12"/>
      <c r="X14" s="10"/>
      <c r="Y14" s="12"/>
      <c r="Z14" s="12"/>
      <c r="AA14" s="10"/>
      <c r="AB14" s="12"/>
      <c r="AC14" s="12"/>
      <c r="AD14" s="10"/>
      <c r="AE14" s="12"/>
      <c r="AF14" s="12"/>
      <c r="AG14" s="10"/>
      <c r="AH14" s="12"/>
      <c r="AI14" s="12"/>
      <c r="AJ14" s="13"/>
      <c r="AK14" s="11"/>
      <c r="AL14" s="12"/>
      <c r="AM14" s="10"/>
      <c r="AN14" s="12"/>
      <c r="AO14" s="12"/>
      <c r="AP14" s="10"/>
      <c r="AQ14" s="12"/>
      <c r="AR14" s="12"/>
      <c r="AS14" s="10"/>
      <c r="AT14" s="12"/>
      <c r="AU14" s="12"/>
      <c r="AV14" s="10"/>
      <c r="AW14" s="12"/>
      <c r="AX14" s="12"/>
      <c r="AY14" s="10"/>
      <c r="AZ14" s="12"/>
      <c r="BA14" s="12"/>
      <c r="BB14" s="10"/>
      <c r="BC14" s="12"/>
      <c r="BD14" s="12"/>
      <c r="BE14" s="10"/>
      <c r="BF14" s="12"/>
      <c r="BG14" s="12"/>
      <c r="BH14" s="10"/>
      <c r="BI14" s="12"/>
      <c r="BK14" s="16"/>
      <c r="BL14" s="16"/>
      <c r="BM14" s="16"/>
      <c r="BN14" s="16"/>
      <c r="BO14" s="16"/>
      <c r="BP14" s="16"/>
      <c r="BQ14" s="16"/>
      <c r="BR14" s="16"/>
      <c r="BS14" s="14"/>
      <c r="BT14" s="15"/>
      <c r="BU14" s="23"/>
      <c r="BV14" s="21"/>
      <c r="BW14" s="21"/>
      <c r="BX14" s="16"/>
      <c r="BY14" s="22"/>
      <c r="BZ14" s="16"/>
      <c r="CA14" s="8"/>
      <c r="CB14" s="10"/>
      <c r="CD14" s="10"/>
      <c r="CF14" s="10"/>
      <c r="CH14" s="10"/>
      <c r="CJ14" s="10"/>
      <c r="CL14" s="10"/>
      <c r="CN14" s="10"/>
      <c r="CP14" s="10"/>
      <c r="CR14" s="10"/>
      <c r="CT14" s="10"/>
      <c r="CV14" s="10"/>
      <c r="CX14" s="10"/>
      <c r="CZ14" s="10"/>
      <c r="DB14" s="10"/>
      <c r="DD14" s="10"/>
      <c r="DF14" s="10"/>
      <c r="DH14" s="10"/>
      <c r="DJ14" s="10"/>
      <c r="DL14" s="10"/>
    </row>
    <row r="15" spans="1:117" x14ac:dyDescent="0.2">
      <c r="A15" s="5"/>
      <c r="B15" s="6"/>
      <c r="C15" s="6"/>
      <c r="D15" s="27"/>
      <c r="E15" s="6"/>
      <c r="F15" s="8"/>
      <c r="G15" s="8"/>
      <c r="I15" s="10"/>
      <c r="J15" s="11"/>
      <c r="K15" s="12"/>
      <c r="L15" s="10"/>
      <c r="M15" s="11"/>
      <c r="N15" s="12"/>
      <c r="O15" s="10"/>
      <c r="P15" s="11"/>
      <c r="Q15" s="12"/>
      <c r="R15" s="13"/>
      <c r="S15" s="11"/>
      <c r="T15" s="12"/>
      <c r="U15" s="10"/>
      <c r="V15" s="12"/>
      <c r="W15" s="12"/>
      <c r="X15" s="10"/>
      <c r="Y15" s="12"/>
      <c r="Z15" s="12"/>
      <c r="AA15" s="10"/>
      <c r="AB15" s="12"/>
      <c r="AC15" s="12"/>
      <c r="AD15" s="10"/>
      <c r="AE15" s="12"/>
      <c r="AF15" s="12"/>
      <c r="AG15" s="10"/>
      <c r="AH15" s="12"/>
      <c r="AI15" s="12"/>
      <c r="AJ15" s="13"/>
      <c r="AK15" s="11"/>
      <c r="AL15" s="12"/>
      <c r="AM15" s="10"/>
      <c r="AN15" s="12"/>
      <c r="AO15" s="12"/>
      <c r="AP15" s="10"/>
      <c r="AQ15" s="12"/>
      <c r="AR15" s="12"/>
      <c r="AS15" s="10"/>
      <c r="AT15" s="12"/>
      <c r="AU15" s="12"/>
      <c r="AV15" s="10"/>
      <c r="AW15" s="12"/>
      <c r="AX15" s="12"/>
      <c r="AY15" s="10"/>
      <c r="AZ15" s="12"/>
      <c r="BA15" s="12"/>
      <c r="BB15" s="10"/>
      <c r="BC15" s="12"/>
      <c r="BD15" s="12"/>
      <c r="BE15" s="10"/>
      <c r="BF15" s="12"/>
      <c r="BG15" s="12"/>
      <c r="BH15" s="10"/>
      <c r="BI15" s="12"/>
      <c r="BK15" s="16"/>
      <c r="BL15" s="16"/>
      <c r="BM15" s="16"/>
      <c r="BN15" s="16"/>
      <c r="BO15" s="16"/>
      <c r="BP15" s="16"/>
      <c r="BQ15" s="16"/>
      <c r="BR15" s="16"/>
      <c r="BS15" s="14"/>
      <c r="BT15" s="15"/>
      <c r="BU15" s="23"/>
      <c r="BV15" s="21"/>
      <c r="BW15" s="21"/>
      <c r="BX15" s="16"/>
      <c r="BY15" s="22"/>
      <c r="BZ15" s="16"/>
      <c r="CA15" s="8"/>
      <c r="CB15" s="10"/>
      <c r="CD15" s="10"/>
      <c r="CF15" s="10"/>
      <c r="CH15" s="10"/>
      <c r="CJ15" s="10"/>
      <c r="CL15" s="10"/>
      <c r="CN15" s="10"/>
      <c r="CP15" s="10"/>
      <c r="CR15" s="10"/>
      <c r="CT15" s="10"/>
      <c r="CV15" s="10"/>
      <c r="CX15" s="10"/>
      <c r="CZ15" s="10"/>
      <c r="DB15" s="10"/>
      <c r="DD15" s="10"/>
      <c r="DF15" s="10"/>
      <c r="DH15" s="10"/>
      <c r="DJ15" s="10"/>
      <c r="DL15" s="10"/>
    </row>
    <row r="16" spans="1:117" x14ac:dyDescent="0.2">
      <c r="A16" s="5"/>
      <c r="B16" s="6"/>
      <c r="C16" s="6"/>
      <c r="D16" s="27"/>
      <c r="E16" s="6"/>
      <c r="F16" s="8"/>
      <c r="G16" s="8"/>
      <c r="I16" s="10"/>
      <c r="J16" s="11"/>
      <c r="K16" s="12"/>
      <c r="L16" s="10"/>
      <c r="M16" s="11"/>
      <c r="N16" s="12"/>
      <c r="O16" s="10"/>
      <c r="P16" s="11"/>
      <c r="Q16" s="12"/>
      <c r="R16" s="13"/>
      <c r="S16" s="11"/>
      <c r="T16" s="12"/>
      <c r="U16" s="10"/>
      <c r="V16" s="12"/>
      <c r="W16" s="12"/>
      <c r="X16" s="10"/>
      <c r="Y16" s="12"/>
      <c r="Z16" s="12"/>
      <c r="AA16" s="10"/>
      <c r="AB16" s="12"/>
      <c r="AC16" s="12"/>
      <c r="AD16" s="10"/>
      <c r="AE16" s="12"/>
      <c r="AF16" s="12"/>
      <c r="AG16" s="10"/>
      <c r="AH16" s="12"/>
      <c r="AI16" s="12"/>
      <c r="AJ16" s="13"/>
      <c r="AK16" s="11"/>
      <c r="AL16" s="12"/>
      <c r="AM16" s="10"/>
      <c r="AN16" s="12"/>
      <c r="AO16" s="12"/>
      <c r="AP16" s="10"/>
      <c r="AQ16" s="12"/>
      <c r="AR16" s="12"/>
      <c r="AS16" s="10"/>
      <c r="AT16" s="12"/>
      <c r="AU16" s="12"/>
      <c r="AV16" s="10"/>
      <c r="AW16" s="12"/>
      <c r="AX16" s="12"/>
      <c r="AY16" s="10"/>
      <c r="AZ16" s="12"/>
      <c r="BA16" s="12"/>
      <c r="BB16" s="10"/>
      <c r="BC16" s="12"/>
      <c r="BD16" s="12"/>
      <c r="BE16" s="10"/>
      <c r="BF16" s="12"/>
      <c r="BG16" s="12"/>
      <c r="BH16" s="10"/>
      <c r="BI16" s="12"/>
      <c r="BK16" s="16"/>
      <c r="BL16" s="16"/>
      <c r="BM16" s="16"/>
      <c r="BN16" s="16"/>
      <c r="BO16" s="16"/>
      <c r="BP16" s="16"/>
      <c r="BQ16" s="16"/>
      <c r="BR16" s="16"/>
      <c r="BS16" s="14"/>
      <c r="BT16" s="15"/>
      <c r="BU16" s="23"/>
      <c r="BV16" s="21"/>
      <c r="BW16" s="21"/>
      <c r="BX16" s="16"/>
      <c r="BY16" s="22"/>
      <c r="BZ16" s="16"/>
      <c r="CA16" s="8"/>
      <c r="CB16" s="10"/>
      <c r="CD16" s="10"/>
      <c r="CF16" s="10"/>
      <c r="CH16" s="10"/>
      <c r="CJ16" s="10"/>
      <c r="CL16" s="10"/>
      <c r="CN16" s="10"/>
      <c r="CP16" s="10"/>
      <c r="CR16" s="10"/>
      <c r="CT16" s="10"/>
      <c r="CV16" s="10"/>
      <c r="CX16" s="10"/>
      <c r="CZ16" s="10"/>
      <c r="DB16" s="10"/>
      <c r="DD16" s="10"/>
      <c r="DF16" s="10"/>
      <c r="DH16" s="10"/>
      <c r="DJ16" s="10"/>
      <c r="DL16" s="10"/>
    </row>
    <row r="17" spans="1:116" x14ac:dyDescent="0.2">
      <c r="A17" s="5"/>
      <c r="B17" s="6"/>
      <c r="C17" s="6"/>
      <c r="D17" s="27"/>
      <c r="E17" s="6"/>
      <c r="F17" s="8"/>
      <c r="G17" s="8"/>
      <c r="I17" s="10"/>
      <c r="J17" s="11"/>
      <c r="K17" s="12"/>
      <c r="L17" s="10"/>
      <c r="M17" s="11"/>
      <c r="N17" s="12"/>
      <c r="O17" s="10"/>
      <c r="P17" s="11"/>
      <c r="Q17" s="12"/>
      <c r="R17" s="13"/>
      <c r="S17" s="11"/>
      <c r="T17" s="12"/>
      <c r="U17" s="10"/>
      <c r="V17" s="12"/>
      <c r="W17" s="12"/>
      <c r="X17" s="10"/>
      <c r="Y17" s="12"/>
      <c r="Z17" s="12"/>
      <c r="AA17" s="10"/>
      <c r="AB17" s="12"/>
      <c r="AC17" s="12"/>
      <c r="AD17" s="10"/>
      <c r="AE17" s="12"/>
      <c r="AF17" s="12"/>
      <c r="AG17" s="10"/>
      <c r="AH17" s="12"/>
      <c r="AI17" s="12"/>
      <c r="AJ17" s="13"/>
      <c r="AK17" s="11"/>
      <c r="AL17" s="12"/>
      <c r="AM17" s="10"/>
      <c r="AN17" s="12"/>
      <c r="AO17" s="12"/>
      <c r="AP17" s="10"/>
      <c r="AQ17" s="12"/>
      <c r="AR17" s="12"/>
      <c r="AS17" s="10"/>
      <c r="AT17" s="12"/>
      <c r="AU17" s="12"/>
      <c r="AV17" s="10"/>
      <c r="AW17" s="12"/>
      <c r="AX17" s="12"/>
      <c r="AY17" s="10"/>
      <c r="AZ17" s="12"/>
      <c r="BA17" s="12"/>
      <c r="BB17" s="10"/>
      <c r="BC17" s="12"/>
      <c r="BD17" s="12"/>
      <c r="BE17" s="10"/>
      <c r="BF17" s="12"/>
      <c r="BG17" s="12"/>
      <c r="BH17" s="10"/>
      <c r="BI17" s="12"/>
      <c r="BK17" s="16"/>
      <c r="BL17" s="16"/>
      <c r="BM17" s="16"/>
      <c r="BN17" s="16"/>
      <c r="BO17" s="16"/>
      <c r="BP17" s="16"/>
      <c r="BQ17" s="16"/>
      <c r="BR17" s="16"/>
      <c r="BS17" s="14"/>
      <c r="BT17" s="15"/>
      <c r="BU17" s="23"/>
      <c r="BV17" s="21"/>
      <c r="BW17" s="21"/>
      <c r="BX17" s="16"/>
      <c r="BY17" s="22"/>
      <c r="BZ17" s="16"/>
      <c r="CA17" s="8"/>
      <c r="CB17" s="10"/>
      <c r="CD17" s="10"/>
      <c r="CF17" s="10"/>
      <c r="CH17" s="10"/>
      <c r="CJ17" s="10"/>
      <c r="CL17" s="10"/>
      <c r="CN17" s="10"/>
      <c r="CP17" s="10"/>
      <c r="CR17" s="10"/>
      <c r="CT17" s="10"/>
      <c r="CV17" s="10"/>
      <c r="CX17" s="10"/>
      <c r="CZ17" s="10"/>
      <c r="DB17" s="10"/>
      <c r="DD17" s="10"/>
      <c r="DF17" s="10"/>
      <c r="DH17" s="10"/>
      <c r="DJ17" s="10"/>
      <c r="DL17" s="10"/>
    </row>
    <row r="18" spans="1:116" x14ac:dyDescent="0.2">
      <c r="A18" s="5"/>
      <c r="B18" s="6"/>
      <c r="C18" s="6"/>
      <c r="D18" s="27"/>
      <c r="E18" s="6"/>
      <c r="F18" s="8"/>
      <c r="G18" s="8"/>
      <c r="I18" s="10"/>
      <c r="J18" s="11"/>
      <c r="K18" s="12"/>
      <c r="L18" s="10"/>
      <c r="M18" s="11"/>
      <c r="N18" s="12"/>
      <c r="O18" s="10"/>
      <c r="P18" s="11"/>
      <c r="Q18" s="12"/>
      <c r="R18" s="13"/>
      <c r="S18" s="11"/>
      <c r="T18" s="12"/>
      <c r="U18" s="10"/>
      <c r="V18" s="12"/>
      <c r="W18" s="12"/>
      <c r="X18" s="10"/>
      <c r="Y18" s="12"/>
      <c r="Z18" s="12"/>
      <c r="AA18" s="10"/>
      <c r="AB18" s="12"/>
      <c r="AC18" s="12"/>
      <c r="AD18" s="10"/>
      <c r="AE18" s="12"/>
      <c r="AF18" s="12"/>
      <c r="AG18" s="10"/>
      <c r="AH18" s="12"/>
      <c r="AI18" s="12"/>
      <c r="AJ18" s="13"/>
      <c r="AK18" s="11"/>
      <c r="AL18" s="12"/>
      <c r="AM18" s="10"/>
      <c r="AN18" s="12"/>
      <c r="AO18" s="12"/>
      <c r="AP18" s="10"/>
      <c r="AQ18" s="12"/>
      <c r="AR18" s="12"/>
      <c r="AS18" s="10"/>
      <c r="AT18" s="12"/>
      <c r="AU18" s="12"/>
      <c r="AV18" s="10"/>
      <c r="AW18" s="12"/>
      <c r="AX18" s="12"/>
      <c r="AY18" s="10"/>
      <c r="AZ18" s="12"/>
      <c r="BA18" s="12"/>
      <c r="BB18" s="10"/>
      <c r="BC18" s="12"/>
      <c r="BD18" s="12"/>
      <c r="BE18" s="10"/>
      <c r="BF18" s="12"/>
      <c r="BG18" s="12"/>
      <c r="BH18" s="10"/>
      <c r="BI18" s="12"/>
      <c r="BK18" s="16"/>
      <c r="BL18" s="16"/>
      <c r="BM18" s="16"/>
      <c r="BN18" s="16"/>
      <c r="BO18" s="16"/>
      <c r="BP18" s="16"/>
      <c r="BQ18" s="16"/>
      <c r="BR18" s="16"/>
      <c r="BS18" s="14"/>
      <c r="BT18" s="15"/>
      <c r="BU18" s="23"/>
      <c r="BV18" s="21"/>
      <c r="BW18" s="21"/>
      <c r="BX18" s="16"/>
      <c r="BY18" s="22"/>
      <c r="BZ18" s="16"/>
      <c r="CA18" s="8"/>
      <c r="CB18" s="10"/>
      <c r="CD18" s="10"/>
      <c r="CF18" s="10"/>
      <c r="CH18" s="10"/>
      <c r="CJ18" s="10"/>
      <c r="CL18" s="10"/>
      <c r="CN18" s="10"/>
      <c r="CP18" s="10"/>
      <c r="CR18" s="10"/>
      <c r="CT18" s="10"/>
      <c r="CV18" s="10"/>
      <c r="CX18" s="10"/>
      <c r="CZ18" s="10"/>
      <c r="DB18" s="10"/>
      <c r="DD18" s="10"/>
      <c r="DF18" s="10"/>
      <c r="DH18" s="10"/>
      <c r="DJ18" s="10"/>
      <c r="DL18" s="10"/>
    </row>
    <row r="19" spans="1:116" x14ac:dyDescent="0.2">
      <c r="A19" s="5"/>
      <c r="B19" s="6"/>
      <c r="C19" s="6"/>
      <c r="D19" s="27"/>
      <c r="E19" s="6"/>
      <c r="F19" s="8"/>
      <c r="G19" s="8"/>
      <c r="I19" s="10"/>
      <c r="J19" s="11"/>
      <c r="K19" s="12"/>
      <c r="L19" s="10"/>
      <c r="M19" s="11"/>
      <c r="N19" s="12"/>
      <c r="O19" s="10"/>
      <c r="P19" s="11"/>
      <c r="Q19" s="12"/>
      <c r="R19" s="13"/>
      <c r="S19" s="11"/>
      <c r="T19" s="12"/>
      <c r="U19" s="10"/>
      <c r="V19" s="12"/>
      <c r="W19" s="12"/>
      <c r="X19" s="10"/>
      <c r="Y19" s="12"/>
      <c r="Z19" s="12"/>
      <c r="AA19" s="10"/>
      <c r="AB19" s="12"/>
      <c r="AC19" s="12"/>
      <c r="AD19" s="10"/>
      <c r="AE19" s="12"/>
      <c r="AF19" s="12"/>
      <c r="AG19" s="10"/>
      <c r="AH19" s="12"/>
      <c r="AI19" s="12"/>
      <c r="AJ19" s="13"/>
      <c r="AK19" s="11"/>
      <c r="AL19" s="12"/>
      <c r="AM19" s="10"/>
      <c r="AN19" s="12"/>
      <c r="AO19" s="12"/>
      <c r="AP19" s="10"/>
      <c r="AQ19" s="12"/>
      <c r="AR19" s="12"/>
      <c r="AS19" s="10"/>
      <c r="AT19" s="12"/>
      <c r="AU19" s="12"/>
      <c r="AV19" s="10"/>
      <c r="AW19" s="12"/>
      <c r="AX19" s="12"/>
      <c r="AY19" s="10"/>
      <c r="AZ19" s="12"/>
      <c r="BA19" s="12"/>
      <c r="BB19" s="10"/>
      <c r="BC19" s="12"/>
      <c r="BD19" s="12"/>
      <c r="BE19" s="10"/>
      <c r="BF19" s="12"/>
      <c r="BG19" s="12"/>
      <c r="BH19" s="10"/>
      <c r="BI19" s="12"/>
      <c r="BK19" s="16"/>
      <c r="BL19" s="16"/>
      <c r="BM19" s="16"/>
      <c r="BN19" s="16"/>
      <c r="BO19" s="16"/>
      <c r="BP19" s="16"/>
      <c r="BQ19" s="16"/>
      <c r="BR19" s="16"/>
      <c r="BS19" s="14"/>
      <c r="BT19" s="15"/>
      <c r="BU19" s="23"/>
      <c r="BV19" s="21"/>
      <c r="BW19" s="21"/>
      <c r="BX19" s="16"/>
      <c r="BY19" s="22"/>
      <c r="BZ19" s="16"/>
      <c r="CA19" s="8"/>
      <c r="CB19" s="10"/>
      <c r="CD19" s="10"/>
      <c r="CF19" s="10"/>
      <c r="CH19" s="10"/>
      <c r="CJ19" s="10"/>
      <c r="CL19" s="10"/>
      <c r="CN19" s="10"/>
      <c r="CP19" s="10"/>
      <c r="CR19" s="10"/>
      <c r="CT19" s="10"/>
      <c r="CV19" s="10"/>
      <c r="CX19" s="10"/>
      <c r="CZ19" s="10"/>
      <c r="DB19" s="10"/>
      <c r="DD19" s="10"/>
      <c r="DF19" s="10"/>
      <c r="DH19" s="10"/>
      <c r="DJ19" s="10"/>
      <c r="DL19" s="10"/>
    </row>
    <row r="20" spans="1:116" x14ac:dyDescent="0.2">
      <c r="A20" s="5"/>
      <c r="B20" s="6"/>
      <c r="C20" s="6"/>
      <c r="D20" s="26"/>
      <c r="E20" s="6"/>
      <c r="F20" s="8"/>
      <c r="G20" s="8"/>
      <c r="I20" s="10"/>
      <c r="J20" s="11"/>
      <c r="K20" s="12"/>
      <c r="L20" s="10"/>
      <c r="M20" s="11"/>
      <c r="N20" s="12"/>
      <c r="O20" s="10"/>
      <c r="P20" s="11"/>
      <c r="Q20" s="12"/>
      <c r="R20" s="13"/>
      <c r="S20" s="11"/>
      <c r="T20" s="12"/>
      <c r="U20" s="10"/>
      <c r="V20" s="12"/>
      <c r="W20" s="12"/>
      <c r="X20" s="10"/>
      <c r="Y20" s="12"/>
      <c r="Z20" s="12"/>
      <c r="AA20" s="10"/>
      <c r="AB20" s="12"/>
      <c r="AC20" s="12"/>
      <c r="AD20" s="10"/>
      <c r="AE20" s="12"/>
      <c r="AF20" s="12"/>
      <c r="AG20" s="10"/>
      <c r="AH20" s="12"/>
      <c r="AI20" s="12"/>
      <c r="AJ20" s="13"/>
      <c r="AK20" s="11"/>
      <c r="AL20" s="12"/>
      <c r="AM20" s="10"/>
      <c r="AN20" s="12"/>
      <c r="AO20" s="12"/>
      <c r="AP20" s="10"/>
      <c r="AQ20" s="12"/>
      <c r="AR20" s="12"/>
      <c r="AS20" s="10"/>
      <c r="AT20" s="12"/>
      <c r="AU20" s="12"/>
      <c r="AV20" s="10"/>
      <c r="AW20" s="12"/>
      <c r="AX20" s="12"/>
      <c r="AY20" s="10"/>
      <c r="AZ20" s="12"/>
      <c r="BA20" s="12"/>
      <c r="BB20" s="10"/>
      <c r="BC20" s="12"/>
      <c r="BD20" s="12"/>
      <c r="BE20" s="10"/>
      <c r="BF20" s="12"/>
      <c r="BG20" s="12"/>
      <c r="BH20" s="10"/>
      <c r="BI20" s="12"/>
      <c r="BK20" s="16"/>
      <c r="BL20" s="16"/>
      <c r="BM20" s="16"/>
      <c r="BN20" s="16"/>
      <c r="BO20" s="16"/>
      <c r="BP20" s="16"/>
      <c r="BQ20" s="16"/>
      <c r="BR20" s="16"/>
      <c r="BS20" s="14"/>
      <c r="BT20" s="15"/>
      <c r="BU20" s="23"/>
      <c r="BV20" s="21"/>
      <c r="BW20" s="21"/>
      <c r="BX20" s="16"/>
      <c r="BY20" s="22"/>
      <c r="BZ20" s="16"/>
      <c r="CA20" s="8"/>
      <c r="CB20" s="10"/>
      <c r="CD20" s="10"/>
      <c r="CF20" s="10"/>
      <c r="CH20" s="10"/>
      <c r="CJ20" s="10"/>
      <c r="CL20" s="10"/>
      <c r="CN20" s="10"/>
      <c r="CP20" s="10"/>
      <c r="CR20" s="10"/>
      <c r="CT20" s="10"/>
      <c r="CV20" s="10"/>
      <c r="CX20" s="10"/>
      <c r="CZ20" s="10"/>
      <c r="DB20" s="10"/>
      <c r="DD20" s="10"/>
      <c r="DF20" s="10"/>
      <c r="DH20" s="10"/>
      <c r="DJ20" s="10"/>
      <c r="DL20" s="10"/>
    </row>
    <row r="21" spans="1:116" x14ac:dyDescent="0.2">
      <c r="A21" s="5"/>
      <c r="B21" s="6"/>
      <c r="C21" s="6"/>
      <c r="D21" s="27"/>
      <c r="E21" s="6"/>
      <c r="F21" s="8"/>
      <c r="G21" s="8"/>
      <c r="I21" s="10"/>
      <c r="J21" s="11"/>
      <c r="K21" s="12"/>
      <c r="L21" s="10"/>
      <c r="M21" s="11"/>
      <c r="N21" s="12"/>
      <c r="O21" s="10"/>
      <c r="P21" s="11"/>
      <c r="Q21" s="12"/>
      <c r="R21" s="13"/>
      <c r="S21" s="11"/>
      <c r="T21" s="12"/>
      <c r="U21" s="10"/>
      <c r="V21" s="12"/>
      <c r="W21" s="12"/>
      <c r="X21" s="10"/>
      <c r="Y21" s="12"/>
      <c r="Z21" s="12"/>
      <c r="AA21" s="10"/>
      <c r="AB21" s="12"/>
      <c r="AC21" s="12"/>
      <c r="AD21" s="10"/>
      <c r="AE21" s="12"/>
      <c r="AF21" s="12"/>
      <c r="AG21" s="10"/>
      <c r="AH21" s="12"/>
      <c r="AI21" s="12"/>
      <c r="AJ21" s="13"/>
      <c r="AK21" s="11"/>
      <c r="AL21" s="12"/>
      <c r="AM21" s="10"/>
      <c r="AN21" s="12"/>
      <c r="AO21" s="12"/>
      <c r="AP21" s="10"/>
      <c r="AQ21" s="12"/>
      <c r="AR21" s="12"/>
      <c r="AS21" s="10"/>
      <c r="AT21" s="12"/>
      <c r="AU21" s="12"/>
      <c r="AV21" s="10"/>
      <c r="AW21" s="12"/>
      <c r="AX21" s="12"/>
      <c r="AY21" s="10"/>
      <c r="AZ21" s="12"/>
      <c r="BA21" s="12"/>
      <c r="BB21" s="10"/>
      <c r="BC21" s="12"/>
      <c r="BD21" s="12"/>
      <c r="BE21" s="10"/>
      <c r="BF21" s="12"/>
      <c r="BG21" s="12"/>
      <c r="BH21" s="10"/>
      <c r="BI21" s="12"/>
      <c r="BK21" s="16"/>
      <c r="BL21" s="16"/>
      <c r="BM21" s="16"/>
      <c r="BN21" s="16"/>
      <c r="BO21" s="16"/>
      <c r="BP21" s="16"/>
      <c r="BQ21" s="16"/>
      <c r="BR21" s="16"/>
      <c r="BS21" s="14"/>
      <c r="BT21" s="15"/>
      <c r="BU21" s="23"/>
      <c r="BV21" s="21"/>
      <c r="BW21" s="21"/>
      <c r="BX21" s="16"/>
      <c r="BY21" s="22"/>
      <c r="BZ21" s="16"/>
      <c r="CA21" s="8"/>
      <c r="CB21" s="10"/>
      <c r="CD21" s="10"/>
      <c r="CF21" s="10"/>
      <c r="CH21" s="10"/>
      <c r="CJ21" s="10"/>
      <c r="CL21" s="10"/>
      <c r="CN21" s="10"/>
      <c r="CP21" s="10"/>
      <c r="CR21" s="10"/>
      <c r="CT21" s="10"/>
      <c r="CV21" s="10"/>
      <c r="CX21" s="10"/>
      <c r="CZ21" s="10"/>
      <c r="DB21" s="10"/>
      <c r="DD21" s="10"/>
      <c r="DF21" s="10"/>
      <c r="DH21" s="10"/>
      <c r="DJ21" s="10"/>
      <c r="DL21" s="10"/>
    </row>
    <row r="22" spans="1:116" x14ac:dyDescent="0.2">
      <c r="A22" s="5"/>
      <c r="B22" s="6"/>
      <c r="C22" s="6"/>
      <c r="D22" s="27"/>
      <c r="E22" s="6"/>
      <c r="F22" s="8"/>
      <c r="G22" s="8"/>
      <c r="I22" s="10"/>
      <c r="J22" s="11"/>
      <c r="K22" s="12"/>
      <c r="L22" s="10"/>
      <c r="M22" s="11"/>
      <c r="N22" s="12"/>
      <c r="O22" s="10"/>
      <c r="P22" s="11"/>
      <c r="Q22" s="12"/>
      <c r="R22" s="13"/>
      <c r="S22" s="11"/>
      <c r="T22" s="12"/>
      <c r="U22" s="10"/>
      <c r="V22" s="12"/>
      <c r="W22" s="12"/>
      <c r="X22" s="10"/>
      <c r="Y22" s="12"/>
      <c r="Z22" s="12"/>
      <c r="AA22" s="10"/>
      <c r="AB22" s="12"/>
      <c r="AC22" s="12"/>
      <c r="AD22" s="10"/>
      <c r="AE22" s="12"/>
      <c r="AF22" s="12"/>
      <c r="AG22" s="10"/>
      <c r="AH22" s="12"/>
      <c r="AI22" s="12"/>
      <c r="AJ22" s="13"/>
      <c r="AK22" s="11"/>
      <c r="AL22" s="12"/>
      <c r="AM22" s="10"/>
      <c r="AN22" s="12"/>
      <c r="AO22" s="12"/>
      <c r="AP22" s="10"/>
      <c r="AQ22" s="12"/>
      <c r="AR22" s="12"/>
      <c r="AS22" s="10"/>
      <c r="AT22" s="12"/>
      <c r="AU22" s="12"/>
      <c r="AV22" s="10"/>
      <c r="AW22" s="12"/>
      <c r="AX22" s="12"/>
      <c r="AY22" s="10"/>
      <c r="AZ22" s="12"/>
      <c r="BA22" s="12"/>
      <c r="BB22" s="10"/>
      <c r="BC22" s="12"/>
      <c r="BD22" s="12"/>
      <c r="BE22" s="10"/>
      <c r="BF22" s="12"/>
      <c r="BG22" s="12"/>
      <c r="BH22" s="10"/>
      <c r="BI22" s="12"/>
      <c r="BK22" s="16"/>
      <c r="BL22" s="16"/>
      <c r="BM22" s="16"/>
      <c r="BN22" s="16"/>
      <c r="BO22" s="16"/>
      <c r="BP22" s="16"/>
      <c r="BQ22" s="16"/>
      <c r="BR22" s="16"/>
      <c r="BS22" s="14"/>
      <c r="BT22" s="15"/>
      <c r="BU22" s="23"/>
      <c r="BV22" s="21"/>
      <c r="BW22" s="21"/>
      <c r="BX22" s="16"/>
      <c r="BY22" s="22"/>
      <c r="BZ22" s="16"/>
      <c r="CA22" s="8"/>
      <c r="CB22" s="10"/>
      <c r="CD22" s="10"/>
      <c r="CF22" s="10"/>
      <c r="CH22" s="10"/>
      <c r="CJ22" s="10"/>
      <c r="CL22" s="10"/>
      <c r="CN22" s="10"/>
      <c r="CP22" s="10"/>
      <c r="CR22" s="10"/>
      <c r="CT22" s="10"/>
      <c r="CV22" s="10"/>
      <c r="CX22" s="10"/>
      <c r="CZ22" s="10"/>
      <c r="DB22" s="10"/>
      <c r="DD22" s="10"/>
      <c r="DF22" s="10"/>
      <c r="DH22" s="10"/>
      <c r="DJ22" s="10"/>
      <c r="DL22" s="10"/>
    </row>
    <row r="23" spans="1:116" x14ac:dyDescent="0.2">
      <c r="A23" s="5"/>
      <c r="B23" s="6"/>
      <c r="C23" s="6"/>
      <c r="D23" s="27"/>
      <c r="E23" s="6"/>
      <c r="F23" s="8"/>
      <c r="G23" s="8"/>
      <c r="I23" s="10"/>
      <c r="J23" s="11"/>
      <c r="K23" s="12"/>
      <c r="L23" s="10"/>
      <c r="M23" s="11"/>
      <c r="N23" s="12"/>
      <c r="O23" s="10"/>
      <c r="P23" s="11"/>
      <c r="Q23" s="12"/>
      <c r="R23" s="13"/>
      <c r="S23" s="11"/>
      <c r="T23" s="12"/>
      <c r="U23" s="10"/>
      <c r="V23" s="12"/>
      <c r="W23" s="12"/>
      <c r="X23" s="10"/>
      <c r="Y23" s="12"/>
      <c r="Z23" s="12"/>
      <c r="AA23" s="10"/>
      <c r="AB23" s="12"/>
      <c r="AC23" s="12"/>
      <c r="AD23" s="10"/>
      <c r="AE23" s="12"/>
      <c r="AF23" s="12"/>
      <c r="AG23" s="10"/>
      <c r="AH23" s="12"/>
      <c r="AI23" s="12"/>
      <c r="AJ23" s="13"/>
      <c r="AK23" s="11"/>
      <c r="AL23" s="12"/>
      <c r="AM23" s="10"/>
      <c r="AN23" s="12"/>
      <c r="AO23" s="12"/>
      <c r="AP23" s="10"/>
      <c r="AQ23" s="12"/>
      <c r="AR23" s="12"/>
      <c r="AS23" s="10"/>
      <c r="AT23" s="12"/>
      <c r="AU23" s="12"/>
      <c r="AV23" s="10"/>
      <c r="AW23" s="12"/>
      <c r="AX23" s="12"/>
      <c r="AY23" s="10"/>
      <c r="AZ23" s="12"/>
      <c r="BA23" s="12"/>
      <c r="BB23" s="10"/>
      <c r="BC23" s="12"/>
      <c r="BD23" s="12"/>
      <c r="BE23" s="10"/>
      <c r="BF23" s="12"/>
      <c r="BG23" s="12"/>
      <c r="BH23" s="10"/>
      <c r="BI23" s="12"/>
      <c r="BK23" s="16"/>
      <c r="BL23" s="16"/>
      <c r="BM23" s="16"/>
      <c r="BN23" s="16"/>
      <c r="BO23" s="16"/>
      <c r="BP23" s="16"/>
      <c r="BQ23" s="16"/>
      <c r="BR23" s="16"/>
      <c r="BS23" s="14"/>
      <c r="BT23" s="15"/>
      <c r="BU23" s="23"/>
      <c r="BV23" s="21"/>
      <c r="BW23" s="21"/>
      <c r="BX23" s="16"/>
      <c r="BY23" s="22"/>
      <c r="BZ23" s="16"/>
      <c r="CA23" s="8"/>
      <c r="CB23" s="10"/>
      <c r="CD23" s="10"/>
      <c r="CF23" s="10"/>
      <c r="CH23" s="10"/>
      <c r="CJ23" s="10"/>
      <c r="CL23" s="10"/>
      <c r="CN23" s="10"/>
      <c r="CP23" s="10"/>
      <c r="CR23" s="10"/>
      <c r="CT23" s="10"/>
      <c r="CV23" s="10"/>
      <c r="CX23" s="10"/>
      <c r="CZ23" s="10"/>
      <c r="DB23" s="10"/>
      <c r="DD23" s="10"/>
      <c r="DF23" s="10"/>
      <c r="DH23" s="10"/>
      <c r="DJ23" s="10"/>
      <c r="DL23" s="10"/>
    </row>
    <row r="24" spans="1:116" x14ac:dyDescent="0.2">
      <c r="A24" s="5"/>
      <c r="B24" s="6"/>
      <c r="C24" s="6"/>
      <c r="D24" s="27"/>
      <c r="E24" s="6"/>
      <c r="F24" s="8"/>
      <c r="G24" s="8"/>
      <c r="I24" s="10"/>
      <c r="J24" s="11"/>
      <c r="K24" s="12"/>
      <c r="L24" s="10"/>
      <c r="M24" s="11"/>
      <c r="N24" s="12"/>
      <c r="O24" s="10"/>
      <c r="P24" s="11"/>
      <c r="Q24" s="12"/>
      <c r="R24" s="13"/>
      <c r="S24" s="11"/>
      <c r="T24" s="12"/>
      <c r="U24" s="10"/>
      <c r="V24" s="12"/>
      <c r="W24" s="12"/>
      <c r="X24" s="10"/>
      <c r="Y24" s="12"/>
      <c r="Z24" s="12"/>
      <c r="AA24" s="10"/>
      <c r="AB24" s="12"/>
      <c r="AC24" s="12"/>
      <c r="AD24" s="10"/>
      <c r="AE24" s="12"/>
      <c r="AF24" s="12"/>
      <c r="AG24" s="10"/>
      <c r="AH24" s="12"/>
      <c r="AI24" s="12"/>
      <c r="AJ24" s="13"/>
      <c r="AK24" s="11"/>
      <c r="AL24" s="12"/>
      <c r="AM24" s="10"/>
      <c r="AN24" s="12"/>
      <c r="AO24" s="12"/>
      <c r="AP24" s="10"/>
      <c r="AQ24" s="12"/>
      <c r="AR24" s="12"/>
      <c r="AS24" s="10"/>
      <c r="AT24" s="12"/>
      <c r="AU24" s="12"/>
      <c r="AV24" s="10"/>
      <c r="AW24" s="12"/>
      <c r="AX24" s="12"/>
      <c r="AY24" s="10"/>
      <c r="AZ24" s="12"/>
      <c r="BA24" s="12"/>
      <c r="BB24" s="10"/>
      <c r="BC24" s="12"/>
      <c r="BD24" s="12"/>
      <c r="BE24" s="10"/>
      <c r="BF24" s="12"/>
      <c r="BG24" s="12"/>
      <c r="BH24" s="10"/>
      <c r="BI24" s="12"/>
      <c r="BK24" s="16"/>
      <c r="BL24" s="16"/>
      <c r="BM24" s="16"/>
      <c r="BN24" s="16"/>
      <c r="BO24" s="16"/>
      <c r="BP24" s="16"/>
      <c r="BQ24" s="16"/>
      <c r="BR24" s="16"/>
      <c r="BS24" s="14"/>
      <c r="BT24" s="15"/>
      <c r="BU24" s="23"/>
      <c r="BV24" s="21"/>
      <c r="BW24" s="21"/>
      <c r="BX24" s="16"/>
      <c r="BY24" s="22"/>
      <c r="BZ24" s="16"/>
      <c r="CA24" s="8"/>
      <c r="CB24" s="10"/>
      <c r="CD24" s="10"/>
      <c r="CF24" s="10"/>
      <c r="CH24" s="10"/>
      <c r="CJ24" s="10"/>
      <c r="CL24" s="10"/>
      <c r="CN24" s="10"/>
      <c r="CP24" s="10"/>
      <c r="CR24" s="10"/>
      <c r="CT24" s="10"/>
      <c r="CV24" s="10"/>
      <c r="CX24" s="10"/>
      <c r="CZ24" s="10"/>
      <c r="DB24" s="10"/>
      <c r="DD24" s="10"/>
      <c r="DF24" s="10"/>
      <c r="DH24" s="10"/>
      <c r="DJ24" s="10"/>
      <c r="DL24" s="10"/>
    </row>
    <row r="25" spans="1:116" x14ac:dyDescent="0.2">
      <c r="A25" s="5"/>
      <c r="B25" s="6"/>
      <c r="C25" s="6"/>
      <c r="D25" s="27"/>
      <c r="E25" s="6"/>
      <c r="F25" s="8"/>
      <c r="G25" s="8"/>
      <c r="I25" s="10"/>
      <c r="J25" s="11"/>
      <c r="K25" s="12"/>
      <c r="L25" s="10"/>
      <c r="M25" s="11"/>
      <c r="N25" s="12"/>
      <c r="O25" s="10"/>
      <c r="P25" s="11"/>
      <c r="Q25" s="12"/>
      <c r="R25" s="13"/>
      <c r="S25" s="11"/>
      <c r="T25" s="12"/>
      <c r="U25" s="10"/>
      <c r="V25" s="12"/>
      <c r="W25" s="12"/>
      <c r="X25" s="10"/>
      <c r="Y25" s="12"/>
      <c r="Z25" s="12"/>
      <c r="AA25" s="10"/>
      <c r="AB25" s="12"/>
      <c r="AC25" s="12"/>
      <c r="AD25" s="10"/>
      <c r="AE25" s="12"/>
      <c r="AF25" s="12"/>
      <c r="AG25" s="10"/>
      <c r="AH25" s="12"/>
      <c r="AI25" s="12"/>
      <c r="AJ25" s="13"/>
      <c r="AK25" s="11"/>
      <c r="AL25" s="12"/>
      <c r="AM25" s="10"/>
      <c r="AN25" s="12"/>
      <c r="AO25" s="12"/>
      <c r="AP25" s="10"/>
      <c r="AQ25" s="12"/>
      <c r="AR25" s="12"/>
      <c r="AS25" s="10"/>
      <c r="AT25" s="12"/>
      <c r="AU25" s="12"/>
      <c r="AV25" s="10"/>
      <c r="AW25" s="12"/>
      <c r="AX25" s="12"/>
      <c r="AY25" s="10"/>
      <c r="AZ25" s="12"/>
      <c r="BA25" s="12"/>
      <c r="BB25" s="10"/>
      <c r="BC25" s="12"/>
      <c r="BD25" s="12"/>
      <c r="BE25" s="10"/>
      <c r="BF25" s="12"/>
      <c r="BG25" s="12"/>
      <c r="BH25" s="10"/>
      <c r="BI25" s="12"/>
      <c r="BK25" s="16"/>
      <c r="BL25" s="16"/>
      <c r="BM25" s="16"/>
      <c r="BN25" s="16"/>
      <c r="BO25" s="16"/>
      <c r="BP25" s="16"/>
      <c r="BQ25" s="16"/>
      <c r="BR25" s="16"/>
      <c r="BS25" s="14"/>
      <c r="BT25" s="15"/>
      <c r="BU25" s="23"/>
      <c r="BV25" s="21"/>
      <c r="BW25" s="21"/>
      <c r="BX25" s="16"/>
      <c r="BY25" s="22"/>
      <c r="BZ25" s="16"/>
      <c r="CA25" s="8"/>
      <c r="CB25" s="10"/>
      <c r="CD25" s="10"/>
      <c r="CF25" s="10"/>
      <c r="CH25" s="10"/>
      <c r="CJ25" s="10"/>
      <c r="CL25" s="10"/>
      <c r="CN25" s="10"/>
      <c r="CP25" s="10"/>
      <c r="CR25" s="10"/>
      <c r="CT25" s="10"/>
      <c r="CV25" s="10"/>
      <c r="CX25" s="10"/>
      <c r="CZ25" s="10"/>
      <c r="DB25" s="10"/>
      <c r="DD25" s="10"/>
      <c r="DF25" s="10"/>
      <c r="DH25" s="10"/>
      <c r="DJ25" s="10"/>
      <c r="DL25" s="10"/>
    </row>
    <row r="26" spans="1:116" x14ac:dyDescent="0.2">
      <c r="A26" s="5"/>
      <c r="B26" s="6"/>
      <c r="C26" s="6"/>
      <c r="D26" s="27"/>
      <c r="E26" s="6"/>
      <c r="F26" s="8"/>
      <c r="G26" s="8"/>
      <c r="I26" s="10"/>
      <c r="J26" s="11"/>
      <c r="K26" s="12"/>
      <c r="L26" s="10"/>
      <c r="M26" s="11"/>
      <c r="N26" s="12"/>
      <c r="O26" s="10"/>
      <c r="P26" s="11"/>
      <c r="Q26" s="12"/>
      <c r="R26" s="13"/>
      <c r="S26" s="11"/>
      <c r="T26" s="12"/>
      <c r="U26" s="10"/>
      <c r="V26" s="12"/>
      <c r="W26" s="12"/>
      <c r="X26" s="10"/>
      <c r="Y26" s="12"/>
      <c r="Z26" s="12"/>
      <c r="AA26" s="10"/>
      <c r="AB26" s="12"/>
      <c r="AC26" s="12"/>
      <c r="AD26" s="10"/>
      <c r="AE26" s="12"/>
      <c r="AF26" s="12"/>
      <c r="AG26" s="10"/>
      <c r="AH26" s="12"/>
      <c r="AI26" s="12"/>
      <c r="AJ26" s="13"/>
      <c r="AK26" s="11"/>
      <c r="AL26" s="12"/>
      <c r="AM26" s="10"/>
      <c r="AN26" s="12"/>
      <c r="AO26" s="12"/>
      <c r="AP26" s="10"/>
      <c r="AQ26" s="12"/>
      <c r="AR26" s="12"/>
      <c r="AS26" s="10"/>
      <c r="AT26" s="12"/>
      <c r="AU26" s="12"/>
      <c r="AV26" s="10"/>
      <c r="AW26" s="12"/>
      <c r="AX26" s="12"/>
      <c r="AY26" s="10"/>
      <c r="AZ26" s="12"/>
      <c r="BA26" s="12"/>
      <c r="BB26" s="10"/>
      <c r="BC26" s="12"/>
      <c r="BD26" s="12"/>
      <c r="BE26" s="10"/>
      <c r="BF26" s="12"/>
      <c r="BG26" s="12"/>
      <c r="BH26" s="10"/>
      <c r="BI26" s="12"/>
      <c r="BK26" s="16"/>
      <c r="BL26" s="16"/>
      <c r="BM26" s="16"/>
      <c r="BN26" s="16"/>
      <c r="BO26" s="16"/>
      <c r="BP26" s="16"/>
      <c r="BQ26" s="16"/>
      <c r="BR26" s="16"/>
      <c r="BS26" s="14"/>
      <c r="BT26" s="15"/>
      <c r="BU26" s="23"/>
      <c r="BV26" s="21"/>
      <c r="BW26" s="21"/>
      <c r="BX26" s="16"/>
      <c r="BY26" s="22"/>
      <c r="BZ26" s="16"/>
      <c r="CA26" s="8"/>
      <c r="CB26" s="10"/>
      <c r="CD26" s="10"/>
      <c r="CF26" s="10"/>
      <c r="CH26" s="10"/>
      <c r="CJ26" s="10"/>
      <c r="CL26" s="10"/>
      <c r="CN26" s="10"/>
      <c r="CP26" s="10"/>
      <c r="CR26" s="10"/>
      <c r="CT26" s="10"/>
      <c r="CV26" s="10"/>
      <c r="CX26" s="10"/>
      <c r="CZ26" s="10"/>
      <c r="DB26" s="10"/>
      <c r="DD26" s="10"/>
      <c r="DF26" s="10"/>
      <c r="DH26" s="10"/>
      <c r="DJ26" s="10"/>
      <c r="DL26" s="10"/>
    </row>
    <row r="27" spans="1:116" x14ac:dyDescent="0.2">
      <c r="A27" s="5"/>
      <c r="B27" s="6"/>
      <c r="C27" s="6"/>
      <c r="D27" s="27"/>
      <c r="E27" s="6"/>
      <c r="F27" s="8"/>
      <c r="G27" s="8"/>
      <c r="I27" s="10"/>
      <c r="J27" s="11"/>
      <c r="K27" s="12"/>
      <c r="L27" s="10"/>
      <c r="M27" s="11"/>
      <c r="N27" s="12"/>
      <c r="O27" s="10"/>
      <c r="P27" s="11"/>
      <c r="Q27" s="12"/>
      <c r="R27" s="13"/>
      <c r="S27" s="11"/>
      <c r="T27" s="12"/>
      <c r="U27" s="10"/>
      <c r="V27" s="12"/>
      <c r="W27" s="12"/>
      <c r="X27" s="10"/>
      <c r="Y27" s="12"/>
      <c r="Z27" s="12"/>
      <c r="AA27" s="10"/>
      <c r="AB27" s="12"/>
      <c r="AC27" s="12"/>
      <c r="AD27" s="10"/>
      <c r="AE27" s="12"/>
      <c r="AF27" s="12"/>
      <c r="AG27" s="10"/>
      <c r="AH27" s="12"/>
      <c r="AI27" s="12"/>
      <c r="AJ27" s="13"/>
      <c r="AK27" s="11"/>
      <c r="AL27" s="12"/>
      <c r="AM27" s="10"/>
      <c r="AN27" s="12"/>
      <c r="AO27" s="12"/>
      <c r="AP27" s="10"/>
      <c r="AQ27" s="12"/>
      <c r="AR27" s="12"/>
      <c r="AS27" s="10"/>
      <c r="AT27" s="12"/>
      <c r="AU27" s="12"/>
      <c r="AV27" s="10"/>
      <c r="AW27" s="12"/>
      <c r="AX27" s="12"/>
      <c r="AY27" s="10"/>
      <c r="AZ27" s="12"/>
      <c r="BA27" s="12"/>
      <c r="BB27" s="10"/>
      <c r="BC27" s="12"/>
      <c r="BD27" s="12"/>
      <c r="BE27" s="10"/>
      <c r="BF27" s="12"/>
      <c r="BG27" s="12"/>
      <c r="BH27" s="10"/>
      <c r="BI27" s="12"/>
      <c r="BK27" s="16"/>
      <c r="BL27" s="16"/>
      <c r="BM27" s="16"/>
      <c r="BN27" s="16"/>
      <c r="BO27" s="16"/>
      <c r="BP27" s="16"/>
      <c r="BQ27" s="16"/>
      <c r="BR27" s="16"/>
      <c r="BS27" s="14"/>
      <c r="BT27" s="15"/>
      <c r="BU27" s="23"/>
      <c r="BV27" s="21"/>
      <c r="BW27" s="21"/>
      <c r="BX27" s="16"/>
      <c r="BY27" s="22"/>
      <c r="BZ27" s="16"/>
      <c r="CA27" s="8"/>
      <c r="CB27" s="10"/>
      <c r="CD27" s="10"/>
      <c r="CF27" s="10"/>
      <c r="CH27" s="10"/>
      <c r="CJ27" s="10"/>
      <c r="CL27" s="10"/>
      <c r="CN27" s="10"/>
      <c r="CP27" s="10"/>
      <c r="CR27" s="10"/>
      <c r="CT27" s="10"/>
      <c r="CV27" s="10"/>
      <c r="CX27" s="10"/>
      <c r="CZ27" s="10"/>
      <c r="DB27" s="10"/>
      <c r="DD27" s="10"/>
      <c r="DF27" s="10"/>
      <c r="DH27" s="10"/>
      <c r="DJ27" s="10"/>
      <c r="DL27" s="10"/>
    </row>
    <row r="28" spans="1:116" x14ac:dyDescent="0.2">
      <c r="A28" s="5"/>
      <c r="B28" s="6"/>
      <c r="C28" s="6"/>
      <c r="D28" s="27"/>
      <c r="E28" s="6"/>
      <c r="F28" s="8"/>
      <c r="G28" s="8"/>
      <c r="I28" s="10"/>
      <c r="J28" s="11"/>
      <c r="K28" s="12"/>
      <c r="L28" s="10"/>
      <c r="M28" s="11"/>
      <c r="N28" s="12"/>
      <c r="O28" s="10"/>
      <c r="P28" s="11"/>
      <c r="Q28" s="12"/>
      <c r="R28" s="13"/>
      <c r="S28" s="11"/>
      <c r="T28" s="12"/>
      <c r="U28" s="10"/>
      <c r="V28" s="12"/>
      <c r="W28" s="12"/>
      <c r="X28" s="10"/>
      <c r="Y28" s="12"/>
      <c r="Z28" s="12"/>
      <c r="AA28" s="10"/>
      <c r="AB28" s="12"/>
      <c r="AC28" s="12"/>
      <c r="AD28" s="10"/>
      <c r="AE28" s="12"/>
      <c r="AF28" s="12"/>
      <c r="AG28" s="10"/>
      <c r="AH28" s="12"/>
      <c r="AI28" s="12"/>
      <c r="AJ28" s="13"/>
      <c r="AK28" s="11"/>
      <c r="AL28" s="12"/>
      <c r="AM28" s="10"/>
      <c r="AN28" s="12"/>
      <c r="AO28" s="12"/>
      <c r="AP28" s="10"/>
      <c r="AQ28" s="12"/>
      <c r="AR28" s="12"/>
      <c r="AS28" s="10"/>
      <c r="AT28" s="12"/>
      <c r="AU28" s="12"/>
      <c r="AV28" s="10"/>
      <c r="AW28" s="12"/>
      <c r="AX28" s="12"/>
      <c r="AY28" s="10"/>
      <c r="AZ28" s="12"/>
      <c r="BA28" s="12"/>
      <c r="BB28" s="10"/>
      <c r="BC28" s="12"/>
      <c r="BD28" s="12"/>
      <c r="BE28" s="10"/>
      <c r="BF28" s="12"/>
      <c r="BG28" s="12"/>
      <c r="BH28" s="10"/>
      <c r="BI28" s="12"/>
      <c r="BK28" s="16"/>
      <c r="BL28" s="16"/>
      <c r="BM28" s="16"/>
      <c r="BN28" s="16"/>
      <c r="BO28" s="16"/>
      <c r="BP28" s="16"/>
      <c r="BQ28" s="16"/>
      <c r="BR28" s="16"/>
      <c r="BS28" s="14"/>
      <c r="BT28" s="15"/>
      <c r="BU28" s="23"/>
      <c r="BV28" s="21"/>
      <c r="BW28" s="21"/>
      <c r="BX28" s="16"/>
      <c r="BY28" s="22"/>
      <c r="BZ28" s="16"/>
      <c r="CA28" s="8"/>
      <c r="CB28" s="10"/>
      <c r="CD28" s="10"/>
      <c r="CF28" s="10"/>
      <c r="CH28" s="10"/>
      <c r="CJ28" s="10"/>
      <c r="CL28" s="10"/>
      <c r="CN28" s="10"/>
      <c r="CP28" s="10"/>
      <c r="CR28" s="10"/>
      <c r="CT28" s="10"/>
      <c r="CV28" s="10"/>
      <c r="CX28" s="10"/>
      <c r="CZ28" s="10"/>
      <c r="DB28" s="10"/>
      <c r="DD28" s="10"/>
      <c r="DF28" s="10"/>
      <c r="DH28" s="10"/>
      <c r="DJ28" s="10"/>
      <c r="DL28" s="10"/>
    </row>
    <row r="29" spans="1:116" x14ac:dyDescent="0.2">
      <c r="A29" s="5"/>
      <c r="B29" s="6"/>
      <c r="C29" s="6"/>
      <c r="D29" s="27"/>
      <c r="E29" s="6"/>
      <c r="F29" s="8"/>
      <c r="G29" s="8"/>
      <c r="I29" s="10"/>
      <c r="J29" s="11"/>
      <c r="K29" s="12"/>
      <c r="L29" s="10"/>
      <c r="M29" s="11"/>
      <c r="N29" s="12"/>
      <c r="O29" s="10"/>
      <c r="P29" s="11"/>
      <c r="Q29" s="12"/>
      <c r="R29" s="13"/>
      <c r="S29" s="11"/>
      <c r="T29" s="12"/>
      <c r="U29" s="10"/>
      <c r="V29" s="12"/>
      <c r="W29" s="12"/>
      <c r="X29" s="10"/>
      <c r="Y29" s="12"/>
      <c r="Z29" s="12"/>
      <c r="AA29" s="10"/>
      <c r="AB29" s="12"/>
      <c r="AC29" s="12"/>
      <c r="AD29" s="10"/>
      <c r="AE29" s="12"/>
      <c r="AF29" s="12"/>
      <c r="AG29" s="10"/>
      <c r="AH29" s="12"/>
      <c r="AI29" s="12"/>
      <c r="AJ29" s="13"/>
      <c r="AK29" s="11"/>
      <c r="AL29" s="12"/>
      <c r="AM29" s="10"/>
      <c r="AN29" s="12"/>
      <c r="AO29" s="12"/>
      <c r="AP29" s="10"/>
      <c r="AQ29" s="12"/>
      <c r="AR29" s="12"/>
      <c r="AS29" s="10"/>
      <c r="AT29" s="12"/>
      <c r="AU29" s="12"/>
      <c r="AV29" s="10"/>
      <c r="AW29" s="12"/>
      <c r="AX29" s="12"/>
      <c r="AY29" s="10"/>
      <c r="AZ29" s="12"/>
      <c r="BA29" s="12"/>
      <c r="BB29" s="10"/>
      <c r="BC29" s="12"/>
      <c r="BD29" s="12"/>
      <c r="BE29" s="10"/>
      <c r="BF29" s="12"/>
      <c r="BG29" s="12"/>
      <c r="BH29" s="10"/>
      <c r="BI29" s="12"/>
      <c r="BK29" s="16"/>
      <c r="BL29" s="16"/>
      <c r="BM29" s="16"/>
      <c r="BN29" s="16"/>
      <c r="BO29" s="16"/>
      <c r="BP29" s="16"/>
      <c r="BQ29" s="16"/>
      <c r="BR29" s="16"/>
      <c r="BS29" s="14"/>
      <c r="BT29" s="15"/>
      <c r="BU29" s="23"/>
      <c r="BV29" s="21"/>
      <c r="BW29" s="21"/>
      <c r="BX29" s="16"/>
      <c r="BY29" s="22"/>
      <c r="BZ29" s="16"/>
      <c r="CA29" s="8"/>
      <c r="CB29" s="10"/>
      <c r="CD29" s="10"/>
      <c r="CF29" s="10"/>
      <c r="CH29" s="10"/>
      <c r="CJ29" s="10"/>
      <c r="CL29" s="10"/>
      <c r="CN29" s="10"/>
      <c r="CP29" s="10"/>
      <c r="CR29" s="10"/>
      <c r="CT29" s="10"/>
      <c r="CV29" s="10"/>
      <c r="CX29" s="10"/>
      <c r="CZ29" s="10"/>
      <c r="DB29" s="10"/>
      <c r="DD29" s="10"/>
      <c r="DF29" s="10"/>
      <c r="DH29" s="10"/>
      <c r="DJ29" s="10"/>
      <c r="DL29" s="10"/>
    </row>
    <row r="30" spans="1:116" x14ac:dyDescent="0.2">
      <c r="A30" s="5"/>
      <c r="B30" s="6"/>
      <c r="C30" s="6"/>
      <c r="D30" s="27"/>
      <c r="E30" s="6"/>
      <c r="F30" s="8"/>
      <c r="G30" s="8"/>
      <c r="I30" s="10"/>
      <c r="J30" s="11"/>
      <c r="K30" s="12"/>
      <c r="L30" s="10"/>
      <c r="M30" s="11"/>
      <c r="N30" s="12"/>
      <c r="O30" s="10"/>
      <c r="P30" s="11"/>
      <c r="Q30" s="12"/>
      <c r="R30" s="13"/>
      <c r="S30" s="11"/>
      <c r="T30" s="12"/>
      <c r="U30" s="10"/>
      <c r="V30" s="12"/>
      <c r="W30" s="12"/>
      <c r="X30" s="10"/>
      <c r="Y30" s="12"/>
      <c r="Z30" s="12"/>
      <c r="AA30" s="10"/>
      <c r="AB30" s="12"/>
      <c r="AC30" s="12"/>
      <c r="AD30" s="10"/>
      <c r="AE30" s="12"/>
      <c r="AF30" s="12"/>
      <c r="AG30" s="10"/>
      <c r="AH30" s="12"/>
      <c r="AI30" s="12"/>
      <c r="AJ30" s="13"/>
      <c r="AK30" s="11"/>
      <c r="AL30" s="12"/>
      <c r="AM30" s="10"/>
      <c r="AN30" s="12"/>
      <c r="AO30" s="12"/>
      <c r="AP30" s="10"/>
      <c r="AQ30" s="12"/>
      <c r="AR30" s="12"/>
      <c r="AS30" s="10"/>
      <c r="AT30" s="12"/>
      <c r="AU30" s="12"/>
      <c r="AV30" s="10"/>
      <c r="AW30" s="12"/>
      <c r="AX30" s="12"/>
      <c r="AY30" s="10"/>
      <c r="AZ30" s="12"/>
      <c r="BA30" s="12"/>
      <c r="BB30" s="10"/>
      <c r="BC30" s="12"/>
      <c r="BD30" s="12"/>
      <c r="BE30" s="10"/>
      <c r="BF30" s="12"/>
      <c r="BG30" s="12"/>
      <c r="BH30" s="10"/>
      <c r="BI30" s="12"/>
      <c r="BK30" s="16"/>
      <c r="BL30" s="16"/>
      <c r="BM30" s="16"/>
      <c r="BN30" s="16"/>
      <c r="BO30" s="16"/>
      <c r="BP30" s="16"/>
      <c r="BQ30" s="16"/>
      <c r="BR30" s="16"/>
      <c r="BS30" s="14"/>
      <c r="BT30" s="15"/>
      <c r="BU30" s="23"/>
      <c r="BV30" s="21"/>
      <c r="BW30" s="21"/>
      <c r="BX30" s="16"/>
      <c r="BY30" s="22"/>
      <c r="BZ30" s="16"/>
      <c r="CA30" s="8"/>
      <c r="CB30" s="10"/>
      <c r="CD30" s="10"/>
      <c r="CF30" s="10"/>
      <c r="CH30" s="10"/>
      <c r="CJ30" s="10"/>
      <c r="CL30" s="10"/>
      <c r="CN30" s="10"/>
      <c r="CP30" s="10"/>
      <c r="CR30" s="10"/>
      <c r="CT30" s="10"/>
      <c r="CV30" s="10"/>
      <c r="CX30" s="10"/>
      <c r="CZ30" s="10"/>
      <c r="DB30" s="10"/>
      <c r="DD30" s="10"/>
      <c r="DF30" s="10"/>
      <c r="DH30" s="10"/>
      <c r="DJ30" s="10"/>
      <c r="DL30" s="10"/>
    </row>
    <row r="31" spans="1:116" x14ac:dyDescent="0.2">
      <c r="A31" s="5"/>
      <c r="B31" s="6"/>
      <c r="C31" s="6"/>
      <c r="D31" s="27"/>
      <c r="E31" s="6"/>
      <c r="F31" s="8"/>
      <c r="G31" s="8"/>
      <c r="I31" s="10"/>
      <c r="J31" s="11"/>
      <c r="K31" s="12"/>
      <c r="L31" s="10"/>
      <c r="M31" s="11"/>
      <c r="N31" s="12"/>
      <c r="O31" s="10"/>
      <c r="P31" s="11"/>
      <c r="Q31" s="12"/>
      <c r="R31" s="13"/>
      <c r="S31" s="11"/>
      <c r="T31" s="12"/>
      <c r="U31" s="10"/>
      <c r="V31" s="12"/>
      <c r="W31" s="12"/>
      <c r="X31" s="10"/>
      <c r="Y31" s="12"/>
      <c r="Z31" s="12"/>
      <c r="AA31" s="10"/>
      <c r="AB31" s="12"/>
      <c r="AC31" s="12"/>
      <c r="AD31" s="10"/>
      <c r="AE31" s="12"/>
      <c r="AF31" s="12"/>
      <c r="AG31" s="10"/>
      <c r="AH31" s="12"/>
      <c r="AI31" s="12"/>
      <c r="AJ31" s="13"/>
      <c r="AK31" s="11"/>
      <c r="AL31" s="12"/>
      <c r="AM31" s="10"/>
      <c r="AN31" s="12"/>
      <c r="AO31" s="12"/>
      <c r="AP31" s="10"/>
      <c r="AQ31" s="12"/>
      <c r="AR31" s="12"/>
      <c r="AS31" s="10"/>
      <c r="AT31" s="12"/>
      <c r="AU31" s="12"/>
      <c r="AV31" s="10"/>
      <c r="AW31" s="12"/>
      <c r="AX31" s="12"/>
      <c r="AY31" s="10"/>
      <c r="AZ31" s="12"/>
      <c r="BA31" s="12"/>
      <c r="BB31" s="10"/>
      <c r="BC31" s="12"/>
      <c r="BD31" s="12"/>
      <c r="BE31" s="10"/>
      <c r="BF31" s="12"/>
      <c r="BG31" s="12"/>
      <c r="BH31" s="10"/>
      <c r="BI31" s="12"/>
      <c r="BK31" s="16"/>
      <c r="BL31" s="16"/>
      <c r="BM31" s="16"/>
      <c r="BN31" s="16"/>
      <c r="BO31" s="16"/>
      <c r="BP31" s="16"/>
      <c r="BQ31" s="16"/>
      <c r="BR31" s="16"/>
      <c r="BS31" s="14"/>
      <c r="BT31" s="15"/>
      <c r="BU31" s="23"/>
      <c r="BV31" s="21"/>
      <c r="BW31" s="21"/>
      <c r="BX31" s="16"/>
      <c r="BY31" s="22"/>
      <c r="BZ31" s="16"/>
      <c r="CA31" s="8"/>
      <c r="CB31" s="10"/>
      <c r="CD31" s="10"/>
      <c r="CF31" s="10"/>
      <c r="CH31" s="10"/>
      <c r="CJ31" s="10"/>
      <c r="CL31" s="10"/>
      <c r="CN31" s="10"/>
      <c r="CP31" s="10"/>
      <c r="CR31" s="10"/>
      <c r="CT31" s="10"/>
      <c r="CV31" s="10"/>
      <c r="CX31" s="10"/>
      <c r="CZ31" s="10"/>
      <c r="DB31" s="10"/>
      <c r="DD31" s="10"/>
      <c r="DF31" s="10"/>
      <c r="DH31" s="10"/>
      <c r="DJ31" s="10"/>
      <c r="DL31" s="10"/>
    </row>
    <row r="32" spans="1:116" x14ac:dyDescent="0.2">
      <c r="A32" s="5"/>
      <c r="B32" s="6"/>
      <c r="C32" s="6"/>
      <c r="D32" s="27"/>
      <c r="E32" s="6"/>
      <c r="F32" s="8"/>
      <c r="G32" s="8"/>
      <c r="I32" s="10"/>
      <c r="J32" s="11"/>
      <c r="K32" s="12"/>
      <c r="L32" s="10"/>
      <c r="M32" s="11"/>
      <c r="N32" s="12"/>
      <c r="O32" s="10"/>
      <c r="P32" s="11"/>
      <c r="Q32" s="12"/>
      <c r="R32" s="13"/>
      <c r="S32" s="11"/>
      <c r="T32" s="12"/>
      <c r="U32" s="10"/>
      <c r="V32" s="12"/>
      <c r="W32" s="12"/>
      <c r="X32" s="10"/>
      <c r="Y32" s="12"/>
      <c r="Z32" s="12"/>
      <c r="AA32" s="10"/>
      <c r="AB32" s="12"/>
      <c r="AC32" s="12"/>
      <c r="AD32" s="10"/>
      <c r="AE32" s="12"/>
      <c r="AF32" s="12"/>
      <c r="AG32" s="10"/>
      <c r="AH32" s="12"/>
      <c r="AI32" s="12"/>
      <c r="AJ32" s="13"/>
      <c r="AK32" s="11"/>
      <c r="AL32" s="12"/>
      <c r="AM32" s="10"/>
      <c r="AN32" s="12"/>
      <c r="AO32" s="12"/>
      <c r="AP32" s="10"/>
      <c r="AQ32" s="12"/>
      <c r="AR32" s="12"/>
      <c r="AS32" s="10"/>
      <c r="AT32" s="12"/>
      <c r="AU32" s="12"/>
      <c r="AV32" s="10"/>
      <c r="AW32" s="12"/>
      <c r="AX32" s="12"/>
      <c r="AY32" s="10"/>
      <c r="AZ32" s="12"/>
      <c r="BA32" s="12"/>
      <c r="BB32" s="10"/>
      <c r="BC32" s="12"/>
      <c r="BD32" s="12"/>
      <c r="BE32" s="10"/>
      <c r="BF32" s="12"/>
      <c r="BG32" s="12"/>
      <c r="BH32" s="10"/>
      <c r="BI32" s="12"/>
      <c r="BK32" s="16"/>
      <c r="BL32" s="16"/>
      <c r="BM32" s="16"/>
      <c r="BN32" s="16"/>
      <c r="BO32" s="16"/>
      <c r="BP32" s="16"/>
      <c r="BQ32" s="16"/>
      <c r="BR32" s="16"/>
      <c r="BS32" s="14"/>
      <c r="BT32" s="15"/>
      <c r="BU32" s="23"/>
      <c r="BV32" s="21"/>
      <c r="BW32" s="21"/>
      <c r="BX32" s="16"/>
      <c r="BY32" s="22"/>
      <c r="BZ32" s="16"/>
      <c r="CA32" s="8"/>
      <c r="CB32" s="10"/>
      <c r="CD32" s="10"/>
      <c r="CF32" s="10"/>
      <c r="CH32" s="10"/>
      <c r="CJ32" s="10"/>
      <c r="CL32" s="10"/>
      <c r="CN32" s="10"/>
      <c r="CP32" s="10"/>
      <c r="CR32" s="10"/>
      <c r="CT32" s="10"/>
      <c r="CV32" s="10"/>
      <c r="CX32" s="10"/>
      <c r="CZ32" s="10"/>
      <c r="DB32" s="10"/>
      <c r="DD32" s="10"/>
      <c r="DF32" s="10"/>
      <c r="DH32" s="10"/>
      <c r="DJ32" s="10"/>
      <c r="DL32" s="10"/>
    </row>
    <row r="33" spans="1:116" x14ac:dyDescent="0.2">
      <c r="A33" s="5"/>
      <c r="B33" s="6"/>
      <c r="C33" s="6"/>
      <c r="D33" s="27"/>
      <c r="E33" s="6"/>
      <c r="F33" s="8"/>
      <c r="G33" s="8"/>
      <c r="I33" s="10"/>
      <c r="J33" s="11"/>
      <c r="K33" s="12"/>
      <c r="L33" s="10"/>
      <c r="M33" s="11"/>
      <c r="N33" s="12"/>
      <c r="O33" s="10"/>
      <c r="P33" s="11"/>
      <c r="Q33" s="12"/>
      <c r="R33" s="13"/>
      <c r="S33" s="11"/>
      <c r="T33" s="12"/>
      <c r="U33" s="10"/>
      <c r="V33" s="12"/>
      <c r="W33" s="12"/>
      <c r="X33" s="10"/>
      <c r="Y33" s="12"/>
      <c r="Z33" s="12"/>
      <c r="AA33" s="10"/>
      <c r="AB33" s="12"/>
      <c r="AC33" s="12"/>
      <c r="AD33" s="10"/>
      <c r="AE33" s="12"/>
      <c r="AF33" s="12"/>
      <c r="AG33" s="10"/>
      <c r="AH33" s="12"/>
      <c r="AI33" s="12"/>
      <c r="AJ33" s="13"/>
      <c r="AK33" s="11"/>
      <c r="AL33" s="12"/>
      <c r="AM33" s="10"/>
      <c r="AN33" s="12"/>
      <c r="AO33" s="12"/>
      <c r="AP33" s="10"/>
      <c r="AQ33" s="12"/>
      <c r="AR33" s="12"/>
      <c r="AS33" s="10"/>
      <c r="AT33" s="12"/>
      <c r="AU33" s="12"/>
      <c r="AV33" s="10"/>
      <c r="AW33" s="12"/>
      <c r="AX33" s="12"/>
      <c r="AY33" s="10"/>
      <c r="AZ33" s="12"/>
      <c r="BA33" s="12"/>
      <c r="BB33" s="10"/>
      <c r="BC33" s="12"/>
      <c r="BD33" s="12"/>
      <c r="BE33" s="10"/>
      <c r="BF33" s="12"/>
      <c r="BG33" s="12"/>
      <c r="BH33" s="10"/>
      <c r="BI33" s="12"/>
      <c r="BK33" s="16"/>
      <c r="BL33" s="16"/>
      <c r="BM33" s="16"/>
      <c r="BN33" s="16"/>
      <c r="BO33" s="16"/>
      <c r="BP33" s="16"/>
      <c r="BQ33" s="16"/>
      <c r="BR33" s="16"/>
      <c r="BS33" s="14"/>
      <c r="BT33" s="15"/>
      <c r="BU33" s="23"/>
      <c r="BV33" s="21"/>
      <c r="BW33" s="21"/>
      <c r="BX33" s="16"/>
      <c r="BY33" s="22"/>
      <c r="BZ33" s="16"/>
      <c r="CA33" s="8"/>
      <c r="CB33" s="10"/>
      <c r="CD33" s="10"/>
      <c r="CF33" s="10"/>
      <c r="CH33" s="10"/>
      <c r="CJ33" s="10"/>
      <c r="CL33" s="10"/>
      <c r="CN33" s="10"/>
      <c r="CP33" s="10"/>
      <c r="CR33" s="10"/>
      <c r="CT33" s="10"/>
      <c r="CV33" s="10"/>
      <c r="CX33" s="10"/>
      <c r="CZ33" s="10"/>
      <c r="DB33" s="10"/>
      <c r="DD33" s="10"/>
      <c r="DF33" s="10"/>
      <c r="DH33" s="10"/>
      <c r="DJ33" s="10"/>
      <c r="DL33" s="10"/>
    </row>
    <row r="34" spans="1:116" x14ac:dyDescent="0.2">
      <c r="A34" s="5"/>
      <c r="B34" s="6"/>
      <c r="C34" s="6"/>
      <c r="D34" s="27"/>
      <c r="E34" s="6"/>
      <c r="F34" s="8"/>
      <c r="G34" s="8"/>
      <c r="I34" s="10"/>
      <c r="J34" s="11"/>
      <c r="K34" s="12"/>
      <c r="L34" s="10"/>
      <c r="M34" s="11"/>
      <c r="N34" s="12"/>
      <c r="O34" s="10"/>
      <c r="P34" s="11"/>
      <c r="Q34" s="12"/>
      <c r="R34" s="13"/>
      <c r="S34" s="11"/>
      <c r="T34" s="12"/>
      <c r="U34" s="10"/>
      <c r="V34" s="12"/>
      <c r="W34" s="12"/>
      <c r="X34" s="10"/>
      <c r="Y34" s="12"/>
      <c r="Z34" s="12"/>
      <c r="AA34" s="10"/>
      <c r="AB34" s="12"/>
      <c r="AC34" s="12"/>
      <c r="AD34" s="10"/>
      <c r="AE34" s="12"/>
      <c r="AF34" s="12"/>
      <c r="AG34" s="10"/>
      <c r="AH34" s="12"/>
      <c r="AI34" s="12"/>
      <c r="AJ34" s="13"/>
      <c r="AK34" s="11"/>
      <c r="AL34" s="12"/>
      <c r="AM34" s="10"/>
      <c r="AN34" s="12"/>
      <c r="AO34" s="12"/>
      <c r="AP34" s="10"/>
      <c r="AQ34" s="12"/>
      <c r="AR34" s="12"/>
      <c r="AS34" s="10"/>
      <c r="AT34" s="12"/>
      <c r="AU34" s="12"/>
      <c r="AV34" s="10"/>
      <c r="AW34" s="12"/>
      <c r="AX34" s="12"/>
      <c r="AY34" s="10"/>
      <c r="AZ34" s="12"/>
      <c r="BA34" s="12"/>
      <c r="BB34" s="10"/>
      <c r="BC34" s="12"/>
      <c r="BD34" s="12"/>
      <c r="BE34" s="10"/>
      <c r="BF34" s="12"/>
      <c r="BG34" s="12"/>
      <c r="BH34" s="10"/>
      <c r="BI34" s="12"/>
      <c r="BK34" s="16"/>
      <c r="BL34" s="16"/>
      <c r="BM34" s="16"/>
      <c r="BN34" s="16"/>
      <c r="BO34" s="16"/>
      <c r="BP34" s="16"/>
      <c r="BQ34" s="16"/>
      <c r="BR34" s="16"/>
      <c r="BS34" s="14"/>
      <c r="BT34" s="15"/>
      <c r="BU34" s="23"/>
      <c r="BV34" s="21"/>
      <c r="BW34" s="21"/>
      <c r="BX34" s="16"/>
      <c r="BY34" s="22"/>
      <c r="BZ34" s="16"/>
      <c r="CA34" s="8"/>
      <c r="CB34" s="10"/>
      <c r="CD34" s="10"/>
      <c r="CF34" s="10"/>
      <c r="CH34" s="10"/>
      <c r="CJ34" s="10"/>
      <c r="CL34" s="10"/>
      <c r="CN34" s="10"/>
      <c r="CP34" s="10"/>
      <c r="CR34" s="10"/>
      <c r="CT34" s="10"/>
      <c r="CV34" s="10"/>
      <c r="CX34" s="10"/>
      <c r="CZ34" s="10"/>
      <c r="DB34" s="10"/>
      <c r="DD34" s="10"/>
      <c r="DF34" s="10"/>
      <c r="DH34" s="10"/>
      <c r="DJ34" s="10"/>
      <c r="DL34" s="10"/>
    </row>
    <row r="35" spans="1:116" x14ac:dyDescent="0.2">
      <c r="A35" s="5"/>
      <c r="B35" s="6"/>
      <c r="C35" s="6"/>
      <c r="D35" s="27"/>
      <c r="E35" s="6"/>
      <c r="F35" s="8"/>
      <c r="G35" s="8"/>
      <c r="I35" s="10"/>
      <c r="J35" s="11"/>
      <c r="K35" s="12"/>
      <c r="L35" s="10"/>
      <c r="M35" s="11"/>
      <c r="N35" s="12"/>
      <c r="O35" s="10"/>
      <c r="P35" s="11"/>
      <c r="Q35" s="12"/>
      <c r="R35" s="13"/>
      <c r="S35" s="11"/>
      <c r="T35" s="12"/>
      <c r="U35" s="10"/>
      <c r="V35" s="12"/>
      <c r="W35" s="12"/>
      <c r="X35" s="10"/>
      <c r="Y35" s="12"/>
      <c r="Z35" s="12"/>
      <c r="AA35" s="10"/>
      <c r="AB35" s="12"/>
      <c r="AC35" s="12"/>
      <c r="AD35" s="10"/>
      <c r="AE35" s="12"/>
      <c r="AF35" s="12"/>
      <c r="AG35" s="10"/>
      <c r="AH35" s="12"/>
      <c r="AI35" s="12"/>
      <c r="AJ35" s="13"/>
      <c r="AK35" s="11"/>
      <c r="AL35" s="12"/>
      <c r="AM35" s="10"/>
      <c r="AN35" s="12"/>
      <c r="AO35" s="12"/>
      <c r="AP35" s="10"/>
      <c r="AQ35" s="12"/>
      <c r="AR35" s="12"/>
      <c r="AS35" s="10"/>
      <c r="AT35" s="12"/>
      <c r="AU35" s="12"/>
      <c r="AV35" s="10"/>
      <c r="AW35" s="12"/>
      <c r="AX35" s="12"/>
      <c r="AY35" s="10"/>
      <c r="AZ35" s="12"/>
      <c r="BA35" s="12"/>
      <c r="BB35" s="10"/>
      <c r="BC35" s="12"/>
      <c r="BD35" s="12"/>
      <c r="BE35" s="10"/>
      <c r="BF35" s="12"/>
      <c r="BG35" s="12"/>
      <c r="BH35" s="10"/>
      <c r="BI35" s="12"/>
      <c r="BK35" s="16"/>
      <c r="BL35" s="16"/>
      <c r="BM35" s="16"/>
      <c r="BN35" s="16"/>
      <c r="BO35" s="16"/>
      <c r="BP35" s="16"/>
      <c r="BQ35" s="16"/>
      <c r="BR35" s="16"/>
      <c r="BS35" s="14"/>
      <c r="BT35" s="15"/>
      <c r="BU35" s="23"/>
      <c r="BV35" s="21"/>
      <c r="BW35" s="21"/>
      <c r="BX35" s="16"/>
      <c r="BY35" s="22"/>
      <c r="BZ35" s="16"/>
      <c r="CA35" s="8"/>
      <c r="CB35" s="10"/>
      <c r="CD35" s="10"/>
      <c r="CF35" s="10"/>
      <c r="CH35" s="10"/>
      <c r="CJ35" s="10"/>
      <c r="CL35" s="10"/>
      <c r="CN35" s="10"/>
      <c r="CP35" s="10"/>
      <c r="CR35" s="10"/>
      <c r="CT35" s="10"/>
      <c r="CV35" s="10"/>
      <c r="CX35" s="10"/>
      <c r="CZ35" s="10"/>
      <c r="DB35" s="10"/>
      <c r="DD35" s="10"/>
      <c r="DF35" s="10"/>
      <c r="DH35" s="10"/>
      <c r="DJ35" s="10"/>
      <c r="DL35" s="10"/>
    </row>
    <row r="36" spans="1:116" x14ac:dyDescent="0.2">
      <c r="A36" s="5"/>
      <c r="B36" s="6"/>
      <c r="C36" s="6"/>
      <c r="D36" s="27"/>
      <c r="E36" s="6"/>
      <c r="F36" s="8"/>
      <c r="G36" s="8"/>
      <c r="I36" s="10"/>
      <c r="J36" s="11"/>
      <c r="K36" s="12"/>
      <c r="L36" s="10"/>
      <c r="M36" s="11"/>
      <c r="N36" s="12"/>
      <c r="O36" s="10"/>
      <c r="P36" s="11"/>
      <c r="Q36" s="12"/>
      <c r="R36" s="13"/>
      <c r="S36" s="11"/>
      <c r="T36" s="12"/>
      <c r="U36" s="10"/>
      <c r="V36" s="12"/>
      <c r="W36" s="12"/>
      <c r="X36" s="10"/>
      <c r="Y36" s="12"/>
      <c r="Z36" s="12"/>
      <c r="AA36" s="10"/>
      <c r="AB36" s="12"/>
      <c r="AC36" s="12"/>
      <c r="AD36" s="10"/>
      <c r="AE36" s="12"/>
      <c r="AF36" s="12"/>
      <c r="AG36" s="10"/>
      <c r="AH36" s="12"/>
      <c r="AI36" s="12"/>
      <c r="AJ36" s="13"/>
      <c r="AK36" s="11"/>
      <c r="AL36" s="12"/>
      <c r="AM36" s="10"/>
      <c r="AN36" s="12"/>
      <c r="AO36" s="12"/>
      <c r="AP36" s="10"/>
      <c r="AQ36" s="12"/>
      <c r="AR36" s="12"/>
      <c r="AS36" s="10"/>
      <c r="AT36" s="12"/>
      <c r="AU36" s="12"/>
      <c r="AV36" s="10"/>
      <c r="AW36" s="12"/>
      <c r="AX36" s="12"/>
      <c r="AY36" s="10"/>
      <c r="AZ36" s="12"/>
      <c r="BA36" s="12"/>
      <c r="BB36" s="10"/>
      <c r="BC36" s="12"/>
      <c r="BD36" s="12"/>
      <c r="BE36" s="10"/>
      <c r="BF36" s="12"/>
      <c r="BG36" s="12"/>
      <c r="BH36" s="10"/>
      <c r="BI36" s="12"/>
      <c r="BK36" s="16"/>
      <c r="BL36" s="16"/>
      <c r="BM36" s="16"/>
      <c r="BN36" s="16"/>
      <c r="BO36" s="16"/>
      <c r="BP36" s="16"/>
      <c r="BQ36" s="16"/>
      <c r="BR36" s="16"/>
      <c r="BS36" s="14"/>
      <c r="BT36" s="15"/>
      <c r="BU36" s="23"/>
      <c r="BV36" s="21"/>
      <c r="BW36" s="21"/>
      <c r="BX36" s="16"/>
      <c r="BY36" s="22"/>
      <c r="BZ36" s="16"/>
      <c r="CA36" s="8"/>
      <c r="CB36" s="10"/>
      <c r="CD36" s="10"/>
      <c r="CF36" s="10"/>
      <c r="CH36" s="10"/>
      <c r="CJ36" s="10"/>
      <c r="CL36" s="10"/>
      <c r="CN36" s="10"/>
      <c r="CP36" s="10"/>
      <c r="CR36" s="10"/>
      <c r="CT36" s="10"/>
      <c r="CV36" s="10"/>
      <c r="CX36" s="10"/>
      <c r="CZ36" s="10"/>
      <c r="DB36" s="10"/>
      <c r="DD36" s="10"/>
      <c r="DF36" s="10"/>
      <c r="DH36" s="10"/>
      <c r="DJ36" s="10"/>
      <c r="DL36" s="10"/>
    </row>
    <row r="37" spans="1:116" x14ac:dyDescent="0.2">
      <c r="A37" s="5"/>
      <c r="B37" s="6"/>
      <c r="C37" s="6"/>
      <c r="D37" s="27"/>
      <c r="E37" s="6"/>
      <c r="F37" s="8"/>
      <c r="G37" s="8"/>
      <c r="I37" s="10"/>
      <c r="J37" s="11"/>
      <c r="K37" s="12"/>
      <c r="L37" s="10"/>
      <c r="M37" s="11"/>
      <c r="N37" s="12"/>
      <c r="O37" s="10"/>
      <c r="P37" s="11"/>
      <c r="Q37" s="12"/>
      <c r="R37" s="13"/>
      <c r="S37" s="11"/>
      <c r="T37" s="12"/>
      <c r="U37" s="10"/>
      <c r="V37" s="12"/>
      <c r="W37" s="12"/>
      <c r="X37" s="10"/>
      <c r="Y37" s="12"/>
      <c r="Z37" s="12"/>
      <c r="AA37" s="10"/>
      <c r="AB37" s="12"/>
      <c r="AC37" s="12"/>
      <c r="AD37" s="10"/>
      <c r="AE37" s="12"/>
      <c r="AF37" s="12"/>
      <c r="AG37" s="10"/>
      <c r="AH37" s="12"/>
      <c r="AI37" s="12"/>
      <c r="AJ37" s="13"/>
      <c r="AK37" s="11"/>
      <c r="AL37" s="12"/>
      <c r="AM37" s="10"/>
      <c r="AN37" s="12"/>
      <c r="AO37" s="12"/>
      <c r="AP37" s="10"/>
      <c r="AQ37" s="12"/>
      <c r="AR37" s="12"/>
      <c r="AS37" s="10"/>
      <c r="AT37" s="12"/>
      <c r="AU37" s="12"/>
      <c r="AV37" s="10"/>
      <c r="AW37" s="12"/>
      <c r="AX37" s="12"/>
      <c r="AY37" s="10"/>
      <c r="AZ37" s="12"/>
      <c r="BA37" s="12"/>
      <c r="BB37" s="10"/>
      <c r="BC37" s="12"/>
      <c r="BD37" s="12"/>
      <c r="BE37" s="10"/>
      <c r="BF37" s="12"/>
      <c r="BG37" s="12"/>
      <c r="BH37" s="10"/>
      <c r="BI37" s="12"/>
      <c r="BK37" s="16"/>
      <c r="BL37" s="16"/>
      <c r="BM37" s="16"/>
      <c r="BN37" s="16"/>
      <c r="BO37" s="16"/>
      <c r="BP37" s="16"/>
      <c r="BQ37" s="16"/>
      <c r="BR37" s="16"/>
      <c r="BS37" s="14"/>
      <c r="BT37" s="15"/>
      <c r="BU37" s="23"/>
      <c r="BV37" s="21"/>
      <c r="BW37" s="21"/>
      <c r="BX37" s="16"/>
      <c r="BY37" s="22"/>
      <c r="BZ37" s="16"/>
      <c r="CA37" s="8"/>
      <c r="CB37" s="10"/>
      <c r="CD37" s="10"/>
      <c r="CF37" s="10"/>
      <c r="CH37" s="10"/>
      <c r="CJ37" s="10"/>
      <c r="CL37" s="10"/>
      <c r="CN37" s="10"/>
      <c r="CP37" s="10"/>
      <c r="CR37" s="10"/>
      <c r="CT37" s="10"/>
      <c r="CV37" s="10"/>
      <c r="CX37" s="10"/>
      <c r="CZ37" s="10"/>
      <c r="DB37" s="10"/>
      <c r="DD37" s="10"/>
      <c r="DF37" s="10"/>
      <c r="DH37" s="10"/>
      <c r="DJ37" s="10"/>
      <c r="DL37" s="10"/>
    </row>
    <row r="38" spans="1:116" x14ac:dyDescent="0.2">
      <c r="A38" s="5"/>
      <c r="B38" s="6"/>
      <c r="C38" s="6"/>
      <c r="D38" s="27"/>
      <c r="E38" s="6"/>
      <c r="F38" s="8"/>
      <c r="G38" s="8"/>
      <c r="I38" s="10"/>
      <c r="J38" s="11"/>
      <c r="K38" s="12"/>
      <c r="L38" s="10"/>
      <c r="M38" s="11"/>
      <c r="N38" s="12"/>
      <c r="O38" s="10"/>
      <c r="P38" s="11"/>
      <c r="Q38" s="12"/>
      <c r="R38" s="13"/>
      <c r="S38" s="11"/>
      <c r="T38" s="12"/>
      <c r="U38" s="10"/>
      <c r="V38" s="12"/>
      <c r="W38" s="12"/>
      <c r="X38" s="10"/>
      <c r="Y38" s="12"/>
      <c r="Z38" s="12"/>
      <c r="AA38" s="10"/>
      <c r="AB38" s="12"/>
      <c r="AC38" s="12"/>
      <c r="AD38" s="10"/>
      <c r="AE38" s="12"/>
      <c r="AF38" s="12"/>
      <c r="AG38" s="10"/>
      <c r="AH38" s="12"/>
      <c r="AI38" s="12"/>
      <c r="AJ38" s="13"/>
      <c r="AK38" s="11"/>
      <c r="AL38" s="12"/>
      <c r="AM38" s="10"/>
      <c r="AN38" s="12"/>
      <c r="AO38" s="12"/>
      <c r="AP38" s="10"/>
      <c r="AQ38" s="12"/>
      <c r="AR38" s="12"/>
      <c r="AS38" s="10"/>
      <c r="AT38" s="12"/>
      <c r="AU38" s="12"/>
      <c r="AV38" s="10"/>
      <c r="AW38" s="12"/>
      <c r="AX38" s="12"/>
      <c r="AY38" s="10"/>
      <c r="AZ38" s="12"/>
      <c r="BA38" s="12"/>
      <c r="BB38" s="10"/>
      <c r="BC38" s="12"/>
      <c r="BD38" s="12"/>
      <c r="BE38" s="10"/>
      <c r="BF38" s="12"/>
      <c r="BG38" s="12"/>
      <c r="BH38" s="10"/>
      <c r="BI38" s="12"/>
      <c r="BK38" s="16"/>
      <c r="BL38" s="16"/>
      <c r="BM38" s="16"/>
      <c r="BN38" s="16"/>
      <c r="BO38" s="16"/>
      <c r="BP38" s="16"/>
      <c r="BQ38" s="16"/>
      <c r="BR38" s="16"/>
      <c r="BS38" s="14"/>
      <c r="BT38" s="15"/>
      <c r="BU38" s="23"/>
      <c r="BV38" s="21"/>
      <c r="BW38" s="21"/>
      <c r="BX38" s="16"/>
      <c r="BY38" s="22"/>
      <c r="BZ38" s="16"/>
      <c r="CA38" s="8"/>
      <c r="CB38" s="10"/>
      <c r="CD38" s="10"/>
      <c r="CF38" s="10"/>
      <c r="CH38" s="10"/>
      <c r="CJ38" s="10"/>
      <c r="CL38" s="10"/>
      <c r="CN38" s="10"/>
      <c r="CP38" s="10"/>
      <c r="CR38" s="10"/>
      <c r="CT38" s="10"/>
      <c r="CV38" s="10"/>
      <c r="CX38" s="10"/>
      <c r="CZ38" s="10"/>
      <c r="DB38" s="10"/>
      <c r="DD38" s="10"/>
      <c r="DF38" s="10"/>
      <c r="DH38" s="10"/>
      <c r="DJ38" s="10"/>
      <c r="DL38" s="10"/>
    </row>
    <row r="39" spans="1:116" x14ac:dyDescent="0.2">
      <c r="A39" s="5"/>
      <c r="B39" s="6"/>
      <c r="C39" s="6"/>
      <c r="D39" s="27"/>
      <c r="E39" s="6"/>
      <c r="F39" s="8"/>
      <c r="G39" s="8"/>
      <c r="I39" s="10"/>
      <c r="J39" s="11"/>
      <c r="K39" s="12"/>
      <c r="L39" s="10"/>
      <c r="M39" s="11"/>
      <c r="N39" s="12"/>
      <c r="O39" s="10"/>
      <c r="P39" s="11"/>
      <c r="Q39" s="12"/>
      <c r="R39" s="13"/>
      <c r="S39" s="11"/>
      <c r="T39" s="12"/>
      <c r="U39" s="10"/>
      <c r="V39" s="12"/>
      <c r="W39" s="12"/>
      <c r="X39" s="10"/>
      <c r="Y39" s="12"/>
      <c r="Z39" s="12"/>
      <c r="AA39" s="10"/>
      <c r="AB39" s="12"/>
      <c r="AC39" s="12"/>
      <c r="AD39" s="10"/>
      <c r="AE39" s="12"/>
      <c r="AF39" s="12"/>
      <c r="AG39" s="10"/>
      <c r="AH39" s="12"/>
      <c r="AI39" s="12"/>
      <c r="AJ39" s="13"/>
      <c r="AK39" s="11"/>
      <c r="AL39" s="12"/>
      <c r="AM39" s="10"/>
      <c r="AN39" s="12"/>
      <c r="AO39" s="12"/>
      <c r="AP39" s="10"/>
      <c r="AQ39" s="12"/>
      <c r="AR39" s="12"/>
      <c r="AS39" s="10"/>
      <c r="AT39" s="12"/>
      <c r="AU39" s="12"/>
      <c r="AV39" s="10"/>
      <c r="AW39" s="12"/>
      <c r="AX39" s="12"/>
      <c r="AY39" s="10"/>
      <c r="AZ39" s="12"/>
      <c r="BA39" s="12"/>
      <c r="BB39" s="10"/>
      <c r="BC39" s="12"/>
      <c r="BD39" s="12"/>
      <c r="BE39" s="10"/>
      <c r="BF39" s="12"/>
      <c r="BG39" s="12"/>
      <c r="BH39" s="10"/>
      <c r="BI39" s="12"/>
      <c r="BK39" s="16"/>
      <c r="BL39" s="16"/>
      <c r="BM39" s="16"/>
      <c r="BN39" s="16"/>
      <c r="BO39" s="16"/>
      <c r="BP39" s="16"/>
      <c r="BQ39" s="16"/>
      <c r="BR39" s="16"/>
      <c r="BS39" s="14"/>
      <c r="BT39" s="15"/>
      <c r="BU39" s="23"/>
      <c r="BV39" s="21"/>
      <c r="BW39" s="21"/>
      <c r="BX39" s="16"/>
      <c r="BY39" s="22"/>
      <c r="BZ39" s="16"/>
      <c r="CA39" s="8"/>
      <c r="CB39" s="10"/>
      <c r="CD39" s="10"/>
      <c r="CF39" s="10"/>
      <c r="CH39" s="10"/>
      <c r="CJ39" s="10"/>
      <c r="CL39" s="10"/>
      <c r="CN39" s="10"/>
      <c r="CP39" s="10"/>
      <c r="CR39" s="10"/>
      <c r="CT39" s="10"/>
      <c r="CV39" s="10"/>
      <c r="CX39" s="10"/>
      <c r="CZ39" s="10"/>
      <c r="DB39" s="10"/>
      <c r="DD39" s="10"/>
      <c r="DF39" s="10"/>
      <c r="DH39" s="10"/>
      <c r="DJ39" s="10"/>
      <c r="DL39" s="10"/>
    </row>
    <row r="40" spans="1:116" x14ac:dyDescent="0.2">
      <c r="A40" s="5"/>
      <c r="B40" s="6"/>
      <c r="C40" s="6"/>
      <c r="D40" s="27"/>
      <c r="E40" s="6"/>
      <c r="F40" s="8"/>
      <c r="G40" s="8"/>
      <c r="I40" s="10"/>
      <c r="J40" s="11"/>
      <c r="K40" s="12"/>
      <c r="L40" s="10"/>
      <c r="M40" s="11"/>
      <c r="N40" s="12"/>
      <c r="O40" s="10"/>
      <c r="P40" s="11"/>
      <c r="Q40" s="12"/>
      <c r="R40" s="13"/>
      <c r="S40" s="11"/>
      <c r="T40" s="12"/>
      <c r="U40" s="10"/>
      <c r="V40" s="12"/>
      <c r="W40" s="12"/>
      <c r="X40" s="10"/>
      <c r="Y40" s="12"/>
      <c r="Z40" s="12"/>
      <c r="AA40" s="10"/>
      <c r="AB40" s="12"/>
      <c r="AC40" s="12"/>
      <c r="AD40" s="10"/>
      <c r="AE40" s="12"/>
      <c r="AF40" s="12"/>
      <c r="AG40" s="10"/>
      <c r="AH40" s="12"/>
      <c r="AI40" s="12"/>
      <c r="AJ40" s="13"/>
      <c r="AK40" s="11"/>
      <c r="AL40" s="12"/>
      <c r="AM40" s="10"/>
      <c r="AN40" s="12"/>
      <c r="AO40" s="12"/>
      <c r="AP40" s="10"/>
      <c r="AQ40" s="12"/>
      <c r="AR40" s="12"/>
      <c r="AS40" s="10"/>
      <c r="AT40" s="12"/>
      <c r="AU40" s="12"/>
      <c r="AV40" s="10"/>
      <c r="AW40" s="12"/>
      <c r="AX40" s="12"/>
      <c r="AY40" s="10"/>
      <c r="AZ40" s="12"/>
      <c r="BA40" s="12"/>
      <c r="BB40" s="10"/>
      <c r="BC40" s="12"/>
      <c r="BD40" s="12"/>
      <c r="BE40" s="10"/>
      <c r="BF40" s="12"/>
      <c r="BG40" s="12"/>
      <c r="BH40" s="10"/>
      <c r="BI40" s="12"/>
      <c r="BK40" s="16"/>
      <c r="BL40" s="16"/>
      <c r="BM40" s="16"/>
      <c r="BN40" s="16"/>
      <c r="BO40" s="16"/>
      <c r="BP40" s="16"/>
      <c r="BQ40" s="16"/>
      <c r="BR40" s="16"/>
      <c r="BS40" s="14"/>
      <c r="BT40" s="15"/>
      <c r="BU40" s="23"/>
      <c r="BV40" s="21"/>
      <c r="BW40" s="21"/>
      <c r="BX40" s="16"/>
      <c r="BY40" s="22"/>
      <c r="BZ40" s="16"/>
      <c r="CA40" s="8"/>
      <c r="CB40" s="10"/>
      <c r="CD40" s="10"/>
      <c r="CF40" s="10"/>
      <c r="CH40" s="10"/>
      <c r="CJ40" s="10"/>
      <c r="CL40" s="10"/>
      <c r="CN40" s="10"/>
      <c r="CP40" s="10"/>
      <c r="CR40" s="10"/>
      <c r="CT40" s="10"/>
      <c r="CV40" s="10"/>
      <c r="CX40" s="10"/>
      <c r="CZ40" s="10"/>
      <c r="DB40" s="10"/>
      <c r="DD40" s="10"/>
      <c r="DF40" s="10"/>
      <c r="DH40" s="10"/>
      <c r="DJ40" s="10"/>
      <c r="DL40" s="10"/>
    </row>
    <row r="41" spans="1:116" x14ac:dyDescent="0.2">
      <c r="A41" s="5"/>
      <c r="B41" s="6"/>
      <c r="C41" s="6"/>
      <c r="D41" s="27"/>
      <c r="E41" s="6"/>
      <c r="F41" s="8"/>
      <c r="G41" s="8"/>
      <c r="I41" s="10"/>
      <c r="J41" s="11"/>
      <c r="K41" s="12"/>
      <c r="L41" s="10"/>
      <c r="M41" s="11"/>
      <c r="N41" s="12"/>
      <c r="O41" s="10"/>
      <c r="P41" s="11"/>
      <c r="Q41" s="12"/>
      <c r="R41" s="13"/>
      <c r="S41" s="11"/>
      <c r="T41" s="12"/>
      <c r="U41" s="10"/>
      <c r="V41" s="12"/>
      <c r="W41" s="12"/>
      <c r="X41" s="10"/>
      <c r="Y41" s="12"/>
      <c r="Z41" s="12"/>
      <c r="AA41" s="10"/>
      <c r="AB41" s="12"/>
      <c r="AC41" s="12"/>
      <c r="AD41" s="10"/>
      <c r="AE41" s="12"/>
      <c r="AF41" s="12"/>
      <c r="AG41" s="10"/>
      <c r="AH41" s="12"/>
      <c r="AI41" s="12"/>
      <c r="AJ41" s="13"/>
      <c r="AK41" s="11"/>
      <c r="AL41" s="12"/>
      <c r="AM41" s="10"/>
      <c r="AN41" s="12"/>
      <c r="AO41" s="12"/>
      <c r="AP41" s="10"/>
      <c r="AQ41" s="12"/>
      <c r="AR41" s="12"/>
      <c r="AS41" s="10"/>
      <c r="AT41" s="12"/>
      <c r="AU41" s="12"/>
      <c r="AV41" s="10"/>
      <c r="AW41" s="12"/>
      <c r="AX41" s="12"/>
      <c r="AY41" s="10"/>
      <c r="AZ41" s="12"/>
      <c r="BA41" s="12"/>
      <c r="BB41" s="10"/>
      <c r="BC41" s="12"/>
      <c r="BD41" s="12"/>
      <c r="BE41" s="10"/>
      <c r="BF41" s="12"/>
      <c r="BG41" s="12"/>
      <c r="BH41" s="10"/>
      <c r="BI41" s="12"/>
      <c r="BK41" s="16"/>
      <c r="BL41" s="16"/>
      <c r="BM41" s="16"/>
      <c r="BN41" s="16"/>
      <c r="BO41" s="16"/>
      <c r="BP41" s="16"/>
      <c r="BQ41" s="16"/>
      <c r="BR41" s="16"/>
      <c r="BS41" s="14"/>
      <c r="BT41" s="15"/>
      <c r="BU41" s="23"/>
      <c r="BV41" s="21"/>
      <c r="BW41" s="21"/>
      <c r="BX41" s="16"/>
      <c r="BY41" s="22"/>
      <c r="BZ41" s="16"/>
      <c r="CA41" s="8"/>
      <c r="CB41" s="10"/>
      <c r="CD41" s="10"/>
      <c r="CF41" s="10"/>
      <c r="CH41" s="10"/>
      <c r="CJ41" s="10"/>
      <c r="CL41" s="10"/>
      <c r="CN41" s="10"/>
      <c r="CP41" s="10"/>
      <c r="CR41" s="10"/>
      <c r="CT41" s="10"/>
      <c r="CV41" s="10"/>
      <c r="CX41" s="10"/>
      <c r="CZ41" s="10"/>
      <c r="DB41" s="10"/>
      <c r="DD41" s="10"/>
      <c r="DF41" s="10"/>
      <c r="DH41" s="10"/>
      <c r="DJ41" s="10"/>
      <c r="DL41" s="10"/>
    </row>
    <row r="42" spans="1:116" x14ac:dyDescent="0.2">
      <c r="A42" s="5"/>
      <c r="B42" s="6"/>
      <c r="C42" s="6"/>
      <c r="D42" s="27"/>
      <c r="E42" s="6"/>
      <c r="F42" s="8"/>
      <c r="G42" s="8"/>
      <c r="I42" s="10"/>
      <c r="J42" s="11"/>
      <c r="K42" s="12"/>
      <c r="L42" s="10"/>
      <c r="M42" s="11"/>
      <c r="N42" s="12"/>
      <c r="O42" s="10"/>
      <c r="P42" s="11"/>
      <c r="Q42" s="12"/>
      <c r="R42" s="13"/>
      <c r="S42" s="11"/>
      <c r="T42" s="12"/>
      <c r="U42" s="10"/>
      <c r="V42" s="12"/>
      <c r="W42" s="12"/>
      <c r="X42" s="10"/>
      <c r="Y42" s="12"/>
      <c r="Z42" s="12"/>
      <c r="AA42" s="10"/>
      <c r="AB42" s="12"/>
      <c r="AC42" s="12"/>
      <c r="AD42" s="10"/>
      <c r="AE42" s="12"/>
      <c r="AF42" s="12"/>
      <c r="AG42" s="10"/>
      <c r="AH42" s="12"/>
      <c r="AI42" s="12"/>
      <c r="AJ42" s="13"/>
      <c r="AK42" s="11"/>
      <c r="AL42" s="12"/>
      <c r="AM42" s="10"/>
      <c r="AN42" s="12"/>
      <c r="AO42" s="12"/>
      <c r="AP42" s="10"/>
      <c r="AQ42" s="12"/>
      <c r="AR42" s="12"/>
      <c r="AS42" s="10"/>
      <c r="AT42" s="12"/>
      <c r="AU42" s="12"/>
      <c r="AV42" s="10"/>
      <c r="AW42" s="12"/>
      <c r="AX42" s="12"/>
      <c r="AY42" s="10"/>
      <c r="AZ42" s="12"/>
      <c r="BA42" s="12"/>
      <c r="BB42" s="10"/>
      <c r="BC42" s="12"/>
      <c r="BD42" s="12"/>
      <c r="BE42" s="10"/>
      <c r="BF42" s="12"/>
      <c r="BG42" s="12"/>
      <c r="BH42" s="10"/>
      <c r="BI42" s="12"/>
      <c r="BK42" s="16"/>
      <c r="BL42" s="16"/>
      <c r="BM42" s="16"/>
      <c r="BN42" s="16"/>
      <c r="BO42" s="16"/>
      <c r="BP42" s="16"/>
      <c r="BQ42" s="16"/>
      <c r="BR42" s="16"/>
      <c r="BS42" s="14"/>
      <c r="BT42" s="15"/>
      <c r="BU42" s="23"/>
      <c r="BV42" s="21"/>
      <c r="BW42" s="21"/>
      <c r="BX42" s="16"/>
      <c r="BY42" s="22"/>
      <c r="BZ42" s="16"/>
      <c r="CA42" s="8"/>
      <c r="CB42" s="10"/>
      <c r="CD42" s="10"/>
      <c r="CF42" s="10"/>
      <c r="CH42" s="10"/>
      <c r="CJ42" s="10"/>
      <c r="CL42" s="10"/>
      <c r="CN42" s="10"/>
      <c r="CP42" s="10"/>
      <c r="CR42" s="10"/>
      <c r="CT42" s="10"/>
      <c r="CV42" s="10"/>
      <c r="CX42" s="10"/>
      <c r="CZ42" s="10"/>
      <c r="DB42" s="10"/>
      <c r="DD42" s="10"/>
      <c r="DF42" s="10"/>
      <c r="DH42" s="10"/>
      <c r="DJ42" s="10"/>
      <c r="DL42" s="10"/>
    </row>
    <row r="43" spans="1:116" x14ac:dyDescent="0.2">
      <c r="A43" s="5"/>
      <c r="B43" s="6"/>
      <c r="C43" s="6"/>
      <c r="D43" s="27"/>
      <c r="E43" s="6"/>
      <c r="F43" s="8"/>
      <c r="G43" s="8"/>
      <c r="I43" s="10"/>
      <c r="J43" s="11"/>
      <c r="K43" s="12"/>
      <c r="L43" s="10"/>
      <c r="M43" s="11"/>
      <c r="N43" s="12"/>
      <c r="O43" s="10"/>
      <c r="P43" s="11"/>
      <c r="Q43" s="12"/>
      <c r="R43" s="13"/>
      <c r="S43" s="11"/>
      <c r="T43" s="12"/>
      <c r="U43" s="10"/>
      <c r="V43" s="12"/>
      <c r="W43" s="12"/>
      <c r="X43" s="10"/>
      <c r="Y43" s="12"/>
      <c r="Z43" s="12"/>
      <c r="AA43" s="10"/>
      <c r="AB43" s="12"/>
      <c r="AC43" s="12"/>
      <c r="AD43" s="10"/>
      <c r="AE43" s="12"/>
      <c r="AF43" s="12"/>
      <c r="AG43" s="10"/>
      <c r="AH43" s="12"/>
      <c r="AI43" s="12"/>
      <c r="AJ43" s="13"/>
      <c r="AK43" s="11"/>
      <c r="AL43" s="12"/>
      <c r="AM43" s="10"/>
      <c r="AN43" s="12"/>
      <c r="AO43" s="12"/>
      <c r="AP43" s="10"/>
      <c r="AQ43" s="12"/>
      <c r="AR43" s="12"/>
      <c r="AS43" s="10"/>
      <c r="AT43" s="12"/>
      <c r="AU43" s="12"/>
      <c r="AV43" s="10"/>
      <c r="AW43" s="12"/>
      <c r="AX43" s="12"/>
      <c r="AY43" s="10"/>
      <c r="AZ43" s="12"/>
      <c r="BA43" s="12"/>
      <c r="BB43" s="10"/>
      <c r="BC43" s="12"/>
      <c r="BD43" s="12"/>
      <c r="BE43" s="10"/>
      <c r="BF43" s="12"/>
      <c r="BG43" s="12"/>
      <c r="BH43" s="10"/>
      <c r="BI43" s="12"/>
      <c r="BK43" s="16"/>
      <c r="BL43" s="16"/>
      <c r="BM43" s="16"/>
      <c r="BN43" s="16"/>
      <c r="BO43" s="16"/>
      <c r="BP43" s="16"/>
      <c r="BQ43" s="16"/>
      <c r="BR43" s="16"/>
      <c r="BS43" s="14"/>
      <c r="BT43" s="15"/>
      <c r="BU43" s="23"/>
      <c r="BV43" s="21"/>
      <c r="BW43" s="21"/>
      <c r="BX43" s="16"/>
      <c r="BY43" s="22"/>
      <c r="BZ43" s="16"/>
      <c r="CA43" s="8"/>
      <c r="CB43" s="10"/>
      <c r="CD43" s="10"/>
      <c r="CF43" s="10"/>
      <c r="CH43" s="10"/>
      <c r="CJ43" s="10"/>
      <c r="CL43" s="10"/>
      <c r="CN43" s="10"/>
      <c r="CP43" s="10"/>
      <c r="CR43" s="10"/>
      <c r="CT43" s="10"/>
      <c r="CV43" s="10"/>
      <c r="CX43" s="10"/>
      <c r="CZ43" s="10"/>
      <c r="DB43" s="10"/>
      <c r="DD43" s="10"/>
      <c r="DF43" s="10"/>
      <c r="DH43" s="10"/>
      <c r="DJ43" s="10"/>
      <c r="DL43" s="10"/>
    </row>
    <row r="44" spans="1:116" x14ac:dyDescent="0.2">
      <c r="A44" s="5"/>
      <c r="B44" s="6"/>
      <c r="C44" s="6"/>
      <c r="D44" s="27"/>
      <c r="E44" s="6"/>
      <c r="F44" s="8"/>
      <c r="G44" s="8"/>
      <c r="I44" s="10"/>
      <c r="J44" s="11"/>
      <c r="K44" s="12"/>
      <c r="L44" s="10"/>
      <c r="M44" s="11"/>
      <c r="N44" s="12"/>
      <c r="O44" s="10"/>
      <c r="P44" s="11"/>
      <c r="Q44" s="12"/>
      <c r="R44" s="13"/>
      <c r="S44" s="11"/>
      <c r="T44" s="12"/>
      <c r="U44" s="10"/>
      <c r="V44" s="12"/>
      <c r="W44" s="12"/>
      <c r="X44" s="10"/>
      <c r="Y44" s="12"/>
      <c r="Z44" s="12"/>
      <c r="AA44" s="10"/>
      <c r="AB44" s="12"/>
      <c r="AC44" s="12"/>
      <c r="AD44" s="10"/>
      <c r="AE44" s="12"/>
      <c r="AF44" s="12"/>
      <c r="AG44" s="10"/>
      <c r="AH44" s="12"/>
      <c r="AI44" s="12"/>
      <c r="AJ44" s="13"/>
      <c r="AK44" s="11"/>
      <c r="AL44" s="12"/>
      <c r="AM44" s="10"/>
      <c r="AN44" s="12"/>
      <c r="AO44" s="12"/>
      <c r="AP44" s="10"/>
      <c r="AQ44" s="12"/>
      <c r="AR44" s="12"/>
      <c r="AS44" s="10"/>
      <c r="AT44" s="12"/>
      <c r="AU44" s="12"/>
      <c r="AV44" s="10"/>
      <c r="AW44" s="12"/>
      <c r="AX44" s="12"/>
      <c r="AY44" s="10"/>
      <c r="AZ44" s="12"/>
      <c r="BA44" s="12"/>
      <c r="BB44" s="10"/>
      <c r="BC44" s="12"/>
      <c r="BD44" s="12"/>
      <c r="BE44" s="10"/>
      <c r="BF44" s="12"/>
      <c r="BG44" s="12"/>
      <c r="BH44" s="10"/>
      <c r="BI44" s="12"/>
      <c r="BK44" s="16"/>
      <c r="BL44" s="16"/>
      <c r="BM44" s="16"/>
      <c r="BN44" s="16"/>
      <c r="BO44" s="16"/>
      <c r="BP44" s="16"/>
      <c r="BQ44" s="16"/>
      <c r="BR44" s="16"/>
      <c r="BS44" s="14"/>
      <c r="BT44" s="15"/>
      <c r="BU44" s="23"/>
      <c r="BV44" s="21"/>
      <c r="BW44" s="21"/>
      <c r="BX44" s="16"/>
      <c r="BY44" s="22"/>
      <c r="BZ44" s="16"/>
      <c r="CA44" s="8"/>
      <c r="CB44" s="10"/>
      <c r="CD44" s="10"/>
      <c r="CF44" s="10"/>
      <c r="CH44" s="10"/>
      <c r="CJ44" s="10"/>
      <c r="CL44" s="10"/>
      <c r="CN44" s="10"/>
      <c r="CP44" s="10"/>
      <c r="CR44" s="10"/>
      <c r="CT44" s="10"/>
      <c r="CV44" s="10"/>
      <c r="CX44" s="10"/>
      <c r="CZ44" s="10"/>
      <c r="DB44" s="10"/>
      <c r="DD44" s="10"/>
      <c r="DF44" s="10"/>
      <c r="DH44" s="10"/>
      <c r="DJ44" s="10"/>
      <c r="DL44" s="10"/>
    </row>
    <row r="45" spans="1:116" x14ac:dyDescent="0.2">
      <c r="A45" s="5"/>
      <c r="B45" s="6"/>
      <c r="C45" s="6"/>
      <c r="D45" s="27"/>
      <c r="E45" s="6"/>
      <c r="F45" s="8"/>
      <c r="G45" s="8"/>
      <c r="I45" s="10"/>
      <c r="J45" s="11"/>
      <c r="K45" s="12"/>
      <c r="L45" s="10"/>
      <c r="M45" s="11"/>
      <c r="N45" s="12"/>
      <c r="O45" s="10"/>
      <c r="P45" s="11"/>
      <c r="Q45" s="12"/>
      <c r="R45" s="13"/>
      <c r="S45" s="11"/>
      <c r="T45" s="12"/>
      <c r="U45" s="10"/>
      <c r="V45" s="12"/>
      <c r="W45" s="12"/>
      <c r="X45" s="10"/>
      <c r="Y45" s="12"/>
      <c r="Z45" s="12"/>
      <c r="AA45" s="10"/>
      <c r="AB45" s="12"/>
      <c r="AC45" s="12"/>
      <c r="AD45" s="10"/>
      <c r="AE45" s="12"/>
      <c r="AF45" s="12"/>
      <c r="AG45" s="10"/>
      <c r="AH45" s="12"/>
      <c r="AI45" s="12"/>
      <c r="AJ45" s="13"/>
      <c r="AK45" s="11"/>
      <c r="AL45" s="12"/>
      <c r="AM45" s="10"/>
      <c r="AN45" s="12"/>
      <c r="AO45" s="12"/>
      <c r="AP45" s="10"/>
      <c r="AQ45" s="12"/>
      <c r="AR45" s="12"/>
      <c r="AS45" s="10"/>
      <c r="AT45" s="12"/>
      <c r="AU45" s="12"/>
      <c r="AV45" s="10"/>
      <c r="AW45" s="12"/>
      <c r="AX45" s="12"/>
      <c r="AY45" s="10"/>
      <c r="AZ45" s="12"/>
      <c r="BA45" s="12"/>
      <c r="BB45" s="10"/>
      <c r="BC45" s="12"/>
      <c r="BD45" s="12"/>
      <c r="BE45" s="10"/>
      <c r="BF45" s="12"/>
      <c r="BG45" s="12"/>
      <c r="BH45" s="10"/>
      <c r="BI45" s="12"/>
      <c r="BK45" s="16"/>
      <c r="BL45" s="16"/>
      <c r="BM45" s="16"/>
      <c r="BN45" s="16"/>
      <c r="BO45" s="16"/>
      <c r="BP45" s="16"/>
      <c r="BQ45" s="16"/>
      <c r="BR45" s="16"/>
      <c r="BS45" s="14"/>
      <c r="BT45" s="15"/>
      <c r="BU45" s="23"/>
      <c r="BV45" s="21"/>
      <c r="BW45" s="21"/>
      <c r="BX45" s="16"/>
      <c r="BY45" s="22"/>
      <c r="BZ45" s="16"/>
      <c r="CA45" s="8"/>
      <c r="CB45" s="10"/>
      <c r="CD45" s="10"/>
      <c r="CF45" s="10"/>
      <c r="CH45" s="10"/>
      <c r="CJ45" s="10"/>
      <c r="CL45" s="10"/>
      <c r="CN45" s="10"/>
      <c r="CP45" s="10"/>
      <c r="CR45" s="10"/>
      <c r="CT45" s="10"/>
      <c r="CV45" s="10"/>
      <c r="CX45" s="10"/>
      <c r="CZ45" s="10"/>
      <c r="DB45" s="10"/>
      <c r="DD45" s="10"/>
      <c r="DF45" s="10"/>
      <c r="DH45" s="10"/>
      <c r="DJ45" s="10"/>
      <c r="DL45" s="10"/>
    </row>
    <row r="46" spans="1:116" x14ac:dyDescent="0.2">
      <c r="A46" s="5"/>
      <c r="B46" s="6"/>
      <c r="C46" s="6"/>
      <c r="D46" s="27"/>
      <c r="E46" s="6"/>
      <c r="F46" s="8"/>
      <c r="G46" s="8"/>
      <c r="I46" s="10"/>
      <c r="J46" s="11"/>
      <c r="K46" s="12"/>
      <c r="L46" s="10"/>
      <c r="M46" s="11"/>
      <c r="N46" s="12"/>
      <c r="O46" s="10"/>
      <c r="P46" s="11"/>
      <c r="Q46" s="12"/>
      <c r="R46" s="13"/>
      <c r="S46" s="11"/>
      <c r="T46" s="12"/>
      <c r="U46" s="10"/>
      <c r="V46" s="12"/>
      <c r="W46" s="12"/>
      <c r="X46" s="10"/>
      <c r="Y46" s="12"/>
      <c r="Z46" s="12"/>
      <c r="AA46" s="10"/>
      <c r="AB46" s="12"/>
      <c r="AC46" s="12"/>
      <c r="AD46" s="10"/>
      <c r="AE46" s="12"/>
      <c r="AF46" s="12"/>
      <c r="AG46" s="10"/>
      <c r="AH46" s="12"/>
      <c r="AI46" s="12"/>
      <c r="AJ46" s="13"/>
      <c r="AK46" s="11"/>
      <c r="AL46" s="12"/>
      <c r="AM46" s="10"/>
      <c r="AN46" s="12"/>
      <c r="AO46" s="12"/>
      <c r="AP46" s="10"/>
      <c r="AQ46" s="12"/>
      <c r="AR46" s="12"/>
      <c r="AS46" s="10"/>
      <c r="AT46" s="12"/>
      <c r="AU46" s="12"/>
      <c r="AV46" s="10"/>
      <c r="AW46" s="12"/>
      <c r="AX46" s="12"/>
      <c r="AY46" s="10"/>
      <c r="AZ46" s="12"/>
      <c r="BA46" s="12"/>
      <c r="BB46" s="10"/>
      <c r="BC46" s="12"/>
      <c r="BD46" s="12"/>
      <c r="BE46" s="10"/>
      <c r="BF46" s="12"/>
      <c r="BG46" s="12"/>
      <c r="BH46" s="10"/>
      <c r="BI46" s="12"/>
      <c r="BK46" s="16"/>
      <c r="BL46" s="16"/>
      <c r="BM46" s="16"/>
      <c r="BN46" s="16"/>
      <c r="BO46" s="16"/>
      <c r="BP46" s="16"/>
      <c r="BQ46" s="16"/>
      <c r="BR46" s="16"/>
      <c r="BS46" s="14"/>
      <c r="BT46" s="15"/>
      <c r="BU46" s="23"/>
      <c r="BV46" s="21"/>
      <c r="BW46" s="21"/>
      <c r="BX46" s="16"/>
      <c r="BY46" s="22"/>
      <c r="BZ46" s="16"/>
      <c r="CA46" s="8"/>
      <c r="CB46" s="10"/>
      <c r="CD46" s="10"/>
      <c r="CF46" s="10"/>
      <c r="CH46" s="10"/>
      <c r="CJ46" s="10"/>
      <c r="CL46" s="10"/>
      <c r="CN46" s="10"/>
      <c r="CP46" s="10"/>
      <c r="CR46" s="10"/>
      <c r="CT46" s="10"/>
      <c r="CV46" s="10"/>
      <c r="CX46" s="10"/>
      <c r="CZ46" s="10"/>
      <c r="DB46" s="10"/>
      <c r="DD46" s="10"/>
      <c r="DF46" s="10"/>
      <c r="DH46" s="10"/>
      <c r="DJ46" s="10"/>
      <c r="DL46" s="10"/>
    </row>
    <row r="47" spans="1:116" x14ac:dyDescent="0.2">
      <c r="A47" s="5"/>
      <c r="B47" s="6"/>
      <c r="C47" s="6"/>
      <c r="D47" s="27"/>
      <c r="E47" s="6"/>
      <c r="F47" s="8"/>
      <c r="G47" s="8"/>
      <c r="I47" s="10"/>
      <c r="J47" s="11"/>
      <c r="K47" s="12"/>
      <c r="L47" s="10"/>
      <c r="M47" s="11"/>
      <c r="N47" s="12"/>
      <c r="O47" s="10"/>
      <c r="P47" s="11"/>
      <c r="Q47" s="12"/>
      <c r="R47" s="13"/>
      <c r="S47" s="11"/>
      <c r="T47" s="12"/>
      <c r="U47" s="10"/>
      <c r="V47" s="12"/>
      <c r="W47" s="12"/>
      <c r="X47" s="10"/>
      <c r="Y47" s="12"/>
      <c r="Z47" s="12"/>
      <c r="AA47" s="10"/>
      <c r="AB47" s="12"/>
      <c r="AC47" s="12"/>
      <c r="AD47" s="10"/>
      <c r="AE47" s="12"/>
      <c r="AF47" s="12"/>
      <c r="AG47" s="10"/>
      <c r="AH47" s="12"/>
      <c r="AI47" s="12"/>
      <c r="AJ47" s="13"/>
      <c r="AK47" s="11"/>
      <c r="AL47" s="12"/>
      <c r="AM47" s="10"/>
      <c r="AN47" s="12"/>
      <c r="AO47" s="12"/>
      <c r="AP47" s="10"/>
      <c r="AQ47" s="12"/>
      <c r="AR47" s="12"/>
      <c r="AS47" s="10"/>
      <c r="AT47" s="12"/>
      <c r="AU47" s="12"/>
      <c r="AV47" s="10"/>
      <c r="AW47" s="12"/>
      <c r="AX47" s="12"/>
      <c r="AY47" s="10"/>
      <c r="AZ47" s="12"/>
      <c r="BA47" s="12"/>
      <c r="BB47" s="10"/>
      <c r="BC47" s="12"/>
      <c r="BD47" s="12"/>
      <c r="BE47" s="10"/>
      <c r="BF47" s="12"/>
      <c r="BG47" s="12"/>
      <c r="BH47" s="10"/>
      <c r="BI47" s="12"/>
      <c r="BK47" s="16"/>
      <c r="BL47" s="16"/>
      <c r="BM47" s="16"/>
      <c r="BN47" s="16"/>
      <c r="BO47" s="16"/>
      <c r="BP47" s="16"/>
      <c r="BQ47" s="16"/>
      <c r="BR47" s="16"/>
      <c r="BS47" s="14"/>
      <c r="BT47" s="15"/>
      <c r="BU47" s="23"/>
      <c r="BV47" s="21"/>
      <c r="BW47" s="21"/>
      <c r="BX47" s="16"/>
      <c r="BY47" s="22"/>
      <c r="BZ47" s="16"/>
      <c r="CA47" s="8"/>
      <c r="CB47" s="10"/>
      <c r="CD47" s="10"/>
      <c r="CF47" s="10"/>
      <c r="CH47" s="10"/>
      <c r="CJ47" s="10"/>
      <c r="CL47" s="10"/>
      <c r="CN47" s="10"/>
      <c r="CP47" s="10"/>
      <c r="CR47" s="10"/>
      <c r="CT47" s="10"/>
      <c r="CV47" s="10"/>
      <c r="CX47" s="10"/>
      <c r="CZ47" s="10"/>
      <c r="DB47" s="10"/>
      <c r="DD47" s="10"/>
      <c r="DF47" s="10"/>
      <c r="DH47" s="10"/>
      <c r="DJ47" s="10"/>
      <c r="DL47" s="10"/>
    </row>
    <row r="48" spans="1:116" x14ac:dyDescent="0.2">
      <c r="A48" s="5"/>
      <c r="B48" s="6"/>
      <c r="C48" s="6"/>
      <c r="D48" s="27"/>
      <c r="E48" s="6"/>
      <c r="F48" s="8"/>
      <c r="G48" s="8"/>
      <c r="I48" s="10"/>
      <c r="J48" s="11"/>
      <c r="K48" s="12"/>
      <c r="L48" s="10"/>
      <c r="M48" s="11"/>
      <c r="N48" s="12"/>
      <c r="O48" s="10"/>
      <c r="P48" s="11"/>
      <c r="Q48" s="12"/>
      <c r="R48" s="13"/>
      <c r="S48" s="11"/>
      <c r="T48" s="12"/>
      <c r="U48" s="10"/>
      <c r="V48" s="12"/>
      <c r="W48" s="12"/>
      <c r="X48" s="10"/>
      <c r="Y48" s="12"/>
      <c r="Z48" s="12"/>
      <c r="AA48" s="10"/>
      <c r="AB48" s="12"/>
      <c r="AC48" s="12"/>
      <c r="AD48" s="10"/>
      <c r="AE48" s="12"/>
      <c r="AF48" s="12"/>
      <c r="AG48" s="10"/>
      <c r="AH48" s="12"/>
      <c r="AI48" s="12"/>
      <c r="AJ48" s="13"/>
      <c r="AK48" s="11"/>
      <c r="AL48" s="12"/>
      <c r="AM48" s="10"/>
      <c r="AN48" s="12"/>
      <c r="AO48" s="12"/>
      <c r="AP48" s="10"/>
      <c r="AQ48" s="12"/>
      <c r="AR48" s="12"/>
      <c r="AS48" s="10"/>
      <c r="AT48" s="12"/>
      <c r="AU48" s="12"/>
      <c r="AV48" s="10"/>
      <c r="AW48" s="12"/>
      <c r="AX48" s="12"/>
      <c r="AY48" s="10"/>
      <c r="AZ48" s="12"/>
      <c r="BA48" s="12"/>
      <c r="BB48" s="10"/>
      <c r="BC48" s="12"/>
      <c r="BD48" s="12"/>
      <c r="BE48" s="10"/>
      <c r="BF48" s="12"/>
      <c r="BG48" s="12"/>
      <c r="BH48" s="10"/>
      <c r="BI48" s="12"/>
      <c r="BK48" s="16"/>
      <c r="BL48" s="16"/>
      <c r="BM48" s="16"/>
      <c r="BN48" s="16"/>
      <c r="BO48" s="16"/>
      <c r="BP48" s="16"/>
      <c r="BQ48" s="16"/>
      <c r="BR48" s="16"/>
      <c r="BS48" s="14"/>
      <c r="BT48" s="15"/>
      <c r="BU48" s="23"/>
      <c r="BV48" s="21"/>
      <c r="BW48" s="21"/>
      <c r="BX48" s="16"/>
      <c r="BY48" s="22"/>
      <c r="BZ48" s="16"/>
      <c r="CA48" s="8"/>
      <c r="CB48" s="10"/>
      <c r="CD48" s="10"/>
      <c r="CF48" s="10"/>
      <c r="CH48" s="10"/>
      <c r="CJ48" s="10"/>
      <c r="CL48" s="10"/>
      <c r="CN48" s="10"/>
      <c r="CP48" s="10"/>
      <c r="CR48" s="10"/>
      <c r="CT48" s="10"/>
      <c r="CV48" s="10"/>
      <c r="CX48" s="10"/>
      <c r="CZ48" s="10"/>
      <c r="DB48" s="10"/>
      <c r="DD48" s="10"/>
      <c r="DF48" s="10"/>
      <c r="DH48" s="10"/>
      <c r="DJ48" s="10"/>
      <c r="DL48" s="10"/>
    </row>
    <row r="49" spans="1:116" x14ac:dyDescent="0.2">
      <c r="A49" s="5"/>
      <c r="B49" s="6"/>
      <c r="C49" s="6"/>
      <c r="D49" s="27"/>
      <c r="E49" s="6"/>
      <c r="F49" s="8"/>
      <c r="G49" s="8"/>
      <c r="I49" s="10"/>
      <c r="J49" s="11"/>
      <c r="K49" s="12"/>
      <c r="L49" s="10"/>
      <c r="M49" s="11"/>
      <c r="N49" s="12"/>
      <c r="O49" s="10"/>
      <c r="P49" s="11"/>
      <c r="Q49" s="12"/>
      <c r="R49" s="13"/>
      <c r="S49" s="11"/>
      <c r="T49" s="12"/>
      <c r="U49" s="10"/>
      <c r="V49" s="12"/>
      <c r="W49" s="12"/>
      <c r="X49" s="10"/>
      <c r="Y49" s="12"/>
      <c r="Z49" s="12"/>
      <c r="AA49" s="10"/>
      <c r="AB49" s="12"/>
      <c r="AC49" s="12"/>
      <c r="AD49" s="10"/>
      <c r="AE49" s="12"/>
      <c r="AF49" s="12"/>
      <c r="AG49" s="10"/>
      <c r="AH49" s="12"/>
      <c r="AI49" s="12"/>
      <c r="AJ49" s="13"/>
      <c r="AK49" s="11"/>
      <c r="AL49" s="12"/>
      <c r="AM49" s="10"/>
      <c r="AN49" s="12"/>
      <c r="AO49" s="12"/>
      <c r="AP49" s="10"/>
      <c r="AQ49" s="12"/>
      <c r="AR49" s="12"/>
      <c r="AS49" s="10"/>
      <c r="AT49" s="12"/>
      <c r="AU49" s="12"/>
      <c r="AV49" s="10"/>
      <c r="AW49" s="12"/>
      <c r="AX49" s="12"/>
      <c r="AY49" s="10"/>
      <c r="AZ49" s="12"/>
      <c r="BA49" s="12"/>
      <c r="BB49" s="10"/>
      <c r="BC49" s="12"/>
      <c r="BD49" s="12"/>
      <c r="BE49" s="10"/>
      <c r="BF49" s="12"/>
      <c r="BG49" s="12"/>
      <c r="BH49" s="10"/>
      <c r="BI49" s="12"/>
      <c r="BK49" s="16"/>
      <c r="BL49" s="16"/>
      <c r="BM49" s="16"/>
      <c r="BN49" s="16"/>
      <c r="BO49" s="16"/>
      <c r="BP49" s="16"/>
      <c r="BQ49" s="16"/>
      <c r="BR49" s="16"/>
      <c r="BS49" s="14"/>
      <c r="BT49" s="15"/>
      <c r="BU49" s="23"/>
      <c r="BV49" s="21"/>
      <c r="BW49" s="21"/>
      <c r="BX49" s="16"/>
      <c r="BY49" s="22"/>
      <c r="BZ49" s="16"/>
      <c r="CA49" s="8"/>
      <c r="CB49" s="10"/>
      <c r="CD49" s="10"/>
      <c r="CF49" s="10"/>
      <c r="CH49" s="10"/>
      <c r="CJ49" s="10"/>
      <c r="CL49" s="10"/>
      <c r="CN49" s="10"/>
      <c r="CP49" s="10"/>
      <c r="CR49" s="10"/>
      <c r="CT49" s="10"/>
      <c r="CV49" s="10"/>
      <c r="CX49" s="10"/>
      <c r="CZ49" s="10"/>
      <c r="DB49" s="10"/>
      <c r="DD49" s="10"/>
      <c r="DF49" s="10"/>
      <c r="DH49" s="10"/>
      <c r="DJ49" s="10"/>
      <c r="DL49" s="10"/>
    </row>
    <row r="50" spans="1:116" x14ac:dyDescent="0.2">
      <c r="A50" s="5"/>
      <c r="B50" s="6"/>
      <c r="C50" s="6"/>
      <c r="D50" s="27"/>
      <c r="E50" s="6"/>
      <c r="F50" s="8"/>
      <c r="G50" s="8"/>
      <c r="I50" s="10"/>
      <c r="J50" s="11"/>
      <c r="K50" s="12"/>
      <c r="L50" s="10"/>
      <c r="M50" s="11"/>
      <c r="N50" s="12"/>
      <c r="O50" s="10"/>
      <c r="P50" s="11"/>
      <c r="Q50" s="12"/>
      <c r="R50" s="13"/>
      <c r="S50" s="11"/>
      <c r="T50" s="12"/>
      <c r="U50" s="10"/>
      <c r="V50" s="12"/>
      <c r="W50" s="12"/>
      <c r="X50" s="10"/>
      <c r="Y50" s="12"/>
      <c r="Z50" s="12"/>
      <c r="AA50" s="10"/>
      <c r="AB50" s="12"/>
      <c r="AC50" s="12"/>
      <c r="AD50" s="10"/>
      <c r="AE50" s="12"/>
      <c r="AF50" s="12"/>
      <c r="AG50" s="10"/>
      <c r="AH50" s="12"/>
      <c r="AI50" s="12"/>
      <c r="AJ50" s="13"/>
      <c r="AK50" s="11"/>
      <c r="AL50" s="12"/>
      <c r="AM50" s="10"/>
      <c r="AN50" s="12"/>
      <c r="AO50" s="12"/>
      <c r="AP50" s="10"/>
      <c r="AQ50" s="12"/>
      <c r="AR50" s="12"/>
      <c r="AS50" s="10"/>
      <c r="AT50" s="12"/>
      <c r="AU50" s="12"/>
      <c r="AV50" s="10"/>
      <c r="AW50" s="12"/>
      <c r="AX50" s="12"/>
      <c r="AY50" s="10"/>
      <c r="AZ50" s="12"/>
      <c r="BA50" s="12"/>
      <c r="BB50" s="10"/>
      <c r="BC50" s="12"/>
      <c r="BD50" s="12"/>
      <c r="BE50" s="10"/>
      <c r="BF50" s="12"/>
      <c r="BG50" s="12"/>
      <c r="BH50" s="10"/>
      <c r="BI50" s="12"/>
      <c r="BK50" s="16"/>
      <c r="BL50" s="16"/>
      <c r="BM50" s="16"/>
      <c r="BN50" s="16"/>
      <c r="BO50" s="16"/>
      <c r="BP50" s="16"/>
      <c r="BQ50" s="16"/>
      <c r="BR50" s="16"/>
      <c r="BS50" s="14"/>
      <c r="BT50" s="15"/>
      <c r="BU50" s="23"/>
      <c r="BV50" s="21"/>
      <c r="BW50" s="21"/>
      <c r="BX50" s="16"/>
      <c r="BY50" s="22"/>
      <c r="BZ50" s="16"/>
      <c r="CA50" s="8"/>
      <c r="CB50" s="10"/>
      <c r="CD50" s="10"/>
      <c r="CF50" s="10"/>
      <c r="CH50" s="10"/>
      <c r="CJ50" s="10"/>
      <c r="CL50" s="10"/>
      <c r="CN50" s="10"/>
      <c r="CP50" s="10"/>
      <c r="CR50" s="10"/>
      <c r="CT50" s="10"/>
      <c r="CV50" s="10"/>
      <c r="CX50" s="10"/>
      <c r="CZ50" s="10"/>
      <c r="DB50" s="10"/>
      <c r="DD50" s="10"/>
      <c r="DF50" s="10"/>
      <c r="DH50" s="10"/>
      <c r="DJ50" s="10"/>
      <c r="DL50" s="10"/>
    </row>
    <row r="51" spans="1:116" x14ac:dyDescent="0.2">
      <c r="A51" s="5"/>
      <c r="B51" s="6"/>
      <c r="C51" s="6"/>
      <c r="D51" s="27"/>
      <c r="E51" s="6"/>
      <c r="F51" s="8"/>
      <c r="G51" s="8"/>
      <c r="I51" s="10"/>
      <c r="J51" s="11"/>
      <c r="K51" s="12"/>
      <c r="L51" s="10"/>
      <c r="M51" s="11"/>
      <c r="N51" s="12"/>
      <c r="O51" s="10"/>
      <c r="P51" s="11"/>
      <c r="Q51" s="12"/>
      <c r="R51" s="13"/>
      <c r="S51" s="11"/>
      <c r="T51" s="12"/>
      <c r="U51" s="10"/>
      <c r="V51" s="12"/>
      <c r="W51" s="12"/>
      <c r="X51" s="10"/>
      <c r="Y51" s="12"/>
      <c r="Z51" s="12"/>
      <c r="AA51" s="10"/>
      <c r="AB51" s="12"/>
      <c r="AC51" s="12"/>
      <c r="AD51" s="10"/>
      <c r="AE51" s="12"/>
      <c r="AF51" s="12"/>
      <c r="AG51" s="10"/>
      <c r="AH51" s="12"/>
      <c r="AI51" s="12"/>
      <c r="AJ51" s="13"/>
      <c r="AK51" s="11"/>
      <c r="AL51" s="12"/>
      <c r="AM51" s="10"/>
      <c r="AN51" s="12"/>
      <c r="AO51" s="12"/>
      <c r="AP51" s="10"/>
      <c r="AQ51" s="12"/>
      <c r="AR51" s="12"/>
      <c r="AS51" s="10"/>
      <c r="AT51" s="12"/>
      <c r="AU51" s="12"/>
      <c r="AV51" s="10"/>
      <c r="AW51" s="12"/>
      <c r="AX51" s="12"/>
      <c r="AY51" s="10"/>
      <c r="AZ51" s="12"/>
      <c r="BA51" s="12"/>
      <c r="BB51" s="10"/>
      <c r="BC51" s="12"/>
      <c r="BD51" s="12"/>
      <c r="BE51" s="10"/>
      <c r="BF51" s="12"/>
      <c r="BG51" s="12"/>
      <c r="BH51" s="10"/>
      <c r="BI51" s="12"/>
      <c r="BK51" s="16"/>
      <c r="BL51" s="16"/>
      <c r="BM51" s="16"/>
      <c r="BN51" s="16"/>
      <c r="BO51" s="16"/>
      <c r="BP51" s="16"/>
      <c r="BQ51" s="16"/>
      <c r="BR51" s="16"/>
      <c r="BS51" s="14"/>
      <c r="BT51" s="15"/>
      <c r="BU51" s="23"/>
      <c r="BV51" s="21"/>
      <c r="BW51" s="21"/>
      <c r="BX51" s="16"/>
      <c r="BY51" s="22"/>
      <c r="BZ51" s="16"/>
      <c r="CA51" s="8"/>
      <c r="CB51" s="10"/>
      <c r="CD51" s="10"/>
      <c r="CF51" s="10"/>
      <c r="CH51" s="10"/>
      <c r="CJ51" s="10"/>
      <c r="CL51" s="10"/>
      <c r="CN51" s="10"/>
      <c r="CP51" s="10"/>
      <c r="CR51" s="10"/>
      <c r="CT51" s="10"/>
      <c r="CV51" s="10"/>
      <c r="CX51" s="10"/>
      <c r="CZ51" s="10"/>
      <c r="DB51" s="10"/>
      <c r="DD51" s="10"/>
      <c r="DF51" s="10"/>
      <c r="DH51" s="10"/>
      <c r="DJ51" s="10"/>
      <c r="DL51" s="10"/>
    </row>
    <row r="52" spans="1:116" x14ac:dyDescent="0.2">
      <c r="A52" s="5"/>
      <c r="B52" s="6"/>
      <c r="C52" s="6"/>
      <c r="D52" s="27"/>
      <c r="E52" s="6"/>
      <c r="F52" s="8"/>
      <c r="G52" s="8"/>
      <c r="I52" s="10"/>
      <c r="J52" s="11"/>
      <c r="K52" s="12"/>
      <c r="L52" s="10"/>
      <c r="M52" s="11"/>
      <c r="N52" s="12"/>
      <c r="O52" s="10"/>
      <c r="P52" s="11"/>
      <c r="Q52" s="12"/>
      <c r="R52" s="13"/>
      <c r="S52" s="11"/>
      <c r="T52" s="12"/>
      <c r="U52" s="10"/>
      <c r="V52" s="12"/>
      <c r="W52" s="12"/>
      <c r="X52" s="10"/>
      <c r="Y52" s="12"/>
      <c r="Z52" s="12"/>
      <c r="AA52" s="10"/>
      <c r="AB52" s="12"/>
      <c r="AC52" s="12"/>
      <c r="AD52" s="10"/>
      <c r="AE52" s="12"/>
      <c r="AF52" s="12"/>
      <c r="AG52" s="10"/>
      <c r="AH52" s="12"/>
      <c r="AI52" s="12"/>
      <c r="AJ52" s="13"/>
      <c r="AK52" s="11"/>
      <c r="AL52" s="12"/>
      <c r="AM52" s="10"/>
      <c r="AN52" s="12"/>
      <c r="AO52" s="12"/>
      <c r="AP52" s="10"/>
      <c r="AQ52" s="12"/>
      <c r="AR52" s="12"/>
      <c r="AS52" s="10"/>
      <c r="AT52" s="12"/>
      <c r="AU52" s="12"/>
      <c r="AV52" s="10"/>
      <c r="AW52" s="12"/>
      <c r="AX52" s="12"/>
      <c r="AY52" s="10"/>
      <c r="AZ52" s="12"/>
      <c r="BA52" s="12"/>
      <c r="BB52" s="10"/>
      <c r="BC52" s="12"/>
      <c r="BD52" s="12"/>
      <c r="BE52" s="10"/>
      <c r="BF52" s="12"/>
      <c r="BG52" s="12"/>
      <c r="BH52" s="10"/>
      <c r="BI52" s="12"/>
      <c r="BK52" s="16"/>
      <c r="BL52" s="16"/>
      <c r="BM52" s="16"/>
      <c r="BN52" s="16"/>
      <c r="BO52" s="16"/>
      <c r="BP52" s="16"/>
      <c r="BQ52" s="16"/>
      <c r="BR52" s="16"/>
      <c r="BS52" s="14"/>
      <c r="BT52" s="15"/>
      <c r="BU52" s="23"/>
      <c r="BV52" s="21"/>
      <c r="BW52" s="21"/>
      <c r="BX52" s="16"/>
      <c r="BY52" s="22"/>
      <c r="BZ52" s="16"/>
      <c r="CA52" s="8"/>
      <c r="CB52" s="10"/>
      <c r="CD52" s="10"/>
      <c r="CF52" s="10"/>
      <c r="CH52" s="10"/>
      <c r="CJ52" s="10"/>
      <c r="CL52" s="10"/>
      <c r="CN52" s="10"/>
      <c r="CP52" s="10"/>
      <c r="CR52" s="10"/>
      <c r="CT52" s="10"/>
      <c r="CV52" s="10"/>
      <c r="CX52" s="10"/>
      <c r="CZ52" s="10"/>
      <c r="DB52" s="10"/>
      <c r="DD52" s="10"/>
      <c r="DF52" s="10"/>
      <c r="DH52" s="10"/>
      <c r="DJ52" s="10"/>
      <c r="DL52" s="10"/>
    </row>
    <row r="53" spans="1:116" x14ac:dyDescent="0.2">
      <c r="A53" s="5"/>
      <c r="B53" s="6"/>
      <c r="C53" s="6"/>
      <c r="D53" s="27"/>
      <c r="E53" s="6"/>
      <c r="F53" s="8"/>
      <c r="G53" s="8"/>
      <c r="I53" s="10"/>
      <c r="J53" s="11"/>
      <c r="K53" s="12"/>
      <c r="L53" s="10"/>
      <c r="M53" s="11"/>
      <c r="N53" s="12"/>
      <c r="O53" s="10"/>
      <c r="P53" s="11"/>
      <c r="Q53" s="12"/>
      <c r="R53" s="13"/>
      <c r="S53" s="11"/>
      <c r="T53" s="12"/>
      <c r="U53" s="10"/>
      <c r="V53" s="12"/>
      <c r="W53" s="12"/>
      <c r="X53" s="10"/>
      <c r="Y53" s="12"/>
      <c r="Z53" s="12"/>
      <c r="AA53" s="10"/>
      <c r="AB53" s="12"/>
      <c r="AC53" s="12"/>
      <c r="AD53" s="10"/>
      <c r="AE53" s="12"/>
      <c r="AF53" s="12"/>
      <c r="AG53" s="10"/>
      <c r="AH53" s="12"/>
      <c r="AI53" s="12"/>
      <c r="AJ53" s="13"/>
      <c r="AK53" s="11"/>
      <c r="AL53" s="12"/>
      <c r="AM53" s="10"/>
      <c r="AN53" s="12"/>
      <c r="AO53" s="12"/>
      <c r="AP53" s="10"/>
      <c r="AQ53" s="12"/>
      <c r="AR53" s="12"/>
      <c r="AS53" s="10"/>
      <c r="AT53" s="12"/>
      <c r="AU53" s="12"/>
      <c r="AV53" s="10"/>
      <c r="AW53" s="12"/>
      <c r="AX53" s="12"/>
      <c r="AY53" s="10"/>
      <c r="AZ53" s="12"/>
      <c r="BA53" s="12"/>
      <c r="BB53" s="10"/>
      <c r="BC53" s="12"/>
      <c r="BD53" s="12"/>
      <c r="BE53" s="10"/>
      <c r="BF53" s="12"/>
      <c r="BG53" s="12"/>
      <c r="BH53" s="10"/>
      <c r="BI53" s="12"/>
      <c r="BK53" s="16"/>
      <c r="BL53" s="16"/>
      <c r="BM53" s="16"/>
      <c r="BN53" s="16"/>
      <c r="BO53" s="16"/>
      <c r="BP53" s="16"/>
      <c r="BQ53" s="16"/>
      <c r="BR53" s="16"/>
      <c r="BS53" s="14"/>
      <c r="BT53" s="15"/>
      <c r="BU53" s="23"/>
      <c r="BV53" s="21"/>
      <c r="BW53" s="21"/>
      <c r="BX53" s="16"/>
      <c r="BY53" s="22"/>
      <c r="BZ53" s="16"/>
      <c r="CA53" s="8"/>
      <c r="CB53" s="10"/>
      <c r="CD53" s="10"/>
      <c r="CF53" s="10"/>
      <c r="CH53" s="10"/>
      <c r="CJ53" s="10"/>
      <c r="CL53" s="10"/>
      <c r="CN53" s="10"/>
      <c r="CP53" s="10"/>
      <c r="CR53" s="10"/>
      <c r="CT53" s="10"/>
      <c r="CV53" s="10"/>
      <c r="CX53" s="10"/>
      <c r="CZ53" s="10"/>
      <c r="DB53" s="10"/>
      <c r="DD53" s="10"/>
      <c r="DF53" s="10"/>
      <c r="DH53" s="10"/>
      <c r="DJ53" s="10"/>
      <c r="DL53" s="10"/>
    </row>
    <row r="54" spans="1:116" x14ac:dyDescent="0.2">
      <c r="A54" s="5"/>
      <c r="B54" s="6"/>
      <c r="C54" s="6"/>
      <c r="D54" s="27"/>
      <c r="E54" s="6"/>
      <c r="F54" s="8"/>
      <c r="G54" s="8"/>
      <c r="I54" s="10"/>
      <c r="J54" s="11"/>
      <c r="K54" s="12"/>
      <c r="L54" s="10"/>
      <c r="M54" s="11"/>
      <c r="N54" s="12"/>
      <c r="O54" s="10"/>
      <c r="P54" s="11"/>
      <c r="Q54" s="12"/>
      <c r="R54" s="13"/>
      <c r="S54" s="11"/>
      <c r="T54" s="12"/>
      <c r="U54" s="10"/>
      <c r="V54" s="12"/>
      <c r="W54" s="12"/>
      <c r="X54" s="10"/>
      <c r="Y54" s="12"/>
      <c r="Z54" s="12"/>
      <c r="AA54" s="10"/>
      <c r="AB54" s="12"/>
      <c r="AC54" s="12"/>
      <c r="AD54" s="10"/>
      <c r="AE54" s="12"/>
      <c r="AF54" s="12"/>
      <c r="AG54" s="10"/>
      <c r="AH54" s="12"/>
      <c r="AI54" s="12"/>
      <c r="AJ54" s="13"/>
      <c r="AK54" s="11"/>
      <c r="AL54" s="12"/>
      <c r="AM54" s="10"/>
      <c r="AN54" s="12"/>
      <c r="AO54" s="12"/>
      <c r="AP54" s="10"/>
      <c r="AQ54" s="12"/>
      <c r="AR54" s="12"/>
      <c r="AS54" s="10"/>
      <c r="AT54" s="12"/>
      <c r="AU54" s="12"/>
      <c r="AV54" s="10"/>
      <c r="AW54" s="12"/>
      <c r="AX54" s="12"/>
      <c r="AY54" s="10"/>
      <c r="AZ54" s="12"/>
      <c r="BA54" s="12"/>
      <c r="BB54" s="10"/>
      <c r="BC54" s="12"/>
      <c r="BD54" s="12"/>
      <c r="BE54" s="10"/>
      <c r="BF54" s="12"/>
      <c r="BG54" s="12"/>
      <c r="BH54" s="10"/>
      <c r="BI54" s="12"/>
      <c r="BK54" s="16"/>
      <c r="BL54" s="16"/>
      <c r="BM54" s="16"/>
      <c r="BN54" s="16"/>
      <c r="BO54" s="16"/>
      <c r="BP54" s="16"/>
      <c r="BQ54" s="16"/>
      <c r="BR54" s="16"/>
      <c r="BS54" s="14"/>
      <c r="BT54" s="15"/>
      <c r="BU54" s="23"/>
      <c r="BV54" s="21"/>
      <c r="BW54" s="21"/>
      <c r="BX54" s="16"/>
      <c r="BY54" s="22"/>
      <c r="BZ54" s="16"/>
      <c r="CA54" s="8"/>
      <c r="CB54" s="10"/>
      <c r="CD54" s="10"/>
      <c r="CF54" s="10"/>
      <c r="CH54" s="10"/>
      <c r="CJ54" s="10"/>
      <c r="CL54" s="10"/>
      <c r="CN54" s="10"/>
      <c r="CP54" s="10"/>
      <c r="CR54" s="10"/>
      <c r="CT54" s="10"/>
      <c r="CV54" s="10"/>
      <c r="CX54" s="10"/>
      <c r="CZ54" s="10"/>
      <c r="DB54" s="10"/>
      <c r="DD54" s="10"/>
      <c r="DF54" s="10"/>
      <c r="DH54" s="10"/>
      <c r="DJ54" s="10"/>
      <c r="DL54" s="10"/>
    </row>
    <row r="55" spans="1:116" x14ac:dyDescent="0.2">
      <c r="A55" s="5"/>
      <c r="B55" s="6"/>
      <c r="C55" s="6"/>
      <c r="D55" s="27"/>
      <c r="E55" s="6"/>
      <c r="F55" s="8"/>
      <c r="G55" s="8"/>
      <c r="I55" s="10"/>
      <c r="J55" s="11"/>
      <c r="K55" s="12"/>
      <c r="L55" s="10"/>
      <c r="M55" s="11"/>
      <c r="N55" s="12"/>
      <c r="O55" s="10"/>
      <c r="P55" s="11"/>
      <c r="Q55" s="12"/>
      <c r="R55" s="13"/>
      <c r="S55" s="11"/>
      <c r="T55" s="12"/>
      <c r="U55" s="10"/>
      <c r="V55" s="12"/>
      <c r="W55" s="12"/>
      <c r="X55" s="10"/>
      <c r="Y55" s="12"/>
      <c r="Z55" s="12"/>
      <c r="AA55" s="10"/>
      <c r="AB55" s="12"/>
      <c r="AC55" s="12"/>
      <c r="AD55" s="10"/>
      <c r="AE55" s="12"/>
      <c r="AF55" s="12"/>
      <c r="AG55" s="10"/>
      <c r="AH55" s="12"/>
      <c r="AI55" s="12"/>
      <c r="AJ55" s="13"/>
      <c r="AK55" s="11"/>
      <c r="AL55" s="12"/>
      <c r="AM55" s="10"/>
      <c r="AN55" s="12"/>
      <c r="AO55" s="12"/>
      <c r="AP55" s="10"/>
      <c r="AQ55" s="12"/>
      <c r="AR55" s="12"/>
      <c r="AS55" s="10"/>
      <c r="AT55" s="12"/>
      <c r="AU55" s="12"/>
      <c r="AV55" s="10"/>
      <c r="AW55" s="12"/>
      <c r="AX55" s="12"/>
      <c r="AY55" s="10"/>
      <c r="AZ55" s="12"/>
      <c r="BA55" s="12"/>
      <c r="BB55" s="10"/>
      <c r="BC55" s="12"/>
      <c r="BD55" s="12"/>
      <c r="BE55" s="10"/>
      <c r="BF55" s="12"/>
      <c r="BG55" s="12"/>
      <c r="BH55" s="10"/>
      <c r="BI55" s="12"/>
      <c r="BK55" s="16"/>
      <c r="BL55" s="16"/>
      <c r="BM55" s="16"/>
      <c r="BN55" s="16"/>
      <c r="BO55" s="16"/>
      <c r="BP55" s="16"/>
      <c r="BQ55" s="16"/>
      <c r="BR55" s="16"/>
      <c r="BS55" s="14"/>
      <c r="BT55" s="15"/>
      <c r="BU55" s="23"/>
      <c r="BV55" s="21"/>
      <c r="BW55" s="21"/>
      <c r="BX55" s="16"/>
      <c r="BY55" s="22"/>
      <c r="BZ55" s="16"/>
      <c r="CA55" s="8"/>
      <c r="CB55" s="10"/>
      <c r="CD55" s="10"/>
      <c r="CF55" s="10"/>
      <c r="CH55" s="10"/>
      <c r="CJ55" s="10"/>
      <c r="CL55" s="10"/>
      <c r="CN55" s="10"/>
      <c r="CP55" s="10"/>
      <c r="CR55" s="10"/>
      <c r="CT55" s="10"/>
      <c r="CV55" s="10"/>
      <c r="CX55" s="10"/>
      <c r="CZ55" s="10"/>
      <c r="DB55" s="10"/>
      <c r="DD55" s="10"/>
      <c r="DF55" s="10"/>
      <c r="DH55" s="10"/>
      <c r="DJ55" s="10"/>
      <c r="DL55" s="10"/>
    </row>
    <row r="56" spans="1:116" x14ac:dyDescent="0.2">
      <c r="A56" s="5"/>
      <c r="B56" s="6"/>
      <c r="C56" s="6"/>
      <c r="D56" s="27"/>
      <c r="E56" s="6"/>
      <c r="F56" s="8"/>
      <c r="G56" s="8"/>
      <c r="I56" s="10"/>
      <c r="J56" s="11"/>
      <c r="K56" s="12"/>
      <c r="L56" s="10"/>
      <c r="M56" s="11"/>
      <c r="N56" s="12"/>
      <c r="O56" s="10"/>
      <c r="P56" s="11"/>
      <c r="Q56" s="12"/>
      <c r="R56" s="13"/>
      <c r="S56" s="11"/>
      <c r="T56" s="12"/>
      <c r="U56" s="10"/>
      <c r="V56" s="12"/>
      <c r="W56" s="12"/>
      <c r="X56" s="10"/>
      <c r="Y56" s="12"/>
      <c r="Z56" s="12"/>
      <c r="AA56" s="10"/>
      <c r="AB56" s="12"/>
      <c r="AC56" s="12"/>
      <c r="AD56" s="10"/>
      <c r="AE56" s="12"/>
      <c r="AF56" s="12"/>
      <c r="AG56" s="10"/>
      <c r="AH56" s="12"/>
      <c r="AI56" s="12"/>
      <c r="AJ56" s="13"/>
      <c r="AK56" s="11"/>
      <c r="AL56" s="12"/>
      <c r="AM56" s="10"/>
      <c r="AN56" s="12"/>
      <c r="AO56" s="12"/>
      <c r="AP56" s="10"/>
      <c r="AQ56" s="12"/>
      <c r="AR56" s="12"/>
      <c r="AS56" s="10"/>
      <c r="AT56" s="12"/>
      <c r="AU56" s="12"/>
      <c r="AV56" s="10"/>
      <c r="AW56" s="12"/>
      <c r="AX56" s="12"/>
      <c r="AY56" s="10"/>
      <c r="AZ56" s="12"/>
      <c r="BA56" s="12"/>
      <c r="BB56" s="10"/>
      <c r="BC56" s="12"/>
      <c r="BD56" s="12"/>
      <c r="BE56" s="10"/>
      <c r="BF56" s="12"/>
      <c r="BG56" s="12"/>
      <c r="BH56" s="10"/>
      <c r="BI56" s="12"/>
      <c r="BK56" s="16"/>
      <c r="BL56" s="16"/>
      <c r="BM56" s="16"/>
      <c r="BN56" s="16"/>
      <c r="BO56" s="16"/>
      <c r="BP56" s="16"/>
      <c r="BQ56" s="16"/>
      <c r="BR56" s="16"/>
      <c r="BS56" s="14"/>
      <c r="BT56" s="15"/>
      <c r="BU56" s="23"/>
      <c r="BV56" s="21"/>
      <c r="BW56" s="21"/>
      <c r="BX56" s="16"/>
      <c r="BY56" s="22"/>
      <c r="BZ56" s="16"/>
      <c r="CA56" s="8"/>
      <c r="CB56" s="10"/>
      <c r="CD56" s="10"/>
      <c r="CF56" s="10"/>
      <c r="CH56" s="10"/>
      <c r="CJ56" s="10"/>
      <c r="CL56" s="10"/>
      <c r="CN56" s="10"/>
      <c r="CP56" s="10"/>
      <c r="CR56" s="10"/>
      <c r="CT56" s="10"/>
      <c r="CV56" s="10"/>
      <c r="CX56" s="10"/>
      <c r="CZ56" s="10"/>
      <c r="DB56" s="10"/>
      <c r="DD56" s="10"/>
      <c r="DF56" s="10"/>
      <c r="DH56" s="10"/>
      <c r="DJ56" s="10"/>
      <c r="DL56" s="10"/>
    </row>
    <row r="57" spans="1:116" x14ac:dyDescent="0.2">
      <c r="A57" s="5"/>
      <c r="B57" s="6"/>
      <c r="C57" s="6"/>
      <c r="D57" s="27"/>
      <c r="E57" s="6"/>
      <c r="F57" s="8"/>
      <c r="G57" s="8"/>
      <c r="I57" s="10"/>
      <c r="J57" s="11"/>
      <c r="K57" s="12"/>
      <c r="L57" s="10"/>
      <c r="M57" s="11"/>
      <c r="N57" s="12"/>
      <c r="O57" s="10"/>
      <c r="P57" s="11"/>
      <c r="Q57" s="12"/>
      <c r="R57" s="13"/>
      <c r="S57" s="11"/>
      <c r="T57" s="12"/>
      <c r="U57" s="10"/>
      <c r="V57" s="12"/>
      <c r="W57" s="12"/>
      <c r="X57" s="10"/>
      <c r="Y57" s="12"/>
      <c r="Z57" s="12"/>
      <c r="AA57" s="10"/>
      <c r="AB57" s="12"/>
      <c r="AC57" s="12"/>
      <c r="AD57" s="10"/>
      <c r="AE57" s="12"/>
      <c r="AF57" s="12"/>
      <c r="AG57" s="10"/>
      <c r="AH57" s="12"/>
      <c r="AI57" s="12"/>
      <c r="AJ57" s="13"/>
      <c r="AK57" s="11"/>
      <c r="AL57" s="12"/>
      <c r="AM57" s="10"/>
      <c r="AN57" s="12"/>
      <c r="AO57" s="12"/>
      <c r="AP57" s="10"/>
      <c r="AQ57" s="12"/>
      <c r="AR57" s="12"/>
      <c r="AS57" s="10"/>
      <c r="AT57" s="12"/>
      <c r="AU57" s="12"/>
      <c r="AV57" s="10"/>
      <c r="AW57" s="12"/>
      <c r="AX57" s="12"/>
      <c r="AY57" s="10"/>
      <c r="AZ57" s="12"/>
      <c r="BA57" s="12"/>
      <c r="BB57" s="10"/>
      <c r="BC57" s="12"/>
      <c r="BD57" s="12"/>
      <c r="BE57" s="10"/>
      <c r="BF57" s="12"/>
      <c r="BG57" s="12"/>
      <c r="BH57" s="10"/>
      <c r="BI57" s="12"/>
      <c r="BK57" s="16"/>
      <c r="BL57" s="16"/>
      <c r="BM57" s="16"/>
      <c r="BN57" s="16"/>
      <c r="BO57" s="16"/>
      <c r="BP57" s="16"/>
      <c r="BQ57" s="16"/>
      <c r="BR57" s="16"/>
      <c r="BS57" s="14"/>
      <c r="BT57" s="15"/>
      <c r="BU57" s="23"/>
      <c r="BV57" s="21"/>
      <c r="BW57" s="21"/>
      <c r="BX57" s="16"/>
      <c r="BY57" s="22"/>
      <c r="BZ57" s="16"/>
      <c r="CA57" s="8"/>
      <c r="CB57" s="10"/>
      <c r="CD57" s="10"/>
      <c r="CF57" s="10"/>
      <c r="CH57" s="10"/>
      <c r="CJ57" s="10"/>
      <c r="CL57" s="10"/>
      <c r="CN57" s="10"/>
      <c r="CP57" s="10"/>
      <c r="CR57" s="10"/>
      <c r="CT57" s="10"/>
      <c r="CV57" s="10"/>
      <c r="CX57" s="10"/>
      <c r="CZ57" s="10"/>
      <c r="DB57" s="10"/>
      <c r="DD57" s="10"/>
      <c r="DF57" s="10"/>
      <c r="DH57" s="10"/>
      <c r="DJ57" s="10"/>
      <c r="DL57" s="10"/>
    </row>
    <row r="58" spans="1:116" x14ac:dyDescent="0.2">
      <c r="A58" s="5"/>
      <c r="B58" s="6"/>
      <c r="C58" s="6"/>
      <c r="D58" s="27"/>
      <c r="E58" s="6"/>
      <c r="F58" s="8"/>
      <c r="G58" s="8"/>
      <c r="I58" s="10"/>
      <c r="J58" s="11"/>
      <c r="K58" s="12"/>
      <c r="L58" s="10"/>
      <c r="M58" s="11"/>
      <c r="N58" s="12"/>
      <c r="O58" s="10"/>
      <c r="P58" s="11"/>
      <c r="Q58" s="12"/>
      <c r="R58" s="13"/>
      <c r="S58" s="11"/>
      <c r="T58" s="12"/>
      <c r="U58" s="10"/>
      <c r="V58" s="12"/>
      <c r="W58" s="12"/>
      <c r="X58" s="10"/>
      <c r="Y58" s="12"/>
      <c r="Z58" s="12"/>
      <c r="AA58" s="10"/>
      <c r="AB58" s="12"/>
      <c r="AC58" s="12"/>
      <c r="AD58" s="10"/>
      <c r="AE58" s="12"/>
      <c r="AF58" s="12"/>
      <c r="AG58" s="10"/>
      <c r="AH58" s="12"/>
      <c r="AI58" s="12"/>
      <c r="AJ58" s="13"/>
      <c r="AK58" s="11"/>
      <c r="AL58" s="12"/>
      <c r="AM58" s="10"/>
      <c r="AN58" s="12"/>
      <c r="AO58" s="12"/>
      <c r="AP58" s="10"/>
      <c r="AQ58" s="12"/>
      <c r="AR58" s="12"/>
      <c r="AS58" s="10"/>
      <c r="AT58" s="12"/>
      <c r="AU58" s="12"/>
      <c r="AV58" s="10"/>
      <c r="AW58" s="12"/>
      <c r="AX58" s="12"/>
      <c r="AY58" s="10"/>
      <c r="AZ58" s="12"/>
      <c r="BA58" s="12"/>
      <c r="BB58" s="10"/>
      <c r="BC58" s="12"/>
      <c r="BD58" s="12"/>
      <c r="BE58" s="10"/>
      <c r="BF58" s="12"/>
      <c r="BG58" s="12"/>
      <c r="BH58" s="10"/>
      <c r="BI58" s="12"/>
      <c r="BK58" s="16"/>
      <c r="BL58" s="16"/>
      <c r="BM58" s="16"/>
      <c r="BN58" s="16"/>
      <c r="BO58" s="16"/>
      <c r="BP58" s="16"/>
      <c r="BQ58" s="16"/>
      <c r="BR58" s="16"/>
      <c r="BS58" s="14"/>
      <c r="BT58" s="15"/>
      <c r="BU58" s="23"/>
      <c r="BV58" s="21"/>
      <c r="BW58" s="21"/>
      <c r="BX58" s="16"/>
      <c r="BY58" s="22"/>
      <c r="BZ58" s="16"/>
      <c r="CA58" s="8"/>
      <c r="CB58" s="10"/>
      <c r="CD58" s="10"/>
      <c r="CF58" s="10"/>
      <c r="CH58" s="10"/>
      <c r="CJ58" s="10"/>
      <c r="CL58" s="10"/>
      <c r="CN58" s="10"/>
      <c r="CP58" s="10"/>
      <c r="CR58" s="10"/>
      <c r="CT58" s="10"/>
      <c r="CV58" s="10"/>
      <c r="CX58" s="10"/>
      <c r="CZ58" s="10"/>
      <c r="DB58" s="10"/>
      <c r="DD58" s="10"/>
      <c r="DF58" s="10"/>
      <c r="DH58" s="10"/>
      <c r="DJ58" s="10"/>
      <c r="DL58" s="10"/>
    </row>
    <row r="59" spans="1:116" x14ac:dyDescent="0.2">
      <c r="A59" s="5"/>
      <c r="B59" s="6"/>
      <c r="C59" s="6"/>
      <c r="D59" s="27"/>
      <c r="E59" s="6"/>
      <c r="F59" s="8"/>
      <c r="G59" s="8"/>
      <c r="I59" s="10"/>
      <c r="J59" s="11"/>
      <c r="K59" s="12"/>
      <c r="L59" s="10"/>
      <c r="M59" s="11"/>
      <c r="N59" s="12"/>
      <c r="O59" s="10"/>
      <c r="P59" s="11"/>
      <c r="Q59" s="12"/>
      <c r="R59" s="13"/>
      <c r="S59" s="11"/>
      <c r="T59" s="12"/>
      <c r="U59" s="10"/>
      <c r="V59" s="12"/>
      <c r="W59" s="12"/>
      <c r="X59" s="10"/>
      <c r="Y59" s="12"/>
      <c r="Z59" s="12"/>
      <c r="AA59" s="10"/>
      <c r="AB59" s="12"/>
      <c r="AC59" s="12"/>
      <c r="AD59" s="10"/>
      <c r="AE59" s="12"/>
      <c r="AF59" s="12"/>
      <c r="AG59" s="10"/>
      <c r="AH59" s="12"/>
      <c r="AI59" s="12"/>
      <c r="AJ59" s="13"/>
      <c r="AK59" s="11"/>
      <c r="AL59" s="12"/>
      <c r="AM59" s="10"/>
      <c r="AN59" s="12"/>
      <c r="AO59" s="12"/>
      <c r="AP59" s="10"/>
      <c r="AQ59" s="12"/>
      <c r="AR59" s="12"/>
      <c r="AS59" s="10"/>
      <c r="AT59" s="12"/>
      <c r="AU59" s="12"/>
      <c r="AV59" s="10"/>
      <c r="AW59" s="12"/>
      <c r="AX59" s="12"/>
      <c r="AY59" s="10"/>
      <c r="AZ59" s="12"/>
      <c r="BA59" s="12"/>
      <c r="BB59" s="10"/>
      <c r="BC59" s="12"/>
      <c r="BD59" s="12"/>
      <c r="BE59" s="10"/>
      <c r="BF59" s="12"/>
      <c r="BG59" s="12"/>
      <c r="BH59" s="10"/>
      <c r="BI59" s="12"/>
      <c r="BK59" s="16"/>
      <c r="BL59" s="16"/>
      <c r="BM59" s="16"/>
      <c r="BN59" s="16"/>
      <c r="BO59" s="16"/>
      <c r="BP59" s="16"/>
      <c r="BQ59" s="16"/>
      <c r="BR59" s="16"/>
      <c r="BS59" s="14"/>
      <c r="BT59" s="15"/>
      <c r="BU59" s="23"/>
      <c r="BV59" s="21"/>
      <c r="BW59" s="21"/>
      <c r="BX59" s="16"/>
      <c r="BY59" s="22"/>
      <c r="BZ59" s="16"/>
      <c r="CA59" s="8"/>
      <c r="CB59" s="10"/>
      <c r="CD59" s="10"/>
      <c r="CF59" s="10"/>
      <c r="CH59" s="10"/>
      <c r="CJ59" s="10"/>
      <c r="CL59" s="10"/>
      <c r="CN59" s="10"/>
      <c r="CP59" s="10"/>
      <c r="CR59" s="10"/>
      <c r="CT59" s="10"/>
      <c r="CV59" s="10"/>
      <c r="CX59" s="10"/>
      <c r="CZ59" s="10"/>
      <c r="DB59" s="10"/>
      <c r="DD59" s="10"/>
      <c r="DF59" s="10"/>
      <c r="DH59" s="10"/>
      <c r="DJ59" s="10"/>
      <c r="DL59" s="10"/>
    </row>
    <row r="60" spans="1:116" x14ac:dyDescent="0.2">
      <c r="A60" s="5"/>
      <c r="B60" s="6"/>
      <c r="C60" s="6"/>
      <c r="D60" s="27"/>
      <c r="E60" s="6"/>
      <c r="F60" s="8"/>
      <c r="G60" s="8"/>
      <c r="I60" s="10"/>
      <c r="J60" s="11"/>
      <c r="K60" s="12"/>
      <c r="L60" s="10"/>
      <c r="M60" s="11"/>
      <c r="N60" s="12"/>
      <c r="O60" s="10"/>
      <c r="P60" s="11"/>
      <c r="Q60" s="12"/>
      <c r="R60" s="13"/>
      <c r="S60" s="11"/>
      <c r="T60" s="12"/>
      <c r="U60" s="10"/>
      <c r="V60" s="12"/>
      <c r="W60" s="12"/>
      <c r="X60" s="10"/>
      <c r="Y60" s="12"/>
      <c r="Z60" s="12"/>
      <c r="AA60" s="10"/>
      <c r="AB60" s="12"/>
      <c r="AC60" s="12"/>
      <c r="AD60" s="10"/>
      <c r="AE60" s="12"/>
      <c r="AF60" s="12"/>
      <c r="AG60" s="10"/>
      <c r="AH60" s="12"/>
      <c r="AI60" s="12"/>
      <c r="AJ60" s="13"/>
      <c r="AK60" s="11"/>
      <c r="AL60" s="12"/>
      <c r="AM60" s="10"/>
      <c r="AN60" s="12"/>
      <c r="AO60" s="12"/>
      <c r="AP60" s="10"/>
      <c r="AQ60" s="12"/>
      <c r="AR60" s="12"/>
      <c r="AS60" s="10"/>
      <c r="AT60" s="12"/>
      <c r="AU60" s="12"/>
      <c r="AV60" s="10"/>
      <c r="AW60" s="12"/>
      <c r="AX60" s="12"/>
      <c r="AY60" s="10"/>
      <c r="AZ60" s="12"/>
      <c r="BA60" s="12"/>
      <c r="BB60" s="10"/>
      <c r="BC60" s="12"/>
      <c r="BD60" s="12"/>
      <c r="BE60" s="10"/>
      <c r="BF60" s="12"/>
      <c r="BG60" s="12"/>
      <c r="BH60" s="10"/>
      <c r="BI60" s="12"/>
      <c r="BK60" s="16"/>
      <c r="BL60" s="16"/>
      <c r="BM60" s="16"/>
      <c r="BN60" s="16"/>
      <c r="BO60" s="16"/>
      <c r="BP60" s="16"/>
      <c r="BQ60" s="16"/>
      <c r="BR60" s="16"/>
      <c r="BS60" s="14"/>
      <c r="BT60" s="15"/>
      <c r="BU60" s="23"/>
      <c r="BV60" s="21"/>
      <c r="BW60" s="21"/>
      <c r="BX60" s="16"/>
      <c r="BY60" s="22"/>
      <c r="BZ60" s="16"/>
      <c r="CA60" s="8"/>
      <c r="CB60" s="10"/>
      <c r="CD60" s="10"/>
      <c r="CF60" s="10"/>
      <c r="CH60" s="10"/>
      <c r="CJ60" s="10"/>
      <c r="CL60" s="10"/>
      <c r="CN60" s="10"/>
      <c r="CP60" s="10"/>
      <c r="CR60" s="10"/>
      <c r="CT60" s="10"/>
      <c r="CV60" s="10"/>
      <c r="CX60" s="10"/>
      <c r="CZ60" s="10"/>
      <c r="DB60" s="10"/>
      <c r="DD60" s="10"/>
      <c r="DF60" s="10"/>
      <c r="DH60" s="10"/>
      <c r="DJ60" s="10"/>
      <c r="DL60" s="10"/>
    </row>
    <row r="61" spans="1:116" x14ac:dyDescent="0.2">
      <c r="A61" s="5"/>
      <c r="B61" s="6"/>
      <c r="C61" s="6"/>
      <c r="D61" s="27"/>
      <c r="E61" s="6"/>
      <c r="F61" s="8"/>
      <c r="G61" s="8"/>
      <c r="I61" s="10"/>
      <c r="J61" s="11"/>
      <c r="K61" s="12"/>
      <c r="L61" s="10"/>
      <c r="M61" s="11"/>
      <c r="N61" s="12"/>
      <c r="O61" s="10"/>
      <c r="P61" s="11"/>
      <c r="Q61" s="12"/>
      <c r="R61" s="13"/>
      <c r="S61" s="11"/>
      <c r="T61" s="12"/>
      <c r="U61" s="10"/>
      <c r="V61" s="12"/>
      <c r="W61" s="12"/>
      <c r="X61" s="10"/>
      <c r="Y61" s="12"/>
      <c r="Z61" s="12"/>
      <c r="AA61" s="10"/>
      <c r="AB61" s="12"/>
      <c r="AC61" s="12"/>
      <c r="AD61" s="10"/>
      <c r="AE61" s="12"/>
      <c r="AF61" s="12"/>
      <c r="AG61" s="10"/>
      <c r="AH61" s="12"/>
      <c r="AI61" s="12"/>
      <c r="AJ61" s="13"/>
      <c r="AK61" s="11"/>
      <c r="AL61" s="12"/>
      <c r="AM61" s="10"/>
      <c r="AN61" s="12"/>
      <c r="AO61" s="12"/>
      <c r="AP61" s="10"/>
      <c r="AQ61" s="12"/>
      <c r="AR61" s="12"/>
      <c r="AS61" s="10"/>
      <c r="AT61" s="12"/>
      <c r="AU61" s="12"/>
      <c r="AV61" s="10"/>
      <c r="AW61" s="12"/>
      <c r="AX61" s="12"/>
      <c r="AY61" s="10"/>
      <c r="AZ61" s="12"/>
      <c r="BA61" s="12"/>
      <c r="BB61" s="10"/>
      <c r="BC61" s="12"/>
      <c r="BD61" s="12"/>
      <c r="BE61" s="10"/>
      <c r="BF61" s="12"/>
      <c r="BG61" s="12"/>
      <c r="BH61" s="10"/>
      <c r="BI61" s="12"/>
      <c r="BK61" s="16"/>
      <c r="BL61" s="16"/>
      <c r="BM61" s="16"/>
      <c r="BN61" s="16"/>
      <c r="BO61" s="16"/>
      <c r="BP61" s="16"/>
      <c r="BQ61" s="16"/>
      <c r="BR61" s="16"/>
      <c r="BS61" s="14"/>
      <c r="BT61" s="15"/>
      <c r="BU61" s="23"/>
      <c r="BV61" s="21"/>
      <c r="BW61" s="21"/>
      <c r="BX61" s="16"/>
      <c r="BY61" s="22"/>
      <c r="BZ61" s="16"/>
      <c r="CA61" s="8"/>
      <c r="CB61" s="10"/>
      <c r="CD61" s="10"/>
      <c r="CF61" s="10"/>
      <c r="CH61" s="10"/>
      <c r="CJ61" s="10"/>
      <c r="CL61" s="10"/>
      <c r="CN61" s="10"/>
      <c r="CP61" s="10"/>
      <c r="CR61" s="10"/>
      <c r="CT61" s="10"/>
      <c r="CV61" s="10"/>
      <c r="CX61" s="10"/>
      <c r="CZ61" s="10"/>
      <c r="DB61" s="10"/>
      <c r="DD61" s="10"/>
      <c r="DF61" s="10"/>
      <c r="DH61" s="10"/>
      <c r="DJ61" s="10"/>
      <c r="DL61" s="10"/>
    </row>
    <row r="62" spans="1:116" x14ac:dyDescent="0.2">
      <c r="A62" s="5"/>
      <c r="B62" s="6"/>
      <c r="C62" s="6"/>
      <c r="D62" s="27"/>
      <c r="E62" s="6"/>
      <c r="F62" s="8"/>
      <c r="G62" s="8"/>
      <c r="I62" s="10"/>
      <c r="J62" s="11"/>
      <c r="K62" s="12"/>
      <c r="L62" s="10"/>
      <c r="M62" s="11"/>
      <c r="N62" s="12"/>
      <c r="O62" s="10"/>
      <c r="P62" s="11"/>
      <c r="Q62" s="12"/>
      <c r="R62" s="13"/>
      <c r="S62" s="11"/>
      <c r="T62" s="12"/>
      <c r="U62" s="10"/>
      <c r="V62" s="12"/>
      <c r="W62" s="12"/>
      <c r="X62" s="10"/>
      <c r="Y62" s="12"/>
      <c r="Z62" s="12"/>
      <c r="AA62" s="10"/>
      <c r="AB62" s="12"/>
      <c r="AC62" s="12"/>
      <c r="AD62" s="10"/>
      <c r="AE62" s="12"/>
      <c r="AF62" s="12"/>
      <c r="AG62" s="10"/>
      <c r="AH62" s="12"/>
      <c r="AI62" s="12"/>
      <c r="AJ62" s="13"/>
      <c r="AK62" s="11"/>
      <c r="AL62" s="12"/>
      <c r="AM62" s="10"/>
      <c r="AN62" s="12"/>
      <c r="AO62" s="12"/>
      <c r="AP62" s="10"/>
      <c r="AQ62" s="12"/>
      <c r="AR62" s="12"/>
      <c r="AS62" s="10"/>
      <c r="AT62" s="12"/>
      <c r="AU62" s="12"/>
      <c r="AV62" s="10"/>
      <c r="AW62" s="12"/>
      <c r="AX62" s="12"/>
      <c r="AY62" s="10"/>
      <c r="AZ62" s="12"/>
      <c r="BA62" s="12"/>
      <c r="BB62" s="10"/>
      <c r="BC62" s="12"/>
      <c r="BD62" s="12"/>
      <c r="BE62" s="10"/>
      <c r="BF62" s="12"/>
      <c r="BG62" s="12"/>
      <c r="BH62" s="10"/>
      <c r="BI62" s="12"/>
      <c r="BK62" s="16"/>
      <c r="BL62" s="16"/>
      <c r="BM62" s="16"/>
      <c r="BN62" s="16"/>
      <c r="BO62" s="16"/>
      <c r="BP62" s="16"/>
      <c r="BQ62" s="16"/>
      <c r="BR62" s="16"/>
      <c r="BS62" s="14"/>
      <c r="BT62" s="15"/>
      <c r="BU62" s="23"/>
      <c r="BV62" s="21"/>
      <c r="BW62" s="21"/>
      <c r="BX62" s="16"/>
      <c r="BY62" s="22"/>
      <c r="BZ62" s="16"/>
      <c r="CA62" s="8"/>
      <c r="CB62" s="10"/>
      <c r="CD62" s="10"/>
      <c r="CF62" s="10"/>
      <c r="CH62" s="10"/>
      <c r="CJ62" s="10"/>
      <c r="CL62" s="10"/>
      <c r="CN62" s="10"/>
      <c r="CP62" s="10"/>
      <c r="CR62" s="10"/>
      <c r="CT62" s="10"/>
      <c r="CV62" s="10"/>
      <c r="CX62" s="10"/>
      <c r="CZ62" s="10"/>
      <c r="DB62" s="10"/>
      <c r="DD62" s="10"/>
      <c r="DF62" s="10"/>
      <c r="DH62" s="10"/>
      <c r="DJ62" s="10"/>
      <c r="DL62" s="10"/>
    </row>
    <row r="63" spans="1:116" x14ac:dyDescent="0.2">
      <c r="A63" s="5"/>
      <c r="B63" s="6"/>
      <c r="C63" s="6"/>
      <c r="D63" s="27"/>
      <c r="E63" s="6"/>
      <c r="F63" s="8"/>
      <c r="G63" s="8"/>
      <c r="I63" s="10"/>
      <c r="J63" s="11"/>
      <c r="K63" s="12"/>
      <c r="L63" s="10"/>
      <c r="M63" s="11"/>
      <c r="N63" s="12"/>
      <c r="O63" s="10"/>
      <c r="P63" s="11"/>
      <c r="Q63" s="12"/>
      <c r="R63" s="13"/>
      <c r="S63" s="11"/>
      <c r="T63" s="12"/>
      <c r="U63" s="10"/>
      <c r="V63" s="12"/>
      <c r="W63" s="12"/>
      <c r="X63" s="10"/>
      <c r="Y63" s="12"/>
      <c r="Z63" s="12"/>
      <c r="AA63" s="10"/>
      <c r="AB63" s="12"/>
      <c r="AC63" s="12"/>
      <c r="AD63" s="10"/>
      <c r="AE63" s="12"/>
      <c r="AF63" s="12"/>
      <c r="AG63" s="10"/>
      <c r="AH63" s="12"/>
      <c r="AI63" s="12"/>
      <c r="AJ63" s="13"/>
      <c r="AK63" s="11"/>
      <c r="AL63" s="12"/>
      <c r="AM63" s="10"/>
      <c r="AN63" s="12"/>
      <c r="AO63" s="12"/>
      <c r="AP63" s="10"/>
      <c r="AQ63" s="12"/>
      <c r="AR63" s="12"/>
      <c r="AS63" s="10"/>
      <c r="AT63" s="12"/>
      <c r="AU63" s="12"/>
      <c r="AV63" s="10"/>
      <c r="AW63" s="12"/>
      <c r="AX63" s="12"/>
      <c r="AY63" s="10"/>
      <c r="AZ63" s="12"/>
      <c r="BA63" s="12"/>
      <c r="BB63" s="10"/>
      <c r="BC63" s="12"/>
      <c r="BD63" s="12"/>
      <c r="BE63" s="10"/>
      <c r="BF63" s="12"/>
      <c r="BG63" s="12"/>
      <c r="BH63" s="10"/>
      <c r="BI63" s="12"/>
      <c r="BK63" s="16"/>
      <c r="BL63" s="16"/>
      <c r="BM63" s="16"/>
      <c r="BN63" s="16"/>
      <c r="BO63" s="16"/>
      <c r="BP63" s="16"/>
      <c r="BQ63" s="16"/>
      <c r="BR63" s="16"/>
      <c r="BS63" s="14"/>
      <c r="BT63" s="15"/>
      <c r="BU63" s="23"/>
      <c r="BV63" s="21"/>
      <c r="BW63" s="21"/>
      <c r="BX63" s="16"/>
      <c r="BY63" s="22"/>
      <c r="BZ63" s="16"/>
      <c r="CA63" s="8"/>
      <c r="CB63" s="10"/>
      <c r="CD63" s="10"/>
      <c r="CF63" s="10"/>
      <c r="CH63" s="10"/>
      <c r="CJ63" s="10"/>
      <c r="CL63" s="10"/>
      <c r="CN63" s="10"/>
      <c r="CP63" s="10"/>
      <c r="CR63" s="10"/>
      <c r="CT63" s="10"/>
      <c r="CV63" s="10"/>
      <c r="CX63" s="10"/>
      <c r="CZ63" s="10"/>
      <c r="DB63" s="10"/>
      <c r="DD63" s="10"/>
      <c r="DF63" s="10"/>
      <c r="DH63" s="10"/>
      <c r="DJ63" s="10"/>
      <c r="DL63" s="10"/>
    </row>
    <row r="64" spans="1:116" x14ac:dyDescent="0.2">
      <c r="A64" s="5"/>
      <c r="B64" s="6"/>
      <c r="C64" s="6"/>
      <c r="D64" s="27"/>
      <c r="E64" s="6"/>
      <c r="F64" s="8"/>
      <c r="G64" s="8"/>
      <c r="I64" s="10"/>
      <c r="J64" s="11"/>
      <c r="K64" s="12"/>
      <c r="L64" s="10"/>
      <c r="M64" s="11"/>
      <c r="N64" s="12"/>
      <c r="O64" s="10"/>
      <c r="P64" s="11"/>
      <c r="Q64" s="12"/>
      <c r="R64" s="13"/>
      <c r="S64" s="11"/>
      <c r="T64" s="12"/>
      <c r="U64" s="10"/>
      <c r="V64" s="12"/>
      <c r="W64" s="12"/>
      <c r="X64" s="10"/>
      <c r="Y64" s="12"/>
      <c r="Z64" s="12"/>
      <c r="AA64" s="10"/>
      <c r="AB64" s="12"/>
      <c r="AC64" s="12"/>
      <c r="AD64" s="10"/>
      <c r="AE64" s="12"/>
      <c r="AF64" s="12"/>
      <c r="AG64" s="10"/>
      <c r="AH64" s="12"/>
      <c r="AI64" s="12"/>
      <c r="AJ64" s="13"/>
      <c r="AK64" s="11"/>
      <c r="AL64" s="12"/>
      <c r="AM64" s="10"/>
      <c r="AN64" s="12"/>
      <c r="AO64" s="12"/>
      <c r="AP64" s="10"/>
      <c r="AQ64" s="12"/>
      <c r="AR64" s="12"/>
      <c r="AS64" s="10"/>
      <c r="AT64" s="12"/>
      <c r="AU64" s="12"/>
      <c r="AV64" s="10"/>
      <c r="AW64" s="12"/>
      <c r="AX64" s="12"/>
      <c r="AY64" s="10"/>
      <c r="AZ64" s="12"/>
      <c r="BA64" s="12"/>
      <c r="BB64" s="10"/>
      <c r="BC64" s="12"/>
      <c r="BD64" s="12"/>
      <c r="BE64" s="10"/>
      <c r="BF64" s="12"/>
      <c r="BG64" s="12"/>
      <c r="BH64" s="10"/>
      <c r="BI64" s="12"/>
      <c r="BK64" s="16"/>
      <c r="BL64" s="16"/>
      <c r="BM64" s="16"/>
      <c r="BN64" s="16"/>
      <c r="BO64" s="16"/>
      <c r="BP64" s="16"/>
      <c r="BQ64" s="16"/>
      <c r="BR64" s="16"/>
      <c r="BS64" s="14"/>
      <c r="BT64" s="15"/>
      <c r="BU64" s="23"/>
      <c r="BV64" s="21"/>
      <c r="BW64" s="21"/>
      <c r="BX64" s="16"/>
      <c r="BY64" s="22"/>
      <c r="BZ64" s="16"/>
      <c r="CA64" s="8"/>
      <c r="CB64" s="10"/>
      <c r="CD64" s="10"/>
      <c r="CF64" s="10"/>
      <c r="CH64" s="10"/>
      <c r="CJ64" s="10"/>
      <c r="CL64" s="10"/>
      <c r="CN64" s="10"/>
      <c r="CP64" s="10"/>
      <c r="CR64" s="10"/>
      <c r="CT64" s="10"/>
      <c r="CV64" s="10"/>
      <c r="CX64" s="10"/>
      <c r="CZ64" s="10"/>
      <c r="DB64" s="10"/>
      <c r="DD64" s="10"/>
      <c r="DF64" s="10"/>
      <c r="DH64" s="10"/>
      <c r="DJ64" s="10"/>
      <c r="DL64" s="10"/>
    </row>
    <row r="65" spans="1:116" x14ac:dyDescent="0.2">
      <c r="A65" s="5"/>
      <c r="B65" s="6"/>
      <c r="C65" s="6"/>
      <c r="D65" s="27"/>
      <c r="E65" s="6"/>
      <c r="F65" s="8"/>
      <c r="G65" s="8"/>
      <c r="I65" s="10"/>
      <c r="J65" s="11"/>
      <c r="K65" s="12"/>
      <c r="L65" s="10"/>
      <c r="M65" s="11"/>
      <c r="N65" s="12"/>
      <c r="O65" s="10"/>
      <c r="P65" s="11"/>
      <c r="Q65" s="12"/>
      <c r="R65" s="13"/>
      <c r="S65" s="11"/>
      <c r="T65" s="12"/>
      <c r="U65" s="10"/>
      <c r="V65" s="12"/>
      <c r="W65" s="12"/>
      <c r="X65" s="10"/>
      <c r="Y65" s="12"/>
      <c r="Z65" s="12"/>
      <c r="AA65" s="10"/>
      <c r="AB65" s="12"/>
      <c r="AC65" s="12"/>
      <c r="AD65" s="10"/>
      <c r="AE65" s="12"/>
      <c r="AF65" s="12"/>
      <c r="AG65" s="10"/>
      <c r="AH65" s="12"/>
      <c r="AI65" s="12"/>
      <c r="AJ65" s="13"/>
      <c r="AK65" s="11"/>
      <c r="AL65" s="12"/>
      <c r="AM65" s="10"/>
      <c r="AN65" s="12"/>
      <c r="AO65" s="12"/>
      <c r="AP65" s="10"/>
      <c r="AQ65" s="12"/>
      <c r="AR65" s="12"/>
      <c r="AS65" s="10"/>
      <c r="AT65" s="12"/>
      <c r="AU65" s="12"/>
      <c r="AV65" s="10"/>
      <c r="AW65" s="12"/>
      <c r="AX65" s="12"/>
      <c r="AY65" s="10"/>
      <c r="AZ65" s="12"/>
      <c r="BA65" s="12"/>
      <c r="BB65" s="10"/>
      <c r="BC65" s="12"/>
      <c r="BD65" s="12"/>
      <c r="BE65" s="10"/>
      <c r="BF65" s="12"/>
      <c r="BG65" s="12"/>
      <c r="BH65" s="10"/>
      <c r="BI65" s="12"/>
      <c r="BK65" s="16"/>
      <c r="BL65" s="16"/>
      <c r="BM65" s="16"/>
      <c r="BN65" s="16"/>
      <c r="BO65" s="16"/>
      <c r="BP65" s="16"/>
      <c r="BQ65" s="16"/>
      <c r="BR65" s="16"/>
      <c r="BS65" s="14"/>
      <c r="BT65" s="15"/>
      <c r="BU65" s="23"/>
      <c r="BV65" s="21"/>
      <c r="BW65" s="21"/>
      <c r="BX65" s="16"/>
      <c r="BY65" s="22"/>
      <c r="BZ65" s="16"/>
      <c r="CA65" s="8"/>
      <c r="CB65" s="10"/>
      <c r="CD65" s="10"/>
      <c r="CF65" s="10"/>
      <c r="CH65" s="10"/>
      <c r="CJ65" s="10"/>
      <c r="CL65" s="10"/>
      <c r="CN65" s="10"/>
      <c r="CP65" s="10"/>
      <c r="CR65" s="10"/>
      <c r="CT65" s="10"/>
      <c r="CV65" s="10"/>
      <c r="CX65" s="10"/>
      <c r="CZ65" s="10"/>
      <c r="DB65" s="10"/>
      <c r="DD65" s="10"/>
      <c r="DF65" s="10"/>
      <c r="DH65" s="10"/>
      <c r="DJ65" s="10"/>
      <c r="DL65" s="10"/>
    </row>
    <row r="66" spans="1:116" x14ac:dyDescent="0.2">
      <c r="A66" s="5"/>
      <c r="B66" s="6"/>
      <c r="C66" s="6"/>
      <c r="D66" s="27"/>
      <c r="E66" s="6"/>
      <c r="F66" s="8"/>
      <c r="G66" s="8"/>
      <c r="I66" s="10"/>
      <c r="J66" s="11"/>
      <c r="K66" s="12"/>
      <c r="L66" s="10"/>
      <c r="M66" s="11"/>
      <c r="N66" s="12"/>
      <c r="O66" s="10"/>
      <c r="P66" s="11"/>
      <c r="Q66" s="12"/>
      <c r="R66" s="13"/>
      <c r="S66" s="11"/>
      <c r="T66" s="12"/>
      <c r="U66" s="10"/>
      <c r="V66" s="12"/>
      <c r="W66" s="12"/>
      <c r="X66" s="10"/>
      <c r="Y66" s="12"/>
      <c r="Z66" s="12"/>
      <c r="AA66" s="10"/>
      <c r="AB66" s="12"/>
      <c r="AC66" s="12"/>
      <c r="AD66" s="10"/>
      <c r="AE66" s="12"/>
      <c r="AF66" s="12"/>
      <c r="AG66" s="10"/>
      <c r="AH66" s="12"/>
      <c r="AI66" s="12"/>
      <c r="AJ66" s="13"/>
      <c r="AK66" s="11"/>
      <c r="AL66" s="12"/>
      <c r="AM66" s="10"/>
      <c r="AN66" s="12"/>
      <c r="AO66" s="12"/>
      <c r="AP66" s="10"/>
      <c r="AQ66" s="12"/>
      <c r="AR66" s="12"/>
      <c r="AS66" s="10"/>
      <c r="AT66" s="12"/>
      <c r="AU66" s="12"/>
      <c r="AV66" s="10"/>
      <c r="AW66" s="12"/>
      <c r="AX66" s="12"/>
      <c r="AY66" s="10"/>
      <c r="AZ66" s="12"/>
      <c r="BA66" s="12"/>
      <c r="BB66" s="10"/>
      <c r="BC66" s="12"/>
      <c r="BD66" s="12"/>
      <c r="BE66" s="10"/>
      <c r="BF66" s="12"/>
      <c r="BG66" s="12"/>
      <c r="BH66" s="10"/>
      <c r="BI66" s="12"/>
      <c r="BK66" s="16"/>
      <c r="BL66" s="16"/>
      <c r="BM66" s="16"/>
      <c r="BN66" s="16"/>
      <c r="BO66" s="16"/>
      <c r="BP66" s="16"/>
      <c r="BQ66" s="16"/>
      <c r="BR66" s="16"/>
      <c r="BS66" s="14"/>
      <c r="BT66" s="15"/>
      <c r="BU66" s="23"/>
      <c r="BV66" s="21"/>
      <c r="BW66" s="21"/>
      <c r="BX66" s="16"/>
      <c r="BY66" s="22"/>
      <c r="BZ66" s="16"/>
      <c r="CA66" s="8"/>
      <c r="CB66" s="10"/>
      <c r="CD66" s="10"/>
      <c r="CF66" s="10"/>
      <c r="CH66" s="10"/>
      <c r="CJ66" s="10"/>
      <c r="CL66" s="10"/>
      <c r="CN66" s="10"/>
      <c r="CP66" s="10"/>
      <c r="CR66" s="10"/>
      <c r="CT66" s="10"/>
      <c r="CV66" s="10"/>
      <c r="CX66" s="10"/>
      <c r="CZ66" s="10"/>
      <c r="DB66" s="10"/>
      <c r="DD66" s="10"/>
      <c r="DF66" s="10"/>
      <c r="DH66" s="10"/>
      <c r="DJ66" s="10"/>
      <c r="DL66" s="10"/>
    </row>
    <row r="67" spans="1:116" x14ac:dyDescent="0.2">
      <c r="A67" s="5"/>
      <c r="B67" s="6"/>
      <c r="C67" s="6"/>
      <c r="D67" s="27"/>
      <c r="E67" s="6"/>
      <c r="F67" s="8"/>
      <c r="G67" s="8"/>
      <c r="I67" s="10"/>
      <c r="J67" s="11"/>
      <c r="K67" s="12"/>
      <c r="L67" s="10"/>
      <c r="M67" s="11"/>
      <c r="N67" s="12"/>
      <c r="O67" s="10"/>
      <c r="P67" s="11"/>
      <c r="Q67" s="12"/>
      <c r="R67" s="13"/>
      <c r="S67" s="11"/>
      <c r="T67" s="12"/>
      <c r="U67" s="10"/>
      <c r="V67" s="12"/>
      <c r="W67" s="12"/>
      <c r="X67" s="10"/>
      <c r="Y67" s="12"/>
      <c r="Z67" s="12"/>
      <c r="AA67" s="10"/>
      <c r="AB67" s="12"/>
      <c r="AC67" s="12"/>
      <c r="AD67" s="10"/>
      <c r="AE67" s="12"/>
      <c r="AF67" s="12"/>
      <c r="AG67" s="10"/>
      <c r="AH67" s="12"/>
      <c r="AI67" s="12"/>
      <c r="AJ67" s="13"/>
      <c r="AK67" s="11"/>
      <c r="AL67" s="12"/>
      <c r="AM67" s="10"/>
      <c r="AN67" s="12"/>
      <c r="AO67" s="12"/>
      <c r="AP67" s="10"/>
      <c r="AQ67" s="12"/>
      <c r="AR67" s="12"/>
      <c r="AS67" s="10"/>
      <c r="AT67" s="12"/>
      <c r="AU67" s="12"/>
      <c r="AV67" s="10"/>
      <c r="AW67" s="12"/>
      <c r="AX67" s="12"/>
      <c r="AY67" s="10"/>
      <c r="AZ67" s="12"/>
      <c r="BA67" s="12"/>
      <c r="BB67" s="10"/>
      <c r="BC67" s="12"/>
      <c r="BD67" s="12"/>
      <c r="BE67" s="10"/>
      <c r="BF67" s="12"/>
      <c r="BG67" s="12"/>
      <c r="BH67" s="10"/>
      <c r="BI67" s="12"/>
      <c r="BK67" s="16"/>
      <c r="BL67" s="16"/>
      <c r="BM67" s="16"/>
      <c r="BN67" s="16"/>
      <c r="BO67" s="16"/>
      <c r="BP67" s="16"/>
      <c r="BQ67" s="16"/>
      <c r="BR67" s="16"/>
      <c r="BS67" s="14"/>
      <c r="BT67" s="15"/>
      <c r="BU67" s="23"/>
      <c r="BV67" s="21"/>
      <c r="BW67" s="21"/>
      <c r="BX67" s="16"/>
      <c r="BY67" s="22"/>
      <c r="BZ67" s="16"/>
      <c r="CA67" s="8"/>
      <c r="CB67" s="10"/>
      <c r="CD67" s="10"/>
      <c r="CF67" s="10"/>
      <c r="CH67" s="10"/>
      <c r="CJ67" s="10"/>
      <c r="CL67" s="10"/>
      <c r="CN67" s="10"/>
      <c r="CP67" s="10"/>
      <c r="CR67" s="10"/>
      <c r="CT67" s="10"/>
      <c r="CV67" s="10"/>
      <c r="CX67" s="10"/>
      <c r="CZ67" s="10"/>
      <c r="DB67" s="10"/>
      <c r="DD67" s="10"/>
      <c r="DF67" s="10"/>
      <c r="DH67" s="10"/>
      <c r="DJ67" s="10"/>
      <c r="DL67" s="10"/>
    </row>
    <row r="68" spans="1:116" x14ac:dyDescent="0.2">
      <c r="A68" s="5"/>
      <c r="B68" s="6"/>
      <c r="C68" s="6"/>
      <c r="D68" s="27"/>
      <c r="E68" s="6"/>
      <c r="F68" s="8"/>
      <c r="G68" s="8"/>
      <c r="I68" s="10"/>
      <c r="J68" s="11"/>
      <c r="K68" s="12"/>
      <c r="L68" s="10"/>
      <c r="M68" s="11"/>
      <c r="N68" s="12"/>
      <c r="O68" s="10"/>
      <c r="P68" s="11"/>
      <c r="Q68" s="12"/>
      <c r="R68" s="13"/>
      <c r="S68" s="11"/>
      <c r="T68" s="12"/>
      <c r="U68" s="10"/>
      <c r="V68" s="12"/>
      <c r="W68" s="12"/>
      <c r="X68" s="10"/>
      <c r="Y68" s="12"/>
      <c r="Z68" s="12"/>
      <c r="AA68" s="10"/>
      <c r="AB68" s="12"/>
      <c r="AC68" s="12"/>
      <c r="AD68" s="10"/>
      <c r="AE68" s="12"/>
      <c r="AF68" s="12"/>
      <c r="AG68" s="10"/>
      <c r="AH68" s="12"/>
      <c r="AI68" s="12"/>
      <c r="AJ68" s="13"/>
      <c r="AK68" s="11"/>
      <c r="AL68" s="12"/>
      <c r="AM68" s="10"/>
      <c r="AN68" s="12"/>
      <c r="AO68" s="12"/>
      <c r="AP68" s="10"/>
      <c r="AQ68" s="12"/>
      <c r="AR68" s="12"/>
      <c r="AS68" s="10"/>
      <c r="AT68" s="12"/>
      <c r="AU68" s="12"/>
      <c r="AV68" s="10"/>
      <c r="AW68" s="12"/>
      <c r="AX68" s="12"/>
      <c r="AY68" s="10"/>
      <c r="AZ68" s="12"/>
      <c r="BA68" s="12"/>
      <c r="BB68" s="10"/>
      <c r="BC68" s="12"/>
      <c r="BD68" s="12"/>
      <c r="BE68" s="10"/>
      <c r="BF68" s="12"/>
      <c r="BG68" s="12"/>
      <c r="BH68" s="10"/>
      <c r="BI68" s="12"/>
      <c r="BK68" s="16"/>
      <c r="BL68" s="16"/>
      <c r="BM68" s="16"/>
      <c r="BN68" s="16"/>
      <c r="BO68" s="16"/>
      <c r="BP68" s="16"/>
      <c r="BQ68" s="16"/>
      <c r="BR68" s="16"/>
      <c r="BS68" s="14"/>
      <c r="BT68" s="15"/>
      <c r="BU68" s="23"/>
      <c r="BV68" s="21"/>
      <c r="BW68" s="21"/>
      <c r="BX68" s="16"/>
      <c r="BY68" s="22"/>
      <c r="BZ68" s="16"/>
      <c r="CA68" s="8"/>
      <c r="CB68" s="10"/>
      <c r="CD68" s="10"/>
      <c r="CF68" s="10"/>
      <c r="CH68" s="10"/>
      <c r="CJ68" s="10"/>
      <c r="CL68" s="10"/>
      <c r="CN68" s="10"/>
      <c r="CP68" s="10"/>
      <c r="CR68" s="10"/>
      <c r="CT68" s="10"/>
      <c r="CV68" s="10"/>
      <c r="CX68" s="10"/>
      <c r="CZ68" s="10"/>
      <c r="DB68" s="10"/>
      <c r="DD68" s="10"/>
      <c r="DF68" s="10"/>
      <c r="DH68" s="10"/>
      <c r="DJ68" s="10"/>
      <c r="DL68" s="10"/>
    </row>
    <row r="69" spans="1:116" x14ac:dyDescent="0.2">
      <c r="A69" s="5"/>
      <c r="B69" s="6"/>
      <c r="C69" s="6"/>
      <c r="D69" s="27"/>
      <c r="E69" s="6"/>
      <c r="F69" s="8"/>
      <c r="G69" s="8"/>
      <c r="I69" s="10"/>
      <c r="J69" s="11"/>
      <c r="K69" s="12"/>
      <c r="L69" s="10"/>
      <c r="M69" s="11"/>
      <c r="N69" s="12"/>
      <c r="O69" s="10"/>
      <c r="P69" s="11"/>
      <c r="Q69" s="12"/>
      <c r="R69" s="13"/>
      <c r="S69" s="11"/>
      <c r="T69" s="12"/>
      <c r="U69" s="10"/>
      <c r="V69" s="12"/>
      <c r="W69" s="12"/>
      <c r="X69" s="10"/>
      <c r="Y69" s="12"/>
      <c r="Z69" s="12"/>
      <c r="AA69" s="10"/>
      <c r="AB69" s="12"/>
      <c r="AC69" s="12"/>
      <c r="AD69" s="10"/>
      <c r="AE69" s="12"/>
      <c r="AF69" s="12"/>
      <c r="AG69" s="10"/>
      <c r="AH69" s="12"/>
      <c r="AI69" s="12"/>
      <c r="AJ69" s="13"/>
      <c r="AK69" s="11"/>
      <c r="AL69" s="12"/>
      <c r="AM69" s="10"/>
      <c r="AN69" s="12"/>
      <c r="AO69" s="12"/>
      <c r="AP69" s="10"/>
      <c r="AQ69" s="12"/>
      <c r="AR69" s="12"/>
      <c r="AS69" s="10"/>
      <c r="AT69" s="12"/>
      <c r="AU69" s="12"/>
      <c r="AV69" s="10"/>
      <c r="AW69" s="12"/>
      <c r="AX69" s="12"/>
      <c r="AY69" s="10"/>
      <c r="AZ69" s="12"/>
      <c r="BA69" s="12"/>
      <c r="BB69" s="10"/>
      <c r="BC69" s="12"/>
      <c r="BD69" s="12"/>
      <c r="BE69" s="10"/>
      <c r="BF69" s="12"/>
      <c r="BG69" s="12"/>
      <c r="BH69" s="10"/>
      <c r="BI69" s="12"/>
      <c r="BK69" s="16"/>
      <c r="BL69" s="16"/>
      <c r="BM69" s="16"/>
      <c r="BN69" s="16"/>
      <c r="BO69" s="16"/>
      <c r="BP69" s="16"/>
      <c r="BQ69" s="16"/>
      <c r="BR69" s="16"/>
      <c r="BS69" s="14"/>
      <c r="BT69" s="15"/>
      <c r="BU69" s="23"/>
      <c r="BV69" s="21"/>
      <c r="BW69" s="21"/>
      <c r="BX69" s="16"/>
      <c r="BY69" s="22"/>
      <c r="BZ69" s="16"/>
      <c r="CA69" s="8"/>
      <c r="CB69" s="10"/>
      <c r="CD69" s="10"/>
      <c r="CF69" s="10"/>
      <c r="CH69" s="10"/>
      <c r="CJ69" s="10"/>
      <c r="CL69" s="10"/>
      <c r="CN69" s="10"/>
      <c r="CP69" s="10"/>
      <c r="CR69" s="10"/>
      <c r="CT69" s="10"/>
      <c r="CV69" s="10"/>
      <c r="CX69" s="10"/>
      <c r="CZ69" s="10"/>
      <c r="DB69" s="10"/>
      <c r="DD69" s="10"/>
      <c r="DF69" s="10"/>
      <c r="DH69" s="10"/>
      <c r="DJ69" s="10"/>
      <c r="DL69" s="10"/>
    </row>
    <row r="70" spans="1:116" x14ac:dyDescent="0.2">
      <c r="A70" s="5"/>
      <c r="B70" s="6"/>
      <c r="C70" s="6"/>
      <c r="D70" s="27"/>
      <c r="E70" s="6"/>
      <c r="F70" s="8"/>
      <c r="G70" s="8"/>
      <c r="I70" s="10"/>
      <c r="J70" s="11"/>
      <c r="K70" s="12"/>
      <c r="L70" s="10"/>
      <c r="M70" s="11"/>
      <c r="N70" s="12"/>
      <c r="O70" s="10"/>
      <c r="P70" s="11"/>
      <c r="Q70" s="12"/>
      <c r="R70" s="13"/>
      <c r="S70" s="11"/>
      <c r="T70" s="12"/>
      <c r="U70" s="10"/>
      <c r="V70" s="12"/>
      <c r="W70" s="12"/>
      <c r="X70" s="10"/>
      <c r="Y70" s="12"/>
      <c r="Z70" s="12"/>
      <c r="AA70" s="10"/>
      <c r="AB70" s="12"/>
      <c r="AC70" s="12"/>
      <c r="AD70" s="10"/>
      <c r="AE70" s="12"/>
      <c r="AF70" s="12"/>
      <c r="AG70" s="10"/>
      <c r="AH70" s="12"/>
      <c r="AI70" s="12"/>
      <c r="AJ70" s="13"/>
      <c r="AK70" s="11"/>
      <c r="AL70" s="12"/>
      <c r="AM70" s="10"/>
      <c r="AN70" s="12"/>
      <c r="AO70" s="12"/>
      <c r="AP70" s="10"/>
      <c r="AQ70" s="12"/>
      <c r="AR70" s="12"/>
      <c r="AS70" s="10"/>
      <c r="AT70" s="12"/>
      <c r="AU70" s="12"/>
      <c r="AV70" s="10"/>
      <c r="AW70" s="12"/>
      <c r="AX70" s="12"/>
      <c r="AY70" s="10"/>
      <c r="AZ70" s="12"/>
      <c r="BA70" s="12"/>
      <c r="BB70" s="10"/>
      <c r="BC70" s="12"/>
      <c r="BD70" s="12"/>
      <c r="BE70" s="10"/>
      <c r="BF70" s="12"/>
      <c r="BG70" s="12"/>
      <c r="BH70" s="10"/>
      <c r="BI70" s="12"/>
      <c r="BK70" s="16"/>
      <c r="BL70" s="16"/>
      <c r="BM70" s="16"/>
      <c r="BN70" s="16"/>
      <c r="BO70" s="16"/>
      <c r="BP70" s="16"/>
      <c r="BQ70" s="16"/>
      <c r="BR70" s="16"/>
      <c r="BS70" s="14"/>
      <c r="BT70" s="15"/>
      <c r="BU70" s="23"/>
      <c r="BV70" s="21"/>
      <c r="BW70" s="21"/>
      <c r="BX70" s="16"/>
      <c r="BY70" s="22"/>
      <c r="BZ70" s="16"/>
      <c r="CA70" s="8"/>
      <c r="CB70" s="10"/>
      <c r="CD70" s="10"/>
      <c r="CF70" s="10"/>
      <c r="CH70" s="10"/>
      <c r="CJ70" s="10"/>
      <c r="CL70" s="10"/>
      <c r="CN70" s="10"/>
      <c r="CP70" s="10"/>
      <c r="CR70" s="10"/>
      <c r="CT70" s="10"/>
      <c r="CV70" s="10"/>
      <c r="CX70" s="10"/>
      <c r="CZ70" s="10"/>
      <c r="DB70" s="10"/>
      <c r="DD70" s="10"/>
      <c r="DF70" s="10"/>
      <c r="DH70" s="10"/>
      <c r="DJ70" s="10"/>
      <c r="DL70" s="10"/>
    </row>
    <row r="71" spans="1:116" x14ac:dyDescent="0.2">
      <c r="A71" s="5"/>
      <c r="B71" s="6"/>
      <c r="C71" s="6"/>
      <c r="D71" s="27"/>
      <c r="E71" s="6"/>
      <c r="F71" s="8"/>
      <c r="G71" s="8"/>
      <c r="I71" s="10"/>
      <c r="J71" s="11"/>
      <c r="K71" s="12"/>
      <c r="L71" s="10"/>
      <c r="M71" s="11"/>
      <c r="N71" s="12"/>
      <c r="O71" s="10"/>
      <c r="P71" s="11"/>
      <c r="Q71" s="12"/>
      <c r="R71" s="13"/>
      <c r="S71" s="11"/>
      <c r="T71" s="12"/>
      <c r="U71" s="10"/>
      <c r="V71" s="12"/>
      <c r="W71" s="12"/>
      <c r="X71" s="10"/>
      <c r="Y71" s="12"/>
      <c r="Z71" s="12"/>
      <c r="AA71" s="10"/>
      <c r="AB71" s="12"/>
      <c r="AC71" s="12"/>
      <c r="AD71" s="10"/>
      <c r="AE71" s="12"/>
      <c r="AF71" s="12"/>
      <c r="AG71" s="10"/>
      <c r="AH71" s="12"/>
      <c r="AI71" s="12"/>
      <c r="AJ71" s="13"/>
      <c r="AK71" s="11"/>
      <c r="AL71" s="12"/>
      <c r="AM71" s="10"/>
      <c r="AN71" s="12"/>
      <c r="AO71" s="12"/>
      <c r="AP71" s="10"/>
      <c r="AQ71" s="12"/>
      <c r="AR71" s="12"/>
      <c r="AS71" s="10"/>
      <c r="AT71" s="12"/>
      <c r="AU71" s="12"/>
      <c r="AV71" s="10"/>
      <c r="AW71" s="12"/>
      <c r="AX71" s="12"/>
      <c r="AY71" s="10"/>
      <c r="AZ71" s="12"/>
      <c r="BA71" s="12"/>
      <c r="BB71" s="10"/>
      <c r="BC71" s="12"/>
      <c r="BD71" s="12"/>
      <c r="BE71" s="10"/>
      <c r="BF71" s="12"/>
      <c r="BG71" s="12"/>
      <c r="BH71" s="10"/>
      <c r="BI71" s="12"/>
      <c r="BK71" s="16"/>
      <c r="BL71" s="16"/>
      <c r="BM71" s="16"/>
      <c r="BN71" s="16"/>
      <c r="BO71" s="16"/>
      <c r="BP71" s="16"/>
      <c r="BQ71" s="16"/>
      <c r="BR71" s="16"/>
      <c r="BS71" s="14"/>
      <c r="BT71" s="15"/>
      <c r="BU71" s="23"/>
      <c r="BV71" s="21"/>
      <c r="BW71" s="21"/>
      <c r="BX71" s="16"/>
      <c r="BY71" s="22"/>
      <c r="BZ71" s="16"/>
      <c r="CA71" s="8"/>
      <c r="CB71" s="10"/>
      <c r="CD71" s="10"/>
      <c r="CF71" s="10"/>
      <c r="CH71" s="10"/>
      <c r="CJ71" s="10"/>
      <c r="CL71" s="10"/>
      <c r="CN71" s="10"/>
      <c r="CP71" s="10"/>
      <c r="CR71" s="10"/>
      <c r="CT71" s="10"/>
      <c r="CV71" s="10"/>
      <c r="CX71" s="10"/>
      <c r="CZ71" s="10"/>
      <c r="DB71" s="10"/>
      <c r="DD71" s="10"/>
      <c r="DF71" s="10"/>
      <c r="DH71" s="10"/>
      <c r="DJ71" s="10"/>
      <c r="DL71" s="10"/>
    </row>
    <row r="72" spans="1:116" x14ac:dyDescent="0.2">
      <c r="A72" s="5"/>
      <c r="B72" s="6"/>
      <c r="C72" s="6"/>
      <c r="D72" s="27"/>
      <c r="E72" s="6"/>
      <c r="F72" s="8"/>
      <c r="G72" s="8"/>
      <c r="I72" s="10"/>
      <c r="J72" s="11"/>
      <c r="K72" s="12"/>
      <c r="L72" s="10"/>
      <c r="M72" s="11"/>
      <c r="N72" s="12"/>
      <c r="O72" s="10"/>
      <c r="P72" s="11"/>
      <c r="Q72" s="12"/>
      <c r="R72" s="13"/>
      <c r="S72" s="11"/>
      <c r="T72" s="12"/>
      <c r="U72" s="10"/>
      <c r="V72" s="12"/>
      <c r="W72" s="12"/>
      <c r="X72" s="10"/>
      <c r="Y72" s="12"/>
      <c r="Z72" s="12"/>
      <c r="AA72" s="10"/>
      <c r="AB72" s="12"/>
      <c r="AC72" s="12"/>
      <c r="AD72" s="10"/>
      <c r="AE72" s="12"/>
      <c r="AF72" s="12"/>
      <c r="AG72" s="10"/>
      <c r="AH72" s="12"/>
      <c r="AI72" s="12"/>
      <c r="AJ72" s="13"/>
      <c r="AK72" s="11"/>
      <c r="AL72" s="12"/>
      <c r="AM72" s="10"/>
      <c r="AN72" s="12"/>
      <c r="AO72" s="12"/>
      <c r="AP72" s="10"/>
      <c r="AQ72" s="12"/>
      <c r="AR72" s="12"/>
      <c r="AS72" s="10"/>
      <c r="AT72" s="12"/>
      <c r="AU72" s="12"/>
      <c r="AV72" s="10"/>
      <c r="AW72" s="12"/>
      <c r="AX72" s="12"/>
      <c r="AY72" s="10"/>
      <c r="AZ72" s="12"/>
      <c r="BA72" s="12"/>
      <c r="BB72" s="10"/>
      <c r="BC72" s="12"/>
      <c r="BD72" s="12"/>
      <c r="BE72" s="10"/>
      <c r="BF72" s="12"/>
      <c r="BG72" s="12"/>
      <c r="BH72" s="10"/>
      <c r="BI72" s="12"/>
      <c r="BK72" s="16"/>
      <c r="BL72" s="16"/>
      <c r="BM72" s="16"/>
      <c r="BN72" s="16"/>
      <c r="BO72" s="16"/>
      <c r="BP72" s="16"/>
      <c r="BQ72" s="16"/>
      <c r="BR72" s="16"/>
      <c r="BS72" s="14"/>
      <c r="BT72" s="15"/>
      <c r="BU72" s="23"/>
      <c r="BV72" s="21"/>
      <c r="BW72" s="21"/>
      <c r="BX72" s="16"/>
      <c r="BY72" s="22"/>
      <c r="BZ72" s="16"/>
      <c r="CA72" s="8"/>
      <c r="CB72" s="10"/>
      <c r="CD72" s="10"/>
      <c r="CF72" s="10"/>
      <c r="CH72" s="10"/>
      <c r="CJ72" s="10"/>
      <c r="CL72" s="10"/>
      <c r="CN72" s="10"/>
      <c r="CP72" s="10"/>
      <c r="CR72" s="10"/>
      <c r="CT72" s="10"/>
      <c r="CV72" s="10"/>
      <c r="CX72" s="10"/>
      <c r="CZ72" s="10"/>
      <c r="DB72" s="10"/>
      <c r="DD72" s="10"/>
      <c r="DF72" s="10"/>
      <c r="DH72" s="10"/>
      <c r="DJ72" s="10"/>
      <c r="DL72" s="10"/>
    </row>
    <row r="73" spans="1:116" x14ac:dyDescent="0.2">
      <c r="A73" s="5"/>
      <c r="B73" s="6"/>
      <c r="C73" s="6"/>
      <c r="D73" s="27"/>
      <c r="E73" s="6"/>
      <c r="F73" s="8"/>
      <c r="G73" s="8"/>
      <c r="I73" s="10"/>
      <c r="J73" s="11"/>
      <c r="K73" s="12"/>
      <c r="L73" s="10"/>
      <c r="M73" s="11"/>
      <c r="N73" s="12"/>
      <c r="O73" s="10"/>
      <c r="P73" s="11"/>
      <c r="Q73" s="12"/>
      <c r="R73" s="13"/>
      <c r="S73" s="11"/>
      <c r="T73" s="12"/>
      <c r="U73" s="10"/>
      <c r="V73" s="12"/>
      <c r="W73" s="12"/>
      <c r="X73" s="10"/>
      <c r="Y73" s="12"/>
      <c r="Z73" s="12"/>
      <c r="AA73" s="10"/>
      <c r="AB73" s="12"/>
      <c r="AC73" s="12"/>
      <c r="AD73" s="10"/>
      <c r="AE73" s="12"/>
      <c r="AF73" s="12"/>
      <c r="AG73" s="10"/>
      <c r="AH73" s="12"/>
      <c r="AI73" s="12"/>
      <c r="AJ73" s="13"/>
      <c r="AK73" s="11"/>
      <c r="AL73" s="12"/>
      <c r="AM73" s="10"/>
      <c r="AN73" s="12"/>
      <c r="AO73" s="12"/>
      <c r="AP73" s="10"/>
      <c r="AQ73" s="12"/>
      <c r="AR73" s="12"/>
      <c r="AS73" s="10"/>
      <c r="AT73" s="12"/>
      <c r="AU73" s="12"/>
      <c r="AV73" s="10"/>
      <c r="AW73" s="12"/>
      <c r="AX73" s="12"/>
      <c r="AY73" s="10"/>
      <c r="AZ73" s="12"/>
      <c r="BA73" s="12"/>
      <c r="BB73" s="10"/>
      <c r="BC73" s="12"/>
      <c r="BD73" s="12"/>
      <c r="BE73" s="10"/>
      <c r="BF73" s="12"/>
      <c r="BG73" s="12"/>
      <c r="BH73" s="10"/>
      <c r="BI73" s="12"/>
      <c r="BK73" s="16"/>
      <c r="BL73" s="16"/>
      <c r="BM73" s="16"/>
      <c r="BN73" s="16"/>
      <c r="BO73" s="16"/>
      <c r="BP73" s="16"/>
      <c r="BQ73" s="16"/>
      <c r="BR73" s="16"/>
      <c r="BS73" s="14"/>
      <c r="BT73" s="15"/>
      <c r="BU73" s="23"/>
      <c r="BV73" s="21"/>
      <c r="BW73" s="21"/>
      <c r="BX73" s="16"/>
      <c r="BY73" s="22"/>
      <c r="BZ73" s="16"/>
      <c r="CA73" s="8"/>
      <c r="CB73" s="10"/>
      <c r="CD73" s="10"/>
      <c r="CF73" s="10"/>
      <c r="CH73" s="10"/>
      <c r="CJ73" s="10"/>
      <c r="CL73" s="10"/>
      <c r="CN73" s="10"/>
      <c r="CP73" s="10"/>
      <c r="CR73" s="10"/>
      <c r="CT73" s="10"/>
      <c r="CV73" s="10"/>
      <c r="CX73" s="10"/>
      <c r="CZ73" s="10"/>
      <c r="DB73" s="10"/>
      <c r="DD73" s="10"/>
      <c r="DF73" s="10"/>
      <c r="DH73" s="10"/>
      <c r="DJ73" s="10"/>
      <c r="DL73" s="10"/>
    </row>
    <row r="74" spans="1:116" x14ac:dyDescent="0.2">
      <c r="A74" s="5"/>
      <c r="B74" s="6"/>
      <c r="C74" s="6"/>
      <c r="D74" s="27"/>
      <c r="E74" s="6"/>
      <c r="F74" s="8"/>
      <c r="G74" s="8"/>
      <c r="I74" s="10"/>
      <c r="J74" s="11"/>
      <c r="K74" s="12"/>
      <c r="L74" s="10"/>
      <c r="M74" s="11"/>
      <c r="N74" s="12"/>
      <c r="O74" s="10"/>
      <c r="P74" s="11"/>
      <c r="Q74" s="12"/>
      <c r="R74" s="13"/>
      <c r="S74" s="11"/>
      <c r="T74" s="12"/>
      <c r="U74" s="10"/>
      <c r="V74" s="12"/>
      <c r="W74" s="12"/>
      <c r="X74" s="10"/>
      <c r="Y74" s="12"/>
      <c r="Z74" s="12"/>
      <c r="AA74" s="10"/>
      <c r="AB74" s="12"/>
      <c r="AC74" s="12"/>
      <c r="AD74" s="10"/>
      <c r="AE74" s="12"/>
      <c r="AF74" s="12"/>
      <c r="AG74" s="10"/>
      <c r="AH74" s="12"/>
      <c r="AI74" s="12"/>
      <c r="AJ74" s="13"/>
      <c r="AK74" s="11"/>
      <c r="AL74" s="12"/>
      <c r="AM74" s="10"/>
      <c r="AN74" s="12"/>
      <c r="AO74" s="12"/>
      <c r="AP74" s="10"/>
      <c r="AQ74" s="12"/>
      <c r="AR74" s="12"/>
      <c r="AS74" s="10"/>
      <c r="AT74" s="12"/>
      <c r="AU74" s="12"/>
      <c r="AV74" s="10"/>
      <c r="AW74" s="12"/>
      <c r="AX74" s="12"/>
      <c r="AY74" s="10"/>
      <c r="AZ74" s="12"/>
      <c r="BA74" s="12"/>
      <c r="BB74" s="10"/>
      <c r="BC74" s="12"/>
      <c r="BD74" s="12"/>
      <c r="BE74" s="10"/>
      <c r="BF74" s="12"/>
      <c r="BG74" s="12"/>
      <c r="BH74" s="10"/>
      <c r="BI74" s="12"/>
      <c r="BK74" s="16"/>
      <c r="BL74" s="16"/>
      <c r="BM74" s="16"/>
      <c r="BN74" s="16"/>
      <c r="BO74" s="16"/>
      <c r="BP74" s="16"/>
      <c r="BQ74" s="16"/>
      <c r="BR74" s="16"/>
      <c r="BS74" s="14"/>
      <c r="BT74" s="15"/>
      <c r="BU74" s="23"/>
      <c r="BV74" s="21"/>
      <c r="BW74" s="21"/>
      <c r="BX74" s="16"/>
      <c r="BY74" s="22"/>
      <c r="BZ74" s="16"/>
      <c r="CA74" s="8"/>
      <c r="CB74" s="10"/>
      <c r="CD74" s="10"/>
      <c r="CF74" s="10"/>
      <c r="CH74" s="10"/>
      <c r="CJ74" s="10"/>
      <c r="CL74" s="10"/>
      <c r="CN74" s="10"/>
      <c r="CP74" s="10"/>
      <c r="CR74" s="10"/>
      <c r="CT74" s="10"/>
      <c r="CV74" s="10"/>
      <c r="CX74" s="10"/>
      <c r="CZ74" s="10"/>
      <c r="DB74" s="10"/>
      <c r="DD74" s="10"/>
      <c r="DF74" s="10"/>
      <c r="DH74" s="10"/>
      <c r="DJ74" s="10"/>
      <c r="DL74" s="10"/>
    </row>
    <row r="75" spans="1:116" x14ac:dyDescent="0.2">
      <c r="A75" s="5"/>
      <c r="B75" s="6"/>
      <c r="C75" s="6"/>
      <c r="D75" s="27"/>
      <c r="E75" s="6"/>
      <c r="F75" s="8"/>
      <c r="G75" s="8"/>
      <c r="I75" s="10"/>
      <c r="J75" s="11"/>
      <c r="K75" s="12"/>
      <c r="L75" s="10"/>
      <c r="M75" s="11"/>
      <c r="N75" s="12"/>
      <c r="O75" s="10"/>
      <c r="P75" s="11"/>
      <c r="Q75" s="12"/>
      <c r="R75" s="13"/>
      <c r="S75" s="11"/>
      <c r="T75" s="12"/>
      <c r="U75" s="10"/>
      <c r="V75" s="12"/>
      <c r="W75" s="12"/>
      <c r="X75" s="10"/>
      <c r="Y75" s="12"/>
      <c r="Z75" s="12"/>
      <c r="AA75" s="10"/>
      <c r="AB75" s="12"/>
      <c r="AC75" s="12"/>
      <c r="AD75" s="10"/>
      <c r="AE75" s="12"/>
      <c r="AF75" s="12"/>
      <c r="AG75" s="10"/>
      <c r="AH75" s="12"/>
      <c r="AI75" s="12"/>
      <c r="AJ75" s="13"/>
      <c r="AK75" s="11"/>
      <c r="AL75" s="12"/>
      <c r="AM75" s="10"/>
      <c r="AN75" s="12"/>
      <c r="AO75" s="12"/>
      <c r="AP75" s="10"/>
      <c r="AQ75" s="12"/>
      <c r="AR75" s="12"/>
      <c r="AS75" s="10"/>
      <c r="AT75" s="12"/>
      <c r="AU75" s="12"/>
      <c r="AV75" s="10"/>
      <c r="AW75" s="12"/>
      <c r="AX75" s="12"/>
      <c r="AY75" s="10"/>
      <c r="AZ75" s="12"/>
      <c r="BA75" s="12"/>
      <c r="BB75" s="10"/>
      <c r="BC75" s="12"/>
      <c r="BD75" s="12"/>
      <c r="BE75" s="10"/>
      <c r="BF75" s="12"/>
      <c r="BG75" s="12"/>
      <c r="BH75" s="10"/>
      <c r="BI75" s="12"/>
      <c r="BK75" s="16"/>
      <c r="BL75" s="16"/>
      <c r="BM75" s="16"/>
      <c r="BN75" s="16"/>
      <c r="BO75" s="16"/>
      <c r="BP75" s="16"/>
      <c r="BQ75" s="16"/>
      <c r="BR75" s="16"/>
      <c r="BS75" s="14"/>
      <c r="BT75" s="15"/>
      <c r="BU75" s="23"/>
      <c r="BV75" s="21"/>
      <c r="BW75" s="21"/>
      <c r="BX75" s="16"/>
      <c r="BY75" s="22"/>
      <c r="BZ75" s="16"/>
      <c r="CA75" s="8"/>
      <c r="CB75" s="10"/>
      <c r="CD75" s="10"/>
      <c r="CF75" s="10"/>
      <c r="CH75" s="10"/>
      <c r="CJ75" s="10"/>
      <c r="CL75" s="10"/>
      <c r="CN75" s="10"/>
      <c r="CP75" s="10"/>
      <c r="CR75" s="10"/>
      <c r="CT75" s="10"/>
      <c r="CV75" s="10"/>
      <c r="CX75" s="10"/>
      <c r="CZ75" s="10"/>
      <c r="DB75" s="10"/>
      <c r="DD75" s="10"/>
      <c r="DF75" s="10"/>
      <c r="DH75" s="10"/>
      <c r="DJ75" s="10"/>
      <c r="DL75" s="10"/>
    </row>
    <row r="76" spans="1:116" x14ac:dyDescent="0.2">
      <c r="A76" s="5"/>
      <c r="B76" s="6"/>
      <c r="C76" s="6"/>
      <c r="D76" s="27"/>
      <c r="E76" s="6"/>
      <c r="F76" s="8"/>
      <c r="G76" s="8"/>
      <c r="I76" s="10"/>
      <c r="J76" s="11"/>
      <c r="K76" s="12"/>
      <c r="L76" s="10"/>
      <c r="M76" s="11"/>
      <c r="N76" s="12"/>
      <c r="O76" s="10"/>
      <c r="P76" s="11"/>
      <c r="Q76" s="12"/>
      <c r="R76" s="13"/>
      <c r="S76" s="11"/>
      <c r="T76" s="12"/>
      <c r="U76" s="10"/>
      <c r="V76" s="12"/>
      <c r="W76" s="12"/>
      <c r="X76" s="10"/>
      <c r="Y76" s="12"/>
      <c r="Z76" s="12"/>
      <c r="AA76" s="10"/>
      <c r="AB76" s="12"/>
      <c r="AC76" s="12"/>
      <c r="AD76" s="10"/>
      <c r="AE76" s="12"/>
      <c r="AF76" s="12"/>
      <c r="AG76" s="10"/>
      <c r="AH76" s="12"/>
      <c r="AI76" s="12"/>
      <c r="AJ76" s="13"/>
      <c r="AK76" s="11"/>
      <c r="AL76" s="12"/>
      <c r="AM76" s="10"/>
      <c r="AN76" s="12"/>
      <c r="AO76" s="12"/>
      <c r="AP76" s="10"/>
      <c r="AQ76" s="12"/>
      <c r="AR76" s="12"/>
      <c r="AS76" s="10"/>
      <c r="AT76" s="12"/>
      <c r="AU76" s="12"/>
      <c r="AV76" s="10"/>
      <c r="AW76" s="12"/>
      <c r="AX76" s="12"/>
      <c r="AY76" s="10"/>
      <c r="AZ76" s="12"/>
      <c r="BA76" s="12"/>
      <c r="BB76" s="10"/>
      <c r="BC76" s="12"/>
      <c r="BD76" s="12"/>
      <c r="BE76" s="10"/>
      <c r="BF76" s="12"/>
      <c r="BG76" s="12"/>
      <c r="BH76" s="10"/>
      <c r="BI76" s="12"/>
      <c r="BK76" s="16"/>
      <c r="BL76" s="16"/>
      <c r="BM76" s="16"/>
      <c r="BN76" s="16"/>
      <c r="BO76" s="16"/>
      <c r="BP76" s="16"/>
      <c r="BQ76" s="16"/>
      <c r="BR76" s="16"/>
      <c r="BS76" s="14"/>
      <c r="BT76" s="15"/>
      <c r="BU76" s="23"/>
      <c r="BV76" s="21"/>
      <c r="BW76" s="21"/>
      <c r="BX76" s="16"/>
      <c r="BY76" s="22"/>
      <c r="BZ76" s="16"/>
      <c r="CA76" s="8"/>
      <c r="CB76" s="10"/>
      <c r="CD76" s="10"/>
      <c r="CF76" s="10"/>
      <c r="CH76" s="10"/>
      <c r="CJ76" s="10"/>
      <c r="CL76" s="10"/>
      <c r="CN76" s="10"/>
      <c r="CP76" s="10"/>
      <c r="CR76" s="10"/>
      <c r="CT76" s="10"/>
      <c r="CV76" s="10"/>
      <c r="CX76" s="10"/>
      <c r="CZ76" s="10"/>
      <c r="DB76" s="10"/>
      <c r="DD76" s="10"/>
      <c r="DF76" s="10"/>
      <c r="DH76" s="10"/>
      <c r="DJ76" s="10"/>
      <c r="DL76" s="10"/>
    </row>
    <row r="77" spans="1:116" x14ac:dyDescent="0.2">
      <c r="A77" s="5"/>
      <c r="B77" s="6"/>
      <c r="C77" s="6"/>
      <c r="D77" s="27"/>
      <c r="E77" s="6"/>
      <c r="F77" s="8"/>
      <c r="G77" s="8"/>
      <c r="I77" s="10"/>
      <c r="J77" s="11"/>
      <c r="K77" s="12"/>
      <c r="L77" s="10"/>
      <c r="M77" s="11"/>
      <c r="N77" s="12"/>
      <c r="O77" s="10"/>
      <c r="P77" s="11"/>
      <c r="Q77" s="12"/>
      <c r="R77" s="13"/>
      <c r="S77" s="11"/>
      <c r="T77" s="12"/>
      <c r="U77" s="10"/>
      <c r="V77" s="12"/>
      <c r="W77" s="12"/>
      <c r="X77" s="10"/>
      <c r="Y77" s="12"/>
      <c r="Z77" s="12"/>
      <c r="AA77" s="10"/>
      <c r="AB77" s="12"/>
      <c r="AC77" s="12"/>
      <c r="AD77" s="10"/>
      <c r="AE77" s="12"/>
      <c r="AF77" s="12"/>
      <c r="AG77" s="10"/>
      <c r="AH77" s="12"/>
      <c r="AI77" s="12"/>
      <c r="AJ77" s="13"/>
      <c r="AK77" s="11"/>
      <c r="AL77" s="12"/>
      <c r="AM77" s="10"/>
      <c r="AN77" s="12"/>
      <c r="AO77" s="12"/>
      <c r="AP77" s="10"/>
      <c r="AQ77" s="12"/>
      <c r="AR77" s="12"/>
      <c r="AS77" s="10"/>
      <c r="AT77" s="12"/>
      <c r="AU77" s="12"/>
      <c r="AV77" s="10"/>
      <c r="AW77" s="12"/>
      <c r="AX77" s="12"/>
      <c r="AY77" s="10"/>
      <c r="AZ77" s="12"/>
      <c r="BA77" s="12"/>
      <c r="BB77" s="10"/>
      <c r="BC77" s="12"/>
      <c r="BD77" s="12"/>
      <c r="BE77" s="10"/>
      <c r="BF77" s="12"/>
      <c r="BG77" s="12"/>
      <c r="BH77" s="10"/>
      <c r="BI77" s="12"/>
      <c r="BK77" s="16"/>
      <c r="BL77" s="16"/>
      <c r="BM77" s="16"/>
      <c r="BN77" s="16"/>
      <c r="BO77" s="16"/>
      <c r="BP77" s="16"/>
      <c r="BQ77" s="16"/>
      <c r="BR77" s="16"/>
      <c r="BS77" s="14"/>
      <c r="BT77" s="15"/>
      <c r="BU77" s="23"/>
      <c r="BV77" s="21"/>
      <c r="BW77" s="21"/>
      <c r="BX77" s="16"/>
      <c r="BY77" s="22"/>
      <c r="BZ77" s="16"/>
      <c r="CA77" s="8"/>
      <c r="CB77" s="10"/>
      <c r="CD77" s="10"/>
      <c r="CF77" s="10"/>
      <c r="CH77" s="10"/>
      <c r="CJ77" s="10"/>
      <c r="CL77" s="10"/>
      <c r="CN77" s="10"/>
      <c r="CP77" s="10"/>
      <c r="CR77" s="10"/>
      <c r="CT77" s="10"/>
      <c r="CV77" s="10"/>
      <c r="CX77" s="10"/>
      <c r="CZ77" s="10"/>
      <c r="DB77" s="10"/>
      <c r="DD77" s="10"/>
      <c r="DF77" s="10"/>
      <c r="DH77" s="10"/>
      <c r="DJ77" s="10"/>
      <c r="DL77" s="10"/>
    </row>
    <row r="78" spans="1:116" x14ac:dyDescent="0.2">
      <c r="A78" s="5"/>
      <c r="B78" s="6"/>
      <c r="C78" s="6"/>
      <c r="D78" s="27"/>
      <c r="E78" s="6"/>
      <c r="F78" s="8"/>
      <c r="G78" s="8"/>
      <c r="I78" s="10"/>
      <c r="J78" s="11"/>
      <c r="K78" s="12"/>
      <c r="L78" s="10"/>
      <c r="M78" s="11"/>
      <c r="N78" s="12"/>
      <c r="O78" s="10"/>
      <c r="P78" s="11"/>
      <c r="Q78" s="12"/>
      <c r="R78" s="13"/>
      <c r="S78" s="11"/>
      <c r="T78" s="12"/>
      <c r="U78" s="10"/>
      <c r="V78" s="12"/>
      <c r="W78" s="12"/>
      <c r="X78" s="10"/>
      <c r="Y78" s="12"/>
      <c r="Z78" s="12"/>
      <c r="AA78" s="10"/>
      <c r="AB78" s="12"/>
      <c r="AC78" s="12"/>
      <c r="AD78" s="10"/>
      <c r="AE78" s="12"/>
      <c r="AF78" s="12"/>
      <c r="AG78" s="10"/>
      <c r="AH78" s="12"/>
      <c r="AI78" s="12"/>
      <c r="AJ78" s="13"/>
      <c r="AK78" s="11"/>
      <c r="AL78" s="12"/>
      <c r="AM78" s="10"/>
      <c r="AN78" s="12"/>
      <c r="AO78" s="12"/>
      <c r="AP78" s="10"/>
      <c r="AQ78" s="12"/>
      <c r="AR78" s="12"/>
      <c r="AS78" s="10"/>
      <c r="AT78" s="12"/>
      <c r="AU78" s="12"/>
      <c r="AV78" s="10"/>
      <c r="AW78" s="12"/>
      <c r="AX78" s="12"/>
      <c r="AY78" s="10"/>
      <c r="AZ78" s="12"/>
      <c r="BA78" s="12"/>
      <c r="BB78" s="10"/>
      <c r="BC78" s="12"/>
      <c r="BD78" s="12"/>
      <c r="BE78" s="10"/>
      <c r="BF78" s="12"/>
      <c r="BG78" s="12"/>
      <c r="BH78" s="10"/>
      <c r="BI78" s="12"/>
      <c r="BK78" s="16"/>
      <c r="BL78" s="16"/>
      <c r="BM78" s="16"/>
      <c r="BN78" s="16"/>
      <c r="BO78" s="16"/>
      <c r="BP78" s="16"/>
      <c r="BQ78" s="16"/>
      <c r="BR78" s="16"/>
      <c r="BS78" s="14"/>
      <c r="BT78" s="15"/>
      <c r="BU78" s="23"/>
      <c r="BV78" s="21"/>
      <c r="BW78" s="21"/>
      <c r="BX78" s="16"/>
      <c r="BY78" s="22"/>
      <c r="BZ78" s="16"/>
      <c r="CA78" s="8"/>
      <c r="CB78" s="10"/>
      <c r="CD78" s="10"/>
      <c r="CF78" s="10"/>
      <c r="CH78" s="10"/>
      <c r="CJ78" s="10"/>
      <c r="CL78" s="10"/>
      <c r="CN78" s="10"/>
      <c r="CP78" s="10"/>
      <c r="CR78" s="10"/>
      <c r="CT78" s="10"/>
      <c r="CV78" s="10"/>
      <c r="CX78" s="10"/>
      <c r="CZ78" s="10"/>
      <c r="DB78" s="10"/>
      <c r="DD78" s="10"/>
      <c r="DF78" s="10"/>
      <c r="DH78" s="10"/>
      <c r="DJ78" s="10"/>
      <c r="DL78" s="10"/>
    </row>
    <row r="79" spans="1:116" x14ac:dyDescent="0.2">
      <c r="A79" s="5"/>
      <c r="B79" s="6"/>
      <c r="C79" s="6"/>
      <c r="D79" s="27"/>
      <c r="E79" s="6"/>
      <c r="F79" s="8"/>
      <c r="G79" s="8"/>
      <c r="I79" s="10"/>
      <c r="J79" s="11"/>
      <c r="K79" s="12"/>
      <c r="L79" s="10"/>
      <c r="M79" s="11"/>
      <c r="N79" s="12"/>
      <c r="O79" s="10"/>
      <c r="P79" s="11"/>
      <c r="Q79" s="12"/>
      <c r="R79" s="13"/>
      <c r="S79" s="11"/>
      <c r="T79" s="12"/>
      <c r="U79" s="10"/>
      <c r="V79" s="12"/>
      <c r="W79" s="12"/>
      <c r="X79" s="10"/>
      <c r="Y79" s="12"/>
      <c r="Z79" s="12"/>
      <c r="AA79" s="10"/>
      <c r="AB79" s="12"/>
      <c r="AC79" s="12"/>
      <c r="AD79" s="10"/>
      <c r="AE79" s="12"/>
      <c r="AF79" s="12"/>
      <c r="AG79" s="10"/>
      <c r="AH79" s="12"/>
      <c r="AI79" s="12"/>
      <c r="AJ79" s="13"/>
      <c r="AK79" s="11"/>
      <c r="AL79" s="12"/>
      <c r="AM79" s="10"/>
      <c r="AN79" s="12"/>
      <c r="AO79" s="12"/>
      <c r="AP79" s="10"/>
      <c r="AQ79" s="12"/>
      <c r="AR79" s="12"/>
      <c r="AS79" s="10"/>
      <c r="AT79" s="12"/>
      <c r="AU79" s="12"/>
      <c r="AV79" s="10"/>
      <c r="AW79" s="12"/>
      <c r="AX79" s="12"/>
      <c r="AY79" s="10"/>
      <c r="AZ79" s="12"/>
      <c r="BA79" s="12"/>
      <c r="BB79" s="10"/>
      <c r="BC79" s="12"/>
      <c r="BD79" s="12"/>
      <c r="BE79" s="10"/>
      <c r="BF79" s="12"/>
      <c r="BG79" s="12"/>
      <c r="BH79" s="10"/>
      <c r="BI79" s="12"/>
      <c r="BK79" s="16"/>
      <c r="BL79" s="16"/>
      <c r="BM79" s="16"/>
      <c r="BN79" s="16"/>
      <c r="BO79" s="16"/>
      <c r="BP79" s="16"/>
      <c r="BQ79" s="16"/>
      <c r="BR79" s="16"/>
      <c r="BS79" s="14"/>
      <c r="BT79" s="15"/>
      <c r="BU79" s="23"/>
      <c r="BV79" s="21"/>
      <c r="BW79" s="21"/>
      <c r="BX79" s="16"/>
      <c r="BY79" s="22"/>
      <c r="BZ79" s="16"/>
      <c r="CA79" s="8"/>
      <c r="CB79" s="10"/>
      <c r="CD79" s="10"/>
      <c r="CF79" s="10"/>
      <c r="CH79" s="10"/>
      <c r="CJ79" s="10"/>
      <c r="CL79" s="10"/>
      <c r="CN79" s="10"/>
      <c r="CP79" s="10"/>
      <c r="CR79" s="10"/>
      <c r="CT79" s="10"/>
      <c r="CV79" s="10"/>
      <c r="CX79" s="10"/>
      <c r="CZ79" s="10"/>
      <c r="DB79" s="10"/>
      <c r="DD79" s="10"/>
      <c r="DF79" s="10"/>
      <c r="DH79" s="10"/>
      <c r="DJ79" s="10"/>
      <c r="DL79" s="10"/>
    </row>
    <row r="80" spans="1:116" x14ac:dyDescent="0.2">
      <c r="A80" s="5"/>
      <c r="B80" s="6"/>
      <c r="C80" s="6"/>
      <c r="D80" s="27"/>
      <c r="E80" s="6"/>
      <c r="F80" s="8"/>
      <c r="G80" s="8"/>
      <c r="I80" s="10"/>
      <c r="J80" s="11"/>
      <c r="K80" s="12"/>
      <c r="L80" s="10"/>
      <c r="M80" s="11"/>
      <c r="N80" s="12"/>
      <c r="O80" s="10"/>
      <c r="P80" s="11"/>
      <c r="Q80" s="12"/>
      <c r="R80" s="13"/>
      <c r="S80" s="11"/>
      <c r="T80" s="12"/>
      <c r="U80" s="10"/>
      <c r="V80" s="12"/>
      <c r="W80" s="12"/>
      <c r="X80" s="10"/>
      <c r="Y80" s="12"/>
      <c r="Z80" s="12"/>
      <c r="AA80" s="10"/>
      <c r="AB80" s="12"/>
      <c r="AC80" s="12"/>
      <c r="AD80" s="10"/>
      <c r="AE80" s="12"/>
      <c r="AF80" s="12"/>
      <c r="AG80" s="10"/>
      <c r="AH80" s="12"/>
      <c r="AI80" s="12"/>
      <c r="AJ80" s="13"/>
      <c r="AK80" s="11"/>
      <c r="AL80" s="12"/>
      <c r="AM80" s="10"/>
      <c r="AN80" s="12"/>
      <c r="AO80" s="12"/>
      <c r="AP80" s="10"/>
      <c r="AQ80" s="12"/>
      <c r="AR80" s="12"/>
      <c r="AS80" s="10"/>
      <c r="AT80" s="12"/>
      <c r="AU80" s="12"/>
      <c r="AV80" s="10"/>
      <c r="AW80" s="12"/>
      <c r="AX80" s="12"/>
      <c r="AY80" s="10"/>
      <c r="AZ80" s="12"/>
      <c r="BA80" s="12"/>
      <c r="BB80" s="10"/>
      <c r="BC80" s="12"/>
      <c r="BD80" s="12"/>
      <c r="BE80" s="10"/>
      <c r="BF80" s="12"/>
      <c r="BG80" s="12"/>
      <c r="BH80" s="10"/>
      <c r="BI80" s="12"/>
      <c r="BK80" s="16"/>
      <c r="BL80" s="16"/>
      <c r="BM80" s="16"/>
      <c r="BN80" s="16"/>
      <c r="BO80" s="16"/>
      <c r="BP80" s="16"/>
      <c r="BQ80" s="16"/>
      <c r="BR80" s="16"/>
      <c r="BS80" s="14"/>
      <c r="BT80" s="15"/>
      <c r="BU80" s="23"/>
      <c r="BV80" s="21"/>
      <c r="BW80" s="21"/>
      <c r="BX80" s="16"/>
      <c r="BY80" s="22"/>
      <c r="BZ80" s="16"/>
      <c r="CA80" s="8"/>
      <c r="CB80" s="10"/>
      <c r="CD80" s="10"/>
      <c r="CF80" s="10"/>
      <c r="CH80" s="10"/>
      <c r="CJ80" s="10"/>
      <c r="CL80" s="10"/>
      <c r="CN80" s="10"/>
      <c r="CP80" s="10"/>
      <c r="CR80" s="10"/>
      <c r="CT80" s="10"/>
      <c r="CV80" s="10"/>
      <c r="CX80" s="10"/>
      <c r="CZ80" s="10"/>
      <c r="DB80" s="10"/>
      <c r="DD80" s="10"/>
      <c r="DF80" s="10"/>
      <c r="DH80" s="10"/>
      <c r="DJ80" s="10"/>
      <c r="DL80" s="10"/>
    </row>
    <row r="81" spans="1:116" x14ac:dyDescent="0.2">
      <c r="A81" s="5"/>
      <c r="B81" s="6"/>
      <c r="C81" s="6"/>
      <c r="D81" s="27"/>
      <c r="E81" s="6"/>
      <c r="F81" s="8"/>
      <c r="G81" s="8"/>
      <c r="I81" s="10"/>
      <c r="J81" s="11"/>
      <c r="K81" s="12"/>
      <c r="L81" s="10"/>
      <c r="M81" s="11"/>
      <c r="N81" s="12"/>
      <c r="O81" s="10"/>
      <c r="P81" s="11"/>
      <c r="Q81" s="12"/>
      <c r="R81" s="13"/>
      <c r="S81" s="11"/>
      <c r="T81" s="12"/>
      <c r="U81" s="10"/>
      <c r="V81" s="12"/>
      <c r="W81" s="12"/>
      <c r="X81" s="10"/>
      <c r="Y81" s="12"/>
      <c r="Z81" s="12"/>
      <c r="AA81" s="10"/>
      <c r="AB81" s="12"/>
      <c r="AC81" s="12"/>
      <c r="AD81" s="10"/>
      <c r="AE81" s="12"/>
      <c r="AF81" s="12"/>
      <c r="AG81" s="10"/>
      <c r="AH81" s="12"/>
      <c r="AI81" s="12"/>
      <c r="AJ81" s="13"/>
      <c r="AK81" s="11"/>
      <c r="AL81" s="12"/>
      <c r="AM81" s="10"/>
      <c r="AN81" s="12"/>
      <c r="AO81" s="12"/>
      <c r="AP81" s="10"/>
      <c r="AQ81" s="12"/>
      <c r="AR81" s="12"/>
      <c r="AS81" s="10"/>
      <c r="AT81" s="12"/>
      <c r="AU81" s="12"/>
      <c r="AV81" s="10"/>
      <c r="AW81" s="12"/>
      <c r="AX81" s="12"/>
      <c r="AY81" s="10"/>
      <c r="AZ81" s="12"/>
      <c r="BA81" s="12"/>
      <c r="BB81" s="10"/>
      <c r="BC81" s="12"/>
      <c r="BD81" s="12"/>
      <c r="BE81" s="10"/>
      <c r="BF81" s="12"/>
      <c r="BG81" s="12"/>
      <c r="BH81" s="10"/>
      <c r="BI81" s="12"/>
      <c r="BK81" s="16"/>
      <c r="BL81" s="16"/>
      <c r="BM81" s="16"/>
      <c r="BN81" s="16"/>
      <c r="BO81" s="16"/>
      <c r="BP81" s="16"/>
      <c r="BQ81" s="16"/>
      <c r="BR81" s="16"/>
      <c r="BS81" s="14"/>
      <c r="BT81" s="15"/>
      <c r="BU81" s="23"/>
      <c r="BV81" s="21"/>
      <c r="BW81" s="21"/>
      <c r="BX81" s="16"/>
      <c r="BY81" s="22"/>
      <c r="BZ81" s="16"/>
      <c r="CA81" s="8"/>
      <c r="CB81" s="10"/>
      <c r="CD81" s="10"/>
      <c r="CF81" s="10"/>
      <c r="CH81" s="10"/>
      <c r="CJ81" s="10"/>
      <c r="CL81" s="10"/>
      <c r="CN81" s="10"/>
      <c r="CP81" s="10"/>
      <c r="CR81" s="10"/>
      <c r="CT81" s="10"/>
      <c r="CV81" s="10"/>
      <c r="CX81" s="10"/>
      <c r="CZ81" s="10"/>
      <c r="DB81" s="10"/>
      <c r="DD81" s="10"/>
      <c r="DF81" s="10"/>
      <c r="DH81" s="10"/>
      <c r="DJ81" s="10"/>
      <c r="DL81" s="10"/>
    </row>
    <row r="82" spans="1:116" x14ac:dyDescent="0.2">
      <c r="A82" s="5"/>
      <c r="B82" s="6"/>
      <c r="C82" s="6"/>
      <c r="D82" s="27"/>
      <c r="E82" s="6"/>
      <c r="F82" s="8"/>
      <c r="G82" s="8"/>
      <c r="I82" s="10"/>
      <c r="J82" s="11"/>
      <c r="K82" s="12"/>
      <c r="L82" s="10"/>
      <c r="M82" s="11"/>
      <c r="N82" s="12"/>
      <c r="O82" s="10"/>
      <c r="P82" s="11"/>
      <c r="Q82" s="12"/>
      <c r="R82" s="13"/>
      <c r="S82" s="11"/>
      <c r="T82" s="12"/>
      <c r="U82" s="10"/>
      <c r="V82" s="12"/>
      <c r="W82" s="12"/>
      <c r="X82" s="10"/>
      <c r="Y82" s="12"/>
      <c r="Z82" s="12"/>
      <c r="AA82" s="10"/>
      <c r="AB82" s="12"/>
      <c r="AC82" s="12"/>
      <c r="AD82" s="10"/>
      <c r="AE82" s="12"/>
      <c r="AF82" s="12"/>
      <c r="AG82" s="10"/>
      <c r="AH82" s="12"/>
      <c r="AI82" s="12"/>
      <c r="AJ82" s="13"/>
      <c r="AK82" s="11"/>
      <c r="AL82" s="12"/>
      <c r="AM82" s="10"/>
      <c r="AN82" s="12"/>
      <c r="AO82" s="12"/>
      <c r="AP82" s="10"/>
      <c r="AQ82" s="12"/>
      <c r="AR82" s="12"/>
      <c r="AS82" s="10"/>
      <c r="AT82" s="12"/>
      <c r="AU82" s="12"/>
      <c r="AV82" s="10"/>
      <c r="AW82" s="12"/>
      <c r="AX82" s="12"/>
      <c r="AY82" s="10"/>
      <c r="AZ82" s="12"/>
      <c r="BA82" s="12"/>
      <c r="BB82" s="10"/>
      <c r="BC82" s="12"/>
      <c r="BD82" s="12"/>
      <c r="BE82" s="10"/>
      <c r="BF82" s="12"/>
      <c r="BG82" s="12"/>
      <c r="BH82" s="10"/>
      <c r="BI82" s="12"/>
      <c r="BK82" s="16"/>
      <c r="BL82" s="16"/>
      <c r="BM82" s="16"/>
      <c r="BN82" s="16"/>
      <c r="BO82" s="16"/>
      <c r="BP82" s="16"/>
      <c r="BQ82" s="16"/>
      <c r="BR82" s="16"/>
      <c r="BS82" s="14"/>
      <c r="BT82" s="15"/>
      <c r="BU82" s="23"/>
      <c r="BV82" s="21"/>
      <c r="BW82" s="21"/>
      <c r="BX82" s="16"/>
      <c r="BY82" s="22"/>
      <c r="BZ82" s="16"/>
      <c r="CA82" s="8"/>
      <c r="CB82" s="10"/>
      <c r="CD82" s="10"/>
      <c r="CF82" s="10"/>
      <c r="CH82" s="10"/>
      <c r="CJ82" s="10"/>
      <c r="CL82" s="10"/>
      <c r="CN82" s="10"/>
      <c r="CP82" s="10"/>
      <c r="CR82" s="10"/>
      <c r="CT82" s="10"/>
      <c r="CV82" s="10"/>
      <c r="CX82" s="10"/>
      <c r="CZ82" s="10"/>
      <c r="DB82" s="10"/>
      <c r="DD82" s="10"/>
      <c r="DF82" s="10"/>
      <c r="DH82" s="10"/>
      <c r="DJ82" s="10"/>
      <c r="DL82" s="10"/>
    </row>
    <row r="83" spans="1:116" x14ac:dyDescent="0.2">
      <c r="A83" s="5"/>
      <c r="B83" s="6"/>
      <c r="C83" s="6"/>
      <c r="D83" s="27"/>
      <c r="E83" s="6"/>
      <c r="F83" s="8"/>
      <c r="G83" s="8"/>
      <c r="I83" s="10"/>
      <c r="J83" s="11"/>
      <c r="K83" s="12"/>
      <c r="L83" s="10"/>
      <c r="M83" s="11"/>
      <c r="N83" s="12"/>
      <c r="O83" s="10"/>
      <c r="P83" s="11"/>
      <c r="Q83" s="12"/>
      <c r="R83" s="13"/>
      <c r="S83" s="11"/>
      <c r="T83" s="12"/>
      <c r="U83" s="10"/>
      <c r="V83" s="12"/>
      <c r="W83" s="12"/>
      <c r="X83" s="10"/>
      <c r="Y83" s="12"/>
      <c r="Z83" s="12"/>
      <c r="AA83" s="10"/>
      <c r="AB83" s="12"/>
      <c r="AC83" s="12"/>
      <c r="AD83" s="10"/>
      <c r="AE83" s="12"/>
      <c r="AF83" s="12"/>
      <c r="AG83" s="10"/>
      <c r="AH83" s="12"/>
      <c r="AI83" s="12"/>
      <c r="AJ83" s="13"/>
      <c r="AK83" s="11"/>
      <c r="AL83" s="12"/>
      <c r="AM83" s="10"/>
      <c r="AN83" s="12"/>
      <c r="AO83" s="12"/>
      <c r="AP83" s="10"/>
      <c r="AQ83" s="12"/>
      <c r="AR83" s="12"/>
      <c r="AS83" s="10"/>
      <c r="AT83" s="12"/>
      <c r="AU83" s="12"/>
      <c r="AV83" s="10"/>
      <c r="AW83" s="12"/>
      <c r="AX83" s="12"/>
      <c r="AY83" s="10"/>
      <c r="AZ83" s="12"/>
      <c r="BA83" s="12"/>
      <c r="BB83" s="10"/>
      <c r="BC83" s="12"/>
      <c r="BD83" s="12"/>
      <c r="BE83" s="10"/>
      <c r="BF83" s="12"/>
      <c r="BG83" s="12"/>
      <c r="BH83" s="10"/>
      <c r="BI83" s="12"/>
      <c r="BK83" s="16"/>
      <c r="BL83" s="16"/>
      <c r="BM83" s="16"/>
      <c r="BN83" s="16"/>
      <c r="BO83" s="16"/>
      <c r="BP83" s="16"/>
      <c r="BQ83" s="16"/>
      <c r="BR83" s="16"/>
      <c r="BS83" s="14"/>
      <c r="BT83" s="15"/>
      <c r="BU83" s="23"/>
      <c r="BV83" s="21"/>
      <c r="BW83" s="21"/>
      <c r="BX83" s="16"/>
      <c r="BY83" s="22"/>
      <c r="BZ83" s="16"/>
      <c r="CA83" s="8"/>
      <c r="CB83" s="10"/>
      <c r="CD83" s="10"/>
      <c r="CF83" s="10"/>
      <c r="CH83" s="10"/>
      <c r="CJ83" s="10"/>
      <c r="CL83" s="10"/>
      <c r="CN83" s="10"/>
      <c r="CP83" s="10"/>
      <c r="CR83" s="10"/>
      <c r="CT83" s="10"/>
      <c r="CV83" s="10"/>
      <c r="CX83" s="10"/>
      <c r="CZ83" s="10"/>
      <c r="DB83" s="10"/>
      <c r="DD83" s="10"/>
      <c r="DF83" s="10"/>
      <c r="DH83" s="10"/>
      <c r="DJ83" s="10"/>
      <c r="DL83" s="10"/>
    </row>
    <row r="84" spans="1:116" x14ac:dyDescent="0.2">
      <c r="A84" s="5"/>
      <c r="B84" s="6"/>
      <c r="C84" s="6"/>
      <c r="D84" s="27"/>
      <c r="E84" s="6"/>
      <c r="F84" s="8"/>
      <c r="G84" s="8"/>
      <c r="I84" s="10"/>
      <c r="J84" s="11"/>
      <c r="K84" s="12"/>
      <c r="L84" s="10"/>
      <c r="M84" s="11"/>
      <c r="N84" s="12"/>
      <c r="O84" s="10"/>
      <c r="P84" s="11"/>
      <c r="Q84" s="12"/>
      <c r="R84" s="13"/>
      <c r="S84" s="11"/>
      <c r="T84" s="12"/>
      <c r="U84" s="10"/>
      <c r="V84" s="12"/>
      <c r="W84" s="12"/>
      <c r="X84" s="10"/>
      <c r="Y84" s="12"/>
      <c r="Z84" s="12"/>
      <c r="AA84" s="10"/>
      <c r="AB84" s="12"/>
      <c r="AC84" s="12"/>
      <c r="AD84" s="10"/>
      <c r="AE84" s="12"/>
      <c r="AF84" s="12"/>
      <c r="AG84" s="10"/>
      <c r="AH84" s="12"/>
      <c r="AI84" s="12"/>
      <c r="AJ84" s="13"/>
      <c r="AK84" s="11"/>
      <c r="AL84" s="12"/>
      <c r="AM84" s="10"/>
      <c r="AN84" s="12"/>
      <c r="AO84" s="12"/>
      <c r="AP84" s="10"/>
      <c r="AQ84" s="12"/>
      <c r="AR84" s="12"/>
      <c r="AS84" s="10"/>
      <c r="AT84" s="12"/>
      <c r="AU84" s="12"/>
      <c r="AV84" s="10"/>
      <c r="AW84" s="12"/>
      <c r="AX84" s="12"/>
      <c r="AY84" s="10"/>
      <c r="AZ84" s="12"/>
      <c r="BA84" s="12"/>
      <c r="BB84" s="10"/>
      <c r="BC84" s="12"/>
      <c r="BD84" s="12"/>
      <c r="BE84" s="10"/>
      <c r="BF84" s="12"/>
      <c r="BG84" s="12"/>
      <c r="BH84" s="10"/>
      <c r="BI84" s="12"/>
      <c r="BK84" s="16"/>
      <c r="BL84" s="16"/>
      <c r="BM84" s="16"/>
      <c r="BN84" s="16"/>
      <c r="BO84" s="16"/>
      <c r="BP84" s="16"/>
      <c r="BQ84" s="16"/>
      <c r="BR84" s="16"/>
      <c r="BS84" s="14"/>
      <c r="BT84" s="15"/>
      <c r="BU84" s="23"/>
      <c r="BV84" s="21"/>
      <c r="BW84" s="21"/>
      <c r="BX84" s="16"/>
      <c r="BY84" s="22"/>
      <c r="BZ84" s="16"/>
      <c r="CA84" s="8"/>
      <c r="CB84" s="10"/>
      <c r="CD84" s="10"/>
      <c r="CF84" s="10"/>
      <c r="CH84" s="10"/>
      <c r="CJ84" s="10"/>
      <c r="CL84" s="10"/>
      <c r="CN84" s="10"/>
      <c r="CP84" s="10"/>
      <c r="CR84" s="10"/>
      <c r="CT84" s="10"/>
      <c r="CV84" s="10"/>
      <c r="CX84" s="10"/>
      <c r="CZ84" s="10"/>
      <c r="DB84" s="10"/>
      <c r="DD84" s="10"/>
      <c r="DF84" s="10"/>
      <c r="DH84" s="10"/>
      <c r="DJ84" s="10"/>
      <c r="DL84" s="10"/>
    </row>
    <row r="85" spans="1:116" x14ac:dyDescent="0.2">
      <c r="A85" s="5"/>
      <c r="B85" s="6"/>
      <c r="C85" s="6"/>
      <c r="D85" s="27"/>
      <c r="E85" s="6"/>
      <c r="F85" s="8"/>
      <c r="G85" s="8"/>
      <c r="I85" s="10"/>
      <c r="J85" s="11"/>
      <c r="K85" s="12"/>
      <c r="L85" s="10"/>
      <c r="M85" s="11"/>
      <c r="N85" s="12"/>
      <c r="O85" s="10"/>
      <c r="P85" s="11"/>
      <c r="Q85" s="12"/>
      <c r="R85" s="13"/>
      <c r="S85" s="11"/>
      <c r="T85" s="12"/>
      <c r="U85" s="10"/>
      <c r="V85" s="12"/>
      <c r="W85" s="12"/>
      <c r="X85" s="10"/>
      <c r="Y85" s="12"/>
      <c r="Z85" s="12"/>
      <c r="AA85" s="10"/>
      <c r="AB85" s="12"/>
      <c r="AC85" s="12"/>
      <c r="AD85" s="10"/>
      <c r="AE85" s="12"/>
      <c r="AF85" s="12"/>
      <c r="AG85" s="10"/>
      <c r="AH85" s="12"/>
      <c r="AI85" s="12"/>
      <c r="AJ85" s="13"/>
      <c r="AK85" s="11"/>
      <c r="AL85" s="12"/>
      <c r="AM85" s="10"/>
      <c r="AN85" s="12"/>
      <c r="AO85" s="12"/>
      <c r="AP85" s="10"/>
      <c r="AQ85" s="12"/>
      <c r="AR85" s="12"/>
      <c r="AS85" s="10"/>
      <c r="AT85" s="12"/>
      <c r="AU85" s="12"/>
      <c r="AV85" s="10"/>
      <c r="AW85" s="12"/>
      <c r="AX85" s="12"/>
      <c r="AY85" s="10"/>
      <c r="AZ85" s="12"/>
      <c r="BA85" s="12"/>
      <c r="BB85" s="10"/>
      <c r="BC85" s="12"/>
      <c r="BD85" s="12"/>
      <c r="BE85" s="10"/>
      <c r="BF85" s="12"/>
      <c r="BG85" s="12"/>
      <c r="BH85" s="10"/>
      <c r="BI85" s="12"/>
      <c r="BK85" s="16"/>
      <c r="BL85" s="16"/>
      <c r="BM85" s="16"/>
      <c r="BN85" s="16"/>
      <c r="BO85" s="16"/>
      <c r="BP85" s="16"/>
      <c r="BQ85" s="16"/>
      <c r="BR85" s="16"/>
      <c r="BS85" s="14"/>
      <c r="BT85" s="15"/>
      <c r="BU85" s="23"/>
      <c r="BV85" s="21"/>
      <c r="BW85" s="21"/>
      <c r="BX85" s="16"/>
      <c r="BY85" s="22"/>
      <c r="BZ85" s="16"/>
      <c r="CA85" s="8"/>
      <c r="CB85" s="10"/>
      <c r="CD85" s="10"/>
      <c r="CF85" s="10"/>
      <c r="CH85" s="10"/>
      <c r="CJ85" s="10"/>
      <c r="CL85" s="10"/>
      <c r="CN85" s="10"/>
      <c r="CP85" s="10"/>
      <c r="CR85" s="10"/>
      <c r="CT85" s="10"/>
      <c r="CV85" s="10"/>
      <c r="CX85" s="10"/>
      <c r="CZ85" s="10"/>
      <c r="DB85" s="10"/>
      <c r="DD85" s="10"/>
      <c r="DF85" s="10"/>
      <c r="DH85" s="10"/>
      <c r="DJ85" s="10"/>
      <c r="DL85" s="10"/>
    </row>
    <row r="86" spans="1:116" x14ac:dyDescent="0.2">
      <c r="A86" s="5"/>
      <c r="B86" s="6"/>
      <c r="C86" s="6"/>
      <c r="D86" s="27"/>
      <c r="E86" s="6"/>
      <c r="F86" s="8"/>
      <c r="G86" s="8"/>
      <c r="I86" s="10"/>
      <c r="J86" s="11"/>
      <c r="K86" s="12"/>
      <c r="L86" s="10"/>
      <c r="M86" s="11"/>
      <c r="N86" s="12"/>
      <c r="O86" s="10"/>
      <c r="P86" s="11"/>
      <c r="Q86" s="12"/>
      <c r="R86" s="13"/>
      <c r="S86" s="11"/>
      <c r="T86" s="12"/>
      <c r="U86" s="10"/>
      <c r="V86" s="12"/>
      <c r="W86" s="12"/>
      <c r="X86" s="10"/>
      <c r="Y86" s="12"/>
      <c r="Z86" s="12"/>
      <c r="AA86" s="10"/>
      <c r="AB86" s="12"/>
      <c r="AC86" s="12"/>
      <c r="AD86" s="10"/>
      <c r="AE86" s="12"/>
      <c r="AF86" s="12"/>
      <c r="AG86" s="10"/>
      <c r="AH86" s="12"/>
      <c r="AI86" s="12"/>
      <c r="AJ86" s="13"/>
      <c r="AK86" s="11"/>
      <c r="AL86" s="12"/>
      <c r="AM86" s="10"/>
      <c r="AN86" s="12"/>
      <c r="AO86" s="12"/>
      <c r="AP86" s="10"/>
      <c r="AQ86" s="12"/>
      <c r="AR86" s="12"/>
      <c r="AS86" s="10"/>
      <c r="AT86" s="12"/>
      <c r="AU86" s="12"/>
      <c r="AV86" s="10"/>
      <c r="AW86" s="12"/>
      <c r="AX86" s="12"/>
      <c r="AY86" s="10"/>
      <c r="AZ86" s="12"/>
      <c r="BA86" s="12"/>
      <c r="BB86" s="10"/>
      <c r="BC86" s="12"/>
      <c r="BD86" s="12"/>
      <c r="BE86" s="10"/>
      <c r="BF86" s="12"/>
      <c r="BG86" s="12"/>
      <c r="BH86" s="10"/>
      <c r="BI86" s="12"/>
      <c r="BK86" s="16"/>
      <c r="BL86" s="16"/>
      <c r="BM86" s="16"/>
      <c r="BN86" s="16"/>
      <c r="BO86" s="16"/>
      <c r="BP86" s="16"/>
      <c r="BQ86" s="16"/>
      <c r="BR86" s="16"/>
      <c r="BS86" s="14"/>
      <c r="BT86" s="15"/>
      <c r="BU86" s="23"/>
      <c r="BV86" s="21"/>
      <c r="BW86" s="21"/>
      <c r="BX86" s="16"/>
      <c r="BY86" s="22"/>
      <c r="BZ86" s="16"/>
      <c r="CA86" s="8"/>
      <c r="CB86" s="10"/>
      <c r="CD86" s="10"/>
      <c r="CF86" s="10"/>
      <c r="CH86" s="10"/>
      <c r="CJ86" s="10"/>
      <c r="CL86" s="10"/>
      <c r="CN86" s="10"/>
      <c r="CP86" s="10"/>
      <c r="CR86" s="10"/>
      <c r="CT86" s="10"/>
      <c r="CV86" s="10"/>
      <c r="CX86" s="10"/>
      <c r="CZ86" s="10"/>
      <c r="DB86" s="10"/>
      <c r="DD86" s="10"/>
      <c r="DF86" s="10"/>
      <c r="DH86" s="10"/>
      <c r="DJ86" s="10"/>
      <c r="DL86" s="10"/>
    </row>
    <row r="87" spans="1:116" x14ac:dyDescent="0.2">
      <c r="A87" s="5"/>
      <c r="B87" s="6"/>
      <c r="C87" s="6"/>
      <c r="D87" s="27"/>
      <c r="E87" s="6"/>
      <c r="F87" s="8"/>
      <c r="G87" s="8"/>
      <c r="I87" s="10"/>
      <c r="J87" s="11"/>
      <c r="K87" s="12"/>
      <c r="L87" s="10"/>
      <c r="M87" s="11"/>
      <c r="N87" s="12"/>
      <c r="O87" s="10"/>
      <c r="P87" s="11"/>
      <c r="Q87" s="12"/>
      <c r="R87" s="13"/>
      <c r="S87" s="11"/>
      <c r="T87" s="12"/>
      <c r="U87" s="10"/>
      <c r="V87" s="12"/>
      <c r="W87" s="12"/>
      <c r="X87" s="10"/>
      <c r="Y87" s="12"/>
      <c r="Z87" s="12"/>
      <c r="AA87" s="10"/>
      <c r="AB87" s="12"/>
      <c r="AC87" s="12"/>
      <c r="AD87" s="10"/>
      <c r="AE87" s="12"/>
      <c r="AF87" s="12"/>
      <c r="AG87" s="10"/>
      <c r="AH87" s="12"/>
      <c r="AI87" s="12"/>
      <c r="AJ87" s="13"/>
      <c r="AK87" s="11"/>
      <c r="AL87" s="12"/>
      <c r="AM87" s="10"/>
      <c r="AN87" s="12"/>
      <c r="AO87" s="12"/>
      <c r="AP87" s="10"/>
      <c r="AQ87" s="12"/>
      <c r="AR87" s="12"/>
      <c r="AS87" s="10"/>
      <c r="AT87" s="12"/>
      <c r="AU87" s="12"/>
      <c r="AV87" s="10"/>
      <c r="AW87" s="12"/>
      <c r="AX87" s="12"/>
      <c r="AY87" s="10"/>
      <c r="AZ87" s="12"/>
      <c r="BA87" s="12"/>
      <c r="BB87" s="10"/>
      <c r="BC87" s="12"/>
      <c r="BD87" s="12"/>
      <c r="BE87" s="10"/>
      <c r="BF87" s="12"/>
      <c r="BG87" s="12"/>
      <c r="BH87" s="10"/>
      <c r="BI87" s="12"/>
      <c r="BK87" s="16"/>
      <c r="BL87" s="16"/>
      <c r="BM87" s="16"/>
      <c r="BN87" s="16"/>
      <c r="BO87" s="16"/>
      <c r="BP87" s="16"/>
      <c r="BQ87" s="16"/>
      <c r="BR87" s="16"/>
      <c r="BS87" s="14"/>
      <c r="BT87" s="15"/>
      <c r="BU87" s="23"/>
      <c r="BV87" s="21"/>
      <c r="BW87" s="21"/>
      <c r="BX87" s="16"/>
      <c r="BY87" s="22"/>
      <c r="BZ87" s="16"/>
      <c r="CA87" s="8"/>
      <c r="CB87" s="10"/>
      <c r="CD87" s="10"/>
      <c r="CF87" s="10"/>
      <c r="CH87" s="10"/>
      <c r="CJ87" s="10"/>
      <c r="CL87" s="10"/>
      <c r="CN87" s="10"/>
      <c r="CP87" s="10"/>
      <c r="CR87" s="10"/>
      <c r="CT87" s="10"/>
      <c r="CV87" s="10"/>
      <c r="CX87" s="10"/>
      <c r="CZ87" s="10"/>
      <c r="DB87" s="10"/>
      <c r="DD87" s="10"/>
      <c r="DF87" s="10"/>
      <c r="DH87" s="10"/>
      <c r="DJ87" s="10"/>
      <c r="DL87" s="10"/>
    </row>
    <row r="88" spans="1:116" x14ac:dyDescent="0.2">
      <c r="A88" s="5"/>
      <c r="B88" s="6"/>
      <c r="C88" s="6"/>
      <c r="D88" s="27"/>
      <c r="E88" s="6"/>
      <c r="F88" s="8"/>
      <c r="G88" s="8"/>
      <c r="I88" s="10"/>
      <c r="J88" s="11"/>
      <c r="K88" s="12"/>
      <c r="L88" s="10"/>
      <c r="M88" s="11"/>
      <c r="N88" s="12"/>
      <c r="O88" s="10"/>
      <c r="P88" s="11"/>
      <c r="Q88" s="12"/>
      <c r="R88" s="13"/>
      <c r="S88" s="11"/>
      <c r="T88" s="12"/>
      <c r="U88" s="10"/>
      <c r="V88" s="12"/>
      <c r="W88" s="12"/>
      <c r="X88" s="10"/>
      <c r="Y88" s="12"/>
      <c r="Z88" s="12"/>
      <c r="AA88" s="10"/>
      <c r="AB88" s="12"/>
      <c r="AC88" s="12"/>
      <c r="AD88" s="10"/>
      <c r="AE88" s="12"/>
      <c r="AF88" s="12"/>
      <c r="AG88" s="10"/>
      <c r="AH88" s="12"/>
      <c r="AI88" s="12"/>
      <c r="AJ88" s="13"/>
      <c r="AK88" s="11"/>
      <c r="AL88" s="12"/>
      <c r="AM88" s="10"/>
      <c r="AN88" s="12"/>
      <c r="AO88" s="12"/>
      <c r="AP88" s="10"/>
      <c r="AQ88" s="12"/>
      <c r="AR88" s="12"/>
      <c r="AS88" s="10"/>
      <c r="AT88" s="12"/>
      <c r="AU88" s="12"/>
      <c r="AV88" s="10"/>
      <c r="AW88" s="12"/>
      <c r="AX88" s="12"/>
      <c r="AY88" s="10"/>
      <c r="AZ88" s="12"/>
      <c r="BA88" s="12"/>
      <c r="BB88" s="10"/>
      <c r="BC88" s="12"/>
      <c r="BD88" s="12"/>
      <c r="BE88" s="10"/>
      <c r="BF88" s="12"/>
      <c r="BG88" s="12"/>
      <c r="BH88" s="10"/>
      <c r="BI88" s="12"/>
      <c r="BK88" s="16"/>
      <c r="BL88" s="16"/>
      <c r="BM88" s="16"/>
      <c r="BN88" s="16"/>
      <c r="BO88" s="16"/>
      <c r="BP88" s="16"/>
      <c r="BQ88" s="16"/>
      <c r="BR88" s="16"/>
      <c r="BS88" s="14"/>
      <c r="BT88" s="15"/>
      <c r="BU88" s="23"/>
      <c r="BV88" s="21"/>
      <c r="BW88" s="21"/>
      <c r="BX88" s="16"/>
      <c r="BY88" s="22"/>
      <c r="BZ88" s="16"/>
      <c r="CA88" s="8"/>
      <c r="CB88" s="10"/>
      <c r="CD88" s="10"/>
      <c r="CF88" s="10"/>
      <c r="CH88" s="10"/>
      <c r="CJ88" s="10"/>
      <c r="CL88" s="10"/>
      <c r="CN88" s="10"/>
      <c r="CP88" s="10"/>
      <c r="CR88" s="10"/>
      <c r="CT88" s="10"/>
      <c r="CV88" s="10"/>
      <c r="CX88" s="10"/>
      <c r="CZ88" s="10"/>
      <c r="DB88" s="10"/>
      <c r="DD88" s="10"/>
      <c r="DF88" s="10"/>
      <c r="DH88" s="10"/>
      <c r="DJ88" s="10"/>
      <c r="DL88" s="10"/>
    </row>
    <row r="89" spans="1:116" x14ac:dyDescent="0.2">
      <c r="A89" s="5"/>
      <c r="B89" s="6"/>
      <c r="C89" s="6"/>
      <c r="D89" s="27"/>
      <c r="E89" s="6"/>
      <c r="F89" s="8"/>
      <c r="G89" s="8"/>
      <c r="I89" s="10"/>
      <c r="J89" s="11"/>
      <c r="K89" s="12"/>
      <c r="L89" s="10"/>
      <c r="M89" s="11"/>
      <c r="N89" s="12"/>
      <c r="O89" s="10"/>
      <c r="P89" s="11"/>
      <c r="Q89" s="12"/>
      <c r="R89" s="13"/>
      <c r="S89" s="11"/>
      <c r="T89" s="12"/>
      <c r="U89" s="10"/>
      <c r="V89" s="12"/>
      <c r="W89" s="12"/>
      <c r="X89" s="10"/>
      <c r="Y89" s="12"/>
      <c r="Z89" s="12"/>
      <c r="AA89" s="10"/>
      <c r="AB89" s="12"/>
      <c r="AC89" s="12"/>
      <c r="AD89" s="10"/>
      <c r="AE89" s="12"/>
      <c r="AF89" s="12"/>
      <c r="AG89" s="10"/>
      <c r="AH89" s="12"/>
      <c r="AI89" s="12"/>
      <c r="AJ89" s="13"/>
      <c r="AK89" s="11"/>
      <c r="AL89" s="12"/>
      <c r="AM89" s="10"/>
      <c r="AN89" s="12"/>
      <c r="AO89" s="12"/>
      <c r="AP89" s="10"/>
      <c r="AQ89" s="12"/>
      <c r="AR89" s="12"/>
      <c r="AS89" s="10"/>
      <c r="AT89" s="12"/>
      <c r="AU89" s="12"/>
      <c r="AV89" s="10"/>
      <c r="AW89" s="12"/>
      <c r="AX89" s="12"/>
      <c r="AY89" s="10"/>
      <c r="AZ89" s="12"/>
      <c r="BA89" s="12"/>
      <c r="BB89" s="10"/>
      <c r="BC89" s="12"/>
      <c r="BD89" s="12"/>
      <c r="BE89" s="10"/>
      <c r="BF89" s="12"/>
      <c r="BG89" s="12"/>
      <c r="BH89" s="10"/>
      <c r="BI89" s="12"/>
      <c r="BK89" s="16"/>
      <c r="BL89" s="16"/>
      <c r="BM89" s="16"/>
      <c r="BN89" s="16"/>
      <c r="BO89" s="16"/>
      <c r="BP89" s="16"/>
      <c r="BQ89" s="16"/>
      <c r="BR89" s="16"/>
      <c r="BS89" s="14"/>
      <c r="BT89" s="15"/>
      <c r="BU89" s="23"/>
      <c r="BV89" s="21"/>
      <c r="BW89" s="21"/>
      <c r="BX89" s="16"/>
      <c r="BY89" s="22"/>
      <c r="BZ89" s="16"/>
      <c r="CA89" s="8"/>
      <c r="CB89" s="10"/>
      <c r="CD89" s="10"/>
      <c r="CF89" s="10"/>
      <c r="CH89" s="10"/>
      <c r="CJ89" s="10"/>
      <c r="CL89" s="10"/>
      <c r="CN89" s="10"/>
      <c r="CP89" s="10"/>
      <c r="CR89" s="10"/>
      <c r="CT89" s="10"/>
      <c r="CV89" s="10"/>
      <c r="CX89" s="10"/>
      <c r="CZ89" s="10"/>
      <c r="DB89" s="10"/>
      <c r="DD89" s="10"/>
      <c r="DF89" s="10"/>
      <c r="DH89" s="10"/>
      <c r="DJ89" s="10"/>
      <c r="DL89" s="10"/>
    </row>
    <row r="90" spans="1:116" x14ac:dyDescent="0.2">
      <c r="A90" s="5"/>
      <c r="B90" s="6"/>
      <c r="C90" s="6"/>
      <c r="D90" s="27"/>
      <c r="E90" s="6"/>
      <c r="F90" s="8"/>
      <c r="G90" s="8"/>
      <c r="I90" s="10"/>
      <c r="J90" s="11"/>
      <c r="K90" s="12"/>
      <c r="L90" s="10"/>
      <c r="M90" s="11"/>
      <c r="N90" s="12"/>
      <c r="O90" s="10"/>
      <c r="P90" s="11"/>
      <c r="Q90" s="12"/>
      <c r="R90" s="13"/>
      <c r="S90" s="11"/>
      <c r="T90" s="12"/>
      <c r="U90" s="10"/>
      <c r="V90" s="12"/>
      <c r="W90" s="12"/>
      <c r="X90" s="10"/>
      <c r="Y90" s="12"/>
      <c r="Z90" s="12"/>
      <c r="AA90" s="10"/>
      <c r="AB90" s="12"/>
      <c r="AC90" s="12"/>
      <c r="AD90" s="10"/>
      <c r="AE90" s="12"/>
      <c r="AF90" s="12"/>
      <c r="AG90" s="10"/>
      <c r="AH90" s="12"/>
      <c r="AI90" s="12"/>
      <c r="AJ90" s="13"/>
      <c r="AK90" s="11"/>
      <c r="AL90" s="12"/>
      <c r="AM90" s="10"/>
      <c r="AN90" s="12"/>
      <c r="AO90" s="12"/>
      <c r="AP90" s="10"/>
      <c r="AQ90" s="12"/>
      <c r="AR90" s="12"/>
      <c r="AS90" s="10"/>
      <c r="AT90" s="12"/>
      <c r="AU90" s="12"/>
      <c r="AV90" s="10"/>
      <c r="AW90" s="12"/>
      <c r="AX90" s="12"/>
      <c r="AY90" s="10"/>
      <c r="AZ90" s="12"/>
      <c r="BA90" s="12"/>
      <c r="BB90" s="10"/>
      <c r="BC90" s="12"/>
      <c r="BD90" s="12"/>
      <c r="BE90" s="10"/>
      <c r="BF90" s="12"/>
      <c r="BG90" s="12"/>
      <c r="BH90" s="10"/>
      <c r="BI90" s="12"/>
      <c r="BK90" s="16"/>
      <c r="BL90" s="16"/>
      <c r="BM90" s="16"/>
      <c r="BN90" s="16"/>
      <c r="BO90" s="16"/>
      <c r="BP90" s="16"/>
      <c r="BQ90" s="16"/>
      <c r="BR90" s="16"/>
      <c r="BS90" s="14"/>
      <c r="BT90" s="15"/>
      <c r="BU90" s="23"/>
      <c r="BV90" s="21"/>
      <c r="BW90" s="21"/>
      <c r="BX90" s="16"/>
      <c r="BY90" s="22"/>
      <c r="BZ90" s="16"/>
      <c r="CA90" s="8"/>
      <c r="CB90" s="10"/>
      <c r="CD90" s="10"/>
      <c r="CF90" s="10"/>
      <c r="CH90" s="10"/>
      <c r="CJ90" s="10"/>
      <c r="CL90" s="10"/>
      <c r="CN90" s="10"/>
      <c r="CP90" s="10"/>
      <c r="CR90" s="10"/>
      <c r="CT90" s="10"/>
      <c r="CV90" s="10"/>
      <c r="CX90" s="10"/>
      <c r="CZ90" s="10"/>
      <c r="DB90" s="10"/>
      <c r="DD90" s="10"/>
      <c r="DF90" s="10"/>
      <c r="DH90" s="10"/>
      <c r="DJ90" s="10"/>
      <c r="DL90" s="10"/>
    </row>
    <row r="91" spans="1:116" x14ac:dyDescent="0.2">
      <c r="A91" s="5"/>
      <c r="B91" s="6"/>
      <c r="C91" s="6"/>
      <c r="D91" s="27"/>
      <c r="E91" s="6"/>
      <c r="F91" s="8"/>
      <c r="G91" s="8"/>
      <c r="I91" s="10"/>
      <c r="J91" s="11"/>
      <c r="K91" s="12"/>
      <c r="L91" s="10"/>
      <c r="M91" s="11"/>
      <c r="N91" s="12"/>
      <c r="O91" s="10"/>
      <c r="P91" s="11"/>
      <c r="Q91" s="12"/>
      <c r="R91" s="13"/>
      <c r="S91" s="11"/>
      <c r="T91" s="12"/>
      <c r="U91" s="10"/>
      <c r="V91" s="12"/>
      <c r="W91" s="12"/>
      <c r="X91" s="10"/>
      <c r="Y91" s="12"/>
      <c r="Z91" s="12"/>
      <c r="AA91" s="10"/>
      <c r="AB91" s="12"/>
      <c r="AC91" s="12"/>
      <c r="AD91" s="10"/>
      <c r="AE91" s="12"/>
      <c r="AF91" s="12"/>
      <c r="AG91" s="10"/>
      <c r="AH91" s="12"/>
      <c r="AI91" s="12"/>
      <c r="AJ91" s="13"/>
      <c r="AK91" s="11"/>
      <c r="AL91" s="12"/>
      <c r="AM91" s="10"/>
      <c r="AN91" s="12"/>
      <c r="AO91" s="12"/>
      <c r="AP91" s="10"/>
      <c r="AQ91" s="12"/>
      <c r="AR91" s="12"/>
      <c r="AS91" s="10"/>
      <c r="AT91" s="12"/>
      <c r="AU91" s="12"/>
      <c r="AV91" s="10"/>
      <c r="AW91" s="12"/>
      <c r="AX91" s="12"/>
      <c r="AY91" s="10"/>
      <c r="AZ91" s="12"/>
      <c r="BA91" s="12"/>
      <c r="BB91" s="10"/>
      <c r="BC91" s="12"/>
      <c r="BD91" s="12"/>
      <c r="BE91" s="10"/>
      <c r="BF91" s="12"/>
      <c r="BG91" s="12"/>
      <c r="BH91" s="10"/>
      <c r="BI91" s="12"/>
      <c r="BK91" s="16"/>
      <c r="BL91" s="16"/>
      <c r="BM91" s="16"/>
      <c r="BN91" s="16"/>
      <c r="BO91" s="16"/>
      <c r="BP91" s="16"/>
      <c r="BQ91" s="16"/>
      <c r="BR91" s="16"/>
      <c r="BS91" s="14"/>
      <c r="BT91" s="15"/>
      <c r="BU91" s="23"/>
      <c r="BV91" s="21"/>
      <c r="BW91" s="21"/>
      <c r="BX91" s="16"/>
      <c r="BY91" s="22"/>
      <c r="BZ91" s="16"/>
      <c r="CA91" s="8"/>
      <c r="CB91" s="10"/>
      <c r="CD91" s="10"/>
      <c r="CF91" s="10"/>
      <c r="CH91" s="10"/>
      <c r="CJ91" s="10"/>
      <c r="CL91" s="10"/>
      <c r="CN91" s="10"/>
      <c r="CP91" s="10"/>
      <c r="CR91" s="10"/>
      <c r="CT91" s="10"/>
      <c r="CV91" s="10"/>
      <c r="CX91" s="10"/>
      <c r="CZ91" s="10"/>
      <c r="DB91" s="10"/>
      <c r="DD91" s="10"/>
      <c r="DF91" s="10"/>
      <c r="DH91" s="10"/>
      <c r="DJ91" s="10"/>
      <c r="DL91" s="10"/>
    </row>
    <row r="92" spans="1:116" x14ac:dyDescent="0.2">
      <c r="A92" s="5"/>
      <c r="B92" s="6"/>
      <c r="C92" s="6"/>
      <c r="D92" s="27"/>
      <c r="E92" s="6"/>
      <c r="F92" s="8"/>
      <c r="G92" s="8"/>
      <c r="I92" s="10"/>
      <c r="J92" s="11"/>
      <c r="K92" s="12"/>
      <c r="L92" s="10"/>
      <c r="M92" s="11"/>
      <c r="N92" s="12"/>
      <c r="O92" s="10"/>
      <c r="P92" s="11"/>
      <c r="Q92" s="12"/>
      <c r="R92" s="13"/>
      <c r="S92" s="11"/>
      <c r="T92" s="12"/>
      <c r="U92" s="10"/>
      <c r="V92" s="12"/>
      <c r="W92" s="12"/>
      <c r="X92" s="10"/>
      <c r="Y92" s="12"/>
      <c r="Z92" s="12"/>
      <c r="AA92" s="10"/>
      <c r="AB92" s="12"/>
      <c r="AC92" s="12"/>
      <c r="AD92" s="10"/>
      <c r="AE92" s="12"/>
      <c r="AF92" s="12"/>
      <c r="AG92" s="10"/>
      <c r="AH92" s="12"/>
      <c r="AI92" s="12"/>
      <c r="AJ92" s="13"/>
      <c r="AK92" s="11"/>
      <c r="AL92" s="12"/>
      <c r="AM92" s="10"/>
      <c r="AN92" s="12"/>
      <c r="AO92" s="12"/>
      <c r="AP92" s="10"/>
      <c r="AQ92" s="12"/>
      <c r="AR92" s="12"/>
      <c r="AS92" s="10"/>
      <c r="AT92" s="12"/>
      <c r="AU92" s="12"/>
      <c r="AV92" s="10"/>
      <c r="AW92" s="12"/>
      <c r="AX92" s="12"/>
      <c r="AY92" s="10"/>
      <c r="AZ92" s="12"/>
      <c r="BA92" s="12"/>
      <c r="BB92" s="10"/>
      <c r="BC92" s="12"/>
      <c r="BD92" s="12"/>
      <c r="BE92" s="10"/>
      <c r="BF92" s="12"/>
      <c r="BG92" s="12"/>
      <c r="BH92" s="10"/>
      <c r="BI92" s="12"/>
      <c r="BK92" s="16"/>
      <c r="BL92" s="16"/>
      <c r="BM92" s="16"/>
      <c r="BN92" s="16"/>
      <c r="BO92" s="16"/>
      <c r="BP92" s="16"/>
      <c r="BQ92" s="16"/>
      <c r="BR92" s="16"/>
      <c r="BS92" s="14"/>
      <c r="BT92" s="15"/>
      <c r="BU92" s="23"/>
      <c r="BV92" s="21"/>
      <c r="BW92" s="21"/>
      <c r="BX92" s="16"/>
      <c r="BY92" s="22"/>
      <c r="BZ92" s="16"/>
      <c r="CA92" s="8"/>
      <c r="CB92" s="10"/>
      <c r="CD92" s="10"/>
      <c r="CF92" s="10"/>
      <c r="CH92" s="10"/>
      <c r="CJ92" s="10"/>
      <c r="CL92" s="10"/>
      <c r="CN92" s="10"/>
      <c r="CP92" s="10"/>
      <c r="CR92" s="10"/>
      <c r="CT92" s="10"/>
      <c r="CV92" s="10"/>
      <c r="CX92" s="10"/>
      <c r="CZ92" s="10"/>
      <c r="DB92" s="10"/>
      <c r="DD92" s="10"/>
      <c r="DF92" s="10"/>
      <c r="DH92" s="10"/>
      <c r="DJ92" s="10"/>
      <c r="DL92" s="10"/>
    </row>
    <row r="93" spans="1:116" x14ac:dyDescent="0.2">
      <c r="A93" s="5"/>
      <c r="B93" s="6"/>
      <c r="C93" s="6"/>
      <c r="D93" s="27"/>
      <c r="E93" s="6"/>
      <c r="F93" s="8"/>
      <c r="G93" s="8"/>
      <c r="I93" s="10"/>
      <c r="J93" s="11"/>
      <c r="K93" s="12"/>
      <c r="L93" s="10"/>
      <c r="M93" s="11"/>
      <c r="N93" s="12"/>
      <c r="O93" s="10"/>
      <c r="P93" s="11"/>
      <c r="Q93" s="12"/>
      <c r="R93" s="13"/>
      <c r="S93" s="11"/>
      <c r="T93" s="12"/>
      <c r="U93" s="10"/>
      <c r="V93" s="12"/>
      <c r="W93" s="12"/>
      <c r="X93" s="10"/>
      <c r="Y93" s="12"/>
      <c r="Z93" s="12"/>
      <c r="AA93" s="10"/>
      <c r="AB93" s="12"/>
      <c r="AC93" s="12"/>
      <c r="AD93" s="10"/>
      <c r="AE93" s="12"/>
      <c r="AF93" s="12"/>
      <c r="AG93" s="10"/>
      <c r="AH93" s="12"/>
      <c r="AI93" s="12"/>
      <c r="AJ93" s="13"/>
      <c r="AK93" s="11"/>
      <c r="AL93" s="12"/>
      <c r="AM93" s="10"/>
      <c r="AN93" s="12"/>
      <c r="AO93" s="12"/>
      <c r="AP93" s="10"/>
      <c r="AQ93" s="12"/>
      <c r="AR93" s="12"/>
      <c r="AS93" s="10"/>
      <c r="AT93" s="12"/>
      <c r="AU93" s="12"/>
      <c r="AV93" s="10"/>
      <c r="AW93" s="12"/>
      <c r="AX93" s="12"/>
      <c r="AY93" s="10"/>
      <c r="AZ93" s="12"/>
      <c r="BA93" s="12"/>
      <c r="BB93" s="10"/>
      <c r="BC93" s="12"/>
      <c r="BD93" s="12"/>
      <c r="BE93" s="10"/>
      <c r="BF93" s="12"/>
      <c r="BG93" s="12"/>
      <c r="BH93" s="10"/>
      <c r="BI93" s="12"/>
      <c r="BK93" s="16"/>
      <c r="BL93" s="16"/>
      <c r="BM93" s="16"/>
      <c r="BN93" s="16"/>
      <c r="BO93" s="16"/>
      <c r="BP93" s="16"/>
      <c r="BQ93" s="16"/>
      <c r="BR93" s="16"/>
      <c r="BS93" s="14"/>
      <c r="BT93" s="15"/>
      <c r="BU93" s="23"/>
      <c r="BV93" s="21"/>
      <c r="BW93" s="21"/>
      <c r="BX93" s="16"/>
      <c r="BY93" s="22"/>
      <c r="BZ93" s="16"/>
      <c r="CA93" s="8"/>
      <c r="CB93" s="10"/>
      <c r="CD93" s="10"/>
      <c r="CF93" s="10"/>
      <c r="CH93" s="10"/>
      <c r="CJ93" s="10"/>
      <c r="CL93" s="10"/>
      <c r="CN93" s="10"/>
      <c r="CP93" s="10"/>
      <c r="CR93" s="10"/>
      <c r="CT93" s="10"/>
      <c r="CV93" s="10"/>
      <c r="CX93" s="10"/>
      <c r="CZ93" s="10"/>
      <c r="DB93" s="10"/>
      <c r="DD93" s="10"/>
      <c r="DF93" s="10"/>
      <c r="DH93" s="10"/>
      <c r="DJ93" s="10"/>
      <c r="DL93" s="10"/>
    </row>
    <row r="94" spans="1:116" x14ac:dyDescent="0.2">
      <c r="A94" s="5"/>
      <c r="B94" s="6"/>
      <c r="C94" s="6"/>
      <c r="D94" s="27"/>
      <c r="E94" s="6"/>
      <c r="F94" s="8"/>
      <c r="G94" s="8"/>
      <c r="I94" s="10"/>
      <c r="J94" s="11"/>
      <c r="K94" s="12"/>
      <c r="L94" s="10"/>
      <c r="M94" s="11"/>
      <c r="N94" s="12"/>
      <c r="O94" s="10"/>
      <c r="P94" s="11"/>
      <c r="Q94" s="12"/>
      <c r="R94" s="13"/>
      <c r="S94" s="11"/>
      <c r="T94" s="12"/>
      <c r="U94" s="10"/>
      <c r="V94" s="12"/>
      <c r="W94" s="12"/>
      <c r="X94" s="10"/>
      <c r="Y94" s="12"/>
      <c r="Z94" s="12"/>
      <c r="AA94" s="10"/>
      <c r="AB94" s="12"/>
      <c r="AC94" s="12"/>
      <c r="AD94" s="10"/>
      <c r="AE94" s="12"/>
      <c r="AF94" s="12"/>
      <c r="AG94" s="10"/>
      <c r="AH94" s="12"/>
      <c r="AI94" s="12"/>
      <c r="AJ94" s="13"/>
      <c r="AK94" s="11"/>
      <c r="AL94" s="12"/>
      <c r="AM94" s="10"/>
      <c r="AN94" s="12"/>
      <c r="AO94" s="12"/>
      <c r="AP94" s="10"/>
      <c r="AQ94" s="12"/>
      <c r="AR94" s="12"/>
      <c r="AS94" s="10"/>
      <c r="AT94" s="12"/>
      <c r="AU94" s="12"/>
      <c r="AV94" s="10"/>
      <c r="AW94" s="12"/>
      <c r="AX94" s="12"/>
      <c r="AY94" s="10"/>
      <c r="AZ94" s="12"/>
      <c r="BA94" s="12"/>
      <c r="BB94" s="10"/>
      <c r="BC94" s="12"/>
      <c r="BD94" s="12"/>
      <c r="BE94" s="10"/>
      <c r="BF94" s="12"/>
      <c r="BG94" s="12"/>
      <c r="BH94" s="10"/>
      <c r="BI94" s="12"/>
      <c r="BK94" s="16"/>
      <c r="BL94" s="16"/>
      <c r="BM94" s="16"/>
      <c r="BN94" s="16"/>
      <c r="BO94" s="16"/>
      <c r="BP94" s="16"/>
      <c r="BQ94" s="16"/>
      <c r="BR94" s="16"/>
      <c r="BS94" s="14"/>
      <c r="BT94" s="15"/>
      <c r="BU94" s="23"/>
      <c r="BV94" s="21"/>
      <c r="BW94" s="21"/>
      <c r="BX94" s="16"/>
      <c r="BY94" s="22"/>
      <c r="BZ94" s="16"/>
      <c r="CA94" s="8"/>
      <c r="CB94" s="10"/>
      <c r="CD94" s="10"/>
      <c r="CF94" s="10"/>
      <c r="CH94" s="10"/>
      <c r="CJ94" s="10"/>
      <c r="CL94" s="10"/>
      <c r="CN94" s="10"/>
      <c r="CP94" s="10"/>
      <c r="CR94" s="10"/>
      <c r="CT94" s="10"/>
      <c r="CV94" s="10"/>
      <c r="CX94" s="10"/>
      <c r="CZ94" s="10"/>
      <c r="DB94" s="10"/>
      <c r="DD94" s="10"/>
      <c r="DF94" s="10"/>
      <c r="DH94" s="10"/>
      <c r="DJ94" s="10"/>
      <c r="DL94" s="10"/>
    </row>
    <row r="95" spans="1:116" x14ac:dyDescent="0.2">
      <c r="A95" s="5"/>
      <c r="B95" s="6"/>
      <c r="C95" s="6"/>
      <c r="D95" s="27"/>
      <c r="E95" s="6"/>
      <c r="F95" s="8"/>
      <c r="G95" s="8"/>
      <c r="I95" s="10"/>
      <c r="J95" s="11"/>
      <c r="K95" s="12"/>
      <c r="L95" s="10"/>
      <c r="M95" s="11"/>
      <c r="N95" s="12"/>
      <c r="O95" s="10"/>
      <c r="P95" s="11"/>
      <c r="Q95" s="12"/>
      <c r="R95" s="13"/>
      <c r="S95" s="11"/>
      <c r="T95" s="12"/>
      <c r="U95" s="10"/>
      <c r="V95" s="12"/>
      <c r="W95" s="12"/>
      <c r="X95" s="10"/>
      <c r="Y95" s="12"/>
      <c r="Z95" s="12"/>
      <c r="AA95" s="10"/>
      <c r="AB95" s="12"/>
      <c r="AC95" s="12"/>
      <c r="AD95" s="10"/>
      <c r="AE95" s="12"/>
      <c r="AF95" s="12"/>
      <c r="AG95" s="10"/>
      <c r="AH95" s="12"/>
      <c r="AI95" s="12"/>
      <c r="AJ95" s="13"/>
      <c r="AK95" s="11"/>
      <c r="AL95" s="12"/>
      <c r="AM95" s="10"/>
      <c r="AN95" s="12"/>
      <c r="AO95" s="12"/>
      <c r="AP95" s="10"/>
      <c r="AQ95" s="12"/>
      <c r="AR95" s="12"/>
      <c r="AS95" s="10"/>
      <c r="AT95" s="12"/>
      <c r="AU95" s="12"/>
      <c r="AV95" s="10"/>
      <c r="AW95" s="12"/>
      <c r="AX95" s="12"/>
      <c r="AY95" s="10"/>
      <c r="AZ95" s="12"/>
      <c r="BA95" s="12"/>
      <c r="BB95" s="10"/>
      <c r="BC95" s="12"/>
      <c r="BD95" s="12"/>
      <c r="BE95" s="10"/>
      <c r="BF95" s="12"/>
      <c r="BG95" s="12"/>
      <c r="BH95" s="10"/>
      <c r="BI95" s="12"/>
      <c r="BK95" s="16"/>
      <c r="BL95" s="16"/>
      <c r="BM95" s="16"/>
      <c r="BN95" s="16"/>
      <c r="BO95" s="16"/>
      <c r="BP95" s="16"/>
      <c r="BQ95" s="16"/>
      <c r="BR95" s="16"/>
      <c r="BS95" s="14"/>
      <c r="BT95" s="15"/>
      <c r="BU95" s="23"/>
      <c r="BV95" s="21"/>
      <c r="BW95" s="21"/>
      <c r="BX95" s="16"/>
      <c r="BY95" s="22"/>
      <c r="BZ95" s="16"/>
      <c r="CA95" s="8"/>
      <c r="CB95" s="10"/>
      <c r="CD95" s="10"/>
      <c r="CF95" s="10"/>
      <c r="CH95" s="10"/>
      <c r="CJ95" s="10"/>
      <c r="CL95" s="10"/>
      <c r="CN95" s="10"/>
      <c r="CP95" s="10"/>
      <c r="CR95" s="10"/>
      <c r="CT95" s="10"/>
      <c r="CV95" s="10"/>
      <c r="CX95" s="10"/>
      <c r="CZ95" s="10"/>
      <c r="DB95" s="10"/>
      <c r="DD95" s="10"/>
      <c r="DF95" s="10"/>
      <c r="DH95" s="10"/>
      <c r="DJ95" s="10"/>
      <c r="DL95" s="10"/>
    </row>
    <row r="96" spans="1:116" x14ac:dyDescent="0.2">
      <c r="A96" s="5"/>
      <c r="B96" s="6"/>
      <c r="C96" s="6"/>
      <c r="D96" s="27"/>
      <c r="E96" s="6"/>
      <c r="F96" s="8"/>
      <c r="G96" s="8"/>
      <c r="I96" s="10"/>
      <c r="J96" s="11"/>
      <c r="K96" s="12"/>
      <c r="L96" s="10"/>
      <c r="M96" s="11"/>
      <c r="N96" s="12"/>
      <c r="O96" s="10"/>
      <c r="P96" s="11"/>
      <c r="Q96" s="12"/>
      <c r="R96" s="13"/>
      <c r="S96" s="11"/>
      <c r="T96" s="12"/>
      <c r="U96" s="10"/>
      <c r="V96" s="12"/>
      <c r="W96" s="12"/>
      <c r="X96" s="10"/>
      <c r="Y96" s="12"/>
      <c r="Z96" s="12"/>
      <c r="AA96" s="10"/>
      <c r="AB96" s="12"/>
      <c r="AC96" s="12"/>
      <c r="AD96" s="10"/>
      <c r="AE96" s="12"/>
      <c r="AF96" s="12"/>
      <c r="AG96" s="10"/>
      <c r="AH96" s="12"/>
      <c r="AI96" s="12"/>
      <c r="AJ96" s="13"/>
      <c r="AK96" s="11"/>
      <c r="AL96" s="12"/>
      <c r="AM96" s="10"/>
      <c r="AN96" s="12"/>
      <c r="AO96" s="12"/>
      <c r="AP96" s="10"/>
      <c r="AQ96" s="12"/>
      <c r="AR96" s="12"/>
      <c r="AS96" s="10"/>
      <c r="AT96" s="12"/>
      <c r="AU96" s="12"/>
      <c r="AV96" s="10"/>
      <c r="AW96" s="12"/>
      <c r="AX96" s="12"/>
      <c r="AY96" s="10"/>
      <c r="AZ96" s="12"/>
      <c r="BA96" s="12"/>
      <c r="BB96" s="10"/>
      <c r="BC96" s="12"/>
      <c r="BD96" s="12"/>
      <c r="BE96" s="10"/>
      <c r="BF96" s="12"/>
      <c r="BG96" s="12"/>
      <c r="BH96" s="10"/>
      <c r="BI96" s="12"/>
      <c r="BK96" s="16"/>
      <c r="BL96" s="16"/>
      <c r="BM96" s="16"/>
      <c r="BN96" s="16"/>
      <c r="BO96" s="16"/>
      <c r="BP96" s="16"/>
      <c r="BQ96" s="16"/>
      <c r="BR96" s="16"/>
      <c r="BS96" s="14"/>
      <c r="BT96" s="15"/>
      <c r="BU96" s="23"/>
      <c r="BV96" s="21"/>
      <c r="BW96" s="21"/>
      <c r="BX96" s="16"/>
      <c r="BY96" s="22"/>
      <c r="BZ96" s="16"/>
      <c r="CA96" s="8"/>
      <c r="CB96" s="10"/>
      <c r="CD96" s="10"/>
      <c r="CF96" s="10"/>
      <c r="CH96" s="10"/>
      <c r="CJ96" s="10"/>
      <c r="CL96" s="10"/>
      <c r="CN96" s="10"/>
      <c r="CP96" s="10"/>
      <c r="CR96" s="10"/>
      <c r="CT96" s="10"/>
      <c r="CV96" s="10"/>
      <c r="CX96" s="10"/>
      <c r="CZ96" s="10"/>
      <c r="DB96" s="10"/>
      <c r="DD96" s="10"/>
      <c r="DF96" s="10"/>
      <c r="DH96" s="10"/>
      <c r="DJ96" s="10"/>
      <c r="DL96" s="10"/>
    </row>
    <row r="97" spans="1:116" x14ac:dyDescent="0.2">
      <c r="A97" s="5"/>
      <c r="B97" s="6"/>
      <c r="C97" s="6"/>
      <c r="D97" s="27"/>
      <c r="E97" s="6"/>
      <c r="F97" s="8"/>
      <c r="G97" s="8"/>
      <c r="I97" s="10"/>
      <c r="J97" s="11"/>
      <c r="K97" s="12"/>
      <c r="L97" s="10"/>
      <c r="M97" s="11"/>
      <c r="N97" s="12"/>
      <c r="O97" s="10"/>
      <c r="P97" s="11"/>
      <c r="Q97" s="12"/>
      <c r="R97" s="13"/>
      <c r="S97" s="11"/>
      <c r="T97" s="12"/>
      <c r="U97" s="10"/>
      <c r="V97" s="12"/>
      <c r="W97" s="12"/>
      <c r="X97" s="10"/>
      <c r="Y97" s="12"/>
      <c r="Z97" s="12"/>
      <c r="AA97" s="10"/>
      <c r="AB97" s="12"/>
      <c r="AC97" s="12"/>
      <c r="AD97" s="10"/>
      <c r="AE97" s="12"/>
      <c r="AF97" s="12"/>
      <c r="AG97" s="10"/>
      <c r="AH97" s="12"/>
      <c r="AI97" s="12"/>
      <c r="AJ97" s="13"/>
      <c r="AK97" s="11"/>
      <c r="AL97" s="12"/>
      <c r="AM97" s="10"/>
      <c r="AN97" s="12"/>
      <c r="AO97" s="12"/>
      <c r="AP97" s="10"/>
      <c r="AQ97" s="12"/>
      <c r="AR97" s="12"/>
      <c r="AS97" s="10"/>
      <c r="AT97" s="12"/>
      <c r="AU97" s="12"/>
      <c r="AV97" s="10"/>
      <c r="AW97" s="12"/>
      <c r="AX97" s="12"/>
      <c r="AY97" s="10"/>
      <c r="AZ97" s="12"/>
      <c r="BA97" s="12"/>
      <c r="BB97" s="10"/>
      <c r="BC97" s="12"/>
      <c r="BD97" s="12"/>
      <c r="BE97" s="10"/>
      <c r="BF97" s="12"/>
      <c r="BG97" s="12"/>
      <c r="BH97" s="10"/>
      <c r="BI97" s="12"/>
      <c r="BK97" s="16"/>
      <c r="BL97" s="16"/>
      <c r="BM97" s="16"/>
      <c r="BN97" s="16"/>
      <c r="BO97" s="16"/>
      <c r="BP97" s="16"/>
      <c r="BQ97" s="16"/>
      <c r="BR97" s="16"/>
      <c r="BS97" s="14"/>
      <c r="BT97" s="15"/>
      <c r="BU97" s="23"/>
      <c r="BV97" s="21"/>
      <c r="BW97" s="21"/>
      <c r="BX97" s="16"/>
      <c r="BY97" s="22"/>
      <c r="BZ97" s="16"/>
      <c r="CA97" s="8"/>
      <c r="CB97" s="10"/>
      <c r="CD97" s="10"/>
      <c r="CF97" s="10"/>
      <c r="CH97" s="10"/>
      <c r="CJ97" s="10"/>
      <c r="CL97" s="10"/>
      <c r="CN97" s="10"/>
      <c r="CP97" s="10"/>
      <c r="CR97" s="10"/>
      <c r="CT97" s="10"/>
      <c r="CV97" s="10"/>
      <c r="CX97" s="10"/>
      <c r="CZ97" s="10"/>
      <c r="DB97" s="10"/>
      <c r="DD97" s="10"/>
      <c r="DF97" s="10"/>
      <c r="DH97" s="10"/>
      <c r="DJ97" s="10"/>
      <c r="DL97" s="10"/>
    </row>
    <row r="98" spans="1:116" x14ac:dyDescent="0.2">
      <c r="A98" s="5"/>
      <c r="B98" s="6"/>
      <c r="C98" s="6"/>
      <c r="D98" s="27"/>
      <c r="E98" s="6"/>
      <c r="F98" s="8"/>
      <c r="G98" s="8"/>
      <c r="I98" s="10"/>
      <c r="J98" s="11"/>
      <c r="K98" s="12"/>
      <c r="L98" s="10"/>
      <c r="M98" s="11"/>
      <c r="N98" s="12"/>
      <c r="O98" s="10"/>
      <c r="P98" s="11"/>
      <c r="Q98" s="12"/>
      <c r="R98" s="13"/>
      <c r="S98" s="11"/>
      <c r="T98" s="12"/>
      <c r="U98" s="10"/>
      <c r="V98" s="12"/>
      <c r="W98" s="12"/>
      <c r="X98" s="10"/>
      <c r="Y98" s="12"/>
      <c r="Z98" s="12"/>
      <c r="AA98" s="10"/>
      <c r="AB98" s="12"/>
      <c r="AC98" s="12"/>
      <c r="AD98" s="10"/>
      <c r="AE98" s="12"/>
      <c r="AF98" s="12"/>
      <c r="AG98" s="10"/>
      <c r="AH98" s="12"/>
      <c r="AI98" s="12"/>
      <c r="AJ98" s="13"/>
      <c r="AK98" s="11"/>
      <c r="AL98" s="12"/>
      <c r="AM98" s="10"/>
      <c r="AN98" s="12"/>
      <c r="AO98" s="12"/>
      <c r="AP98" s="10"/>
      <c r="AQ98" s="12"/>
      <c r="AR98" s="12"/>
      <c r="AS98" s="10"/>
      <c r="AT98" s="12"/>
      <c r="AU98" s="12"/>
      <c r="AV98" s="10"/>
      <c r="AW98" s="12"/>
      <c r="AX98" s="12"/>
      <c r="AY98" s="10"/>
      <c r="AZ98" s="12"/>
      <c r="BA98" s="12"/>
      <c r="BB98" s="10"/>
      <c r="BC98" s="12"/>
      <c r="BD98" s="12"/>
      <c r="BE98" s="10"/>
      <c r="BF98" s="12"/>
      <c r="BG98" s="12"/>
      <c r="BH98" s="10"/>
      <c r="BI98" s="12"/>
      <c r="BK98" s="16"/>
      <c r="BL98" s="16"/>
      <c r="BM98" s="16"/>
      <c r="BN98" s="16"/>
      <c r="BO98" s="16"/>
      <c r="BP98" s="16"/>
      <c r="BQ98" s="16"/>
      <c r="BR98" s="16"/>
      <c r="BS98" s="14"/>
      <c r="BT98" s="15"/>
      <c r="BU98" s="23"/>
      <c r="BV98" s="21"/>
      <c r="BW98" s="21"/>
      <c r="BX98" s="16"/>
      <c r="BY98" s="22"/>
      <c r="BZ98" s="16"/>
      <c r="CA98" s="8"/>
      <c r="CB98" s="10"/>
      <c r="CD98" s="10"/>
      <c r="CF98" s="10"/>
      <c r="CH98" s="10"/>
      <c r="CJ98" s="10"/>
      <c r="CL98" s="10"/>
      <c r="CN98" s="10"/>
      <c r="CP98" s="10"/>
      <c r="CR98" s="10"/>
      <c r="CT98" s="10"/>
      <c r="CV98" s="10"/>
      <c r="CX98" s="10"/>
      <c r="CZ98" s="10"/>
      <c r="DB98" s="10"/>
      <c r="DD98" s="10"/>
      <c r="DF98" s="10"/>
      <c r="DH98" s="10"/>
      <c r="DJ98" s="10"/>
      <c r="DL98" s="10"/>
    </row>
    <row r="99" spans="1:116" x14ac:dyDescent="0.2">
      <c r="A99" s="5"/>
      <c r="B99" s="6"/>
      <c r="C99" s="6"/>
      <c r="D99" s="27"/>
      <c r="E99" s="6"/>
      <c r="F99" s="8"/>
      <c r="G99" s="8"/>
      <c r="I99" s="10"/>
      <c r="J99" s="11"/>
      <c r="K99" s="12"/>
      <c r="L99" s="10"/>
      <c r="M99" s="11"/>
      <c r="N99" s="12"/>
      <c r="O99" s="10"/>
      <c r="P99" s="11"/>
      <c r="Q99" s="12"/>
      <c r="R99" s="13"/>
      <c r="S99" s="11"/>
      <c r="T99" s="12"/>
      <c r="U99" s="10"/>
      <c r="V99" s="12"/>
      <c r="W99" s="12"/>
      <c r="X99" s="10"/>
      <c r="Y99" s="12"/>
      <c r="Z99" s="12"/>
      <c r="AA99" s="10"/>
      <c r="AB99" s="12"/>
      <c r="AC99" s="12"/>
      <c r="AD99" s="10"/>
      <c r="AE99" s="12"/>
      <c r="AF99" s="12"/>
      <c r="AG99" s="10"/>
      <c r="AH99" s="12"/>
      <c r="AI99" s="12"/>
      <c r="AJ99" s="13"/>
      <c r="AK99" s="11"/>
      <c r="AL99" s="12"/>
      <c r="AM99" s="10"/>
      <c r="AN99" s="12"/>
      <c r="AO99" s="12"/>
      <c r="AP99" s="10"/>
      <c r="AQ99" s="12"/>
      <c r="AR99" s="12"/>
      <c r="AS99" s="10"/>
      <c r="AT99" s="12"/>
      <c r="AU99" s="12"/>
      <c r="AV99" s="10"/>
      <c r="AW99" s="12"/>
      <c r="AX99" s="12"/>
      <c r="AY99" s="10"/>
      <c r="AZ99" s="12"/>
      <c r="BA99" s="12"/>
      <c r="BB99" s="10"/>
      <c r="BC99" s="12"/>
      <c r="BD99" s="12"/>
      <c r="BE99" s="10"/>
      <c r="BF99" s="12"/>
      <c r="BG99" s="12"/>
      <c r="BH99" s="10"/>
      <c r="BI99" s="12"/>
      <c r="BK99" s="16"/>
      <c r="BL99" s="16"/>
      <c r="BM99" s="16"/>
      <c r="BN99" s="16"/>
      <c r="BO99" s="16"/>
      <c r="BP99" s="16"/>
      <c r="BQ99" s="16"/>
      <c r="BR99" s="16"/>
      <c r="BS99" s="14"/>
      <c r="BT99" s="15"/>
      <c r="BU99" s="23"/>
      <c r="BV99" s="21"/>
      <c r="BW99" s="21"/>
      <c r="BX99" s="16"/>
      <c r="BY99" s="22"/>
      <c r="BZ99" s="16"/>
      <c r="CA99" s="8"/>
      <c r="CB99" s="10"/>
      <c r="CD99" s="10"/>
      <c r="CF99" s="10"/>
      <c r="CH99" s="10"/>
      <c r="CJ99" s="10"/>
      <c r="CL99" s="10"/>
      <c r="CN99" s="10"/>
      <c r="CP99" s="10"/>
      <c r="CR99" s="10"/>
      <c r="CT99" s="10"/>
      <c r="CV99" s="10"/>
      <c r="CX99" s="10"/>
      <c r="CZ99" s="10"/>
      <c r="DB99" s="10"/>
      <c r="DD99" s="10"/>
      <c r="DF99" s="10"/>
      <c r="DH99" s="10"/>
      <c r="DJ99" s="10"/>
      <c r="DL99" s="10"/>
    </row>
    <row r="100" spans="1:116" x14ac:dyDescent="0.2">
      <c r="A100" s="5"/>
      <c r="B100" s="6"/>
      <c r="C100" s="6"/>
      <c r="D100" s="27"/>
      <c r="E100" s="6"/>
      <c r="F100" s="8"/>
      <c r="G100" s="8"/>
      <c r="I100" s="10"/>
      <c r="J100" s="11"/>
      <c r="K100" s="12"/>
      <c r="L100" s="10"/>
      <c r="M100" s="11"/>
      <c r="N100" s="12"/>
      <c r="O100" s="10"/>
      <c r="P100" s="11"/>
      <c r="Q100" s="12"/>
      <c r="R100" s="13"/>
      <c r="S100" s="11"/>
      <c r="T100" s="12"/>
      <c r="U100" s="10"/>
      <c r="V100" s="12"/>
      <c r="W100" s="12"/>
      <c r="X100" s="10"/>
      <c r="Y100" s="12"/>
      <c r="Z100" s="12"/>
      <c r="AA100" s="10"/>
      <c r="AB100" s="12"/>
      <c r="AC100" s="12"/>
      <c r="AD100" s="10"/>
      <c r="AE100" s="12"/>
      <c r="AF100" s="12"/>
      <c r="AG100" s="10"/>
      <c r="AH100" s="12"/>
      <c r="AI100" s="12"/>
      <c r="AJ100" s="13"/>
      <c r="AK100" s="11"/>
      <c r="AL100" s="12"/>
      <c r="AM100" s="10"/>
      <c r="AN100" s="12"/>
      <c r="AO100" s="12"/>
      <c r="AP100" s="10"/>
      <c r="AQ100" s="12"/>
      <c r="AR100" s="12"/>
      <c r="AS100" s="10"/>
      <c r="AT100" s="12"/>
      <c r="AU100" s="12"/>
      <c r="AV100" s="10"/>
      <c r="AW100" s="12"/>
      <c r="AX100" s="12"/>
      <c r="AY100" s="10"/>
      <c r="AZ100" s="12"/>
      <c r="BA100" s="12"/>
      <c r="BB100" s="10"/>
      <c r="BC100" s="12"/>
      <c r="BD100" s="12"/>
      <c r="BE100" s="10"/>
      <c r="BF100" s="12"/>
      <c r="BG100" s="12"/>
      <c r="BH100" s="10"/>
      <c r="BI100" s="12"/>
      <c r="BK100" s="16"/>
      <c r="BL100" s="16"/>
      <c r="BM100" s="16"/>
      <c r="BN100" s="16"/>
      <c r="BO100" s="16"/>
      <c r="BP100" s="16"/>
      <c r="BQ100" s="16"/>
      <c r="BR100" s="16"/>
      <c r="BS100" s="14"/>
      <c r="BT100" s="15"/>
      <c r="BU100" s="23"/>
      <c r="BV100" s="21"/>
      <c r="BW100" s="21"/>
      <c r="BX100" s="16"/>
      <c r="BY100" s="22"/>
      <c r="BZ100" s="16"/>
      <c r="CA100" s="8"/>
      <c r="CB100" s="10"/>
      <c r="CD100" s="10"/>
      <c r="CF100" s="10"/>
      <c r="CH100" s="10"/>
      <c r="CJ100" s="10"/>
      <c r="CL100" s="10"/>
      <c r="CN100" s="10"/>
      <c r="CP100" s="10"/>
      <c r="CR100" s="10"/>
      <c r="CT100" s="10"/>
      <c r="CV100" s="10"/>
      <c r="CX100" s="10"/>
      <c r="CZ100" s="10"/>
      <c r="DB100" s="10"/>
      <c r="DD100" s="10"/>
      <c r="DF100" s="10"/>
      <c r="DH100" s="10"/>
      <c r="DJ100" s="10"/>
      <c r="DL100" s="10"/>
    </row>
    <row r="101" spans="1:116" x14ac:dyDescent="0.2">
      <c r="A101" s="5"/>
      <c r="B101" s="6"/>
      <c r="C101" s="6"/>
      <c r="D101" s="27"/>
      <c r="E101" s="6"/>
      <c r="F101" s="8"/>
      <c r="G101" s="8"/>
      <c r="I101" s="10"/>
      <c r="J101" s="11"/>
      <c r="K101" s="12"/>
      <c r="L101" s="10"/>
      <c r="M101" s="11"/>
      <c r="N101" s="12"/>
      <c r="O101" s="10"/>
      <c r="P101" s="11"/>
      <c r="Q101" s="12"/>
      <c r="R101" s="13"/>
      <c r="S101" s="11"/>
      <c r="T101" s="12"/>
      <c r="U101" s="10"/>
      <c r="V101" s="12"/>
      <c r="W101" s="12"/>
      <c r="X101" s="10"/>
      <c r="Y101" s="12"/>
      <c r="Z101" s="12"/>
      <c r="AA101" s="10"/>
      <c r="AB101" s="12"/>
      <c r="AC101" s="12"/>
      <c r="AD101" s="10"/>
      <c r="AE101" s="12"/>
      <c r="AF101" s="12"/>
      <c r="AG101" s="10"/>
      <c r="AH101" s="12"/>
      <c r="AI101" s="12"/>
      <c r="AJ101" s="13"/>
      <c r="AK101" s="11"/>
      <c r="AL101" s="12"/>
      <c r="AM101" s="10"/>
      <c r="AN101" s="12"/>
      <c r="AO101" s="12"/>
      <c r="AP101" s="10"/>
      <c r="AQ101" s="12"/>
      <c r="AR101" s="12"/>
      <c r="AS101" s="10"/>
      <c r="AT101" s="12"/>
      <c r="AU101" s="12"/>
      <c r="AV101" s="10"/>
      <c r="AW101" s="12"/>
      <c r="AX101" s="12"/>
      <c r="AY101" s="10"/>
      <c r="AZ101" s="12"/>
      <c r="BA101" s="12"/>
      <c r="BB101" s="10"/>
      <c r="BC101" s="12"/>
      <c r="BD101" s="12"/>
      <c r="BE101" s="10"/>
      <c r="BF101" s="12"/>
      <c r="BG101" s="12"/>
      <c r="BH101" s="10"/>
      <c r="BI101" s="12"/>
      <c r="BK101" s="16"/>
      <c r="BL101" s="16"/>
      <c r="BM101" s="16"/>
      <c r="BN101" s="16"/>
      <c r="BO101" s="16"/>
      <c r="BP101" s="16"/>
      <c r="BQ101" s="16"/>
      <c r="BR101" s="16"/>
      <c r="BS101" s="14"/>
      <c r="BT101" s="15"/>
      <c r="BU101" s="23"/>
      <c r="BV101" s="21"/>
      <c r="BW101" s="21"/>
      <c r="BX101" s="16"/>
      <c r="BY101" s="22"/>
      <c r="BZ101" s="16"/>
      <c r="CA101" s="8"/>
      <c r="CB101" s="10"/>
      <c r="CD101" s="10"/>
      <c r="CF101" s="10"/>
      <c r="CH101" s="10"/>
      <c r="CJ101" s="10"/>
      <c r="CL101" s="10"/>
      <c r="CN101" s="10"/>
      <c r="CP101" s="10"/>
      <c r="CR101" s="10"/>
      <c r="CT101" s="10"/>
      <c r="CV101" s="10"/>
      <c r="CX101" s="10"/>
      <c r="CZ101" s="10"/>
      <c r="DB101" s="10"/>
      <c r="DD101" s="10"/>
      <c r="DF101" s="10"/>
      <c r="DH101" s="10"/>
      <c r="DJ101" s="10"/>
      <c r="DL101" s="10"/>
    </row>
    <row r="102" spans="1:116" x14ac:dyDescent="0.2">
      <c r="A102" s="5"/>
      <c r="B102" s="6"/>
      <c r="C102" s="6"/>
      <c r="D102" s="27"/>
      <c r="E102" s="6"/>
      <c r="F102" s="8"/>
      <c r="G102" s="8"/>
      <c r="I102" s="10"/>
      <c r="J102" s="11"/>
      <c r="K102" s="12"/>
      <c r="L102" s="10"/>
      <c r="M102" s="11"/>
      <c r="N102" s="12"/>
      <c r="O102" s="10"/>
      <c r="P102" s="11"/>
      <c r="Q102" s="12"/>
      <c r="R102" s="13"/>
      <c r="S102" s="11"/>
      <c r="T102" s="12"/>
      <c r="U102" s="10"/>
      <c r="V102" s="12"/>
      <c r="W102" s="12"/>
      <c r="X102" s="10"/>
      <c r="Y102" s="12"/>
      <c r="Z102" s="12"/>
      <c r="AA102" s="10"/>
      <c r="AB102" s="12"/>
      <c r="AC102" s="12"/>
      <c r="AD102" s="10"/>
      <c r="AE102" s="12"/>
      <c r="AF102" s="12"/>
      <c r="AG102" s="10"/>
      <c r="AH102" s="12"/>
      <c r="AI102" s="12"/>
      <c r="AJ102" s="13"/>
      <c r="AK102" s="11"/>
      <c r="AL102" s="12"/>
      <c r="AM102" s="10"/>
      <c r="AN102" s="12"/>
      <c r="AO102" s="12"/>
      <c r="AP102" s="10"/>
      <c r="AQ102" s="12"/>
      <c r="AR102" s="12"/>
      <c r="AS102" s="10"/>
      <c r="AT102" s="12"/>
      <c r="AU102" s="12"/>
      <c r="AV102" s="10"/>
      <c r="AW102" s="12"/>
      <c r="AX102" s="12"/>
      <c r="AY102" s="10"/>
      <c r="AZ102" s="12"/>
      <c r="BA102" s="12"/>
      <c r="BB102" s="10"/>
      <c r="BC102" s="12"/>
      <c r="BD102" s="12"/>
      <c r="BE102" s="10"/>
      <c r="BF102" s="12"/>
      <c r="BG102" s="12"/>
      <c r="BH102" s="10"/>
      <c r="BI102" s="12"/>
      <c r="BK102" s="16"/>
      <c r="BL102" s="16"/>
      <c r="BM102" s="16"/>
      <c r="BN102" s="16"/>
      <c r="BO102" s="16"/>
      <c r="BP102" s="16"/>
      <c r="BQ102" s="16"/>
      <c r="BR102" s="16"/>
      <c r="BS102" s="14"/>
      <c r="BT102" s="15"/>
      <c r="BU102" s="23"/>
      <c r="BV102" s="21"/>
      <c r="BW102" s="21"/>
      <c r="BX102" s="16"/>
      <c r="BY102" s="22"/>
      <c r="BZ102" s="16"/>
      <c r="CA102" s="8"/>
      <c r="CB102" s="10"/>
      <c r="CD102" s="10"/>
      <c r="CF102" s="10"/>
      <c r="CH102" s="10"/>
      <c r="CJ102" s="10"/>
      <c r="CL102" s="10"/>
      <c r="CN102" s="10"/>
      <c r="CP102" s="10"/>
      <c r="CR102" s="10"/>
      <c r="CT102" s="10"/>
      <c r="CV102" s="10"/>
      <c r="CX102" s="10"/>
      <c r="CZ102" s="10"/>
      <c r="DB102" s="10"/>
      <c r="DD102" s="10"/>
      <c r="DF102" s="10"/>
      <c r="DH102" s="10"/>
      <c r="DJ102" s="10"/>
      <c r="DL102" s="10"/>
    </row>
    <row r="103" spans="1:116" x14ac:dyDescent="0.2">
      <c r="A103" s="5"/>
      <c r="B103" s="6"/>
      <c r="C103" s="6"/>
      <c r="D103" s="27"/>
      <c r="E103" s="6"/>
      <c r="F103" s="8"/>
      <c r="G103" s="8"/>
      <c r="I103" s="10"/>
      <c r="J103" s="11"/>
      <c r="K103" s="12"/>
      <c r="L103" s="10"/>
      <c r="M103" s="11"/>
      <c r="N103" s="12"/>
      <c r="O103" s="10"/>
      <c r="P103" s="11"/>
      <c r="Q103" s="12"/>
      <c r="R103" s="13"/>
      <c r="S103" s="11"/>
      <c r="T103" s="12"/>
      <c r="U103" s="10"/>
      <c r="V103" s="12"/>
      <c r="W103" s="12"/>
      <c r="X103" s="10"/>
      <c r="Y103" s="12"/>
      <c r="Z103" s="12"/>
      <c r="AA103" s="10"/>
      <c r="AB103" s="12"/>
      <c r="AC103" s="12"/>
      <c r="AD103" s="10"/>
      <c r="AE103" s="12"/>
      <c r="AF103" s="12"/>
      <c r="AG103" s="10"/>
      <c r="AH103" s="12"/>
      <c r="AI103" s="12"/>
      <c r="AJ103" s="13"/>
      <c r="AK103" s="11"/>
      <c r="AL103" s="12"/>
      <c r="AM103" s="10"/>
      <c r="AN103" s="12"/>
      <c r="AO103" s="12"/>
      <c r="AP103" s="10"/>
      <c r="AQ103" s="12"/>
      <c r="AR103" s="12"/>
      <c r="AS103" s="10"/>
      <c r="AT103" s="12"/>
      <c r="AU103" s="12"/>
      <c r="AV103" s="10"/>
      <c r="AW103" s="12"/>
      <c r="AX103" s="12"/>
      <c r="AY103" s="10"/>
      <c r="AZ103" s="12"/>
      <c r="BA103" s="12"/>
      <c r="BB103" s="10"/>
      <c r="BC103" s="12"/>
      <c r="BD103" s="12"/>
      <c r="BE103" s="10"/>
      <c r="BF103" s="12"/>
      <c r="BG103" s="12"/>
      <c r="BH103" s="10"/>
      <c r="BI103" s="12"/>
      <c r="BK103" s="16"/>
      <c r="BL103" s="16"/>
      <c r="BM103" s="16"/>
      <c r="BN103" s="16"/>
      <c r="BO103" s="16"/>
      <c r="BP103" s="16"/>
      <c r="BQ103" s="16"/>
      <c r="BR103" s="16"/>
      <c r="BS103" s="14"/>
      <c r="BT103" s="15"/>
      <c r="BU103" s="23"/>
      <c r="BV103" s="21"/>
      <c r="BW103" s="21"/>
      <c r="BX103" s="16"/>
      <c r="BY103" s="22"/>
      <c r="BZ103" s="16"/>
      <c r="CA103" s="8"/>
      <c r="CB103" s="10"/>
      <c r="CD103" s="10"/>
      <c r="CF103" s="10"/>
      <c r="CH103" s="10"/>
      <c r="CJ103" s="10"/>
      <c r="CL103" s="10"/>
      <c r="CN103" s="10"/>
      <c r="CP103" s="10"/>
      <c r="CR103" s="10"/>
      <c r="CT103" s="10"/>
      <c r="CV103" s="10"/>
      <c r="CX103" s="10"/>
      <c r="CZ103" s="10"/>
      <c r="DB103" s="10"/>
      <c r="DD103" s="10"/>
      <c r="DF103" s="10"/>
      <c r="DH103" s="10"/>
      <c r="DJ103" s="10"/>
      <c r="DL103" s="10"/>
    </row>
    <row r="104" spans="1:116" x14ac:dyDescent="0.2">
      <c r="A104" s="5"/>
      <c r="B104" s="6"/>
      <c r="C104" s="6"/>
      <c r="D104" s="27"/>
      <c r="E104" s="6"/>
      <c r="F104" s="8"/>
      <c r="G104" s="8"/>
      <c r="I104" s="10"/>
      <c r="J104" s="11"/>
      <c r="K104" s="12"/>
      <c r="L104" s="10"/>
      <c r="M104" s="11"/>
      <c r="N104" s="12"/>
      <c r="O104" s="10"/>
      <c r="P104" s="11"/>
      <c r="Q104" s="12"/>
      <c r="R104" s="13"/>
      <c r="S104" s="11"/>
      <c r="T104" s="12"/>
      <c r="U104" s="10"/>
      <c r="V104" s="12"/>
      <c r="W104" s="12"/>
      <c r="X104" s="10"/>
      <c r="Y104" s="12"/>
      <c r="Z104" s="12"/>
      <c r="AA104" s="10"/>
      <c r="AB104" s="12"/>
      <c r="AC104" s="12"/>
      <c r="AD104" s="10"/>
      <c r="AE104" s="12"/>
      <c r="AF104" s="12"/>
      <c r="AG104" s="10"/>
      <c r="AH104" s="12"/>
      <c r="AI104" s="12"/>
      <c r="AJ104" s="13"/>
      <c r="AK104" s="11"/>
      <c r="AL104" s="12"/>
      <c r="AM104" s="10"/>
      <c r="AN104" s="12"/>
      <c r="AO104" s="12"/>
      <c r="AP104" s="10"/>
      <c r="AQ104" s="12"/>
      <c r="AR104" s="12"/>
      <c r="AS104" s="10"/>
      <c r="AT104" s="12"/>
      <c r="AU104" s="12"/>
      <c r="AV104" s="10"/>
      <c r="AW104" s="12"/>
      <c r="AX104" s="12"/>
      <c r="AY104" s="10"/>
      <c r="AZ104" s="12"/>
      <c r="BA104" s="12"/>
      <c r="BB104" s="10"/>
      <c r="BC104" s="12"/>
      <c r="BD104" s="12"/>
      <c r="BE104" s="10"/>
      <c r="BF104" s="12"/>
      <c r="BG104" s="12"/>
      <c r="BH104" s="10"/>
      <c r="BI104" s="12"/>
      <c r="BK104" s="16"/>
      <c r="BL104" s="16"/>
      <c r="BM104" s="16"/>
      <c r="BN104" s="16"/>
      <c r="BO104" s="16"/>
      <c r="BP104" s="16"/>
      <c r="BQ104" s="16"/>
      <c r="BR104" s="16"/>
      <c r="BS104" s="14"/>
      <c r="BT104" s="15"/>
      <c r="BU104" s="23"/>
      <c r="BV104" s="21"/>
      <c r="BW104" s="21"/>
      <c r="BX104" s="16"/>
      <c r="BY104" s="22"/>
      <c r="BZ104" s="16"/>
      <c r="CA104" s="8"/>
      <c r="CB104" s="10"/>
      <c r="CD104" s="10"/>
      <c r="CF104" s="10"/>
      <c r="CH104" s="10"/>
      <c r="CJ104" s="10"/>
      <c r="CL104" s="10"/>
      <c r="CN104" s="10"/>
      <c r="CP104" s="10"/>
      <c r="CR104" s="10"/>
      <c r="CT104" s="10"/>
      <c r="CV104" s="10"/>
      <c r="CX104" s="10"/>
      <c r="CZ104" s="10"/>
      <c r="DB104" s="10"/>
      <c r="DD104" s="10"/>
      <c r="DF104" s="10"/>
      <c r="DH104" s="10"/>
      <c r="DJ104" s="10"/>
      <c r="DL104" s="10"/>
    </row>
    <row r="105" spans="1:116" x14ac:dyDescent="0.2">
      <c r="A105" s="5"/>
      <c r="B105" s="6"/>
      <c r="C105" s="6"/>
      <c r="D105" s="27"/>
      <c r="E105" s="6"/>
      <c r="F105" s="8"/>
      <c r="G105" s="8"/>
      <c r="I105" s="10"/>
      <c r="J105" s="11"/>
      <c r="K105" s="12"/>
      <c r="L105" s="10"/>
      <c r="M105" s="11"/>
      <c r="N105" s="12"/>
      <c r="O105" s="10"/>
      <c r="P105" s="11"/>
      <c r="Q105" s="12"/>
      <c r="R105" s="13"/>
      <c r="S105" s="11"/>
      <c r="T105" s="12"/>
      <c r="U105" s="10"/>
      <c r="V105" s="12"/>
      <c r="W105" s="12"/>
      <c r="X105" s="10"/>
      <c r="Y105" s="12"/>
      <c r="Z105" s="12"/>
      <c r="AA105" s="10"/>
      <c r="AB105" s="12"/>
      <c r="AC105" s="12"/>
      <c r="AD105" s="10"/>
      <c r="AE105" s="12"/>
      <c r="AF105" s="12"/>
      <c r="AG105" s="10"/>
      <c r="AH105" s="12"/>
      <c r="AI105" s="12"/>
      <c r="AJ105" s="13"/>
      <c r="AK105" s="11"/>
      <c r="AL105" s="12"/>
      <c r="AM105" s="10"/>
      <c r="AN105" s="12"/>
      <c r="AO105" s="12"/>
      <c r="AP105" s="10"/>
      <c r="AQ105" s="12"/>
      <c r="AR105" s="12"/>
      <c r="AS105" s="10"/>
      <c r="AT105" s="12"/>
      <c r="AU105" s="12"/>
      <c r="AV105" s="10"/>
      <c r="AW105" s="12"/>
      <c r="AX105" s="12"/>
      <c r="AY105" s="10"/>
      <c r="AZ105" s="12"/>
      <c r="BA105" s="12"/>
      <c r="BB105" s="10"/>
      <c r="BC105" s="12"/>
      <c r="BD105" s="12"/>
      <c r="BE105" s="10"/>
      <c r="BF105" s="12"/>
      <c r="BG105" s="12"/>
      <c r="BH105" s="10"/>
      <c r="BI105" s="12"/>
      <c r="BK105" s="16"/>
      <c r="BL105" s="16"/>
      <c r="BM105" s="16"/>
      <c r="BN105" s="16"/>
      <c r="BO105" s="16"/>
      <c r="BP105" s="16"/>
      <c r="BQ105" s="16"/>
      <c r="BR105" s="16"/>
      <c r="BS105" s="14"/>
      <c r="BT105" s="15"/>
      <c r="BU105" s="23"/>
      <c r="BV105" s="21"/>
      <c r="BW105" s="21"/>
      <c r="BX105" s="16"/>
      <c r="BY105" s="22"/>
      <c r="BZ105" s="16"/>
      <c r="CA105" s="8"/>
      <c r="CB105" s="10"/>
      <c r="CD105" s="10"/>
      <c r="CF105" s="10"/>
      <c r="CH105" s="10"/>
      <c r="CJ105" s="10"/>
      <c r="CL105" s="10"/>
      <c r="CN105" s="10"/>
      <c r="CP105" s="10"/>
      <c r="CR105" s="10"/>
      <c r="CT105" s="10"/>
      <c r="CV105" s="10"/>
      <c r="CX105" s="10"/>
      <c r="CZ105" s="10"/>
      <c r="DB105" s="10"/>
      <c r="DD105" s="10"/>
      <c r="DF105" s="10"/>
      <c r="DH105" s="10"/>
      <c r="DJ105" s="10"/>
      <c r="DL105" s="10"/>
    </row>
    <row r="106" spans="1:116" x14ac:dyDescent="0.2">
      <c r="A106" s="5"/>
      <c r="B106" s="6"/>
      <c r="C106" s="6"/>
      <c r="D106" s="27"/>
      <c r="E106" s="6"/>
      <c r="F106" s="8"/>
      <c r="G106" s="8"/>
      <c r="I106" s="10"/>
      <c r="J106" s="11"/>
      <c r="K106" s="12"/>
      <c r="L106" s="10"/>
      <c r="M106" s="11"/>
      <c r="N106" s="12"/>
      <c r="O106" s="10"/>
      <c r="P106" s="11"/>
      <c r="Q106" s="12"/>
      <c r="R106" s="13"/>
      <c r="S106" s="11"/>
      <c r="T106" s="12"/>
      <c r="U106" s="10"/>
      <c r="V106" s="12"/>
      <c r="W106" s="12"/>
      <c r="X106" s="10"/>
      <c r="Y106" s="12"/>
      <c r="Z106" s="12"/>
      <c r="AA106" s="10"/>
      <c r="AB106" s="12"/>
      <c r="AC106" s="12"/>
      <c r="AD106" s="10"/>
      <c r="AE106" s="12"/>
      <c r="AF106" s="12"/>
      <c r="AG106" s="10"/>
      <c r="AH106" s="12"/>
      <c r="AI106" s="12"/>
      <c r="AJ106" s="13"/>
      <c r="AK106" s="11"/>
      <c r="AL106" s="12"/>
      <c r="AM106" s="10"/>
      <c r="AN106" s="12"/>
      <c r="AO106" s="12"/>
      <c r="AP106" s="10"/>
      <c r="AQ106" s="12"/>
      <c r="AR106" s="12"/>
      <c r="AS106" s="10"/>
      <c r="AT106" s="12"/>
      <c r="AU106" s="12"/>
      <c r="AV106" s="10"/>
      <c r="AW106" s="12"/>
      <c r="AX106" s="12"/>
      <c r="AY106" s="10"/>
      <c r="AZ106" s="12"/>
      <c r="BA106" s="12"/>
      <c r="BB106" s="10"/>
      <c r="BC106" s="12"/>
      <c r="BD106" s="12"/>
      <c r="BE106" s="10"/>
      <c r="BF106" s="12"/>
      <c r="BG106" s="12"/>
      <c r="BH106" s="10"/>
      <c r="BI106" s="12"/>
      <c r="BK106" s="16"/>
      <c r="BL106" s="16"/>
      <c r="BM106" s="16"/>
      <c r="BN106" s="16"/>
      <c r="BO106" s="16"/>
      <c r="BP106" s="16"/>
      <c r="BQ106" s="16"/>
      <c r="BR106" s="16"/>
      <c r="BS106" s="14"/>
      <c r="BT106" s="15"/>
      <c r="BU106" s="23"/>
      <c r="BV106" s="21"/>
      <c r="BW106" s="21"/>
      <c r="BX106" s="16"/>
      <c r="BY106" s="22"/>
      <c r="BZ106" s="16"/>
      <c r="CA106" s="8"/>
      <c r="CB106" s="10"/>
      <c r="CD106" s="10"/>
      <c r="CF106" s="10"/>
      <c r="CH106" s="10"/>
      <c r="CJ106" s="10"/>
      <c r="CL106" s="10"/>
      <c r="CN106" s="10"/>
      <c r="CP106" s="10"/>
      <c r="CR106" s="10"/>
      <c r="CT106" s="10"/>
      <c r="CV106" s="10"/>
      <c r="CX106" s="10"/>
      <c r="CZ106" s="10"/>
      <c r="DB106" s="10"/>
      <c r="DD106" s="10"/>
      <c r="DF106" s="10"/>
      <c r="DH106" s="10"/>
      <c r="DJ106" s="10"/>
      <c r="DL106" s="10"/>
    </row>
    <row r="107" spans="1:116" x14ac:dyDescent="0.2">
      <c r="A107" s="5"/>
      <c r="B107" s="6"/>
      <c r="C107" s="6"/>
      <c r="D107" s="27"/>
      <c r="E107" s="6"/>
      <c r="F107" s="8"/>
      <c r="G107" s="8"/>
      <c r="I107" s="10"/>
      <c r="J107" s="11"/>
      <c r="K107" s="12"/>
      <c r="L107" s="10"/>
      <c r="M107" s="11"/>
      <c r="N107" s="12"/>
      <c r="O107" s="10"/>
      <c r="P107" s="11"/>
      <c r="Q107" s="12"/>
      <c r="R107" s="13"/>
      <c r="S107" s="11"/>
      <c r="T107" s="12"/>
      <c r="U107" s="10"/>
      <c r="V107" s="12"/>
      <c r="W107" s="12"/>
      <c r="X107" s="10"/>
      <c r="Y107" s="12"/>
      <c r="Z107" s="12"/>
      <c r="AA107" s="10"/>
      <c r="AB107" s="12"/>
      <c r="AC107" s="12"/>
      <c r="AD107" s="10"/>
      <c r="AE107" s="12"/>
      <c r="AF107" s="12"/>
      <c r="AG107" s="10"/>
      <c r="AH107" s="12"/>
      <c r="AI107" s="12"/>
      <c r="AJ107" s="13"/>
      <c r="AK107" s="11"/>
      <c r="AL107" s="12"/>
      <c r="AM107" s="10"/>
      <c r="AN107" s="12"/>
      <c r="AO107" s="12"/>
      <c r="AP107" s="10"/>
      <c r="AQ107" s="12"/>
      <c r="AR107" s="12"/>
      <c r="AS107" s="10"/>
      <c r="AT107" s="12"/>
      <c r="AU107" s="12"/>
      <c r="AV107" s="10"/>
      <c r="AW107" s="12"/>
      <c r="AX107" s="12"/>
      <c r="AY107" s="10"/>
      <c r="AZ107" s="12"/>
      <c r="BA107" s="12"/>
      <c r="BB107" s="10"/>
      <c r="BC107" s="12"/>
      <c r="BD107" s="12"/>
      <c r="BE107" s="10"/>
      <c r="BF107" s="12"/>
      <c r="BG107" s="12"/>
      <c r="BH107" s="10"/>
      <c r="BI107" s="12"/>
      <c r="BK107" s="16"/>
      <c r="BL107" s="16"/>
      <c r="BM107" s="16"/>
      <c r="BN107" s="16"/>
      <c r="BO107" s="16"/>
      <c r="BP107" s="16"/>
      <c r="BQ107" s="16"/>
      <c r="BR107" s="16"/>
      <c r="BS107" s="14"/>
      <c r="BT107" s="15"/>
      <c r="BU107" s="23"/>
      <c r="BV107" s="21"/>
      <c r="BW107" s="21"/>
      <c r="BX107" s="16"/>
      <c r="BY107" s="22"/>
      <c r="BZ107" s="16"/>
      <c r="CA107" s="8"/>
      <c r="CB107" s="10"/>
      <c r="CD107" s="10"/>
      <c r="CF107" s="10"/>
      <c r="CH107" s="10"/>
      <c r="CJ107" s="10"/>
      <c r="CL107" s="10"/>
      <c r="CN107" s="10"/>
      <c r="CP107" s="10"/>
      <c r="CR107" s="10"/>
      <c r="CT107" s="10"/>
      <c r="CV107" s="10"/>
      <c r="CX107" s="10"/>
      <c r="CZ107" s="10"/>
      <c r="DB107" s="10"/>
      <c r="DD107" s="10"/>
      <c r="DF107" s="10"/>
      <c r="DH107" s="10"/>
      <c r="DJ107" s="10"/>
      <c r="DL107" s="10"/>
    </row>
    <row r="108" spans="1:116" x14ac:dyDescent="0.2">
      <c r="A108" s="5"/>
      <c r="B108" s="6"/>
      <c r="C108" s="6"/>
      <c r="D108" s="27"/>
      <c r="E108" s="6"/>
      <c r="F108" s="8"/>
      <c r="G108" s="8"/>
      <c r="I108" s="10"/>
      <c r="J108" s="11"/>
      <c r="K108" s="12"/>
      <c r="L108" s="10"/>
      <c r="M108" s="11"/>
      <c r="N108" s="12"/>
      <c r="O108" s="10"/>
      <c r="P108" s="11"/>
      <c r="Q108" s="12"/>
      <c r="R108" s="13"/>
      <c r="S108" s="11"/>
      <c r="T108" s="12"/>
      <c r="U108" s="10"/>
      <c r="V108" s="12"/>
      <c r="W108" s="12"/>
      <c r="X108" s="10"/>
      <c r="Y108" s="12"/>
      <c r="Z108" s="12"/>
      <c r="AA108" s="10"/>
      <c r="AB108" s="12"/>
      <c r="AC108" s="12"/>
      <c r="AD108" s="10"/>
      <c r="AE108" s="12"/>
      <c r="AF108" s="12"/>
      <c r="AG108" s="10"/>
      <c r="AH108" s="12"/>
      <c r="AI108" s="12"/>
      <c r="AJ108" s="13"/>
      <c r="AK108" s="11"/>
      <c r="AL108" s="12"/>
      <c r="AM108" s="10"/>
      <c r="AN108" s="12"/>
      <c r="AO108" s="12"/>
      <c r="AP108" s="10"/>
      <c r="AQ108" s="12"/>
      <c r="AR108" s="12"/>
      <c r="AS108" s="10"/>
      <c r="AT108" s="12"/>
      <c r="AU108" s="12"/>
      <c r="AV108" s="10"/>
      <c r="AW108" s="12"/>
      <c r="AX108" s="12"/>
      <c r="AY108" s="10"/>
      <c r="AZ108" s="12"/>
      <c r="BA108" s="12"/>
      <c r="BB108" s="10"/>
      <c r="BC108" s="12"/>
      <c r="BD108" s="12"/>
      <c r="BE108" s="10"/>
      <c r="BF108" s="12"/>
      <c r="BG108" s="12"/>
      <c r="BH108" s="10"/>
      <c r="BI108" s="12"/>
      <c r="BK108" s="16"/>
      <c r="BL108" s="16"/>
      <c r="BM108" s="16"/>
      <c r="BN108" s="16"/>
      <c r="BO108" s="16"/>
      <c r="BP108" s="16"/>
      <c r="BQ108" s="16"/>
      <c r="BR108" s="16"/>
      <c r="BS108" s="14"/>
      <c r="BT108" s="15"/>
      <c r="BU108" s="23"/>
      <c r="BV108" s="21"/>
      <c r="BW108" s="21"/>
      <c r="BX108" s="16"/>
      <c r="BY108" s="22"/>
      <c r="BZ108" s="16"/>
      <c r="CA108" s="8"/>
      <c r="CB108" s="10"/>
      <c r="CD108" s="10"/>
      <c r="CF108" s="10"/>
      <c r="CH108" s="10"/>
      <c r="CJ108" s="10"/>
      <c r="CL108" s="10"/>
      <c r="CN108" s="10"/>
      <c r="CP108" s="10"/>
      <c r="CR108" s="10"/>
      <c r="CT108" s="10"/>
      <c r="CV108" s="10"/>
      <c r="CX108" s="10"/>
      <c r="CZ108" s="10"/>
      <c r="DB108" s="10"/>
      <c r="DD108" s="10"/>
      <c r="DF108" s="10"/>
      <c r="DH108" s="10"/>
      <c r="DJ108" s="10"/>
      <c r="DL108" s="10"/>
    </row>
    <row r="109" spans="1:116" x14ac:dyDescent="0.2">
      <c r="A109" s="5"/>
      <c r="B109" s="6"/>
      <c r="C109" s="6"/>
      <c r="D109" s="27"/>
      <c r="E109" s="6"/>
      <c r="F109" s="8"/>
      <c r="G109" s="8"/>
      <c r="I109" s="10"/>
      <c r="J109" s="11"/>
      <c r="K109" s="12"/>
      <c r="L109" s="10"/>
      <c r="M109" s="11"/>
      <c r="N109" s="12"/>
      <c r="O109" s="10"/>
      <c r="P109" s="11"/>
      <c r="Q109" s="12"/>
      <c r="R109" s="13"/>
      <c r="S109" s="11"/>
      <c r="T109" s="12"/>
      <c r="U109" s="10"/>
      <c r="V109" s="12"/>
      <c r="W109" s="12"/>
      <c r="X109" s="10"/>
      <c r="Y109" s="12"/>
      <c r="Z109" s="12"/>
      <c r="AA109" s="10"/>
      <c r="AB109" s="12"/>
      <c r="AC109" s="12"/>
      <c r="AD109" s="10"/>
      <c r="AE109" s="12"/>
      <c r="AF109" s="12"/>
      <c r="AG109" s="10"/>
      <c r="AH109" s="12"/>
      <c r="AI109" s="12"/>
      <c r="AJ109" s="13"/>
      <c r="AK109" s="11"/>
      <c r="AL109" s="12"/>
      <c r="AM109" s="10"/>
      <c r="AN109" s="12"/>
      <c r="AO109" s="12"/>
      <c r="AP109" s="10"/>
      <c r="AQ109" s="12"/>
      <c r="AR109" s="12"/>
      <c r="AS109" s="10"/>
      <c r="AT109" s="12"/>
      <c r="AU109" s="12"/>
      <c r="AV109" s="10"/>
      <c r="AW109" s="12"/>
      <c r="AX109" s="12"/>
      <c r="AY109" s="10"/>
      <c r="AZ109" s="12"/>
      <c r="BA109" s="12"/>
      <c r="BB109" s="10"/>
      <c r="BC109" s="12"/>
      <c r="BD109" s="12"/>
      <c r="BE109" s="10"/>
      <c r="BF109" s="12"/>
      <c r="BG109" s="12"/>
      <c r="BH109" s="10"/>
      <c r="BI109" s="12"/>
      <c r="BK109" s="16"/>
      <c r="BL109" s="16"/>
      <c r="BM109" s="16"/>
      <c r="BN109" s="16"/>
      <c r="BO109" s="16"/>
      <c r="BP109" s="16"/>
      <c r="BQ109" s="16"/>
      <c r="BR109" s="16"/>
      <c r="BS109" s="14"/>
      <c r="BT109" s="15"/>
      <c r="BU109" s="23"/>
      <c r="BV109" s="21"/>
      <c r="BW109" s="21"/>
      <c r="BX109" s="16"/>
      <c r="BY109" s="22"/>
      <c r="BZ109" s="16"/>
      <c r="CA109" s="8"/>
      <c r="CB109" s="10"/>
      <c r="CD109" s="10"/>
      <c r="CF109" s="10"/>
      <c r="CH109" s="10"/>
      <c r="CJ109" s="10"/>
      <c r="CL109" s="10"/>
      <c r="CN109" s="10"/>
      <c r="CP109" s="10"/>
      <c r="CR109" s="10"/>
      <c r="CT109" s="10"/>
      <c r="CV109" s="10"/>
      <c r="CX109" s="10"/>
      <c r="CZ109" s="10"/>
      <c r="DB109" s="10"/>
      <c r="DD109" s="10"/>
      <c r="DF109" s="10"/>
      <c r="DH109" s="10"/>
      <c r="DJ109" s="10"/>
      <c r="DL109" s="10"/>
    </row>
    <row r="110" spans="1:116" x14ac:dyDescent="0.2">
      <c r="A110" s="5"/>
      <c r="B110" s="6"/>
      <c r="C110" s="6"/>
      <c r="D110" s="27"/>
      <c r="E110" s="6"/>
      <c r="F110" s="8"/>
      <c r="G110" s="8"/>
      <c r="I110" s="10"/>
      <c r="J110" s="11"/>
      <c r="K110" s="12"/>
      <c r="L110" s="10"/>
      <c r="M110" s="11"/>
      <c r="N110" s="12"/>
      <c r="O110" s="10"/>
      <c r="P110" s="11"/>
      <c r="Q110" s="12"/>
      <c r="R110" s="13"/>
      <c r="S110" s="11"/>
      <c r="T110" s="12"/>
      <c r="U110" s="10"/>
      <c r="V110" s="12"/>
      <c r="W110" s="12"/>
      <c r="X110" s="10"/>
      <c r="Y110" s="12"/>
      <c r="Z110" s="12"/>
      <c r="AA110" s="10"/>
      <c r="AB110" s="12"/>
      <c r="AC110" s="12"/>
      <c r="AD110" s="10"/>
      <c r="AE110" s="12"/>
      <c r="AF110" s="12"/>
      <c r="AG110" s="10"/>
      <c r="AH110" s="12"/>
      <c r="AI110" s="12"/>
      <c r="AJ110" s="13"/>
      <c r="AK110" s="11"/>
      <c r="AL110" s="12"/>
      <c r="AM110" s="10"/>
      <c r="AN110" s="12"/>
      <c r="AO110" s="12"/>
      <c r="AP110" s="10"/>
      <c r="AQ110" s="12"/>
      <c r="AR110" s="12"/>
      <c r="AS110" s="10"/>
      <c r="AT110" s="12"/>
      <c r="AU110" s="12"/>
      <c r="AV110" s="10"/>
      <c r="AW110" s="12"/>
      <c r="AX110" s="12"/>
      <c r="AY110" s="10"/>
      <c r="AZ110" s="12"/>
      <c r="BA110" s="12"/>
      <c r="BB110" s="10"/>
      <c r="BC110" s="12"/>
      <c r="BD110" s="12"/>
      <c r="BE110" s="10"/>
      <c r="BF110" s="12"/>
      <c r="BG110" s="12"/>
      <c r="BH110" s="10"/>
      <c r="BI110" s="12"/>
      <c r="BK110" s="16"/>
      <c r="BL110" s="16"/>
      <c r="BM110" s="16"/>
      <c r="BN110" s="16"/>
      <c r="BO110" s="16"/>
      <c r="BP110" s="16"/>
      <c r="BQ110" s="16"/>
      <c r="BR110" s="16"/>
      <c r="BS110" s="14"/>
      <c r="BT110" s="15"/>
      <c r="BU110" s="23"/>
      <c r="BV110" s="21"/>
      <c r="BW110" s="21"/>
      <c r="BX110" s="16"/>
      <c r="BY110" s="22"/>
      <c r="BZ110" s="16"/>
      <c r="CA110" s="8"/>
      <c r="CB110" s="10"/>
      <c r="CD110" s="10"/>
      <c r="CF110" s="10"/>
      <c r="CH110" s="10"/>
      <c r="CJ110" s="10"/>
      <c r="CL110" s="10"/>
      <c r="CN110" s="10"/>
      <c r="CP110" s="10"/>
      <c r="CR110" s="10"/>
      <c r="CT110" s="10"/>
      <c r="CV110" s="10"/>
      <c r="CX110" s="10"/>
      <c r="CZ110" s="10"/>
      <c r="DB110" s="10"/>
      <c r="DD110" s="10"/>
      <c r="DF110" s="10"/>
      <c r="DH110" s="10"/>
      <c r="DJ110" s="10"/>
      <c r="DL110" s="10"/>
    </row>
    <row r="111" spans="1:116" x14ac:dyDescent="0.2">
      <c r="A111" s="5"/>
      <c r="B111" s="6"/>
      <c r="C111" s="6"/>
      <c r="D111" s="27"/>
      <c r="E111" s="6"/>
      <c r="F111" s="8"/>
      <c r="G111" s="8"/>
      <c r="I111" s="10"/>
      <c r="J111" s="11"/>
      <c r="K111" s="12"/>
      <c r="L111" s="10"/>
      <c r="M111" s="11"/>
      <c r="N111" s="12"/>
      <c r="O111" s="10"/>
      <c r="P111" s="11"/>
      <c r="Q111" s="12"/>
      <c r="R111" s="13"/>
      <c r="S111" s="11"/>
      <c r="T111" s="12"/>
      <c r="U111" s="10"/>
      <c r="V111" s="12"/>
      <c r="W111" s="12"/>
      <c r="X111" s="10"/>
      <c r="Y111" s="12"/>
      <c r="Z111" s="12"/>
      <c r="AA111" s="10"/>
      <c r="AB111" s="12"/>
      <c r="AC111" s="12"/>
      <c r="AD111" s="10"/>
      <c r="AE111" s="12"/>
      <c r="AF111" s="12"/>
      <c r="AG111" s="10"/>
      <c r="AH111" s="12"/>
      <c r="AI111" s="12"/>
      <c r="AJ111" s="13"/>
      <c r="AK111" s="11"/>
      <c r="AL111" s="12"/>
      <c r="AM111" s="10"/>
      <c r="AN111" s="12"/>
      <c r="AO111" s="12"/>
      <c r="AP111" s="10"/>
      <c r="AQ111" s="12"/>
      <c r="AR111" s="12"/>
      <c r="AS111" s="10"/>
      <c r="AT111" s="12"/>
      <c r="AU111" s="12"/>
      <c r="AV111" s="10"/>
      <c r="AW111" s="12"/>
      <c r="AX111" s="12"/>
      <c r="AY111" s="10"/>
      <c r="AZ111" s="12"/>
      <c r="BA111" s="12"/>
      <c r="BB111" s="10"/>
      <c r="BC111" s="12"/>
      <c r="BD111" s="12"/>
      <c r="BE111" s="10"/>
      <c r="BF111" s="12"/>
      <c r="BG111" s="12"/>
      <c r="BH111" s="10"/>
      <c r="BI111" s="12"/>
      <c r="BK111" s="16"/>
      <c r="BL111" s="16"/>
      <c r="BM111" s="16"/>
      <c r="BN111" s="16"/>
      <c r="BO111" s="16"/>
      <c r="BP111" s="16"/>
      <c r="BQ111" s="16"/>
      <c r="BR111" s="16"/>
      <c r="BS111" s="14"/>
      <c r="BT111" s="15"/>
      <c r="BU111" s="23"/>
      <c r="BV111" s="21"/>
      <c r="BW111" s="21"/>
      <c r="BX111" s="16"/>
      <c r="BY111" s="22"/>
      <c r="BZ111" s="16"/>
      <c r="CA111" s="8"/>
      <c r="CB111" s="10"/>
      <c r="CD111" s="10"/>
      <c r="CF111" s="10"/>
      <c r="CH111" s="10"/>
      <c r="CJ111" s="10"/>
      <c r="CL111" s="10"/>
      <c r="CN111" s="10"/>
      <c r="CP111" s="10"/>
      <c r="CR111" s="10"/>
      <c r="CT111" s="10"/>
      <c r="CV111" s="10"/>
      <c r="CX111" s="10"/>
      <c r="CZ111" s="10"/>
      <c r="DB111" s="10"/>
      <c r="DD111" s="10"/>
      <c r="DF111" s="10"/>
      <c r="DH111" s="10"/>
      <c r="DJ111" s="10"/>
      <c r="DL111" s="10"/>
    </row>
    <row r="112" spans="1:116" x14ac:dyDescent="0.2">
      <c r="A112" s="5"/>
      <c r="B112" s="6"/>
      <c r="C112" s="6"/>
      <c r="D112" s="27"/>
      <c r="E112" s="6"/>
      <c r="F112" s="8"/>
      <c r="G112" s="8"/>
      <c r="I112" s="10"/>
      <c r="J112" s="11"/>
      <c r="K112" s="12"/>
      <c r="L112" s="10"/>
      <c r="M112" s="11"/>
      <c r="N112" s="12"/>
      <c r="O112" s="10"/>
      <c r="P112" s="11"/>
      <c r="Q112" s="12"/>
      <c r="R112" s="13"/>
      <c r="S112" s="11"/>
      <c r="T112" s="12"/>
      <c r="U112" s="10"/>
      <c r="V112" s="12"/>
      <c r="W112" s="12"/>
      <c r="X112" s="10"/>
      <c r="Y112" s="12"/>
      <c r="Z112" s="12"/>
      <c r="AA112" s="10"/>
      <c r="AB112" s="12"/>
      <c r="AC112" s="12"/>
      <c r="AD112" s="10"/>
      <c r="AE112" s="12"/>
      <c r="AF112" s="12"/>
      <c r="AG112" s="10"/>
      <c r="AH112" s="12"/>
      <c r="AI112" s="12"/>
      <c r="AJ112" s="13"/>
      <c r="AK112" s="11"/>
      <c r="AL112" s="12"/>
      <c r="AM112" s="10"/>
      <c r="AN112" s="12"/>
      <c r="AO112" s="12"/>
      <c r="AP112" s="10"/>
      <c r="AQ112" s="12"/>
      <c r="AR112" s="12"/>
      <c r="AS112" s="10"/>
      <c r="AT112" s="12"/>
      <c r="AU112" s="12"/>
      <c r="AV112" s="10"/>
      <c r="AW112" s="12"/>
      <c r="AX112" s="12"/>
      <c r="AY112" s="10"/>
      <c r="AZ112" s="12"/>
      <c r="BA112" s="12"/>
      <c r="BB112" s="10"/>
      <c r="BC112" s="12"/>
      <c r="BD112" s="12"/>
      <c r="BE112" s="10"/>
      <c r="BF112" s="12"/>
      <c r="BG112" s="12"/>
      <c r="BH112" s="10"/>
      <c r="BI112" s="12"/>
      <c r="BK112" s="16"/>
      <c r="BL112" s="16"/>
      <c r="BM112" s="16"/>
      <c r="BN112" s="16"/>
      <c r="BO112" s="16"/>
      <c r="BP112" s="16"/>
      <c r="BQ112" s="16"/>
      <c r="BR112" s="16"/>
      <c r="BS112" s="14"/>
      <c r="BT112" s="15"/>
      <c r="BU112" s="23"/>
      <c r="BV112" s="21"/>
      <c r="BW112" s="21"/>
      <c r="BX112" s="16"/>
      <c r="BY112" s="22"/>
      <c r="BZ112" s="16"/>
      <c r="CA112" s="8"/>
      <c r="CB112" s="10"/>
      <c r="CD112" s="10"/>
      <c r="CF112" s="10"/>
      <c r="CH112" s="10"/>
      <c r="CJ112" s="10"/>
      <c r="CL112" s="10"/>
      <c r="CN112" s="10"/>
      <c r="CP112" s="10"/>
      <c r="CR112" s="10"/>
      <c r="CT112" s="10"/>
      <c r="CV112" s="10"/>
      <c r="CX112" s="10"/>
      <c r="CZ112" s="10"/>
      <c r="DB112" s="10"/>
      <c r="DD112" s="10"/>
      <c r="DF112" s="10"/>
      <c r="DH112" s="10"/>
      <c r="DJ112" s="10"/>
      <c r="DL112" s="10"/>
    </row>
    <row r="113" spans="1:116" x14ac:dyDescent="0.2">
      <c r="A113" s="5"/>
      <c r="B113" s="6"/>
      <c r="C113" s="6"/>
      <c r="D113" s="27"/>
      <c r="E113" s="6"/>
      <c r="F113" s="8"/>
      <c r="G113" s="8"/>
      <c r="I113" s="10"/>
      <c r="J113" s="11"/>
      <c r="K113" s="12"/>
      <c r="L113" s="10"/>
      <c r="M113" s="11"/>
      <c r="N113" s="12"/>
      <c r="O113" s="10"/>
      <c r="P113" s="11"/>
      <c r="Q113" s="12"/>
      <c r="R113" s="13"/>
      <c r="S113" s="11"/>
      <c r="T113" s="12"/>
      <c r="U113" s="10"/>
      <c r="V113" s="12"/>
      <c r="W113" s="12"/>
      <c r="X113" s="10"/>
      <c r="Y113" s="12"/>
      <c r="Z113" s="12"/>
      <c r="AA113" s="10"/>
      <c r="AB113" s="12"/>
      <c r="AC113" s="12"/>
      <c r="AD113" s="10"/>
      <c r="AE113" s="12"/>
      <c r="AF113" s="12"/>
      <c r="AG113" s="10"/>
      <c r="AH113" s="12"/>
      <c r="AI113" s="12"/>
      <c r="AJ113" s="13"/>
      <c r="AK113" s="11"/>
      <c r="AL113" s="12"/>
      <c r="AM113" s="10"/>
      <c r="AN113" s="12"/>
      <c r="AO113" s="12"/>
      <c r="AP113" s="10"/>
      <c r="AQ113" s="12"/>
      <c r="AR113" s="12"/>
      <c r="AS113" s="10"/>
      <c r="AT113" s="12"/>
      <c r="AU113" s="12"/>
      <c r="AV113" s="10"/>
      <c r="AW113" s="12"/>
      <c r="AX113" s="12"/>
      <c r="AY113" s="10"/>
      <c r="AZ113" s="12"/>
      <c r="BA113" s="12"/>
      <c r="BB113" s="10"/>
      <c r="BC113" s="12"/>
      <c r="BD113" s="12"/>
      <c r="BE113" s="10"/>
      <c r="BF113" s="12"/>
      <c r="BG113" s="12"/>
      <c r="BH113" s="10"/>
      <c r="BI113" s="12"/>
      <c r="BK113" s="16"/>
      <c r="BL113" s="16"/>
      <c r="BM113" s="16"/>
      <c r="BN113" s="16"/>
      <c r="BO113" s="16"/>
      <c r="BP113" s="16"/>
      <c r="BQ113" s="16"/>
      <c r="BR113" s="16"/>
      <c r="BS113" s="14"/>
      <c r="BT113" s="15"/>
      <c r="BU113" s="23"/>
      <c r="BV113" s="21"/>
      <c r="BW113" s="21"/>
      <c r="BX113" s="16"/>
      <c r="BY113" s="22"/>
      <c r="BZ113" s="16"/>
      <c r="CA113" s="8"/>
      <c r="CB113" s="10"/>
      <c r="CD113" s="10"/>
      <c r="CF113" s="10"/>
      <c r="CH113" s="10"/>
      <c r="CJ113" s="10"/>
      <c r="CL113" s="10"/>
      <c r="CN113" s="10"/>
      <c r="CP113" s="10"/>
      <c r="CR113" s="10"/>
      <c r="CT113" s="10"/>
      <c r="CV113" s="10"/>
      <c r="CX113" s="10"/>
      <c r="CZ113" s="10"/>
      <c r="DB113" s="10"/>
      <c r="DD113" s="10"/>
      <c r="DF113" s="10"/>
      <c r="DH113" s="10"/>
      <c r="DJ113" s="10"/>
      <c r="DL113" s="10"/>
    </row>
    <row r="114" spans="1:116" x14ac:dyDescent="0.2">
      <c r="A114" s="5"/>
      <c r="B114" s="6"/>
      <c r="C114" s="6"/>
      <c r="D114" s="27"/>
      <c r="E114" s="6"/>
      <c r="F114" s="8"/>
      <c r="G114" s="8"/>
      <c r="I114" s="10"/>
      <c r="J114" s="11"/>
      <c r="K114" s="12"/>
      <c r="L114" s="10"/>
      <c r="M114" s="11"/>
      <c r="N114" s="12"/>
      <c r="O114" s="10"/>
      <c r="P114" s="11"/>
      <c r="Q114" s="12"/>
      <c r="R114" s="13"/>
      <c r="S114" s="11"/>
      <c r="T114" s="12"/>
      <c r="U114" s="10"/>
      <c r="V114" s="12"/>
      <c r="W114" s="12"/>
      <c r="X114" s="10"/>
      <c r="Y114" s="12"/>
      <c r="Z114" s="12"/>
      <c r="AA114" s="10"/>
      <c r="AB114" s="12"/>
      <c r="AC114" s="12"/>
      <c r="AD114" s="10"/>
      <c r="AE114" s="12"/>
      <c r="AF114" s="12"/>
      <c r="AG114" s="10"/>
      <c r="AH114" s="12"/>
      <c r="AI114" s="12"/>
      <c r="AJ114" s="13"/>
      <c r="AK114" s="11"/>
      <c r="AL114" s="12"/>
      <c r="AM114" s="10"/>
      <c r="AN114" s="12"/>
      <c r="AO114" s="12"/>
      <c r="AP114" s="10"/>
      <c r="AQ114" s="12"/>
      <c r="AR114" s="12"/>
      <c r="AS114" s="10"/>
      <c r="AT114" s="12"/>
      <c r="AU114" s="12"/>
      <c r="AV114" s="10"/>
      <c r="AW114" s="12"/>
      <c r="AX114" s="12"/>
      <c r="AY114" s="10"/>
      <c r="AZ114" s="12"/>
      <c r="BA114" s="12"/>
      <c r="BB114" s="10"/>
      <c r="BC114" s="12"/>
      <c r="BD114" s="12"/>
      <c r="BE114" s="10"/>
      <c r="BF114" s="12"/>
      <c r="BG114" s="12"/>
      <c r="BH114" s="10"/>
      <c r="BI114" s="12"/>
      <c r="BK114" s="16"/>
      <c r="BL114" s="16"/>
      <c r="BM114" s="16"/>
      <c r="BN114" s="16"/>
      <c r="BO114" s="16"/>
      <c r="BP114" s="16"/>
      <c r="BQ114" s="16"/>
      <c r="BR114" s="16"/>
      <c r="BS114" s="14"/>
      <c r="BT114" s="15"/>
      <c r="BU114" s="23"/>
      <c r="BV114" s="21"/>
      <c r="BW114" s="21"/>
      <c r="BX114" s="16"/>
      <c r="BY114" s="22"/>
      <c r="BZ114" s="16"/>
      <c r="CA114" s="8"/>
      <c r="CB114" s="10"/>
      <c r="CD114" s="10"/>
      <c r="CF114" s="10"/>
      <c r="CH114" s="10"/>
      <c r="CJ114" s="10"/>
      <c r="CL114" s="10"/>
      <c r="CN114" s="10"/>
      <c r="CP114" s="10"/>
      <c r="CR114" s="10"/>
      <c r="CT114" s="10"/>
      <c r="CV114" s="10"/>
      <c r="CX114" s="10"/>
      <c r="CZ114" s="10"/>
      <c r="DB114" s="10"/>
      <c r="DD114" s="10"/>
      <c r="DF114" s="10"/>
      <c r="DH114" s="10"/>
      <c r="DJ114" s="10"/>
      <c r="DL114" s="10"/>
    </row>
    <row r="115" spans="1:116" x14ac:dyDescent="0.2">
      <c r="A115" s="5"/>
      <c r="B115" s="6"/>
      <c r="C115" s="6"/>
      <c r="D115" s="27"/>
      <c r="E115" s="6"/>
      <c r="F115" s="8"/>
      <c r="G115" s="8"/>
      <c r="I115" s="10"/>
      <c r="J115" s="11"/>
      <c r="K115" s="12"/>
      <c r="L115" s="10"/>
      <c r="M115" s="11"/>
      <c r="N115" s="12"/>
      <c r="O115" s="10"/>
      <c r="P115" s="11"/>
      <c r="Q115" s="12"/>
      <c r="R115" s="13"/>
      <c r="S115" s="11"/>
      <c r="T115" s="12"/>
      <c r="U115" s="10"/>
      <c r="V115" s="12"/>
      <c r="W115" s="12"/>
      <c r="X115" s="10"/>
      <c r="Y115" s="12"/>
      <c r="Z115" s="12"/>
      <c r="AA115" s="10"/>
      <c r="AB115" s="12"/>
      <c r="AC115" s="12"/>
      <c r="AD115" s="10"/>
      <c r="AE115" s="12"/>
      <c r="AF115" s="12"/>
      <c r="AG115" s="10"/>
      <c r="AH115" s="12"/>
      <c r="AI115" s="12"/>
      <c r="AJ115" s="13"/>
      <c r="AK115" s="11"/>
      <c r="AL115" s="12"/>
      <c r="AM115" s="10"/>
      <c r="AN115" s="12"/>
      <c r="AO115" s="12"/>
      <c r="AP115" s="10"/>
      <c r="AQ115" s="12"/>
      <c r="AR115" s="12"/>
      <c r="AS115" s="10"/>
      <c r="AT115" s="12"/>
      <c r="AU115" s="12"/>
      <c r="AV115" s="10"/>
      <c r="AW115" s="12"/>
      <c r="AX115" s="12"/>
      <c r="AY115" s="10"/>
      <c r="AZ115" s="12"/>
      <c r="BA115" s="12"/>
      <c r="BB115" s="10"/>
      <c r="BC115" s="12"/>
      <c r="BD115" s="12"/>
      <c r="BE115" s="10"/>
      <c r="BF115" s="12"/>
      <c r="BG115" s="12"/>
      <c r="BH115" s="10"/>
      <c r="BI115" s="12"/>
      <c r="BK115" s="16"/>
      <c r="BL115" s="16"/>
      <c r="BM115" s="16"/>
      <c r="BN115" s="16"/>
      <c r="BO115" s="16"/>
      <c r="BP115" s="16"/>
      <c r="BQ115" s="16"/>
      <c r="BR115" s="16"/>
      <c r="BS115" s="14"/>
      <c r="BT115" s="15"/>
      <c r="BU115" s="23"/>
      <c r="BV115" s="21"/>
      <c r="BW115" s="21"/>
      <c r="BX115" s="16"/>
      <c r="BY115" s="22"/>
      <c r="BZ115" s="16"/>
      <c r="CA115" s="8"/>
      <c r="CB115" s="10"/>
      <c r="CD115" s="10"/>
      <c r="CF115" s="10"/>
      <c r="CH115" s="10"/>
      <c r="CJ115" s="10"/>
      <c r="CL115" s="10"/>
      <c r="CN115" s="10"/>
      <c r="CP115" s="10"/>
      <c r="CR115" s="10"/>
      <c r="CT115" s="10"/>
      <c r="CV115" s="10"/>
      <c r="CX115" s="10"/>
      <c r="CZ115" s="10"/>
      <c r="DB115" s="10"/>
      <c r="DD115" s="10"/>
      <c r="DF115" s="10"/>
      <c r="DH115" s="10"/>
      <c r="DJ115" s="10"/>
      <c r="DL115" s="10"/>
    </row>
    <row r="116" spans="1:116" x14ac:dyDescent="0.2">
      <c r="A116" s="5"/>
      <c r="B116" s="6"/>
      <c r="C116" s="6"/>
      <c r="D116" s="27"/>
      <c r="E116" s="6"/>
      <c r="F116" s="8"/>
      <c r="G116" s="8"/>
      <c r="I116" s="10"/>
      <c r="J116" s="11"/>
      <c r="K116" s="12"/>
      <c r="L116" s="10"/>
      <c r="M116" s="11"/>
      <c r="N116" s="12"/>
      <c r="O116" s="10"/>
      <c r="P116" s="11"/>
      <c r="Q116" s="12"/>
      <c r="R116" s="13"/>
      <c r="S116" s="11"/>
      <c r="T116" s="12"/>
      <c r="U116" s="10"/>
      <c r="V116" s="12"/>
      <c r="W116" s="12"/>
      <c r="X116" s="10"/>
      <c r="Y116" s="12"/>
      <c r="Z116" s="12"/>
      <c r="AA116" s="10"/>
      <c r="AB116" s="12"/>
      <c r="AC116" s="12"/>
      <c r="AD116" s="10"/>
      <c r="AE116" s="12"/>
      <c r="AF116" s="12"/>
      <c r="AG116" s="10"/>
      <c r="AH116" s="12"/>
      <c r="AI116" s="12"/>
      <c r="AJ116" s="13"/>
      <c r="AK116" s="11"/>
      <c r="AL116" s="12"/>
      <c r="AM116" s="10"/>
      <c r="AN116" s="12"/>
      <c r="AO116" s="12"/>
      <c r="AP116" s="10"/>
      <c r="AQ116" s="12"/>
      <c r="AR116" s="12"/>
      <c r="AS116" s="10"/>
      <c r="AT116" s="12"/>
      <c r="AU116" s="12"/>
      <c r="AV116" s="10"/>
      <c r="AW116" s="12"/>
      <c r="AX116" s="12"/>
      <c r="AY116" s="10"/>
      <c r="AZ116" s="12"/>
      <c r="BA116" s="12"/>
      <c r="BB116" s="10"/>
      <c r="BC116" s="12"/>
      <c r="BD116" s="12"/>
      <c r="BE116" s="10"/>
      <c r="BF116" s="12"/>
      <c r="BG116" s="12"/>
      <c r="BH116" s="10"/>
      <c r="BI116" s="12"/>
      <c r="BK116" s="16"/>
      <c r="BL116" s="16"/>
      <c r="BM116" s="16"/>
      <c r="BN116" s="16"/>
      <c r="BO116" s="16"/>
      <c r="BP116" s="16"/>
      <c r="BQ116" s="16"/>
      <c r="BR116" s="16"/>
      <c r="BS116" s="14"/>
      <c r="BT116" s="15"/>
      <c r="BU116" s="23"/>
      <c r="BV116" s="21"/>
      <c r="BW116" s="21"/>
      <c r="BX116" s="16"/>
      <c r="BY116" s="22"/>
      <c r="BZ116" s="16"/>
      <c r="CA116" s="8"/>
      <c r="CB116" s="10"/>
      <c r="CD116" s="10"/>
      <c r="CF116" s="10"/>
      <c r="CH116" s="10"/>
      <c r="CJ116" s="10"/>
      <c r="CL116" s="10"/>
      <c r="CN116" s="10"/>
      <c r="CP116" s="10"/>
      <c r="CR116" s="10"/>
      <c r="CT116" s="10"/>
      <c r="CV116" s="10"/>
      <c r="CX116" s="10"/>
      <c r="CZ116" s="10"/>
      <c r="DB116" s="10"/>
      <c r="DD116" s="10"/>
      <c r="DF116" s="10"/>
      <c r="DH116" s="10"/>
      <c r="DJ116" s="10"/>
      <c r="DL116" s="10"/>
    </row>
    <row r="117" spans="1:116" x14ac:dyDescent="0.2">
      <c r="A117" s="5"/>
      <c r="B117" s="6"/>
      <c r="C117" s="6"/>
      <c r="D117" s="27"/>
      <c r="E117" s="6"/>
      <c r="F117" s="8"/>
      <c r="G117" s="8"/>
      <c r="I117" s="10"/>
      <c r="J117" s="11"/>
      <c r="K117" s="12"/>
      <c r="L117" s="10"/>
      <c r="M117" s="11"/>
      <c r="N117" s="12"/>
      <c r="O117" s="10"/>
      <c r="P117" s="11"/>
      <c r="Q117" s="12"/>
      <c r="R117" s="13"/>
      <c r="S117" s="11"/>
      <c r="T117" s="12"/>
      <c r="U117" s="10"/>
      <c r="V117" s="12"/>
      <c r="W117" s="12"/>
      <c r="X117" s="10"/>
      <c r="Y117" s="12"/>
      <c r="Z117" s="12"/>
      <c r="AA117" s="10"/>
      <c r="AB117" s="12"/>
      <c r="AC117" s="12"/>
      <c r="AD117" s="10"/>
      <c r="AE117" s="12"/>
      <c r="AF117" s="12"/>
      <c r="AG117" s="10"/>
      <c r="AH117" s="12"/>
      <c r="AI117" s="12"/>
      <c r="AJ117" s="13"/>
      <c r="AK117" s="11"/>
      <c r="AL117" s="12"/>
      <c r="AM117" s="10"/>
      <c r="AN117" s="12"/>
      <c r="AO117" s="12"/>
      <c r="AP117" s="10"/>
      <c r="AQ117" s="12"/>
      <c r="AR117" s="12"/>
      <c r="AS117" s="10"/>
      <c r="AT117" s="12"/>
      <c r="AU117" s="12"/>
      <c r="AV117" s="10"/>
      <c r="AW117" s="12"/>
      <c r="AX117" s="12"/>
      <c r="AY117" s="10"/>
      <c r="AZ117" s="12"/>
      <c r="BA117" s="12"/>
      <c r="BB117" s="10"/>
      <c r="BC117" s="12"/>
      <c r="BD117" s="12"/>
      <c r="BE117" s="10"/>
      <c r="BF117" s="12"/>
      <c r="BG117" s="12"/>
      <c r="BH117" s="10"/>
      <c r="BI117" s="12"/>
      <c r="BK117" s="16"/>
      <c r="BL117" s="16"/>
      <c r="BM117" s="16"/>
      <c r="BN117" s="16"/>
      <c r="BO117" s="16"/>
      <c r="BP117" s="16"/>
      <c r="BQ117" s="16"/>
      <c r="BR117" s="16"/>
      <c r="BS117" s="14"/>
      <c r="BT117" s="15"/>
      <c r="BU117" s="23"/>
      <c r="BV117" s="21"/>
      <c r="BW117" s="21"/>
      <c r="BX117" s="16"/>
      <c r="BY117" s="22"/>
      <c r="BZ117" s="16"/>
      <c r="CA117" s="8"/>
      <c r="CB117" s="10"/>
      <c r="CD117" s="10"/>
      <c r="CF117" s="10"/>
      <c r="CH117" s="10"/>
      <c r="CJ117" s="10"/>
      <c r="CL117" s="10"/>
      <c r="CN117" s="10"/>
      <c r="CP117" s="10"/>
      <c r="CR117" s="10"/>
      <c r="CT117" s="10"/>
      <c r="CV117" s="10"/>
      <c r="CX117" s="10"/>
      <c r="CZ117" s="10"/>
      <c r="DB117" s="10"/>
      <c r="DD117" s="10"/>
      <c r="DF117" s="10"/>
      <c r="DH117" s="10"/>
      <c r="DJ117" s="10"/>
      <c r="DL117" s="10"/>
    </row>
    <row r="118" spans="1:116" x14ac:dyDescent="0.2">
      <c r="A118" s="5"/>
      <c r="B118" s="6"/>
      <c r="C118" s="6"/>
      <c r="D118" s="27"/>
      <c r="E118" s="6"/>
      <c r="F118" s="8"/>
      <c r="G118" s="8"/>
      <c r="I118" s="10"/>
      <c r="J118" s="11"/>
      <c r="K118" s="12"/>
      <c r="L118" s="10"/>
      <c r="M118" s="11"/>
      <c r="N118" s="12"/>
      <c r="O118" s="10"/>
      <c r="P118" s="11"/>
      <c r="Q118" s="12"/>
      <c r="R118" s="13"/>
      <c r="S118" s="11"/>
      <c r="T118" s="12"/>
      <c r="U118" s="10"/>
      <c r="V118" s="12"/>
      <c r="W118" s="12"/>
      <c r="X118" s="10"/>
      <c r="Y118" s="12"/>
      <c r="Z118" s="12"/>
      <c r="AA118" s="10"/>
      <c r="AB118" s="12"/>
      <c r="AC118" s="12"/>
      <c r="AD118" s="10"/>
      <c r="AE118" s="12"/>
      <c r="AF118" s="12"/>
      <c r="AG118" s="10"/>
      <c r="AH118" s="12"/>
      <c r="AI118" s="12"/>
      <c r="AJ118" s="13"/>
      <c r="AK118" s="11"/>
      <c r="AL118" s="12"/>
      <c r="AM118" s="10"/>
      <c r="AN118" s="12"/>
      <c r="AO118" s="12"/>
      <c r="AP118" s="10"/>
      <c r="AQ118" s="12"/>
      <c r="AR118" s="12"/>
      <c r="AS118" s="10"/>
      <c r="AT118" s="12"/>
      <c r="AU118" s="12"/>
      <c r="AV118" s="10"/>
      <c r="AW118" s="12"/>
      <c r="AX118" s="12"/>
      <c r="AY118" s="10"/>
      <c r="AZ118" s="12"/>
      <c r="BA118" s="12"/>
      <c r="BB118" s="10"/>
      <c r="BC118" s="12"/>
      <c r="BD118" s="12"/>
      <c r="BE118" s="10"/>
      <c r="BF118" s="12"/>
      <c r="BG118" s="12"/>
      <c r="BH118" s="10"/>
      <c r="BI118" s="12"/>
      <c r="BK118" s="16"/>
      <c r="BL118" s="16"/>
      <c r="BM118" s="16"/>
      <c r="BN118" s="16"/>
      <c r="BO118" s="16"/>
      <c r="BP118" s="16"/>
      <c r="BQ118" s="16"/>
      <c r="BR118" s="16"/>
      <c r="BS118" s="14"/>
      <c r="BT118" s="15"/>
      <c r="BU118" s="23"/>
      <c r="BV118" s="21"/>
      <c r="BW118" s="21"/>
      <c r="BX118" s="16"/>
      <c r="BY118" s="22"/>
      <c r="BZ118" s="16"/>
      <c r="CA118" s="8"/>
      <c r="CB118" s="10"/>
      <c r="CD118" s="10"/>
      <c r="CF118" s="10"/>
      <c r="CH118" s="10"/>
      <c r="CJ118" s="10"/>
      <c r="CL118" s="10"/>
      <c r="CN118" s="10"/>
      <c r="CP118" s="10"/>
      <c r="CR118" s="10"/>
      <c r="CT118" s="10"/>
      <c r="CV118" s="10"/>
      <c r="CX118" s="10"/>
      <c r="CZ118" s="10"/>
      <c r="DB118" s="10"/>
      <c r="DD118" s="10"/>
      <c r="DF118" s="10"/>
      <c r="DH118" s="10"/>
      <c r="DJ118" s="10"/>
      <c r="DL118" s="10"/>
    </row>
    <row r="119" spans="1:116" x14ac:dyDescent="0.2">
      <c r="A119" s="5"/>
      <c r="B119" s="6"/>
      <c r="C119" s="6"/>
      <c r="D119" s="27"/>
      <c r="E119" s="6"/>
      <c r="F119" s="8"/>
      <c r="G119" s="8"/>
      <c r="I119" s="10"/>
      <c r="J119" s="11"/>
      <c r="K119" s="12"/>
      <c r="L119" s="10"/>
      <c r="M119" s="11"/>
      <c r="N119" s="12"/>
      <c r="O119" s="10"/>
      <c r="P119" s="11"/>
      <c r="Q119" s="12"/>
      <c r="R119" s="13"/>
      <c r="S119" s="11"/>
      <c r="T119" s="12"/>
      <c r="U119" s="10"/>
      <c r="V119" s="12"/>
      <c r="W119" s="12"/>
      <c r="X119" s="10"/>
      <c r="Y119" s="12"/>
      <c r="Z119" s="12"/>
      <c r="AA119" s="10"/>
      <c r="AB119" s="12"/>
      <c r="AC119" s="12"/>
      <c r="AD119" s="10"/>
      <c r="AE119" s="12"/>
      <c r="AF119" s="12"/>
      <c r="AG119" s="10"/>
      <c r="AH119" s="12"/>
      <c r="AI119" s="12"/>
      <c r="AJ119" s="13"/>
      <c r="AK119" s="11"/>
      <c r="AL119" s="12"/>
      <c r="AM119" s="10"/>
      <c r="AN119" s="12"/>
      <c r="AO119" s="12"/>
      <c r="AP119" s="10"/>
      <c r="AQ119" s="12"/>
      <c r="AR119" s="12"/>
      <c r="AS119" s="10"/>
      <c r="AT119" s="12"/>
      <c r="AU119" s="12"/>
      <c r="AV119" s="10"/>
      <c r="AW119" s="12"/>
      <c r="AX119" s="12"/>
      <c r="AY119" s="10"/>
      <c r="AZ119" s="12"/>
      <c r="BA119" s="12"/>
      <c r="BB119" s="10"/>
      <c r="BC119" s="12"/>
      <c r="BD119" s="12"/>
      <c r="BE119" s="10"/>
      <c r="BF119" s="12"/>
      <c r="BG119" s="12"/>
      <c r="BH119" s="10"/>
      <c r="BI119" s="12"/>
      <c r="BK119" s="16"/>
      <c r="BL119" s="16"/>
      <c r="BM119" s="16"/>
      <c r="BN119" s="16"/>
      <c r="BO119" s="16"/>
      <c r="BP119" s="16"/>
      <c r="BQ119" s="16"/>
      <c r="BR119" s="16"/>
      <c r="BS119" s="14"/>
      <c r="BT119" s="15"/>
      <c r="BU119" s="23"/>
      <c r="BV119" s="21"/>
      <c r="BW119" s="21"/>
      <c r="BX119" s="16"/>
      <c r="BY119" s="22"/>
      <c r="BZ119" s="16"/>
      <c r="CA119" s="8"/>
      <c r="CB119" s="10"/>
      <c r="CD119" s="10"/>
      <c r="CF119" s="10"/>
      <c r="CH119" s="10"/>
      <c r="CJ119" s="10"/>
      <c r="CL119" s="10"/>
      <c r="CN119" s="10"/>
      <c r="CP119" s="10"/>
      <c r="CR119" s="10"/>
      <c r="CT119" s="10"/>
      <c r="CV119" s="10"/>
      <c r="CX119" s="10"/>
      <c r="CZ119" s="10"/>
      <c r="DB119" s="10"/>
      <c r="DD119" s="10"/>
      <c r="DF119" s="10"/>
      <c r="DH119" s="10"/>
      <c r="DJ119" s="10"/>
      <c r="DL119" s="10"/>
    </row>
    <row r="120" spans="1:116" x14ac:dyDescent="0.2">
      <c r="A120" s="5"/>
      <c r="B120" s="6"/>
      <c r="C120" s="6"/>
      <c r="D120" s="27"/>
      <c r="E120" s="6"/>
      <c r="F120" s="8"/>
      <c r="G120" s="8"/>
      <c r="I120" s="10"/>
      <c r="J120" s="11"/>
      <c r="K120" s="12"/>
      <c r="L120" s="10"/>
      <c r="M120" s="11"/>
      <c r="N120" s="12"/>
      <c r="O120" s="10"/>
      <c r="P120" s="11"/>
      <c r="Q120" s="12"/>
      <c r="R120" s="13"/>
      <c r="S120" s="11"/>
      <c r="T120" s="12"/>
      <c r="U120" s="10"/>
      <c r="V120" s="12"/>
      <c r="W120" s="12"/>
      <c r="X120" s="10"/>
      <c r="Y120" s="12"/>
      <c r="Z120" s="12"/>
      <c r="AA120" s="10"/>
      <c r="AB120" s="12"/>
      <c r="AC120" s="12"/>
      <c r="AD120" s="10"/>
      <c r="AE120" s="12"/>
      <c r="AF120" s="12"/>
      <c r="AG120" s="10"/>
      <c r="AH120" s="12"/>
      <c r="AI120" s="12"/>
      <c r="AJ120" s="13"/>
      <c r="AK120" s="11"/>
      <c r="AL120" s="12"/>
      <c r="AM120" s="10"/>
      <c r="AN120" s="12"/>
      <c r="AO120" s="12"/>
      <c r="AP120" s="10"/>
      <c r="AQ120" s="12"/>
      <c r="AR120" s="12"/>
      <c r="AS120" s="10"/>
      <c r="AT120" s="12"/>
      <c r="AU120" s="12"/>
      <c r="AV120" s="10"/>
      <c r="AW120" s="12"/>
      <c r="AX120" s="12"/>
      <c r="AY120" s="10"/>
      <c r="AZ120" s="12"/>
      <c r="BA120" s="12"/>
      <c r="BB120" s="10"/>
      <c r="BC120" s="12"/>
      <c r="BD120" s="12"/>
      <c r="BE120" s="10"/>
      <c r="BF120" s="12"/>
      <c r="BG120" s="12"/>
      <c r="BH120" s="10"/>
      <c r="BI120" s="12"/>
      <c r="BK120" s="16"/>
      <c r="BL120" s="16"/>
      <c r="BM120" s="16"/>
      <c r="BN120" s="16"/>
      <c r="BO120" s="16"/>
      <c r="BP120" s="16"/>
      <c r="BQ120" s="16"/>
      <c r="BR120" s="16"/>
      <c r="BS120" s="14"/>
      <c r="BT120" s="15"/>
      <c r="BU120" s="23"/>
      <c r="BV120" s="21"/>
      <c r="BW120" s="21"/>
      <c r="BX120" s="16"/>
      <c r="BY120" s="22"/>
      <c r="BZ120" s="16"/>
      <c r="CA120" s="8"/>
      <c r="CB120" s="10"/>
      <c r="CD120" s="10"/>
      <c r="CF120" s="10"/>
      <c r="CH120" s="10"/>
      <c r="CJ120" s="10"/>
      <c r="CL120" s="10"/>
      <c r="CN120" s="10"/>
      <c r="CP120" s="10"/>
      <c r="CR120" s="10"/>
      <c r="CT120" s="10"/>
      <c r="CV120" s="10"/>
      <c r="CX120" s="10"/>
      <c r="CZ120" s="10"/>
      <c r="DB120" s="10"/>
      <c r="DD120" s="10"/>
      <c r="DF120" s="10"/>
      <c r="DH120" s="10"/>
      <c r="DJ120" s="10"/>
      <c r="DL120" s="10"/>
    </row>
    <row r="121" spans="1:116" x14ac:dyDescent="0.2">
      <c r="A121" s="5"/>
      <c r="B121" s="6"/>
      <c r="C121" s="6"/>
      <c r="D121" s="27"/>
      <c r="E121" s="6"/>
      <c r="F121" s="8"/>
      <c r="G121" s="8"/>
      <c r="I121" s="10"/>
      <c r="J121" s="11"/>
      <c r="K121" s="12"/>
      <c r="L121" s="10"/>
      <c r="M121" s="11"/>
      <c r="N121" s="12"/>
      <c r="O121" s="10"/>
      <c r="P121" s="11"/>
      <c r="Q121" s="12"/>
      <c r="R121" s="13"/>
      <c r="S121" s="11"/>
      <c r="T121" s="12"/>
      <c r="U121" s="10"/>
      <c r="V121" s="12"/>
      <c r="W121" s="12"/>
      <c r="X121" s="10"/>
      <c r="Y121" s="12"/>
      <c r="Z121" s="12"/>
      <c r="AA121" s="10"/>
      <c r="AB121" s="12"/>
      <c r="AC121" s="12"/>
      <c r="AD121" s="10"/>
      <c r="AE121" s="12"/>
      <c r="AF121" s="12"/>
      <c r="AG121" s="10"/>
      <c r="AH121" s="12"/>
      <c r="AI121" s="12"/>
      <c r="AJ121" s="13"/>
      <c r="AK121" s="11"/>
      <c r="AL121" s="12"/>
      <c r="AM121" s="10"/>
      <c r="AN121" s="12"/>
      <c r="AO121" s="12"/>
      <c r="AP121" s="10"/>
      <c r="AQ121" s="12"/>
      <c r="AR121" s="12"/>
      <c r="AS121" s="10"/>
      <c r="AT121" s="12"/>
      <c r="AU121" s="12"/>
      <c r="AV121" s="10"/>
      <c r="AW121" s="12"/>
      <c r="AX121" s="12"/>
      <c r="AY121" s="10"/>
      <c r="AZ121" s="12"/>
      <c r="BA121" s="12"/>
      <c r="BB121" s="10"/>
      <c r="BC121" s="12"/>
      <c r="BD121" s="12"/>
      <c r="BE121" s="10"/>
      <c r="BF121" s="12"/>
      <c r="BG121" s="12"/>
      <c r="BH121" s="10"/>
      <c r="BI121" s="12"/>
      <c r="BK121" s="16"/>
      <c r="BL121" s="16"/>
      <c r="BM121" s="16"/>
      <c r="BN121" s="16"/>
      <c r="BO121" s="16"/>
      <c r="BP121" s="16"/>
      <c r="BQ121" s="16"/>
      <c r="BR121" s="16"/>
      <c r="BS121" s="14"/>
      <c r="BT121" s="15"/>
      <c r="BU121" s="23"/>
      <c r="BV121" s="21"/>
      <c r="BW121" s="21"/>
      <c r="BX121" s="16"/>
      <c r="BY121" s="22"/>
      <c r="BZ121" s="16"/>
      <c r="CA121" s="8"/>
      <c r="CB121" s="10"/>
      <c r="CD121" s="10"/>
      <c r="CF121" s="10"/>
      <c r="CH121" s="10"/>
      <c r="CJ121" s="10"/>
      <c r="CL121" s="10"/>
      <c r="CN121" s="10"/>
      <c r="CP121" s="10"/>
      <c r="CR121" s="10"/>
      <c r="CT121" s="10"/>
      <c r="CV121" s="10"/>
      <c r="CX121" s="10"/>
      <c r="CZ121" s="10"/>
      <c r="DB121" s="10"/>
      <c r="DD121" s="10"/>
      <c r="DF121" s="10"/>
      <c r="DH121" s="10"/>
      <c r="DJ121" s="10"/>
      <c r="DL121" s="10"/>
    </row>
    <row r="122" spans="1:116" x14ac:dyDescent="0.2">
      <c r="A122" s="5"/>
      <c r="B122" s="6"/>
      <c r="C122" s="6"/>
      <c r="D122" s="27"/>
      <c r="E122" s="6"/>
      <c r="F122" s="8"/>
      <c r="G122" s="8"/>
      <c r="I122" s="10"/>
      <c r="J122" s="11"/>
      <c r="K122" s="12"/>
      <c r="L122" s="10"/>
      <c r="M122" s="11"/>
      <c r="N122" s="12"/>
      <c r="O122" s="10"/>
      <c r="P122" s="11"/>
      <c r="Q122" s="12"/>
      <c r="R122" s="13"/>
      <c r="S122" s="11"/>
      <c r="T122" s="12"/>
      <c r="U122" s="10"/>
      <c r="V122" s="12"/>
      <c r="W122" s="12"/>
      <c r="X122" s="10"/>
      <c r="Y122" s="12"/>
      <c r="Z122" s="12"/>
      <c r="AA122" s="10"/>
      <c r="AB122" s="12"/>
      <c r="AC122" s="12"/>
      <c r="AD122" s="10"/>
      <c r="AE122" s="12"/>
      <c r="AF122" s="12"/>
      <c r="AG122" s="10"/>
      <c r="AH122" s="12"/>
      <c r="AI122" s="12"/>
      <c r="AJ122" s="13"/>
      <c r="AK122" s="11"/>
      <c r="AL122" s="12"/>
      <c r="AM122" s="10"/>
      <c r="AN122" s="12"/>
      <c r="AO122" s="12"/>
      <c r="AP122" s="10"/>
      <c r="AQ122" s="12"/>
      <c r="AR122" s="12"/>
      <c r="AS122" s="10"/>
      <c r="AT122" s="12"/>
      <c r="AU122" s="12"/>
      <c r="AV122" s="10"/>
      <c r="AW122" s="12"/>
      <c r="AX122" s="12"/>
      <c r="AY122" s="10"/>
      <c r="AZ122" s="12"/>
      <c r="BA122" s="12"/>
      <c r="BB122" s="10"/>
      <c r="BC122" s="12"/>
      <c r="BD122" s="12"/>
      <c r="BE122" s="10"/>
      <c r="BF122" s="12"/>
      <c r="BG122" s="12"/>
      <c r="BH122" s="10"/>
      <c r="BI122" s="12"/>
      <c r="BK122" s="16"/>
      <c r="BL122" s="16"/>
      <c r="BM122" s="16"/>
      <c r="BN122" s="16"/>
      <c r="BO122" s="16"/>
      <c r="BP122" s="16"/>
      <c r="BQ122" s="16"/>
      <c r="BR122" s="16"/>
      <c r="BS122" s="14"/>
      <c r="BT122" s="15"/>
      <c r="BU122" s="23"/>
      <c r="BV122" s="21"/>
      <c r="BW122" s="21"/>
      <c r="BX122" s="16"/>
      <c r="BY122" s="22"/>
      <c r="BZ122" s="16"/>
      <c r="CA122" s="8"/>
      <c r="CB122" s="10"/>
      <c r="CD122" s="10"/>
      <c r="CF122" s="10"/>
      <c r="CH122" s="10"/>
      <c r="CJ122" s="10"/>
      <c r="CL122" s="10"/>
      <c r="CN122" s="10"/>
      <c r="CP122" s="10"/>
      <c r="CR122" s="10"/>
      <c r="CT122" s="10"/>
      <c r="CV122" s="10"/>
      <c r="CX122" s="10"/>
      <c r="CZ122" s="10"/>
      <c r="DB122" s="10"/>
      <c r="DD122" s="10"/>
      <c r="DF122" s="10"/>
      <c r="DH122" s="10"/>
      <c r="DJ122" s="10"/>
      <c r="DL122" s="10"/>
    </row>
    <row r="123" spans="1:116" x14ac:dyDescent="0.2">
      <c r="A123" s="5"/>
      <c r="B123" s="6"/>
      <c r="C123" s="6"/>
      <c r="D123" s="27"/>
      <c r="E123" s="6"/>
      <c r="F123" s="8"/>
      <c r="G123" s="8"/>
      <c r="I123" s="10"/>
      <c r="J123" s="11"/>
      <c r="K123" s="12"/>
      <c r="L123" s="10"/>
      <c r="M123" s="11"/>
      <c r="N123" s="12"/>
      <c r="O123" s="10"/>
      <c r="P123" s="11"/>
      <c r="Q123" s="12"/>
      <c r="R123" s="13"/>
      <c r="S123" s="11"/>
      <c r="T123" s="12"/>
      <c r="U123" s="10"/>
      <c r="V123" s="12"/>
      <c r="W123" s="12"/>
      <c r="X123" s="10"/>
      <c r="Y123" s="12"/>
      <c r="Z123" s="12"/>
      <c r="AA123" s="10"/>
      <c r="AB123" s="12"/>
      <c r="AC123" s="12"/>
      <c r="AD123" s="10"/>
      <c r="AE123" s="12"/>
      <c r="AF123" s="12"/>
      <c r="AG123" s="10"/>
      <c r="AH123" s="12"/>
      <c r="AI123" s="12"/>
      <c r="AJ123" s="13"/>
      <c r="AK123" s="11"/>
      <c r="AL123" s="12"/>
      <c r="AM123" s="10"/>
      <c r="AN123" s="12"/>
      <c r="AO123" s="12"/>
      <c r="AP123" s="10"/>
      <c r="AQ123" s="12"/>
      <c r="AR123" s="12"/>
      <c r="AS123" s="10"/>
      <c r="AT123" s="12"/>
      <c r="AU123" s="12"/>
      <c r="AV123" s="10"/>
      <c r="AW123" s="12"/>
      <c r="AX123" s="12"/>
      <c r="AY123" s="10"/>
      <c r="AZ123" s="12"/>
      <c r="BA123" s="12"/>
      <c r="BB123" s="10"/>
      <c r="BC123" s="12"/>
      <c r="BD123" s="12"/>
      <c r="BE123" s="10"/>
      <c r="BF123" s="12"/>
      <c r="BG123" s="12"/>
      <c r="BH123" s="10"/>
      <c r="BI123" s="12"/>
      <c r="BK123" s="16"/>
      <c r="BL123" s="16"/>
      <c r="BM123" s="16"/>
      <c r="BN123" s="16"/>
      <c r="BO123" s="16"/>
      <c r="BP123" s="16"/>
      <c r="BQ123" s="16"/>
      <c r="BR123" s="16"/>
      <c r="BS123" s="14"/>
      <c r="BT123" s="15"/>
      <c r="BU123" s="23"/>
      <c r="BV123" s="21"/>
      <c r="BW123" s="21"/>
      <c r="BX123" s="16"/>
      <c r="BY123" s="22"/>
      <c r="BZ123" s="16"/>
      <c r="CA123" s="8"/>
      <c r="CB123" s="10"/>
      <c r="CD123" s="10"/>
      <c r="CF123" s="10"/>
      <c r="CH123" s="10"/>
      <c r="CJ123" s="10"/>
      <c r="CL123" s="10"/>
      <c r="CN123" s="10"/>
      <c r="CP123" s="10"/>
      <c r="CR123" s="10"/>
      <c r="CT123" s="10"/>
      <c r="CV123" s="10"/>
      <c r="CX123" s="10"/>
      <c r="CZ123" s="10"/>
      <c r="DB123" s="10"/>
      <c r="DD123" s="10"/>
      <c r="DF123" s="10"/>
      <c r="DH123" s="10"/>
      <c r="DJ123" s="10"/>
      <c r="DL123" s="10"/>
    </row>
    <row r="124" spans="1:116" x14ac:dyDescent="0.2">
      <c r="A124" s="5"/>
      <c r="B124" s="6"/>
      <c r="C124" s="6"/>
      <c r="D124" s="27"/>
      <c r="E124" s="6"/>
      <c r="F124" s="8"/>
      <c r="G124" s="8"/>
      <c r="I124" s="10"/>
      <c r="J124" s="11"/>
      <c r="K124" s="12"/>
      <c r="L124" s="10"/>
      <c r="M124" s="11"/>
      <c r="N124" s="12"/>
      <c r="O124" s="10"/>
      <c r="P124" s="11"/>
      <c r="Q124" s="12"/>
      <c r="R124" s="13"/>
      <c r="S124" s="11"/>
      <c r="T124" s="12"/>
      <c r="U124" s="10"/>
      <c r="V124" s="12"/>
      <c r="W124" s="12"/>
      <c r="X124" s="10"/>
      <c r="Y124" s="12"/>
      <c r="Z124" s="12"/>
      <c r="AA124" s="10"/>
      <c r="AB124" s="12"/>
      <c r="AC124" s="12"/>
      <c r="AD124" s="10"/>
      <c r="AE124" s="12"/>
      <c r="AF124" s="12"/>
      <c r="AG124" s="10"/>
      <c r="AH124" s="12"/>
      <c r="AI124" s="12"/>
      <c r="AJ124" s="13"/>
      <c r="AK124" s="11"/>
      <c r="AL124" s="12"/>
      <c r="AM124" s="10"/>
      <c r="AN124" s="12"/>
      <c r="AO124" s="12"/>
      <c r="AP124" s="10"/>
      <c r="AQ124" s="12"/>
      <c r="AR124" s="12"/>
      <c r="AS124" s="10"/>
      <c r="AT124" s="12"/>
      <c r="AU124" s="12"/>
      <c r="AV124" s="10"/>
      <c r="AW124" s="12"/>
      <c r="AX124" s="12"/>
      <c r="AY124" s="10"/>
      <c r="AZ124" s="12"/>
      <c r="BA124" s="12"/>
      <c r="BB124" s="10"/>
      <c r="BC124" s="12"/>
      <c r="BD124" s="12"/>
      <c r="BE124" s="10"/>
      <c r="BF124" s="12"/>
      <c r="BG124" s="12"/>
      <c r="BH124" s="10"/>
      <c r="BI124" s="12"/>
      <c r="BK124" s="16"/>
      <c r="BL124" s="16"/>
      <c r="BM124" s="16"/>
      <c r="BN124" s="16"/>
      <c r="BO124" s="16"/>
      <c r="BP124" s="16"/>
      <c r="BQ124" s="16"/>
      <c r="BR124" s="16"/>
      <c r="BS124" s="14"/>
      <c r="BT124" s="15"/>
      <c r="BU124" s="23"/>
      <c r="BV124" s="21"/>
      <c r="BW124" s="21"/>
      <c r="BX124" s="16"/>
      <c r="BY124" s="22"/>
      <c r="BZ124" s="16"/>
      <c r="CA124" s="8"/>
      <c r="CB124" s="10"/>
      <c r="CD124" s="10"/>
      <c r="CF124" s="10"/>
      <c r="CH124" s="10"/>
      <c r="CJ124" s="10"/>
      <c r="CL124" s="10"/>
      <c r="CN124" s="10"/>
      <c r="CP124" s="10"/>
      <c r="CR124" s="10"/>
      <c r="CT124" s="10"/>
      <c r="CV124" s="10"/>
      <c r="CX124" s="10"/>
      <c r="CZ124" s="10"/>
      <c r="DB124" s="10"/>
      <c r="DD124" s="10"/>
      <c r="DF124" s="10"/>
      <c r="DH124" s="10"/>
      <c r="DJ124" s="10"/>
      <c r="DL124" s="10"/>
    </row>
    <row r="125" spans="1:116" x14ac:dyDescent="0.2">
      <c r="A125" s="5"/>
      <c r="B125" s="6"/>
      <c r="C125" s="6"/>
      <c r="D125" s="27"/>
      <c r="E125" s="6"/>
      <c r="F125" s="8"/>
      <c r="G125" s="8"/>
      <c r="I125" s="10"/>
      <c r="J125" s="11"/>
      <c r="K125" s="12"/>
      <c r="L125" s="10"/>
      <c r="M125" s="11"/>
      <c r="N125" s="12"/>
      <c r="O125" s="10"/>
      <c r="P125" s="11"/>
      <c r="Q125" s="12"/>
      <c r="R125" s="13"/>
      <c r="S125" s="11"/>
      <c r="T125" s="12"/>
      <c r="U125" s="10"/>
      <c r="V125" s="12"/>
      <c r="W125" s="12"/>
      <c r="X125" s="10"/>
      <c r="Y125" s="12"/>
      <c r="Z125" s="12"/>
      <c r="AA125" s="10"/>
      <c r="AB125" s="12"/>
      <c r="AC125" s="12"/>
      <c r="AD125" s="10"/>
      <c r="AE125" s="12"/>
      <c r="AF125" s="12"/>
      <c r="AG125" s="10"/>
      <c r="AH125" s="12"/>
      <c r="AI125" s="12"/>
      <c r="AJ125" s="13"/>
      <c r="AK125" s="11"/>
      <c r="AL125" s="12"/>
      <c r="AM125" s="10"/>
      <c r="AN125" s="12"/>
      <c r="AO125" s="12"/>
      <c r="AP125" s="10"/>
      <c r="AQ125" s="12"/>
      <c r="AR125" s="12"/>
      <c r="AS125" s="10"/>
      <c r="AT125" s="12"/>
      <c r="AU125" s="12"/>
      <c r="AV125" s="10"/>
      <c r="AW125" s="12"/>
      <c r="AX125" s="12"/>
      <c r="AY125" s="10"/>
      <c r="AZ125" s="12"/>
      <c r="BA125" s="12"/>
      <c r="BB125" s="10"/>
      <c r="BC125" s="12"/>
      <c r="BD125" s="12"/>
      <c r="BE125" s="10"/>
      <c r="BF125" s="12"/>
      <c r="BG125" s="12"/>
      <c r="BH125" s="10"/>
      <c r="BI125" s="12"/>
      <c r="BK125" s="16"/>
      <c r="BL125" s="16"/>
      <c r="BM125" s="16"/>
      <c r="BN125" s="16"/>
      <c r="BO125" s="16"/>
      <c r="BP125" s="16"/>
      <c r="BQ125" s="16"/>
      <c r="BR125" s="16"/>
      <c r="BS125" s="14"/>
      <c r="BT125" s="15"/>
      <c r="BU125" s="23"/>
      <c r="BV125" s="21"/>
      <c r="BW125" s="21"/>
      <c r="BX125" s="16"/>
      <c r="BY125" s="22"/>
      <c r="BZ125" s="16"/>
      <c r="CA125" s="8"/>
      <c r="CB125" s="10"/>
      <c r="CD125" s="10"/>
      <c r="CF125" s="10"/>
      <c r="CH125" s="10"/>
      <c r="CJ125" s="10"/>
      <c r="CL125" s="10"/>
      <c r="CN125" s="10"/>
      <c r="CP125" s="10"/>
      <c r="CR125" s="10"/>
      <c r="CT125" s="10"/>
      <c r="CV125" s="10"/>
      <c r="CX125" s="10"/>
      <c r="CZ125" s="10"/>
      <c r="DB125" s="10"/>
      <c r="DD125" s="10"/>
      <c r="DF125" s="10"/>
      <c r="DH125" s="10"/>
      <c r="DJ125" s="10"/>
      <c r="DL125" s="10"/>
    </row>
    <row r="126" spans="1:116" x14ac:dyDescent="0.2">
      <c r="A126" s="5"/>
      <c r="B126" s="6"/>
      <c r="C126" s="6"/>
      <c r="D126" s="27"/>
      <c r="E126" s="6"/>
      <c r="F126" s="8"/>
      <c r="G126" s="8"/>
      <c r="I126" s="10"/>
      <c r="J126" s="11"/>
      <c r="K126" s="12"/>
      <c r="L126" s="10"/>
      <c r="M126" s="11"/>
      <c r="N126" s="12"/>
      <c r="O126" s="10"/>
      <c r="P126" s="11"/>
      <c r="Q126" s="12"/>
      <c r="R126" s="13"/>
      <c r="S126" s="11"/>
      <c r="T126" s="12"/>
      <c r="U126" s="10"/>
      <c r="V126" s="12"/>
      <c r="W126" s="12"/>
      <c r="X126" s="10"/>
      <c r="Y126" s="12"/>
      <c r="Z126" s="12"/>
      <c r="AA126" s="10"/>
      <c r="AB126" s="12"/>
      <c r="AC126" s="12"/>
      <c r="AD126" s="10"/>
      <c r="AE126" s="12"/>
      <c r="AF126" s="12"/>
      <c r="AG126" s="10"/>
      <c r="AH126" s="12"/>
      <c r="AI126" s="12"/>
      <c r="AJ126" s="13"/>
      <c r="AK126" s="11"/>
      <c r="AL126" s="12"/>
      <c r="AM126" s="10"/>
      <c r="AN126" s="12"/>
      <c r="AO126" s="12"/>
      <c r="AP126" s="10"/>
      <c r="AQ126" s="12"/>
      <c r="AR126" s="12"/>
      <c r="AS126" s="10"/>
      <c r="AT126" s="12"/>
      <c r="AU126" s="12"/>
      <c r="AV126" s="10"/>
      <c r="AW126" s="12"/>
      <c r="AX126" s="12"/>
      <c r="AY126" s="10"/>
      <c r="AZ126" s="12"/>
      <c r="BA126" s="12"/>
      <c r="BB126" s="10"/>
      <c r="BC126" s="12"/>
      <c r="BD126" s="12"/>
      <c r="BE126" s="10"/>
      <c r="BF126" s="12"/>
      <c r="BG126" s="12"/>
      <c r="BH126" s="10"/>
      <c r="BI126" s="12"/>
      <c r="BK126" s="16"/>
      <c r="BL126" s="16"/>
      <c r="BM126" s="16"/>
      <c r="BN126" s="16"/>
      <c r="BO126" s="16"/>
      <c r="BP126" s="16"/>
      <c r="BQ126" s="16"/>
      <c r="BR126" s="16"/>
      <c r="BS126" s="14"/>
      <c r="BT126" s="15"/>
      <c r="BU126" s="23"/>
      <c r="BV126" s="21"/>
      <c r="BW126" s="21"/>
      <c r="BX126" s="16"/>
      <c r="BY126" s="22"/>
      <c r="BZ126" s="16"/>
      <c r="CA126" s="8"/>
      <c r="CB126" s="10"/>
      <c r="CD126" s="10"/>
      <c r="CF126" s="10"/>
      <c r="CH126" s="10"/>
      <c r="CJ126" s="10"/>
      <c r="CL126" s="10"/>
      <c r="CN126" s="10"/>
      <c r="CP126" s="10"/>
      <c r="CR126" s="10"/>
      <c r="CT126" s="10"/>
      <c r="CV126" s="10"/>
      <c r="CX126" s="10"/>
      <c r="CZ126" s="10"/>
      <c r="DB126" s="10"/>
      <c r="DD126" s="10"/>
      <c r="DF126" s="10"/>
      <c r="DH126" s="10"/>
      <c r="DJ126" s="10"/>
      <c r="DL126" s="10"/>
    </row>
    <row r="127" spans="1:116" x14ac:dyDescent="0.2">
      <c r="A127" s="5"/>
      <c r="B127" s="6"/>
      <c r="C127" s="6"/>
      <c r="D127" s="27"/>
      <c r="E127" s="6"/>
      <c r="F127" s="8"/>
      <c r="G127" s="8"/>
      <c r="I127" s="10"/>
      <c r="J127" s="11"/>
      <c r="K127" s="12"/>
      <c r="L127" s="10"/>
      <c r="M127" s="11"/>
      <c r="N127" s="12"/>
      <c r="O127" s="10"/>
      <c r="P127" s="11"/>
      <c r="Q127" s="12"/>
      <c r="R127" s="13"/>
      <c r="S127" s="11"/>
      <c r="T127" s="12"/>
      <c r="U127" s="10"/>
      <c r="V127" s="12"/>
      <c r="W127" s="12"/>
      <c r="X127" s="10"/>
      <c r="Y127" s="12"/>
      <c r="Z127" s="12"/>
      <c r="AA127" s="10"/>
      <c r="AB127" s="12"/>
      <c r="AC127" s="12"/>
      <c r="AD127" s="10"/>
      <c r="AE127" s="12"/>
      <c r="AF127" s="12"/>
      <c r="AG127" s="10"/>
      <c r="AH127" s="12"/>
      <c r="AI127" s="12"/>
      <c r="AJ127" s="13"/>
      <c r="AK127" s="11"/>
      <c r="AL127" s="12"/>
      <c r="AM127" s="10"/>
      <c r="AN127" s="12"/>
      <c r="AO127" s="12"/>
      <c r="AP127" s="10"/>
      <c r="AQ127" s="12"/>
      <c r="AR127" s="12"/>
      <c r="AS127" s="10"/>
      <c r="AT127" s="12"/>
      <c r="AU127" s="12"/>
      <c r="AV127" s="10"/>
      <c r="AW127" s="12"/>
      <c r="AX127" s="12"/>
      <c r="AY127" s="10"/>
      <c r="AZ127" s="12"/>
      <c r="BA127" s="12"/>
      <c r="BB127" s="10"/>
      <c r="BC127" s="12"/>
      <c r="BD127" s="12"/>
      <c r="BE127" s="10"/>
      <c r="BF127" s="12"/>
      <c r="BG127" s="12"/>
      <c r="BH127" s="10"/>
      <c r="BI127" s="12"/>
      <c r="BK127" s="16"/>
      <c r="BL127" s="16"/>
      <c r="BM127" s="16"/>
      <c r="BN127" s="16"/>
      <c r="BO127" s="16"/>
      <c r="BP127" s="16"/>
      <c r="BQ127" s="16"/>
      <c r="BR127" s="16"/>
      <c r="BS127" s="14"/>
      <c r="BT127" s="15"/>
      <c r="BU127" s="23"/>
      <c r="BV127" s="21"/>
      <c r="BW127" s="21"/>
      <c r="BX127" s="16"/>
      <c r="BY127" s="22"/>
      <c r="BZ127" s="16"/>
      <c r="CA127" s="8"/>
      <c r="CB127" s="10"/>
      <c r="CD127" s="10"/>
      <c r="CF127" s="10"/>
      <c r="CH127" s="10"/>
      <c r="CJ127" s="10"/>
      <c r="CL127" s="10"/>
      <c r="CN127" s="10"/>
      <c r="CP127" s="10"/>
      <c r="CR127" s="10"/>
      <c r="CT127" s="10"/>
      <c r="CV127" s="10"/>
      <c r="CX127" s="10"/>
      <c r="CZ127" s="10"/>
      <c r="DB127" s="10"/>
      <c r="DD127" s="10"/>
      <c r="DF127" s="10"/>
      <c r="DH127" s="10"/>
      <c r="DJ127" s="10"/>
      <c r="DL127" s="10"/>
    </row>
    <row r="128" spans="1:116" x14ac:dyDescent="0.2">
      <c r="A128" s="5"/>
      <c r="B128" s="6"/>
      <c r="C128" s="6"/>
      <c r="D128" s="27"/>
      <c r="E128" s="6"/>
      <c r="F128" s="8"/>
      <c r="G128" s="8"/>
      <c r="I128" s="10"/>
      <c r="J128" s="11"/>
      <c r="K128" s="12"/>
      <c r="L128" s="10"/>
      <c r="M128" s="11"/>
      <c r="N128" s="12"/>
      <c r="O128" s="10"/>
      <c r="P128" s="11"/>
      <c r="Q128" s="12"/>
      <c r="R128" s="13"/>
      <c r="S128" s="11"/>
      <c r="T128" s="12"/>
      <c r="U128" s="10"/>
      <c r="V128" s="12"/>
      <c r="W128" s="12"/>
      <c r="X128" s="10"/>
      <c r="Y128" s="12"/>
      <c r="Z128" s="12"/>
      <c r="AA128" s="10"/>
      <c r="AB128" s="12"/>
      <c r="AC128" s="12"/>
      <c r="AD128" s="10"/>
      <c r="AE128" s="12"/>
      <c r="AF128" s="12"/>
      <c r="AG128" s="10"/>
      <c r="AH128" s="12"/>
      <c r="AI128" s="12"/>
      <c r="AJ128" s="13"/>
      <c r="AK128" s="11"/>
      <c r="AL128" s="12"/>
      <c r="AM128" s="10"/>
      <c r="AN128" s="12"/>
      <c r="AO128" s="12"/>
      <c r="AP128" s="10"/>
      <c r="AQ128" s="12"/>
      <c r="AR128" s="12"/>
      <c r="AS128" s="10"/>
      <c r="AT128" s="12"/>
      <c r="AU128" s="12"/>
      <c r="AV128" s="10"/>
      <c r="AW128" s="12"/>
      <c r="AX128" s="12"/>
      <c r="AY128" s="10"/>
      <c r="AZ128" s="12"/>
      <c r="BA128" s="12"/>
      <c r="BB128" s="10"/>
      <c r="BC128" s="12"/>
      <c r="BD128" s="12"/>
      <c r="BE128" s="10"/>
      <c r="BF128" s="12"/>
      <c r="BG128" s="12"/>
      <c r="BH128" s="10"/>
      <c r="BI128" s="12"/>
      <c r="BK128" s="16"/>
      <c r="BL128" s="16"/>
      <c r="BM128" s="16"/>
      <c r="BN128" s="16"/>
      <c r="BO128" s="16"/>
      <c r="BP128" s="16"/>
      <c r="BQ128" s="16"/>
      <c r="BR128" s="16"/>
      <c r="BS128" s="14"/>
      <c r="BT128" s="15"/>
      <c r="BU128" s="23"/>
      <c r="BV128" s="21"/>
      <c r="BW128" s="21"/>
      <c r="BX128" s="16"/>
      <c r="BY128" s="22"/>
      <c r="BZ128" s="16"/>
      <c r="CA128" s="8"/>
      <c r="CB128" s="10"/>
      <c r="CD128" s="10"/>
      <c r="CF128" s="10"/>
      <c r="CH128" s="10"/>
      <c r="CJ128" s="10"/>
      <c r="CL128" s="10"/>
      <c r="CN128" s="10"/>
      <c r="CP128" s="10"/>
      <c r="CR128" s="10"/>
      <c r="CT128" s="10"/>
      <c r="CV128" s="10"/>
      <c r="CX128" s="10"/>
      <c r="CZ128" s="10"/>
      <c r="DB128" s="10"/>
      <c r="DD128" s="10"/>
      <c r="DF128" s="10"/>
      <c r="DH128" s="10"/>
      <c r="DJ128" s="10"/>
      <c r="DL128" s="10"/>
    </row>
    <row r="129" spans="1:116" x14ac:dyDescent="0.2">
      <c r="A129" s="5"/>
      <c r="B129" s="6"/>
      <c r="C129" s="6"/>
      <c r="D129" s="27"/>
      <c r="E129" s="6"/>
      <c r="F129" s="8"/>
      <c r="G129" s="8"/>
      <c r="I129" s="10"/>
      <c r="J129" s="11"/>
      <c r="K129" s="12"/>
      <c r="L129" s="10"/>
      <c r="M129" s="11"/>
      <c r="N129" s="12"/>
      <c r="O129" s="10"/>
      <c r="P129" s="11"/>
      <c r="Q129" s="12"/>
      <c r="R129" s="13"/>
      <c r="S129" s="11"/>
      <c r="T129" s="12"/>
      <c r="U129" s="10"/>
      <c r="V129" s="12"/>
      <c r="W129" s="12"/>
      <c r="X129" s="10"/>
      <c r="Y129" s="12"/>
      <c r="Z129" s="12"/>
      <c r="AA129" s="10"/>
      <c r="AB129" s="12"/>
      <c r="AC129" s="12"/>
      <c r="AD129" s="10"/>
      <c r="AE129" s="12"/>
      <c r="AF129" s="12"/>
      <c r="AG129" s="10"/>
      <c r="AH129" s="12"/>
      <c r="AI129" s="12"/>
      <c r="AJ129" s="13"/>
      <c r="AK129" s="11"/>
      <c r="AL129" s="12"/>
      <c r="AM129" s="10"/>
      <c r="AN129" s="12"/>
      <c r="AO129" s="12"/>
      <c r="AP129" s="10"/>
      <c r="AQ129" s="12"/>
      <c r="AR129" s="12"/>
      <c r="AS129" s="10"/>
      <c r="AT129" s="12"/>
      <c r="AU129" s="12"/>
      <c r="AV129" s="10"/>
      <c r="AW129" s="12"/>
      <c r="AX129" s="12"/>
      <c r="AY129" s="10"/>
      <c r="AZ129" s="12"/>
      <c r="BA129" s="12"/>
      <c r="BB129" s="10"/>
      <c r="BC129" s="12"/>
      <c r="BD129" s="12"/>
      <c r="BE129" s="10"/>
      <c r="BF129" s="12"/>
      <c r="BG129" s="12"/>
      <c r="BH129" s="10"/>
      <c r="BI129" s="12"/>
      <c r="BK129" s="16"/>
      <c r="BL129" s="16"/>
      <c r="BM129" s="16"/>
      <c r="BN129" s="16"/>
      <c r="BO129" s="16"/>
      <c r="BP129" s="16"/>
      <c r="BQ129" s="16"/>
      <c r="BR129" s="16"/>
      <c r="BS129" s="14"/>
      <c r="BT129" s="15"/>
      <c r="BU129" s="23"/>
      <c r="BV129" s="21"/>
      <c r="BW129" s="21"/>
      <c r="BX129" s="16"/>
      <c r="BY129" s="22"/>
      <c r="BZ129" s="16"/>
      <c r="CA129" s="8"/>
      <c r="CB129" s="10"/>
      <c r="CD129" s="10"/>
      <c r="CF129" s="10"/>
      <c r="CH129" s="10"/>
      <c r="CJ129" s="10"/>
      <c r="CL129" s="10"/>
      <c r="CN129" s="10"/>
      <c r="CP129" s="10"/>
      <c r="CR129" s="10"/>
      <c r="CT129" s="10"/>
      <c r="CV129" s="10"/>
      <c r="CX129" s="10"/>
      <c r="CZ129" s="10"/>
      <c r="DB129" s="10"/>
      <c r="DD129" s="10"/>
      <c r="DF129" s="10"/>
      <c r="DH129" s="10"/>
      <c r="DJ129" s="10"/>
      <c r="DL129" s="10"/>
    </row>
    <row r="130" spans="1:116" x14ac:dyDescent="0.2">
      <c r="A130" s="5"/>
      <c r="B130" s="6"/>
      <c r="C130" s="6"/>
      <c r="D130" s="27"/>
      <c r="E130" s="6"/>
      <c r="F130" s="8"/>
      <c r="G130" s="8"/>
      <c r="I130" s="10"/>
      <c r="J130" s="11"/>
      <c r="K130" s="12"/>
      <c r="L130" s="10"/>
      <c r="M130" s="11"/>
      <c r="N130" s="12"/>
      <c r="O130" s="10"/>
      <c r="P130" s="11"/>
      <c r="Q130" s="12"/>
      <c r="R130" s="13"/>
      <c r="S130" s="11"/>
      <c r="T130" s="12"/>
      <c r="U130" s="10"/>
      <c r="V130" s="12"/>
      <c r="W130" s="12"/>
      <c r="X130" s="10"/>
      <c r="Y130" s="12"/>
      <c r="Z130" s="12"/>
      <c r="AA130" s="10"/>
      <c r="AB130" s="12"/>
      <c r="AC130" s="12"/>
      <c r="AD130" s="10"/>
      <c r="AE130" s="12"/>
      <c r="AF130" s="12"/>
      <c r="AG130" s="10"/>
      <c r="AH130" s="12"/>
      <c r="AI130" s="12"/>
      <c r="AJ130" s="13"/>
      <c r="AK130" s="11"/>
      <c r="AL130" s="12"/>
      <c r="AM130" s="10"/>
      <c r="AN130" s="12"/>
      <c r="AO130" s="12"/>
      <c r="AP130" s="10"/>
      <c r="AQ130" s="12"/>
      <c r="AR130" s="12"/>
      <c r="AS130" s="10"/>
      <c r="AT130" s="12"/>
      <c r="AU130" s="12"/>
      <c r="AV130" s="10"/>
      <c r="AW130" s="12"/>
      <c r="AX130" s="12"/>
      <c r="AY130" s="10"/>
      <c r="AZ130" s="12"/>
      <c r="BA130" s="12"/>
      <c r="BB130" s="10"/>
      <c r="BC130" s="12"/>
      <c r="BD130" s="12"/>
      <c r="BE130" s="10"/>
      <c r="BF130" s="12"/>
      <c r="BG130" s="12"/>
      <c r="BH130" s="10"/>
      <c r="BI130" s="12"/>
      <c r="BK130" s="16"/>
      <c r="BL130" s="16"/>
      <c r="BM130" s="16"/>
      <c r="BN130" s="16"/>
      <c r="BO130" s="16"/>
      <c r="BP130" s="16"/>
      <c r="BQ130" s="16"/>
      <c r="BR130" s="16"/>
      <c r="BS130" s="14"/>
      <c r="BT130" s="15"/>
      <c r="BU130" s="23"/>
      <c r="BV130" s="21"/>
      <c r="BW130" s="21"/>
      <c r="BX130" s="16"/>
      <c r="BY130" s="22"/>
      <c r="BZ130" s="16"/>
      <c r="CA130" s="8"/>
      <c r="CB130" s="10"/>
      <c r="CD130" s="10"/>
      <c r="CF130" s="10"/>
      <c r="CH130" s="10"/>
      <c r="CJ130" s="10"/>
      <c r="CL130" s="10"/>
      <c r="CN130" s="10"/>
      <c r="CP130" s="10"/>
      <c r="CR130" s="10"/>
      <c r="CT130" s="10"/>
      <c r="CV130" s="10"/>
      <c r="CX130" s="10"/>
      <c r="CZ130" s="10"/>
      <c r="DB130" s="10"/>
      <c r="DD130" s="10"/>
      <c r="DF130" s="10"/>
      <c r="DH130" s="10"/>
      <c r="DJ130" s="10"/>
      <c r="DL130" s="10"/>
    </row>
    <row r="131" spans="1:116" x14ac:dyDescent="0.2">
      <c r="A131" s="5"/>
      <c r="B131" s="6"/>
      <c r="C131" s="6"/>
      <c r="D131" s="27"/>
      <c r="E131" s="6"/>
      <c r="F131" s="8"/>
      <c r="G131" s="8"/>
      <c r="I131" s="10"/>
      <c r="J131" s="11"/>
      <c r="K131" s="12"/>
      <c r="L131" s="10"/>
      <c r="M131" s="11"/>
      <c r="N131" s="12"/>
      <c r="O131" s="10"/>
      <c r="P131" s="11"/>
      <c r="Q131" s="12"/>
      <c r="R131" s="13"/>
      <c r="S131" s="11"/>
      <c r="T131" s="12"/>
      <c r="U131" s="10"/>
      <c r="V131" s="12"/>
      <c r="W131" s="12"/>
      <c r="X131" s="10"/>
      <c r="Y131" s="12"/>
      <c r="Z131" s="12"/>
      <c r="AA131" s="10"/>
      <c r="AB131" s="12"/>
      <c r="AC131" s="12"/>
      <c r="AD131" s="10"/>
      <c r="AE131" s="12"/>
      <c r="AF131" s="12"/>
      <c r="AG131" s="10"/>
      <c r="AH131" s="12"/>
      <c r="AI131" s="12"/>
      <c r="AJ131" s="13"/>
      <c r="AK131" s="11"/>
      <c r="AL131" s="12"/>
      <c r="AM131" s="10"/>
      <c r="AN131" s="12"/>
      <c r="AO131" s="12"/>
      <c r="AP131" s="10"/>
      <c r="AQ131" s="12"/>
      <c r="AR131" s="12"/>
      <c r="AS131" s="10"/>
      <c r="AT131" s="12"/>
      <c r="AU131" s="12"/>
      <c r="AV131" s="10"/>
      <c r="AW131" s="12"/>
      <c r="AX131" s="12"/>
      <c r="AY131" s="10"/>
      <c r="AZ131" s="12"/>
      <c r="BA131" s="12"/>
      <c r="BB131" s="10"/>
      <c r="BC131" s="12"/>
      <c r="BD131" s="12"/>
      <c r="BE131" s="10"/>
      <c r="BF131" s="12"/>
      <c r="BG131" s="12"/>
      <c r="BH131" s="10"/>
      <c r="BI131" s="12"/>
      <c r="BK131" s="16"/>
      <c r="BL131" s="16"/>
      <c r="BM131" s="16"/>
      <c r="BN131" s="16"/>
      <c r="BO131" s="16"/>
      <c r="BP131" s="16"/>
      <c r="BQ131" s="16"/>
      <c r="BR131" s="16"/>
      <c r="BS131" s="14"/>
      <c r="BT131" s="15"/>
      <c r="BU131" s="23"/>
      <c r="BV131" s="21"/>
      <c r="BW131" s="21"/>
      <c r="BX131" s="16"/>
      <c r="BY131" s="22"/>
      <c r="BZ131" s="16"/>
      <c r="CA131" s="8"/>
      <c r="CB131" s="10"/>
      <c r="CD131" s="10"/>
      <c r="CF131" s="10"/>
      <c r="CH131" s="10"/>
      <c r="CJ131" s="10"/>
      <c r="CL131" s="10"/>
      <c r="CN131" s="10"/>
      <c r="CP131" s="10"/>
      <c r="CR131" s="10"/>
      <c r="CT131" s="10"/>
      <c r="CV131" s="10"/>
      <c r="CX131" s="10"/>
      <c r="CZ131" s="10"/>
      <c r="DB131" s="10"/>
      <c r="DD131" s="10"/>
      <c r="DF131" s="10"/>
      <c r="DH131" s="10"/>
      <c r="DJ131" s="10"/>
      <c r="DL131" s="10"/>
    </row>
    <row r="132" spans="1:116" x14ac:dyDescent="0.2">
      <c r="A132" s="5"/>
      <c r="B132" s="6"/>
      <c r="C132" s="6"/>
      <c r="D132" s="27"/>
      <c r="E132" s="6"/>
      <c r="F132" s="8"/>
      <c r="G132" s="8"/>
      <c r="I132" s="10"/>
      <c r="J132" s="11"/>
      <c r="K132" s="12"/>
      <c r="L132" s="10"/>
      <c r="M132" s="11"/>
      <c r="N132" s="12"/>
      <c r="O132" s="10"/>
      <c r="P132" s="11"/>
      <c r="Q132" s="12"/>
      <c r="R132" s="13"/>
      <c r="S132" s="11"/>
      <c r="T132" s="12"/>
      <c r="U132" s="10"/>
      <c r="V132" s="12"/>
      <c r="W132" s="12"/>
      <c r="X132" s="10"/>
      <c r="Y132" s="12"/>
      <c r="Z132" s="12"/>
      <c r="AA132" s="10"/>
      <c r="AB132" s="12"/>
      <c r="AC132" s="12"/>
      <c r="AD132" s="10"/>
      <c r="AE132" s="12"/>
      <c r="AF132" s="12"/>
      <c r="AG132" s="10"/>
      <c r="AH132" s="12"/>
      <c r="AI132" s="12"/>
      <c r="AJ132" s="13"/>
      <c r="AK132" s="11"/>
      <c r="AL132" s="12"/>
      <c r="AM132" s="10"/>
      <c r="AN132" s="12"/>
      <c r="AO132" s="12"/>
      <c r="AP132" s="10"/>
      <c r="AQ132" s="12"/>
      <c r="AR132" s="12"/>
      <c r="AS132" s="10"/>
      <c r="AT132" s="12"/>
      <c r="AU132" s="12"/>
      <c r="AV132" s="10"/>
      <c r="AW132" s="12"/>
      <c r="AX132" s="12"/>
      <c r="AY132" s="10"/>
      <c r="AZ132" s="12"/>
      <c r="BA132" s="12"/>
      <c r="BB132" s="10"/>
      <c r="BC132" s="12"/>
      <c r="BD132" s="12"/>
      <c r="BE132" s="10"/>
      <c r="BF132" s="12"/>
      <c r="BG132" s="12"/>
      <c r="BH132" s="10"/>
      <c r="BI132" s="12"/>
      <c r="BK132" s="16"/>
      <c r="BL132" s="16"/>
      <c r="BM132" s="16"/>
      <c r="BN132" s="16"/>
      <c r="BO132" s="16"/>
      <c r="BP132" s="16"/>
      <c r="BQ132" s="16"/>
      <c r="BR132" s="16"/>
      <c r="BS132" s="14"/>
      <c r="BT132" s="15"/>
      <c r="BU132" s="23"/>
      <c r="BV132" s="21"/>
      <c r="BW132" s="21"/>
      <c r="BX132" s="16"/>
      <c r="BY132" s="22"/>
      <c r="BZ132" s="16"/>
      <c r="CA132" s="8"/>
      <c r="CB132" s="10"/>
      <c r="CD132" s="10"/>
      <c r="CF132" s="10"/>
      <c r="CH132" s="10"/>
      <c r="CJ132" s="10"/>
      <c r="CL132" s="10"/>
      <c r="CN132" s="10"/>
      <c r="CP132" s="10"/>
      <c r="CR132" s="10"/>
      <c r="CT132" s="10"/>
      <c r="CV132" s="10"/>
      <c r="CX132" s="10"/>
      <c r="CZ132" s="10"/>
      <c r="DB132" s="10"/>
      <c r="DD132" s="10"/>
      <c r="DF132" s="10"/>
      <c r="DH132" s="10"/>
      <c r="DJ132" s="10"/>
      <c r="DL132" s="10"/>
    </row>
    <row r="133" spans="1:116" x14ac:dyDescent="0.2">
      <c r="A133" s="5"/>
      <c r="B133" s="6"/>
      <c r="C133" s="6"/>
      <c r="D133" s="27"/>
      <c r="E133" s="6"/>
      <c r="F133" s="8"/>
      <c r="G133" s="8"/>
      <c r="I133" s="10"/>
      <c r="J133" s="11"/>
      <c r="K133" s="12"/>
      <c r="L133" s="10"/>
      <c r="M133" s="11"/>
      <c r="N133" s="12"/>
      <c r="O133" s="10"/>
      <c r="P133" s="11"/>
      <c r="Q133" s="12"/>
      <c r="R133" s="13"/>
      <c r="S133" s="11"/>
      <c r="T133" s="12"/>
      <c r="U133" s="10"/>
      <c r="V133" s="12"/>
      <c r="W133" s="12"/>
      <c r="X133" s="10"/>
      <c r="Y133" s="12"/>
      <c r="Z133" s="12"/>
      <c r="AA133" s="10"/>
      <c r="AB133" s="12"/>
      <c r="AC133" s="12"/>
      <c r="AD133" s="10"/>
      <c r="AE133" s="12"/>
      <c r="AF133" s="12"/>
      <c r="AG133" s="10"/>
      <c r="AH133" s="12"/>
      <c r="AI133" s="12"/>
      <c r="AJ133" s="13"/>
      <c r="AK133" s="11"/>
      <c r="AL133" s="12"/>
      <c r="AM133" s="10"/>
      <c r="AN133" s="12"/>
      <c r="AO133" s="12"/>
      <c r="AP133" s="10"/>
      <c r="AQ133" s="12"/>
      <c r="AR133" s="12"/>
      <c r="AS133" s="10"/>
      <c r="AT133" s="12"/>
      <c r="AU133" s="12"/>
      <c r="AV133" s="10"/>
      <c r="AW133" s="12"/>
      <c r="AX133" s="12"/>
      <c r="AY133" s="10"/>
      <c r="AZ133" s="12"/>
      <c r="BA133" s="12"/>
      <c r="BB133" s="10"/>
      <c r="BC133" s="12"/>
      <c r="BD133" s="12"/>
      <c r="BE133" s="10"/>
      <c r="BF133" s="12"/>
      <c r="BG133" s="12"/>
      <c r="BH133" s="10"/>
      <c r="BI133" s="12"/>
      <c r="BK133" s="16"/>
      <c r="BL133" s="16"/>
      <c r="BM133" s="16"/>
      <c r="BN133" s="16"/>
      <c r="BO133" s="16"/>
      <c r="BP133" s="16"/>
      <c r="BQ133" s="16"/>
      <c r="BR133" s="16"/>
      <c r="BS133" s="14"/>
      <c r="BT133" s="15"/>
      <c r="BU133" s="23"/>
      <c r="BV133" s="21"/>
      <c r="BW133" s="21"/>
      <c r="BX133" s="16"/>
      <c r="BY133" s="22"/>
      <c r="BZ133" s="16"/>
      <c r="CA133" s="8"/>
      <c r="CB133" s="10"/>
      <c r="CD133" s="10"/>
      <c r="CF133" s="10"/>
      <c r="CH133" s="10"/>
      <c r="CJ133" s="10"/>
      <c r="CL133" s="10"/>
      <c r="CN133" s="10"/>
      <c r="CP133" s="10"/>
      <c r="CR133" s="10"/>
      <c r="CT133" s="10"/>
      <c r="CV133" s="10"/>
      <c r="CX133" s="10"/>
      <c r="CZ133" s="10"/>
      <c r="DB133" s="10"/>
      <c r="DD133" s="10"/>
      <c r="DF133" s="10"/>
      <c r="DH133" s="10"/>
      <c r="DJ133" s="10"/>
      <c r="DL133" s="10"/>
    </row>
    <row r="134" spans="1:116" x14ac:dyDescent="0.2">
      <c r="A134" s="5"/>
      <c r="B134" s="6"/>
      <c r="C134" s="6"/>
      <c r="D134" s="27"/>
      <c r="E134" s="6"/>
      <c r="F134" s="8"/>
      <c r="G134" s="8"/>
      <c r="I134" s="10"/>
      <c r="J134" s="11"/>
      <c r="K134" s="12"/>
      <c r="L134" s="10"/>
      <c r="M134" s="11"/>
      <c r="N134" s="12"/>
      <c r="O134" s="10"/>
      <c r="P134" s="11"/>
      <c r="Q134" s="12"/>
      <c r="R134" s="13"/>
      <c r="S134" s="11"/>
      <c r="T134" s="12"/>
      <c r="U134" s="10"/>
      <c r="V134" s="12"/>
      <c r="W134" s="12"/>
      <c r="X134" s="10"/>
      <c r="Y134" s="12"/>
      <c r="Z134" s="12"/>
      <c r="AA134" s="10"/>
      <c r="AB134" s="12"/>
      <c r="AC134" s="12"/>
      <c r="AD134" s="10"/>
      <c r="AE134" s="12"/>
      <c r="AF134" s="12"/>
      <c r="AG134" s="10"/>
      <c r="AH134" s="12"/>
      <c r="AI134" s="12"/>
      <c r="AJ134" s="13"/>
      <c r="AK134" s="11"/>
      <c r="AL134" s="12"/>
      <c r="AM134" s="10"/>
      <c r="AN134" s="12"/>
      <c r="AO134" s="12"/>
      <c r="AP134" s="10"/>
      <c r="AQ134" s="12"/>
      <c r="AR134" s="12"/>
      <c r="AS134" s="10"/>
      <c r="AT134" s="12"/>
      <c r="AU134" s="12"/>
      <c r="AV134" s="10"/>
      <c r="AW134" s="12"/>
      <c r="AX134" s="12"/>
      <c r="AY134" s="10"/>
      <c r="AZ134" s="12"/>
      <c r="BA134" s="12"/>
      <c r="BB134" s="10"/>
      <c r="BC134" s="12"/>
      <c r="BD134" s="12"/>
      <c r="BE134" s="10"/>
      <c r="BF134" s="12"/>
      <c r="BG134" s="12"/>
      <c r="BH134" s="10"/>
      <c r="BI134" s="12"/>
      <c r="BK134" s="16"/>
      <c r="BL134" s="16"/>
      <c r="BM134" s="16"/>
      <c r="BN134" s="16"/>
      <c r="BO134" s="16"/>
      <c r="BP134" s="16"/>
      <c r="BQ134" s="16"/>
      <c r="BR134" s="16"/>
      <c r="BS134" s="14"/>
      <c r="BT134" s="15"/>
      <c r="BU134" s="23"/>
      <c r="BV134" s="21"/>
      <c r="BW134" s="21"/>
      <c r="BX134" s="16"/>
      <c r="BY134" s="22"/>
      <c r="BZ134" s="16"/>
      <c r="CA134" s="8"/>
      <c r="CB134" s="10"/>
      <c r="CD134" s="10"/>
      <c r="CF134" s="10"/>
      <c r="CH134" s="10"/>
      <c r="CJ134" s="10"/>
      <c r="CL134" s="10"/>
      <c r="CN134" s="10"/>
      <c r="CP134" s="10"/>
      <c r="CR134" s="10"/>
      <c r="CT134" s="10"/>
      <c r="CV134" s="10"/>
      <c r="CX134" s="10"/>
      <c r="CZ134" s="10"/>
      <c r="DB134" s="10"/>
      <c r="DD134" s="10"/>
      <c r="DF134" s="10"/>
      <c r="DH134" s="10"/>
      <c r="DJ134" s="10"/>
      <c r="DL134" s="10"/>
    </row>
    <row r="135" spans="1:116" x14ac:dyDescent="0.2">
      <c r="A135" s="5"/>
      <c r="B135" s="6"/>
      <c r="C135" s="6"/>
      <c r="D135" s="27"/>
      <c r="E135" s="6"/>
      <c r="F135" s="8"/>
      <c r="G135" s="8"/>
      <c r="I135" s="10"/>
      <c r="J135" s="11"/>
      <c r="K135" s="12"/>
      <c r="L135" s="10"/>
      <c r="M135" s="11"/>
      <c r="N135" s="12"/>
      <c r="O135" s="10"/>
      <c r="P135" s="11"/>
      <c r="Q135" s="12"/>
      <c r="R135" s="13"/>
      <c r="S135" s="11"/>
      <c r="T135" s="12"/>
      <c r="U135" s="10"/>
      <c r="V135" s="12"/>
      <c r="W135" s="12"/>
      <c r="X135" s="10"/>
      <c r="Y135" s="12"/>
      <c r="Z135" s="12"/>
      <c r="AA135" s="10"/>
      <c r="AB135" s="12"/>
      <c r="AC135" s="12"/>
      <c r="AD135" s="10"/>
      <c r="AE135" s="12"/>
      <c r="AF135" s="12"/>
      <c r="AG135" s="10"/>
      <c r="AH135" s="12"/>
      <c r="AI135" s="12"/>
      <c r="AJ135" s="13"/>
      <c r="AK135" s="11"/>
      <c r="AL135" s="12"/>
      <c r="AM135" s="10"/>
      <c r="AN135" s="12"/>
      <c r="AO135" s="12"/>
      <c r="AP135" s="10"/>
      <c r="AQ135" s="12"/>
      <c r="AR135" s="12"/>
      <c r="AS135" s="10"/>
      <c r="AT135" s="12"/>
      <c r="AU135" s="12"/>
      <c r="AV135" s="10"/>
      <c r="AW135" s="12"/>
      <c r="AX135" s="12"/>
      <c r="AY135" s="10"/>
      <c r="AZ135" s="12"/>
      <c r="BA135" s="12"/>
      <c r="BB135" s="10"/>
      <c r="BC135" s="12"/>
      <c r="BD135" s="12"/>
      <c r="BE135" s="10"/>
      <c r="BF135" s="12"/>
      <c r="BG135" s="12"/>
      <c r="BH135" s="10"/>
      <c r="BI135" s="12"/>
      <c r="BK135" s="16"/>
      <c r="BL135" s="16"/>
      <c r="BM135" s="16"/>
      <c r="BN135" s="16"/>
      <c r="BO135" s="16"/>
      <c r="BP135" s="16"/>
      <c r="BQ135" s="16"/>
      <c r="BR135" s="16"/>
      <c r="BS135" s="14"/>
      <c r="BT135" s="15"/>
      <c r="BU135" s="23"/>
      <c r="BV135" s="21"/>
      <c r="BW135" s="21"/>
      <c r="BX135" s="16"/>
      <c r="BY135" s="22"/>
      <c r="BZ135" s="16"/>
      <c r="CA135" s="8"/>
      <c r="CB135" s="10"/>
      <c r="CD135" s="10"/>
      <c r="CF135" s="10"/>
      <c r="CH135" s="10"/>
      <c r="CJ135" s="10"/>
      <c r="CL135" s="10"/>
      <c r="CN135" s="10"/>
      <c r="CP135" s="10"/>
      <c r="CR135" s="10"/>
      <c r="CT135" s="10"/>
      <c r="CV135" s="10"/>
      <c r="CX135" s="10"/>
      <c r="CZ135" s="10"/>
      <c r="DB135" s="10"/>
      <c r="DD135" s="10"/>
      <c r="DF135" s="10"/>
      <c r="DH135" s="10"/>
      <c r="DJ135" s="10"/>
      <c r="DL135" s="10"/>
    </row>
    <row r="136" spans="1:116" x14ac:dyDescent="0.2">
      <c r="A136" s="5"/>
      <c r="B136" s="6"/>
      <c r="C136" s="6"/>
      <c r="D136" s="27"/>
      <c r="E136" s="6"/>
      <c r="F136" s="8"/>
      <c r="G136" s="8"/>
      <c r="I136" s="10"/>
      <c r="J136" s="11"/>
      <c r="K136" s="12"/>
      <c r="L136" s="10"/>
      <c r="M136" s="11"/>
      <c r="N136" s="12"/>
      <c r="O136" s="10"/>
      <c r="P136" s="11"/>
      <c r="Q136" s="12"/>
      <c r="R136" s="13"/>
      <c r="S136" s="11"/>
      <c r="T136" s="12"/>
      <c r="U136" s="10"/>
      <c r="V136" s="12"/>
      <c r="W136" s="12"/>
      <c r="X136" s="10"/>
      <c r="Y136" s="12"/>
      <c r="Z136" s="12"/>
      <c r="AA136" s="10"/>
      <c r="AB136" s="12"/>
      <c r="AC136" s="12"/>
      <c r="AD136" s="10"/>
      <c r="AE136" s="12"/>
      <c r="AF136" s="12"/>
      <c r="AG136" s="10"/>
      <c r="AH136" s="12"/>
      <c r="AI136" s="12"/>
      <c r="AJ136" s="13"/>
      <c r="AK136" s="11"/>
      <c r="AL136" s="12"/>
      <c r="AM136" s="10"/>
      <c r="AN136" s="12"/>
      <c r="AO136" s="12"/>
      <c r="AP136" s="10"/>
      <c r="AQ136" s="12"/>
      <c r="AR136" s="12"/>
      <c r="AS136" s="10"/>
      <c r="AT136" s="12"/>
      <c r="AU136" s="12"/>
      <c r="AV136" s="10"/>
      <c r="AW136" s="12"/>
      <c r="AX136" s="12"/>
      <c r="AY136" s="10"/>
      <c r="AZ136" s="12"/>
      <c r="BA136" s="12"/>
      <c r="BB136" s="10"/>
      <c r="BC136" s="12"/>
      <c r="BD136" s="12"/>
      <c r="BE136" s="10"/>
      <c r="BF136" s="12"/>
      <c r="BG136" s="12"/>
      <c r="BH136" s="10"/>
      <c r="BI136" s="12"/>
      <c r="BK136" s="16"/>
      <c r="BL136" s="16"/>
      <c r="BM136" s="16"/>
      <c r="BN136" s="16"/>
      <c r="BO136" s="16"/>
      <c r="BP136" s="16"/>
      <c r="BQ136" s="16"/>
      <c r="BR136" s="16"/>
      <c r="BS136" s="14"/>
      <c r="BT136" s="15"/>
      <c r="BU136" s="23"/>
      <c r="BV136" s="21"/>
      <c r="BW136" s="21"/>
      <c r="BX136" s="16"/>
      <c r="BY136" s="22"/>
      <c r="BZ136" s="16"/>
      <c r="CA136" s="8"/>
      <c r="CB136" s="10"/>
      <c r="CD136" s="10"/>
      <c r="CF136" s="10"/>
      <c r="CH136" s="10"/>
      <c r="CJ136" s="10"/>
      <c r="CL136" s="10"/>
      <c r="CN136" s="10"/>
      <c r="CP136" s="10"/>
      <c r="CR136" s="10"/>
      <c r="CT136" s="10"/>
      <c r="CV136" s="10"/>
      <c r="CX136" s="10"/>
      <c r="CZ136" s="10"/>
      <c r="DB136" s="10"/>
      <c r="DD136" s="10"/>
      <c r="DF136" s="10"/>
      <c r="DH136" s="10"/>
      <c r="DJ136" s="10"/>
      <c r="DL136" s="10"/>
    </row>
    <row r="137" spans="1:116" x14ac:dyDescent="0.2">
      <c r="A137" s="5"/>
      <c r="B137" s="6"/>
      <c r="C137" s="6"/>
      <c r="D137" s="27"/>
      <c r="E137" s="6"/>
      <c r="F137" s="8"/>
      <c r="G137" s="8"/>
      <c r="I137" s="10"/>
      <c r="J137" s="11"/>
      <c r="K137" s="12"/>
      <c r="L137" s="10"/>
      <c r="M137" s="11"/>
      <c r="N137" s="12"/>
      <c r="O137" s="10"/>
      <c r="P137" s="11"/>
      <c r="Q137" s="12"/>
      <c r="R137" s="13"/>
      <c r="S137" s="11"/>
      <c r="T137" s="12"/>
      <c r="U137" s="10"/>
      <c r="V137" s="12"/>
      <c r="W137" s="12"/>
      <c r="X137" s="10"/>
      <c r="Y137" s="12"/>
      <c r="Z137" s="12"/>
      <c r="AA137" s="10"/>
      <c r="AB137" s="12"/>
      <c r="AC137" s="12"/>
      <c r="AD137" s="10"/>
      <c r="AE137" s="12"/>
      <c r="AF137" s="12"/>
      <c r="AG137" s="10"/>
      <c r="AH137" s="12"/>
      <c r="AI137" s="12"/>
      <c r="AJ137" s="13"/>
      <c r="AK137" s="11"/>
      <c r="AL137" s="12"/>
      <c r="AM137" s="10"/>
      <c r="AN137" s="12"/>
      <c r="AO137" s="12"/>
      <c r="AP137" s="10"/>
      <c r="AQ137" s="12"/>
      <c r="AR137" s="12"/>
      <c r="AS137" s="10"/>
      <c r="AT137" s="12"/>
      <c r="AU137" s="12"/>
      <c r="AV137" s="10"/>
      <c r="AW137" s="12"/>
      <c r="AX137" s="12"/>
      <c r="AY137" s="10"/>
      <c r="AZ137" s="12"/>
      <c r="BA137" s="12"/>
      <c r="BB137" s="10"/>
      <c r="BC137" s="12"/>
      <c r="BD137" s="12"/>
      <c r="BE137" s="10"/>
      <c r="BF137" s="12"/>
      <c r="BG137" s="12"/>
      <c r="BH137" s="10"/>
      <c r="BI137" s="12"/>
      <c r="BK137" s="16"/>
      <c r="BL137" s="16"/>
      <c r="BM137" s="16"/>
      <c r="BN137" s="16"/>
      <c r="BO137" s="16"/>
      <c r="BP137" s="16"/>
      <c r="BQ137" s="16"/>
      <c r="BR137" s="16"/>
      <c r="BS137" s="14"/>
      <c r="BT137" s="15"/>
      <c r="BU137" s="23"/>
      <c r="BV137" s="21"/>
      <c r="BW137" s="21"/>
      <c r="BX137" s="16"/>
      <c r="BY137" s="22"/>
      <c r="BZ137" s="16"/>
      <c r="CA137" s="8"/>
      <c r="CB137" s="10"/>
      <c r="CD137" s="10"/>
      <c r="CF137" s="10"/>
      <c r="CH137" s="10"/>
      <c r="CJ137" s="10"/>
      <c r="CL137" s="10"/>
      <c r="CN137" s="10"/>
      <c r="CP137" s="10"/>
      <c r="CR137" s="10"/>
      <c r="CT137" s="10"/>
      <c r="CV137" s="10"/>
      <c r="CX137" s="10"/>
      <c r="CZ137" s="10"/>
      <c r="DB137" s="10"/>
      <c r="DD137" s="10"/>
      <c r="DF137" s="10"/>
      <c r="DH137" s="10"/>
      <c r="DJ137" s="10"/>
      <c r="DL137" s="10"/>
    </row>
    <row r="138" spans="1:116" x14ac:dyDescent="0.2">
      <c r="A138" s="5"/>
      <c r="B138" s="6"/>
      <c r="C138" s="6"/>
      <c r="D138" s="27"/>
      <c r="E138" s="6"/>
      <c r="F138" s="8"/>
      <c r="G138" s="8"/>
      <c r="I138" s="10"/>
      <c r="J138" s="11"/>
      <c r="K138" s="12"/>
      <c r="L138" s="10"/>
      <c r="M138" s="11"/>
      <c r="N138" s="12"/>
      <c r="O138" s="10"/>
      <c r="P138" s="11"/>
      <c r="Q138" s="12"/>
      <c r="R138" s="13"/>
      <c r="S138" s="11"/>
      <c r="T138" s="12"/>
      <c r="U138" s="10"/>
      <c r="V138" s="12"/>
      <c r="W138" s="12"/>
      <c r="X138" s="10"/>
      <c r="Y138" s="12"/>
      <c r="Z138" s="12"/>
      <c r="AA138" s="10"/>
      <c r="AB138" s="12"/>
      <c r="AC138" s="12"/>
      <c r="AD138" s="10"/>
      <c r="AE138" s="12"/>
      <c r="AF138" s="12"/>
      <c r="AG138" s="10"/>
      <c r="AH138" s="12"/>
      <c r="AI138" s="12"/>
      <c r="AJ138" s="13"/>
      <c r="AK138" s="11"/>
      <c r="AL138" s="12"/>
      <c r="AM138" s="10"/>
      <c r="AN138" s="12"/>
      <c r="AO138" s="12"/>
      <c r="AP138" s="10"/>
      <c r="AQ138" s="12"/>
      <c r="AR138" s="12"/>
      <c r="AS138" s="10"/>
      <c r="AT138" s="12"/>
      <c r="AU138" s="12"/>
      <c r="AV138" s="10"/>
      <c r="AW138" s="12"/>
      <c r="AX138" s="12"/>
      <c r="AY138" s="10"/>
      <c r="AZ138" s="12"/>
      <c r="BA138" s="12"/>
      <c r="BB138" s="10"/>
      <c r="BC138" s="12"/>
      <c r="BD138" s="12"/>
      <c r="BE138" s="10"/>
      <c r="BF138" s="12"/>
      <c r="BG138" s="12"/>
      <c r="BH138" s="10"/>
      <c r="BI138" s="12"/>
      <c r="BK138" s="16"/>
      <c r="BL138" s="16"/>
      <c r="BM138" s="16"/>
      <c r="BN138" s="16"/>
      <c r="BO138" s="16"/>
      <c r="BP138" s="16"/>
      <c r="BQ138" s="16"/>
      <c r="BR138" s="16"/>
      <c r="BS138" s="14"/>
      <c r="BT138" s="15"/>
      <c r="BU138" s="23"/>
      <c r="BV138" s="21"/>
      <c r="BW138" s="21"/>
      <c r="BX138" s="16"/>
      <c r="BY138" s="22"/>
      <c r="BZ138" s="16"/>
      <c r="CA138" s="8"/>
      <c r="CB138" s="10"/>
      <c r="CD138" s="10"/>
      <c r="CF138" s="10"/>
      <c r="CH138" s="10"/>
      <c r="CJ138" s="10"/>
      <c r="CL138" s="10"/>
      <c r="CN138" s="10"/>
      <c r="CP138" s="10"/>
      <c r="CR138" s="10"/>
      <c r="CT138" s="10"/>
      <c r="CV138" s="10"/>
      <c r="CX138" s="10"/>
      <c r="CZ138" s="10"/>
      <c r="DB138" s="10"/>
      <c r="DD138" s="10"/>
      <c r="DF138" s="10"/>
      <c r="DH138" s="10"/>
      <c r="DJ138" s="10"/>
      <c r="DL138" s="10"/>
    </row>
    <row r="139" spans="1:116" x14ac:dyDescent="0.2">
      <c r="A139" s="5"/>
      <c r="B139" s="6"/>
      <c r="C139" s="6"/>
      <c r="D139" s="27"/>
      <c r="E139" s="6"/>
      <c r="F139" s="8"/>
      <c r="G139" s="8"/>
      <c r="I139" s="10"/>
      <c r="J139" s="11"/>
      <c r="K139" s="12"/>
      <c r="L139" s="10"/>
      <c r="M139" s="11"/>
      <c r="N139" s="12"/>
      <c r="O139" s="10"/>
      <c r="P139" s="11"/>
      <c r="Q139" s="12"/>
      <c r="R139" s="13"/>
      <c r="S139" s="11"/>
      <c r="T139" s="12"/>
      <c r="U139" s="10"/>
      <c r="V139" s="12"/>
      <c r="W139" s="12"/>
      <c r="X139" s="10"/>
      <c r="Y139" s="12"/>
      <c r="Z139" s="12"/>
      <c r="AA139" s="10"/>
      <c r="AB139" s="12"/>
      <c r="AC139" s="12"/>
      <c r="AD139" s="10"/>
      <c r="AE139" s="12"/>
      <c r="AF139" s="12"/>
      <c r="AG139" s="10"/>
      <c r="AH139" s="12"/>
      <c r="AI139" s="12"/>
      <c r="AJ139" s="13"/>
      <c r="AK139" s="11"/>
      <c r="AL139" s="12"/>
      <c r="AM139" s="10"/>
      <c r="AN139" s="12"/>
      <c r="AO139" s="12"/>
      <c r="AP139" s="10"/>
      <c r="AQ139" s="12"/>
      <c r="AR139" s="12"/>
      <c r="AS139" s="10"/>
      <c r="AT139" s="12"/>
      <c r="AU139" s="12"/>
      <c r="AV139" s="10"/>
      <c r="AW139" s="12"/>
      <c r="AX139" s="12"/>
      <c r="AY139" s="10"/>
      <c r="AZ139" s="12"/>
      <c r="BA139" s="12"/>
      <c r="BB139" s="10"/>
      <c r="BC139" s="12"/>
      <c r="BD139" s="12"/>
      <c r="BE139" s="10"/>
      <c r="BF139" s="12"/>
      <c r="BG139" s="12"/>
      <c r="BH139" s="10"/>
      <c r="BI139" s="12"/>
      <c r="BK139" s="16"/>
      <c r="BL139" s="16"/>
      <c r="BM139" s="16"/>
      <c r="BN139" s="16"/>
      <c r="BO139" s="16"/>
      <c r="BP139" s="16"/>
      <c r="BQ139" s="16"/>
      <c r="BR139" s="16"/>
      <c r="BS139" s="14"/>
      <c r="BT139" s="15"/>
      <c r="BU139" s="23"/>
      <c r="BV139" s="21"/>
      <c r="BW139" s="21"/>
      <c r="BX139" s="16"/>
      <c r="BY139" s="22"/>
      <c r="BZ139" s="16"/>
      <c r="CA139" s="8"/>
      <c r="CB139" s="10"/>
      <c r="CD139" s="10"/>
      <c r="CF139" s="10"/>
      <c r="CH139" s="10"/>
      <c r="CJ139" s="10"/>
      <c r="CL139" s="10"/>
      <c r="CN139" s="10"/>
      <c r="CP139" s="10"/>
      <c r="CR139" s="10"/>
      <c r="CT139" s="10"/>
      <c r="CV139" s="10"/>
      <c r="CX139" s="10"/>
      <c r="CZ139" s="10"/>
      <c r="DB139" s="10"/>
      <c r="DD139" s="10"/>
      <c r="DF139" s="10"/>
      <c r="DH139" s="10"/>
      <c r="DJ139" s="10"/>
      <c r="DL139" s="10"/>
    </row>
    <row r="140" spans="1:116" x14ac:dyDescent="0.2">
      <c r="A140" s="5"/>
      <c r="B140" s="6"/>
      <c r="C140" s="6"/>
      <c r="D140" s="27"/>
      <c r="E140" s="6"/>
      <c r="F140" s="8"/>
      <c r="G140" s="8"/>
      <c r="I140" s="10"/>
      <c r="J140" s="11"/>
      <c r="K140" s="12"/>
      <c r="L140" s="10"/>
      <c r="M140" s="11"/>
      <c r="N140" s="12"/>
      <c r="O140" s="10"/>
      <c r="P140" s="11"/>
      <c r="Q140" s="12"/>
      <c r="R140" s="13"/>
      <c r="S140" s="11"/>
      <c r="T140" s="12"/>
      <c r="U140" s="10"/>
      <c r="V140" s="12"/>
      <c r="W140" s="12"/>
      <c r="X140" s="10"/>
      <c r="Y140" s="12"/>
      <c r="Z140" s="12"/>
      <c r="AA140" s="10"/>
      <c r="AB140" s="12"/>
      <c r="AC140" s="12"/>
      <c r="AD140" s="10"/>
      <c r="AE140" s="12"/>
      <c r="AF140" s="12"/>
      <c r="AG140" s="10"/>
      <c r="AH140" s="12"/>
      <c r="AI140" s="12"/>
      <c r="AJ140" s="13"/>
      <c r="AK140" s="11"/>
      <c r="AL140" s="12"/>
      <c r="AM140" s="10"/>
      <c r="AN140" s="12"/>
      <c r="AO140" s="12"/>
      <c r="AP140" s="10"/>
      <c r="AQ140" s="12"/>
      <c r="AR140" s="12"/>
      <c r="AS140" s="10"/>
      <c r="AT140" s="12"/>
      <c r="AU140" s="12"/>
      <c r="AV140" s="10"/>
      <c r="AW140" s="12"/>
      <c r="AX140" s="12"/>
      <c r="AY140" s="10"/>
      <c r="AZ140" s="12"/>
      <c r="BA140" s="12"/>
      <c r="BB140" s="10"/>
      <c r="BC140" s="12"/>
      <c r="BD140" s="12"/>
      <c r="BE140" s="10"/>
      <c r="BF140" s="12"/>
      <c r="BG140" s="12"/>
      <c r="BH140" s="10"/>
      <c r="BI140" s="12"/>
      <c r="BK140" s="16"/>
      <c r="BL140" s="16"/>
      <c r="BM140" s="16"/>
      <c r="BN140" s="16"/>
      <c r="BO140" s="16"/>
      <c r="BP140" s="16"/>
      <c r="BQ140" s="16"/>
      <c r="BR140" s="16"/>
      <c r="BS140" s="14"/>
      <c r="BT140" s="15"/>
      <c r="BU140" s="23"/>
      <c r="BV140" s="21"/>
      <c r="BW140" s="21"/>
      <c r="BX140" s="16"/>
      <c r="BY140" s="22"/>
      <c r="BZ140" s="16"/>
      <c r="CA140" s="8"/>
      <c r="CB140" s="10"/>
      <c r="CD140" s="10"/>
      <c r="CF140" s="10"/>
      <c r="CH140" s="10"/>
      <c r="CJ140" s="10"/>
      <c r="CL140" s="10"/>
      <c r="CN140" s="10"/>
      <c r="CP140" s="10"/>
      <c r="CR140" s="10"/>
      <c r="CT140" s="10"/>
      <c r="CV140" s="10"/>
      <c r="CX140" s="10"/>
      <c r="CZ140" s="10"/>
      <c r="DB140" s="10"/>
      <c r="DD140" s="10"/>
      <c r="DF140" s="10"/>
      <c r="DH140" s="10"/>
      <c r="DJ140" s="10"/>
      <c r="DL140" s="10"/>
    </row>
    <row r="141" spans="1:116" x14ac:dyDescent="0.2">
      <c r="A141" s="5"/>
      <c r="B141" s="6"/>
      <c r="C141" s="6"/>
      <c r="D141" s="27"/>
      <c r="E141" s="6"/>
      <c r="F141" s="8"/>
      <c r="G141" s="8"/>
      <c r="I141" s="10"/>
      <c r="J141" s="11"/>
      <c r="K141" s="12"/>
      <c r="L141" s="10"/>
      <c r="M141" s="11"/>
      <c r="N141" s="12"/>
      <c r="O141" s="10"/>
      <c r="P141" s="11"/>
      <c r="Q141" s="12"/>
      <c r="R141" s="13"/>
      <c r="S141" s="11"/>
      <c r="T141" s="12"/>
      <c r="U141" s="10"/>
      <c r="V141" s="12"/>
      <c r="W141" s="12"/>
      <c r="X141" s="10"/>
      <c r="Y141" s="12"/>
      <c r="Z141" s="12"/>
      <c r="AA141" s="10"/>
      <c r="AB141" s="12"/>
      <c r="AC141" s="12"/>
      <c r="AD141" s="10"/>
      <c r="AE141" s="12"/>
      <c r="AF141" s="12"/>
      <c r="AG141" s="10"/>
      <c r="AH141" s="12"/>
      <c r="AI141" s="12"/>
      <c r="AJ141" s="13"/>
      <c r="AK141" s="11"/>
      <c r="AL141" s="12"/>
      <c r="AM141" s="10"/>
      <c r="AN141" s="12"/>
      <c r="AO141" s="12"/>
      <c r="AP141" s="10"/>
      <c r="AQ141" s="12"/>
      <c r="AR141" s="12"/>
      <c r="AS141" s="10"/>
      <c r="AT141" s="12"/>
      <c r="AU141" s="12"/>
      <c r="AV141" s="10"/>
      <c r="AW141" s="12"/>
      <c r="AX141" s="12"/>
      <c r="AY141" s="10"/>
      <c r="AZ141" s="12"/>
      <c r="BA141" s="12"/>
      <c r="BB141" s="10"/>
      <c r="BC141" s="12"/>
      <c r="BD141" s="12"/>
      <c r="BE141" s="10"/>
      <c r="BF141" s="12"/>
      <c r="BG141" s="12"/>
      <c r="BH141" s="10"/>
      <c r="BI141" s="12"/>
      <c r="BK141" s="16"/>
      <c r="BL141" s="16"/>
      <c r="BM141" s="16"/>
      <c r="BN141" s="16"/>
      <c r="BO141" s="16"/>
      <c r="BP141" s="16"/>
      <c r="BQ141" s="16"/>
      <c r="BR141" s="16"/>
      <c r="BS141" s="14"/>
      <c r="BT141" s="15"/>
      <c r="BU141" s="23"/>
      <c r="BV141" s="21"/>
      <c r="BW141" s="21"/>
      <c r="BX141" s="16"/>
      <c r="BY141" s="22"/>
      <c r="BZ141" s="16"/>
      <c r="CA141" s="8"/>
      <c r="CB141" s="10"/>
      <c r="CD141" s="10"/>
      <c r="CF141" s="10"/>
      <c r="CH141" s="10"/>
      <c r="CJ141" s="10"/>
      <c r="CL141" s="10"/>
      <c r="CN141" s="10"/>
      <c r="CP141" s="10"/>
      <c r="CR141" s="10"/>
      <c r="CT141" s="10"/>
      <c r="CV141" s="10"/>
      <c r="CX141" s="10"/>
      <c r="CZ141" s="10"/>
      <c r="DB141" s="10"/>
      <c r="DD141" s="10"/>
      <c r="DF141" s="10"/>
      <c r="DH141" s="10"/>
      <c r="DJ141" s="10"/>
      <c r="DL141" s="10"/>
    </row>
    <row r="142" spans="1:116" x14ac:dyDescent="0.2">
      <c r="A142" s="5"/>
      <c r="B142" s="6"/>
      <c r="C142" s="6"/>
      <c r="D142" s="27"/>
      <c r="E142" s="6"/>
      <c r="F142" s="8"/>
      <c r="G142" s="8"/>
      <c r="I142" s="10"/>
      <c r="J142" s="11"/>
      <c r="K142" s="12"/>
      <c r="L142" s="10"/>
      <c r="M142" s="11"/>
      <c r="N142" s="12"/>
      <c r="O142" s="10"/>
      <c r="P142" s="11"/>
      <c r="Q142" s="12"/>
      <c r="R142" s="13"/>
      <c r="S142" s="11"/>
      <c r="T142" s="12"/>
      <c r="U142" s="10"/>
      <c r="V142" s="12"/>
      <c r="W142" s="12"/>
      <c r="X142" s="10"/>
      <c r="Y142" s="12"/>
      <c r="Z142" s="12"/>
      <c r="AA142" s="10"/>
      <c r="AB142" s="12"/>
      <c r="AC142" s="12"/>
      <c r="AD142" s="10"/>
      <c r="AE142" s="12"/>
      <c r="AF142" s="12"/>
      <c r="AG142" s="10"/>
      <c r="AH142" s="12"/>
      <c r="AI142" s="12"/>
      <c r="AJ142" s="13"/>
      <c r="AK142" s="11"/>
      <c r="AL142" s="12"/>
      <c r="AM142" s="10"/>
      <c r="AN142" s="12"/>
      <c r="AO142" s="12"/>
      <c r="AP142" s="10"/>
      <c r="AQ142" s="12"/>
      <c r="AR142" s="12"/>
      <c r="AS142" s="10"/>
      <c r="AT142" s="12"/>
      <c r="AU142" s="12"/>
      <c r="AV142" s="10"/>
      <c r="AW142" s="12"/>
      <c r="AX142" s="12"/>
      <c r="AY142" s="10"/>
      <c r="AZ142" s="12"/>
      <c r="BA142" s="12"/>
      <c r="BB142" s="10"/>
      <c r="BC142" s="12"/>
      <c r="BD142" s="12"/>
      <c r="BE142" s="10"/>
      <c r="BF142" s="12"/>
      <c r="BG142" s="12"/>
      <c r="BH142" s="10"/>
      <c r="BI142" s="12"/>
      <c r="BK142" s="16"/>
      <c r="BL142" s="16"/>
      <c r="BM142" s="16"/>
      <c r="BN142" s="16"/>
      <c r="BO142" s="16"/>
      <c r="BP142" s="16"/>
      <c r="BQ142" s="16"/>
      <c r="BR142" s="16"/>
      <c r="BS142" s="14"/>
      <c r="BT142" s="15"/>
      <c r="BU142" s="23"/>
      <c r="BV142" s="21"/>
      <c r="BW142" s="21"/>
      <c r="BX142" s="16"/>
      <c r="BY142" s="22"/>
      <c r="BZ142" s="16"/>
      <c r="CA142" s="8"/>
      <c r="CB142" s="10"/>
      <c r="CD142" s="10"/>
      <c r="CF142" s="10"/>
      <c r="CH142" s="10"/>
      <c r="CJ142" s="10"/>
      <c r="CL142" s="10"/>
      <c r="CN142" s="10"/>
      <c r="CP142" s="10"/>
      <c r="CR142" s="10"/>
      <c r="CT142" s="10"/>
      <c r="CV142" s="10"/>
      <c r="CX142" s="10"/>
      <c r="CZ142" s="10"/>
      <c r="DB142" s="10"/>
      <c r="DD142" s="10"/>
      <c r="DF142" s="10"/>
      <c r="DH142" s="10"/>
      <c r="DJ142" s="10"/>
      <c r="DL142" s="10"/>
    </row>
    <row r="143" spans="1:116" x14ac:dyDescent="0.2">
      <c r="A143" s="5"/>
      <c r="B143" s="6"/>
      <c r="C143" s="6"/>
      <c r="D143" s="27"/>
      <c r="E143" s="6"/>
      <c r="F143" s="8"/>
      <c r="G143" s="8"/>
      <c r="I143" s="10"/>
      <c r="J143" s="11"/>
      <c r="K143" s="12"/>
      <c r="L143" s="10"/>
      <c r="M143" s="11"/>
      <c r="N143" s="12"/>
      <c r="O143" s="10"/>
      <c r="P143" s="11"/>
      <c r="Q143" s="12"/>
      <c r="R143" s="13"/>
      <c r="S143" s="11"/>
      <c r="T143" s="12"/>
      <c r="U143" s="10"/>
      <c r="V143" s="12"/>
      <c r="W143" s="12"/>
      <c r="X143" s="10"/>
      <c r="Y143" s="12"/>
      <c r="Z143" s="12"/>
      <c r="AA143" s="10"/>
      <c r="AB143" s="12"/>
      <c r="AC143" s="12"/>
      <c r="AD143" s="10"/>
      <c r="AE143" s="12"/>
      <c r="AF143" s="12"/>
      <c r="AG143" s="10"/>
      <c r="AH143" s="12"/>
      <c r="AI143" s="12"/>
      <c r="AJ143" s="13"/>
      <c r="AK143" s="11"/>
      <c r="AL143" s="12"/>
      <c r="AM143" s="10"/>
      <c r="AN143" s="12"/>
      <c r="AO143" s="12"/>
      <c r="AP143" s="10"/>
      <c r="AQ143" s="12"/>
      <c r="AR143" s="12"/>
      <c r="AS143" s="10"/>
      <c r="AT143" s="12"/>
      <c r="AU143" s="12"/>
      <c r="AV143" s="10"/>
      <c r="AW143" s="12"/>
      <c r="AX143" s="12"/>
      <c r="AY143" s="10"/>
      <c r="AZ143" s="12"/>
      <c r="BA143" s="12"/>
      <c r="BB143" s="10"/>
      <c r="BC143" s="12"/>
      <c r="BD143" s="12"/>
      <c r="BE143" s="10"/>
      <c r="BF143" s="12"/>
      <c r="BG143" s="12"/>
      <c r="BH143" s="10"/>
      <c r="BI143" s="12"/>
      <c r="BK143" s="16"/>
      <c r="BL143" s="16"/>
      <c r="BM143" s="16"/>
      <c r="BN143" s="16"/>
      <c r="BO143" s="16"/>
      <c r="BP143" s="16"/>
      <c r="BQ143" s="16"/>
      <c r="BR143" s="16"/>
      <c r="BS143" s="14"/>
      <c r="BT143" s="15"/>
      <c r="BU143" s="23"/>
      <c r="BV143" s="21"/>
      <c r="BW143" s="21"/>
      <c r="BX143" s="16"/>
      <c r="BY143" s="22"/>
      <c r="BZ143" s="16"/>
      <c r="CA143" s="8"/>
      <c r="CB143" s="10"/>
      <c r="CD143" s="10"/>
      <c r="CF143" s="10"/>
      <c r="CH143" s="10"/>
      <c r="CJ143" s="10"/>
      <c r="CL143" s="10"/>
      <c r="CN143" s="10"/>
      <c r="CP143" s="10"/>
      <c r="CR143" s="10"/>
      <c r="CT143" s="10"/>
      <c r="CV143" s="10"/>
      <c r="CX143" s="10"/>
      <c r="CZ143" s="10"/>
      <c r="DB143" s="10"/>
      <c r="DD143" s="10"/>
      <c r="DF143" s="10"/>
      <c r="DH143" s="10"/>
      <c r="DJ143" s="10"/>
      <c r="DL143" s="10"/>
    </row>
    <row r="144" spans="1:116" x14ac:dyDescent="0.2">
      <c r="A144" s="5"/>
      <c r="B144" s="6"/>
      <c r="C144" s="6"/>
      <c r="D144" s="27"/>
      <c r="E144" s="6"/>
      <c r="F144" s="8"/>
      <c r="G144" s="8"/>
      <c r="I144" s="10"/>
      <c r="J144" s="11"/>
      <c r="K144" s="12"/>
      <c r="L144" s="10"/>
      <c r="M144" s="11"/>
      <c r="N144" s="12"/>
      <c r="O144" s="10"/>
      <c r="P144" s="11"/>
      <c r="Q144" s="12"/>
      <c r="R144" s="13"/>
      <c r="S144" s="11"/>
      <c r="T144" s="12"/>
      <c r="U144" s="10"/>
      <c r="V144" s="12"/>
      <c r="W144" s="12"/>
      <c r="X144" s="10"/>
      <c r="Y144" s="12"/>
      <c r="Z144" s="12"/>
      <c r="AA144" s="10"/>
      <c r="AB144" s="12"/>
      <c r="AC144" s="12"/>
      <c r="AD144" s="10"/>
      <c r="AE144" s="12"/>
      <c r="AF144" s="12"/>
      <c r="AG144" s="10"/>
      <c r="AH144" s="12"/>
      <c r="AI144" s="12"/>
      <c r="AJ144" s="13"/>
      <c r="AK144" s="11"/>
      <c r="AL144" s="12"/>
      <c r="AM144" s="10"/>
      <c r="AN144" s="12"/>
      <c r="AO144" s="12"/>
      <c r="AP144" s="10"/>
      <c r="AQ144" s="12"/>
      <c r="AR144" s="12"/>
      <c r="AS144" s="10"/>
      <c r="AT144" s="12"/>
      <c r="AU144" s="12"/>
      <c r="AV144" s="10"/>
      <c r="AW144" s="12"/>
      <c r="AX144" s="12"/>
      <c r="AY144" s="10"/>
      <c r="AZ144" s="12"/>
      <c r="BA144" s="12"/>
      <c r="BB144" s="10"/>
      <c r="BC144" s="12"/>
      <c r="BD144" s="12"/>
      <c r="BE144" s="10"/>
      <c r="BF144" s="12"/>
      <c r="BG144" s="12"/>
      <c r="BH144" s="10"/>
      <c r="BI144" s="12"/>
      <c r="BK144" s="16"/>
      <c r="BL144" s="16"/>
      <c r="BM144" s="16"/>
      <c r="BN144" s="16"/>
      <c r="BO144" s="16"/>
      <c r="BP144" s="16"/>
      <c r="BQ144" s="16"/>
      <c r="BR144" s="16"/>
      <c r="BS144" s="14"/>
      <c r="BT144" s="15"/>
      <c r="BU144" s="23"/>
      <c r="BV144" s="21"/>
      <c r="BW144" s="21"/>
      <c r="BX144" s="16"/>
      <c r="BY144" s="22"/>
      <c r="BZ144" s="16"/>
      <c r="CA144" s="8"/>
      <c r="CB144" s="10"/>
      <c r="CD144" s="10"/>
      <c r="CF144" s="10"/>
      <c r="CH144" s="10"/>
      <c r="CJ144" s="10"/>
      <c r="CL144" s="10"/>
      <c r="CN144" s="10"/>
      <c r="CP144" s="10"/>
      <c r="CR144" s="10"/>
      <c r="CT144" s="10"/>
      <c r="CV144" s="10"/>
      <c r="CX144" s="10"/>
      <c r="CZ144" s="10"/>
      <c r="DB144" s="10"/>
      <c r="DD144" s="10"/>
      <c r="DF144" s="10"/>
      <c r="DH144" s="10"/>
      <c r="DJ144" s="10"/>
      <c r="DL144" s="10"/>
    </row>
    <row r="145" spans="1:116" x14ac:dyDescent="0.2">
      <c r="A145" s="5"/>
      <c r="B145" s="6"/>
      <c r="C145" s="6"/>
      <c r="D145" s="27"/>
      <c r="E145" s="6"/>
      <c r="F145" s="8"/>
      <c r="G145" s="8"/>
      <c r="I145" s="10"/>
      <c r="J145" s="11"/>
      <c r="K145" s="12"/>
      <c r="L145" s="10"/>
      <c r="M145" s="11"/>
      <c r="N145" s="12"/>
      <c r="O145" s="10"/>
      <c r="P145" s="11"/>
      <c r="Q145" s="12"/>
      <c r="R145" s="13"/>
      <c r="S145" s="11"/>
      <c r="T145" s="12"/>
      <c r="U145" s="10"/>
      <c r="V145" s="12"/>
      <c r="W145" s="12"/>
      <c r="X145" s="10"/>
      <c r="Y145" s="12"/>
      <c r="Z145" s="12"/>
      <c r="AA145" s="10"/>
      <c r="AB145" s="12"/>
      <c r="AC145" s="12"/>
      <c r="AD145" s="10"/>
      <c r="AE145" s="12"/>
      <c r="AF145" s="12"/>
      <c r="AG145" s="10"/>
      <c r="AH145" s="12"/>
      <c r="AI145" s="12"/>
      <c r="AJ145" s="13"/>
      <c r="AK145" s="11"/>
      <c r="AL145" s="12"/>
      <c r="AM145" s="10"/>
      <c r="AN145" s="12"/>
      <c r="AO145" s="12"/>
      <c r="AP145" s="10"/>
      <c r="AQ145" s="12"/>
      <c r="AR145" s="12"/>
      <c r="AS145" s="10"/>
      <c r="AT145" s="12"/>
      <c r="AU145" s="12"/>
      <c r="AV145" s="10"/>
      <c r="AW145" s="12"/>
      <c r="AX145" s="12"/>
      <c r="AY145" s="10"/>
      <c r="AZ145" s="12"/>
      <c r="BA145" s="12"/>
      <c r="BB145" s="10"/>
      <c r="BC145" s="12"/>
      <c r="BD145" s="12"/>
      <c r="BE145" s="10"/>
      <c r="BF145" s="12"/>
      <c r="BG145" s="12"/>
      <c r="BH145" s="10"/>
      <c r="BI145" s="12"/>
      <c r="BK145" s="16"/>
      <c r="BL145" s="16"/>
      <c r="BM145" s="16"/>
      <c r="BN145" s="16"/>
      <c r="BO145" s="16"/>
      <c r="BP145" s="16"/>
      <c r="BQ145" s="16"/>
      <c r="BR145" s="16"/>
      <c r="BS145" s="14"/>
      <c r="BT145" s="15"/>
      <c r="BU145" s="23"/>
      <c r="BV145" s="21"/>
      <c r="BW145" s="21"/>
      <c r="BX145" s="16"/>
      <c r="BY145" s="22"/>
      <c r="BZ145" s="16"/>
      <c r="CA145" s="8"/>
      <c r="CB145" s="10"/>
      <c r="CD145" s="10"/>
      <c r="CF145" s="10"/>
      <c r="CH145" s="10"/>
      <c r="CJ145" s="10"/>
      <c r="CL145" s="10"/>
      <c r="CN145" s="10"/>
      <c r="CP145" s="10"/>
      <c r="CR145" s="10"/>
      <c r="CT145" s="10"/>
      <c r="CV145" s="10"/>
      <c r="CX145" s="10"/>
      <c r="CZ145" s="10"/>
      <c r="DB145" s="10"/>
      <c r="DD145" s="10"/>
      <c r="DF145" s="10"/>
      <c r="DH145" s="10"/>
      <c r="DJ145" s="10"/>
      <c r="DL145" s="10"/>
    </row>
    <row r="146" spans="1:116" x14ac:dyDescent="0.2">
      <c r="A146" s="5"/>
      <c r="B146" s="6"/>
      <c r="C146" s="6"/>
      <c r="D146" s="27"/>
      <c r="E146" s="6"/>
      <c r="F146" s="8"/>
      <c r="G146" s="8"/>
      <c r="I146" s="10"/>
      <c r="J146" s="11"/>
      <c r="K146" s="12"/>
      <c r="L146" s="10"/>
      <c r="M146" s="11"/>
      <c r="N146" s="12"/>
      <c r="O146" s="10"/>
      <c r="P146" s="11"/>
      <c r="Q146" s="12"/>
      <c r="R146" s="13"/>
      <c r="S146" s="11"/>
      <c r="T146" s="12"/>
      <c r="U146" s="10"/>
      <c r="V146" s="12"/>
      <c r="W146" s="12"/>
      <c r="X146" s="10"/>
      <c r="Y146" s="12"/>
      <c r="Z146" s="12"/>
      <c r="AA146" s="10"/>
      <c r="AB146" s="12"/>
      <c r="AC146" s="12"/>
      <c r="AD146" s="10"/>
      <c r="AE146" s="12"/>
      <c r="AF146" s="12"/>
      <c r="AG146" s="10"/>
      <c r="AH146" s="12"/>
      <c r="AI146" s="12"/>
      <c r="AJ146" s="13"/>
      <c r="AK146" s="11"/>
      <c r="AL146" s="12"/>
      <c r="AM146" s="10"/>
      <c r="AN146" s="12"/>
      <c r="AO146" s="12"/>
      <c r="AP146" s="10"/>
      <c r="AQ146" s="12"/>
      <c r="AR146" s="12"/>
      <c r="AS146" s="10"/>
      <c r="AT146" s="12"/>
      <c r="AU146" s="12"/>
      <c r="AV146" s="10"/>
      <c r="AW146" s="12"/>
      <c r="AX146" s="12"/>
      <c r="AY146" s="10"/>
      <c r="AZ146" s="12"/>
      <c r="BA146" s="12"/>
      <c r="BB146" s="10"/>
      <c r="BC146" s="12"/>
      <c r="BD146" s="12"/>
      <c r="BE146" s="10"/>
      <c r="BF146" s="12"/>
      <c r="BG146" s="12"/>
      <c r="BH146" s="10"/>
      <c r="BI146" s="12"/>
      <c r="BK146" s="16"/>
      <c r="BL146" s="16"/>
      <c r="BM146" s="16"/>
      <c r="BN146" s="16"/>
      <c r="BO146" s="16"/>
      <c r="BP146" s="16"/>
      <c r="BQ146" s="16"/>
      <c r="BR146" s="16"/>
      <c r="BS146" s="14"/>
      <c r="BT146" s="15"/>
      <c r="BU146" s="23"/>
      <c r="BV146" s="21"/>
      <c r="BW146" s="21"/>
      <c r="BX146" s="16"/>
      <c r="BY146" s="22"/>
      <c r="BZ146" s="16"/>
      <c r="CA146" s="8"/>
      <c r="CB146" s="10"/>
      <c r="CD146" s="10"/>
      <c r="CF146" s="10"/>
      <c r="CH146" s="10"/>
      <c r="CJ146" s="10"/>
      <c r="CL146" s="10"/>
      <c r="CN146" s="10"/>
      <c r="CP146" s="10"/>
      <c r="CR146" s="10"/>
      <c r="CT146" s="10"/>
      <c r="CV146" s="10"/>
      <c r="CX146" s="10"/>
      <c r="CZ146" s="10"/>
      <c r="DB146" s="10"/>
      <c r="DD146" s="10"/>
      <c r="DF146" s="10"/>
      <c r="DH146" s="10"/>
      <c r="DJ146" s="10"/>
      <c r="DL146" s="10"/>
    </row>
    <row r="147" spans="1:116" x14ac:dyDescent="0.2">
      <c r="A147" s="5"/>
      <c r="B147" s="6"/>
      <c r="C147" s="6"/>
      <c r="D147" s="27"/>
      <c r="E147" s="6"/>
      <c r="F147" s="8"/>
      <c r="G147" s="8"/>
      <c r="I147" s="10"/>
      <c r="J147" s="11"/>
      <c r="K147" s="12"/>
      <c r="L147" s="10"/>
      <c r="M147" s="11"/>
      <c r="N147" s="12"/>
      <c r="O147" s="10"/>
      <c r="P147" s="11"/>
      <c r="Q147" s="12"/>
      <c r="R147" s="13"/>
      <c r="S147" s="11"/>
      <c r="T147" s="12"/>
      <c r="U147" s="10"/>
      <c r="V147" s="12"/>
      <c r="W147" s="12"/>
      <c r="X147" s="10"/>
      <c r="Y147" s="12"/>
      <c r="Z147" s="12"/>
      <c r="AA147" s="10"/>
      <c r="AB147" s="12"/>
      <c r="AC147" s="12"/>
      <c r="AD147" s="10"/>
      <c r="AE147" s="12"/>
      <c r="AF147" s="12"/>
      <c r="AG147" s="10"/>
      <c r="AH147" s="12"/>
      <c r="AI147" s="12"/>
      <c r="AJ147" s="13"/>
      <c r="AK147" s="11"/>
      <c r="AL147" s="12"/>
      <c r="AM147" s="10"/>
      <c r="AN147" s="12"/>
      <c r="AO147" s="12"/>
      <c r="AP147" s="10"/>
      <c r="AQ147" s="12"/>
      <c r="AR147" s="12"/>
      <c r="AS147" s="10"/>
      <c r="AT147" s="12"/>
      <c r="AU147" s="12"/>
      <c r="AV147" s="10"/>
      <c r="AW147" s="12"/>
      <c r="AX147" s="12"/>
      <c r="AY147" s="10"/>
      <c r="AZ147" s="12"/>
      <c r="BA147" s="12"/>
      <c r="BB147" s="10"/>
      <c r="BC147" s="12"/>
      <c r="BD147" s="12"/>
      <c r="BE147" s="10"/>
      <c r="BF147" s="12"/>
      <c r="BG147" s="12"/>
      <c r="BH147" s="10"/>
      <c r="BI147" s="12"/>
      <c r="BK147" s="16"/>
      <c r="BL147" s="16"/>
      <c r="BM147" s="16"/>
      <c r="BN147" s="16"/>
      <c r="BO147" s="16"/>
      <c r="BP147" s="16"/>
      <c r="BQ147" s="16"/>
      <c r="BR147" s="16"/>
      <c r="BS147" s="14"/>
      <c r="BT147" s="15"/>
      <c r="BU147" s="23"/>
      <c r="BV147" s="21"/>
      <c r="BW147" s="21"/>
      <c r="BX147" s="16"/>
      <c r="BY147" s="22"/>
      <c r="BZ147" s="16"/>
      <c r="CA147" s="8"/>
      <c r="CB147" s="10"/>
      <c r="CD147" s="10"/>
      <c r="CF147" s="10"/>
      <c r="CH147" s="10"/>
      <c r="CJ147" s="10"/>
      <c r="CL147" s="10"/>
      <c r="CN147" s="10"/>
      <c r="CP147" s="10"/>
      <c r="CR147" s="10"/>
      <c r="CT147" s="10"/>
      <c r="CV147" s="10"/>
      <c r="CX147" s="10"/>
      <c r="CZ147" s="10"/>
      <c r="DB147" s="10"/>
      <c r="DD147" s="10"/>
      <c r="DF147" s="10"/>
      <c r="DH147" s="10"/>
      <c r="DJ147" s="10"/>
      <c r="DL147" s="10"/>
    </row>
    <row r="148" spans="1:116" x14ac:dyDescent="0.2">
      <c r="A148" s="5"/>
      <c r="B148" s="6"/>
      <c r="C148" s="6"/>
      <c r="D148" s="27"/>
      <c r="E148" s="6"/>
      <c r="F148" s="8"/>
      <c r="G148" s="8"/>
      <c r="I148" s="10"/>
      <c r="J148" s="11"/>
      <c r="K148" s="12"/>
      <c r="L148" s="10"/>
      <c r="M148" s="11"/>
      <c r="N148" s="12"/>
      <c r="O148" s="10"/>
      <c r="P148" s="11"/>
      <c r="Q148" s="12"/>
      <c r="R148" s="13"/>
      <c r="S148" s="11"/>
      <c r="T148" s="12"/>
      <c r="U148" s="10"/>
      <c r="V148" s="12"/>
      <c r="W148" s="12"/>
      <c r="X148" s="10"/>
      <c r="Y148" s="12"/>
      <c r="Z148" s="12"/>
      <c r="AA148" s="10"/>
      <c r="AB148" s="12"/>
      <c r="AC148" s="12"/>
      <c r="AD148" s="10"/>
      <c r="AE148" s="12"/>
      <c r="AF148" s="12"/>
      <c r="AG148" s="10"/>
      <c r="AH148" s="12"/>
      <c r="AI148" s="12"/>
      <c r="AJ148" s="13"/>
      <c r="AK148" s="11"/>
      <c r="AL148" s="12"/>
      <c r="AM148" s="10"/>
      <c r="AN148" s="12"/>
      <c r="AO148" s="12"/>
      <c r="AP148" s="10"/>
      <c r="AQ148" s="12"/>
      <c r="AR148" s="12"/>
      <c r="AS148" s="10"/>
      <c r="AT148" s="12"/>
      <c r="AU148" s="12"/>
      <c r="AV148" s="10"/>
      <c r="AW148" s="12"/>
      <c r="AX148" s="12"/>
      <c r="AY148" s="10"/>
      <c r="AZ148" s="12"/>
      <c r="BA148" s="12"/>
      <c r="BB148" s="10"/>
      <c r="BC148" s="12"/>
      <c r="BD148" s="12"/>
      <c r="BE148" s="10"/>
      <c r="BF148" s="12"/>
      <c r="BG148" s="12"/>
      <c r="BH148" s="10"/>
      <c r="BI148" s="12"/>
      <c r="BK148" s="16"/>
      <c r="BL148" s="16"/>
      <c r="BM148" s="16"/>
      <c r="BN148" s="16"/>
      <c r="BO148" s="16"/>
      <c r="BP148" s="16"/>
      <c r="BQ148" s="16"/>
      <c r="BR148" s="16"/>
      <c r="BS148" s="14"/>
      <c r="BT148" s="15"/>
      <c r="BU148" s="23"/>
      <c r="BV148" s="21"/>
      <c r="BW148" s="21"/>
      <c r="BX148" s="16"/>
      <c r="BY148" s="22"/>
      <c r="BZ148" s="16"/>
      <c r="CA148" s="8"/>
      <c r="CB148" s="10"/>
      <c r="CD148" s="10"/>
      <c r="CF148" s="10"/>
      <c r="CH148" s="10"/>
      <c r="CJ148" s="10"/>
      <c r="CL148" s="10"/>
      <c r="CN148" s="10"/>
      <c r="CP148" s="10"/>
      <c r="CR148" s="10"/>
      <c r="CT148" s="10"/>
      <c r="CV148" s="10"/>
      <c r="CX148" s="10"/>
      <c r="CZ148" s="10"/>
      <c r="DB148" s="10"/>
      <c r="DD148" s="10"/>
      <c r="DF148" s="10"/>
      <c r="DH148" s="10"/>
      <c r="DJ148" s="10"/>
      <c r="DL148" s="10"/>
    </row>
    <row r="149" spans="1:116" x14ac:dyDescent="0.2">
      <c r="A149" s="5"/>
      <c r="B149" s="6"/>
      <c r="C149" s="6"/>
      <c r="D149" s="27"/>
      <c r="E149" s="6"/>
      <c r="F149" s="8"/>
      <c r="G149" s="8"/>
      <c r="I149" s="10"/>
      <c r="J149" s="11"/>
      <c r="K149" s="12"/>
      <c r="L149" s="10"/>
      <c r="M149" s="11"/>
      <c r="N149" s="12"/>
      <c r="O149" s="10"/>
      <c r="P149" s="11"/>
      <c r="Q149" s="12"/>
      <c r="R149" s="13"/>
      <c r="S149" s="11"/>
      <c r="T149" s="12"/>
      <c r="U149" s="10"/>
      <c r="V149" s="12"/>
      <c r="W149" s="12"/>
      <c r="X149" s="10"/>
      <c r="Y149" s="12"/>
      <c r="Z149" s="12"/>
      <c r="AA149" s="10"/>
      <c r="AB149" s="12"/>
      <c r="AC149" s="12"/>
      <c r="AD149" s="10"/>
      <c r="AE149" s="12"/>
      <c r="AF149" s="12"/>
      <c r="AG149" s="10"/>
      <c r="AH149" s="12"/>
      <c r="AI149" s="12"/>
      <c r="AJ149" s="13"/>
      <c r="AK149" s="11"/>
      <c r="AL149" s="12"/>
      <c r="AM149" s="10"/>
      <c r="AN149" s="12"/>
      <c r="AO149" s="12"/>
      <c r="AP149" s="10"/>
      <c r="AQ149" s="12"/>
      <c r="AR149" s="12"/>
      <c r="AS149" s="10"/>
      <c r="AT149" s="12"/>
      <c r="AU149" s="12"/>
      <c r="AV149" s="10"/>
      <c r="AW149" s="12"/>
      <c r="AX149" s="12"/>
      <c r="AY149" s="10"/>
      <c r="AZ149" s="12"/>
      <c r="BA149" s="12"/>
      <c r="BB149" s="10"/>
      <c r="BC149" s="12"/>
      <c r="BD149" s="12"/>
      <c r="BE149" s="10"/>
      <c r="BF149" s="12"/>
      <c r="BG149" s="12"/>
      <c r="BH149" s="10"/>
      <c r="BI149" s="12"/>
      <c r="BK149" s="16"/>
      <c r="BL149" s="16"/>
      <c r="BM149" s="16"/>
      <c r="BN149" s="16"/>
      <c r="BO149" s="16"/>
      <c r="BP149" s="16"/>
      <c r="BQ149" s="16"/>
      <c r="BR149" s="16"/>
      <c r="BS149" s="14"/>
      <c r="BT149" s="15"/>
      <c r="BU149" s="23"/>
      <c r="BV149" s="21"/>
      <c r="BW149" s="21"/>
      <c r="BX149" s="16"/>
      <c r="BY149" s="22"/>
      <c r="BZ149" s="16"/>
      <c r="CA149" s="8"/>
      <c r="CB149" s="10"/>
      <c r="CD149" s="10"/>
      <c r="CF149" s="10"/>
      <c r="CH149" s="10"/>
      <c r="CJ149" s="10"/>
      <c r="CL149" s="10"/>
      <c r="CN149" s="10"/>
      <c r="CP149" s="10"/>
      <c r="CR149" s="10"/>
      <c r="CT149" s="10"/>
      <c r="CV149" s="10"/>
      <c r="CX149" s="10"/>
      <c r="CZ149" s="10"/>
      <c r="DB149" s="10"/>
      <c r="DD149" s="10"/>
      <c r="DF149" s="10"/>
      <c r="DH149" s="10"/>
      <c r="DJ149" s="10"/>
      <c r="DL149" s="10"/>
    </row>
    <row r="150" spans="1:116" x14ac:dyDescent="0.2">
      <c r="A150" s="5"/>
      <c r="B150" s="6"/>
      <c r="C150" s="6"/>
      <c r="D150" s="27"/>
      <c r="E150" s="6"/>
      <c r="F150" s="8"/>
      <c r="G150" s="8"/>
      <c r="I150" s="10"/>
      <c r="J150" s="11"/>
      <c r="K150" s="12"/>
      <c r="L150" s="10"/>
      <c r="M150" s="11"/>
      <c r="N150" s="12"/>
      <c r="O150" s="10"/>
      <c r="P150" s="11"/>
      <c r="Q150" s="12"/>
      <c r="R150" s="13"/>
      <c r="S150" s="11"/>
      <c r="T150" s="12"/>
      <c r="U150" s="10"/>
      <c r="V150" s="12"/>
      <c r="W150" s="12"/>
      <c r="X150" s="10"/>
      <c r="Y150" s="12"/>
      <c r="Z150" s="12"/>
      <c r="AA150" s="10"/>
      <c r="AB150" s="12"/>
      <c r="AC150" s="12"/>
      <c r="AD150" s="10"/>
      <c r="AE150" s="12"/>
      <c r="AF150" s="12"/>
      <c r="AG150" s="10"/>
      <c r="AH150" s="12"/>
      <c r="AI150" s="12"/>
      <c r="AJ150" s="13"/>
      <c r="AK150" s="11"/>
      <c r="AL150" s="12"/>
      <c r="AM150" s="10"/>
      <c r="AN150" s="12"/>
      <c r="AO150" s="12"/>
      <c r="AP150" s="10"/>
      <c r="AQ150" s="12"/>
      <c r="AR150" s="12"/>
      <c r="AS150" s="10"/>
      <c r="AT150" s="12"/>
      <c r="AU150" s="12"/>
      <c r="AV150" s="10"/>
      <c r="AW150" s="12"/>
      <c r="AX150" s="12"/>
      <c r="AY150" s="10"/>
      <c r="AZ150" s="12"/>
      <c r="BA150" s="12"/>
      <c r="BB150" s="10"/>
      <c r="BC150" s="12"/>
      <c r="BD150" s="12"/>
      <c r="BE150" s="10"/>
      <c r="BF150" s="12"/>
      <c r="BG150" s="12"/>
      <c r="BH150" s="10"/>
      <c r="BI150" s="12"/>
      <c r="BK150" s="16"/>
      <c r="BL150" s="16"/>
      <c r="BM150" s="16"/>
      <c r="BN150" s="16"/>
      <c r="BO150" s="16"/>
      <c r="BP150" s="16"/>
      <c r="BQ150" s="16"/>
      <c r="BR150" s="16"/>
      <c r="BS150" s="14"/>
      <c r="BT150" s="15"/>
      <c r="BU150" s="23"/>
      <c r="BV150" s="21"/>
      <c r="BW150" s="21"/>
      <c r="BX150" s="16"/>
      <c r="BY150" s="22"/>
      <c r="BZ150" s="16"/>
      <c r="CA150" s="8"/>
      <c r="CB150" s="10"/>
      <c r="CD150" s="10"/>
      <c r="CF150" s="10"/>
      <c r="CH150" s="10"/>
      <c r="CJ150" s="10"/>
      <c r="CL150" s="10"/>
      <c r="CN150" s="10"/>
      <c r="CP150" s="10"/>
      <c r="CR150" s="10"/>
      <c r="CT150" s="10"/>
      <c r="CV150" s="10"/>
      <c r="CX150" s="10"/>
      <c r="CZ150" s="10"/>
      <c r="DB150" s="10"/>
      <c r="DD150" s="10"/>
      <c r="DF150" s="10"/>
      <c r="DH150" s="10"/>
      <c r="DJ150" s="10"/>
      <c r="DL150" s="10"/>
    </row>
    <row r="151" spans="1:116" x14ac:dyDescent="0.2">
      <c r="A151" s="5"/>
      <c r="B151" s="6"/>
      <c r="C151" s="6"/>
      <c r="D151" s="27"/>
      <c r="E151" s="6"/>
      <c r="F151" s="8"/>
      <c r="G151" s="8"/>
      <c r="I151" s="10"/>
      <c r="J151" s="11"/>
      <c r="K151" s="12"/>
      <c r="L151" s="10"/>
      <c r="M151" s="11"/>
      <c r="N151" s="12"/>
      <c r="O151" s="10"/>
      <c r="P151" s="11"/>
      <c r="Q151" s="12"/>
      <c r="R151" s="13"/>
      <c r="S151" s="11"/>
      <c r="T151" s="12"/>
      <c r="U151" s="10"/>
      <c r="V151" s="12"/>
      <c r="W151" s="12"/>
      <c r="X151" s="10"/>
      <c r="Y151" s="12"/>
      <c r="Z151" s="12"/>
      <c r="AA151" s="10"/>
      <c r="AB151" s="12"/>
      <c r="AC151" s="12"/>
      <c r="AD151" s="10"/>
      <c r="AE151" s="12"/>
      <c r="AF151" s="12"/>
      <c r="AG151" s="10"/>
      <c r="AH151" s="12"/>
      <c r="AI151" s="12"/>
      <c r="AJ151" s="13"/>
      <c r="AK151" s="11"/>
      <c r="AL151" s="12"/>
      <c r="AM151" s="10"/>
      <c r="AN151" s="12"/>
      <c r="AO151" s="12"/>
      <c r="AP151" s="10"/>
      <c r="AQ151" s="12"/>
      <c r="AR151" s="12"/>
      <c r="AS151" s="10"/>
      <c r="AT151" s="12"/>
      <c r="AU151" s="12"/>
      <c r="AV151" s="10"/>
      <c r="AW151" s="12"/>
      <c r="AX151" s="12"/>
      <c r="AY151" s="10"/>
      <c r="AZ151" s="12"/>
      <c r="BA151" s="12"/>
      <c r="BB151" s="10"/>
      <c r="BC151" s="12"/>
      <c r="BD151" s="12"/>
      <c r="BE151" s="10"/>
      <c r="BF151" s="12"/>
      <c r="BG151" s="12"/>
      <c r="BH151" s="10"/>
      <c r="BI151" s="12"/>
      <c r="BK151" s="16"/>
      <c r="BL151" s="16"/>
      <c r="BM151" s="16"/>
      <c r="BN151" s="16"/>
      <c r="BO151" s="16"/>
      <c r="BP151" s="16"/>
      <c r="BQ151" s="16"/>
      <c r="BR151" s="16"/>
      <c r="BS151" s="14"/>
      <c r="BT151" s="15"/>
      <c r="BU151" s="23"/>
      <c r="BV151" s="21"/>
      <c r="BW151" s="21"/>
      <c r="BX151" s="16"/>
      <c r="BY151" s="22"/>
      <c r="BZ151" s="16"/>
      <c r="CA151" s="8"/>
      <c r="CB151" s="10"/>
      <c r="CD151" s="10"/>
      <c r="CF151" s="10"/>
      <c r="CH151" s="10"/>
      <c r="CJ151" s="10"/>
      <c r="CL151" s="10"/>
      <c r="CN151" s="10"/>
      <c r="CP151" s="10"/>
      <c r="CR151" s="10"/>
      <c r="CT151" s="10"/>
      <c r="CV151" s="10"/>
      <c r="CX151" s="10"/>
      <c r="CZ151" s="10"/>
      <c r="DB151" s="10"/>
      <c r="DD151" s="10"/>
      <c r="DF151" s="10"/>
      <c r="DH151" s="10"/>
      <c r="DJ151" s="10"/>
      <c r="DL151" s="10"/>
    </row>
    <row r="152" spans="1:116" x14ac:dyDescent="0.2">
      <c r="A152" s="5"/>
      <c r="B152" s="6"/>
      <c r="C152" s="6"/>
      <c r="D152" s="27"/>
      <c r="E152" s="6"/>
      <c r="F152" s="8"/>
      <c r="G152" s="8"/>
      <c r="I152" s="10"/>
      <c r="J152" s="11"/>
      <c r="K152" s="12"/>
      <c r="L152" s="10"/>
      <c r="M152" s="11"/>
      <c r="N152" s="12"/>
      <c r="O152" s="10"/>
      <c r="P152" s="11"/>
      <c r="Q152" s="12"/>
      <c r="R152" s="13"/>
      <c r="S152" s="11"/>
      <c r="T152" s="12"/>
      <c r="U152" s="10"/>
      <c r="V152" s="12"/>
      <c r="W152" s="12"/>
      <c r="X152" s="10"/>
      <c r="Y152" s="12"/>
      <c r="Z152" s="12"/>
      <c r="AA152" s="10"/>
      <c r="AB152" s="12"/>
      <c r="AC152" s="12"/>
      <c r="AD152" s="10"/>
      <c r="AE152" s="12"/>
      <c r="AF152" s="12"/>
      <c r="AG152" s="10"/>
      <c r="AH152" s="12"/>
      <c r="AI152" s="12"/>
      <c r="AJ152" s="13"/>
      <c r="AK152" s="11"/>
      <c r="AL152" s="12"/>
      <c r="AM152" s="10"/>
      <c r="AN152" s="12"/>
      <c r="AO152" s="12"/>
      <c r="AP152" s="10"/>
      <c r="AQ152" s="12"/>
      <c r="AR152" s="12"/>
      <c r="AS152" s="10"/>
      <c r="AT152" s="12"/>
      <c r="AU152" s="12"/>
      <c r="AV152" s="10"/>
      <c r="AW152" s="12"/>
      <c r="AX152" s="12"/>
      <c r="AY152" s="10"/>
      <c r="AZ152" s="12"/>
      <c r="BA152" s="12"/>
      <c r="BB152" s="10"/>
      <c r="BC152" s="12"/>
      <c r="BD152" s="12"/>
      <c r="BE152" s="10"/>
      <c r="BF152" s="12"/>
      <c r="BG152" s="12"/>
      <c r="BH152" s="10"/>
      <c r="BI152" s="12"/>
      <c r="BK152" s="16"/>
      <c r="BL152" s="16"/>
      <c r="BM152" s="16"/>
      <c r="BN152" s="16"/>
      <c r="BO152" s="16"/>
      <c r="BP152" s="16"/>
      <c r="BQ152" s="16"/>
      <c r="BR152" s="16"/>
      <c r="BS152" s="14"/>
      <c r="BT152" s="15"/>
      <c r="BU152" s="23"/>
      <c r="BV152" s="21"/>
      <c r="BW152" s="21"/>
      <c r="BX152" s="16"/>
      <c r="BY152" s="22"/>
      <c r="BZ152" s="16"/>
      <c r="CA152" s="8"/>
      <c r="CB152" s="10"/>
      <c r="CD152" s="10"/>
      <c r="CF152" s="10"/>
      <c r="CH152" s="10"/>
      <c r="CJ152" s="10"/>
      <c r="CL152" s="10"/>
      <c r="CN152" s="10"/>
      <c r="CP152" s="10"/>
      <c r="CR152" s="10"/>
      <c r="CT152" s="10"/>
      <c r="CV152" s="10"/>
      <c r="CX152" s="10"/>
      <c r="CZ152" s="10"/>
      <c r="DB152" s="10"/>
      <c r="DD152" s="10"/>
      <c r="DF152" s="10"/>
      <c r="DH152" s="10"/>
      <c r="DJ152" s="10"/>
      <c r="DL152" s="10"/>
    </row>
    <row r="153" spans="1:116" x14ac:dyDescent="0.2">
      <c r="A153" s="5"/>
      <c r="B153" s="6"/>
      <c r="C153" s="6"/>
      <c r="D153" s="27"/>
      <c r="E153" s="6"/>
      <c r="F153" s="8"/>
      <c r="G153" s="8"/>
      <c r="I153" s="10"/>
      <c r="J153" s="11"/>
      <c r="K153" s="12"/>
      <c r="L153" s="10"/>
      <c r="M153" s="11"/>
      <c r="N153" s="12"/>
      <c r="O153" s="10"/>
      <c r="P153" s="11"/>
      <c r="Q153" s="12"/>
      <c r="R153" s="13"/>
      <c r="S153" s="11"/>
      <c r="T153" s="12"/>
      <c r="U153" s="10"/>
      <c r="V153" s="12"/>
      <c r="W153" s="12"/>
      <c r="X153" s="10"/>
      <c r="Y153" s="12"/>
      <c r="Z153" s="12"/>
      <c r="AA153" s="10"/>
      <c r="AB153" s="12"/>
      <c r="AC153" s="12"/>
      <c r="AD153" s="10"/>
      <c r="AE153" s="12"/>
      <c r="AF153" s="12"/>
      <c r="AG153" s="10"/>
      <c r="AH153" s="12"/>
      <c r="AI153" s="12"/>
      <c r="AJ153" s="13"/>
      <c r="AK153" s="11"/>
      <c r="AL153" s="12"/>
      <c r="AM153" s="10"/>
      <c r="AN153" s="12"/>
      <c r="AO153" s="12"/>
      <c r="AP153" s="10"/>
      <c r="AQ153" s="12"/>
      <c r="AR153" s="12"/>
      <c r="AS153" s="10"/>
      <c r="AT153" s="12"/>
      <c r="AU153" s="12"/>
      <c r="AV153" s="10"/>
      <c r="AW153" s="12"/>
      <c r="AX153" s="12"/>
      <c r="AY153" s="10"/>
      <c r="AZ153" s="12"/>
      <c r="BA153" s="12"/>
      <c r="BB153" s="10"/>
      <c r="BC153" s="12"/>
      <c r="BD153" s="12"/>
      <c r="BE153" s="10"/>
      <c r="BF153" s="12"/>
      <c r="BG153" s="12"/>
      <c r="BH153" s="10"/>
      <c r="BI153" s="12"/>
      <c r="BK153" s="16"/>
      <c r="BL153" s="16"/>
      <c r="BM153" s="16"/>
      <c r="BN153" s="16"/>
      <c r="BO153" s="16"/>
      <c r="BP153" s="16"/>
      <c r="BQ153" s="16"/>
      <c r="BR153" s="16"/>
      <c r="BS153" s="14"/>
      <c r="BT153" s="15"/>
      <c r="BU153" s="23"/>
      <c r="BV153" s="21"/>
      <c r="BW153" s="21"/>
      <c r="BX153" s="16"/>
      <c r="BY153" s="22"/>
      <c r="BZ153" s="16"/>
      <c r="CA153" s="8"/>
      <c r="CB153" s="10"/>
      <c r="CD153" s="10"/>
      <c r="CF153" s="10"/>
      <c r="CH153" s="10"/>
      <c r="CJ153" s="10"/>
      <c r="CL153" s="10"/>
      <c r="CN153" s="10"/>
      <c r="CP153" s="10"/>
      <c r="CR153" s="10"/>
      <c r="CT153" s="10"/>
      <c r="CV153" s="10"/>
      <c r="CX153" s="10"/>
      <c r="CZ153" s="10"/>
      <c r="DB153" s="10"/>
      <c r="DD153" s="10"/>
      <c r="DF153" s="10"/>
      <c r="DH153" s="10"/>
      <c r="DJ153" s="10"/>
      <c r="DL153" s="10"/>
    </row>
    <row r="154" spans="1:116" x14ac:dyDescent="0.2">
      <c r="A154" s="5"/>
      <c r="B154" s="6"/>
      <c r="C154" s="6"/>
      <c r="D154" s="27"/>
      <c r="E154" s="6"/>
      <c r="F154" s="8"/>
      <c r="G154" s="8"/>
      <c r="I154" s="10"/>
      <c r="J154" s="11"/>
      <c r="K154" s="12"/>
      <c r="L154" s="10"/>
      <c r="M154" s="11"/>
      <c r="N154" s="12"/>
      <c r="O154" s="10"/>
      <c r="P154" s="11"/>
      <c r="Q154" s="12"/>
      <c r="R154" s="13"/>
      <c r="S154" s="11"/>
      <c r="T154" s="12"/>
      <c r="U154" s="10"/>
      <c r="V154" s="12"/>
      <c r="W154" s="12"/>
      <c r="X154" s="10"/>
      <c r="Y154" s="12"/>
      <c r="Z154" s="12"/>
      <c r="AA154" s="10"/>
      <c r="AB154" s="12"/>
      <c r="AC154" s="12"/>
      <c r="AD154" s="10"/>
      <c r="AE154" s="12"/>
      <c r="AF154" s="12"/>
      <c r="AG154" s="10"/>
      <c r="AH154" s="12"/>
      <c r="AI154" s="12"/>
      <c r="AJ154" s="13"/>
      <c r="AK154" s="11"/>
      <c r="AL154" s="12"/>
      <c r="AM154" s="10"/>
      <c r="AN154" s="12"/>
      <c r="AO154" s="12"/>
      <c r="AP154" s="10"/>
      <c r="AQ154" s="12"/>
      <c r="AR154" s="12"/>
      <c r="AS154" s="10"/>
      <c r="AT154" s="12"/>
      <c r="AU154" s="12"/>
      <c r="AV154" s="10"/>
      <c r="AW154" s="12"/>
      <c r="AX154" s="12"/>
      <c r="AY154" s="10"/>
      <c r="AZ154" s="12"/>
      <c r="BA154" s="12"/>
      <c r="BB154" s="10"/>
      <c r="BC154" s="12"/>
      <c r="BD154" s="12"/>
      <c r="BE154" s="10"/>
      <c r="BF154" s="12"/>
      <c r="BG154" s="12"/>
      <c r="BH154" s="10"/>
      <c r="BI154" s="12"/>
      <c r="BK154" s="16"/>
      <c r="BL154" s="16"/>
      <c r="BM154" s="16"/>
      <c r="BN154" s="16"/>
      <c r="BO154" s="16"/>
      <c r="BP154" s="16"/>
      <c r="BQ154" s="16"/>
      <c r="BR154" s="16"/>
      <c r="BS154" s="14"/>
      <c r="BT154" s="15"/>
      <c r="BU154" s="23"/>
      <c r="BV154" s="21"/>
      <c r="BW154" s="21"/>
      <c r="BX154" s="16"/>
      <c r="BY154" s="22"/>
      <c r="BZ154" s="16"/>
      <c r="CA154" s="8"/>
      <c r="CB154" s="10"/>
      <c r="CD154" s="10"/>
      <c r="CF154" s="10"/>
      <c r="CH154" s="10"/>
      <c r="CJ154" s="10"/>
      <c r="CL154" s="10"/>
      <c r="CN154" s="10"/>
      <c r="CP154" s="10"/>
      <c r="CR154" s="10"/>
      <c r="CT154" s="10"/>
      <c r="CV154" s="10"/>
      <c r="CX154" s="10"/>
      <c r="CZ154" s="10"/>
      <c r="DB154" s="10"/>
      <c r="DD154" s="10"/>
      <c r="DF154" s="10"/>
      <c r="DH154" s="10"/>
      <c r="DJ154" s="10"/>
      <c r="DL154" s="10"/>
    </row>
    <row r="155" spans="1:116" x14ac:dyDescent="0.2">
      <c r="A155" s="5"/>
      <c r="B155" s="6"/>
      <c r="C155" s="6"/>
      <c r="D155" s="27"/>
      <c r="E155" s="6"/>
      <c r="F155" s="8"/>
      <c r="G155" s="8"/>
      <c r="I155" s="10"/>
      <c r="J155" s="11"/>
      <c r="K155" s="12"/>
      <c r="L155" s="10"/>
      <c r="M155" s="11"/>
      <c r="N155" s="12"/>
      <c r="O155" s="10"/>
      <c r="P155" s="11"/>
      <c r="Q155" s="12"/>
      <c r="R155" s="13"/>
      <c r="S155" s="11"/>
      <c r="T155" s="12"/>
      <c r="U155" s="10"/>
      <c r="V155" s="12"/>
      <c r="W155" s="12"/>
      <c r="X155" s="10"/>
      <c r="Y155" s="12"/>
      <c r="Z155" s="12"/>
      <c r="AA155" s="10"/>
      <c r="AB155" s="12"/>
      <c r="AC155" s="12"/>
      <c r="AD155" s="10"/>
      <c r="AE155" s="12"/>
      <c r="AF155" s="12"/>
      <c r="AG155" s="10"/>
      <c r="AH155" s="12"/>
      <c r="AI155" s="12"/>
      <c r="AJ155" s="13"/>
      <c r="AK155" s="11"/>
      <c r="AL155" s="12"/>
      <c r="AM155" s="10"/>
      <c r="AN155" s="12"/>
      <c r="AO155" s="12"/>
      <c r="AP155" s="10"/>
      <c r="AQ155" s="12"/>
      <c r="AR155" s="12"/>
      <c r="AS155" s="10"/>
      <c r="AT155" s="12"/>
      <c r="AU155" s="12"/>
      <c r="AV155" s="10"/>
      <c r="AW155" s="12"/>
      <c r="AX155" s="12"/>
      <c r="AY155" s="10"/>
      <c r="AZ155" s="12"/>
      <c r="BA155" s="12"/>
      <c r="BB155" s="10"/>
      <c r="BC155" s="12"/>
      <c r="BD155" s="12"/>
      <c r="BE155" s="10"/>
      <c r="BF155" s="12"/>
      <c r="BG155" s="12"/>
      <c r="BH155" s="10"/>
      <c r="BI155" s="12"/>
      <c r="BK155" s="16"/>
      <c r="BL155" s="16"/>
      <c r="BM155" s="16"/>
      <c r="BN155" s="16"/>
      <c r="BO155" s="16"/>
      <c r="BP155" s="16"/>
      <c r="BQ155" s="16"/>
      <c r="BR155" s="16"/>
      <c r="BS155" s="14"/>
      <c r="BT155" s="15"/>
      <c r="BU155" s="23"/>
      <c r="BV155" s="21"/>
      <c r="BW155" s="21"/>
      <c r="BX155" s="16"/>
      <c r="BY155" s="22"/>
      <c r="BZ155" s="16"/>
      <c r="CA155" s="8"/>
      <c r="CB155" s="10"/>
      <c r="CD155" s="10"/>
      <c r="CF155" s="10"/>
      <c r="CH155" s="10"/>
      <c r="CJ155" s="10"/>
      <c r="CL155" s="10"/>
      <c r="CN155" s="10"/>
      <c r="CP155" s="10"/>
      <c r="CR155" s="10"/>
      <c r="CT155" s="10"/>
      <c r="CV155" s="10"/>
      <c r="CX155" s="10"/>
      <c r="CZ155" s="10"/>
      <c r="DB155" s="10"/>
      <c r="DD155" s="10"/>
      <c r="DF155" s="10"/>
      <c r="DH155" s="10"/>
      <c r="DJ155" s="10"/>
      <c r="DL155" s="10"/>
    </row>
    <row r="156" spans="1:116" x14ac:dyDescent="0.2">
      <c r="A156" s="5"/>
      <c r="B156" s="6"/>
      <c r="C156" s="6"/>
      <c r="D156" s="27"/>
      <c r="E156" s="6"/>
      <c r="F156" s="8"/>
      <c r="G156" s="8"/>
      <c r="I156" s="10"/>
      <c r="J156" s="11"/>
      <c r="K156" s="12"/>
      <c r="L156" s="10"/>
      <c r="M156" s="11"/>
      <c r="N156" s="12"/>
      <c r="O156" s="10"/>
      <c r="P156" s="11"/>
      <c r="Q156" s="12"/>
      <c r="R156" s="13"/>
      <c r="S156" s="11"/>
      <c r="T156" s="12"/>
      <c r="U156" s="10"/>
      <c r="V156" s="12"/>
      <c r="W156" s="12"/>
      <c r="X156" s="10"/>
      <c r="Y156" s="12"/>
      <c r="Z156" s="12"/>
      <c r="AA156" s="10"/>
      <c r="AB156" s="12"/>
      <c r="AC156" s="12"/>
      <c r="AD156" s="10"/>
      <c r="AE156" s="12"/>
      <c r="AF156" s="12"/>
      <c r="AG156" s="10"/>
      <c r="AH156" s="12"/>
      <c r="AI156" s="12"/>
      <c r="AJ156" s="13"/>
      <c r="AK156" s="11"/>
      <c r="AL156" s="12"/>
      <c r="AM156" s="10"/>
      <c r="AN156" s="12"/>
      <c r="AO156" s="12"/>
      <c r="AP156" s="10"/>
      <c r="AQ156" s="12"/>
      <c r="AR156" s="12"/>
      <c r="AS156" s="10"/>
      <c r="AT156" s="12"/>
      <c r="AU156" s="12"/>
      <c r="AV156" s="10"/>
      <c r="AW156" s="12"/>
      <c r="AX156" s="12"/>
      <c r="AY156" s="10"/>
      <c r="AZ156" s="12"/>
      <c r="BA156" s="12"/>
      <c r="BB156" s="10"/>
      <c r="BC156" s="12"/>
      <c r="BD156" s="12"/>
      <c r="BE156" s="10"/>
      <c r="BF156" s="12"/>
      <c r="BG156" s="12"/>
      <c r="BH156" s="10"/>
      <c r="BI156" s="12"/>
      <c r="BK156" s="16"/>
      <c r="BL156" s="16"/>
      <c r="BM156" s="16"/>
      <c r="BN156" s="16"/>
      <c r="BO156" s="16"/>
      <c r="BP156" s="16"/>
      <c r="BQ156" s="16"/>
      <c r="BR156" s="16"/>
      <c r="BS156" s="14"/>
      <c r="BT156" s="15"/>
      <c r="BU156" s="23"/>
      <c r="BV156" s="21"/>
      <c r="BW156" s="21"/>
      <c r="BX156" s="16"/>
      <c r="BY156" s="22"/>
      <c r="BZ156" s="16"/>
      <c r="CA156" s="8"/>
      <c r="CB156" s="10"/>
      <c r="CD156" s="10"/>
      <c r="CF156" s="10"/>
      <c r="CH156" s="10"/>
      <c r="CJ156" s="10"/>
      <c r="CL156" s="10"/>
      <c r="CN156" s="10"/>
      <c r="CP156" s="10"/>
      <c r="CR156" s="10"/>
      <c r="CT156" s="10"/>
      <c r="CV156" s="10"/>
      <c r="CX156" s="10"/>
      <c r="CZ156" s="10"/>
      <c r="DB156" s="10"/>
      <c r="DD156" s="10"/>
      <c r="DF156" s="10"/>
      <c r="DH156" s="10"/>
      <c r="DJ156" s="10"/>
      <c r="DL156" s="10"/>
    </row>
    <row r="157" spans="1:116" x14ac:dyDescent="0.2">
      <c r="A157" s="5"/>
      <c r="B157" s="6"/>
      <c r="C157" s="6"/>
      <c r="D157" s="27"/>
      <c r="E157" s="6"/>
      <c r="F157" s="8"/>
      <c r="G157" s="8"/>
      <c r="I157" s="10"/>
      <c r="J157" s="11"/>
      <c r="K157" s="12"/>
      <c r="L157" s="10"/>
      <c r="M157" s="11"/>
      <c r="N157" s="12"/>
      <c r="O157" s="10"/>
      <c r="P157" s="11"/>
      <c r="Q157" s="12"/>
      <c r="R157" s="13"/>
      <c r="S157" s="11"/>
      <c r="T157" s="12"/>
      <c r="U157" s="10"/>
      <c r="V157" s="12"/>
      <c r="W157" s="12"/>
      <c r="X157" s="10"/>
      <c r="Y157" s="12"/>
      <c r="Z157" s="12"/>
      <c r="AA157" s="10"/>
      <c r="AB157" s="12"/>
      <c r="AC157" s="12"/>
      <c r="AD157" s="10"/>
      <c r="AE157" s="12"/>
      <c r="AF157" s="12"/>
      <c r="AG157" s="10"/>
      <c r="AH157" s="12"/>
      <c r="AI157" s="12"/>
      <c r="AJ157" s="13"/>
      <c r="AK157" s="11"/>
      <c r="AL157" s="12"/>
      <c r="AM157" s="10"/>
      <c r="AN157" s="12"/>
      <c r="AO157" s="12"/>
      <c r="AP157" s="10"/>
      <c r="AQ157" s="12"/>
      <c r="AR157" s="12"/>
      <c r="AS157" s="10"/>
      <c r="AT157" s="12"/>
      <c r="AU157" s="12"/>
      <c r="AV157" s="10"/>
      <c r="AW157" s="12"/>
      <c r="AX157" s="12"/>
      <c r="AY157" s="10"/>
      <c r="AZ157" s="12"/>
      <c r="BA157" s="12"/>
      <c r="BB157" s="10"/>
      <c r="BC157" s="12"/>
      <c r="BD157" s="12"/>
      <c r="BE157" s="10"/>
      <c r="BF157" s="12"/>
      <c r="BG157" s="12"/>
      <c r="BH157" s="10"/>
      <c r="BI157" s="12"/>
      <c r="BK157" s="16"/>
      <c r="BL157" s="16"/>
      <c r="BM157" s="16"/>
      <c r="BN157" s="16"/>
      <c r="BO157" s="16"/>
      <c r="BP157" s="16"/>
      <c r="BQ157" s="16"/>
      <c r="BR157" s="16"/>
      <c r="BS157" s="14"/>
      <c r="BT157" s="15"/>
      <c r="BU157" s="23"/>
      <c r="BV157" s="21"/>
      <c r="BW157" s="21"/>
      <c r="BX157" s="16"/>
      <c r="BY157" s="22"/>
      <c r="BZ157" s="16"/>
      <c r="CA157" s="8"/>
      <c r="CB157" s="10"/>
      <c r="CD157" s="10"/>
      <c r="CF157" s="10"/>
      <c r="CH157" s="10"/>
      <c r="CJ157" s="10"/>
      <c r="CL157" s="10"/>
      <c r="CN157" s="10"/>
      <c r="CP157" s="10"/>
      <c r="CR157" s="10"/>
      <c r="CT157" s="10"/>
      <c r="CV157" s="10"/>
      <c r="CX157" s="10"/>
      <c r="CZ157" s="10"/>
      <c r="DB157" s="10"/>
      <c r="DD157" s="10"/>
      <c r="DF157" s="10"/>
      <c r="DH157" s="10"/>
      <c r="DJ157" s="10"/>
      <c r="DL157" s="10"/>
    </row>
    <row r="158" spans="1:116" x14ac:dyDescent="0.2">
      <c r="A158" s="5"/>
      <c r="B158" s="6"/>
      <c r="C158" s="6"/>
      <c r="D158" s="27"/>
      <c r="E158" s="6"/>
      <c r="F158" s="8"/>
      <c r="G158" s="8"/>
      <c r="I158" s="10"/>
      <c r="J158" s="11"/>
      <c r="K158" s="12"/>
      <c r="L158" s="10"/>
      <c r="M158" s="11"/>
      <c r="N158" s="12"/>
      <c r="O158" s="10"/>
      <c r="P158" s="11"/>
      <c r="Q158" s="12"/>
      <c r="R158" s="13"/>
      <c r="S158" s="11"/>
      <c r="T158" s="12"/>
      <c r="U158" s="10"/>
      <c r="V158" s="12"/>
      <c r="W158" s="12"/>
      <c r="X158" s="10"/>
      <c r="Y158" s="12"/>
      <c r="Z158" s="12"/>
      <c r="AA158" s="10"/>
      <c r="AB158" s="12"/>
      <c r="AC158" s="12"/>
      <c r="AD158" s="10"/>
      <c r="AE158" s="12"/>
      <c r="AF158" s="12"/>
      <c r="AG158" s="10"/>
      <c r="AH158" s="12"/>
      <c r="AI158" s="12"/>
      <c r="AJ158" s="13"/>
      <c r="AK158" s="11"/>
      <c r="AL158" s="12"/>
      <c r="AM158" s="10"/>
      <c r="AN158" s="12"/>
      <c r="AO158" s="12"/>
      <c r="AP158" s="10"/>
      <c r="AQ158" s="12"/>
      <c r="AR158" s="12"/>
      <c r="AS158" s="10"/>
      <c r="AT158" s="12"/>
      <c r="AU158" s="12"/>
      <c r="AV158" s="10"/>
      <c r="AW158" s="12"/>
      <c r="AX158" s="12"/>
      <c r="AY158" s="10"/>
      <c r="AZ158" s="12"/>
      <c r="BA158" s="12"/>
      <c r="BB158" s="10"/>
      <c r="BC158" s="12"/>
      <c r="BD158" s="12"/>
      <c r="BE158" s="10"/>
      <c r="BF158" s="12"/>
      <c r="BG158" s="12"/>
      <c r="BH158" s="10"/>
      <c r="BI158" s="12"/>
      <c r="BK158" s="16"/>
      <c r="BL158" s="16"/>
      <c r="BM158" s="16"/>
      <c r="BN158" s="16"/>
      <c r="BO158" s="16"/>
      <c r="BP158" s="16"/>
      <c r="BQ158" s="16"/>
      <c r="BR158" s="16"/>
      <c r="BS158" s="14"/>
      <c r="BT158" s="15"/>
      <c r="BU158" s="23"/>
      <c r="BV158" s="21"/>
      <c r="BW158" s="21"/>
      <c r="BX158" s="16"/>
      <c r="BY158" s="22"/>
      <c r="BZ158" s="16"/>
      <c r="CA158" s="8"/>
      <c r="CB158" s="10"/>
      <c r="CD158" s="10"/>
      <c r="CF158" s="10"/>
      <c r="CH158" s="10"/>
      <c r="CJ158" s="10"/>
      <c r="CL158" s="10"/>
      <c r="CN158" s="10"/>
      <c r="CP158" s="10"/>
      <c r="CR158" s="10"/>
      <c r="CT158" s="10"/>
      <c r="CV158" s="10"/>
      <c r="CX158" s="10"/>
      <c r="CZ158" s="10"/>
      <c r="DB158" s="10"/>
      <c r="DD158" s="10"/>
      <c r="DF158" s="10"/>
      <c r="DH158" s="10"/>
      <c r="DJ158" s="10"/>
      <c r="DL158" s="10"/>
    </row>
    <row r="159" spans="1:116" x14ac:dyDescent="0.2">
      <c r="A159" s="5"/>
      <c r="B159" s="6"/>
      <c r="C159" s="6"/>
      <c r="D159" s="27"/>
      <c r="E159" s="6"/>
      <c r="F159" s="8"/>
      <c r="G159" s="8"/>
      <c r="I159" s="10"/>
      <c r="J159" s="11"/>
      <c r="K159" s="12"/>
      <c r="L159" s="10"/>
      <c r="M159" s="11"/>
      <c r="N159" s="12"/>
      <c r="O159" s="10"/>
      <c r="P159" s="11"/>
      <c r="Q159" s="12"/>
      <c r="R159" s="13"/>
      <c r="S159" s="11"/>
      <c r="T159" s="12"/>
      <c r="U159" s="10"/>
      <c r="V159" s="12"/>
      <c r="W159" s="12"/>
      <c r="X159" s="10"/>
      <c r="Y159" s="12"/>
      <c r="Z159" s="12"/>
      <c r="AA159" s="10"/>
      <c r="AB159" s="12"/>
      <c r="AC159" s="12"/>
      <c r="AD159" s="10"/>
      <c r="AE159" s="12"/>
      <c r="AF159" s="12"/>
      <c r="AG159" s="10"/>
      <c r="AH159" s="12"/>
      <c r="AI159" s="12"/>
      <c r="AJ159" s="13"/>
      <c r="AK159" s="11"/>
      <c r="AL159" s="12"/>
      <c r="AM159" s="10"/>
      <c r="AN159" s="12"/>
      <c r="AO159" s="12"/>
      <c r="AP159" s="10"/>
      <c r="AQ159" s="12"/>
      <c r="AR159" s="12"/>
      <c r="AS159" s="10"/>
      <c r="AT159" s="12"/>
      <c r="AU159" s="12"/>
      <c r="AV159" s="10"/>
      <c r="AW159" s="12"/>
      <c r="AX159" s="12"/>
      <c r="AY159" s="10"/>
      <c r="AZ159" s="12"/>
      <c r="BA159" s="12"/>
      <c r="BB159" s="10"/>
      <c r="BC159" s="12"/>
      <c r="BD159" s="12"/>
      <c r="BE159" s="10"/>
      <c r="BF159" s="12"/>
      <c r="BG159" s="12"/>
      <c r="BH159" s="10"/>
      <c r="BI159" s="12"/>
      <c r="BK159" s="16"/>
      <c r="BL159" s="16"/>
      <c r="BM159" s="16"/>
      <c r="BN159" s="16"/>
      <c r="BO159" s="16"/>
      <c r="BP159" s="16"/>
      <c r="BQ159" s="16"/>
      <c r="BR159" s="16"/>
      <c r="BS159" s="14"/>
      <c r="BT159" s="15"/>
      <c r="BU159" s="23"/>
      <c r="BV159" s="21"/>
      <c r="BW159" s="21"/>
      <c r="BX159" s="16"/>
      <c r="BY159" s="22"/>
      <c r="BZ159" s="16"/>
      <c r="CA159" s="8"/>
      <c r="CB159" s="10"/>
      <c r="CD159" s="10"/>
      <c r="CF159" s="10"/>
      <c r="CH159" s="10"/>
      <c r="CJ159" s="10"/>
      <c r="CL159" s="10"/>
      <c r="CN159" s="10"/>
      <c r="CP159" s="10"/>
      <c r="CR159" s="10"/>
      <c r="CT159" s="10"/>
      <c r="CV159" s="10"/>
      <c r="CX159" s="10"/>
      <c r="CZ159" s="10"/>
      <c r="DB159" s="10"/>
      <c r="DD159" s="10"/>
      <c r="DF159" s="10"/>
      <c r="DH159" s="10"/>
      <c r="DJ159" s="10"/>
      <c r="DL159" s="10"/>
    </row>
    <row r="160" spans="1:116" x14ac:dyDescent="0.2">
      <c r="A160" s="5"/>
      <c r="B160" s="6"/>
      <c r="C160" s="6"/>
      <c r="D160" s="27"/>
      <c r="E160" s="6"/>
      <c r="F160" s="8"/>
      <c r="G160" s="8"/>
      <c r="I160" s="10"/>
      <c r="J160" s="11"/>
      <c r="K160" s="12"/>
      <c r="L160" s="10"/>
      <c r="M160" s="11"/>
      <c r="N160" s="12"/>
      <c r="O160" s="10"/>
      <c r="P160" s="11"/>
      <c r="Q160" s="12"/>
      <c r="R160" s="13"/>
      <c r="S160" s="11"/>
      <c r="T160" s="12"/>
      <c r="U160" s="10"/>
      <c r="V160" s="12"/>
      <c r="W160" s="12"/>
      <c r="X160" s="10"/>
      <c r="Y160" s="12"/>
      <c r="Z160" s="12"/>
      <c r="AA160" s="10"/>
      <c r="AB160" s="12"/>
      <c r="AC160" s="12"/>
      <c r="AD160" s="10"/>
      <c r="AE160" s="12"/>
      <c r="AF160" s="12"/>
      <c r="AG160" s="10"/>
      <c r="AH160" s="12"/>
      <c r="AI160" s="12"/>
      <c r="AJ160" s="13"/>
      <c r="AK160" s="11"/>
      <c r="AL160" s="12"/>
      <c r="AM160" s="10"/>
      <c r="AN160" s="12"/>
      <c r="AO160" s="12"/>
      <c r="AP160" s="10"/>
      <c r="AQ160" s="12"/>
      <c r="AR160" s="12"/>
      <c r="AS160" s="10"/>
      <c r="AT160" s="12"/>
      <c r="AU160" s="12"/>
      <c r="AV160" s="10"/>
      <c r="AW160" s="12"/>
      <c r="AX160" s="12"/>
      <c r="AY160" s="10"/>
      <c r="AZ160" s="12"/>
      <c r="BA160" s="12"/>
      <c r="BB160" s="10"/>
      <c r="BC160" s="12"/>
      <c r="BD160" s="12"/>
      <c r="BE160" s="10"/>
      <c r="BF160" s="12"/>
      <c r="BG160" s="12"/>
      <c r="BH160" s="10"/>
      <c r="BI160" s="12"/>
      <c r="BK160" s="16"/>
      <c r="BL160" s="16"/>
      <c r="BM160" s="16"/>
      <c r="BN160" s="16"/>
      <c r="BO160" s="16"/>
      <c r="BP160" s="16"/>
      <c r="BQ160" s="16"/>
      <c r="BR160" s="16"/>
      <c r="BS160" s="14"/>
      <c r="BT160" s="15"/>
      <c r="BU160" s="23"/>
      <c r="BV160" s="21"/>
      <c r="BW160" s="21"/>
      <c r="BX160" s="16"/>
      <c r="BY160" s="22"/>
      <c r="BZ160" s="16"/>
      <c r="CA160" s="8"/>
      <c r="CB160" s="10"/>
      <c r="CD160" s="10"/>
      <c r="CF160" s="10"/>
      <c r="CH160" s="10"/>
      <c r="CJ160" s="10"/>
      <c r="CL160" s="10"/>
      <c r="CN160" s="10"/>
      <c r="CP160" s="10"/>
      <c r="CR160" s="10"/>
      <c r="CT160" s="10"/>
      <c r="CV160" s="10"/>
      <c r="CX160" s="10"/>
      <c r="CZ160" s="10"/>
      <c r="DB160" s="10"/>
      <c r="DD160" s="10"/>
      <c r="DF160" s="10"/>
      <c r="DH160" s="10"/>
      <c r="DJ160" s="10"/>
      <c r="DL160" s="10"/>
    </row>
    <row r="161" spans="1:116" x14ac:dyDescent="0.2">
      <c r="A161" s="5"/>
      <c r="B161" s="6"/>
      <c r="C161" s="6"/>
      <c r="D161" s="27"/>
      <c r="E161" s="6"/>
      <c r="F161" s="8"/>
      <c r="G161" s="8"/>
      <c r="I161" s="10"/>
      <c r="J161" s="11"/>
      <c r="K161" s="12"/>
      <c r="L161" s="10"/>
      <c r="M161" s="11"/>
      <c r="N161" s="12"/>
      <c r="O161" s="10"/>
      <c r="P161" s="11"/>
      <c r="Q161" s="12"/>
      <c r="R161" s="13"/>
      <c r="S161" s="11"/>
      <c r="T161" s="12"/>
      <c r="U161" s="10"/>
      <c r="V161" s="12"/>
      <c r="W161" s="12"/>
      <c r="X161" s="10"/>
      <c r="Y161" s="12"/>
      <c r="Z161" s="12"/>
      <c r="AA161" s="10"/>
      <c r="AB161" s="12"/>
      <c r="AC161" s="12"/>
      <c r="AD161" s="10"/>
      <c r="AE161" s="12"/>
      <c r="AF161" s="12"/>
      <c r="AG161" s="10"/>
      <c r="AH161" s="12"/>
      <c r="AI161" s="12"/>
      <c r="AJ161" s="13"/>
      <c r="AK161" s="11"/>
      <c r="AL161" s="12"/>
      <c r="AM161" s="10"/>
      <c r="AN161" s="12"/>
      <c r="AO161" s="12"/>
      <c r="AP161" s="10"/>
      <c r="AQ161" s="12"/>
      <c r="AR161" s="12"/>
      <c r="AS161" s="10"/>
      <c r="AT161" s="12"/>
      <c r="AU161" s="12"/>
      <c r="AV161" s="10"/>
      <c r="AW161" s="12"/>
      <c r="AX161" s="12"/>
      <c r="AY161" s="10"/>
      <c r="AZ161" s="12"/>
      <c r="BA161" s="12"/>
      <c r="BB161" s="10"/>
      <c r="BC161" s="12"/>
      <c r="BD161" s="12"/>
      <c r="BE161" s="10"/>
      <c r="BF161" s="12"/>
      <c r="BG161" s="12"/>
      <c r="BH161" s="10"/>
      <c r="BI161" s="12"/>
      <c r="BK161" s="16"/>
      <c r="BL161" s="16"/>
      <c r="BM161" s="16"/>
      <c r="BN161" s="16"/>
      <c r="BO161" s="16"/>
      <c r="BP161" s="16"/>
      <c r="BQ161" s="16"/>
      <c r="BR161" s="16"/>
      <c r="BS161" s="14"/>
      <c r="BT161" s="15"/>
      <c r="BU161" s="23"/>
      <c r="BV161" s="21"/>
      <c r="BW161" s="21"/>
      <c r="BX161" s="16"/>
      <c r="BY161" s="22"/>
      <c r="BZ161" s="16"/>
      <c r="CA161" s="8"/>
      <c r="CB161" s="10"/>
      <c r="CD161" s="10"/>
      <c r="CF161" s="10"/>
      <c r="CH161" s="10"/>
      <c r="CJ161" s="10"/>
      <c r="CL161" s="10"/>
      <c r="CN161" s="10"/>
      <c r="CP161" s="10"/>
      <c r="CR161" s="10"/>
      <c r="CT161" s="10"/>
      <c r="CV161" s="10"/>
      <c r="CX161" s="10"/>
      <c r="CZ161" s="10"/>
      <c r="DB161" s="10"/>
      <c r="DD161" s="10"/>
      <c r="DF161" s="10"/>
      <c r="DH161" s="10"/>
      <c r="DJ161" s="10"/>
      <c r="DL161" s="10"/>
    </row>
    <row r="162" spans="1:116" x14ac:dyDescent="0.2">
      <c r="A162" s="5"/>
      <c r="B162" s="6"/>
      <c r="C162" s="6"/>
      <c r="D162" s="27"/>
      <c r="E162" s="6"/>
      <c r="F162" s="8"/>
      <c r="G162" s="8"/>
      <c r="I162" s="10"/>
      <c r="J162" s="11"/>
      <c r="K162" s="12"/>
      <c r="L162" s="10"/>
      <c r="M162" s="11"/>
      <c r="N162" s="12"/>
      <c r="O162" s="10"/>
      <c r="P162" s="11"/>
      <c r="Q162" s="12"/>
      <c r="R162" s="13"/>
      <c r="S162" s="11"/>
      <c r="T162" s="12"/>
      <c r="U162" s="10"/>
      <c r="V162" s="12"/>
      <c r="W162" s="12"/>
      <c r="X162" s="10"/>
      <c r="Y162" s="12"/>
      <c r="Z162" s="12"/>
      <c r="AA162" s="10"/>
      <c r="AB162" s="12"/>
      <c r="AC162" s="12"/>
      <c r="AD162" s="10"/>
      <c r="AE162" s="12"/>
      <c r="AF162" s="12"/>
      <c r="AG162" s="10"/>
      <c r="AH162" s="12"/>
      <c r="AI162" s="12"/>
      <c r="AJ162" s="13"/>
      <c r="AK162" s="11"/>
      <c r="AL162" s="12"/>
      <c r="AM162" s="10"/>
      <c r="AN162" s="12"/>
      <c r="AO162" s="12"/>
      <c r="AP162" s="10"/>
      <c r="AQ162" s="12"/>
      <c r="AR162" s="12"/>
      <c r="AS162" s="10"/>
      <c r="AT162" s="12"/>
      <c r="AU162" s="12"/>
      <c r="AV162" s="10"/>
      <c r="AW162" s="12"/>
      <c r="AX162" s="12"/>
      <c r="AY162" s="10"/>
      <c r="AZ162" s="12"/>
      <c r="BA162" s="12"/>
      <c r="BB162" s="10"/>
      <c r="BC162" s="12"/>
      <c r="BD162" s="12"/>
      <c r="BE162" s="10"/>
      <c r="BF162" s="12"/>
      <c r="BG162" s="12"/>
      <c r="BH162" s="10"/>
      <c r="BI162" s="12"/>
      <c r="BK162" s="16"/>
      <c r="BL162" s="16"/>
      <c r="BM162" s="16"/>
      <c r="BN162" s="16"/>
      <c r="BO162" s="16"/>
      <c r="BP162" s="16"/>
      <c r="BQ162" s="16"/>
      <c r="BR162" s="16"/>
      <c r="BS162" s="14"/>
      <c r="BT162" s="15"/>
      <c r="BU162" s="23"/>
      <c r="BV162" s="21"/>
      <c r="BW162" s="21"/>
      <c r="BX162" s="16"/>
      <c r="BY162" s="22"/>
      <c r="BZ162" s="16"/>
      <c r="CA162" s="8"/>
      <c r="CB162" s="10"/>
      <c r="CD162" s="10"/>
      <c r="CF162" s="10"/>
      <c r="CH162" s="10"/>
      <c r="CJ162" s="10"/>
      <c r="CL162" s="10"/>
      <c r="CN162" s="10"/>
      <c r="CP162" s="10"/>
      <c r="CR162" s="10"/>
      <c r="CT162" s="10"/>
      <c r="CV162" s="10"/>
      <c r="CX162" s="10"/>
      <c r="CZ162" s="10"/>
      <c r="DB162" s="10"/>
      <c r="DD162" s="10"/>
      <c r="DF162" s="10"/>
      <c r="DH162" s="10"/>
      <c r="DJ162" s="10"/>
      <c r="DL162" s="10"/>
    </row>
    <row r="163" spans="1:116" x14ac:dyDescent="0.2">
      <c r="A163" s="5"/>
      <c r="B163" s="6"/>
      <c r="C163" s="6"/>
      <c r="D163" s="27"/>
      <c r="E163" s="6"/>
      <c r="F163" s="8"/>
      <c r="G163" s="8"/>
      <c r="I163" s="10"/>
      <c r="J163" s="11"/>
      <c r="K163" s="12"/>
      <c r="L163" s="10"/>
      <c r="M163" s="11"/>
      <c r="N163" s="12"/>
      <c r="O163" s="10"/>
      <c r="P163" s="11"/>
      <c r="Q163" s="12"/>
      <c r="R163" s="13"/>
      <c r="S163" s="11"/>
      <c r="T163" s="12"/>
      <c r="U163" s="10"/>
      <c r="V163" s="12"/>
      <c r="W163" s="12"/>
      <c r="X163" s="10"/>
      <c r="Y163" s="12"/>
      <c r="Z163" s="12"/>
      <c r="AA163" s="10"/>
      <c r="AB163" s="12"/>
      <c r="AC163" s="12"/>
      <c r="AD163" s="10"/>
      <c r="AE163" s="12"/>
      <c r="AF163" s="12"/>
      <c r="AG163" s="10"/>
      <c r="AH163" s="12"/>
      <c r="AI163" s="12"/>
      <c r="AJ163" s="13"/>
      <c r="AK163" s="11"/>
      <c r="AL163" s="12"/>
      <c r="AM163" s="10"/>
      <c r="AN163" s="12"/>
      <c r="AO163" s="12"/>
      <c r="AP163" s="10"/>
      <c r="AQ163" s="12"/>
      <c r="AR163" s="12"/>
      <c r="AS163" s="10"/>
      <c r="AT163" s="12"/>
      <c r="AU163" s="12"/>
      <c r="AV163" s="10"/>
      <c r="AW163" s="12"/>
      <c r="AX163" s="12"/>
      <c r="AY163" s="10"/>
      <c r="AZ163" s="12"/>
      <c r="BA163" s="12"/>
      <c r="BB163" s="10"/>
      <c r="BC163" s="12"/>
      <c r="BD163" s="12"/>
      <c r="BE163" s="10"/>
      <c r="BF163" s="12"/>
      <c r="BG163" s="12"/>
      <c r="BH163" s="10"/>
      <c r="BI163" s="12"/>
      <c r="BK163" s="16"/>
      <c r="BL163" s="16"/>
      <c r="BM163" s="16"/>
      <c r="BN163" s="16"/>
      <c r="BO163" s="16"/>
      <c r="BP163" s="16"/>
      <c r="BQ163" s="16"/>
      <c r="BR163" s="16"/>
      <c r="BS163" s="14"/>
      <c r="BT163" s="15"/>
      <c r="BU163" s="23"/>
      <c r="BV163" s="21"/>
      <c r="BW163" s="21"/>
      <c r="BX163" s="16"/>
      <c r="BY163" s="22"/>
      <c r="BZ163" s="16"/>
      <c r="CA163" s="8"/>
      <c r="CB163" s="10"/>
      <c r="CD163" s="10"/>
      <c r="CF163" s="10"/>
      <c r="CH163" s="10"/>
      <c r="CJ163" s="10"/>
      <c r="CL163" s="10"/>
      <c r="CN163" s="10"/>
      <c r="CP163" s="10"/>
      <c r="CR163" s="10"/>
      <c r="CT163" s="10"/>
      <c r="CV163" s="10"/>
      <c r="CX163" s="10"/>
      <c r="CZ163" s="10"/>
      <c r="DB163" s="10"/>
      <c r="DD163" s="10"/>
      <c r="DF163" s="10"/>
      <c r="DH163" s="10"/>
      <c r="DJ163" s="10"/>
      <c r="DL163" s="10"/>
    </row>
    <row r="164" spans="1:116" x14ac:dyDescent="0.2">
      <c r="A164" s="5"/>
      <c r="B164" s="6"/>
      <c r="C164" s="6"/>
      <c r="D164" s="27"/>
      <c r="E164" s="6"/>
      <c r="F164" s="8"/>
      <c r="G164" s="8"/>
      <c r="I164" s="10"/>
      <c r="J164" s="11"/>
      <c r="K164" s="12"/>
      <c r="L164" s="10"/>
      <c r="M164" s="11"/>
      <c r="N164" s="12"/>
      <c r="O164" s="10"/>
      <c r="P164" s="11"/>
      <c r="Q164" s="12"/>
      <c r="R164" s="13"/>
      <c r="S164" s="11"/>
      <c r="T164" s="12"/>
      <c r="U164" s="10"/>
      <c r="V164" s="12"/>
      <c r="W164" s="12"/>
      <c r="X164" s="10"/>
      <c r="Y164" s="12"/>
      <c r="Z164" s="12"/>
      <c r="AA164" s="10"/>
      <c r="AB164" s="12"/>
      <c r="AC164" s="12"/>
      <c r="AD164" s="10"/>
      <c r="AE164" s="12"/>
      <c r="AF164" s="12"/>
      <c r="AG164" s="10"/>
      <c r="AH164" s="12"/>
      <c r="AI164" s="12"/>
      <c r="AJ164" s="13"/>
      <c r="AK164" s="11"/>
      <c r="AL164" s="12"/>
      <c r="AM164" s="10"/>
      <c r="AN164" s="12"/>
      <c r="AO164" s="12"/>
      <c r="AP164" s="10"/>
      <c r="AQ164" s="12"/>
      <c r="AR164" s="12"/>
      <c r="AS164" s="10"/>
      <c r="AT164" s="12"/>
      <c r="AU164" s="12"/>
      <c r="AV164" s="10"/>
      <c r="AW164" s="12"/>
      <c r="AX164" s="12"/>
      <c r="AY164" s="10"/>
      <c r="AZ164" s="12"/>
      <c r="BA164" s="12"/>
      <c r="BB164" s="10"/>
      <c r="BC164" s="12"/>
      <c r="BD164" s="12"/>
      <c r="BE164" s="10"/>
      <c r="BF164" s="12"/>
      <c r="BG164" s="12"/>
      <c r="BH164" s="10"/>
      <c r="BI164" s="12"/>
      <c r="BK164" s="16"/>
      <c r="BL164" s="16"/>
      <c r="BM164" s="16"/>
      <c r="BN164" s="16"/>
      <c r="BO164" s="16"/>
      <c r="BP164" s="16"/>
      <c r="BQ164" s="16"/>
      <c r="BR164" s="16"/>
      <c r="BS164" s="14"/>
      <c r="BT164" s="15"/>
      <c r="BU164" s="23"/>
      <c r="BV164" s="21"/>
      <c r="BW164" s="21"/>
      <c r="BX164" s="16"/>
      <c r="BY164" s="22"/>
      <c r="BZ164" s="16"/>
      <c r="CA164" s="8"/>
      <c r="CB164" s="10"/>
      <c r="CD164" s="10"/>
      <c r="CF164" s="10"/>
      <c r="CH164" s="10"/>
      <c r="CJ164" s="10"/>
      <c r="CL164" s="10"/>
      <c r="CN164" s="10"/>
      <c r="CP164" s="10"/>
      <c r="CR164" s="10"/>
      <c r="CT164" s="10"/>
      <c r="CV164" s="10"/>
      <c r="CX164" s="10"/>
      <c r="CZ164" s="10"/>
      <c r="DB164" s="10"/>
      <c r="DD164" s="10"/>
      <c r="DF164" s="10"/>
      <c r="DH164" s="10"/>
      <c r="DJ164" s="10"/>
      <c r="DL164" s="10"/>
    </row>
    <row r="165" spans="1:116" x14ac:dyDescent="0.2">
      <c r="A165" s="5"/>
      <c r="B165" s="6"/>
      <c r="C165" s="6"/>
      <c r="D165" s="27"/>
      <c r="E165" s="6"/>
      <c r="F165" s="8"/>
      <c r="G165" s="8"/>
      <c r="I165" s="10"/>
      <c r="J165" s="11"/>
      <c r="K165" s="12"/>
      <c r="L165" s="10"/>
      <c r="M165" s="11"/>
      <c r="N165" s="12"/>
      <c r="O165" s="10"/>
      <c r="P165" s="11"/>
      <c r="Q165" s="12"/>
      <c r="R165" s="13"/>
      <c r="S165" s="11"/>
      <c r="T165" s="12"/>
      <c r="U165" s="10"/>
      <c r="V165" s="12"/>
      <c r="W165" s="12"/>
      <c r="X165" s="10"/>
      <c r="Y165" s="12"/>
      <c r="Z165" s="12"/>
      <c r="AA165" s="10"/>
      <c r="AB165" s="12"/>
      <c r="AC165" s="12"/>
      <c r="AD165" s="10"/>
      <c r="AE165" s="12"/>
      <c r="AF165" s="12"/>
      <c r="AG165" s="10"/>
      <c r="AH165" s="12"/>
      <c r="AI165" s="12"/>
      <c r="AJ165" s="13"/>
      <c r="AK165" s="11"/>
      <c r="AL165" s="12"/>
      <c r="AM165" s="10"/>
      <c r="AN165" s="12"/>
      <c r="AO165" s="12"/>
      <c r="AP165" s="10"/>
      <c r="AQ165" s="12"/>
      <c r="AR165" s="12"/>
      <c r="AS165" s="10"/>
      <c r="AT165" s="12"/>
      <c r="AU165" s="12"/>
      <c r="AV165" s="10"/>
      <c r="AW165" s="12"/>
      <c r="AX165" s="12"/>
      <c r="AY165" s="10"/>
      <c r="AZ165" s="12"/>
      <c r="BA165" s="12"/>
      <c r="BB165" s="10"/>
      <c r="BC165" s="12"/>
      <c r="BD165" s="12"/>
      <c r="BE165" s="10"/>
      <c r="BF165" s="12"/>
      <c r="BG165" s="12"/>
      <c r="BH165" s="10"/>
      <c r="BI165" s="12"/>
      <c r="BK165" s="16"/>
      <c r="BL165" s="16"/>
      <c r="BM165" s="16"/>
      <c r="BN165" s="16"/>
      <c r="BO165" s="16"/>
      <c r="BP165" s="16"/>
      <c r="BQ165" s="16"/>
      <c r="BR165" s="16"/>
      <c r="BS165" s="14"/>
      <c r="BT165" s="15"/>
      <c r="BU165" s="23"/>
      <c r="BV165" s="21"/>
      <c r="BW165" s="21"/>
      <c r="BX165" s="16"/>
      <c r="BY165" s="22"/>
      <c r="BZ165" s="16"/>
      <c r="CA165" s="8"/>
      <c r="CB165" s="10"/>
      <c r="CD165" s="10"/>
      <c r="CF165" s="10"/>
      <c r="CH165" s="10"/>
      <c r="CJ165" s="10"/>
      <c r="CL165" s="10"/>
      <c r="CN165" s="10"/>
      <c r="CP165" s="10"/>
      <c r="CR165" s="10"/>
      <c r="CT165" s="10"/>
      <c r="CV165" s="10"/>
      <c r="CX165" s="10"/>
      <c r="CZ165" s="10"/>
      <c r="DB165" s="10"/>
      <c r="DD165" s="10"/>
      <c r="DF165" s="10"/>
      <c r="DH165" s="10"/>
      <c r="DJ165" s="10"/>
      <c r="DL165" s="10"/>
    </row>
    <row r="166" spans="1:116" x14ac:dyDescent="0.2">
      <c r="A166" s="5"/>
      <c r="B166" s="6"/>
      <c r="C166" s="6"/>
      <c r="D166" s="27"/>
      <c r="E166" s="6"/>
      <c r="F166" s="8"/>
      <c r="G166" s="8"/>
      <c r="I166" s="10"/>
      <c r="J166" s="11"/>
      <c r="K166" s="12"/>
      <c r="L166" s="10"/>
      <c r="M166" s="11"/>
      <c r="N166" s="12"/>
      <c r="O166" s="10"/>
      <c r="P166" s="11"/>
      <c r="Q166" s="12"/>
      <c r="R166" s="13"/>
      <c r="S166" s="11"/>
      <c r="T166" s="12"/>
      <c r="U166" s="10"/>
      <c r="V166" s="12"/>
      <c r="W166" s="12"/>
      <c r="X166" s="10"/>
      <c r="Y166" s="12"/>
      <c r="Z166" s="12"/>
      <c r="AA166" s="10"/>
      <c r="AB166" s="12"/>
      <c r="AC166" s="12"/>
      <c r="AD166" s="10"/>
      <c r="AE166" s="12"/>
      <c r="AF166" s="12"/>
      <c r="AG166" s="10"/>
      <c r="AH166" s="12"/>
      <c r="AI166" s="12"/>
      <c r="AJ166" s="13"/>
      <c r="AK166" s="11"/>
      <c r="AL166" s="12"/>
      <c r="AM166" s="10"/>
      <c r="AN166" s="12"/>
      <c r="AO166" s="12"/>
      <c r="AP166" s="10"/>
      <c r="AQ166" s="12"/>
      <c r="AR166" s="12"/>
      <c r="AS166" s="10"/>
      <c r="AT166" s="12"/>
      <c r="AU166" s="12"/>
      <c r="AV166" s="10"/>
      <c r="AW166" s="12"/>
      <c r="AX166" s="12"/>
      <c r="AY166" s="10"/>
      <c r="AZ166" s="12"/>
      <c r="BA166" s="12"/>
      <c r="BB166" s="10"/>
      <c r="BC166" s="12"/>
      <c r="BD166" s="12"/>
      <c r="BE166" s="10"/>
      <c r="BF166" s="12"/>
      <c r="BG166" s="12"/>
      <c r="BH166" s="10"/>
      <c r="BI166" s="12"/>
      <c r="BK166" s="16"/>
      <c r="BL166" s="16"/>
      <c r="BM166" s="16"/>
      <c r="BN166" s="16"/>
      <c r="BO166" s="16"/>
      <c r="BP166" s="16"/>
      <c r="BQ166" s="16"/>
      <c r="BR166" s="16"/>
      <c r="BS166" s="14"/>
      <c r="BT166" s="15"/>
      <c r="BU166" s="23"/>
      <c r="BV166" s="21"/>
      <c r="BW166" s="21"/>
      <c r="BX166" s="16"/>
      <c r="BY166" s="22"/>
      <c r="BZ166" s="16"/>
      <c r="CA166" s="8"/>
      <c r="CB166" s="10"/>
      <c r="CD166" s="10"/>
      <c r="CF166" s="10"/>
      <c r="CH166" s="10"/>
      <c r="CJ166" s="10"/>
      <c r="CL166" s="10"/>
      <c r="CN166" s="10"/>
      <c r="CP166" s="10"/>
      <c r="CR166" s="10"/>
      <c r="CT166" s="10"/>
      <c r="CV166" s="10"/>
      <c r="CX166" s="10"/>
      <c r="CZ166" s="10"/>
      <c r="DB166" s="10"/>
      <c r="DD166" s="10"/>
      <c r="DF166" s="10"/>
      <c r="DH166" s="10"/>
      <c r="DJ166" s="10"/>
      <c r="DL166" s="10"/>
    </row>
    <row r="167" spans="1:116" x14ac:dyDescent="0.2">
      <c r="A167" s="5"/>
      <c r="B167" s="6"/>
      <c r="C167" s="6"/>
      <c r="D167" s="27"/>
      <c r="E167" s="6"/>
      <c r="F167" s="8"/>
      <c r="G167" s="8"/>
      <c r="I167" s="10"/>
      <c r="J167" s="11"/>
      <c r="K167" s="12"/>
      <c r="L167" s="10"/>
      <c r="M167" s="11"/>
      <c r="N167" s="12"/>
      <c r="O167" s="10"/>
      <c r="P167" s="11"/>
      <c r="Q167" s="12"/>
      <c r="R167" s="13"/>
      <c r="S167" s="11"/>
      <c r="T167" s="12"/>
      <c r="U167" s="10"/>
      <c r="V167" s="12"/>
      <c r="W167" s="12"/>
      <c r="X167" s="10"/>
      <c r="Y167" s="12"/>
      <c r="Z167" s="12"/>
      <c r="AA167" s="10"/>
      <c r="AB167" s="12"/>
      <c r="AC167" s="12"/>
      <c r="AD167" s="10"/>
      <c r="AE167" s="12"/>
      <c r="AF167" s="12"/>
      <c r="AG167" s="10"/>
      <c r="AH167" s="12"/>
      <c r="AI167" s="12"/>
      <c r="AJ167" s="13"/>
      <c r="AK167" s="11"/>
      <c r="AL167" s="12"/>
      <c r="AM167" s="10"/>
      <c r="AN167" s="12"/>
      <c r="AO167" s="12"/>
      <c r="AP167" s="10"/>
      <c r="AQ167" s="12"/>
      <c r="AR167" s="12"/>
      <c r="AS167" s="10"/>
      <c r="AT167" s="12"/>
      <c r="AU167" s="12"/>
      <c r="AV167" s="10"/>
      <c r="AW167" s="12"/>
      <c r="AX167" s="12"/>
      <c r="AY167" s="10"/>
      <c r="AZ167" s="12"/>
      <c r="BA167" s="12"/>
      <c r="BB167" s="10"/>
      <c r="BC167" s="12"/>
      <c r="BD167" s="12"/>
      <c r="BE167" s="10"/>
      <c r="BF167" s="12"/>
      <c r="BG167" s="12"/>
      <c r="BH167" s="10"/>
      <c r="BI167" s="12"/>
      <c r="BK167" s="16"/>
      <c r="BL167" s="16"/>
      <c r="BM167" s="16"/>
      <c r="BN167" s="16"/>
      <c r="BO167" s="16"/>
      <c r="BP167" s="16"/>
      <c r="BQ167" s="16"/>
      <c r="BR167" s="16"/>
      <c r="BS167" s="14"/>
      <c r="BT167" s="15"/>
      <c r="BU167" s="23"/>
      <c r="BV167" s="21"/>
      <c r="BW167" s="21"/>
      <c r="BX167" s="16"/>
      <c r="BY167" s="22"/>
      <c r="BZ167" s="16"/>
      <c r="CA167" s="8"/>
      <c r="CB167" s="10"/>
      <c r="CD167" s="10"/>
      <c r="CF167" s="10"/>
      <c r="CH167" s="10"/>
      <c r="CJ167" s="10"/>
      <c r="CL167" s="10"/>
      <c r="CN167" s="10"/>
      <c r="CP167" s="10"/>
      <c r="CR167" s="10"/>
      <c r="CT167" s="10"/>
      <c r="CV167" s="10"/>
      <c r="CX167" s="10"/>
      <c r="CZ167" s="10"/>
      <c r="DB167" s="10"/>
      <c r="DD167" s="10"/>
      <c r="DF167" s="10"/>
      <c r="DH167" s="10"/>
      <c r="DJ167" s="10"/>
      <c r="DL167" s="10"/>
    </row>
    <row r="168" spans="1:116" x14ac:dyDescent="0.2">
      <c r="A168" s="5"/>
      <c r="B168" s="6"/>
      <c r="C168" s="6"/>
      <c r="D168" s="27"/>
      <c r="E168" s="6"/>
      <c r="F168" s="8"/>
      <c r="G168" s="8"/>
      <c r="I168" s="10"/>
      <c r="J168" s="11"/>
      <c r="K168" s="12"/>
      <c r="L168" s="10"/>
      <c r="M168" s="11"/>
      <c r="N168" s="12"/>
      <c r="O168" s="10"/>
      <c r="P168" s="11"/>
      <c r="Q168" s="12"/>
      <c r="R168" s="13"/>
      <c r="S168" s="11"/>
      <c r="T168" s="12"/>
      <c r="U168" s="10"/>
      <c r="V168" s="12"/>
      <c r="W168" s="12"/>
      <c r="X168" s="10"/>
      <c r="Y168" s="12"/>
      <c r="Z168" s="12"/>
      <c r="AA168" s="10"/>
      <c r="AB168" s="12"/>
      <c r="AC168" s="12"/>
      <c r="AD168" s="10"/>
      <c r="AE168" s="12"/>
      <c r="AF168" s="12"/>
      <c r="AG168" s="10"/>
      <c r="AH168" s="12"/>
      <c r="AI168" s="12"/>
      <c r="AJ168" s="13"/>
      <c r="AK168" s="11"/>
      <c r="AL168" s="12"/>
      <c r="AM168" s="10"/>
      <c r="AN168" s="12"/>
      <c r="AO168" s="12"/>
      <c r="AP168" s="10"/>
      <c r="AQ168" s="12"/>
      <c r="AR168" s="12"/>
      <c r="AS168" s="10"/>
      <c r="AT168" s="12"/>
      <c r="AU168" s="12"/>
      <c r="AV168" s="10"/>
      <c r="AW168" s="12"/>
      <c r="AX168" s="12"/>
      <c r="AY168" s="10"/>
      <c r="AZ168" s="12"/>
      <c r="BA168" s="12"/>
      <c r="BB168" s="10"/>
      <c r="BC168" s="12"/>
      <c r="BD168" s="12"/>
      <c r="BE168" s="10"/>
      <c r="BF168" s="12"/>
      <c r="BG168" s="12"/>
      <c r="BH168" s="10"/>
      <c r="BI168" s="12"/>
      <c r="BK168" s="16"/>
      <c r="BL168" s="16"/>
      <c r="BM168" s="16"/>
      <c r="BN168" s="16"/>
      <c r="BO168" s="16"/>
      <c r="BP168" s="16"/>
      <c r="BQ168" s="16"/>
      <c r="BR168" s="16"/>
      <c r="BS168" s="14"/>
      <c r="BT168" s="15"/>
      <c r="BU168" s="23"/>
      <c r="BV168" s="21"/>
      <c r="BW168" s="21"/>
      <c r="BX168" s="16"/>
      <c r="BY168" s="22"/>
      <c r="BZ168" s="16"/>
      <c r="CA168" s="8"/>
      <c r="CB168" s="10"/>
      <c r="CD168" s="10"/>
      <c r="CF168" s="10"/>
      <c r="CH168" s="10"/>
      <c r="CJ168" s="10"/>
      <c r="CL168" s="10"/>
      <c r="CN168" s="10"/>
      <c r="CP168" s="10"/>
      <c r="CR168" s="10"/>
      <c r="CT168" s="10"/>
      <c r="CV168" s="10"/>
      <c r="CX168" s="10"/>
      <c r="CZ168" s="10"/>
      <c r="DB168" s="10"/>
      <c r="DD168" s="10"/>
      <c r="DF168" s="10"/>
      <c r="DH168" s="10"/>
      <c r="DJ168" s="10"/>
      <c r="DL168" s="10"/>
    </row>
    <row r="169" spans="1:116" x14ac:dyDescent="0.2">
      <c r="A169" s="5"/>
      <c r="B169" s="6"/>
      <c r="C169" s="6"/>
      <c r="D169" s="27"/>
      <c r="E169" s="6"/>
      <c r="F169" s="8"/>
      <c r="G169" s="8"/>
      <c r="I169" s="10"/>
      <c r="J169" s="11"/>
      <c r="K169" s="12"/>
      <c r="L169" s="10"/>
      <c r="M169" s="11"/>
      <c r="N169" s="12"/>
      <c r="O169" s="10"/>
      <c r="P169" s="11"/>
      <c r="Q169" s="12"/>
      <c r="R169" s="13"/>
      <c r="S169" s="11"/>
      <c r="T169" s="12"/>
      <c r="U169" s="10"/>
      <c r="V169" s="12"/>
      <c r="W169" s="12"/>
      <c r="X169" s="10"/>
      <c r="Y169" s="12"/>
      <c r="Z169" s="12"/>
      <c r="AA169" s="10"/>
      <c r="AB169" s="12"/>
      <c r="AC169" s="12"/>
      <c r="AD169" s="10"/>
      <c r="AE169" s="12"/>
      <c r="AF169" s="12"/>
      <c r="AG169" s="10"/>
      <c r="AH169" s="12"/>
      <c r="AI169" s="12"/>
      <c r="AJ169" s="13"/>
      <c r="AK169" s="11"/>
      <c r="AL169" s="12"/>
      <c r="AM169" s="10"/>
      <c r="AN169" s="12"/>
      <c r="AO169" s="12"/>
      <c r="AP169" s="10"/>
      <c r="AQ169" s="12"/>
      <c r="AR169" s="12"/>
      <c r="AS169" s="10"/>
      <c r="AT169" s="12"/>
      <c r="AU169" s="12"/>
      <c r="AV169" s="10"/>
      <c r="AW169" s="12"/>
      <c r="AX169" s="12"/>
      <c r="AY169" s="10"/>
      <c r="AZ169" s="12"/>
      <c r="BA169" s="12"/>
      <c r="BB169" s="10"/>
      <c r="BC169" s="12"/>
      <c r="BD169" s="12"/>
      <c r="BE169" s="10"/>
      <c r="BF169" s="12"/>
      <c r="BG169" s="12"/>
      <c r="BH169" s="10"/>
      <c r="BI169" s="12"/>
      <c r="BK169" s="16"/>
      <c r="BL169" s="16"/>
      <c r="BM169" s="16"/>
      <c r="BN169" s="16"/>
      <c r="BO169" s="16"/>
      <c r="BP169" s="16"/>
      <c r="BQ169" s="16"/>
      <c r="BR169" s="16"/>
      <c r="BS169" s="14"/>
      <c r="BT169" s="15"/>
      <c r="BU169" s="23"/>
      <c r="BV169" s="21"/>
      <c r="BW169" s="21"/>
      <c r="BX169" s="16"/>
      <c r="BY169" s="22"/>
      <c r="BZ169" s="16"/>
      <c r="CA169" s="8"/>
      <c r="CB169" s="10"/>
      <c r="CD169" s="10"/>
      <c r="CF169" s="10"/>
      <c r="CH169" s="10"/>
      <c r="CJ169" s="10"/>
      <c r="CL169" s="10"/>
      <c r="CN169" s="10"/>
      <c r="CP169" s="10"/>
      <c r="CR169" s="10"/>
      <c r="CT169" s="10"/>
      <c r="CV169" s="10"/>
      <c r="CX169" s="10"/>
      <c r="CZ169" s="10"/>
      <c r="DB169" s="10"/>
      <c r="DD169" s="10"/>
      <c r="DF169" s="10"/>
      <c r="DH169" s="10"/>
      <c r="DJ169" s="10"/>
      <c r="DL169" s="10"/>
    </row>
    <row r="170" spans="1:116" x14ac:dyDescent="0.2">
      <c r="A170" s="5"/>
      <c r="B170" s="6"/>
      <c r="C170" s="6"/>
      <c r="D170" s="27"/>
      <c r="E170" s="6"/>
      <c r="F170" s="8"/>
      <c r="G170" s="8"/>
      <c r="I170" s="10"/>
      <c r="J170" s="11"/>
      <c r="K170" s="12"/>
      <c r="L170" s="10"/>
      <c r="M170" s="11"/>
      <c r="N170" s="12"/>
      <c r="O170" s="10"/>
      <c r="P170" s="11"/>
      <c r="Q170" s="12"/>
      <c r="R170" s="13"/>
      <c r="S170" s="11"/>
      <c r="T170" s="12"/>
      <c r="U170" s="10"/>
      <c r="V170" s="12"/>
      <c r="W170" s="12"/>
      <c r="X170" s="10"/>
      <c r="Y170" s="12"/>
      <c r="Z170" s="12"/>
      <c r="AA170" s="10"/>
      <c r="AB170" s="12"/>
      <c r="AC170" s="12"/>
      <c r="AD170" s="10"/>
      <c r="AE170" s="12"/>
      <c r="AF170" s="12"/>
      <c r="AG170" s="10"/>
      <c r="AH170" s="12"/>
      <c r="AI170" s="12"/>
      <c r="AJ170" s="13"/>
      <c r="AK170" s="11"/>
      <c r="AL170" s="12"/>
      <c r="AM170" s="10"/>
      <c r="AN170" s="12"/>
      <c r="AO170" s="12"/>
      <c r="AP170" s="10"/>
      <c r="AQ170" s="12"/>
      <c r="AR170" s="12"/>
      <c r="AS170" s="10"/>
      <c r="AT170" s="12"/>
      <c r="AU170" s="12"/>
      <c r="AV170" s="10"/>
      <c r="AW170" s="12"/>
      <c r="AX170" s="12"/>
      <c r="AY170" s="10"/>
      <c r="AZ170" s="12"/>
      <c r="BA170" s="12"/>
      <c r="BB170" s="10"/>
      <c r="BC170" s="12"/>
      <c r="BD170" s="12"/>
      <c r="BE170" s="10"/>
      <c r="BF170" s="12"/>
      <c r="BG170" s="12"/>
      <c r="BH170" s="10"/>
      <c r="BI170" s="12"/>
      <c r="BK170" s="16"/>
      <c r="BL170" s="16"/>
      <c r="BM170" s="16"/>
      <c r="BN170" s="16"/>
      <c r="BO170" s="16"/>
      <c r="BP170" s="16"/>
      <c r="BQ170" s="16"/>
      <c r="BR170" s="16"/>
      <c r="BS170" s="14"/>
      <c r="BT170" s="15"/>
      <c r="BU170" s="23"/>
      <c r="BV170" s="21"/>
      <c r="BW170" s="21"/>
      <c r="BX170" s="16"/>
      <c r="BY170" s="22"/>
      <c r="BZ170" s="16"/>
      <c r="CA170" s="8"/>
      <c r="CB170" s="10"/>
      <c r="CD170" s="10"/>
      <c r="CF170" s="10"/>
      <c r="CH170" s="10"/>
      <c r="CJ170" s="10"/>
      <c r="CL170" s="10"/>
      <c r="CN170" s="10"/>
      <c r="CP170" s="10"/>
      <c r="CR170" s="10"/>
      <c r="CT170" s="10"/>
      <c r="CV170" s="10"/>
      <c r="CX170" s="10"/>
      <c r="CZ170" s="10"/>
      <c r="DB170" s="10"/>
      <c r="DD170" s="10"/>
      <c r="DF170" s="10"/>
      <c r="DH170" s="10"/>
      <c r="DJ170" s="10"/>
      <c r="DL170" s="10"/>
    </row>
    <row r="171" spans="1:116" x14ac:dyDescent="0.2">
      <c r="A171" s="5"/>
      <c r="B171" s="6"/>
      <c r="C171" s="6"/>
      <c r="D171" s="27"/>
      <c r="E171" s="6"/>
      <c r="F171" s="8"/>
      <c r="G171" s="8"/>
      <c r="I171" s="10"/>
      <c r="J171" s="11"/>
      <c r="K171" s="12"/>
      <c r="L171" s="10"/>
      <c r="M171" s="11"/>
      <c r="N171" s="12"/>
      <c r="O171" s="10"/>
      <c r="P171" s="11"/>
      <c r="Q171" s="12"/>
      <c r="R171" s="13"/>
      <c r="S171" s="11"/>
      <c r="T171" s="12"/>
      <c r="U171" s="10"/>
      <c r="V171" s="12"/>
      <c r="W171" s="12"/>
      <c r="X171" s="10"/>
      <c r="Y171" s="12"/>
      <c r="Z171" s="12"/>
      <c r="AA171" s="10"/>
      <c r="AB171" s="12"/>
      <c r="AC171" s="12"/>
      <c r="AD171" s="10"/>
      <c r="AE171" s="12"/>
      <c r="AF171" s="12"/>
      <c r="AG171" s="10"/>
      <c r="AH171" s="12"/>
      <c r="AI171" s="12"/>
      <c r="AJ171" s="13"/>
      <c r="AK171" s="11"/>
      <c r="AL171" s="12"/>
      <c r="AM171" s="10"/>
      <c r="AN171" s="12"/>
      <c r="AO171" s="12"/>
      <c r="AP171" s="10"/>
      <c r="AQ171" s="12"/>
      <c r="AR171" s="12"/>
      <c r="AS171" s="10"/>
      <c r="AT171" s="12"/>
      <c r="AU171" s="12"/>
      <c r="AV171" s="10"/>
      <c r="AW171" s="12"/>
      <c r="AX171" s="12"/>
      <c r="AY171" s="10"/>
      <c r="AZ171" s="12"/>
      <c r="BA171" s="12"/>
      <c r="BB171" s="10"/>
      <c r="BC171" s="12"/>
      <c r="BD171" s="12"/>
      <c r="BE171" s="10"/>
      <c r="BF171" s="12"/>
      <c r="BG171" s="12"/>
      <c r="BH171" s="10"/>
      <c r="BI171" s="12"/>
      <c r="BK171" s="16"/>
      <c r="BL171" s="16"/>
      <c r="BM171" s="16"/>
      <c r="BN171" s="16"/>
      <c r="BO171" s="16"/>
      <c r="BP171" s="16"/>
      <c r="BQ171" s="16"/>
      <c r="BR171" s="16"/>
      <c r="BS171" s="14"/>
      <c r="BT171" s="15"/>
      <c r="BU171" s="23"/>
      <c r="BV171" s="21"/>
      <c r="BW171" s="21"/>
      <c r="BX171" s="16"/>
      <c r="BY171" s="22"/>
      <c r="BZ171" s="16"/>
      <c r="CA171" s="8"/>
      <c r="CB171" s="10"/>
      <c r="CD171" s="10"/>
      <c r="CF171" s="10"/>
      <c r="CH171" s="10"/>
      <c r="CJ171" s="10"/>
      <c r="CL171" s="10"/>
      <c r="CN171" s="10"/>
      <c r="CP171" s="10"/>
      <c r="CR171" s="10"/>
      <c r="CT171" s="10"/>
      <c r="CV171" s="10"/>
      <c r="CX171" s="10"/>
      <c r="CZ171" s="10"/>
      <c r="DB171" s="10"/>
      <c r="DD171" s="10"/>
      <c r="DF171" s="10"/>
      <c r="DH171" s="10"/>
      <c r="DJ171" s="10"/>
      <c r="DL171" s="10"/>
    </row>
    <row r="172" spans="1:116" x14ac:dyDescent="0.2">
      <c r="A172" s="5"/>
      <c r="B172" s="6"/>
      <c r="C172" s="6"/>
      <c r="D172" s="27"/>
      <c r="E172" s="6"/>
      <c r="F172" s="8"/>
      <c r="G172" s="8"/>
      <c r="I172" s="10"/>
      <c r="J172" s="11"/>
      <c r="K172" s="12"/>
      <c r="L172" s="10"/>
      <c r="M172" s="11"/>
      <c r="N172" s="12"/>
      <c r="O172" s="10"/>
      <c r="P172" s="11"/>
      <c r="Q172" s="12"/>
      <c r="R172" s="13"/>
      <c r="S172" s="11"/>
      <c r="T172" s="12"/>
      <c r="U172" s="10"/>
      <c r="V172" s="12"/>
      <c r="W172" s="12"/>
      <c r="X172" s="10"/>
      <c r="Y172" s="12"/>
      <c r="Z172" s="12"/>
      <c r="AA172" s="10"/>
      <c r="AB172" s="12"/>
      <c r="AC172" s="12"/>
      <c r="AD172" s="10"/>
      <c r="AE172" s="12"/>
      <c r="AF172" s="12"/>
      <c r="AG172" s="10"/>
      <c r="AH172" s="12"/>
      <c r="AI172" s="12"/>
      <c r="AJ172" s="13"/>
      <c r="AK172" s="11"/>
      <c r="AL172" s="12"/>
      <c r="AM172" s="10"/>
      <c r="AN172" s="12"/>
      <c r="AO172" s="12"/>
      <c r="AP172" s="10"/>
      <c r="AQ172" s="12"/>
      <c r="AR172" s="12"/>
      <c r="AS172" s="10"/>
      <c r="AT172" s="12"/>
      <c r="AU172" s="12"/>
      <c r="AV172" s="10"/>
      <c r="AW172" s="12"/>
      <c r="AX172" s="12"/>
      <c r="AY172" s="10"/>
      <c r="AZ172" s="12"/>
      <c r="BA172" s="12"/>
      <c r="BB172" s="10"/>
      <c r="BC172" s="12"/>
      <c r="BD172" s="12"/>
      <c r="BE172" s="10"/>
      <c r="BF172" s="12"/>
      <c r="BG172" s="12"/>
      <c r="BH172" s="10"/>
      <c r="BI172" s="12"/>
      <c r="BK172" s="16"/>
      <c r="BL172" s="16"/>
      <c r="BM172" s="16"/>
      <c r="BN172" s="16"/>
      <c r="BO172" s="16"/>
      <c r="BP172" s="16"/>
      <c r="BQ172" s="16"/>
      <c r="BR172" s="16"/>
      <c r="BS172" s="14"/>
      <c r="BT172" s="15"/>
      <c r="BU172" s="23"/>
      <c r="BV172" s="21"/>
      <c r="BW172" s="21"/>
      <c r="BX172" s="16"/>
      <c r="BY172" s="22"/>
      <c r="BZ172" s="16"/>
      <c r="CA172" s="8"/>
      <c r="CB172" s="10"/>
      <c r="CD172" s="10"/>
      <c r="CF172" s="10"/>
      <c r="CH172" s="10"/>
      <c r="CJ172" s="10"/>
      <c r="CL172" s="10"/>
      <c r="CN172" s="10"/>
      <c r="CP172" s="10"/>
      <c r="CR172" s="10"/>
      <c r="CT172" s="10"/>
      <c r="CV172" s="10"/>
      <c r="CX172" s="10"/>
      <c r="CZ172" s="10"/>
      <c r="DB172" s="10"/>
      <c r="DD172" s="10"/>
      <c r="DF172" s="10"/>
      <c r="DH172" s="10"/>
      <c r="DJ172" s="10"/>
      <c r="DL172" s="10"/>
    </row>
    <row r="173" spans="1:116" x14ac:dyDescent="0.2">
      <c r="A173" s="5"/>
      <c r="B173" s="6"/>
      <c r="C173" s="6"/>
      <c r="D173" s="27"/>
      <c r="E173" s="6"/>
      <c r="F173" s="8"/>
      <c r="G173" s="8"/>
      <c r="I173" s="10"/>
      <c r="J173" s="11"/>
      <c r="K173" s="12"/>
      <c r="L173" s="10"/>
      <c r="M173" s="11"/>
      <c r="N173" s="12"/>
      <c r="O173" s="10"/>
      <c r="P173" s="11"/>
      <c r="Q173" s="12"/>
      <c r="R173" s="13"/>
      <c r="S173" s="11"/>
      <c r="T173" s="12"/>
      <c r="U173" s="10"/>
      <c r="V173" s="12"/>
      <c r="W173" s="12"/>
      <c r="X173" s="10"/>
      <c r="Y173" s="12"/>
      <c r="Z173" s="12"/>
      <c r="AA173" s="10"/>
      <c r="AB173" s="12"/>
      <c r="AC173" s="12"/>
      <c r="AD173" s="10"/>
      <c r="AE173" s="12"/>
      <c r="AF173" s="12"/>
      <c r="AG173" s="10"/>
      <c r="AH173" s="12"/>
      <c r="AI173" s="12"/>
      <c r="AJ173" s="13"/>
      <c r="AK173" s="11"/>
      <c r="AL173" s="12"/>
      <c r="AM173" s="10"/>
      <c r="AN173" s="12"/>
      <c r="AO173" s="12"/>
      <c r="AP173" s="10"/>
      <c r="AQ173" s="12"/>
      <c r="AR173" s="12"/>
      <c r="AS173" s="10"/>
      <c r="AT173" s="12"/>
      <c r="AU173" s="12"/>
      <c r="AV173" s="10"/>
      <c r="AW173" s="12"/>
      <c r="AX173" s="12"/>
      <c r="AY173" s="10"/>
      <c r="AZ173" s="12"/>
      <c r="BA173" s="12"/>
      <c r="BB173" s="10"/>
      <c r="BC173" s="12"/>
      <c r="BD173" s="12"/>
      <c r="BE173" s="10"/>
      <c r="BF173" s="12"/>
      <c r="BG173" s="12"/>
      <c r="BH173" s="10"/>
      <c r="BI173" s="12"/>
      <c r="BK173" s="16"/>
      <c r="BL173" s="16"/>
      <c r="BM173" s="16"/>
      <c r="BN173" s="16"/>
      <c r="BO173" s="16"/>
      <c r="BP173" s="16"/>
      <c r="BQ173" s="16"/>
      <c r="BR173" s="16"/>
      <c r="BS173" s="14"/>
      <c r="BT173" s="15"/>
      <c r="BU173" s="23"/>
      <c r="BV173" s="21"/>
      <c r="BW173" s="21"/>
      <c r="BX173" s="16"/>
      <c r="BY173" s="22"/>
      <c r="BZ173" s="16"/>
      <c r="CA173" s="8"/>
      <c r="CB173" s="10"/>
      <c r="CD173" s="10"/>
      <c r="CF173" s="10"/>
      <c r="CH173" s="10"/>
      <c r="CJ173" s="10"/>
      <c r="CL173" s="10"/>
      <c r="CN173" s="10"/>
      <c r="CP173" s="10"/>
      <c r="CR173" s="10"/>
      <c r="CT173" s="10"/>
      <c r="CV173" s="10"/>
      <c r="CX173" s="10"/>
      <c r="CZ173" s="10"/>
      <c r="DB173" s="10"/>
      <c r="DD173" s="10"/>
      <c r="DF173" s="10"/>
      <c r="DH173" s="10"/>
      <c r="DJ173" s="10"/>
      <c r="DL173" s="10"/>
    </row>
    <row r="174" spans="1:116" x14ac:dyDescent="0.2">
      <c r="A174" s="5"/>
      <c r="B174" s="6"/>
      <c r="C174" s="6"/>
      <c r="D174" s="27"/>
      <c r="E174" s="6"/>
      <c r="F174" s="8"/>
      <c r="G174" s="8"/>
      <c r="I174" s="10"/>
      <c r="J174" s="11"/>
      <c r="K174" s="12"/>
      <c r="L174" s="10"/>
      <c r="M174" s="11"/>
      <c r="N174" s="12"/>
      <c r="O174" s="10"/>
      <c r="P174" s="11"/>
      <c r="Q174" s="12"/>
      <c r="R174" s="13"/>
      <c r="S174" s="11"/>
      <c r="T174" s="12"/>
      <c r="U174" s="10"/>
      <c r="V174" s="12"/>
      <c r="W174" s="12"/>
      <c r="X174" s="10"/>
      <c r="Y174" s="12"/>
      <c r="Z174" s="12"/>
      <c r="AA174" s="10"/>
      <c r="AB174" s="12"/>
      <c r="AC174" s="12"/>
      <c r="AD174" s="10"/>
      <c r="AE174" s="12"/>
      <c r="AF174" s="12"/>
      <c r="AG174" s="10"/>
      <c r="AH174" s="12"/>
      <c r="AI174" s="12"/>
      <c r="AJ174" s="13"/>
      <c r="AK174" s="11"/>
      <c r="AL174" s="12"/>
      <c r="AM174" s="10"/>
      <c r="AN174" s="12"/>
      <c r="AO174" s="12"/>
      <c r="AP174" s="10"/>
      <c r="AQ174" s="12"/>
      <c r="AR174" s="12"/>
      <c r="AS174" s="10"/>
      <c r="AT174" s="12"/>
      <c r="AU174" s="12"/>
      <c r="AV174" s="10"/>
      <c r="AW174" s="12"/>
      <c r="AX174" s="12"/>
      <c r="AY174" s="10"/>
      <c r="AZ174" s="12"/>
      <c r="BA174" s="12"/>
      <c r="BB174" s="10"/>
      <c r="BC174" s="12"/>
      <c r="BD174" s="12"/>
      <c r="BE174" s="10"/>
      <c r="BF174" s="12"/>
      <c r="BG174" s="12"/>
      <c r="BH174" s="10"/>
      <c r="BI174" s="12"/>
      <c r="BK174" s="16"/>
      <c r="BL174" s="16"/>
      <c r="BM174" s="16"/>
      <c r="BN174" s="16"/>
      <c r="BO174" s="16"/>
      <c r="BP174" s="16"/>
      <c r="BQ174" s="16"/>
      <c r="BR174" s="16"/>
      <c r="BS174" s="14"/>
      <c r="BT174" s="15"/>
      <c r="BU174" s="23"/>
      <c r="BV174" s="21"/>
      <c r="BW174" s="21"/>
      <c r="BX174" s="16"/>
      <c r="BY174" s="22"/>
      <c r="BZ174" s="16"/>
      <c r="CA174" s="8"/>
      <c r="CB174" s="10"/>
      <c r="CD174" s="10"/>
      <c r="CF174" s="10"/>
      <c r="CH174" s="10"/>
      <c r="CJ174" s="10"/>
      <c r="CL174" s="10"/>
      <c r="CN174" s="10"/>
      <c r="CP174" s="10"/>
      <c r="CR174" s="10"/>
      <c r="CT174" s="10"/>
      <c r="CV174" s="10"/>
      <c r="CX174" s="10"/>
      <c r="CZ174" s="10"/>
      <c r="DB174" s="10"/>
      <c r="DD174" s="10"/>
      <c r="DF174" s="10"/>
      <c r="DH174" s="10"/>
      <c r="DJ174" s="10"/>
      <c r="DL174" s="10"/>
    </row>
    <row r="175" spans="1:116" x14ac:dyDescent="0.2">
      <c r="A175" s="5"/>
      <c r="B175" s="6"/>
      <c r="C175" s="6"/>
      <c r="D175" s="27"/>
      <c r="E175" s="6"/>
      <c r="F175" s="8"/>
      <c r="G175" s="8"/>
      <c r="I175" s="10"/>
      <c r="J175" s="11"/>
      <c r="K175" s="12"/>
      <c r="L175" s="10"/>
      <c r="M175" s="11"/>
      <c r="N175" s="12"/>
      <c r="O175" s="10"/>
      <c r="P175" s="11"/>
      <c r="Q175" s="12"/>
      <c r="R175" s="13"/>
      <c r="S175" s="11"/>
      <c r="T175" s="12"/>
      <c r="U175" s="10"/>
      <c r="V175" s="12"/>
      <c r="W175" s="12"/>
      <c r="X175" s="10"/>
      <c r="Y175" s="12"/>
      <c r="Z175" s="12"/>
      <c r="AA175" s="10"/>
      <c r="AB175" s="12"/>
      <c r="AC175" s="12"/>
      <c r="AD175" s="10"/>
      <c r="AE175" s="12"/>
      <c r="AF175" s="12"/>
      <c r="AG175" s="10"/>
      <c r="AH175" s="12"/>
      <c r="AI175" s="12"/>
      <c r="AJ175" s="13"/>
      <c r="AK175" s="11"/>
      <c r="AL175" s="12"/>
      <c r="AM175" s="10"/>
      <c r="AN175" s="12"/>
      <c r="AO175" s="12"/>
      <c r="AP175" s="10"/>
      <c r="AQ175" s="12"/>
      <c r="AR175" s="12"/>
      <c r="AS175" s="10"/>
      <c r="AT175" s="12"/>
      <c r="AU175" s="12"/>
      <c r="AV175" s="10"/>
      <c r="AW175" s="12"/>
      <c r="AX175" s="12"/>
      <c r="AY175" s="10"/>
      <c r="AZ175" s="12"/>
      <c r="BA175" s="12"/>
      <c r="BB175" s="10"/>
      <c r="BC175" s="12"/>
      <c r="BD175" s="12"/>
      <c r="BE175" s="10"/>
      <c r="BF175" s="12"/>
      <c r="BG175" s="12"/>
      <c r="BH175" s="10"/>
      <c r="BI175" s="12"/>
      <c r="BK175" s="16"/>
      <c r="BL175" s="16"/>
      <c r="BM175" s="16"/>
      <c r="BN175" s="16"/>
      <c r="BO175" s="16"/>
      <c r="BP175" s="16"/>
      <c r="BQ175" s="16"/>
      <c r="BR175" s="16"/>
      <c r="BS175" s="14"/>
      <c r="BT175" s="15"/>
      <c r="BU175" s="23"/>
      <c r="BV175" s="21"/>
      <c r="BW175" s="21"/>
      <c r="BX175" s="16"/>
      <c r="BY175" s="22"/>
      <c r="BZ175" s="16"/>
      <c r="CA175" s="8"/>
      <c r="CB175" s="10"/>
      <c r="CD175" s="10"/>
      <c r="CF175" s="10"/>
      <c r="CH175" s="10"/>
      <c r="CJ175" s="10"/>
      <c r="CL175" s="10"/>
      <c r="CN175" s="10"/>
      <c r="CP175" s="10"/>
      <c r="CR175" s="10"/>
      <c r="CT175" s="10"/>
      <c r="CV175" s="10"/>
      <c r="CX175" s="10"/>
      <c r="CZ175" s="10"/>
      <c r="DB175" s="10"/>
      <c r="DD175" s="10"/>
      <c r="DF175" s="10"/>
      <c r="DH175" s="10"/>
      <c r="DJ175" s="10"/>
      <c r="DL175" s="10"/>
    </row>
    <row r="176" spans="1:116" x14ac:dyDescent="0.2">
      <c r="A176" s="5"/>
      <c r="B176" s="6"/>
      <c r="C176" s="6"/>
      <c r="D176" s="27"/>
      <c r="E176" s="6"/>
      <c r="F176" s="8"/>
      <c r="G176" s="8"/>
      <c r="I176" s="10"/>
      <c r="J176" s="11"/>
      <c r="K176" s="12"/>
      <c r="L176" s="10"/>
      <c r="M176" s="11"/>
      <c r="N176" s="12"/>
      <c r="O176" s="10"/>
      <c r="P176" s="11"/>
      <c r="Q176" s="12"/>
      <c r="R176" s="13"/>
      <c r="S176" s="11"/>
      <c r="T176" s="12"/>
      <c r="U176" s="10"/>
      <c r="V176" s="12"/>
      <c r="W176" s="12"/>
      <c r="X176" s="10"/>
      <c r="Y176" s="12"/>
      <c r="Z176" s="12"/>
      <c r="AA176" s="10"/>
      <c r="AB176" s="12"/>
      <c r="AC176" s="12"/>
      <c r="AD176" s="10"/>
      <c r="AE176" s="12"/>
      <c r="AF176" s="12"/>
      <c r="AG176" s="10"/>
      <c r="AH176" s="12"/>
      <c r="AI176" s="12"/>
      <c r="AJ176" s="13"/>
      <c r="AK176" s="11"/>
      <c r="AL176" s="12"/>
      <c r="AM176" s="10"/>
      <c r="AN176" s="12"/>
      <c r="AO176" s="12"/>
      <c r="AP176" s="10"/>
      <c r="AQ176" s="12"/>
      <c r="AR176" s="12"/>
      <c r="AS176" s="10"/>
      <c r="AT176" s="12"/>
      <c r="AU176" s="12"/>
      <c r="AV176" s="10"/>
      <c r="AW176" s="12"/>
      <c r="AX176" s="12"/>
      <c r="AY176" s="10"/>
      <c r="AZ176" s="12"/>
      <c r="BA176" s="12"/>
      <c r="BB176" s="10"/>
      <c r="BC176" s="12"/>
      <c r="BD176" s="12"/>
      <c r="BE176" s="10"/>
      <c r="BF176" s="12"/>
      <c r="BG176" s="12"/>
      <c r="BH176" s="10"/>
      <c r="BI176" s="12"/>
      <c r="BK176" s="16"/>
      <c r="BL176" s="16"/>
      <c r="BM176" s="16"/>
      <c r="BN176" s="16"/>
      <c r="BO176" s="16"/>
      <c r="BP176" s="16"/>
      <c r="BQ176" s="16"/>
      <c r="BR176" s="16"/>
      <c r="BS176" s="14"/>
      <c r="BT176" s="15"/>
      <c r="BU176" s="23"/>
      <c r="BV176" s="21"/>
      <c r="BW176" s="21"/>
      <c r="BX176" s="16"/>
      <c r="BY176" s="22"/>
      <c r="BZ176" s="16"/>
      <c r="CA176" s="8"/>
      <c r="CB176" s="10"/>
      <c r="CD176" s="10"/>
      <c r="CF176" s="10"/>
      <c r="CH176" s="10"/>
      <c r="CJ176" s="10"/>
      <c r="CL176" s="10"/>
      <c r="CN176" s="10"/>
      <c r="CP176" s="10"/>
      <c r="CR176" s="10"/>
      <c r="CT176" s="10"/>
      <c r="CV176" s="10"/>
      <c r="CX176" s="10"/>
      <c r="CZ176" s="10"/>
      <c r="DB176" s="10"/>
      <c r="DD176" s="10"/>
      <c r="DF176" s="10"/>
      <c r="DH176" s="10"/>
      <c r="DJ176" s="10"/>
      <c r="DL176" s="10"/>
    </row>
    <row r="177" spans="1:116" x14ac:dyDescent="0.2">
      <c r="A177" s="5"/>
      <c r="B177" s="6"/>
      <c r="C177" s="6"/>
      <c r="D177" s="27"/>
      <c r="E177" s="6"/>
      <c r="F177" s="8"/>
      <c r="G177" s="8"/>
      <c r="I177" s="10"/>
      <c r="J177" s="11"/>
      <c r="K177" s="12"/>
      <c r="L177" s="10"/>
      <c r="M177" s="11"/>
      <c r="N177" s="12"/>
      <c r="O177" s="10"/>
      <c r="P177" s="11"/>
      <c r="Q177" s="12"/>
      <c r="R177" s="13"/>
      <c r="S177" s="11"/>
      <c r="T177" s="12"/>
      <c r="U177" s="10"/>
      <c r="V177" s="12"/>
      <c r="W177" s="12"/>
      <c r="X177" s="10"/>
      <c r="Y177" s="12"/>
      <c r="Z177" s="12"/>
      <c r="AA177" s="10"/>
      <c r="AB177" s="12"/>
      <c r="AC177" s="12"/>
      <c r="AD177" s="10"/>
      <c r="AE177" s="12"/>
      <c r="AF177" s="12"/>
      <c r="AG177" s="10"/>
      <c r="AH177" s="12"/>
      <c r="AI177" s="12"/>
      <c r="AJ177" s="13"/>
      <c r="AK177" s="11"/>
      <c r="AL177" s="12"/>
      <c r="AM177" s="10"/>
      <c r="AN177" s="12"/>
      <c r="AO177" s="12"/>
      <c r="AP177" s="10"/>
      <c r="AQ177" s="12"/>
      <c r="AR177" s="12"/>
      <c r="AS177" s="10"/>
      <c r="AT177" s="12"/>
      <c r="AU177" s="12"/>
      <c r="AV177" s="10"/>
      <c r="AW177" s="12"/>
      <c r="AX177" s="12"/>
      <c r="AY177" s="10"/>
      <c r="AZ177" s="12"/>
      <c r="BA177" s="12"/>
      <c r="BB177" s="10"/>
      <c r="BC177" s="12"/>
      <c r="BD177" s="12"/>
      <c r="BE177" s="10"/>
      <c r="BF177" s="12"/>
      <c r="BG177" s="12"/>
      <c r="BH177" s="10"/>
      <c r="BI177" s="12"/>
      <c r="BK177" s="16"/>
      <c r="BL177" s="16"/>
      <c r="BM177" s="16"/>
      <c r="BN177" s="16"/>
      <c r="BO177" s="16"/>
      <c r="BP177" s="16"/>
      <c r="BQ177" s="16"/>
      <c r="BR177" s="16"/>
      <c r="BS177" s="14"/>
      <c r="BT177" s="15"/>
      <c r="BU177" s="23"/>
      <c r="BV177" s="21"/>
      <c r="BW177" s="21"/>
      <c r="BX177" s="16"/>
      <c r="BY177" s="22"/>
      <c r="BZ177" s="16"/>
      <c r="CA177" s="8"/>
      <c r="CB177" s="10"/>
      <c r="CD177" s="10"/>
      <c r="CF177" s="10"/>
      <c r="CH177" s="10"/>
      <c r="CJ177" s="10"/>
      <c r="CL177" s="10"/>
      <c r="CN177" s="10"/>
      <c r="CP177" s="10"/>
      <c r="CR177" s="10"/>
      <c r="CT177" s="10"/>
      <c r="CV177" s="10"/>
      <c r="CX177" s="10"/>
      <c r="CZ177" s="10"/>
      <c r="DB177" s="10"/>
      <c r="DD177" s="10"/>
      <c r="DF177" s="10"/>
      <c r="DH177" s="10"/>
      <c r="DJ177" s="10"/>
      <c r="DL177" s="10"/>
    </row>
    <row r="178" spans="1:116" x14ac:dyDescent="0.2">
      <c r="A178" s="5"/>
      <c r="B178" s="6"/>
      <c r="C178" s="6"/>
      <c r="D178" s="27"/>
      <c r="E178" s="6"/>
      <c r="F178" s="8"/>
      <c r="G178" s="8"/>
      <c r="I178" s="10"/>
      <c r="J178" s="11"/>
      <c r="K178" s="12"/>
      <c r="L178" s="10"/>
      <c r="M178" s="11"/>
      <c r="N178" s="12"/>
      <c r="O178" s="10"/>
      <c r="P178" s="11"/>
      <c r="Q178" s="12"/>
      <c r="R178" s="13"/>
      <c r="S178" s="11"/>
      <c r="T178" s="12"/>
      <c r="U178" s="10"/>
      <c r="V178" s="12"/>
      <c r="W178" s="12"/>
      <c r="X178" s="10"/>
      <c r="Y178" s="12"/>
      <c r="Z178" s="12"/>
      <c r="AA178" s="10"/>
      <c r="AB178" s="12"/>
      <c r="AC178" s="12"/>
      <c r="AD178" s="10"/>
      <c r="AE178" s="12"/>
      <c r="AF178" s="12"/>
      <c r="AG178" s="10"/>
      <c r="AH178" s="12"/>
      <c r="AI178" s="12"/>
      <c r="AJ178" s="13"/>
      <c r="AK178" s="11"/>
      <c r="AL178" s="12"/>
      <c r="AM178" s="10"/>
      <c r="AN178" s="12"/>
      <c r="AO178" s="12"/>
      <c r="AP178" s="10"/>
      <c r="AQ178" s="12"/>
      <c r="AR178" s="12"/>
      <c r="AS178" s="10"/>
      <c r="AT178" s="12"/>
      <c r="AU178" s="12"/>
      <c r="AV178" s="10"/>
      <c r="AW178" s="12"/>
      <c r="AX178" s="12"/>
      <c r="AY178" s="10"/>
      <c r="AZ178" s="12"/>
      <c r="BA178" s="12"/>
      <c r="BB178" s="10"/>
      <c r="BC178" s="12"/>
      <c r="BD178" s="12"/>
      <c r="BE178" s="10"/>
      <c r="BF178" s="12"/>
      <c r="BG178" s="12"/>
      <c r="BH178" s="10"/>
      <c r="BI178" s="12"/>
      <c r="BK178" s="16"/>
      <c r="BL178" s="16"/>
      <c r="BM178" s="16"/>
      <c r="BN178" s="16"/>
      <c r="BO178" s="16"/>
      <c r="BP178" s="16"/>
      <c r="BQ178" s="16"/>
      <c r="BR178" s="16"/>
      <c r="BS178" s="14"/>
      <c r="BT178" s="15"/>
      <c r="BU178" s="23"/>
      <c r="BV178" s="21"/>
      <c r="BW178" s="21"/>
      <c r="BX178" s="16"/>
      <c r="BY178" s="22"/>
      <c r="BZ178" s="16"/>
      <c r="CA178" s="8"/>
      <c r="CB178" s="10"/>
      <c r="CD178" s="10"/>
      <c r="CF178" s="10"/>
      <c r="CH178" s="10"/>
      <c r="CJ178" s="10"/>
      <c r="CL178" s="10"/>
      <c r="CN178" s="10"/>
      <c r="CP178" s="10"/>
      <c r="CR178" s="10"/>
      <c r="CT178" s="10"/>
      <c r="CV178" s="10"/>
      <c r="CX178" s="10"/>
      <c r="CZ178" s="10"/>
      <c r="DB178" s="10"/>
      <c r="DD178" s="10"/>
      <c r="DF178" s="10"/>
      <c r="DH178" s="10"/>
      <c r="DJ178" s="10"/>
      <c r="DL178" s="10"/>
    </row>
    <row r="179" spans="1:116" x14ac:dyDescent="0.2">
      <c r="A179" s="5"/>
      <c r="B179" s="6"/>
      <c r="C179" s="6"/>
      <c r="D179" s="27"/>
      <c r="E179" s="6"/>
      <c r="F179" s="8"/>
      <c r="G179" s="8"/>
      <c r="I179" s="10"/>
      <c r="J179" s="11"/>
      <c r="K179" s="12"/>
      <c r="L179" s="10"/>
      <c r="M179" s="11"/>
      <c r="N179" s="12"/>
      <c r="O179" s="10"/>
      <c r="P179" s="11"/>
      <c r="Q179" s="12"/>
      <c r="R179" s="13"/>
      <c r="S179" s="11"/>
      <c r="T179" s="12"/>
      <c r="U179" s="10"/>
      <c r="V179" s="12"/>
      <c r="W179" s="12"/>
      <c r="X179" s="10"/>
      <c r="Y179" s="12"/>
      <c r="Z179" s="12"/>
      <c r="AA179" s="10"/>
      <c r="AB179" s="12"/>
      <c r="AC179" s="12"/>
      <c r="AD179" s="10"/>
      <c r="AE179" s="12"/>
      <c r="AF179" s="12"/>
      <c r="AG179" s="10"/>
      <c r="AH179" s="12"/>
      <c r="AI179" s="12"/>
      <c r="AJ179" s="13"/>
      <c r="AK179" s="11"/>
      <c r="AL179" s="12"/>
      <c r="AM179" s="10"/>
      <c r="AN179" s="12"/>
      <c r="AO179" s="12"/>
      <c r="AP179" s="10"/>
      <c r="AQ179" s="12"/>
      <c r="AR179" s="12"/>
      <c r="AS179" s="10"/>
      <c r="AT179" s="12"/>
      <c r="AU179" s="12"/>
      <c r="AV179" s="10"/>
      <c r="AW179" s="12"/>
      <c r="AX179" s="12"/>
      <c r="AY179" s="10"/>
      <c r="AZ179" s="12"/>
      <c r="BA179" s="12"/>
      <c r="BB179" s="10"/>
      <c r="BC179" s="12"/>
      <c r="BD179" s="12"/>
      <c r="BE179" s="10"/>
      <c r="BF179" s="12"/>
      <c r="BG179" s="12"/>
      <c r="BH179" s="10"/>
      <c r="BI179" s="12"/>
      <c r="BK179" s="16"/>
      <c r="BL179" s="16"/>
      <c r="BM179" s="16"/>
      <c r="BN179" s="16"/>
      <c r="BO179" s="16"/>
      <c r="BP179" s="16"/>
      <c r="BQ179" s="16"/>
      <c r="BR179" s="16"/>
      <c r="BS179" s="14"/>
      <c r="BT179" s="15"/>
      <c r="BU179" s="23"/>
      <c r="BV179" s="21"/>
      <c r="BW179" s="21"/>
      <c r="BX179" s="16"/>
      <c r="BY179" s="22"/>
      <c r="BZ179" s="16"/>
      <c r="CA179" s="8"/>
      <c r="CB179" s="10"/>
      <c r="CD179" s="10"/>
      <c r="CF179" s="10"/>
      <c r="CH179" s="10"/>
      <c r="CJ179" s="10"/>
      <c r="CL179" s="10"/>
      <c r="CN179" s="10"/>
      <c r="CP179" s="10"/>
      <c r="CR179" s="10"/>
      <c r="CT179" s="10"/>
      <c r="CV179" s="10"/>
      <c r="CX179" s="10"/>
      <c r="CZ179" s="10"/>
      <c r="DB179" s="10"/>
      <c r="DD179" s="10"/>
      <c r="DF179" s="10"/>
      <c r="DH179" s="10"/>
      <c r="DJ179" s="10"/>
      <c r="DL179" s="10"/>
    </row>
    <row r="180" spans="1:116" x14ac:dyDescent="0.2">
      <c r="A180" s="5"/>
      <c r="B180" s="6"/>
      <c r="C180" s="6"/>
      <c r="D180" s="27"/>
      <c r="E180" s="6"/>
      <c r="F180" s="8"/>
      <c r="G180" s="8"/>
      <c r="I180" s="10"/>
      <c r="J180" s="11"/>
      <c r="K180" s="12"/>
      <c r="L180" s="10"/>
      <c r="M180" s="11"/>
      <c r="N180" s="12"/>
      <c r="O180" s="10"/>
      <c r="P180" s="11"/>
      <c r="Q180" s="12"/>
      <c r="R180" s="13"/>
      <c r="S180" s="11"/>
      <c r="T180" s="12"/>
      <c r="U180" s="10"/>
      <c r="V180" s="12"/>
      <c r="W180" s="12"/>
      <c r="X180" s="10"/>
      <c r="Y180" s="12"/>
      <c r="Z180" s="12"/>
      <c r="AA180" s="10"/>
      <c r="AB180" s="12"/>
      <c r="AC180" s="12"/>
      <c r="AD180" s="10"/>
      <c r="AE180" s="12"/>
      <c r="AF180" s="12"/>
      <c r="AG180" s="10"/>
      <c r="AH180" s="12"/>
      <c r="AI180" s="12"/>
      <c r="AJ180" s="13"/>
      <c r="AK180" s="11"/>
      <c r="AL180" s="12"/>
      <c r="AM180" s="10"/>
      <c r="AN180" s="12"/>
      <c r="AO180" s="12"/>
      <c r="AP180" s="10"/>
      <c r="AQ180" s="12"/>
      <c r="AR180" s="12"/>
      <c r="AS180" s="10"/>
      <c r="AT180" s="12"/>
      <c r="AU180" s="12"/>
      <c r="AV180" s="10"/>
      <c r="AW180" s="12"/>
      <c r="AX180" s="12"/>
      <c r="AY180" s="10"/>
      <c r="AZ180" s="12"/>
      <c r="BA180" s="12"/>
      <c r="BB180" s="10"/>
      <c r="BC180" s="12"/>
      <c r="BD180" s="12"/>
      <c r="BE180" s="10"/>
      <c r="BF180" s="12"/>
      <c r="BG180" s="12"/>
      <c r="BH180" s="10"/>
      <c r="BI180" s="12"/>
      <c r="BK180" s="16"/>
      <c r="BL180" s="16"/>
      <c r="BM180" s="16"/>
      <c r="BN180" s="16"/>
      <c r="BO180" s="16"/>
      <c r="BP180" s="16"/>
      <c r="BQ180" s="16"/>
      <c r="BR180" s="16"/>
      <c r="BS180" s="14"/>
      <c r="BT180" s="15"/>
      <c r="BU180" s="23"/>
      <c r="BV180" s="21"/>
      <c r="BW180" s="21"/>
      <c r="BX180" s="16"/>
      <c r="BY180" s="22"/>
      <c r="BZ180" s="16"/>
      <c r="CA180" s="8"/>
      <c r="CB180" s="10"/>
      <c r="CD180" s="10"/>
      <c r="CF180" s="10"/>
      <c r="CH180" s="10"/>
      <c r="CJ180" s="10"/>
      <c r="CL180" s="10"/>
      <c r="CN180" s="10"/>
      <c r="CP180" s="10"/>
      <c r="CR180" s="10"/>
      <c r="CT180" s="10"/>
      <c r="CV180" s="10"/>
      <c r="CX180" s="10"/>
      <c r="CZ180" s="10"/>
      <c r="DB180" s="10"/>
      <c r="DD180" s="10"/>
      <c r="DF180" s="10"/>
      <c r="DH180" s="10"/>
      <c r="DJ180" s="10"/>
      <c r="DL180" s="10"/>
    </row>
    <row r="181" spans="1:116" x14ac:dyDescent="0.2">
      <c r="A181" s="5"/>
      <c r="B181" s="6"/>
      <c r="C181" s="6"/>
      <c r="D181" s="27"/>
      <c r="E181" s="6"/>
      <c r="F181" s="8"/>
      <c r="G181" s="8"/>
      <c r="I181" s="10"/>
      <c r="J181" s="11"/>
      <c r="K181" s="12"/>
      <c r="L181" s="10"/>
      <c r="M181" s="11"/>
      <c r="N181" s="12"/>
      <c r="O181" s="10"/>
      <c r="P181" s="11"/>
      <c r="Q181" s="12"/>
      <c r="R181" s="13"/>
      <c r="S181" s="11"/>
      <c r="T181" s="12"/>
      <c r="U181" s="10"/>
      <c r="V181" s="12"/>
      <c r="W181" s="12"/>
      <c r="X181" s="10"/>
      <c r="Y181" s="12"/>
      <c r="Z181" s="12"/>
      <c r="AA181" s="10"/>
      <c r="AB181" s="12"/>
      <c r="AC181" s="12"/>
      <c r="AD181" s="10"/>
      <c r="AE181" s="12"/>
      <c r="AF181" s="12"/>
      <c r="AG181" s="10"/>
      <c r="AH181" s="12"/>
      <c r="AI181" s="12"/>
      <c r="AJ181" s="13"/>
      <c r="AK181" s="11"/>
      <c r="AL181" s="12"/>
      <c r="AM181" s="10"/>
      <c r="AN181" s="12"/>
      <c r="AO181" s="12"/>
      <c r="AP181" s="10"/>
      <c r="AQ181" s="12"/>
      <c r="AR181" s="12"/>
      <c r="AS181" s="10"/>
      <c r="AT181" s="12"/>
      <c r="AU181" s="12"/>
      <c r="AV181" s="10"/>
      <c r="AW181" s="12"/>
      <c r="AX181" s="12"/>
      <c r="AY181" s="10"/>
      <c r="AZ181" s="12"/>
      <c r="BA181" s="12"/>
      <c r="BB181" s="10"/>
      <c r="BC181" s="12"/>
      <c r="BD181" s="12"/>
      <c r="BE181" s="10"/>
      <c r="BF181" s="12"/>
      <c r="BG181" s="12"/>
      <c r="BH181" s="10"/>
      <c r="BI181" s="12"/>
      <c r="BK181" s="16"/>
      <c r="BL181" s="16"/>
      <c r="BM181" s="16"/>
      <c r="BN181" s="16"/>
      <c r="BO181" s="16"/>
      <c r="BP181" s="16"/>
      <c r="BQ181" s="16"/>
      <c r="BR181" s="16"/>
      <c r="BS181" s="14"/>
      <c r="BT181" s="15"/>
      <c r="BU181" s="23"/>
      <c r="BV181" s="21"/>
      <c r="BW181" s="21"/>
      <c r="BX181" s="16"/>
      <c r="BY181" s="22"/>
      <c r="BZ181" s="16"/>
      <c r="CA181" s="8"/>
      <c r="CB181" s="10"/>
      <c r="CD181" s="10"/>
      <c r="CF181" s="10"/>
      <c r="CH181" s="10"/>
      <c r="CJ181" s="10"/>
      <c r="CL181" s="10"/>
      <c r="CN181" s="10"/>
      <c r="CP181" s="10"/>
      <c r="CR181" s="10"/>
      <c r="CT181" s="10"/>
      <c r="CV181" s="10"/>
      <c r="CX181" s="10"/>
      <c r="CZ181" s="10"/>
      <c r="DB181" s="10"/>
      <c r="DD181" s="10"/>
      <c r="DF181" s="10"/>
      <c r="DH181" s="10"/>
      <c r="DJ181" s="10"/>
      <c r="DL181" s="10"/>
    </row>
    <row r="182" spans="1:116" x14ac:dyDescent="0.2">
      <c r="A182" s="5"/>
      <c r="B182" s="6"/>
      <c r="C182" s="6"/>
      <c r="D182" s="27"/>
      <c r="E182" s="6"/>
      <c r="F182" s="8"/>
      <c r="G182" s="8"/>
      <c r="I182" s="10"/>
      <c r="J182" s="11"/>
      <c r="K182" s="12"/>
      <c r="L182" s="10"/>
      <c r="M182" s="11"/>
      <c r="N182" s="12"/>
      <c r="O182" s="10"/>
      <c r="P182" s="11"/>
      <c r="Q182" s="12"/>
      <c r="R182" s="13"/>
      <c r="S182" s="11"/>
      <c r="T182" s="12"/>
      <c r="U182" s="10"/>
      <c r="V182" s="12"/>
      <c r="W182" s="12"/>
      <c r="X182" s="10"/>
      <c r="Y182" s="12"/>
      <c r="Z182" s="12"/>
      <c r="AA182" s="10"/>
      <c r="AB182" s="12"/>
      <c r="AC182" s="12"/>
      <c r="AD182" s="10"/>
      <c r="AE182" s="12"/>
      <c r="AF182" s="12"/>
      <c r="AG182" s="10"/>
      <c r="AH182" s="12"/>
      <c r="AI182" s="12"/>
      <c r="AJ182" s="13"/>
      <c r="AK182" s="11"/>
      <c r="AL182" s="12"/>
      <c r="AM182" s="10"/>
      <c r="AN182" s="12"/>
      <c r="AO182" s="12"/>
      <c r="AP182" s="10"/>
      <c r="AQ182" s="12"/>
      <c r="AR182" s="12"/>
      <c r="AS182" s="10"/>
      <c r="AT182" s="12"/>
      <c r="AU182" s="12"/>
      <c r="AV182" s="10"/>
      <c r="AW182" s="12"/>
      <c r="AX182" s="12"/>
      <c r="AY182" s="10"/>
      <c r="AZ182" s="12"/>
      <c r="BA182" s="12"/>
      <c r="BB182" s="10"/>
      <c r="BC182" s="12"/>
      <c r="BD182" s="12"/>
      <c r="BE182" s="10"/>
      <c r="BF182" s="12"/>
      <c r="BG182" s="12"/>
      <c r="BH182" s="10"/>
      <c r="BI182" s="12"/>
      <c r="BK182" s="16"/>
      <c r="BL182" s="16"/>
      <c r="BM182" s="16"/>
      <c r="BN182" s="16"/>
      <c r="BO182" s="16"/>
      <c r="BP182" s="16"/>
      <c r="BQ182" s="16"/>
      <c r="BR182" s="16"/>
      <c r="BS182" s="14"/>
      <c r="BT182" s="15"/>
      <c r="BU182" s="23"/>
      <c r="BV182" s="21"/>
      <c r="BW182" s="21"/>
      <c r="BX182" s="16"/>
      <c r="BY182" s="22"/>
      <c r="BZ182" s="16"/>
      <c r="CA182" s="8"/>
      <c r="CB182" s="10"/>
      <c r="CD182" s="10"/>
      <c r="CF182" s="10"/>
      <c r="CH182" s="10"/>
      <c r="CJ182" s="10"/>
      <c r="CL182" s="10"/>
      <c r="CN182" s="10"/>
      <c r="CP182" s="10"/>
      <c r="CR182" s="10"/>
      <c r="CT182" s="10"/>
      <c r="CV182" s="10"/>
      <c r="CX182" s="10"/>
      <c r="CZ182" s="10"/>
      <c r="DB182" s="10"/>
      <c r="DD182" s="10"/>
      <c r="DF182" s="10"/>
      <c r="DH182" s="10"/>
      <c r="DJ182" s="10"/>
      <c r="DL182" s="10"/>
    </row>
    <row r="183" spans="1:116" x14ac:dyDescent="0.2">
      <c r="A183" s="5"/>
      <c r="B183" s="6"/>
      <c r="C183" s="6"/>
      <c r="D183" s="27"/>
      <c r="E183" s="6"/>
      <c r="F183" s="8"/>
      <c r="G183" s="8"/>
      <c r="I183" s="10"/>
      <c r="J183" s="11"/>
      <c r="K183" s="12"/>
      <c r="L183" s="10"/>
      <c r="M183" s="11"/>
      <c r="N183" s="12"/>
      <c r="O183" s="10"/>
      <c r="P183" s="11"/>
      <c r="Q183" s="12"/>
      <c r="R183" s="13"/>
      <c r="S183" s="11"/>
      <c r="T183" s="12"/>
      <c r="U183" s="10"/>
      <c r="V183" s="12"/>
      <c r="W183" s="12"/>
      <c r="X183" s="10"/>
      <c r="Y183" s="12"/>
      <c r="Z183" s="12"/>
      <c r="AA183" s="10"/>
      <c r="AB183" s="12"/>
      <c r="AC183" s="12"/>
      <c r="AD183" s="10"/>
      <c r="AE183" s="12"/>
      <c r="AF183" s="12"/>
      <c r="AG183" s="10"/>
      <c r="AH183" s="12"/>
      <c r="AI183" s="12"/>
      <c r="AJ183" s="13"/>
      <c r="AK183" s="11"/>
      <c r="AL183" s="12"/>
      <c r="AM183" s="10"/>
      <c r="AN183" s="12"/>
      <c r="AO183" s="12"/>
      <c r="AP183" s="10"/>
      <c r="AQ183" s="12"/>
      <c r="AR183" s="12"/>
      <c r="AS183" s="10"/>
      <c r="AT183" s="12"/>
      <c r="AU183" s="12"/>
      <c r="AV183" s="10"/>
      <c r="AW183" s="12"/>
      <c r="AX183" s="12"/>
      <c r="AY183" s="10"/>
      <c r="AZ183" s="12"/>
      <c r="BA183" s="12"/>
      <c r="BB183" s="10"/>
      <c r="BC183" s="12"/>
      <c r="BD183" s="12"/>
      <c r="BE183" s="10"/>
      <c r="BF183" s="12"/>
      <c r="BG183" s="12"/>
      <c r="BH183" s="10"/>
      <c r="BI183" s="12"/>
      <c r="BK183" s="16"/>
      <c r="BL183" s="16"/>
      <c r="BM183" s="16"/>
      <c r="BN183" s="16"/>
      <c r="BO183" s="16"/>
      <c r="BP183" s="16"/>
      <c r="BQ183" s="16"/>
      <c r="BR183" s="16"/>
      <c r="BS183" s="14"/>
      <c r="BT183" s="15"/>
      <c r="BU183" s="23"/>
      <c r="BV183" s="21"/>
      <c r="BW183" s="21"/>
      <c r="BX183" s="16"/>
      <c r="BY183" s="22"/>
      <c r="BZ183" s="16"/>
      <c r="CA183" s="8"/>
      <c r="CB183" s="10"/>
      <c r="CD183" s="10"/>
      <c r="CF183" s="10"/>
      <c r="CH183" s="10"/>
      <c r="CJ183" s="10"/>
      <c r="CL183" s="10"/>
      <c r="CN183" s="10"/>
      <c r="CP183" s="10"/>
      <c r="CR183" s="10"/>
      <c r="CT183" s="10"/>
      <c r="CV183" s="10"/>
      <c r="CX183" s="10"/>
      <c r="CZ183" s="10"/>
      <c r="DB183" s="10"/>
      <c r="DD183" s="10"/>
      <c r="DF183" s="10"/>
      <c r="DH183" s="10"/>
      <c r="DJ183" s="10"/>
      <c r="DL183" s="10"/>
    </row>
    <row r="184" spans="1:116" x14ac:dyDescent="0.2">
      <c r="A184" s="5"/>
      <c r="B184" s="6"/>
      <c r="C184" s="6"/>
      <c r="D184" s="27"/>
      <c r="E184" s="6"/>
      <c r="F184" s="8"/>
      <c r="G184" s="8"/>
      <c r="I184" s="10"/>
      <c r="J184" s="11"/>
      <c r="K184" s="12"/>
      <c r="L184" s="10"/>
      <c r="M184" s="11"/>
      <c r="N184" s="12"/>
      <c r="O184" s="10"/>
      <c r="P184" s="11"/>
      <c r="Q184" s="12"/>
      <c r="R184" s="13"/>
      <c r="S184" s="11"/>
      <c r="T184" s="12"/>
      <c r="U184" s="10"/>
      <c r="V184" s="12"/>
      <c r="W184" s="12"/>
      <c r="X184" s="10"/>
      <c r="Y184" s="12"/>
      <c r="Z184" s="12"/>
      <c r="AA184" s="10"/>
      <c r="AB184" s="12"/>
      <c r="AC184" s="12"/>
      <c r="AD184" s="10"/>
      <c r="AE184" s="12"/>
      <c r="AF184" s="12"/>
      <c r="AG184" s="10"/>
      <c r="AH184" s="12"/>
      <c r="AI184" s="12"/>
      <c r="AJ184" s="13"/>
      <c r="AK184" s="11"/>
      <c r="AL184" s="12"/>
      <c r="AM184" s="10"/>
      <c r="AN184" s="12"/>
      <c r="AO184" s="12"/>
      <c r="AP184" s="10"/>
      <c r="AQ184" s="12"/>
      <c r="AR184" s="12"/>
      <c r="AS184" s="10"/>
      <c r="AT184" s="12"/>
      <c r="AU184" s="12"/>
      <c r="AV184" s="10"/>
      <c r="AW184" s="12"/>
      <c r="AX184" s="12"/>
      <c r="AY184" s="10"/>
      <c r="AZ184" s="12"/>
      <c r="BA184" s="12"/>
      <c r="BB184" s="10"/>
      <c r="BC184" s="12"/>
      <c r="BD184" s="12"/>
      <c r="BE184" s="10"/>
      <c r="BF184" s="12"/>
      <c r="BG184" s="12"/>
      <c r="BH184" s="10"/>
      <c r="BI184" s="12"/>
      <c r="BK184" s="16"/>
      <c r="BL184" s="16"/>
      <c r="BM184" s="16"/>
      <c r="BN184" s="16"/>
      <c r="BO184" s="16"/>
      <c r="BP184" s="16"/>
      <c r="BQ184" s="16"/>
      <c r="BR184" s="16"/>
      <c r="BS184" s="14"/>
      <c r="BT184" s="15"/>
      <c r="BU184" s="23"/>
      <c r="BV184" s="21"/>
      <c r="BW184" s="21"/>
      <c r="BX184" s="16"/>
      <c r="BY184" s="22"/>
      <c r="BZ184" s="16"/>
      <c r="CA184" s="8"/>
      <c r="CB184" s="10"/>
      <c r="CD184" s="10"/>
      <c r="CF184" s="10"/>
      <c r="CH184" s="10"/>
      <c r="CJ184" s="10"/>
      <c r="CL184" s="10"/>
      <c r="CN184" s="10"/>
      <c r="CP184" s="10"/>
      <c r="CR184" s="10"/>
      <c r="CT184" s="10"/>
      <c r="CV184" s="10"/>
      <c r="CX184" s="10"/>
      <c r="CZ184" s="10"/>
      <c r="DB184" s="10"/>
      <c r="DD184" s="10"/>
      <c r="DF184" s="10"/>
      <c r="DH184" s="10"/>
      <c r="DJ184" s="10"/>
      <c r="DL184" s="10"/>
    </row>
    <row r="185" spans="1:116" x14ac:dyDescent="0.2">
      <c r="A185" s="5"/>
      <c r="B185" s="6"/>
      <c r="C185" s="6"/>
      <c r="D185" s="27"/>
      <c r="E185" s="6"/>
      <c r="F185" s="8"/>
      <c r="G185" s="8"/>
      <c r="I185" s="10"/>
      <c r="J185" s="11"/>
      <c r="K185" s="12"/>
      <c r="L185" s="10"/>
      <c r="M185" s="11"/>
      <c r="N185" s="12"/>
      <c r="O185" s="10"/>
      <c r="P185" s="11"/>
      <c r="Q185" s="12"/>
      <c r="R185" s="13"/>
      <c r="S185" s="11"/>
      <c r="T185" s="12"/>
      <c r="U185" s="10"/>
      <c r="V185" s="12"/>
      <c r="W185" s="12"/>
      <c r="X185" s="10"/>
      <c r="Y185" s="12"/>
      <c r="Z185" s="12"/>
      <c r="AA185" s="10"/>
      <c r="AB185" s="12"/>
      <c r="AC185" s="12"/>
      <c r="AD185" s="10"/>
      <c r="AE185" s="12"/>
      <c r="AF185" s="12"/>
      <c r="AG185" s="10"/>
      <c r="AH185" s="12"/>
      <c r="AI185" s="12"/>
      <c r="AJ185" s="13"/>
      <c r="AK185" s="11"/>
      <c r="AL185" s="12"/>
      <c r="AM185" s="10"/>
      <c r="AN185" s="12"/>
      <c r="AO185" s="12"/>
      <c r="AP185" s="10"/>
      <c r="AQ185" s="12"/>
      <c r="AR185" s="12"/>
      <c r="AS185" s="10"/>
      <c r="AT185" s="12"/>
      <c r="AU185" s="12"/>
      <c r="AV185" s="10"/>
      <c r="AW185" s="12"/>
      <c r="AX185" s="12"/>
      <c r="AY185" s="10"/>
      <c r="AZ185" s="12"/>
      <c r="BA185" s="12"/>
      <c r="BB185" s="10"/>
      <c r="BC185" s="12"/>
      <c r="BD185" s="12"/>
      <c r="BE185" s="10"/>
      <c r="BF185" s="12"/>
      <c r="BG185" s="12"/>
      <c r="BH185" s="10"/>
      <c r="BI185" s="12"/>
      <c r="BK185" s="16"/>
      <c r="BL185" s="16"/>
      <c r="BM185" s="16"/>
      <c r="BN185" s="16"/>
      <c r="BO185" s="16"/>
      <c r="BP185" s="16"/>
      <c r="BQ185" s="16"/>
      <c r="BR185" s="16"/>
      <c r="BS185" s="14"/>
      <c r="BT185" s="15"/>
      <c r="BU185" s="23"/>
      <c r="BV185" s="21"/>
      <c r="BW185" s="21"/>
      <c r="BX185" s="16"/>
      <c r="BY185" s="22"/>
      <c r="BZ185" s="16"/>
      <c r="CA185" s="8"/>
      <c r="CB185" s="10"/>
      <c r="CD185" s="10"/>
      <c r="CF185" s="10"/>
      <c r="CH185" s="10"/>
      <c r="CJ185" s="10"/>
      <c r="CL185" s="10"/>
      <c r="CN185" s="10"/>
      <c r="CP185" s="10"/>
      <c r="CR185" s="10"/>
      <c r="CT185" s="10"/>
      <c r="CV185" s="10"/>
      <c r="CX185" s="10"/>
      <c r="CZ185" s="10"/>
      <c r="DB185" s="10"/>
      <c r="DD185" s="10"/>
      <c r="DF185" s="10"/>
      <c r="DH185" s="10"/>
      <c r="DJ185" s="10"/>
      <c r="DL185" s="10"/>
    </row>
    <row r="186" spans="1:116" x14ac:dyDescent="0.2">
      <c r="A186" s="5"/>
      <c r="B186" s="6"/>
      <c r="C186" s="6"/>
      <c r="D186" s="27"/>
      <c r="E186" s="6"/>
      <c r="F186" s="8"/>
      <c r="G186" s="8"/>
      <c r="I186" s="10"/>
      <c r="J186" s="11"/>
      <c r="K186" s="12"/>
      <c r="L186" s="10"/>
      <c r="M186" s="11"/>
      <c r="N186" s="12"/>
      <c r="O186" s="10"/>
      <c r="P186" s="11"/>
      <c r="Q186" s="12"/>
      <c r="R186" s="13"/>
      <c r="S186" s="11"/>
      <c r="T186" s="12"/>
      <c r="U186" s="10"/>
      <c r="V186" s="12"/>
      <c r="W186" s="12"/>
      <c r="X186" s="10"/>
      <c r="Y186" s="12"/>
      <c r="Z186" s="12"/>
      <c r="AA186" s="10"/>
      <c r="AB186" s="12"/>
      <c r="AC186" s="12"/>
      <c r="AD186" s="10"/>
      <c r="AE186" s="12"/>
      <c r="AF186" s="12"/>
      <c r="AG186" s="10"/>
      <c r="AH186" s="12"/>
      <c r="AI186" s="12"/>
      <c r="AJ186" s="13"/>
      <c r="AK186" s="11"/>
      <c r="AL186" s="12"/>
      <c r="AM186" s="10"/>
      <c r="AN186" s="12"/>
      <c r="AO186" s="12"/>
      <c r="AP186" s="10"/>
      <c r="AQ186" s="12"/>
      <c r="AR186" s="12"/>
      <c r="AS186" s="10"/>
      <c r="AT186" s="12"/>
      <c r="AU186" s="12"/>
      <c r="AV186" s="10"/>
      <c r="AW186" s="12"/>
      <c r="AX186" s="12"/>
      <c r="AY186" s="10"/>
      <c r="AZ186" s="12"/>
      <c r="BA186" s="12"/>
      <c r="BB186" s="10"/>
      <c r="BC186" s="12"/>
      <c r="BD186" s="12"/>
      <c r="BE186" s="10"/>
      <c r="BF186" s="12"/>
      <c r="BG186" s="12"/>
      <c r="BH186" s="10"/>
      <c r="BI186" s="12"/>
      <c r="BK186" s="16"/>
      <c r="BL186" s="16"/>
      <c r="BM186" s="16"/>
      <c r="BN186" s="16"/>
      <c r="BO186" s="16"/>
      <c r="BP186" s="16"/>
      <c r="BQ186" s="16"/>
      <c r="BR186" s="16"/>
      <c r="BS186" s="14"/>
      <c r="BT186" s="15"/>
      <c r="BU186" s="23"/>
      <c r="BV186" s="21"/>
      <c r="BW186" s="21"/>
      <c r="BX186" s="16"/>
      <c r="BY186" s="22"/>
      <c r="BZ186" s="16"/>
      <c r="CA186" s="8"/>
      <c r="CB186" s="10"/>
      <c r="CD186" s="10"/>
      <c r="CF186" s="10"/>
      <c r="CH186" s="10"/>
      <c r="CJ186" s="10"/>
      <c r="CL186" s="10"/>
      <c r="CN186" s="10"/>
      <c r="CP186" s="10"/>
      <c r="CR186" s="10"/>
      <c r="CT186" s="10"/>
      <c r="CV186" s="10"/>
      <c r="CX186" s="10"/>
      <c r="CZ186" s="10"/>
      <c r="DB186" s="10"/>
      <c r="DD186" s="10"/>
      <c r="DF186" s="10"/>
      <c r="DH186" s="10"/>
      <c r="DJ186" s="10"/>
      <c r="DL186" s="10"/>
    </row>
    <row r="187" spans="1:116" x14ac:dyDescent="0.2">
      <c r="A187" s="5"/>
      <c r="B187" s="6"/>
      <c r="C187" s="6"/>
      <c r="D187" s="27"/>
      <c r="E187" s="6"/>
      <c r="F187" s="8"/>
      <c r="G187" s="8"/>
      <c r="I187" s="10"/>
      <c r="J187" s="11"/>
      <c r="K187" s="12"/>
      <c r="L187" s="10"/>
      <c r="M187" s="11"/>
      <c r="N187" s="12"/>
      <c r="O187" s="10"/>
      <c r="P187" s="11"/>
      <c r="Q187" s="12"/>
      <c r="R187" s="13"/>
      <c r="S187" s="11"/>
      <c r="T187" s="12"/>
      <c r="U187" s="10"/>
      <c r="V187" s="12"/>
      <c r="W187" s="12"/>
      <c r="X187" s="10"/>
      <c r="Y187" s="12"/>
      <c r="Z187" s="12"/>
      <c r="AA187" s="10"/>
      <c r="AB187" s="12"/>
      <c r="AC187" s="12"/>
      <c r="AD187" s="10"/>
      <c r="AE187" s="12"/>
      <c r="AF187" s="12"/>
      <c r="AG187" s="10"/>
      <c r="AH187" s="12"/>
      <c r="AI187" s="12"/>
      <c r="AJ187" s="13"/>
      <c r="AK187" s="11"/>
      <c r="AL187" s="12"/>
      <c r="AM187" s="10"/>
      <c r="AN187" s="12"/>
      <c r="AO187" s="12"/>
      <c r="AP187" s="10"/>
      <c r="AQ187" s="12"/>
      <c r="AR187" s="12"/>
      <c r="AS187" s="10"/>
      <c r="AT187" s="12"/>
      <c r="AU187" s="12"/>
      <c r="AV187" s="10"/>
      <c r="AW187" s="12"/>
      <c r="AX187" s="12"/>
      <c r="AY187" s="10"/>
      <c r="AZ187" s="12"/>
      <c r="BA187" s="12"/>
      <c r="BB187" s="10"/>
      <c r="BC187" s="12"/>
      <c r="BD187" s="12"/>
      <c r="BE187" s="10"/>
      <c r="BF187" s="12"/>
      <c r="BG187" s="12"/>
      <c r="BH187" s="10"/>
      <c r="BI187" s="12"/>
      <c r="BK187" s="16"/>
      <c r="BL187" s="16"/>
      <c r="BM187" s="16"/>
      <c r="BN187" s="16"/>
      <c r="BO187" s="16"/>
      <c r="BP187" s="16"/>
      <c r="BQ187" s="16"/>
      <c r="BR187" s="16"/>
      <c r="BS187" s="14"/>
      <c r="BT187" s="15"/>
      <c r="BU187" s="23"/>
      <c r="BV187" s="21"/>
      <c r="BW187" s="21"/>
      <c r="BX187" s="16"/>
      <c r="BY187" s="22"/>
      <c r="BZ187" s="16"/>
      <c r="CA187" s="8"/>
      <c r="CB187" s="10"/>
      <c r="CD187" s="10"/>
      <c r="CF187" s="10"/>
      <c r="CH187" s="10"/>
      <c r="CJ187" s="10"/>
      <c r="CL187" s="10"/>
      <c r="CN187" s="10"/>
      <c r="CP187" s="10"/>
      <c r="CR187" s="10"/>
      <c r="CT187" s="10"/>
      <c r="CV187" s="10"/>
      <c r="CX187" s="10"/>
      <c r="CZ187" s="10"/>
      <c r="DB187" s="10"/>
      <c r="DD187" s="10"/>
      <c r="DF187" s="10"/>
      <c r="DH187" s="10"/>
      <c r="DJ187" s="10"/>
      <c r="DL187" s="10"/>
    </row>
    <row r="188" spans="1:116" x14ac:dyDescent="0.2">
      <c r="A188" s="5"/>
      <c r="B188" s="6"/>
      <c r="C188" s="6"/>
      <c r="D188" s="27"/>
      <c r="E188" s="6"/>
      <c r="F188" s="8"/>
      <c r="G188" s="8"/>
      <c r="I188" s="10"/>
      <c r="J188" s="11"/>
      <c r="K188" s="12"/>
      <c r="L188" s="10"/>
      <c r="M188" s="11"/>
      <c r="N188" s="12"/>
      <c r="O188" s="10"/>
      <c r="P188" s="11"/>
      <c r="Q188" s="12"/>
      <c r="R188" s="13"/>
      <c r="S188" s="11"/>
      <c r="T188" s="12"/>
      <c r="U188" s="10"/>
      <c r="V188" s="12"/>
      <c r="W188" s="12"/>
      <c r="X188" s="10"/>
      <c r="Y188" s="12"/>
      <c r="Z188" s="12"/>
      <c r="AA188" s="10"/>
      <c r="AB188" s="12"/>
      <c r="AC188" s="12"/>
      <c r="AD188" s="10"/>
      <c r="AE188" s="12"/>
      <c r="AF188" s="12"/>
      <c r="AG188" s="10"/>
      <c r="AH188" s="12"/>
      <c r="AI188" s="12"/>
      <c r="AJ188" s="13"/>
      <c r="AK188" s="11"/>
      <c r="AL188" s="12"/>
      <c r="AM188" s="10"/>
      <c r="AN188" s="12"/>
      <c r="AO188" s="12"/>
      <c r="AP188" s="10"/>
      <c r="AQ188" s="12"/>
      <c r="AR188" s="12"/>
      <c r="AS188" s="10"/>
      <c r="AT188" s="12"/>
      <c r="AU188" s="12"/>
      <c r="AV188" s="10"/>
      <c r="AW188" s="12"/>
      <c r="AX188" s="12"/>
      <c r="AY188" s="10"/>
      <c r="AZ188" s="12"/>
      <c r="BA188" s="12"/>
      <c r="BB188" s="10"/>
      <c r="BC188" s="12"/>
      <c r="BD188" s="12"/>
      <c r="BE188" s="10"/>
      <c r="BF188" s="12"/>
      <c r="BG188" s="12"/>
      <c r="BH188" s="10"/>
      <c r="BI188" s="12"/>
      <c r="BK188" s="16"/>
      <c r="BL188" s="16"/>
      <c r="BM188" s="16"/>
      <c r="BN188" s="16"/>
      <c r="BO188" s="16"/>
      <c r="BP188" s="16"/>
      <c r="BQ188" s="16"/>
      <c r="BR188" s="16"/>
      <c r="BS188" s="14"/>
      <c r="BT188" s="15"/>
      <c r="BU188" s="23"/>
      <c r="BV188" s="21"/>
      <c r="BW188" s="21"/>
      <c r="BX188" s="16"/>
      <c r="BY188" s="22"/>
      <c r="BZ188" s="16"/>
      <c r="CA188" s="8"/>
      <c r="CB188" s="10"/>
      <c r="CD188" s="10"/>
      <c r="CF188" s="10"/>
      <c r="CH188" s="10"/>
      <c r="CJ188" s="10"/>
      <c r="CL188" s="10"/>
      <c r="CN188" s="10"/>
      <c r="CP188" s="10"/>
      <c r="CR188" s="10"/>
      <c r="CT188" s="10"/>
      <c r="CV188" s="10"/>
      <c r="CX188" s="10"/>
      <c r="CZ188" s="10"/>
      <c r="DB188" s="10"/>
      <c r="DD188" s="10"/>
      <c r="DF188" s="10"/>
      <c r="DH188" s="10"/>
      <c r="DJ188" s="10"/>
      <c r="DL188" s="10"/>
    </row>
    <row r="189" spans="1:116" x14ac:dyDescent="0.2">
      <c r="A189" s="5"/>
      <c r="B189" s="6"/>
      <c r="C189" s="6"/>
      <c r="D189" s="27"/>
      <c r="E189" s="6"/>
      <c r="F189" s="8"/>
      <c r="G189" s="8"/>
      <c r="I189" s="10"/>
      <c r="J189" s="11"/>
      <c r="K189" s="12"/>
      <c r="L189" s="10"/>
      <c r="M189" s="11"/>
      <c r="N189" s="12"/>
      <c r="O189" s="10"/>
      <c r="P189" s="11"/>
      <c r="Q189" s="12"/>
      <c r="R189" s="13"/>
      <c r="S189" s="11"/>
      <c r="T189" s="12"/>
      <c r="U189" s="10"/>
      <c r="V189" s="12"/>
      <c r="W189" s="12"/>
      <c r="X189" s="10"/>
      <c r="Y189" s="12"/>
      <c r="Z189" s="12"/>
      <c r="AA189" s="10"/>
      <c r="AB189" s="12"/>
      <c r="AC189" s="12"/>
      <c r="AD189" s="10"/>
      <c r="AE189" s="12"/>
      <c r="AF189" s="12"/>
      <c r="AG189" s="10"/>
      <c r="AH189" s="12"/>
      <c r="AI189" s="12"/>
      <c r="AJ189" s="13"/>
      <c r="AK189" s="11"/>
      <c r="AL189" s="12"/>
      <c r="AM189" s="10"/>
      <c r="AN189" s="12"/>
      <c r="AO189" s="12"/>
      <c r="AP189" s="10"/>
      <c r="AQ189" s="12"/>
      <c r="AR189" s="12"/>
      <c r="AS189" s="10"/>
      <c r="AT189" s="12"/>
      <c r="AU189" s="12"/>
      <c r="AV189" s="10"/>
      <c r="AW189" s="12"/>
      <c r="AX189" s="12"/>
      <c r="AY189" s="10"/>
      <c r="AZ189" s="12"/>
      <c r="BA189" s="12"/>
      <c r="BB189" s="10"/>
      <c r="BC189" s="12"/>
      <c r="BD189" s="12"/>
      <c r="BE189" s="10"/>
      <c r="BF189" s="12"/>
      <c r="BG189" s="12"/>
      <c r="BH189" s="10"/>
      <c r="BI189" s="12"/>
      <c r="BK189" s="16"/>
      <c r="BL189" s="16"/>
      <c r="BM189" s="16"/>
      <c r="BN189" s="16"/>
      <c r="BO189" s="16"/>
      <c r="BP189" s="16"/>
      <c r="BQ189" s="16"/>
      <c r="BR189" s="16"/>
      <c r="BS189" s="14"/>
      <c r="BT189" s="15"/>
      <c r="BU189" s="23"/>
      <c r="BV189" s="21"/>
      <c r="BW189" s="21"/>
      <c r="BX189" s="16"/>
      <c r="BY189" s="22"/>
      <c r="BZ189" s="16"/>
      <c r="CA189" s="8"/>
      <c r="CB189" s="10"/>
      <c r="CD189" s="10"/>
      <c r="CF189" s="10"/>
      <c r="CH189" s="10"/>
      <c r="CJ189" s="10"/>
      <c r="CL189" s="10"/>
      <c r="CN189" s="10"/>
      <c r="CP189" s="10"/>
      <c r="CR189" s="10"/>
      <c r="CT189" s="10"/>
      <c r="CV189" s="10"/>
      <c r="CX189" s="10"/>
      <c r="CZ189" s="10"/>
      <c r="DB189" s="10"/>
      <c r="DD189" s="10"/>
      <c r="DF189" s="10"/>
      <c r="DH189" s="10"/>
      <c r="DJ189" s="10"/>
      <c r="DL189" s="10"/>
    </row>
    <row r="190" spans="1:116" x14ac:dyDescent="0.2">
      <c r="A190" s="5"/>
      <c r="B190" s="6"/>
      <c r="C190" s="6"/>
      <c r="D190" s="27"/>
      <c r="E190" s="6"/>
      <c r="F190" s="8"/>
      <c r="G190" s="8"/>
      <c r="I190" s="10"/>
      <c r="J190" s="11"/>
      <c r="K190" s="12"/>
      <c r="L190" s="10"/>
      <c r="M190" s="11"/>
      <c r="N190" s="12"/>
      <c r="O190" s="10"/>
      <c r="P190" s="11"/>
      <c r="Q190" s="12"/>
      <c r="R190" s="13"/>
      <c r="S190" s="11"/>
      <c r="T190" s="12"/>
      <c r="U190" s="10"/>
      <c r="V190" s="12"/>
      <c r="W190" s="12"/>
      <c r="X190" s="10"/>
      <c r="Y190" s="12"/>
      <c r="Z190" s="12"/>
      <c r="AA190" s="10"/>
      <c r="AB190" s="12"/>
      <c r="AC190" s="12"/>
      <c r="AD190" s="10"/>
      <c r="AE190" s="12"/>
      <c r="AF190" s="12"/>
      <c r="AG190" s="10"/>
      <c r="AH190" s="12"/>
      <c r="AI190" s="12"/>
      <c r="AJ190" s="13"/>
      <c r="AK190" s="11"/>
      <c r="AL190" s="12"/>
      <c r="AM190" s="10"/>
      <c r="AN190" s="12"/>
      <c r="AO190" s="12"/>
      <c r="AP190" s="10"/>
      <c r="AQ190" s="12"/>
      <c r="AR190" s="12"/>
      <c r="AS190" s="10"/>
      <c r="AT190" s="12"/>
      <c r="AU190" s="12"/>
      <c r="AV190" s="10"/>
      <c r="AW190" s="12"/>
      <c r="AX190" s="12"/>
      <c r="AY190" s="10"/>
      <c r="AZ190" s="12"/>
      <c r="BA190" s="12"/>
      <c r="BB190" s="10"/>
      <c r="BC190" s="12"/>
      <c r="BD190" s="12"/>
      <c r="BE190" s="10"/>
      <c r="BF190" s="12"/>
      <c r="BG190" s="12"/>
      <c r="BH190" s="10"/>
      <c r="BI190" s="12"/>
      <c r="BK190" s="16"/>
      <c r="BL190" s="16"/>
      <c r="BM190" s="16"/>
      <c r="BN190" s="16"/>
      <c r="BO190" s="16"/>
      <c r="BP190" s="16"/>
      <c r="BQ190" s="16"/>
      <c r="BR190" s="16"/>
      <c r="BS190" s="14"/>
      <c r="BT190" s="15"/>
      <c r="BU190" s="23"/>
      <c r="BV190" s="21"/>
      <c r="BW190" s="21"/>
      <c r="BX190" s="16"/>
      <c r="BY190" s="22"/>
      <c r="BZ190" s="16"/>
      <c r="CA190" s="8"/>
      <c r="CB190" s="10"/>
      <c r="CD190" s="10"/>
      <c r="CF190" s="10"/>
      <c r="CH190" s="10"/>
      <c r="CJ190" s="10"/>
      <c r="CL190" s="10"/>
      <c r="CN190" s="10"/>
      <c r="CP190" s="10"/>
      <c r="CR190" s="10"/>
      <c r="CT190" s="10"/>
      <c r="CV190" s="10"/>
      <c r="CX190" s="10"/>
      <c r="CZ190" s="10"/>
      <c r="DB190" s="10"/>
      <c r="DD190" s="10"/>
      <c r="DF190" s="10"/>
      <c r="DH190" s="10"/>
      <c r="DJ190" s="10"/>
      <c r="DL190" s="10"/>
    </row>
    <row r="191" spans="1:116" x14ac:dyDescent="0.2">
      <c r="A191" s="5"/>
      <c r="B191" s="6"/>
      <c r="C191" s="6"/>
      <c r="D191" s="27"/>
      <c r="E191" s="6"/>
      <c r="F191" s="8"/>
      <c r="G191" s="8"/>
      <c r="I191" s="10"/>
      <c r="J191" s="11"/>
      <c r="K191" s="12"/>
      <c r="L191" s="10"/>
      <c r="M191" s="11"/>
      <c r="N191" s="12"/>
      <c r="O191" s="10"/>
      <c r="P191" s="11"/>
      <c r="Q191" s="12"/>
      <c r="R191" s="13"/>
      <c r="S191" s="11"/>
      <c r="T191" s="12"/>
      <c r="U191" s="10"/>
      <c r="V191" s="12"/>
      <c r="W191" s="12"/>
      <c r="X191" s="10"/>
      <c r="Y191" s="12"/>
      <c r="Z191" s="12"/>
      <c r="AA191" s="10"/>
      <c r="AB191" s="12"/>
      <c r="AC191" s="12"/>
      <c r="AD191" s="10"/>
      <c r="AE191" s="12"/>
      <c r="AF191" s="12"/>
      <c r="AG191" s="10"/>
      <c r="AH191" s="12"/>
      <c r="AI191" s="12"/>
      <c r="AJ191" s="13"/>
      <c r="AK191" s="11"/>
      <c r="AL191" s="12"/>
      <c r="AM191" s="10"/>
      <c r="AN191" s="12"/>
      <c r="AO191" s="12"/>
      <c r="AP191" s="10"/>
      <c r="AQ191" s="12"/>
      <c r="AR191" s="12"/>
      <c r="AS191" s="10"/>
      <c r="AT191" s="12"/>
      <c r="AU191" s="12"/>
      <c r="AV191" s="10"/>
      <c r="AW191" s="12"/>
      <c r="AX191" s="12"/>
      <c r="AY191" s="10"/>
      <c r="AZ191" s="12"/>
      <c r="BA191" s="12"/>
      <c r="BB191" s="10"/>
      <c r="BC191" s="12"/>
      <c r="BD191" s="12"/>
      <c r="BE191" s="10"/>
      <c r="BF191" s="12"/>
      <c r="BG191" s="12"/>
      <c r="BH191" s="10"/>
      <c r="BI191" s="12"/>
      <c r="BK191" s="16"/>
      <c r="BL191" s="16"/>
      <c r="BM191" s="16"/>
      <c r="BN191" s="16"/>
      <c r="BO191" s="16"/>
      <c r="BP191" s="16"/>
      <c r="BQ191" s="16"/>
      <c r="BR191" s="16"/>
      <c r="BS191" s="14"/>
      <c r="BT191" s="15"/>
      <c r="BU191" s="23"/>
      <c r="BV191" s="21"/>
      <c r="BW191" s="21"/>
      <c r="BX191" s="16"/>
      <c r="BY191" s="22"/>
      <c r="BZ191" s="16"/>
      <c r="CA191" s="8"/>
      <c r="CB191" s="10"/>
      <c r="CD191" s="10"/>
      <c r="CF191" s="10"/>
      <c r="CH191" s="10"/>
      <c r="CJ191" s="10"/>
      <c r="CL191" s="10"/>
      <c r="CN191" s="10"/>
      <c r="CP191" s="10"/>
      <c r="CR191" s="10"/>
      <c r="CT191" s="10"/>
      <c r="CV191" s="10"/>
      <c r="CX191" s="10"/>
      <c r="CZ191" s="10"/>
      <c r="DB191" s="10"/>
      <c r="DD191" s="10"/>
      <c r="DF191" s="10"/>
      <c r="DH191" s="10"/>
      <c r="DJ191" s="10"/>
      <c r="DL191" s="10"/>
    </row>
    <row r="192" spans="1:116" x14ac:dyDescent="0.2">
      <c r="A192" s="5"/>
      <c r="B192" s="6"/>
      <c r="C192" s="6"/>
      <c r="D192" s="27"/>
      <c r="E192" s="6"/>
      <c r="F192" s="8"/>
      <c r="G192" s="8"/>
      <c r="I192" s="10"/>
      <c r="J192" s="11"/>
      <c r="K192" s="12"/>
      <c r="L192" s="10"/>
      <c r="M192" s="11"/>
      <c r="N192" s="12"/>
      <c r="O192" s="10"/>
      <c r="P192" s="11"/>
      <c r="Q192" s="12"/>
      <c r="R192" s="13"/>
      <c r="S192" s="11"/>
      <c r="T192" s="12"/>
      <c r="U192" s="10"/>
      <c r="V192" s="12"/>
      <c r="W192" s="12"/>
      <c r="X192" s="10"/>
      <c r="Y192" s="12"/>
      <c r="Z192" s="12"/>
      <c r="AA192" s="10"/>
      <c r="AB192" s="12"/>
      <c r="AC192" s="12"/>
      <c r="AD192" s="10"/>
      <c r="AE192" s="12"/>
      <c r="AF192" s="12"/>
      <c r="AG192" s="10"/>
      <c r="AH192" s="12"/>
      <c r="AI192" s="12"/>
      <c r="AJ192" s="13"/>
      <c r="AK192" s="11"/>
      <c r="AL192" s="12"/>
      <c r="AM192" s="10"/>
      <c r="AN192" s="12"/>
      <c r="AO192" s="12"/>
      <c r="AP192" s="10"/>
      <c r="AQ192" s="12"/>
      <c r="AR192" s="12"/>
      <c r="AS192" s="10"/>
      <c r="AT192" s="12"/>
      <c r="AU192" s="12"/>
      <c r="AV192" s="10"/>
      <c r="AW192" s="12"/>
      <c r="AX192" s="12"/>
      <c r="AY192" s="10"/>
      <c r="AZ192" s="12"/>
      <c r="BA192" s="12"/>
      <c r="BB192" s="10"/>
      <c r="BC192" s="12"/>
      <c r="BD192" s="12"/>
      <c r="BE192" s="10"/>
      <c r="BF192" s="12"/>
      <c r="BG192" s="12"/>
      <c r="BH192" s="10"/>
      <c r="BI192" s="12"/>
      <c r="BK192" s="16"/>
      <c r="BL192" s="16"/>
      <c r="BM192" s="16"/>
      <c r="BN192" s="16"/>
      <c r="BO192" s="16"/>
      <c r="BP192" s="16"/>
      <c r="BQ192" s="16"/>
      <c r="BR192" s="16"/>
      <c r="BS192" s="14"/>
      <c r="BT192" s="15"/>
      <c r="BU192" s="23"/>
      <c r="BV192" s="21"/>
      <c r="BW192" s="21"/>
      <c r="BX192" s="16"/>
      <c r="BY192" s="22"/>
      <c r="BZ192" s="16"/>
      <c r="CA192" s="8"/>
      <c r="CB192" s="10"/>
      <c r="CD192" s="10"/>
      <c r="CF192" s="10"/>
      <c r="CH192" s="10"/>
      <c r="CJ192" s="10"/>
      <c r="CL192" s="10"/>
      <c r="CN192" s="10"/>
      <c r="CP192" s="10"/>
      <c r="CR192" s="10"/>
      <c r="CT192" s="10"/>
      <c r="CV192" s="10"/>
      <c r="CX192" s="10"/>
      <c r="CZ192" s="10"/>
      <c r="DB192" s="10"/>
      <c r="DD192" s="10"/>
      <c r="DF192" s="10"/>
      <c r="DH192" s="10"/>
      <c r="DJ192" s="10"/>
      <c r="DL192" s="10"/>
    </row>
    <row r="193" spans="1:116" x14ac:dyDescent="0.2">
      <c r="A193" s="5"/>
      <c r="B193" s="6"/>
      <c r="C193" s="6"/>
      <c r="D193" s="27"/>
      <c r="E193" s="6"/>
      <c r="F193" s="8"/>
      <c r="G193" s="8"/>
      <c r="I193" s="10"/>
      <c r="J193" s="11"/>
      <c r="K193" s="12"/>
      <c r="L193" s="10"/>
      <c r="M193" s="11"/>
      <c r="N193" s="12"/>
      <c r="O193" s="10"/>
      <c r="P193" s="11"/>
      <c r="Q193" s="12"/>
      <c r="R193" s="13"/>
      <c r="S193" s="11"/>
      <c r="T193" s="12"/>
      <c r="U193" s="10"/>
      <c r="V193" s="12"/>
      <c r="W193" s="12"/>
      <c r="X193" s="10"/>
      <c r="Y193" s="12"/>
      <c r="Z193" s="12"/>
      <c r="AA193" s="10"/>
      <c r="AB193" s="12"/>
      <c r="AC193" s="12"/>
      <c r="AD193" s="10"/>
      <c r="AE193" s="12"/>
      <c r="AF193" s="12"/>
      <c r="AG193" s="10"/>
      <c r="AH193" s="12"/>
      <c r="AI193" s="12"/>
      <c r="AJ193" s="13"/>
      <c r="AK193" s="11"/>
      <c r="AL193" s="12"/>
      <c r="AM193" s="10"/>
      <c r="AN193" s="12"/>
      <c r="AO193" s="12"/>
      <c r="AP193" s="10"/>
      <c r="AQ193" s="12"/>
      <c r="AR193" s="12"/>
      <c r="AS193" s="10"/>
      <c r="AT193" s="12"/>
      <c r="AU193" s="12"/>
      <c r="AV193" s="10"/>
      <c r="AW193" s="12"/>
      <c r="AX193" s="12"/>
      <c r="AY193" s="10"/>
      <c r="AZ193" s="12"/>
      <c r="BA193" s="12"/>
      <c r="BB193" s="10"/>
      <c r="BC193" s="12"/>
      <c r="BD193" s="12"/>
      <c r="BE193" s="10"/>
      <c r="BF193" s="12"/>
      <c r="BG193" s="12"/>
      <c r="BH193" s="10"/>
      <c r="BI193" s="12"/>
      <c r="BK193" s="16"/>
      <c r="BL193" s="16"/>
      <c r="BM193" s="16"/>
      <c r="BN193" s="16"/>
      <c r="BO193" s="16"/>
      <c r="BP193" s="16"/>
      <c r="BQ193" s="16"/>
      <c r="BR193" s="16"/>
      <c r="BS193" s="14"/>
      <c r="BT193" s="15"/>
      <c r="BU193" s="23"/>
      <c r="BV193" s="21"/>
      <c r="BW193" s="21"/>
      <c r="BX193" s="16"/>
      <c r="BY193" s="22"/>
      <c r="BZ193" s="16"/>
      <c r="CA193" s="8"/>
      <c r="CB193" s="10"/>
      <c r="CD193" s="10"/>
      <c r="CF193" s="10"/>
      <c r="CH193" s="10"/>
      <c r="CJ193" s="10"/>
      <c r="CL193" s="10"/>
      <c r="CN193" s="10"/>
      <c r="CP193" s="10"/>
      <c r="CR193" s="10"/>
      <c r="CT193" s="10"/>
      <c r="CV193" s="10"/>
      <c r="CX193" s="10"/>
      <c r="CZ193" s="10"/>
      <c r="DB193" s="10"/>
      <c r="DD193" s="10"/>
      <c r="DF193" s="10"/>
      <c r="DH193" s="10"/>
      <c r="DJ193" s="10"/>
      <c r="DL193" s="10"/>
    </row>
    <row r="194" spans="1:116" x14ac:dyDescent="0.2">
      <c r="A194" s="5"/>
      <c r="B194" s="6"/>
      <c r="C194" s="6"/>
      <c r="D194" s="27"/>
      <c r="E194" s="6"/>
      <c r="F194" s="8"/>
      <c r="G194" s="8"/>
      <c r="I194" s="10"/>
      <c r="J194" s="11"/>
      <c r="K194" s="12"/>
      <c r="L194" s="10"/>
      <c r="M194" s="11"/>
      <c r="N194" s="12"/>
      <c r="O194" s="10"/>
      <c r="P194" s="11"/>
      <c r="Q194" s="12"/>
      <c r="R194" s="13"/>
      <c r="S194" s="11"/>
      <c r="T194" s="12"/>
      <c r="U194" s="10"/>
      <c r="V194" s="12"/>
      <c r="W194" s="12"/>
      <c r="X194" s="10"/>
      <c r="Y194" s="12"/>
      <c r="Z194" s="12"/>
      <c r="AA194" s="10"/>
      <c r="AB194" s="12"/>
      <c r="AC194" s="12"/>
      <c r="AD194" s="10"/>
      <c r="AE194" s="12"/>
      <c r="AF194" s="12"/>
      <c r="AG194" s="10"/>
      <c r="AH194" s="12"/>
      <c r="AI194" s="12"/>
      <c r="AJ194" s="13"/>
      <c r="AK194" s="11"/>
      <c r="AL194" s="12"/>
      <c r="AM194" s="10"/>
      <c r="AN194" s="12"/>
      <c r="AO194" s="12"/>
      <c r="AP194" s="10"/>
      <c r="AQ194" s="12"/>
      <c r="AR194" s="12"/>
      <c r="AS194" s="10"/>
      <c r="AT194" s="12"/>
      <c r="AU194" s="12"/>
      <c r="AV194" s="10"/>
      <c r="AW194" s="12"/>
      <c r="AX194" s="12"/>
      <c r="AY194" s="10"/>
      <c r="AZ194" s="12"/>
      <c r="BA194" s="12"/>
      <c r="BB194" s="10"/>
      <c r="BC194" s="12"/>
      <c r="BD194" s="12"/>
      <c r="BE194" s="10"/>
      <c r="BF194" s="12"/>
      <c r="BG194" s="12"/>
      <c r="BH194" s="10"/>
      <c r="BI194" s="12"/>
      <c r="BK194" s="16"/>
      <c r="BL194" s="16"/>
      <c r="BM194" s="16"/>
      <c r="BN194" s="16"/>
      <c r="BO194" s="16"/>
      <c r="BP194" s="16"/>
      <c r="BQ194" s="16"/>
      <c r="BR194" s="16"/>
      <c r="BS194" s="14"/>
      <c r="BT194" s="15"/>
      <c r="BU194" s="23"/>
      <c r="BV194" s="21"/>
      <c r="BW194" s="21"/>
      <c r="BX194" s="16"/>
      <c r="BY194" s="22"/>
      <c r="BZ194" s="16"/>
      <c r="CA194" s="8"/>
      <c r="CB194" s="10"/>
      <c r="CD194" s="10"/>
      <c r="CF194" s="10"/>
      <c r="CH194" s="10"/>
      <c r="CJ194" s="10"/>
      <c r="CL194" s="10"/>
      <c r="CN194" s="10"/>
      <c r="CP194" s="10"/>
      <c r="CR194" s="10"/>
      <c r="CT194" s="10"/>
      <c r="CV194" s="10"/>
      <c r="CX194" s="10"/>
      <c r="CZ194" s="10"/>
      <c r="DB194" s="10"/>
      <c r="DD194" s="10"/>
      <c r="DF194" s="10"/>
      <c r="DH194" s="10"/>
      <c r="DJ194" s="10"/>
      <c r="DL194" s="10"/>
    </row>
    <row r="195" spans="1:116" x14ac:dyDescent="0.2">
      <c r="A195" s="5"/>
      <c r="B195" s="6"/>
      <c r="C195" s="6"/>
      <c r="D195" s="27"/>
      <c r="E195" s="6"/>
      <c r="F195" s="8"/>
      <c r="G195" s="8"/>
      <c r="I195" s="10"/>
      <c r="J195" s="11"/>
      <c r="K195" s="12"/>
      <c r="L195" s="10"/>
      <c r="M195" s="11"/>
      <c r="N195" s="12"/>
      <c r="O195" s="10"/>
      <c r="P195" s="11"/>
      <c r="Q195" s="12"/>
      <c r="R195" s="13"/>
      <c r="S195" s="11"/>
      <c r="T195" s="12"/>
      <c r="U195" s="10"/>
      <c r="V195" s="12"/>
      <c r="W195" s="12"/>
      <c r="X195" s="10"/>
      <c r="Y195" s="12"/>
      <c r="Z195" s="12"/>
      <c r="AA195" s="10"/>
      <c r="AB195" s="12"/>
      <c r="AC195" s="12"/>
      <c r="AD195" s="10"/>
      <c r="AE195" s="12"/>
      <c r="AF195" s="12"/>
      <c r="AG195" s="10"/>
      <c r="AH195" s="12"/>
      <c r="AI195" s="12"/>
      <c r="AJ195" s="13"/>
      <c r="AK195" s="11"/>
      <c r="AL195" s="12"/>
      <c r="AM195" s="10"/>
      <c r="AN195" s="12"/>
      <c r="AO195" s="12"/>
      <c r="AP195" s="10"/>
      <c r="AQ195" s="12"/>
      <c r="AR195" s="12"/>
      <c r="AS195" s="10"/>
      <c r="AT195" s="12"/>
      <c r="AU195" s="12"/>
      <c r="AV195" s="10"/>
      <c r="AW195" s="12"/>
      <c r="AX195" s="12"/>
      <c r="AY195" s="10"/>
      <c r="AZ195" s="12"/>
      <c r="BA195" s="12"/>
      <c r="BB195" s="10"/>
      <c r="BC195" s="12"/>
      <c r="BD195" s="12"/>
      <c r="BE195" s="10"/>
      <c r="BF195" s="12"/>
      <c r="BG195" s="12"/>
      <c r="BH195" s="10"/>
      <c r="BI195" s="12"/>
      <c r="BK195" s="16"/>
      <c r="BL195" s="16"/>
      <c r="BM195" s="16"/>
      <c r="BN195" s="16"/>
      <c r="BO195" s="16"/>
      <c r="BP195" s="16"/>
      <c r="BQ195" s="16"/>
      <c r="BR195" s="16"/>
      <c r="BS195" s="14"/>
      <c r="BT195" s="15"/>
      <c r="BU195" s="23"/>
      <c r="BV195" s="21"/>
      <c r="BW195" s="21"/>
      <c r="BX195" s="16"/>
      <c r="BY195" s="22"/>
      <c r="BZ195" s="16"/>
      <c r="CA195" s="8"/>
      <c r="CB195" s="10"/>
      <c r="CD195" s="10"/>
      <c r="CF195" s="10"/>
      <c r="CH195" s="10"/>
      <c r="CJ195" s="10"/>
      <c r="CL195" s="10"/>
      <c r="CN195" s="10"/>
      <c r="CP195" s="10"/>
      <c r="CR195" s="10"/>
      <c r="CT195" s="10"/>
      <c r="CV195" s="10"/>
      <c r="CX195" s="10"/>
      <c r="CZ195" s="10"/>
      <c r="DB195" s="10"/>
      <c r="DD195" s="10"/>
      <c r="DF195" s="10"/>
      <c r="DH195" s="10"/>
      <c r="DJ195" s="10"/>
      <c r="DL195" s="10"/>
    </row>
    <row r="196" spans="1:116" x14ac:dyDescent="0.2">
      <c r="A196" s="5"/>
      <c r="B196" s="6"/>
      <c r="C196" s="6"/>
      <c r="D196" s="27"/>
      <c r="E196" s="6"/>
      <c r="F196" s="8"/>
      <c r="G196" s="8"/>
      <c r="I196" s="10"/>
      <c r="J196" s="11"/>
      <c r="K196" s="12"/>
      <c r="L196" s="10"/>
      <c r="M196" s="11"/>
      <c r="N196" s="12"/>
      <c r="O196" s="10"/>
      <c r="P196" s="11"/>
      <c r="Q196" s="12"/>
      <c r="R196" s="13"/>
      <c r="S196" s="11"/>
      <c r="T196" s="12"/>
      <c r="U196" s="10"/>
      <c r="V196" s="12"/>
      <c r="W196" s="12"/>
      <c r="X196" s="10"/>
      <c r="Y196" s="12"/>
      <c r="Z196" s="12"/>
      <c r="AA196" s="10"/>
      <c r="AB196" s="12"/>
      <c r="AC196" s="12"/>
      <c r="AD196" s="10"/>
      <c r="AE196" s="12"/>
      <c r="AF196" s="12"/>
      <c r="AG196" s="10"/>
      <c r="AH196" s="12"/>
      <c r="AI196" s="12"/>
      <c r="AJ196" s="13"/>
      <c r="AK196" s="11"/>
      <c r="AL196" s="12"/>
      <c r="AM196" s="10"/>
      <c r="AN196" s="12"/>
      <c r="AO196" s="12"/>
      <c r="AP196" s="10"/>
      <c r="AQ196" s="12"/>
      <c r="AR196" s="12"/>
      <c r="AS196" s="10"/>
      <c r="AT196" s="12"/>
      <c r="AU196" s="12"/>
      <c r="AV196" s="10"/>
      <c r="AW196" s="12"/>
      <c r="AX196" s="12"/>
      <c r="AY196" s="10"/>
      <c r="AZ196" s="12"/>
      <c r="BA196" s="12"/>
      <c r="BB196" s="10"/>
      <c r="BC196" s="12"/>
      <c r="BD196" s="12"/>
      <c r="BE196" s="10"/>
      <c r="BF196" s="12"/>
      <c r="BG196" s="12"/>
      <c r="BH196" s="10"/>
      <c r="BI196" s="12"/>
      <c r="BK196" s="16"/>
      <c r="BL196" s="16"/>
      <c r="BM196" s="16"/>
      <c r="BN196" s="16"/>
      <c r="BO196" s="16"/>
      <c r="BP196" s="16"/>
      <c r="BQ196" s="16"/>
      <c r="BR196" s="16"/>
      <c r="BS196" s="14"/>
      <c r="BT196" s="15"/>
      <c r="BU196" s="23"/>
      <c r="BV196" s="21"/>
      <c r="BW196" s="21"/>
      <c r="BX196" s="16"/>
      <c r="BY196" s="22"/>
      <c r="BZ196" s="16"/>
      <c r="CA196" s="8"/>
      <c r="CB196" s="10"/>
      <c r="CD196" s="10"/>
      <c r="CF196" s="10"/>
      <c r="CH196" s="10"/>
      <c r="CJ196" s="10"/>
      <c r="CL196" s="10"/>
      <c r="CN196" s="10"/>
      <c r="CP196" s="10"/>
      <c r="CR196" s="10"/>
      <c r="CT196" s="10"/>
      <c r="CV196" s="10"/>
      <c r="CX196" s="10"/>
      <c r="CZ196" s="10"/>
      <c r="DB196" s="10"/>
      <c r="DD196" s="10"/>
      <c r="DF196" s="10"/>
      <c r="DH196" s="10"/>
      <c r="DJ196" s="10"/>
      <c r="DL196" s="10"/>
    </row>
    <row r="197" spans="1:116" x14ac:dyDescent="0.2">
      <c r="A197" s="5"/>
      <c r="B197" s="6"/>
      <c r="C197" s="6"/>
      <c r="D197" s="27"/>
      <c r="E197" s="6"/>
      <c r="F197" s="8"/>
      <c r="G197" s="8"/>
      <c r="I197" s="10"/>
      <c r="J197" s="11"/>
      <c r="K197" s="12"/>
      <c r="L197" s="10"/>
      <c r="M197" s="11"/>
      <c r="N197" s="12"/>
      <c r="O197" s="10"/>
      <c r="P197" s="11"/>
      <c r="Q197" s="12"/>
      <c r="R197" s="13"/>
      <c r="S197" s="11"/>
      <c r="T197" s="12"/>
      <c r="U197" s="10"/>
      <c r="V197" s="12"/>
      <c r="W197" s="12"/>
      <c r="X197" s="10"/>
      <c r="Y197" s="12"/>
      <c r="Z197" s="12"/>
      <c r="AA197" s="10"/>
      <c r="AB197" s="12"/>
      <c r="AC197" s="12"/>
      <c r="AD197" s="10"/>
      <c r="AE197" s="12"/>
      <c r="AF197" s="12"/>
      <c r="AG197" s="10"/>
      <c r="AH197" s="12"/>
      <c r="AI197" s="12"/>
      <c r="AJ197" s="13"/>
      <c r="AK197" s="11"/>
      <c r="AL197" s="12"/>
      <c r="AM197" s="10"/>
      <c r="AN197" s="12"/>
      <c r="AO197" s="12"/>
      <c r="AP197" s="10"/>
      <c r="AQ197" s="12"/>
      <c r="AR197" s="12"/>
      <c r="AS197" s="10"/>
      <c r="AT197" s="12"/>
      <c r="AU197" s="12"/>
      <c r="AV197" s="10"/>
      <c r="AW197" s="12"/>
      <c r="AX197" s="12"/>
      <c r="AY197" s="10"/>
      <c r="AZ197" s="12"/>
      <c r="BA197" s="12"/>
      <c r="BB197" s="10"/>
      <c r="BC197" s="12"/>
      <c r="BD197" s="12"/>
      <c r="BE197" s="10"/>
      <c r="BF197" s="12"/>
      <c r="BG197" s="12"/>
      <c r="BH197" s="10"/>
      <c r="BI197" s="12"/>
      <c r="BK197" s="16"/>
      <c r="BL197" s="16"/>
      <c r="BM197" s="16"/>
      <c r="BN197" s="16"/>
      <c r="BO197" s="16"/>
      <c r="BP197" s="16"/>
      <c r="BQ197" s="16"/>
      <c r="BR197" s="16"/>
      <c r="BS197" s="14"/>
      <c r="BT197" s="15"/>
      <c r="BU197" s="23"/>
      <c r="BV197" s="21"/>
      <c r="BW197" s="21"/>
      <c r="BX197" s="16"/>
      <c r="BY197" s="22"/>
      <c r="BZ197" s="16"/>
      <c r="CA197" s="8"/>
      <c r="CB197" s="10"/>
      <c r="CD197" s="10"/>
      <c r="CF197" s="10"/>
      <c r="CH197" s="10"/>
      <c r="CJ197" s="10"/>
      <c r="CL197" s="10"/>
      <c r="CN197" s="10"/>
      <c r="CP197" s="10"/>
      <c r="CR197" s="10"/>
      <c r="CT197" s="10"/>
      <c r="CV197" s="10"/>
      <c r="CX197" s="10"/>
      <c r="CZ197" s="10"/>
      <c r="DB197" s="10"/>
      <c r="DD197" s="10"/>
      <c r="DF197" s="10"/>
      <c r="DH197" s="10"/>
      <c r="DJ197" s="10"/>
      <c r="DL197" s="10"/>
    </row>
    <row r="198" spans="1:116" x14ac:dyDescent="0.2">
      <c r="A198" s="5"/>
      <c r="B198" s="6"/>
      <c r="C198" s="6"/>
      <c r="D198" s="27"/>
      <c r="E198" s="6"/>
      <c r="F198" s="8"/>
      <c r="G198" s="8"/>
      <c r="I198" s="10"/>
      <c r="J198" s="11"/>
      <c r="K198" s="12"/>
      <c r="L198" s="10"/>
      <c r="M198" s="11"/>
      <c r="N198" s="12"/>
      <c r="O198" s="10"/>
      <c r="P198" s="11"/>
      <c r="Q198" s="12"/>
      <c r="R198" s="13"/>
      <c r="S198" s="11"/>
      <c r="T198" s="12"/>
      <c r="U198" s="10"/>
      <c r="V198" s="12"/>
      <c r="W198" s="12"/>
      <c r="X198" s="10"/>
      <c r="Y198" s="12"/>
      <c r="Z198" s="12"/>
      <c r="AA198" s="10"/>
      <c r="AB198" s="12"/>
      <c r="AC198" s="12"/>
      <c r="AD198" s="10"/>
      <c r="AE198" s="12"/>
      <c r="AF198" s="12"/>
      <c r="AG198" s="10"/>
      <c r="AH198" s="12"/>
      <c r="AI198" s="12"/>
      <c r="AJ198" s="13"/>
      <c r="AK198" s="11"/>
      <c r="AL198" s="12"/>
      <c r="AM198" s="10"/>
      <c r="AN198" s="12"/>
      <c r="AO198" s="12"/>
      <c r="AP198" s="10"/>
      <c r="AQ198" s="12"/>
      <c r="AR198" s="12"/>
      <c r="AS198" s="10"/>
      <c r="AT198" s="12"/>
      <c r="AU198" s="12"/>
      <c r="AV198" s="10"/>
      <c r="AW198" s="12"/>
      <c r="AX198" s="12"/>
      <c r="AY198" s="10"/>
      <c r="AZ198" s="12"/>
      <c r="BA198" s="12"/>
      <c r="BB198" s="10"/>
      <c r="BC198" s="12"/>
      <c r="BD198" s="12"/>
      <c r="BE198" s="10"/>
      <c r="BF198" s="12"/>
      <c r="BG198" s="12"/>
      <c r="BH198" s="10"/>
      <c r="BI198" s="12"/>
      <c r="BK198" s="16"/>
      <c r="BL198" s="16"/>
      <c r="BM198" s="16"/>
      <c r="BN198" s="16"/>
      <c r="BO198" s="16"/>
      <c r="BP198" s="16"/>
      <c r="BQ198" s="16"/>
      <c r="BR198" s="16"/>
      <c r="BS198" s="14"/>
      <c r="BT198" s="15"/>
      <c r="BU198" s="23"/>
      <c r="BV198" s="21"/>
      <c r="BW198" s="21"/>
      <c r="BX198" s="16"/>
      <c r="BY198" s="22"/>
      <c r="BZ198" s="16"/>
      <c r="CA198" s="8"/>
      <c r="CB198" s="10"/>
      <c r="CD198" s="10"/>
      <c r="CF198" s="10"/>
      <c r="CH198" s="10"/>
      <c r="CJ198" s="10"/>
      <c r="CL198" s="10"/>
      <c r="CN198" s="10"/>
      <c r="CP198" s="10"/>
      <c r="CR198" s="10"/>
      <c r="CT198" s="10"/>
      <c r="CV198" s="10"/>
      <c r="CX198" s="10"/>
      <c r="CZ198" s="10"/>
      <c r="DB198" s="10"/>
      <c r="DD198" s="10"/>
      <c r="DF198" s="10"/>
      <c r="DH198" s="10"/>
      <c r="DJ198" s="10"/>
      <c r="DL198" s="10"/>
    </row>
    <row r="199" spans="1:116" x14ac:dyDescent="0.2">
      <c r="A199" s="5"/>
      <c r="B199" s="6"/>
      <c r="C199" s="6"/>
      <c r="D199" s="27"/>
      <c r="E199" s="6"/>
      <c r="F199" s="8"/>
      <c r="G199" s="8"/>
      <c r="I199" s="10"/>
      <c r="J199" s="11"/>
      <c r="K199" s="12"/>
      <c r="L199" s="10"/>
      <c r="M199" s="11"/>
      <c r="N199" s="12"/>
      <c r="O199" s="10"/>
      <c r="P199" s="11"/>
      <c r="Q199" s="12"/>
      <c r="R199" s="13"/>
      <c r="S199" s="11"/>
      <c r="T199" s="12"/>
      <c r="U199" s="10"/>
      <c r="V199" s="12"/>
      <c r="W199" s="12"/>
      <c r="X199" s="10"/>
      <c r="Y199" s="12"/>
      <c r="Z199" s="12"/>
      <c r="AA199" s="10"/>
      <c r="AB199" s="12"/>
      <c r="AC199" s="12"/>
      <c r="AD199" s="10"/>
      <c r="AE199" s="12"/>
      <c r="AF199" s="12"/>
      <c r="AG199" s="10"/>
      <c r="AH199" s="12"/>
      <c r="AI199" s="12"/>
      <c r="AJ199" s="13"/>
      <c r="AK199" s="11"/>
      <c r="AL199" s="12"/>
      <c r="AM199" s="10"/>
      <c r="AN199" s="12"/>
      <c r="AO199" s="12"/>
      <c r="AP199" s="10"/>
      <c r="AQ199" s="12"/>
      <c r="AR199" s="12"/>
      <c r="AS199" s="10"/>
      <c r="AT199" s="12"/>
      <c r="AU199" s="12"/>
      <c r="AV199" s="10"/>
      <c r="AW199" s="12"/>
      <c r="AX199" s="12"/>
      <c r="AY199" s="10"/>
      <c r="AZ199" s="12"/>
      <c r="BA199" s="12"/>
      <c r="BB199" s="10"/>
      <c r="BC199" s="12"/>
      <c r="BD199" s="12"/>
      <c r="BE199" s="10"/>
      <c r="BF199" s="12"/>
      <c r="BG199" s="12"/>
      <c r="BH199" s="10"/>
      <c r="BI199" s="12"/>
      <c r="BK199" s="16"/>
      <c r="BL199" s="16"/>
      <c r="BM199" s="16"/>
      <c r="BN199" s="16"/>
      <c r="BO199" s="16"/>
      <c r="BP199" s="16"/>
      <c r="BQ199" s="16"/>
      <c r="BR199" s="16"/>
      <c r="BS199" s="14"/>
      <c r="BT199" s="15"/>
      <c r="BU199" s="23"/>
      <c r="BV199" s="21"/>
      <c r="BW199" s="21"/>
      <c r="BX199" s="16"/>
      <c r="BY199" s="22"/>
      <c r="BZ199" s="16"/>
      <c r="CA199" s="8"/>
      <c r="CB199" s="10"/>
      <c r="CD199" s="10"/>
      <c r="CF199" s="10"/>
      <c r="CH199" s="10"/>
      <c r="CJ199" s="10"/>
      <c r="CL199" s="10"/>
      <c r="CN199" s="10"/>
      <c r="CP199" s="10"/>
      <c r="CR199" s="10"/>
      <c r="CT199" s="10"/>
      <c r="CV199" s="10"/>
      <c r="CX199" s="10"/>
      <c r="CZ199" s="10"/>
      <c r="DB199" s="10"/>
      <c r="DD199" s="10"/>
      <c r="DF199" s="10"/>
      <c r="DH199" s="10"/>
      <c r="DJ199" s="10"/>
      <c r="DL199" s="10"/>
    </row>
    <row r="200" spans="1:116" x14ac:dyDescent="0.2">
      <c r="A200" s="5"/>
      <c r="B200" s="6"/>
      <c r="C200" s="6"/>
      <c r="D200" s="27"/>
      <c r="E200" s="6"/>
      <c r="F200" s="8"/>
      <c r="G200" s="8"/>
      <c r="I200" s="10"/>
      <c r="J200" s="11"/>
      <c r="K200" s="12"/>
      <c r="L200" s="10"/>
      <c r="M200" s="11"/>
      <c r="N200" s="12"/>
      <c r="O200" s="10"/>
      <c r="P200" s="11"/>
      <c r="Q200" s="12"/>
      <c r="R200" s="13"/>
      <c r="S200" s="11"/>
      <c r="T200" s="12"/>
      <c r="U200" s="10"/>
      <c r="V200" s="12"/>
      <c r="W200" s="12"/>
      <c r="X200" s="10"/>
      <c r="Y200" s="12"/>
      <c r="Z200" s="12"/>
      <c r="AA200" s="10"/>
      <c r="AB200" s="12"/>
      <c r="AC200" s="12"/>
      <c r="AD200" s="10"/>
      <c r="AE200" s="12"/>
      <c r="AF200" s="12"/>
      <c r="AG200" s="10"/>
      <c r="AH200" s="12"/>
      <c r="AI200" s="12"/>
      <c r="AJ200" s="13"/>
      <c r="AK200" s="11"/>
      <c r="AL200" s="12"/>
      <c r="AM200" s="10"/>
      <c r="AN200" s="12"/>
      <c r="AO200" s="12"/>
      <c r="AP200" s="10"/>
      <c r="AQ200" s="12"/>
      <c r="AR200" s="12"/>
      <c r="AS200" s="10"/>
      <c r="AT200" s="12"/>
      <c r="AU200" s="12"/>
      <c r="AV200" s="10"/>
      <c r="AW200" s="12"/>
      <c r="AX200" s="12"/>
      <c r="AY200" s="10"/>
      <c r="AZ200" s="12"/>
      <c r="BA200" s="12"/>
      <c r="BB200" s="10"/>
      <c r="BC200" s="12"/>
      <c r="BD200" s="12"/>
      <c r="BE200" s="10"/>
      <c r="BF200" s="12"/>
      <c r="BG200" s="12"/>
      <c r="BH200" s="10"/>
      <c r="BI200" s="12"/>
      <c r="BK200" s="16"/>
      <c r="BL200" s="16"/>
      <c r="BM200" s="16"/>
      <c r="BN200" s="16"/>
      <c r="BO200" s="16"/>
      <c r="BP200" s="16"/>
      <c r="BQ200" s="16"/>
      <c r="BR200" s="16"/>
      <c r="BS200" s="14"/>
      <c r="BT200" s="15"/>
      <c r="BU200" s="23"/>
      <c r="BV200" s="21"/>
      <c r="BW200" s="21"/>
      <c r="BX200" s="16"/>
      <c r="BY200" s="22"/>
      <c r="BZ200" s="16"/>
      <c r="CA200" s="8"/>
      <c r="CB200" s="10"/>
      <c r="CD200" s="10"/>
      <c r="CF200" s="10"/>
      <c r="CH200" s="10"/>
      <c r="CJ200" s="10"/>
      <c r="CL200" s="10"/>
      <c r="CN200" s="10"/>
      <c r="CP200" s="10"/>
      <c r="CR200" s="10"/>
      <c r="CT200" s="10"/>
      <c r="CV200" s="10"/>
      <c r="CX200" s="10"/>
      <c r="CZ200" s="10"/>
      <c r="DB200" s="10"/>
      <c r="DD200" s="10"/>
      <c r="DF200" s="10"/>
      <c r="DH200" s="10"/>
      <c r="DJ200" s="10"/>
      <c r="DL200" s="10"/>
    </row>
    <row r="201" spans="1:116" x14ac:dyDescent="0.2">
      <c r="A201" s="5"/>
      <c r="B201" s="6"/>
      <c r="C201" s="6"/>
      <c r="D201" s="27"/>
      <c r="E201" s="6"/>
      <c r="F201" s="8"/>
      <c r="G201" s="8"/>
      <c r="I201" s="10"/>
      <c r="J201" s="11"/>
      <c r="K201" s="12"/>
      <c r="L201" s="10"/>
      <c r="M201" s="11"/>
      <c r="N201" s="12"/>
      <c r="O201" s="10"/>
      <c r="P201" s="11"/>
      <c r="Q201" s="12"/>
      <c r="R201" s="13"/>
      <c r="S201" s="11"/>
      <c r="T201" s="12"/>
      <c r="U201" s="10"/>
      <c r="V201" s="12"/>
      <c r="W201" s="12"/>
      <c r="X201" s="10"/>
      <c r="Y201" s="12"/>
      <c r="Z201" s="12"/>
      <c r="AA201" s="10"/>
      <c r="AB201" s="12"/>
      <c r="AC201" s="12"/>
      <c r="AD201" s="10"/>
      <c r="AE201" s="12"/>
      <c r="AF201" s="12"/>
      <c r="AG201" s="10"/>
      <c r="AH201" s="12"/>
      <c r="AI201" s="12"/>
      <c r="AJ201" s="13"/>
      <c r="AK201" s="11"/>
      <c r="AL201" s="12"/>
      <c r="AM201" s="10"/>
      <c r="AN201" s="12"/>
      <c r="AO201" s="12"/>
      <c r="AP201" s="10"/>
      <c r="AQ201" s="12"/>
      <c r="AR201" s="12"/>
      <c r="AS201" s="10"/>
      <c r="AT201" s="12"/>
      <c r="AU201" s="12"/>
      <c r="AV201" s="10"/>
      <c r="AW201" s="12"/>
      <c r="AX201" s="12"/>
      <c r="AY201" s="10"/>
      <c r="AZ201" s="12"/>
      <c r="BA201" s="12"/>
      <c r="BB201" s="10"/>
      <c r="BC201" s="12"/>
      <c r="BD201" s="12"/>
      <c r="BE201" s="10"/>
      <c r="BF201" s="12"/>
      <c r="BG201" s="12"/>
      <c r="BH201" s="10"/>
      <c r="BI201" s="12"/>
      <c r="BK201" s="16"/>
      <c r="BL201" s="16"/>
      <c r="BM201" s="16"/>
      <c r="BN201" s="16"/>
      <c r="BO201" s="16"/>
      <c r="BP201" s="16"/>
      <c r="BQ201" s="16"/>
      <c r="BR201" s="16"/>
      <c r="BS201" s="14"/>
      <c r="BT201" s="15"/>
      <c r="BU201" s="23"/>
      <c r="BV201" s="21"/>
      <c r="BW201" s="21"/>
      <c r="BX201" s="16"/>
      <c r="BY201" s="22"/>
      <c r="BZ201" s="16"/>
      <c r="CA201" s="8"/>
      <c r="CB201" s="10"/>
      <c r="CD201" s="10"/>
      <c r="CF201" s="10"/>
      <c r="CH201" s="10"/>
      <c r="CJ201" s="10"/>
      <c r="CL201" s="10"/>
      <c r="CN201" s="10"/>
      <c r="CP201" s="10"/>
      <c r="CR201" s="10"/>
      <c r="CT201" s="10"/>
      <c r="CV201" s="10"/>
      <c r="CX201" s="10"/>
      <c r="CZ201" s="10"/>
      <c r="DB201" s="10"/>
      <c r="DD201" s="10"/>
      <c r="DF201" s="10"/>
      <c r="DH201" s="10"/>
      <c r="DJ201" s="10"/>
      <c r="DL201" s="10"/>
    </row>
    <row r="202" spans="1:116" x14ac:dyDescent="0.2">
      <c r="A202" s="5"/>
      <c r="B202" s="6"/>
      <c r="C202" s="6"/>
      <c r="D202" s="27"/>
      <c r="E202" s="6"/>
      <c r="F202" s="8"/>
      <c r="G202" s="8"/>
      <c r="I202" s="10"/>
      <c r="J202" s="11"/>
      <c r="K202" s="12"/>
      <c r="L202" s="10"/>
      <c r="M202" s="11"/>
      <c r="N202" s="12"/>
      <c r="O202" s="10"/>
      <c r="P202" s="11"/>
      <c r="Q202" s="12"/>
      <c r="R202" s="13"/>
      <c r="S202" s="11"/>
      <c r="T202" s="12"/>
      <c r="U202" s="10"/>
      <c r="V202" s="12"/>
      <c r="W202" s="12"/>
      <c r="X202" s="10"/>
      <c r="Y202" s="12"/>
      <c r="Z202" s="12"/>
      <c r="AA202" s="10"/>
      <c r="AB202" s="12"/>
      <c r="AC202" s="12"/>
      <c r="AD202" s="10"/>
      <c r="AE202" s="12"/>
      <c r="AF202" s="12"/>
      <c r="AG202" s="10"/>
      <c r="AH202" s="12"/>
      <c r="AI202" s="12"/>
      <c r="AJ202" s="13"/>
      <c r="AK202" s="11"/>
      <c r="AL202" s="12"/>
      <c r="AM202" s="10"/>
      <c r="AN202" s="12"/>
      <c r="AO202" s="12"/>
      <c r="AP202" s="10"/>
      <c r="AQ202" s="12"/>
      <c r="AR202" s="12"/>
      <c r="AS202" s="10"/>
      <c r="AT202" s="12"/>
      <c r="AU202" s="12"/>
      <c r="AV202" s="10"/>
      <c r="AW202" s="12"/>
      <c r="AX202" s="12"/>
      <c r="AY202" s="10"/>
      <c r="AZ202" s="12"/>
      <c r="BA202" s="12"/>
      <c r="BB202" s="10"/>
      <c r="BC202" s="12"/>
      <c r="BD202" s="12"/>
      <c r="BE202" s="10"/>
      <c r="BF202" s="12"/>
      <c r="BG202" s="12"/>
      <c r="BH202" s="10"/>
      <c r="BI202" s="12"/>
      <c r="BK202" s="16"/>
      <c r="BL202" s="16"/>
      <c r="BM202" s="16"/>
      <c r="BN202" s="16"/>
      <c r="BO202" s="16"/>
      <c r="BP202" s="16"/>
      <c r="BQ202" s="16"/>
      <c r="BR202" s="16"/>
      <c r="BS202" s="14"/>
      <c r="BT202" s="15"/>
      <c r="BU202" s="23"/>
      <c r="BV202" s="21"/>
      <c r="BW202" s="21"/>
      <c r="BX202" s="16"/>
      <c r="BY202" s="22"/>
      <c r="BZ202" s="16"/>
      <c r="CA202" s="8"/>
      <c r="CB202" s="10"/>
      <c r="CD202" s="10"/>
      <c r="CF202" s="10"/>
      <c r="CH202" s="10"/>
      <c r="CJ202" s="10"/>
      <c r="CL202" s="10"/>
      <c r="CN202" s="10"/>
      <c r="CP202" s="10"/>
      <c r="CR202" s="10"/>
      <c r="CT202" s="10"/>
      <c r="CV202" s="10"/>
      <c r="CX202" s="10"/>
      <c r="CZ202" s="10"/>
      <c r="DB202" s="10"/>
      <c r="DD202" s="10"/>
      <c r="DF202" s="10"/>
      <c r="DH202" s="10"/>
      <c r="DJ202" s="10"/>
      <c r="DL202" s="10"/>
    </row>
    <row r="203" spans="1:116" x14ac:dyDescent="0.2">
      <c r="A203" s="5"/>
      <c r="B203" s="6"/>
      <c r="C203" s="6"/>
      <c r="D203" s="27"/>
      <c r="E203" s="6"/>
      <c r="F203" s="8"/>
      <c r="G203" s="8"/>
      <c r="I203" s="10"/>
      <c r="J203" s="11"/>
      <c r="K203" s="12"/>
      <c r="L203" s="10"/>
      <c r="M203" s="11"/>
      <c r="N203" s="12"/>
      <c r="O203" s="10"/>
      <c r="P203" s="11"/>
      <c r="Q203" s="12"/>
      <c r="R203" s="13"/>
      <c r="S203" s="11"/>
      <c r="T203" s="12"/>
      <c r="U203" s="10"/>
      <c r="V203" s="12"/>
      <c r="W203" s="12"/>
      <c r="X203" s="10"/>
      <c r="Y203" s="12"/>
      <c r="Z203" s="12"/>
      <c r="AA203" s="10"/>
      <c r="AB203" s="12"/>
      <c r="AC203" s="12"/>
      <c r="AD203" s="10"/>
      <c r="AE203" s="12"/>
      <c r="AF203" s="12"/>
      <c r="AG203" s="10"/>
      <c r="AH203" s="12"/>
      <c r="AI203" s="12"/>
      <c r="AJ203" s="13"/>
      <c r="AK203" s="11"/>
      <c r="AL203" s="12"/>
      <c r="AM203" s="10"/>
      <c r="AN203" s="12"/>
      <c r="AO203" s="12"/>
      <c r="AP203" s="10"/>
      <c r="AQ203" s="12"/>
      <c r="AR203" s="12"/>
      <c r="AS203" s="10"/>
      <c r="AT203" s="12"/>
      <c r="AU203" s="12"/>
      <c r="AV203" s="10"/>
      <c r="AW203" s="12"/>
      <c r="AX203" s="12"/>
      <c r="AY203" s="10"/>
      <c r="AZ203" s="12"/>
      <c r="BA203" s="12"/>
      <c r="BB203" s="10"/>
      <c r="BC203" s="12"/>
      <c r="BD203" s="12"/>
      <c r="BE203" s="10"/>
      <c r="BF203" s="12"/>
      <c r="BG203" s="12"/>
      <c r="BH203" s="10"/>
      <c r="BI203" s="12"/>
      <c r="BK203" s="16"/>
      <c r="BL203" s="16"/>
      <c r="BM203" s="16"/>
      <c r="BN203" s="16"/>
      <c r="BO203" s="16"/>
      <c r="BP203" s="16"/>
      <c r="BQ203" s="16"/>
      <c r="BR203" s="16"/>
      <c r="BS203" s="14"/>
      <c r="BT203" s="15"/>
      <c r="BU203" s="23"/>
      <c r="BV203" s="21"/>
      <c r="BW203" s="21"/>
      <c r="BX203" s="16"/>
      <c r="BY203" s="22"/>
      <c r="BZ203" s="16"/>
      <c r="CA203" s="8"/>
      <c r="CB203" s="10"/>
      <c r="CD203" s="10"/>
      <c r="CF203" s="10"/>
      <c r="CH203" s="10"/>
      <c r="CJ203" s="10"/>
      <c r="CL203" s="10"/>
      <c r="CN203" s="10"/>
      <c r="CP203" s="10"/>
      <c r="CR203" s="10"/>
      <c r="CT203" s="10"/>
      <c r="CV203" s="10"/>
      <c r="CX203" s="10"/>
      <c r="CZ203" s="10"/>
      <c r="DB203" s="10"/>
      <c r="DD203" s="10"/>
      <c r="DF203" s="10"/>
      <c r="DH203" s="10"/>
      <c r="DJ203" s="10"/>
      <c r="DL203" s="10"/>
    </row>
    <row r="204" spans="1:116" x14ac:dyDescent="0.2">
      <c r="A204" s="5"/>
      <c r="B204" s="6"/>
      <c r="C204" s="6"/>
      <c r="D204" s="27"/>
      <c r="E204" s="6"/>
      <c r="F204" s="8"/>
      <c r="G204" s="8"/>
      <c r="I204" s="10"/>
      <c r="J204" s="11"/>
      <c r="K204" s="12"/>
      <c r="L204" s="10"/>
      <c r="M204" s="11"/>
      <c r="N204" s="12"/>
      <c r="O204" s="10"/>
      <c r="P204" s="11"/>
      <c r="Q204" s="12"/>
      <c r="R204" s="13"/>
      <c r="S204" s="11"/>
      <c r="T204" s="12"/>
      <c r="U204" s="10"/>
      <c r="V204" s="12"/>
      <c r="W204" s="12"/>
      <c r="X204" s="10"/>
      <c r="Y204" s="12"/>
      <c r="Z204" s="12"/>
      <c r="AA204" s="10"/>
      <c r="AB204" s="12"/>
      <c r="AC204" s="12"/>
      <c r="AD204" s="10"/>
      <c r="AE204" s="12"/>
      <c r="AF204" s="12"/>
      <c r="AG204" s="10"/>
      <c r="AH204" s="12"/>
      <c r="AI204" s="12"/>
      <c r="AJ204" s="13"/>
      <c r="AK204" s="11"/>
      <c r="AL204" s="12"/>
      <c r="AM204" s="10"/>
      <c r="AN204" s="12"/>
      <c r="AO204" s="12"/>
      <c r="AP204" s="10"/>
      <c r="AQ204" s="12"/>
      <c r="AR204" s="12"/>
      <c r="AS204" s="10"/>
      <c r="AT204" s="12"/>
      <c r="AU204" s="12"/>
      <c r="AV204" s="10"/>
      <c r="AW204" s="12"/>
      <c r="AX204" s="12"/>
      <c r="AY204" s="10"/>
      <c r="AZ204" s="12"/>
      <c r="BA204" s="12"/>
      <c r="BB204" s="10"/>
      <c r="BC204" s="12"/>
      <c r="BD204" s="12"/>
      <c r="BE204" s="10"/>
      <c r="BF204" s="12"/>
      <c r="BG204" s="12"/>
      <c r="BH204" s="10"/>
      <c r="BI204" s="12"/>
      <c r="BK204" s="16"/>
      <c r="BL204" s="16"/>
      <c r="BM204" s="16"/>
      <c r="BN204" s="16"/>
      <c r="BO204" s="16"/>
      <c r="BP204" s="16"/>
      <c r="BQ204" s="16"/>
      <c r="BR204" s="16"/>
      <c r="BS204" s="14"/>
      <c r="BT204" s="15"/>
      <c r="BU204" s="23"/>
      <c r="BV204" s="21"/>
      <c r="BW204" s="21"/>
      <c r="BX204" s="16"/>
      <c r="BY204" s="22"/>
      <c r="BZ204" s="16"/>
      <c r="CA204" s="8"/>
      <c r="CB204" s="10"/>
      <c r="CD204" s="10"/>
      <c r="CF204" s="10"/>
      <c r="CH204" s="10"/>
      <c r="CJ204" s="10"/>
      <c r="CL204" s="10"/>
      <c r="CN204" s="10"/>
      <c r="CP204" s="10"/>
      <c r="CR204" s="10"/>
      <c r="CT204" s="10"/>
      <c r="CV204" s="10"/>
      <c r="CX204" s="10"/>
      <c r="CZ204" s="10"/>
      <c r="DB204" s="10"/>
      <c r="DD204" s="10"/>
      <c r="DF204" s="10"/>
      <c r="DH204" s="10"/>
      <c r="DJ204" s="10"/>
      <c r="DL204" s="10"/>
    </row>
    <row r="205" spans="1:116" x14ac:dyDescent="0.2">
      <c r="A205" s="5"/>
      <c r="B205" s="6"/>
      <c r="C205" s="6"/>
      <c r="D205" s="27"/>
      <c r="E205" s="6"/>
      <c r="F205" s="8"/>
      <c r="G205" s="8"/>
      <c r="I205" s="10"/>
      <c r="J205" s="11"/>
      <c r="K205" s="12"/>
      <c r="L205" s="10"/>
      <c r="M205" s="11"/>
      <c r="N205" s="12"/>
      <c r="O205" s="10"/>
      <c r="P205" s="11"/>
      <c r="Q205" s="12"/>
      <c r="R205" s="13"/>
      <c r="S205" s="11"/>
      <c r="T205" s="12"/>
      <c r="U205" s="10"/>
      <c r="V205" s="12"/>
      <c r="W205" s="12"/>
      <c r="X205" s="10"/>
      <c r="Y205" s="12"/>
      <c r="Z205" s="12"/>
      <c r="AA205" s="10"/>
      <c r="AB205" s="12"/>
      <c r="AC205" s="12"/>
      <c r="AD205" s="10"/>
      <c r="AE205" s="12"/>
      <c r="AF205" s="12"/>
      <c r="AG205" s="10"/>
      <c r="AH205" s="12"/>
      <c r="AI205" s="12"/>
      <c r="AJ205" s="13"/>
      <c r="AK205" s="11"/>
      <c r="AL205" s="12"/>
      <c r="AM205" s="10"/>
      <c r="AN205" s="12"/>
      <c r="AO205" s="12"/>
      <c r="AP205" s="10"/>
      <c r="AQ205" s="12"/>
      <c r="AR205" s="12"/>
      <c r="AS205" s="10"/>
      <c r="AT205" s="12"/>
      <c r="AU205" s="12"/>
      <c r="AV205" s="10"/>
      <c r="AW205" s="12"/>
      <c r="AX205" s="12"/>
      <c r="AY205" s="10"/>
      <c r="AZ205" s="12"/>
      <c r="BA205" s="12"/>
      <c r="BB205" s="10"/>
      <c r="BC205" s="12"/>
      <c r="BD205" s="12"/>
      <c r="BE205" s="10"/>
      <c r="BF205" s="12"/>
      <c r="BG205" s="12"/>
      <c r="BH205" s="10"/>
      <c r="BI205" s="12"/>
      <c r="BK205" s="16"/>
      <c r="BL205" s="16"/>
      <c r="BM205" s="16"/>
      <c r="BN205" s="16"/>
      <c r="BO205" s="16"/>
      <c r="BP205" s="16"/>
      <c r="BQ205" s="16"/>
      <c r="BR205" s="16"/>
      <c r="BS205" s="14"/>
      <c r="BT205" s="15"/>
      <c r="BU205" s="23"/>
      <c r="BV205" s="21"/>
      <c r="BW205" s="21"/>
      <c r="BX205" s="16"/>
      <c r="BY205" s="22"/>
      <c r="BZ205" s="16"/>
      <c r="CA205" s="8"/>
      <c r="CB205" s="10"/>
      <c r="CD205" s="10"/>
      <c r="CF205" s="10"/>
      <c r="CH205" s="10"/>
      <c r="CJ205" s="10"/>
      <c r="CL205" s="10"/>
      <c r="CN205" s="10"/>
      <c r="CP205" s="10"/>
      <c r="CR205" s="10"/>
      <c r="CT205" s="10"/>
      <c r="CV205" s="10"/>
      <c r="CX205" s="10"/>
      <c r="CZ205" s="10"/>
      <c r="DB205" s="10"/>
      <c r="DD205" s="10"/>
      <c r="DF205" s="10"/>
      <c r="DH205" s="10"/>
      <c r="DJ205" s="10"/>
      <c r="DL205" s="10"/>
    </row>
    <row r="206" spans="1:116" x14ac:dyDescent="0.2">
      <c r="A206" s="5"/>
      <c r="B206" s="6"/>
      <c r="C206" s="6"/>
      <c r="D206" s="27"/>
      <c r="E206" s="6"/>
      <c r="F206" s="8"/>
      <c r="G206" s="8"/>
      <c r="I206" s="10"/>
      <c r="J206" s="11"/>
      <c r="K206" s="12"/>
      <c r="L206" s="10"/>
      <c r="M206" s="11"/>
      <c r="N206" s="12"/>
      <c r="O206" s="10"/>
      <c r="P206" s="11"/>
      <c r="Q206" s="12"/>
      <c r="R206" s="13"/>
      <c r="S206" s="11"/>
      <c r="T206" s="12"/>
      <c r="U206" s="10"/>
      <c r="V206" s="12"/>
      <c r="W206" s="12"/>
      <c r="X206" s="10"/>
      <c r="Y206" s="12"/>
      <c r="Z206" s="12"/>
      <c r="AA206" s="10"/>
      <c r="AB206" s="12"/>
      <c r="AC206" s="12"/>
      <c r="AD206" s="10"/>
      <c r="AE206" s="12"/>
      <c r="AF206" s="12"/>
      <c r="AG206" s="10"/>
      <c r="AH206" s="12"/>
      <c r="AI206" s="12"/>
      <c r="AJ206" s="13"/>
      <c r="AK206" s="11"/>
      <c r="AL206" s="12"/>
      <c r="AM206" s="10"/>
      <c r="AN206" s="12"/>
      <c r="AO206" s="12"/>
      <c r="AP206" s="10"/>
      <c r="AQ206" s="12"/>
      <c r="AR206" s="12"/>
      <c r="AS206" s="10"/>
      <c r="AT206" s="12"/>
      <c r="AU206" s="12"/>
      <c r="AV206" s="10"/>
      <c r="AW206" s="12"/>
      <c r="AX206" s="12"/>
      <c r="AY206" s="10"/>
      <c r="AZ206" s="12"/>
      <c r="BA206" s="12"/>
      <c r="BB206" s="10"/>
      <c r="BC206" s="12"/>
      <c r="BD206" s="12"/>
      <c r="BE206" s="10"/>
      <c r="BF206" s="12"/>
      <c r="BG206" s="12"/>
      <c r="BH206" s="10"/>
      <c r="BI206" s="12"/>
      <c r="BK206" s="16"/>
      <c r="BL206" s="16"/>
      <c r="BM206" s="16"/>
      <c r="BN206" s="16"/>
      <c r="BO206" s="16"/>
      <c r="BP206" s="16"/>
      <c r="BQ206" s="16"/>
      <c r="BR206" s="16"/>
      <c r="BS206" s="14"/>
      <c r="BT206" s="15"/>
      <c r="BU206" s="23"/>
      <c r="BV206" s="21"/>
      <c r="BW206" s="21"/>
      <c r="BX206" s="16"/>
      <c r="BY206" s="22"/>
      <c r="BZ206" s="16"/>
      <c r="CA206" s="8"/>
      <c r="CB206" s="10"/>
      <c r="CD206" s="10"/>
      <c r="CF206" s="10"/>
      <c r="CH206" s="10"/>
      <c r="CJ206" s="10"/>
      <c r="CL206" s="10"/>
      <c r="CN206" s="10"/>
      <c r="CP206" s="10"/>
      <c r="CR206" s="10"/>
      <c r="CT206" s="10"/>
      <c r="CV206" s="10"/>
      <c r="CX206" s="10"/>
      <c r="CZ206" s="10"/>
      <c r="DB206" s="10"/>
      <c r="DD206" s="10"/>
      <c r="DF206" s="10"/>
      <c r="DH206" s="10"/>
      <c r="DJ206" s="10"/>
      <c r="DL206" s="10"/>
    </row>
    <row r="207" spans="1:116" x14ac:dyDescent="0.2">
      <c r="A207" s="5"/>
      <c r="B207" s="6"/>
      <c r="C207" s="6"/>
      <c r="D207" s="27"/>
      <c r="E207" s="6"/>
      <c r="F207" s="8"/>
      <c r="G207" s="8"/>
      <c r="I207" s="10"/>
      <c r="J207" s="11"/>
      <c r="K207" s="12"/>
      <c r="L207" s="10"/>
      <c r="M207" s="11"/>
      <c r="N207" s="12"/>
      <c r="O207" s="10"/>
      <c r="P207" s="11"/>
      <c r="Q207" s="12"/>
      <c r="R207" s="13"/>
      <c r="S207" s="11"/>
      <c r="T207" s="12"/>
      <c r="U207" s="10"/>
      <c r="V207" s="12"/>
      <c r="W207" s="12"/>
      <c r="X207" s="10"/>
      <c r="Y207" s="12"/>
      <c r="Z207" s="12"/>
      <c r="AA207" s="10"/>
      <c r="AB207" s="12"/>
      <c r="AC207" s="12"/>
      <c r="AD207" s="10"/>
      <c r="AE207" s="12"/>
      <c r="AF207" s="12"/>
      <c r="AG207" s="10"/>
      <c r="AH207" s="12"/>
      <c r="AI207" s="12"/>
      <c r="AJ207" s="13"/>
      <c r="AK207" s="11"/>
      <c r="AL207" s="12"/>
      <c r="AM207" s="10"/>
      <c r="AN207" s="12"/>
      <c r="AO207" s="12"/>
      <c r="AP207" s="10"/>
      <c r="AQ207" s="12"/>
      <c r="AR207" s="12"/>
      <c r="AS207" s="10"/>
      <c r="AT207" s="12"/>
      <c r="AU207" s="12"/>
      <c r="AV207" s="10"/>
      <c r="AW207" s="12"/>
      <c r="AX207" s="12"/>
      <c r="AY207" s="10"/>
      <c r="AZ207" s="12"/>
      <c r="BA207" s="12"/>
      <c r="BB207" s="10"/>
      <c r="BC207" s="12"/>
      <c r="BD207" s="12"/>
      <c r="BE207" s="10"/>
      <c r="BF207" s="12"/>
      <c r="BG207" s="12"/>
      <c r="BH207" s="10"/>
      <c r="BI207" s="12"/>
      <c r="BK207" s="16"/>
      <c r="BL207" s="16"/>
      <c r="BM207" s="16"/>
      <c r="BN207" s="16"/>
      <c r="BO207" s="16"/>
      <c r="BP207" s="16"/>
      <c r="BQ207" s="16"/>
      <c r="BR207" s="16"/>
      <c r="BS207" s="14"/>
      <c r="BT207" s="15"/>
      <c r="BU207" s="23"/>
      <c r="BV207" s="21"/>
      <c r="BW207" s="21"/>
      <c r="BX207" s="16"/>
      <c r="BY207" s="22"/>
      <c r="BZ207" s="16"/>
      <c r="CA207" s="8"/>
      <c r="CB207" s="10"/>
      <c r="CD207" s="10"/>
      <c r="CF207" s="10"/>
      <c r="CH207" s="10"/>
      <c r="CJ207" s="10"/>
      <c r="CL207" s="10"/>
      <c r="CN207" s="10"/>
      <c r="CP207" s="10"/>
      <c r="CR207" s="10"/>
      <c r="CT207" s="10"/>
      <c r="CV207" s="10"/>
      <c r="CX207" s="10"/>
      <c r="CZ207" s="10"/>
      <c r="DB207" s="10"/>
      <c r="DD207" s="10"/>
      <c r="DF207" s="10"/>
      <c r="DH207" s="10"/>
      <c r="DJ207" s="10"/>
      <c r="DL207" s="10"/>
    </row>
    <row r="208" spans="1:116" x14ac:dyDescent="0.2">
      <c r="A208" s="5"/>
      <c r="B208" s="6"/>
      <c r="C208" s="6"/>
      <c r="D208" s="27"/>
      <c r="E208" s="6"/>
      <c r="F208" s="8"/>
      <c r="G208" s="8"/>
      <c r="I208" s="10"/>
      <c r="J208" s="11"/>
      <c r="K208" s="12"/>
      <c r="L208" s="10"/>
      <c r="M208" s="11"/>
      <c r="N208" s="12"/>
      <c r="O208" s="10"/>
      <c r="P208" s="11"/>
      <c r="Q208" s="12"/>
      <c r="R208" s="13"/>
      <c r="S208" s="11"/>
      <c r="T208" s="12"/>
      <c r="U208" s="10"/>
      <c r="V208" s="12"/>
      <c r="W208" s="12"/>
      <c r="X208" s="10"/>
      <c r="Y208" s="12"/>
      <c r="Z208" s="12"/>
      <c r="AA208" s="10"/>
      <c r="AB208" s="12"/>
      <c r="AC208" s="12"/>
      <c r="AD208" s="10"/>
      <c r="AE208" s="12"/>
      <c r="AF208" s="12"/>
      <c r="AG208" s="10"/>
      <c r="AH208" s="12"/>
      <c r="AI208" s="12"/>
      <c r="AJ208" s="13"/>
      <c r="AK208" s="11"/>
      <c r="AL208" s="12"/>
      <c r="AM208" s="10"/>
      <c r="AN208" s="12"/>
      <c r="AO208" s="12"/>
      <c r="AP208" s="10"/>
      <c r="AQ208" s="12"/>
      <c r="AR208" s="12"/>
      <c r="AS208" s="10"/>
      <c r="AT208" s="12"/>
      <c r="AU208" s="12"/>
      <c r="AV208" s="10"/>
      <c r="AW208" s="12"/>
      <c r="AX208" s="12"/>
      <c r="AY208" s="10"/>
      <c r="AZ208" s="12"/>
      <c r="BA208" s="12"/>
      <c r="BB208" s="10"/>
      <c r="BC208" s="12"/>
      <c r="BD208" s="12"/>
      <c r="BE208" s="10"/>
      <c r="BF208" s="12"/>
      <c r="BG208" s="12"/>
      <c r="BH208" s="10"/>
      <c r="BI208" s="12"/>
      <c r="BK208" s="16"/>
      <c r="BL208" s="16"/>
      <c r="BM208" s="16"/>
      <c r="BN208" s="16"/>
      <c r="BO208" s="16"/>
      <c r="BP208" s="16"/>
      <c r="BQ208" s="16"/>
      <c r="BR208" s="16"/>
      <c r="BS208" s="14"/>
      <c r="BT208" s="15"/>
      <c r="BU208" s="23"/>
      <c r="BV208" s="21"/>
      <c r="BW208" s="21"/>
      <c r="BX208" s="16"/>
      <c r="BY208" s="22"/>
      <c r="BZ208" s="16"/>
      <c r="CA208" s="8"/>
      <c r="CB208" s="10"/>
      <c r="CD208" s="10"/>
      <c r="CF208" s="10"/>
      <c r="CH208" s="10"/>
      <c r="CJ208" s="10"/>
      <c r="CL208" s="10"/>
      <c r="CN208" s="10"/>
      <c r="CP208" s="10"/>
      <c r="CR208" s="10"/>
      <c r="CT208" s="10"/>
      <c r="CV208" s="10"/>
      <c r="CX208" s="10"/>
      <c r="CZ208" s="10"/>
      <c r="DB208" s="10"/>
      <c r="DD208" s="10"/>
      <c r="DF208" s="10"/>
      <c r="DH208" s="10"/>
      <c r="DJ208" s="10"/>
      <c r="DL208" s="10"/>
    </row>
    <row r="209" spans="1:116" x14ac:dyDescent="0.2">
      <c r="A209" s="5"/>
      <c r="B209" s="6"/>
      <c r="C209" s="6"/>
      <c r="D209" s="27"/>
      <c r="E209" s="6"/>
      <c r="F209" s="8"/>
      <c r="G209" s="8"/>
      <c r="I209" s="10"/>
      <c r="J209" s="11"/>
      <c r="K209" s="12"/>
      <c r="L209" s="10"/>
      <c r="M209" s="11"/>
      <c r="N209" s="12"/>
      <c r="O209" s="10"/>
      <c r="P209" s="11"/>
      <c r="Q209" s="12"/>
      <c r="R209" s="13"/>
      <c r="S209" s="11"/>
      <c r="T209" s="12"/>
      <c r="U209" s="10"/>
      <c r="V209" s="12"/>
      <c r="W209" s="12"/>
      <c r="X209" s="10"/>
      <c r="Y209" s="12"/>
      <c r="Z209" s="12"/>
      <c r="AA209" s="10"/>
      <c r="AB209" s="12"/>
      <c r="AC209" s="12"/>
      <c r="AD209" s="10"/>
      <c r="AE209" s="12"/>
      <c r="AF209" s="12"/>
      <c r="AG209" s="10"/>
      <c r="AH209" s="12"/>
      <c r="AI209" s="12"/>
      <c r="AJ209" s="13"/>
      <c r="AK209" s="11"/>
      <c r="AL209" s="12"/>
      <c r="AM209" s="10"/>
      <c r="AN209" s="12"/>
      <c r="AO209" s="12"/>
      <c r="AP209" s="10"/>
      <c r="AQ209" s="12"/>
      <c r="AR209" s="12"/>
      <c r="AS209" s="10"/>
      <c r="AT209" s="12"/>
      <c r="AU209" s="12"/>
      <c r="AV209" s="10"/>
      <c r="AW209" s="12"/>
      <c r="AX209" s="12"/>
      <c r="AY209" s="10"/>
      <c r="AZ209" s="12"/>
      <c r="BA209" s="12"/>
      <c r="BB209" s="10"/>
      <c r="BC209" s="12"/>
      <c r="BD209" s="12"/>
      <c r="BE209" s="10"/>
      <c r="BF209" s="12"/>
      <c r="BG209" s="12"/>
      <c r="BH209" s="10"/>
      <c r="BI209" s="12"/>
      <c r="BK209" s="16"/>
      <c r="BL209" s="16"/>
      <c r="BM209" s="16"/>
      <c r="BN209" s="16"/>
      <c r="BO209" s="16"/>
      <c r="BP209" s="16"/>
      <c r="BQ209" s="16"/>
      <c r="BR209" s="16"/>
      <c r="BS209" s="14"/>
      <c r="BT209" s="15"/>
      <c r="BU209" s="23"/>
      <c r="BV209" s="21"/>
      <c r="BW209" s="21"/>
      <c r="BX209" s="16"/>
      <c r="BY209" s="22"/>
      <c r="BZ209" s="16"/>
      <c r="CA209" s="8"/>
      <c r="CB209" s="10"/>
      <c r="CD209" s="10"/>
      <c r="CF209" s="10"/>
      <c r="CH209" s="10"/>
      <c r="CJ209" s="10"/>
      <c r="CL209" s="10"/>
      <c r="CN209" s="10"/>
      <c r="CP209" s="10"/>
      <c r="CR209" s="10"/>
      <c r="CT209" s="10"/>
      <c r="CV209" s="10"/>
      <c r="CX209" s="10"/>
      <c r="CZ209" s="10"/>
      <c r="DB209" s="10"/>
      <c r="DD209" s="10"/>
      <c r="DF209" s="10"/>
      <c r="DH209" s="10"/>
      <c r="DJ209" s="10"/>
      <c r="DL209" s="10"/>
    </row>
    <row r="210" spans="1:116" x14ac:dyDescent="0.2">
      <c r="A210" s="5"/>
      <c r="B210" s="6"/>
      <c r="C210" s="6"/>
      <c r="D210" s="27"/>
      <c r="E210" s="6"/>
      <c r="F210" s="8"/>
      <c r="G210" s="8"/>
      <c r="I210" s="10"/>
      <c r="J210" s="11"/>
      <c r="K210" s="12"/>
      <c r="L210" s="10"/>
      <c r="M210" s="11"/>
      <c r="N210" s="12"/>
      <c r="O210" s="10"/>
      <c r="P210" s="11"/>
      <c r="Q210" s="12"/>
      <c r="R210" s="13"/>
      <c r="S210" s="11"/>
      <c r="T210" s="12"/>
      <c r="U210" s="10"/>
      <c r="V210" s="12"/>
      <c r="W210" s="12"/>
      <c r="X210" s="10"/>
      <c r="Y210" s="12"/>
      <c r="Z210" s="12"/>
      <c r="AA210" s="10"/>
      <c r="AB210" s="12"/>
      <c r="AC210" s="12"/>
      <c r="AD210" s="10"/>
      <c r="AE210" s="12"/>
      <c r="AF210" s="12"/>
      <c r="AG210" s="10"/>
      <c r="AH210" s="12"/>
      <c r="AI210" s="12"/>
      <c r="AJ210" s="13"/>
      <c r="AK210" s="11"/>
      <c r="AL210" s="12"/>
      <c r="AM210" s="10"/>
      <c r="AN210" s="12"/>
      <c r="AO210" s="12"/>
      <c r="AP210" s="10"/>
      <c r="AQ210" s="12"/>
      <c r="AR210" s="12"/>
      <c r="AS210" s="10"/>
      <c r="AT210" s="12"/>
      <c r="AU210" s="12"/>
      <c r="AV210" s="10"/>
      <c r="AW210" s="12"/>
      <c r="AX210" s="12"/>
      <c r="AY210" s="10"/>
      <c r="AZ210" s="12"/>
      <c r="BA210" s="12"/>
      <c r="BB210" s="10"/>
      <c r="BC210" s="12"/>
      <c r="BD210" s="12"/>
      <c r="BE210" s="10"/>
      <c r="BF210" s="12"/>
      <c r="BG210" s="12"/>
      <c r="BH210" s="10"/>
      <c r="BI210" s="12"/>
      <c r="BK210" s="16"/>
      <c r="BL210" s="16"/>
      <c r="BM210" s="16"/>
      <c r="BN210" s="16"/>
      <c r="BO210" s="16"/>
      <c r="BP210" s="16"/>
      <c r="BQ210" s="16"/>
      <c r="BR210" s="16"/>
      <c r="BS210" s="14"/>
      <c r="BT210" s="15"/>
      <c r="BU210" s="23"/>
      <c r="BV210" s="21"/>
      <c r="BW210" s="21"/>
      <c r="BX210" s="16"/>
      <c r="BY210" s="22"/>
      <c r="BZ210" s="16"/>
      <c r="CA210" s="8"/>
      <c r="CB210" s="10"/>
      <c r="CD210" s="10"/>
      <c r="CF210" s="10"/>
      <c r="CH210" s="10"/>
      <c r="CJ210" s="10"/>
      <c r="CL210" s="10"/>
      <c r="CN210" s="10"/>
      <c r="CP210" s="10"/>
      <c r="CR210" s="10"/>
      <c r="CT210" s="10"/>
      <c r="CV210" s="10"/>
      <c r="CX210" s="10"/>
      <c r="CZ210" s="10"/>
      <c r="DB210" s="10"/>
      <c r="DD210" s="10"/>
      <c r="DF210" s="10"/>
      <c r="DH210" s="10"/>
      <c r="DJ210" s="10"/>
      <c r="DL210" s="10"/>
    </row>
    <row r="211" spans="1:116" x14ac:dyDescent="0.2">
      <c r="A211" s="5"/>
      <c r="B211" s="6"/>
      <c r="C211" s="6"/>
      <c r="D211" s="27"/>
      <c r="E211" s="6"/>
      <c r="F211" s="8"/>
      <c r="G211" s="8"/>
      <c r="I211" s="10"/>
      <c r="J211" s="11"/>
      <c r="K211" s="12"/>
      <c r="L211" s="10"/>
      <c r="M211" s="11"/>
      <c r="N211" s="12"/>
      <c r="O211" s="10"/>
      <c r="P211" s="11"/>
      <c r="Q211" s="12"/>
      <c r="R211" s="13"/>
      <c r="S211" s="11"/>
      <c r="T211" s="12"/>
      <c r="U211" s="10"/>
      <c r="V211" s="12"/>
      <c r="W211" s="12"/>
      <c r="X211" s="10"/>
      <c r="Y211" s="12"/>
      <c r="Z211" s="12"/>
      <c r="AA211" s="10"/>
      <c r="AB211" s="12"/>
      <c r="AC211" s="12"/>
      <c r="AD211" s="10"/>
      <c r="AE211" s="12"/>
      <c r="AF211" s="12"/>
      <c r="AG211" s="10"/>
      <c r="AH211" s="12"/>
      <c r="AI211" s="12"/>
      <c r="AJ211" s="13"/>
      <c r="AK211" s="11"/>
      <c r="AL211" s="12"/>
      <c r="AM211" s="10"/>
      <c r="AN211" s="12"/>
      <c r="AO211" s="12"/>
      <c r="AP211" s="10"/>
      <c r="AQ211" s="12"/>
      <c r="AR211" s="12"/>
      <c r="AS211" s="10"/>
      <c r="AT211" s="12"/>
      <c r="AU211" s="12"/>
      <c r="AV211" s="10"/>
      <c r="AW211" s="12"/>
      <c r="AX211" s="12"/>
      <c r="AY211" s="10"/>
      <c r="AZ211" s="12"/>
      <c r="BA211" s="12"/>
      <c r="BB211" s="10"/>
      <c r="BC211" s="12"/>
      <c r="BD211" s="12"/>
      <c r="BE211" s="10"/>
      <c r="BF211" s="12"/>
      <c r="BG211" s="12"/>
      <c r="BH211" s="10"/>
      <c r="BI211" s="12"/>
      <c r="BK211" s="16"/>
      <c r="BL211" s="16"/>
      <c r="BM211" s="16"/>
      <c r="BN211" s="16"/>
      <c r="BO211" s="16"/>
      <c r="BP211" s="16"/>
      <c r="BQ211" s="16"/>
      <c r="BR211" s="16"/>
      <c r="BS211" s="14"/>
      <c r="BT211" s="15"/>
      <c r="BU211" s="23"/>
      <c r="BV211" s="21"/>
      <c r="BW211" s="21"/>
      <c r="BX211" s="16"/>
      <c r="BY211" s="22"/>
      <c r="BZ211" s="16"/>
      <c r="CA211" s="8"/>
      <c r="CB211" s="10"/>
      <c r="CD211" s="10"/>
      <c r="CF211" s="10"/>
      <c r="CH211" s="10"/>
      <c r="CJ211" s="10"/>
      <c r="CL211" s="10"/>
      <c r="CN211" s="10"/>
      <c r="CP211" s="10"/>
      <c r="CR211" s="10"/>
      <c r="CT211" s="10"/>
      <c r="CV211" s="10"/>
      <c r="CX211" s="10"/>
      <c r="CZ211" s="10"/>
      <c r="DB211" s="10"/>
      <c r="DD211" s="10"/>
      <c r="DF211" s="10"/>
      <c r="DH211" s="10"/>
      <c r="DJ211" s="10"/>
      <c r="DL211" s="10"/>
    </row>
    <row r="212" spans="1:116" x14ac:dyDescent="0.2">
      <c r="A212" s="5"/>
      <c r="B212" s="6"/>
      <c r="C212" s="6"/>
      <c r="D212" s="27"/>
      <c r="E212" s="6"/>
      <c r="F212" s="8"/>
      <c r="G212" s="8"/>
      <c r="I212" s="10"/>
      <c r="J212" s="11"/>
      <c r="K212" s="12"/>
      <c r="L212" s="10"/>
      <c r="M212" s="11"/>
      <c r="N212" s="12"/>
      <c r="O212" s="10"/>
      <c r="P212" s="11"/>
      <c r="Q212" s="12"/>
      <c r="R212" s="13"/>
      <c r="S212" s="11"/>
      <c r="T212" s="12"/>
      <c r="U212" s="10"/>
      <c r="V212" s="12"/>
      <c r="W212" s="12"/>
      <c r="X212" s="10"/>
      <c r="Y212" s="12"/>
      <c r="Z212" s="12"/>
      <c r="AA212" s="10"/>
      <c r="AB212" s="12"/>
      <c r="AC212" s="12"/>
      <c r="AD212" s="10"/>
      <c r="AE212" s="12"/>
      <c r="AF212" s="12"/>
      <c r="AG212" s="10"/>
      <c r="AH212" s="12"/>
      <c r="AI212" s="12"/>
      <c r="AJ212" s="13"/>
      <c r="AK212" s="11"/>
      <c r="AL212" s="12"/>
      <c r="AM212" s="10"/>
      <c r="AN212" s="12"/>
      <c r="AO212" s="12"/>
      <c r="AP212" s="10"/>
      <c r="AQ212" s="12"/>
      <c r="AR212" s="12"/>
      <c r="AS212" s="10"/>
      <c r="AT212" s="12"/>
      <c r="AU212" s="12"/>
      <c r="AV212" s="10"/>
      <c r="AW212" s="12"/>
      <c r="AX212" s="12"/>
      <c r="AY212" s="10"/>
      <c r="AZ212" s="12"/>
      <c r="BA212" s="12"/>
      <c r="BB212" s="10"/>
      <c r="BC212" s="12"/>
      <c r="BD212" s="12"/>
      <c r="BE212" s="10"/>
      <c r="BF212" s="12"/>
      <c r="BG212" s="12"/>
      <c r="BH212" s="10"/>
      <c r="BI212" s="12"/>
      <c r="BK212" s="16"/>
      <c r="BL212" s="16"/>
      <c r="BM212" s="16"/>
      <c r="BN212" s="16"/>
      <c r="BO212" s="16"/>
      <c r="BP212" s="16"/>
      <c r="BQ212" s="16"/>
      <c r="BR212" s="16"/>
      <c r="BS212" s="14"/>
      <c r="BT212" s="15"/>
      <c r="BU212" s="23"/>
      <c r="BV212" s="21"/>
      <c r="BW212" s="21"/>
      <c r="BX212" s="16"/>
      <c r="BY212" s="22"/>
      <c r="BZ212" s="16"/>
      <c r="CA212" s="8"/>
      <c r="CB212" s="10"/>
      <c r="CD212" s="10"/>
      <c r="CF212" s="10"/>
      <c r="CH212" s="10"/>
      <c r="CJ212" s="10"/>
      <c r="CL212" s="10"/>
      <c r="CN212" s="10"/>
      <c r="CP212" s="10"/>
      <c r="CR212" s="10"/>
      <c r="CT212" s="10"/>
      <c r="CV212" s="10"/>
      <c r="CX212" s="10"/>
      <c r="CZ212" s="10"/>
      <c r="DB212" s="10"/>
      <c r="DD212" s="10"/>
      <c r="DF212" s="10"/>
      <c r="DH212" s="10"/>
      <c r="DJ212" s="10"/>
      <c r="DL212" s="10"/>
    </row>
    <row r="213" spans="1:116" x14ac:dyDescent="0.2">
      <c r="A213" s="5"/>
      <c r="B213" s="6"/>
      <c r="C213" s="6"/>
      <c r="D213" s="27"/>
      <c r="E213" s="6"/>
      <c r="F213" s="8"/>
      <c r="G213" s="8"/>
      <c r="I213" s="10"/>
      <c r="J213" s="11"/>
      <c r="K213" s="12"/>
      <c r="L213" s="10"/>
      <c r="M213" s="11"/>
      <c r="N213" s="12"/>
      <c r="O213" s="10"/>
      <c r="P213" s="11"/>
      <c r="Q213" s="12"/>
      <c r="R213" s="13"/>
      <c r="S213" s="11"/>
      <c r="T213" s="12"/>
      <c r="U213" s="10"/>
      <c r="V213" s="12"/>
      <c r="W213" s="12"/>
      <c r="X213" s="10"/>
      <c r="Y213" s="12"/>
      <c r="Z213" s="12"/>
      <c r="AA213" s="10"/>
      <c r="AB213" s="12"/>
      <c r="AC213" s="12"/>
      <c r="AD213" s="10"/>
      <c r="AE213" s="12"/>
      <c r="AF213" s="12"/>
      <c r="AG213" s="10"/>
      <c r="AH213" s="12"/>
      <c r="AI213" s="12"/>
      <c r="AJ213" s="13"/>
      <c r="AK213" s="11"/>
      <c r="AL213" s="12"/>
      <c r="AM213" s="10"/>
      <c r="AN213" s="12"/>
      <c r="AO213" s="12"/>
      <c r="AP213" s="10"/>
      <c r="AQ213" s="12"/>
      <c r="AR213" s="12"/>
      <c r="AS213" s="10"/>
      <c r="AT213" s="12"/>
      <c r="AU213" s="12"/>
      <c r="AV213" s="10"/>
      <c r="AW213" s="12"/>
      <c r="AX213" s="12"/>
      <c r="AY213" s="10"/>
      <c r="AZ213" s="12"/>
      <c r="BA213" s="12"/>
      <c r="BB213" s="10"/>
      <c r="BC213" s="12"/>
      <c r="BD213" s="12"/>
      <c r="BE213" s="10"/>
      <c r="BF213" s="12"/>
      <c r="BG213" s="12"/>
      <c r="BH213" s="10"/>
      <c r="BI213" s="12"/>
      <c r="BK213" s="16"/>
      <c r="BL213" s="16"/>
      <c r="BM213" s="16"/>
      <c r="BN213" s="16"/>
      <c r="BO213" s="16"/>
      <c r="BP213" s="16"/>
      <c r="BQ213" s="16"/>
      <c r="BR213" s="16"/>
      <c r="BS213" s="14"/>
      <c r="BT213" s="15"/>
      <c r="BU213" s="23"/>
      <c r="BV213" s="21"/>
      <c r="BW213" s="21"/>
      <c r="BX213" s="16"/>
      <c r="BY213" s="22"/>
      <c r="BZ213" s="16"/>
      <c r="CA213" s="8"/>
      <c r="CB213" s="10"/>
      <c r="CD213" s="10"/>
      <c r="CF213" s="10"/>
      <c r="CH213" s="10"/>
      <c r="CJ213" s="10"/>
      <c r="CL213" s="10"/>
      <c r="CN213" s="10"/>
      <c r="CP213" s="10"/>
      <c r="CR213" s="10"/>
      <c r="CT213" s="10"/>
      <c r="CV213" s="10"/>
      <c r="CX213" s="10"/>
      <c r="CZ213" s="10"/>
      <c r="DB213" s="10"/>
      <c r="DD213" s="10"/>
      <c r="DF213" s="10"/>
      <c r="DH213" s="10"/>
      <c r="DJ213" s="10"/>
      <c r="DL213" s="10"/>
    </row>
    <row r="214" spans="1:116" x14ac:dyDescent="0.2">
      <c r="A214" s="5"/>
      <c r="B214" s="6"/>
      <c r="C214" s="6"/>
      <c r="D214" s="27"/>
      <c r="E214" s="6"/>
      <c r="F214" s="8"/>
      <c r="G214" s="8"/>
      <c r="I214" s="10"/>
      <c r="J214" s="11"/>
      <c r="K214" s="12"/>
      <c r="L214" s="10"/>
      <c r="M214" s="11"/>
      <c r="N214" s="12"/>
      <c r="O214" s="10"/>
      <c r="P214" s="11"/>
      <c r="Q214" s="12"/>
      <c r="R214" s="13"/>
      <c r="S214" s="11"/>
      <c r="T214" s="12"/>
      <c r="U214" s="10"/>
      <c r="V214" s="12"/>
      <c r="W214" s="12"/>
      <c r="X214" s="10"/>
      <c r="Y214" s="12"/>
      <c r="Z214" s="12"/>
      <c r="AA214" s="10"/>
      <c r="AB214" s="12"/>
      <c r="AC214" s="12"/>
      <c r="AD214" s="10"/>
      <c r="AE214" s="12"/>
      <c r="AF214" s="12"/>
      <c r="AG214" s="10"/>
      <c r="AH214" s="12"/>
      <c r="AI214" s="12"/>
      <c r="AJ214" s="13"/>
      <c r="AK214" s="11"/>
      <c r="AL214" s="12"/>
      <c r="AM214" s="10"/>
      <c r="AN214" s="12"/>
      <c r="AO214" s="12"/>
      <c r="AP214" s="10"/>
      <c r="AQ214" s="12"/>
      <c r="AR214" s="12"/>
      <c r="AS214" s="10"/>
      <c r="AT214" s="12"/>
      <c r="AU214" s="12"/>
      <c r="AV214" s="10"/>
      <c r="AW214" s="12"/>
      <c r="AX214" s="12"/>
      <c r="AY214" s="10"/>
      <c r="AZ214" s="12"/>
      <c r="BA214" s="12"/>
      <c r="BB214" s="10"/>
      <c r="BC214" s="12"/>
      <c r="BD214" s="12"/>
      <c r="BE214" s="10"/>
      <c r="BF214" s="12"/>
      <c r="BG214" s="12"/>
      <c r="BH214" s="10"/>
      <c r="BI214" s="12"/>
      <c r="BK214" s="16"/>
      <c r="BL214" s="16"/>
      <c r="BM214" s="16"/>
      <c r="BN214" s="16"/>
      <c r="BO214" s="16"/>
      <c r="BP214" s="16"/>
      <c r="BQ214" s="16"/>
      <c r="BR214" s="16"/>
      <c r="BS214" s="14"/>
      <c r="BT214" s="15"/>
      <c r="BU214" s="23"/>
      <c r="BV214" s="21"/>
      <c r="BW214" s="21"/>
      <c r="BX214" s="16"/>
      <c r="BY214" s="22"/>
      <c r="BZ214" s="16"/>
      <c r="CA214" s="8"/>
      <c r="CB214" s="10"/>
      <c r="CD214" s="10"/>
      <c r="CF214" s="10"/>
      <c r="CH214" s="10"/>
      <c r="CJ214" s="10"/>
      <c r="CL214" s="10"/>
      <c r="CN214" s="10"/>
      <c r="CP214" s="10"/>
      <c r="CR214" s="10"/>
      <c r="CT214" s="10"/>
      <c r="CV214" s="10"/>
      <c r="CX214" s="10"/>
      <c r="CZ214" s="10"/>
      <c r="DB214" s="10"/>
      <c r="DD214" s="10"/>
      <c r="DF214" s="10"/>
      <c r="DH214" s="10"/>
      <c r="DJ214" s="10"/>
      <c r="DL214" s="10"/>
    </row>
    <row r="215" spans="1:116" x14ac:dyDescent="0.2">
      <c r="A215" s="5"/>
      <c r="B215" s="6"/>
      <c r="C215" s="6"/>
      <c r="D215" s="27"/>
      <c r="E215" s="6"/>
      <c r="F215" s="8"/>
      <c r="G215" s="8"/>
      <c r="I215" s="10"/>
      <c r="J215" s="11"/>
      <c r="K215" s="12"/>
      <c r="L215" s="10"/>
      <c r="M215" s="11"/>
      <c r="N215" s="12"/>
      <c r="O215" s="10"/>
      <c r="P215" s="11"/>
      <c r="Q215" s="12"/>
      <c r="R215" s="13"/>
      <c r="S215" s="11"/>
      <c r="T215" s="12"/>
      <c r="U215" s="10"/>
      <c r="V215" s="12"/>
      <c r="W215" s="12"/>
      <c r="X215" s="10"/>
      <c r="Y215" s="12"/>
      <c r="Z215" s="12"/>
      <c r="AA215" s="10"/>
      <c r="AB215" s="12"/>
      <c r="AC215" s="12"/>
      <c r="AD215" s="10"/>
      <c r="AE215" s="12"/>
      <c r="AF215" s="12"/>
      <c r="AG215" s="10"/>
      <c r="AH215" s="12"/>
      <c r="AI215" s="12"/>
      <c r="AJ215" s="13"/>
      <c r="AK215" s="11"/>
      <c r="AL215" s="12"/>
      <c r="AM215" s="10"/>
      <c r="AN215" s="12"/>
      <c r="AO215" s="12"/>
      <c r="AP215" s="10"/>
      <c r="AQ215" s="12"/>
      <c r="AR215" s="12"/>
      <c r="AS215" s="10"/>
      <c r="AT215" s="12"/>
      <c r="AU215" s="12"/>
      <c r="AV215" s="10"/>
      <c r="AW215" s="12"/>
      <c r="AX215" s="12"/>
      <c r="AY215" s="10"/>
      <c r="AZ215" s="12"/>
      <c r="BA215" s="12"/>
      <c r="BB215" s="10"/>
      <c r="BC215" s="12"/>
      <c r="BD215" s="12"/>
      <c r="BE215" s="10"/>
      <c r="BF215" s="12"/>
      <c r="BG215" s="12"/>
      <c r="BH215" s="10"/>
      <c r="BI215" s="12"/>
      <c r="BK215" s="16"/>
      <c r="BL215" s="16"/>
      <c r="BM215" s="16"/>
      <c r="BN215" s="16"/>
      <c r="BO215" s="16"/>
      <c r="BP215" s="16"/>
      <c r="BQ215" s="16"/>
      <c r="BR215" s="16"/>
      <c r="BS215" s="14"/>
      <c r="BT215" s="15"/>
      <c r="BU215" s="23"/>
      <c r="BV215" s="21"/>
      <c r="BW215" s="21"/>
      <c r="BX215" s="16"/>
      <c r="BY215" s="22"/>
      <c r="BZ215" s="16"/>
      <c r="CA215" s="8"/>
      <c r="CB215" s="10"/>
      <c r="CD215" s="10"/>
      <c r="CF215" s="10"/>
      <c r="CH215" s="10"/>
      <c r="CJ215" s="10"/>
      <c r="CL215" s="10"/>
      <c r="CN215" s="10"/>
      <c r="CP215" s="10"/>
      <c r="CR215" s="10"/>
      <c r="CT215" s="10"/>
      <c r="CV215" s="10"/>
      <c r="CX215" s="10"/>
      <c r="CZ215" s="10"/>
      <c r="DB215" s="10"/>
      <c r="DD215" s="10"/>
      <c r="DF215" s="10"/>
      <c r="DH215" s="10"/>
      <c r="DJ215" s="10"/>
      <c r="DL215" s="10"/>
    </row>
    <row r="216" spans="1:116" x14ac:dyDescent="0.2">
      <c r="A216" s="5"/>
      <c r="B216" s="6"/>
      <c r="C216" s="6"/>
      <c r="D216" s="27"/>
      <c r="E216" s="6"/>
      <c r="F216" s="8"/>
      <c r="G216" s="8"/>
      <c r="I216" s="10"/>
      <c r="J216" s="11"/>
      <c r="K216" s="12"/>
      <c r="L216" s="10"/>
      <c r="M216" s="11"/>
      <c r="N216" s="12"/>
      <c r="O216" s="10"/>
      <c r="P216" s="11"/>
      <c r="Q216" s="12"/>
      <c r="R216" s="13"/>
      <c r="S216" s="11"/>
      <c r="T216" s="12"/>
      <c r="U216" s="10"/>
      <c r="V216" s="12"/>
      <c r="W216" s="12"/>
      <c r="X216" s="10"/>
      <c r="Y216" s="12"/>
      <c r="Z216" s="12"/>
      <c r="AA216" s="10"/>
      <c r="AB216" s="12"/>
      <c r="AC216" s="12"/>
      <c r="AD216" s="10"/>
      <c r="AE216" s="12"/>
      <c r="AF216" s="12"/>
      <c r="AG216" s="10"/>
      <c r="AH216" s="12"/>
      <c r="AI216" s="12"/>
      <c r="AJ216" s="13"/>
      <c r="AK216" s="11"/>
      <c r="AL216" s="12"/>
      <c r="AM216" s="10"/>
      <c r="AN216" s="12"/>
      <c r="AO216" s="12"/>
      <c r="AP216" s="10"/>
      <c r="AQ216" s="12"/>
      <c r="AR216" s="12"/>
      <c r="AS216" s="10"/>
      <c r="AT216" s="12"/>
      <c r="AU216" s="12"/>
      <c r="AV216" s="10"/>
      <c r="AW216" s="12"/>
      <c r="AX216" s="12"/>
      <c r="AY216" s="10"/>
      <c r="AZ216" s="12"/>
      <c r="BA216" s="12"/>
      <c r="BB216" s="10"/>
      <c r="BC216" s="12"/>
      <c r="BD216" s="12"/>
      <c r="BE216" s="10"/>
      <c r="BF216" s="12"/>
      <c r="BG216" s="12"/>
      <c r="BH216" s="10"/>
      <c r="BI216" s="12"/>
      <c r="BK216" s="16"/>
      <c r="BL216" s="16"/>
      <c r="BM216" s="16"/>
      <c r="BN216" s="16"/>
      <c r="BO216" s="16"/>
      <c r="BP216" s="16"/>
      <c r="BQ216" s="16"/>
      <c r="BR216" s="16"/>
      <c r="BS216" s="14"/>
      <c r="BT216" s="15"/>
      <c r="BU216" s="23"/>
      <c r="BV216" s="21"/>
      <c r="BW216" s="21"/>
      <c r="BX216" s="16"/>
      <c r="BY216" s="22"/>
      <c r="BZ216" s="16"/>
      <c r="CA216" s="8"/>
      <c r="CB216" s="10"/>
      <c r="CD216" s="10"/>
      <c r="CF216" s="10"/>
      <c r="CH216" s="10"/>
      <c r="CJ216" s="10"/>
      <c r="CL216" s="10"/>
      <c r="CN216" s="10"/>
      <c r="CP216" s="10"/>
      <c r="CR216" s="10"/>
      <c r="CT216" s="10"/>
      <c r="CV216" s="10"/>
      <c r="CX216" s="10"/>
      <c r="CZ216" s="10"/>
      <c r="DB216" s="10"/>
      <c r="DD216" s="10"/>
      <c r="DF216" s="10"/>
      <c r="DH216" s="10"/>
      <c r="DJ216" s="10"/>
      <c r="DL216" s="10"/>
    </row>
    <row r="217" spans="1:116" x14ac:dyDescent="0.2">
      <c r="A217" s="5"/>
      <c r="B217" s="6"/>
      <c r="C217" s="6"/>
      <c r="D217" s="27"/>
      <c r="E217" s="6"/>
      <c r="F217" s="8"/>
      <c r="G217" s="8"/>
      <c r="I217" s="10"/>
      <c r="J217" s="11"/>
      <c r="K217" s="12"/>
      <c r="L217" s="10"/>
      <c r="M217" s="11"/>
      <c r="N217" s="12"/>
      <c r="O217" s="10"/>
      <c r="P217" s="11"/>
      <c r="Q217" s="12"/>
      <c r="R217" s="13"/>
      <c r="S217" s="11"/>
      <c r="T217" s="12"/>
      <c r="U217" s="10"/>
      <c r="V217" s="12"/>
      <c r="W217" s="12"/>
      <c r="X217" s="10"/>
      <c r="Y217" s="12"/>
      <c r="Z217" s="12"/>
      <c r="AA217" s="10"/>
      <c r="AB217" s="12"/>
      <c r="AC217" s="12"/>
      <c r="AD217" s="10"/>
      <c r="AE217" s="12"/>
      <c r="AF217" s="12"/>
      <c r="AG217" s="10"/>
      <c r="AH217" s="12"/>
      <c r="AI217" s="12"/>
      <c r="AJ217" s="13"/>
      <c r="AK217" s="11"/>
      <c r="AL217" s="12"/>
      <c r="AM217" s="10"/>
      <c r="AN217" s="12"/>
      <c r="AO217" s="12"/>
      <c r="AP217" s="10"/>
      <c r="AQ217" s="12"/>
      <c r="AR217" s="12"/>
      <c r="AS217" s="10"/>
      <c r="AT217" s="12"/>
      <c r="AU217" s="12"/>
      <c r="AV217" s="10"/>
      <c r="AW217" s="12"/>
      <c r="AX217" s="12"/>
      <c r="AY217" s="10"/>
      <c r="AZ217" s="12"/>
      <c r="BA217" s="12"/>
      <c r="BB217" s="10"/>
      <c r="BC217" s="12"/>
      <c r="BD217" s="12"/>
      <c r="BE217" s="10"/>
      <c r="BF217" s="12"/>
      <c r="BG217" s="12"/>
      <c r="BH217" s="10"/>
      <c r="BI217" s="12"/>
      <c r="BK217" s="16"/>
      <c r="BL217" s="16"/>
      <c r="BM217" s="16"/>
      <c r="BN217" s="16"/>
      <c r="BO217" s="16"/>
      <c r="BP217" s="16"/>
      <c r="BQ217" s="16"/>
      <c r="BR217" s="16"/>
      <c r="BS217" s="14"/>
      <c r="BT217" s="15"/>
      <c r="BU217" s="23"/>
      <c r="BV217" s="21"/>
      <c r="BW217" s="21"/>
      <c r="BX217" s="16"/>
      <c r="BY217" s="22"/>
      <c r="BZ217" s="16"/>
      <c r="CA217" s="8"/>
      <c r="CB217" s="10"/>
      <c r="CD217" s="10"/>
      <c r="CF217" s="10"/>
      <c r="CH217" s="10"/>
      <c r="CJ217" s="10"/>
      <c r="CL217" s="10"/>
      <c r="CN217" s="10"/>
      <c r="CP217" s="10"/>
      <c r="CR217" s="10"/>
      <c r="CT217" s="10"/>
      <c r="CV217" s="10"/>
      <c r="CX217" s="10"/>
      <c r="CZ217" s="10"/>
      <c r="DB217" s="10"/>
      <c r="DD217" s="10"/>
      <c r="DF217" s="10"/>
      <c r="DH217" s="10"/>
      <c r="DJ217" s="10"/>
      <c r="DL217" s="10"/>
    </row>
    <row r="218" spans="1:116" x14ac:dyDescent="0.2">
      <c r="A218" s="5"/>
      <c r="B218" s="6"/>
      <c r="C218" s="6"/>
      <c r="D218" s="27"/>
      <c r="E218" s="6"/>
      <c r="F218" s="8"/>
      <c r="G218" s="8"/>
      <c r="I218" s="10"/>
      <c r="J218" s="11"/>
      <c r="K218" s="12"/>
      <c r="L218" s="10"/>
      <c r="M218" s="11"/>
      <c r="N218" s="12"/>
      <c r="O218" s="10"/>
      <c r="P218" s="11"/>
      <c r="Q218" s="12"/>
      <c r="R218" s="13"/>
      <c r="S218" s="11"/>
      <c r="T218" s="12"/>
      <c r="U218" s="10"/>
      <c r="V218" s="12"/>
      <c r="W218" s="12"/>
      <c r="X218" s="10"/>
      <c r="Y218" s="12"/>
      <c r="Z218" s="12"/>
      <c r="AA218" s="10"/>
      <c r="AB218" s="12"/>
      <c r="AC218" s="12"/>
      <c r="AD218" s="10"/>
      <c r="AE218" s="12"/>
      <c r="AF218" s="12"/>
      <c r="AG218" s="10"/>
      <c r="AH218" s="12"/>
      <c r="AI218" s="12"/>
      <c r="AJ218" s="13"/>
      <c r="AK218" s="11"/>
      <c r="AL218" s="12"/>
      <c r="AM218" s="10"/>
      <c r="AN218" s="12"/>
      <c r="AO218" s="12"/>
      <c r="AP218" s="10"/>
      <c r="AQ218" s="12"/>
      <c r="AR218" s="12"/>
      <c r="AS218" s="10"/>
      <c r="AT218" s="12"/>
      <c r="AU218" s="12"/>
      <c r="AV218" s="10"/>
      <c r="AW218" s="12"/>
      <c r="AX218" s="12"/>
      <c r="AY218" s="10"/>
      <c r="AZ218" s="12"/>
      <c r="BA218" s="12"/>
      <c r="BB218" s="10"/>
      <c r="BC218" s="12"/>
      <c r="BD218" s="12"/>
      <c r="BE218" s="10"/>
      <c r="BF218" s="12"/>
      <c r="BG218" s="12"/>
      <c r="BH218" s="10"/>
      <c r="BI218" s="12"/>
      <c r="BK218" s="16"/>
      <c r="BL218" s="16"/>
      <c r="BM218" s="16"/>
      <c r="BN218" s="16"/>
      <c r="BO218" s="16"/>
      <c r="BP218" s="16"/>
      <c r="BQ218" s="16"/>
      <c r="BR218" s="16"/>
      <c r="BS218" s="14"/>
      <c r="BT218" s="15"/>
      <c r="BU218" s="23"/>
      <c r="BV218" s="21"/>
      <c r="BW218" s="21"/>
      <c r="BX218" s="16"/>
      <c r="BY218" s="22"/>
      <c r="BZ218" s="16"/>
      <c r="CA218" s="8"/>
      <c r="CB218" s="10"/>
      <c r="CD218" s="10"/>
      <c r="CF218" s="10"/>
      <c r="CH218" s="10"/>
      <c r="CJ218" s="10"/>
      <c r="CL218" s="10"/>
      <c r="CN218" s="10"/>
      <c r="CP218" s="10"/>
      <c r="CR218" s="10"/>
      <c r="CT218" s="10"/>
      <c r="CV218" s="10"/>
      <c r="CX218" s="10"/>
      <c r="CZ218" s="10"/>
      <c r="DB218" s="10"/>
      <c r="DD218" s="10"/>
      <c r="DF218" s="10"/>
      <c r="DH218" s="10"/>
      <c r="DJ218" s="10"/>
      <c r="DL218" s="10"/>
    </row>
    <row r="219" spans="1:116" x14ac:dyDescent="0.2">
      <c r="A219" s="5"/>
      <c r="B219" s="6"/>
      <c r="C219" s="6"/>
      <c r="D219" s="27"/>
      <c r="E219" s="6"/>
      <c r="F219" s="8"/>
      <c r="G219" s="8"/>
      <c r="I219" s="10"/>
      <c r="J219" s="11"/>
      <c r="K219" s="12"/>
      <c r="L219" s="10"/>
      <c r="M219" s="11"/>
      <c r="N219" s="12"/>
      <c r="O219" s="10"/>
      <c r="P219" s="11"/>
      <c r="Q219" s="12"/>
      <c r="R219" s="13"/>
      <c r="S219" s="11"/>
      <c r="T219" s="12"/>
      <c r="U219" s="10"/>
      <c r="V219" s="12"/>
      <c r="W219" s="12"/>
      <c r="X219" s="10"/>
      <c r="Y219" s="12"/>
      <c r="Z219" s="12"/>
      <c r="AA219" s="10"/>
      <c r="AB219" s="12"/>
      <c r="AC219" s="12"/>
      <c r="AD219" s="10"/>
      <c r="AE219" s="12"/>
      <c r="AF219" s="12"/>
      <c r="AG219" s="10"/>
      <c r="AH219" s="12"/>
      <c r="AI219" s="12"/>
      <c r="AJ219" s="13"/>
      <c r="AK219" s="11"/>
      <c r="AL219" s="12"/>
      <c r="AM219" s="10"/>
      <c r="AN219" s="12"/>
      <c r="AO219" s="12"/>
      <c r="AP219" s="10"/>
      <c r="AQ219" s="12"/>
      <c r="AR219" s="12"/>
      <c r="AS219" s="10"/>
      <c r="AT219" s="12"/>
      <c r="AU219" s="12"/>
      <c r="AV219" s="10"/>
      <c r="AW219" s="12"/>
      <c r="AX219" s="12"/>
      <c r="AY219" s="10"/>
      <c r="AZ219" s="12"/>
      <c r="BA219" s="12"/>
      <c r="BB219" s="10"/>
      <c r="BC219" s="12"/>
      <c r="BD219" s="12"/>
      <c r="BE219" s="10"/>
      <c r="BF219" s="12"/>
      <c r="BG219" s="12"/>
      <c r="BH219" s="10"/>
      <c r="BI219" s="12"/>
      <c r="BK219" s="16"/>
      <c r="BL219" s="16"/>
      <c r="BM219" s="16"/>
      <c r="BN219" s="16"/>
      <c r="BO219" s="16"/>
      <c r="BP219" s="16"/>
      <c r="BQ219" s="16"/>
      <c r="BR219" s="16"/>
      <c r="BS219" s="14"/>
      <c r="BT219" s="15"/>
      <c r="BU219" s="23"/>
      <c r="BV219" s="21"/>
      <c r="BW219" s="21"/>
      <c r="BX219" s="16"/>
      <c r="BY219" s="22"/>
      <c r="BZ219" s="16"/>
      <c r="CA219" s="8"/>
      <c r="CB219" s="10"/>
      <c r="CD219" s="10"/>
      <c r="CF219" s="10"/>
      <c r="CH219" s="10"/>
      <c r="CJ219" s="10"/>
      <c r="CL219" s="10"/>
      <c r="CN219" s="10"/>
      <c r="CP219" s="10"/>
      <c r="CR219" s="10"/>
      <c r="CT219" s="10"/>
      <c r="CV219" s="10"/>
      <c r="CX219" s="10"/>
      <c r="CZ219" s="10"/>
      <c r="DB219" s="10"/>
      <c r="DD219" s="10"/>
      <c r="DF219" s="10"/>
      <c r="DH219" s="10"/>
      <c r="DJ219" s="10"/>
      <c r="DL219" s="10"/>
    </row>
    <row r="220" spans="1:116" x14ac:dyDescent="0.2">
      <c r="A220" s="5"/>
      <c r="B220" s="6"/>
      <c r="C220" s="6"/>
      <c r="D220" s="27"/>
      <c r="E220" s="6"/>
      <c r="F220" s="8"/>
      <c r="G220" s="8"/>
      <c r="I220" s="10"/>
      <c r="J220" s="11"/>
      <c r="K220" s="12"/>
      <c r="L220" s="10"/>
      <c r="M220" s="11"/>
      <c r="N220" s="12"/>
      <c r="O220" s="10"/>
      <c r="P220" s="11"/>
      <c r="Q220" s="12"/>
      <c r="R220" s="13"/>
      <c r="S220" s="11"/>
      <c r="T220" s="12"/>
      <c r="U220" s="10"/>
      <c r="V220" s="12"/>
      <c r="W220" s="12"/>
      <c r="X220" s="10"/>
      <c r="Y220" s="12"/>
      <c r="Z220" s="12"/>
      <c r="AA220" s="10"/>
      <c r="AB220" s="12"/>
      <c r="AC220" s="12"/>
      <c r="AD220" s="10"/>
      <c r="AE220" s="12"/>
      <c r="AF220" s="12"/>
      <c r="AG220" s="10"/>
      <c r="AH220" s="12"/>
      <c r="AI220" s="12"/>
      <c r="AJ220" s="13"/>
      <c r="AK220" s="11"/>
      <c r="AL220" s="12"/>
      <c r="AM220" s="10"/>
      <c r="AN220" s="12"/>
      <c r="AO220" s="12"/>
      <c r="AP220" s="10"/>
      <c r="AQ220" s="12"/>
      <c r="AR220" s="12"/>
      <c r="AS220" s="10"/>
      <c r="AT220" s="12"/>
      <c r="AU220" s="12"/>
      <c r="AV220" s="10"/>
      <c r="AW220" s="12"/>
      <c r="AX220" s="12"/>
      <c r="AY220" s="10"/>
      <c r="AZ220" s="12"/>
      <c r="BA220" s="12"/>
      <c r="BB220" s="10"/>
      <c r="BC220" s="12"/>
      <c r="BD220" s="12"/>
      <c r="BE220" s="10"/>
      <c r="BF220" s="12"/>
      <c r="BG220" s="12"/>
      <c r="BH220" s="10"/>
      <c r="BI220" s="12"/>
      <c r="BK220" s="16"/>
      <c r="BL220" s="16"/>
      <c r="BM220" s="16"/>
      <c r="BN220" s="16"/>
      <c r="BO220" s="16"/>
      <c r="BP220" s="16"/>
      <c r="BQ220" s="16"/>
      <c r="BR220" s="16"/>
      <c r="BS220" s="14"/>
      <c r="BT220" s="15"/>
      <c r="BU220" s="23"/>
      <c r="BV220" s="21"/>
      <c r="BW220" s="21"/>
      <c r="BX220" s="16"/>
      <c r="BY220" s="22"/>
      <c r="BZ220" s="16"/>
      <c r="CA220" s="8"/>
      <c r="CB220" s="10"/>
      <c r="CD220" s="10"/>
      <c r="CF220" s="10"/>
      <c r="CH220" s="10"/>
      <c r="CJ220" s="10"/>
      <c r="CL220" s="10"/>
      <c r="CN220" s="10"/>
      <c r="CP220" s="10"/>
      <c r="CR220" s="10"/>
      <c r="CT220" s="10"/>
      <c r="CV220" s="10"/>
      <c r="CX220" s="10"/>
      <c r="CZ220" s="10"/>
      <c r="DB220" s="10"/>
      <c r="DD220" s="10"/>
      <c r="DF220" s="10"/>
      <c r="DH220" s="10"/>
      <c r="DJ220" s="10"/>
      <c r="DL220" s="10"/>
    </row>
    <row r="221" spans="1:116" x14ac:dyDescent="0.2">
      <c r="A221" s="5"/>
      <c r="B221" s="6"/>
      <c r="C221" s="6"/>
      <c r="D221" s="27"/>
      <c r="E221" s="6"/>
      <c r="F221" s="8"/>
      <c r="G221" s="8"/>
      <c r="I221" s="10"/>
      <c r="J221" s="11"/>
      <c r="K221" s="12"/>
      <c r="L221" s="10"/>
      <c r="M221" s="11"/>
      <c r="N221" s="12"/>
      <c r="O221" s="10"/>
      <c r="P221" s="11"/>
      <c r="Q221" s="12"/>
      <c r="R221" s="13"/>
      <c r="S221" s="11"/>
      <c r="T221" s="12"/>
      <c r="U221" s="10"/>
      <c r="V221" s="12"/>
      <c r="W221" s="12"/>
      <c r="X221" s="10"/>
      <c r="Y221" s="12"/>
      <c r="Z221" s="12"/>
      <c r="AA221" s="10"/>
      <c r="AB221" s="12"/>
      <c r="AC221" s="12"/>
      <c r="AD221" s="10"/>
      <c r="AE221" s="12"/>
      <c r="AF221" s="12"/>
      <c r="AG221" s="10"/>
      <c r="AH221" s="12"/>
      <c r="AI221" s="12"/>
      <c r="AJ221" s="13"/>
      <c r="AK221" s="11"/>
      <c r="AL221" s="12"/>
      <c r="AM221" s="10"/>
      <c r="AN221" s="12"/>
      <c r="AO221" s="12"/>
      <c r="AP221" s="10"/>
      <c r="AQ221" s="12"/>
      <c r="AR221" s="12"/>
      <c r="AS221" s="10"/>
      <c r="AT221" s="12"/>
      <c r="AU221" s="12"/>
      <c r="AV221" s="10"/>
      <c r="AW221" s="12"/>
      <c r="AX221" s="12"/>
      <c r="AY221" s="10"/>
      <c r="AZ221" s="12"/>
      <c r="BA221" s="12"/>
      <c r="BB221" s="10"/>
      <c r="BC221" s="12"/>
      <c r="BD221" s="12"/>
      <c r="BE221" s="10"/>
      <c r="BF221" s="12"/>
      <c r="BG221" s="12"/>
      <c r="BH221" s="10"/>
      <c r="BI221" s="12"/>
      <c r="BK221" s="16"/>
      <c r="BL221" s="16"/>
      <c r="BM221" s="16"/>
      <c r="BN221" s="16"/>
      <c r="BO221" s="16"/>
      <c r="BP221" s="16"/>
      <c r="BQ221" s="16"/>
      <c r="BR221" s="16"/>
      <c r="BS221" s="14"/>
      <c r="BT221" s="15"/>
      <c r="BU221" s="23"/>
      <c r="BV221" s="21"/>
      <c r="BW221" s="21"/>
      <c r="BX221" s="16"/>
      <c r="BY221" s="22"/>
      <c r="BZ221" s="16"/>
      <c r="CA221" s="8"/>
      <c r="CB221" s="10"/>
      <c r="CD221" s="10"/>
      <c r="CF221" s="10"/>
      <c r="CH221" s="10"/>
      <c r="CJ221" s="10"/>
      <c r="CL221" s="10"/>
      <c r="CN221" s="10"/>
      <c r="CP221" s="10"/>
      <c r="CR221" s="10"/>
      <c r="CT221" s="10"/>
      <c r="CV221" s="10"/>
      <c r="CX221" s="10"/>
      <c r="CZ221" s="10"/>
      <c r="DB221" s="10"/>
      <c r="DD221" s="10"/>
      <c r="DF221" s="10"/>
      <c r="DH221" s="10"/>
      <c r="DJ221" s="10"/>
      <c r="DL221" s="10"/>
    </row>
    <row r="222" spans="1:116" x14ac:dyDescent="0.2">
      <c r="A222" s="5"/>
      <c r="B222" s="6"/>
      <c r="C222" s="6"/>
      <c r="D222" s="27"/>
      <c r="E222" s="6"/>
      <c r="F222" s="8"/>
      <c r="G222" s="8"/>
      <c r="I222" s="10"/>
      <c r="J222" s="11"/>
      <c r="K222" s="12"/>
      <c r="L222" s="10"/>
      <c r="M222" s="11"/>
      <c r="N222" s="12"/>
      <c r="O222" s="10"/>
      <c r="P222" s="11"/>
      <c r="Q222" s="12"/>
      <c r="R222" s="13"/>
      <c r="S222" s="11"/>
      <c r="T222" s="12"/>
      <c r="U222" s="10"/>
      <c r="V222" s="12"/>
      <c r="W222" s="12"/>
      <c r="X222" s="10"/>
      <c r="Y222" s="12"/>
      <c r="Z222" s="12"/>
      <c r="AA222" s="10"/>
      <c r="AB222" s="12"/>
      <c r="AC222" s="12"/>
      <c r="AD222" s="10"/>
      <c r="AE222" s="12"/>
      <c r="AF222" s="12"/>
      <c r="AG222" s="10"/>
      <c r="AH222" s="12"/>
      <c r="AI222" s="12"/>
      <c r="AJ222" s="13"/>
      <c r="AK222" s="11"/>
      <c r="AL222" s="12"/>
      <c r="AM222" s="10"/>
      <c r="AN222" s="12"/>
      <c r="AO222" s="12"/>
      <c r="AP222" s="10"/>
      <c r="AQ222" s="12"/>
      <c r="AR222" s="12"/>
      <c r="AS222" s="10"/>
      <c r="AT222" s="12"/>
      <c r="AU222" s="12"/>
      <c r="AV222" s="10"/>
      <c r="AW222" s="12"/>
      <c r="AX222" s="12"/>
      <c r="AY222" s="10"/>
      <c r="AZ222" s="12"/>
      <c r="BA222" s="12"/>
      <c r="BB222" s="10"/>
      <c r="BC222" s="12"/>
      <c r="BD222" s="12"/>
      <c r="BE222" s="10"/>
      <c r="BF222" s="12"/>
      <c r="BG222" s="12"/>
      <c r="BH222" s="10"/>
      <c r="BI222" s="12"/>
      <c r="BK222" s="16"/>
      <c r="BL222" s="16"/>
      <c r="BM222" s="16"/>
      <c r="BN222" s="16"/>
      <c r="BO222" s="16"/>
      <c r="BP222" s="16"/>
      <c r="BQ222" s="16"/>
      <c r="BR222" s="16"/>
      <c r="BS222" s="14"/>
      <c r="BT222" s="15"/>
      <c r="BU222" s="23"/>
      <c r="BV222" s="21"/>
      <c r="BW222" s="21"/>
      <c r="BX222" s="16"/>
      <c r="BY222" s="22"/>
      <c r="BZ222" s="16"/>
      <c r="CA222" s="8"/>
      <c r="CB222" s="10"/>
      <c r="CD222" s="10"/>
      <c r="CF222" s="10"/>
      <c r="CH222" s="10"/>
      <c r="CJ222" s="10"/>
      <c r="CL222" s="10"/>
      <c r="CN222" s="10"/>
      <c r="CP222" s="10"/>
      <c r="CR222" s="10"/>
      <c r="CT222" s="10"/>
      <c r="CV222" s="10"/>
      <c r="CX222" s="10"/>
      <c r="CZ222" s="10"/>
      <c r="DB222" s="10"/>
      <c r="DD222" s="10"/>
      <c r="DF222" s="10"/>
      <c r="DH222" s="10"/>
      <c r="DJ222" s="10"/>
      <c r="DL222" s="10"/>
    </row>
    <row r="223" spans="1:116" x14ac:dyDescent="0.2">
      <c r="A223" s="5"/>
      <c r="B223" s="6"/>
      <c r="C223" s="6"/>
      <c r="D223" s="27"/>
      <c r="E223" s="6"/>
      <c r="F223" s="8"/>
      <c r="G223" s="8"/>
      <c r="I223" s="10"/>
      <c r="J223" s="11"/>
      <c r="K223" s="12"/>
      <c r="L223" s="10"/>
      <c r="M223" s="11"/>
      <c r="N223" s="12"/>
      <c r="O223" s="10"/>
      <c r="P223" s="11"/>
      <c r="Q223" s="12"/>
      <c r="R223" s="13"/>
      <c r="S223" s="11"/>
      <c r="T223" s="12"/>
      <c r="U223" s="10"/>
      <c r="V223" s="12"/>
      <c r="W223" s="12"/>
      <c r="X223" s="10"/>
      <c r="Y223" s="12"/>
      <c r="Z223" s="12"/>
      <c r="AA223" s="10"/>
      <c r="AB223" s="12"/>
      <c r="AC223" s="12"/>
      <c r="AD223" s="10"/>
      <c r="AE223" s="12"/>
      <c r="AF223" s="12"/>
      <c r="AG223" s="10"/>
      <c r="AH223" s="12"/>
      <c r="AI223" s="12"/>
      <c r="AJ223" s="13"/>
      <c r="AK223" s="11"/>
      <c r="AL223" s="12"/>
      <c r="AM223" s="10"/>
      <c r="AN223" s="12"/>
      <c r="AO223" s="12"/>
      <c r="AP223" s="10"/>
      <c r="AQ223" s="12"/>
      <c r="AR223" s="12"/>
      <c r="AS223" s="10"/>
      <c r="AT223" s="12"/>
      <c r="AU223" s="12"/>
      <c r="AV223" s="10"/>
      <c r="AW223" s="12"/>
      <c r="AX223" s="12"/>
      <c r="AY223" s="10"/>
      <c r="AZ223" s="12"/>
      <c r="BA223" s="12"/>
      <c r="BB223" s="10"/>
      <c r="BC223" s="12"/>
      <c r="BD223" s="12"/>
      <c r="BE223" s="10"/>
      <c r="BF223" s="12"/>
      <c r="BG223" s="12"/>
      <c r="BH223" s="10"/>
      <c r="BI223" s="12"/>
      <c r="BK223" s="16"/>
      <c r="BL223" s="16"/>
      <c r="BM223" s="16"/>
      <c r="BN223" s="16"/>
      <c r="BO223" s="16"/>
      <c r="BP223" s="16"/>
      <c r="BQ223" s="16"/>
      <c r="BR223" s="16"/>
      <c r="BS223" s="14"/>
      <c r="BT223" s="15"/>
      <c r="BU223" s="23"/>
      <c r="BV223" s="21"/>
      <c r="BW223" s="21"/>
      <c r="BX223" s="16"/>
      <c r="BY223" s="22"/>
      <c r="BZ223" s="16"/>
      <c r="CA223" s="8"/>
      <c r="CB223" s="10"/>
      <c r="CD223" s="10"/>
      <c r="CF223" s="10"/>
      <c r="CH223" s="10"/>
      <c r="CJ223" s="10"/>
      <c r="CL223" s="10"/>
      <c r="CN223" s="10"/>
      <c r="CP223" s="10"/>
      <c r="CR223" s="10"/>
      <c r="CT223" s="10"/>
      <c r="CV223" s="10"/>
      <c r="CX223" s="10"/>
      <c r="CZ223" s="10"/>
      <c r="DB223" s="10"/>
      <c r="DD223" s="10"/>
      <c r="DF223" s="10"/>
      <c r="DH223" s="10"/>
      <c r="DJ223" s="10"/>
      <c r="DL223" s="10"/>
    </row>
    <row r="224" spans="1:116" x14ac:dyDescent="0.2">
      <c r="A224" s="5"/>
      <c r="B224" s="6"/>
      <c r="C224" s="6"/>
      <c r="D224" s="27"/>
      <c r="E224" s="6"/>
      <c r="F224" s="8"/>
      <c r="G224" s="8"/>
      <c r="I224" s="10"/>
      <c r="J224" s="11"/>
      <c r="K224" s="12"/>
      <c r="L224" s="10"/>
      <c r="M224" s="11"/>
      <c r="N224" s="12"/>
      <c r="O224" s="10"/>
      <c r="P224" s="11"/>
      <c r="Q224" s="12"/>
      <c r="R224" s="13"/>
      <c r="S224" s="11"/>
      <c r="T224" s="12"/>
      <c r="U224" s="10"/>
      <c r="V224" s="12"/>
      <c r="W224" s="12"/>
      <c r="X224" s="10"/>
      <c r="Y224" s="12"/>
      <c r="Z224" s="12"/>
      <c r="AA224" s="10"/>
      <c r="AB224" s="12"/>
      <c r="AC224" s="12"/>
      <c r="AD224" s="10"/>
      <c r="AE224" s="12"/>
      <c r="AF224" s="12"/>
      <c r="AG224" s="10"/>
      <c r="AH224" s="12"/>
      <c r="AI224" s="12"/>
      <c r="AJ224" s="13"/>
      <c r="AK224" s="11"/>
      <c r="AL224" s="12"/>
      <c r="AM224" s="10"/>
      <c r="AN224" s="12"/>
      <c r="AO224" s="12"/>
      <c r="AP224" s="10"/>
      <c r="AQ224" s="12"/>
      <c r="AR224" s="12"/>
      <c r="AS224" s="10"/>
      <c r="AT224" s="12"/>
      <c r="AU224" s="12"/>
      <c r="AV224" s="10"/>
      <c r="AW224" s="12"/>
      <c r="AX224" s="12"/>
      <c r="AY224" s="10"/>
      <c r="AZ224" s="12"/>
      <c r="BA224" s="12"/>
      <c r="BB224" s="10"/>
      <c r="BC224" s="12"/>
      <c r="BD224" s="12"/>
      <c r="BE224" s="10"/>
      <c r="BF224" s="12"/>
      <c r="BG224" s="12"/>
      <c r="BH224" s="10"/>
      <c r="BI224" s="12"/>
      <c r="BK224" s="16"/>
      <c r="BL224" s="16"/>
      <c r="BM224" s="16"/>
      <c r="BN224" s="16"/>
      <c r="BO224" s="16"/>
      <c r="BP224" s="16"/>
      <c r="BQ224" s="16"/>
      <c r="BR224" s="16"/>
      <c r="BS224" s="14"/>
      <c r="BT224" s="15"/>
      <c r="BU224" s="23"/>
      <c r="BV224" s="21"/>
      <c r="BW224" s="21"/>
      <c r="BX224" s="16"/>
      <c r="BY224" s="22"/>
      <c r="BZ224" s="16"/>
      <c r="CA224" s="8"/>
      <c r="CB224" s="10"/>
      <c r="CD224" s="10"/>
      <c r="CF224" s="10"/>
      <c r="CH224" s="10"/>
      <c r="CJ224" s="10"/>
      <c r="CL224" s="10"/>
      <c r="CN224" s="10"/>
      <c r="CP224" s="10"/>
      <c r="CR224" s="10"/>
      <c r="CT224" s="10"/>
      <c r="CV224" s="10"/>
      <c r="CX224" s="10"/>
      <c r="CZ224" s="10"/>
      <c r="DB224" s="10"/>
      <c r="DD224" s="10"/>
      <c r="DF224" s="10"/>
      <c r="DH224" s="10"/>
      <c r="DJ224" s="10"/>
      <c r="DL224" s="10"/>
    </row>
    <row r="225" spans="1:116" x14ac:dyDescent="0.2">
      <c r="A225" s="5"/>
      <c r="B225" s="6"/>
      <c r="C225" s="6"/>
      <c r="D225" s="27"/>
      <c r="E225" s="6"/>
      <c r="F225" s="8"/>
      <c r="G225" s="8"/>
      <c r="I225" s="10"/>
      <c r="J225" s="11"/>
      <c r="K225" s="12"/>
      <c r="L225" s="10"/>
      <c r="M225" s="11"/>
      <c r="N225" s="12"/>
      <c r="O225" s="10"/>
      <c r="P225" s="11"/>
      <c r="Q225" s="12"/>
      <c r="R225" s="13"/>
      <c r="S225" s="11"/>
      <c r="T225" s="12"/>
      <c r="U225" s="10"/>
      <c r="V225" s="12"/>
      <c r="W225" s="12"/>
      <c r="X225" s="10"/>
      <c r="Y225" s="12"/>
      <c r="Z225" s="12"/>
      <c r="AA225" s="10"/>
      <c r="AB225" s="12"/>
      <c r="AC225" s="12"/>
      <c r="AD225" s="10"/>
      <c r="AE225" s="12"/>
      <c r="AF225" s="12"/>
      <c r="AG225" s="10"/>
      <c r="AH225" s="12"/>
      <c r="AI225" s="12"/>
      <c r="AJ225" s="13"/>
      <c r="AK225" s="11"/>
      <c r="AL225" s="12"/>
      <c r="AM225" s="10"/>
      <c r="AN225" s="12"/>
      <c r="AO225" s="12"/>
      <c r="AP225" s="10"/>
      <c r="AQ225" s="12"/>
      <c r="AR225" s="12"/>
      <c r="AS225" s="10"/>
      <c r="AT225" s="12"/>
      <c r="AU225" s="12"/>
      <c r="AV225" s="10"/>
      <c r="AW225" s="12"/>
      <c r="AX225" s="12"/>
      <c r="AY225" s="10"/>
      <c r="AZ225" s="12"/>
      <c r="BA225" s="12"/>
      <c r="BB225" s="10"/>
      <c r="BC225" s="12"/>
      <c r="BD225" s="12"/>
      <c r="BE225" s="10"/>
      <c r="BF225" s="12"/>
      <c r="BG225" s="12"/>
      <c r="BH225" s="10"/>
      <c r="BI225" s="12"/>
      <c r="BK225" s="16"/>
      <c r="BL225" s="16"/>
      <c r="BM225" s="16"/>
      <c r="BN225" s="16"/>
      <c r="BO225" s="16"/>
      <c r="BP225" s="16"/>
      <c r="BQ225" s="16"/>
      <c r="BR225" s="16"/>
      <c r="BS225" s="14"/>
      <c r="BT225" s="15"/>
      <c r="BU225" s="23"/>
      <c r="BV225" s="21"/>
      <c r="BW225" s="21"/>
      <c r="BX225" s="16"/>
      <c r="BY225" s="22"/>
      <c r="BZ225" s="16"/>
      <c r="CA225" s="8"/>
      <c r="CB225" s="10"/>
      <c r="CD225" s="10"/>
      <c r="CF225" s="10"/>
      <c r="CH225" s="10"/>
      <c r="CJ225" s="10"/>
      <c r="CL225" s="10"/>
      <c r="CN225" s="10"/>
      <c r="CP225" s="10"/>
      <c r="CR225" s="10"/>
      <c r="CT225" s="10"/>
      <c r="CV225" s="10"/>
      <c r="CX225" s="10"/>
      <c r="CZ225" s="10"/>
      <c r="DB225" s="10"/>
      <c r="DD225" s="10"/>
      <c r="DF225" s="10"/>
      <c r="DH225" s="10"/>
      <c r="DJ225" s="10"/>
      <c r="DL225" s="10"/>
    </row>
    <row r="226" spans="1:116" x14ac:dyDescent="0.2">
      <c r="A226" s="5"/>
      <c r="B226" s="6"/>
      <c r="C226" s="6"/>
      <c r="D226" s="27"/>
      <c r="E226" s="6"/>
      <c r="F226" s="8"/>
      <c r="G226" s="8"/>
      <c r="I226" s="10"/>
      <c r="J226" s="11"/>
      <c r="K226" s="12"/>
      <c r="L226" s="10"/>
      <c r="M226" s="11"/>
      <c r="N226" s="12"/>
      <c r="O226" s="10"/>
      <c r="P226" s="11"/>
      <c r="Q226" s="12"/>
      <c r="R226" s="13"/>
      <c r="S226" s="11"/>
      <c r="T226" s="12"/>
      <c r="U226" s="10"/>
      <c r="V226" s="12"/>
      <c r="W226" s="12"/>
      <c r="X226" s="10"/>
      <c r="Y226" s="12"/>
      <c r="Z226" s="12"/>
      <c r="AA226" s="10"/>
      <c r="AB226" s="12"/>
      <c r="AC226" s="12"/>
      <c r="AD226" s="10"/>
      <c r="AE226" s="12"/>
      <c r="AF226" s="12"/>
      <c r="AG226" s="10"/>
      <c r="AH226" s="12"/>
      <c r="AI226" s="12"/>
      <c r="AJ226" s="13"/>
      <c r="AK226" s="11"/>
      <c r="AL226" s="12"/>
      <c r="AM226" s="10"/>
      <c r="AN226" s="12"/>
      <c r="AO226" s="12"/>
      <c r="AP226" s="10"/>
      <c r="AQ226" s="12"/>
      <c r="AR226" s="12"/>
      <c r="AS226" s="10"/>
      <c r="AT226" s="12"/>
      <c r="AU226" s="12"/>
      <c r="AV226" s="10"/>
      <c r="AW226" s="12"/>
      <c r="AX226" s="12"/>
      <c r="AY226" s="10"/>
      <c r="AZ226" s="12"/>
      <c r="BA226" s="12"/>
      <c r="BB226" s="10"/>
      <c r="BC226" s="12"/>
      <c r="BD226" s="12"/>
      <c r="BE226" s="10"/>
      <c r="BF226" s="12"/>
      <c r="BG226" s="12"/>
      <c r="BH226" s="10"/>
      <c r="BI226" s="12"/>
      <c r="BK226" s="16"/>
      <c r="BL226" s="16"/>
      <c r="BM226" s="16"/>
      <c r="BN226" s="16"/>
      <c r="BO226" s="16"/>
      <c r="BP226" s="16"/>
      <c r="BQ226" s="16"/>
      <c r="BR226" s="16"/>
      <c r="BS226" s="14"/>
      <c r="BT226" s="15"/>
      <c r="BU226" s="23"/>
      <c r="BV226" s="21"/>
      <c r="BW226" s="21"/>
      <c r="BX226" s="16"/>
      <c r="BY226" s="22"/>
      <c r="BZ226" s="16"/>
      <c r="CA226" s="8"/>
      <c r="CB226" s="10"/>
      <c r="CD226" s="10"/>
      <c r="CF226" s="10"/>
      <c r="CH226" s="10"/>
      <c r="CJ226" s="10"/>
      <c r="CL226" s="10"/>
      <c r="CN226" s="10"/>
      <c r="CP226" s="10"/>
      <c r="CR226" s="10"/>
      <c r="CT226" s="10"/>
      <c r="CV226" s="10"/>
      <c r="CX226" s="10"/>
      <c r="CZ226" s="10"/>
      <c r="DB226" s="10"/>
      <c r="DD226" s="10"/>
      <c r="DF226" s="10"/>
      <c r="DH226" s="10"/>
      <c r="DJ226" s="10"/>
      <c r="DL226" s="10"/>
    </row>
    <row r="227" spans="1:116" x14ac:dyDescent="0.2">
      <c r="A227" s="5"/>
      <c r="B227" s="6"/>
      <c r="C227" s="6"/>
      <c r="D227" s="27"/>
      <c r="E227" s="6"/>
      <c r="F227" s="8"/>
      <c r="G227" s="8"/>
      <c r="I227" s="10"/>
      <c r="J227" s="11"/>
      <c r="K227" s="12"/>
      <c r="L227" s="10"/>
      <c r="M227" s="11"/>
      <c r="N227" s="12"/>
      <c r="O227" s="10"/>
      <c r="P227" s="11"/>
      <c r="Q227" s="12"/>
      <c r="R227" s="13"/>
      <c r="S227" s="11"/>
      <c r="T227" s="12"/>
      <c r="U227" s="10"/>
      <c r="V227" s="12"/>
      <c r="W227" s="12"/>
      <c r="X227" s="10"/>
      <c r="Y227" s="12"/>
      <c r="Z227" s="12"/>
      <c r="AA227" s="10"/>
      <c r="AB227" s="12"/>
      <c r="AC227" s="12"/>
      <c r="AD227" s="10"/>
      <c r="AE227" s="12"/>
      <c r="AF227" s="12"/>
      <c r="AG227" s="10"/>
      <c r="AH227" s="12"/>
      <c r="AI227" s="12"/>
      <c r="AJ227" s="13"/>
      <c r="AK227" s="11"/>
      <c r="AL227" s="12"/>
      <c r="AM227" s="10"/>
      <c r="AN227" s="12"/>
      <c r="AO227" s="12"/>
      <c r="AP227" s="10"/>
      <c r="AQ227" s="12"/>
      <c r="AR227" s="12"/>
      <c r="AS227" s="10"/>
      <c r="AT227" s="12"/>
      <c r="AU227" s="12"/>
      <c r="AV227" s="10"/>
      <c r="AW227" s="12"/>
      <c r="AX227" s="12"/>
      <c r="AY227" s="10"/>
      <c r="AZ227" s="12"/>
      <c r="BA227" s="12"/>
      <c r="BB227" s="10"/>
      <c r="BC227" s="12"/>
      <c r="BD227" s="12"/>
      <c r="BE227" s="10"/>
      <c r="BF227" s="12"/>
      <c r="BG227" s="12"/>
      <c r="BH227" s="10"/>
      <c r="BI227" s="12"/>
      <c r="BK227" s="16"/>
      <c r="BL227" s="16"/>
      <c r="BM227" s="16"/>
      <c r="BN227" s="16"/>
      <c r="BO227" s="16"/>
      <c r="BP227" s="16"/>
      <c r="BQ227" s="16"/>
      <c r="BR227" s="16"/>
      <c r="BS227" s="14"/>
      <c r="BT227" s="15"/>
      <c r="BU227" s="23"/>
      <c r="BV227" s="21"/>
      <c r="BW227" s="21"/>
      <c r="BX227" s="16"/>
      <c r="BY227" s="22"/>
      <c r="BZ227" s="16"/>
      <c r="CA227" s="8"/>
      <c r="CB227" s="10"/>
      <c r="CD227" s="10"/>
      <c r="CF227" s="10"/>
      <c r="CH227" s="10"/>
      <c r="CJ227" s="10"/>
      <c r="CL227" s="10"/>
      <c r="CN227" s="10"/>
      <c r="CP227" s="10"/>
      <c r="CR227" s="10"/>
      <c r="CT227" s="10"/>
      <c r="CV227" s="10"/>
      <c r="CX227" s="10"/>
      <c r="CZ227" s="10"/>
      <c r="DB227" s="10"/>
      <c r="DD227" s="10"/>
      <c r="DF227" s="10"/>
      <c r="DH227" s="10"/>
      <c r="DJ227" s="10"/>
      <c r="DL227" s="10"/>
    </row>
    <row r="228" spans="1:116" x14ac:dyDescent="0.2">
      <c r="A228" s="5"/>
      <c r="B228" s="6"/>
      <c r="C228" s="6"/>
      <c r="D228" s="27"/>
      <c r="E228" s="6"/>
      <c r="F228" s="8"/>
      <c r="G228" s="8"/>
      <c r="I228" s="10"/>
      <c r="J228" s="11"/>
      <c r="K228" s="12"/>
      <c r="L228" s="10"/>
      <c r="M228" s="11"/>
      <c r="N228" s="12"/>
      <c r="O228" s="10"/>
      <c r="P228" s="11"/>
      <c r="Q228" s="12"/>
      <c r="R228" s="13"/>
      <c r="S228" s="11"/>
      <c r="T228" s="12"/>
      <c r="U228" s="10"/>
      <c r="V228" s="12"/>
      <c r="W228" s="12"/>
      <c r="X228" s="10"/>
      <c r="Y228" s="12"/>
      <c r="Z228" s="12"/>
      <c r="AA228" s="10"/>
      <c r="AB228" s="12"/>
      <c r="AC228" s="12"/>
      <c r="AD228" s="10"/>
      <c r="AE228" s="12"/>
      <c r="AF228" s="12"/>
      <c r="AG228" s="10"/>
      <c r="AH228" s="12"/>
      <c r="AI228" s="12"/>
      <c r="AJ228" s="13"/>
      <c r="AK228" s="11"/>
      <c r="AL228" s="12"/>
      <c r="AM228" s="10"/>
      <c r="AN228" s="12"/>
      <c r="AO228" s="12"/>
      <c r="AP228" s="10"/>
      <c r="AQ228" s="12"/>
      <c r="AR228" s="12"/>
      <c r="AS228" s="10"/>
      <c r="AT228" s="12"/>
      <c r="AU228" s="12"/>
      <c r="AV228" s="10"/>
      <c r="AW228" s="12"/>
      <c r="AX228" s="12"/>
      <c r="AY228" s="10"/>
      <c r="AZ228" s="12"/>
      <c r="BA228" s="12"/>
      <c r="BB228" s="10"/>
      <c r="BC228" s="12"/>
      <c r="BD228" s="12"/>
      <c r="BE228" s="10"/>
      <c r="BF228" s="12"/>
      <c r="BG228" s="12"/>
      <c r="BH228" s="10"/>
      <c r="BI228" s="12"/>
      <c r="BK228" s="16"/>
      <c r="BL228" s="16"/>
      <c r="BM228" s="16"/>
      <c r="BN228" s="16"/>
      <c r="BO228" s="16"/>
      <c r="BP228" s="16"/>
      <c r="BQ228" s="16"/>
      <c r="BR228" s="16"/>
      <c r="BS228" s="14"/>
      <c r="BT228" s="15"/>
      <c r="BU228" s="23"/>
      <c r="BV228" s="21"/>
      <c r="BW228" s="21"/>
      <c r="BX228" s="16"/>
      <c r="BY228" s="22"/>
      <c r="BZ228" s="16"/>
      <c r="CA228" s="8"/>
      <c r="CB228" s="10"/>
      <c r="CD228" s="10"/>
      <c r="CF228" s="10"/>
      <c r="CH228" s="10"/>
      <c r="CJ228" s="10"/>
      <c r="CL228" s="10"/>
      <c r="CN228" s="10"/>
      <c r="CP228" s="10"/>
      <c r="CR228" s="10"/>
      <c r="CT228" s="10"/>
      <c r="CV228" s="10"/>
      <c r="CX228" s="10"/>
      <c r="CZ228" s="10"/>
      <c r="DB228" s="10"/>
      <c r="DD228" s="10"/>
      <c r="DF228" s="10"/>
      <c r="DH228" s="10"/>
      <c r="DJ228" s="10"/>
      <c r="DL228" s="10"/>
    </row>
    <row r="229" spans="1:116" x14ac:dyDescent="0.2">
      <c r="A229" s="5"/>
      <c r="B229" s="6"/>
      <c r="C229" s="6"/>
      <c r="D229" s="27"/>
      <c r="E229" s="6"/>
      <c r="F229" s="8"/>
      <c r="G229" s="8"/>
      <c r="I229" s="10"/>
      <c r="J229" s="11"/>
      <c r="K229" s="12"/>
      <c r="L229" s="10"/>
      <c r="M229" s="11"/>
      <c r="N229" s="12"/>
      <c r="O229" s="10"/>
      <c r="P229" s="11"/>
      <c r="Q229" s="12"/>
      <c r="R229" s="13"/>
      <c r="S229" s="11"/>
      <c r="T229" s="12"/>
      <c r="U229" s="10"/>
      <c r="V229" s="12"/>
      <c r="W229" s="12"/>
      <c r="X229" s="10"/>
      <c r="Y229" s="12"/>
      <c r="Z229" s="12"/>
      <c r="AA229" s="10"/>
      <c r="AB229" s="12"/>
      <c r="AC229" s="12"/>
      <c r="AD229" s="10"/>
      <c r="AE229" s="12"/>
      <c r="AF229" s="12"/>
      <c r="AG229" s="10"/>
      <c r="AH229" s="12"/>
      <c r="AI229" s="12"/>
      <c r="AJ229" s="13"/>
      <c r="AK229" s="11"/>
      <c r="AL229" s="12"/>
      <c r="AM229" s="10"/>
      <c r="AN229" s="12"/>
      <c r="AO229" s="12"/>
      <c r="AP229" s="10"/>
      <c r="AQ229" s="12"/>
      <c r="AR229" s="12"/>
      <c r="AS229" s="10"/>
      <c r="AT229" s="12"/>
      <c r="AU229" s="12"/>
      <c r="AV229" s="10"/>
      <c r="AW229" s="12"/>
      <c r="AX229" s="12"/>
      <c r="AY229" s="10"/>
      <c r="AZ229" s="12"/>
      <c r="BA229" s="12"/>
      <c r="BB229" s="10"/>
      <c r="BC229" s="12"/>
      <c r="BD229" s="12"/>
      <c r="BE229" s="10"/>
      <c r="BF229" s="12"/>
      <c r="BG229" s="12"/>
      <c r="BH229" s="10"/>
      <c r="BI229" s="12"/>
      <c r="BK229" s="16"/>
      <c r="BL229" s="16"/>
      <c r="BM229" s="16"/>
      <c r="BN229" s="16"/>
      <c r="BO229" s="16"/>
      <c r="BP229" s="16"/>
      <c r="BQ229" s="16"/>
      <c r="BR229" s="16"/>
      <c r="BS229" s="14"/>
      <c r="BT229" s="15"/>
      <c r="BU229" s="23"/>
      <c r="BV229" s="21"/>
      <c r="BW229" s="21"/>
      <c r="BX229" s="16"/>
      <c r="BY229" s="22"/>
      <c r="BZ229" s="16"/>
      <c r="CA229" s="8"/>
      <c r="CB229" s="10"/>
      <c r="CD229" s="10"/>
      <c r="CF229" s="10"/>
      <c r="CH229" s="10"/>
      <c r="CJ229" s="10"/>
      <c r="CL229" s="10"/>
      <c r="CN229" s="10"/>
      <c r="CP229" s="10"/>
      <c r="CR229" s="10"/>
      <c r="CT229" s="10"/>
      <c r="CV229" s="10"/>
      <c r="CX229" s="10"/>
      <c r="CZ229" s="10"/>
      <c r="DB229" s="10"/>
      <c r="DD229" s="10"/>
      <c r="DF229" s="10"/>
      <c r="DH229" s="10"/>
      <c r="DJ229" s="10"/>
      <c r="DL229" s="10"/>
    </row>
    <row r="230" spans="1:116" x14ac:dyDescent="0.2">
      <c r="A230" s="5"/>
      <c r="B230" s="6"/>
      <c r="C230" s="6"/>
      <c r="D230" s="27"/>
      <c r="E230" s="6"/>
      <c r="F230" s="8"/>
      <c r="G230" s="8"/>
      <c r="I230" s="10"/>
      <c r="J230" s="11"/>
      <c r="K230" s="12"/>
      <c r="L230" s="10"/>
      <c r="M230" s="11"/>
      <c r="N230" s="12"/>
      <c r="O230" s="10"/>
      <c r="P230" s="11"/>
      <c r="Q230" s="12"/>
      <c r="R230" s="13"/>
      <c r="S230" s="11"/>
      <c r="T230" s="12"/>
      <c r="U230" s="10"/>
      <c r="V230" s="12"/>
      <c r="W230" s="12"/>
      <c r="X230" s="10"/>
      <c r="Y230" s="12"/>
      <c r="Z230" s="12"/>
      <c r="AA230" s="10"/>
      <c r="AB230" s="12"/>
      <c r="AC230" s="12"/>
      <c r="AD230" s="10"/>
      <c r="AE230" s="12"/>
      <c r="AF230" s="12"/>
      <c r="AG230" s="10"/>
      <c r="AH230" s="12"/>
      <c r="AI230" s="12"/>
      <c r="AJ230" s="13"/>
      <c r="AK230" s="11"/>
      <c r="AL230" s="12"/>
      <c r="AM230" s="10"/>
      <c r="AN230" s="12"/>
      <c r="AO230" s="12"/>
      <c r="AP230" s="10"/>
      <c r="AQ230" s="12"/>
      <c r="AR230" s="12"/>
      <c r="AS230" s="10"/>
      <c r="AT230" s="12"/>
      <c r="AU230" s="12"/>
      <c r="AV230" s="10"/>
      <c r="AW230" s="12"/>
      <c r="AX230" s="12"/>
      <c r="AY230" s="10"/>
      <c r="AZ230" s="12"/>
      <c r="BA230" s="12"/>
      <c r="BB230" s="10"/>
      <c r="BC230" s="12"/>
      <c r="BD230" s="12"/>
      <c r="BE230" s="10"/>
      <c r="BF230" s="12"/>
      <c r="BG230" s="12"/>
      <c r="BH230" s="10"/>
      <c r="BI230" s="12"/>
      <c r="BK230" s="16"/>
      <c r="BL230" s="16"/>
      <c r="BM230" s="16"/>
      <c r="BN230" s="16"/>
      <c r="BO230" s="16"/>
      <c r="BP230" s="16"/>
      <c r="BQ230" s="16"/>
      <c r="BR230" s="16"/>
      <c r="BS230" s="14"/>
      <c r="BT230" s="15"/>
      <c r="BU230" s="23"/>
      <c r="BV230" s="21"/>
      <c r="BW230" s="21"/>
      <c r="BX230" s="16"/>
      <c r="BY230" s="22"/>
      <c r="BZ230" s="16"/>
      <c r="CA230" s="8"/>
      <c r="CB230" s="10"/>
      <c r="CD230" s="10"/>
      <c r="CF230" s="10"/>
      <c r="CH230" s="10"/>
      <c r="CJ230" s="10"/>
      <c r="CL230" s="10"/>
      <c r="CN230" s="10"/>
      <c r="CP230" s="10"/>
      <c r="CR230" s="10"/>
      <c r="CT230" s="10"/>
      <c r="CV230" s="10"/>
      <c r="CX230" s="10"/>
      <c r="CZ230" s="10"/>
      <c r="DB230" s="10"/>
      <c r="DD230" s="10"/>
      <c r="DF230" s="10"/>
      <c r="DH230" s="10"/>
      <c r="DJ230" s="10"/>
      <c r="DL230" s="10"/>
    </row>
    <row r="231" spans="1:116" x14ac:dyDescent="0.2">
      <c r="A231" s="5"/>
      <c r="B231" s="6"/>
      <c r="C231" s="6"/>
      <c r="D231" s="27"/>
      <c r="E231" s="6"/>
      <c r="F231" s="8"/>
      <c r="G231" s="8"/>
      <c r="I231" s="10"/>
      <c r="J231" s="11"/>
      <c r="K231" s="12"/>
      <c r="L231" s="10"/>
      <c r="M231" s="11"/>
      <c r="N231" s="12"/>
      <c r="O231" s="10"/>
      <c r="P231" s="11"/>
      <c r="Q231" s="12"/>
      <c r="R231" s="13"/>
      <c r="S231" s="11"/>
      <c r="T231" s="12"/>
      <c r="U231" s="10"/>
      <c r="V231" s="12"/>
      <c r="W231" s="12"/>
      <c r="X231" s="10"/>
      <c r="Y231" s="12"/>
      <c r="Z231" s="12"/>
      <c r="AA231" s="10"/>
      <c r="AB231" s="12"/>
      <c r="AC231" s="12"/>
      <c r="AD231" s="10"/>
      <c r="AE231" s="12"/>
      <c r="AF231" s="12"/>
      <c r="AG231" s="10"/>
      <c r="AH231" s="12"/>
      <c r="AI231" s="12"/>
      <c r="AJ231" s="13"/>
      <c r="AK231" s="11"/>
      <c r="AL231" s="12"/>
      <c r="AM231" s="10"/>
      <c r="AN231" s="12"/>
      <c r="AO231" s="12"/>
      <c r="AP231" s="10"/>
      <c r="AQ231" s="12"/>
      <c r="AR231" s="12"/>
      <c r="AS231" s="10"/>
      <c r="AT231" s="12"/>
      <c r="AU231" s="12"/>
      <c r="AV231" s="10"/>
      <c r="AW231" s="12"/>
      <c r="AX231" s="12"/>
      <c r="AY231" s="10"/>
      <c r="AZ231" s="12"/>
      <c r="BA231" s="12"/>
      <c r="BB231" s="10"/>
      <c r="BC231" s="12"/>
      <c r="BD231" s="12"/>
      <c r="BE231" s="10"/>
      <c r="BF231" s="12"/>
      <c r="BG231" s="12"/>
      <c r="BH231" s="10"/>
      <c r="BI231" s="12"/>
      <c r="BK231" s="16"/>
      <c r="BL231" s="16"/>
      <c r="BM231" s="16"/>
      <c r="BN231" s="16"/>
      <c r="BO231" s="16"/>
      <c r="BP231" s="16"/>
      <c r="BQ231" s="16"/>
      <c r="BR231" s="16"/>
      <c r="BS231" s="14"/>
      <c r="BT231" s="15"/>
      <c r="BU231" s="23"/>
      <c r="BV231" s="21"/>
      <c r="BW231" s="21"/>
      <c r="BX231" s="16"/>
      <c r="BY231" s="22"/>
      <c r="BZ231" s="16"/>
      <c r="CA231" s="8"/>
      <c r="CB231" s="10"/>
      <c r="CD231" s="10"/>
      <c r="CF231" s="10"/>
      <c r="CH231" s="10"/>
      <c r="CJ231" s="10"/>
      <c r="CL231" s="10"/>
      <c r="CN231" s="10"/>
      <c r="CP231" s="10"/>
      <c r="CR231" s="10"/>
      <c r="CT231" s="10"/>
      <c r="CV231" s="10"/>
      <c r="CX231" s="10"/>
      <c r="CZ231" s="10"/>
      <c r="DB231" s="10"/>
      <c r="DD231" s="10"/>
      <c r="DF231" s="10"/>
      <c r="DH231" s="10"/>
      <c r="DJ231" s="10"/>
      <c r="DL231" s="10"/>
    </row>
    <row r="232" spans="1:116" x14ac:dyDescent="0.2">
      <c r="A232" s="5"/>
      <c r="B232" s="6"/>
      <c r="C232" s="6"/>
      <c r="D232" s="27"/>
      <c r="E232" s="6"/>
      <c r="F232" s="8"/>
      <c r="G232" s="8"/>
      <c r="I232" s="10"/>
      <c r="J232" s="11"/>
      <c r="K232" s="12"/>
      <c r="L232" s="10"/>
      <c r="M232" s="11"/>
      <c r="N232" s="12"/>
      <c r="O232" s="10"/>
      <c r="P232" s="11"/>
      <c r="Q232" s="12"/>
      <c r="R232" s="13"/>
      <c r="S232" s="11"/>
      <c r="T232" s="12"/>
      <c r="U232" s="10"/>
      <c r="V232" s="12"/>
      <c r="W232" s="12"/>
      <c r="X232" s="10"/>
      <c r="Y232" s="12"/>
      <c r="Z232" s="12"/>
      <c r="AA232" s="10"/>
      <c r="AB232" s="12"/>
      <c r="AC232" s="12"/>
      <c r="AD232" s="10"/>
      <c r="AE232" s="12"/>
      <c r="AF232" s="12"/>
      <c r="AG232" s="10"/>
      <c r="AH232" s="12"/>
      <c r="AI232" s="12"/>
      <c r="AJ232" s="13"/>
      <c r="AK232" s="11"/>
      <c r="AL232" s="12"/>
      <c r="AM232" s="10"/>
      <c r="AN232" s="12"/>
      <c r="AO232" s="12"/>
      <c r="AP232" s="10"/>
      <c r="AQ232" s="12"/>
      <c r="AR232" s="12"/>
      <c r="AS232" s="10"/>
      <c r="AT232" s="12"/>
      <c r="AU232" s="12"/>
      <c r="AV232" s="10"/>
      <c r="AW232" s="12"/>
      <c r="AX232" s="12"/>
      <c r="AY232" s="10"/>
      <c r="AZ232" s="12"/>
      <c r="BA232" s="12"/>
      <c r="BB232" s="10"/>
      <c r="BC232" s="12"/>
      <c r="BD232" s="12"/>
      <c r="BE232" s="10"/>
      <c r="BF232" s="12"/>
      <c r="BG232" s="12"/>
      <c r="BH232" s="10"/>
      <c r="BI232" s="12"/>
      <c r="BK232" s="16"/>
      <c r="BL232" s="16"/>
      <c r="BM232" s="16"/>
      <c r="BN232" s="16"/>
      <c r="BO232" s="16"/>
      <c r="BP232" s="16"/>
      <c r="BQ232" s="16"/>
      <c r="BR232" s="16"/>
      <c r="BS232" s="14"/>
      <c r="BT232" s="15"/>
      <c r="BU232" s="23"/>
      <c r="BV232" s="21"/>
      <c r="BW232" s="21"/>
      <c r="BX232" s="16"/>
      <c r="BY232" s="22"/>
      <c r="BZ232" s="16"/>
      <c r="CA232" s="8"/>
      <c r="CB232" s="10"/>
      <c r="CD232" s="10"/>
      <c r="CF232" s="10"/>
      <c r="CH232" s="10"/>
      <c r="CJ232" s="10"/>
      <c r="CL232" s="10"/>
      <c r="CN232" s="10"/>
      <c r="CP232" s="10"/>
      <c r="CR232" s="10"/>
      <c r="CT232" s="10"/>
      <c r="CV232" s="10"/>
      <c r="CX232" s="10"/>
      <c r="CZ232" s="10"/>
      <c r="DB232" s="10"/>
      <c r="DD232" s="10"/>
      <c r="DF232" s="10"/>
      <c r="DH232" s="10"/>
      <c r="DJ232" s="10"/>
      <c r="DL232" s="10"/>
    </row>
    <row r="233" spans="1:116" x14ac:dyDescent="0.2">
      <c r="A233" s="5"/>
      <c r="B233" s="6"/>
      <c r="C233" s="6"/>
      <c r="D233" s="27"/>
      <c r="E233" s="6"/>
      <c r="F233" s="8"/>
      <c r="G233" s="8"/>
      <c r="I233" s="10"/>
      <c r="J233" s="11"/>
      <c r="K233" s="12"/>
      <c r="L233" s="10"/>
      <c r="M233" s="11"/>
      <c r="N233" s="12"/>
      <c r="O233" s="10"/>
      <c r="P233" s="11"/>
      <c r="Q233" s="12"/>
      <c r="R233" s="13"/>
      <c r="S233" s="11"/>
      <c r="T233" s="12"/>
      <c r="U233" s="10"/>
      <c r="V233" s="12"/>
      <c r="W233" s="12"/>
      <c r="X233" s="10"/>
      <c r="Y233" s="12"/>
      <c r="Z233" s="12"/>
      <c r="AA233" s="10"/>
      <c r="AB233" s="12"/>
      <c r="AC233" s="12"/>
      <c r="AD233" s="10"/>
      <c r="AE233" s="12"/>
      <c r="AF233" s="12"/>
      <c r="AG233" s="10"/>
      <c r="AH233" s="12"/>
      <c r="AI233" s="12"/>
      <c r="AJ233" s="13"/>
      <c r="AK233" s="11"/>
      <c r="AL233" s="12"/>
      <c r="AM233" s="10"/>
      <c r="AN233" s="12"/>
      <c r="AO233" s="12"/>
      <c r="AP233" s="10"/>
      <c r="AQ233" s="12"/>
      <c r="AR233" s="12"/>
      <c r="AS233" s="10"/>
      <c r="AT233" s="12"/>
      <c r="AU233" s="12"/>
      <c r="AV233" s="10"/>
      <c r="AW233" s="12"/>
      <c r="AX233" s="12"/>
      <c r="AY233" s="10"/>
      <c r="AZ233" s="12"/>
      <c r="BA233" s="12"/>
      <c r="BB233" s="10"/>
      <c r="BC233" s="12"/>
      <c r="BD233" s="12"/>
      <c r="BE233" s="10"/>
      <c r="BF233" s="12"/>
      <c r="BG233" s="12"/>
      <c r="BH233" s="10"/>
      <c r="BI233" s="12"/>
      <c r="BK233" s="16"/>
      <c r="BL233" s="16"/>
      <c r="BM233" s="16"/>
      <c r="BN233" s="16"/>
      <c r="BO233" s="16"/>
      <c r="BP233" s="16"/>
      <c r="BQ233" s="16"/>
      <c r="BR233" s="16"/>
      <c r="BS233" s="14"/>
      <c r="BT233" s="15"/>
      <c r="BU233" s="23"/>
      <c r="BV233" s="21"/>
      <c r="BW233" s="21"/>
      <c r="BX233" s="16"/>
      <c r="BY233" s="22"/>
      <c r="BZ233" s="16"/>
      <c r="CA233" s="8"/>
      <c r="CB233" s="10"/>
      <c r="CD233" s="10"/>
      <c r="CF233" s="10"/>
      <c r="CH233" s="10"/>
      <c r="CJ233" s="10"/>
      <c r="CL233" s="10"/>
      <c r="CN233" s="10"/>
      <c r="CP233" s="10"/>
      <c r="CR233" s="10"/>
      <c r="CT233" s="10"/>
      <c r="CV233" s="10"/>
      <c r="CX233" s="10"/>
      <c r="CZ233" s="10"/>
      <c r="DB233" s="10"/>
      <c r="DD233" s="10"/>
      <c r="DF233" s="10"/>
      <c r="DH233" s="10"/>
      <c r="DJ233" s="10"/>
      <c r="DL233" s="10"/>
    </row>
    <row r="234" spans="1:116" x14ac:dyDescent="0.2">
      <c r="A234" s="5"/>
      <c r="B234" s="6"/>
      <c r="C234" s="6"/>
      <c r="D234" s="27"/>
      <c r="E234" s="6"/>
      <c r="F234" s="8"/>
      <c r="G234" s="8"/>
      <c r="I234" s="10"/>
      <c r="J234" s="11"/>
      <c r="K234" s="12"/>
      <c r="L234" s="10"/>
      <c r="M234" s="11"/>
      <c r="N234" s="12"/>
      <c r="O234" s="10"/>
      <c r="P234" s="11"/>
      <c r="Q234" s="12"/>
      <c r="R234" s="13"/>
      <c r="S234" s="11"/>
      <c r="T234" s="12"/>
      <c r="U234" s="10"/>
      <c r="V234" s="12"/>
      <c r="W234" s="12"/>
      <c r="X234" s="10"/>
      <c r="Y234" s="12"/>
      <c r="Z234" s="12"/>
      <c r="AA234" s="10"/>
      <c r="AB234" s="12"/>
      <c r="AC234" s="12"/>
      <c r="AD234" s="10"/>
      <c r="AE234" s="12"/>
      <c r="AF234" s="12"/>
      <c r="AG234" s="10"/>
      <c r="AH234" s="12"/>
      <c r="AI234" s="12"/>
      <c r="AJ234" s="13"/>
      <c r="AK234" s="11"/>
      <c r="AL234" s="12"/>
      <c r="AM234" s="10"/>
      <c r="AN234" s="12"/>
      <c r="AO234" s="12"/>
      <c r="AP234" s="10"/>
      <c r="AQ234" s="12"/>
      <c r="AR234" s="12"/>
      <c r="AS234" s="10"/>
      <c r="AT234" s="12"/>
      <c r="AU234" s="12"/>
      <c r="AV234" s="10"/>
      <c r="AW234" s="12"/>
      <c r="AX234" s="12"/>
      <c r="AY234" s="10"/>
      <c r="AZ234" s="12"/>
      <c r="BA234" s="12"/>
      <c r="BB234" s="10"/>
      <c r="BC234" s="12"/>
      <c r="BD234" s="12"/>
      <c r="BE234" s="10"/>
      <c r="BF234" s="12"/>
      <c r="BG234" s="12"/>
      <c r="BH234" s="10"/>
      <c r="BI234" s="12"/>
      <c r="BK234" s="16"/>
      <c r="BL234" s="16"/>
      <c r="BM234" s="16"/>
      <c r="BN234" s="16"/>
      <c r="BO234" s="16"/>
      <c r="BP234" s="16"/>
      <c r="BQ234" s="16"/>
      <c r="BR234" s="16"/>
      <c r="BS234" s="14"/>
      <c r="BT234" s="15"/>
      <c r="BU234" s="23"/>
      <c r="BV234" s="21"/>
      <c r="BW234" s="21"/>
      <c r="BX234" s="16"/>
      <c r="BY234" s="22"/>
      <c r="BZ234" s="16"/>
      <c r="CA234" s="8"/>
      <c r="CB234" s="10"/>
      <c r="CD234" s="10"/>
      <c r="CF234" s="10"/>
      <c r="CH234" s="10"/>
      <c r="CJ234" s="10"/>
      <c r="CL234" s="10"/>
      <c r="CN234" s="10"/>
      <c r="CP234" s="10"/>
      <c r="CR234" s="10"/>
      <c r="CT234" s="10"/>
      <c r="CV234" s="10"/>
      <c r="CX234" s="10"/>
      <c r="CZ234" s="10"/>
      <c r="DB234" s="10"/>
      <c r="DD234" s="10"/>
      <c r="DF234" s="10"/>
      <c r="DH234" s="10"/>
      <c r="DJ234" s="10"/>
      <c r="DL234" s="10"/>
    </row>
    <row r="235" spans="1:116" x14ac:dyDescent="0.2">
      <c r="A235" s="5"/>
      <c r="B235" s="6"/>
      <c r="C235" s="6"/>
      <c r="D235" s="27"/>
      <c r="E235" s="6"/>
      <c r="F235" s="8"/>
      <c r="G235" s="8"/>
      <c r="I235" s="10"/>
      <c r="J235" s="11"/>
      <c r="K235" s="12"/>
      <c r="L235" s="10"/>
      <c r="M235" s="11"/>
      <c r="N235" s="12"/>
      <c r="O235" s="10"/>
      <c r="P235" s="11"/>
      <c r="Q235" s="12"/>
      <c r="R235" s="13"/>
      <c r="S235" s="11"/>
      <c r="T235" s="12"/>
      <c r="U235" s="10"/>
      <c r="V235" s="12"/>
      <c r="W235" s="12"/>
      <c r="X235" s="10"/>
      <c r="Y235" s="12"/>
      <c r="Z235" s="12"/>
      <c r="AA235" s="10"/>
      <c r="AB235" s="12"/>
      <c r="AC235" s="12"/>
      <c r="AD235" s="10"/>
      <c r="AE235" s="12"/>
      <c r="AF235" s="12"/>
      <c r="AG235" s="10"/>
      <c r="AH235" s="12"/>
      <c r="AI235" s="12"/>
      <c r="AJ235" s="13"/>
      <c r="AK235" s="11"/>
      <c r="AL235" s="12"/>
      <c r="AM235" s="10"/>
      <c r="AN235" s="12"/>
      <c r="AO235" s="12"/>
      <c r="AP235" s="10"/>
      <c r="AQ235" s="12"/>
      <c r="AR235" s="12"/>
      <c r="AS235" s="10"/>
      <c r="AT235" s="12"/>
      <c r="AU235" s="12"/>
      <c r="AV235" s="10"/>
      <c r="AW235" s="12"/>
      <c r="AX235" s="12"/>
      <c r="AY235" s="10"/>
      <c r="AZ235" s="12"/>
      <c r="BA235" s="12"/>
      <c r="BB235" s="10"/>
      <c r="BC235" s="12"/>
      <c r="BD235" s="12"/>
      <c r="BE235" s="10"/>
      <c r="BF235" s="12"/>
      <c r="BG235" s="12"/>
      <c r="BH235" s="10"/>
      <c r="BI235" s="12"/>
      <c r="BK235" s="16"/>
      <c r="BL235" s="16"/>
      <c r="BM235" s="16"/>
      <c r="BN235" s="16"/>
      <c r="BO235" s="16"/>
      <c r="BP235" s="16"/>
      <c r="BQ235" s="16"/>
      <c r="BR235" s="16"/>
      <c r="BS235" s="14"/>
      <c r="BT235" s="15"/>
      <c r="BU235" s="23"/>
      <c r="BV235" s="21"/>
      <c r="BW235" s="21"/>
      <c r="BX235" s="16"/>
      <c r="BY235" s="22"/>
      <c r="BZ235" s="16"/>
      <c r="CA235" s="8"/>
      <c r="CB235" s="10"/>
      <c r="CD235" s="10"/>
      <c r="CF235" s="10"/>
      <c r="CH235" s="10"/>
      <c r="CJ235" s="10"/>
      <c r="CL235" s="10"/>
      <c r="CN235" s="10"/>
      <c r="CP235" s="10"/>
      <c r="CR235" s="10"/>
      <c r="CT235" s="10"/>
      <c r="CV235" s="10"/>
      <c r="CX235" s="10"/>
      <c r="CZ235" s="10"/>
      <c r="DB235" s="10"/>
      <c r="DD235" s="10"/>
      <c r="DF235" s="10"/>
      <c r="DH235" s="10"/>
      <c r="DJ235" s="10"/>
      <c r="DL235" s="10"/>
    </row>
    <row r="236" spans="1:116" x14ac:dyDescent="0.2">
      <c r="A236" s="5"/>
      <c r="B236" s="6"/>
      <c r="C236" s="6"/>
      <c r="D236" s="27"/>
      <c r="E236" s="6"/>
      <c r="F236" s="8"/>
      <c r="G236" s="8"/>
      <c r="I236" s="10"/>
      <c r="J236" s="11"/>
      <c r="K236" s="12"/>
      <c r="L236" s="10"/>
      <c r="M236" s="11"/>
      <c r="N236" s="12"/>
      <c r="O236" s="10"/>
      <c r="P236" s="11"/>
      <c r="Q236" s="12"/>
      <c r="R236" s="13"/>
      <c r="S236" s="11"/>
      <c r="T236" s="12"/>
      <c r="U236" s="10"/>
      <c r="V236" s="12"/>
      <c r="W236" s="12"/>
      <c r="X236" s="10"/>
      <c r="Y236" s="12"/>
      <c r="Z236" s="12"/>
      <c r="AA236" s="10"/>
      <c r="AB236" s="12"/>
      <c r="AC236" s="12"/>
      <c r="AD236" s="10"/>
      <c r="AE236" s="12"/>
      <c r="AF236" s="12"/>
      <c r="AG236" s="10"/>
      <c r="AH236" s="12"/>
      <c r="AI236" s="12"/>
      <c r="AJ236" s="13"/>
      <c r="AK236" s="11"/>
      <c r="AL236" s="12"/>
      <c r="AM236" s="10"/>
      <c r="AN236" s="12"/>
      <c r="AO236" s="12"/>
      <c r="AP236" s="10"/>
      <c r="AQ236" s="12"/>
      <c r="AR236" s="12"/>
      <c r="AS236" s="10"/>
      <c r="AT236" s="12"/>
      <c r="AU236" s="12"/>
      <c r="AV236" s="10"/>
      <c r="AW236" s="12"/>
      <c r="AX236" s="12"/>
      <c r="AY236" s="10"/>
      <c r="AZ236" s="12"/>
      <c r="BA236" s="12"/>
      <c r="BB236" s="10"/>
      <c r="BC236" s="12"/>
      <c r="BD236" s="12"/>
      <c r="BE236" s="10"/>
      <c r="BF236" s="12"/>
      <c r="BG236" s="12"/>
      <c r="BH236" s="10"/>
      <c r="BI236" s="12"/>
      <c r="BK236" s="16"/>
      <c r="BL236" s="16"/>
      <c r="BM236" s="16"/>
      <c r="BN236" s="16"/>
      <c r="BO236" s="16"/>
      <c r="BP236" s="16"/>
      <c r="BQ236" s="16"/>
      <c r="BR236" s="16"/>
      <c r="BS236" s="14"/>
      <c r="BT236" s="15"/>
      <c r="BU236" s="23"/>
      <c r="BV236" s="21"/>
      <c r="BW236" s="21"/>
      <c r="BX236" s="16"/>
      <c r="BY236" s="22"/>
      <c r="BZ236" s="16"/>
      <c r="CA236" s="8"/>
      <c r="CB236" s="10"/>
      <c r="CD236" s="10"/>
      <c r="CF236" s="10"/>
      <c r="CH236" s="10"/>
      <c r="CJ236" s="10"/>
      <c r="CL236" s="10"/>
      <c r="CN236" s="10"/>
      <c r="CP236" s="10"/>
      <c r="CR236" s="10"/>
      <c r="CT236" s="10"/>
      <c r="CV236" s="10"/>
      <c r="CX236" s="10"/>
      <c r="CZ236" s="10"/>
      <c r="DB236" s="10"/>
      <c r="DD236" s="10"/>
      <c r="DF236" s="10"/>
      <c r="DH236" s="10"/>
      <c r="DJ236" s="10"/>
      <c r="DL236" s="10"/>
    </row>
    <row r="237" spans="1:116" x14ac:dyDescent="0.2">
      <c r="A237" s="5"/>
      <c r="B237" s="6"/>
      <c r="C237" s="6"/>
      <c r="D237" s="27"/>
      <c r="E237" s="6"/>
      <c r="F237" s="8"/>
      <c r="G237" s="8"/>
      <c r="I237" s="10"/>
      <c r="J237" s="11"/>
      <c r="K237" s="12"/>
      <c r="L237" s="10"/>
      <c r="M237" s="11"/>
      <c r="N237" s="12"/>
      <c r="O237" s="10"/>
      <c r="P237" s="11"/>
      <c r="Q237" s="12"/>
      <c r="R237" s="13"/>
      <c r="S237" s="11"/>
      <c r="T237" s="12"/>
      <c r="U237" s="10"/>
      <c r="V237" s="12"/>
      <c r="W237" s="12"/>
      <c r="X237" s="10"/>
      <c r="Y237" s="12"/>
      <c r="Z237" s="12"/>
      <c r="AA237" s="10"/>
      <c r="AB237" s="12"/>
      <c r="AC237" s="12"/>
      <c r="AD237" s="10"/>
      <c r="AE237" s="12"/>
      <c r="AF237" s="12"/>
      <c r="AG237" s="10"/>
      <c r="AH237" s="12"/>
      <c r="AI237" s="12"/>
      <c r="AJ237" s="13"/>
      <c r="AK237" s="11"/>
      <c r="AL237" s="12"/>
      <c r="AM237" s="10"/>
      <c r="AN237" s="12"/>
      <c r="AO237" s="12"/>
      <c r="AP237" s="10"/>
      <c r="AQ237" s="12"/>
      <c r="AR237" s="12"/>
      <c r="AS237" s="10"/>
      <c r="AT237" s="12"/>
      <c r="AU237" s="12"/>
      <c r="AV237" s="10"/>
      <c r="AW237" s="12"/>
      <c r="AX237" s="12"/>
      <c r="AY237" s="10"/>
      <c r="AZ237" s="12"/>
      <c r="BA237" s="12"/>
      <c r="BB237" s="10"/>
      <c r="BC237" s="12"/>
      <c r="BD237" s="12"/>
      <c r="BE237" s="10"/>
      <c r="BF237" s="12"/>
      <c r="BG237" s="12"/>
      <c r="BH237" s="10"/>
      <c r="BI237" s="12"/>
      <c r="BK237" s="16"/>
      <c r="BL237" s="16"/>
      <c r="BM237" s="16"/>
      <c r="BN237" s="16"/>
      <c r="BO237" s="16"/>
      <c r="BP237" s="16"/>
      <c r="BQ237" s="16"/>
      <c r="BR237" s="16"/>
      <c r="BS237" s="14"/>
      <c r="BT237" s="15"/>
      <c r="BU237" s="23"/>
      <c r="BV237" s="21"/>
      <c r="BW237" s="21"/>
      <c r="BX237" s="16"/>
      <c r="BY237" s="22"/>
      <c r="BZ237" s="16"/>
      <c r="CA237" s="8"/>
      <c r="CB237" s="10"/>
      <c r="CD237" s="10"/>
      <c r="CF237" s="10"/>
      <c r="CH237" s="10"/>
      <c r="CJ237" s="10"/>
      <c r="CL237" s="10"/>
      <c r="CN237" s="10"/>
      <c r="CP237" s="10"/>
      <c r="CR237" s="10"/>
      <c r="CT237" s="10"/>
      <c r="CV237" s="10"/>
      <c r="CX237" s="10"/>
      <c r="CZ237" s="10"/>
      <c r="DB237" s="10"/>
      <c r="DD237" s="10"/>
      <c r="DF237" s="10"/>
      <c r="DH237" s="10"/>
      <c r="DJ237" s="10"/>
      <c r="DL237" s="10"/>
    </row>
    <row r="238" spans="1:116" x14ac:dyDescent="0.2">
      <c r="A238" s="5"/>
      <c r="B238" s="6"/>
      <c r="C238" s="6"/>
      <c r="D238" s="27"/>
      <c r="E238" s="6"/>
      <c r="F238" s="8"/>
      <c r="G238" s="8"/>
      <c r="I238" s="10"/>
      <c r="J238" s="11"/>
      <c r="K238" s="12"/>
      <c r="L238" s="10"/>
      <c r="M238" s="11"/>
      <c r="N238" s="12"/>
      <c r="O238" s="10"/>
      <c r="P238" s="11"/>
      <c r="Q238" s="12"/>
      <c r="R238" s="13"/>
      <c r="S238" s="11"/>
      <c r="T238" s="12"/>
      <c r="U238" s="10"/>
      <c r="V238" s="12"/>
      <c r="W238" s="12"/>
      <c r="X238" s="10"/>
      <c r="Y238" s="12"/>
      <c r="Z238" s="12"/>
      <c r="AA238" s="10"/>
      <c r="AB238" s="12"/>
      <c r="AC238" s="12"/>
      <c r="AD238" s="10"/>
      <c r="AE238" s="12"/>
      <c r="AF238" s="12"/>
      <c r="AG238" s="10"/>
      <c r="AH238" s="12"/>
      <c r="AI238" s="12"/>
      <c r="AJ238" s="13"/>
      <c r="AK238" s="11"/>
      <c r="AL238" s="12"/>
      <c r="AM238" s="10"/>
      <c r="AN238" s="12"/>
      <c r="AO238" s="12"/>
      <c r="AP238" s="10"/>
      <c r="AQ238" s="12"/>
      <c r="AR238" s="12"/>
      <c r="AS238" s="10"/>
      <c r="AT238" s="12"/>
      <c r="AU238" s="12"/>
      <c r="AV238" s="10"/>
      <c r="AW238" s="12"/>
      <c r="AX238" s="12"/>
      <c r="AY238" s="10"/>
      <c r="AZ238" s="12"/>
      <c r="BA238" s="12"/>
      <c r="BB238" s="10"/>
      <c r="BC238" s="12"/>
      <c r="BD238" s="12"/>
      <c r="BE238" s="10"/>
      <c r="BF238" s="12"/>
      <c r="BG238" s="12"/>
      <c r="BH238" s="10"/>
      <c r="BI238" s="12"/>
      <c r="BK238" s="16"/>
      <c r="BL238" s="16"/>
      <c r="BM238" s="16"/>
      <c r="BN238" s="16"/>
      <c r="BO238" s="16"/>
      <c r="BP238" s="16"/>
      <c r="BQ238" s="16"/>
      <c r="BR238" s="16"/>
      <c r="BS238" s="14"/>
      <c r="BT238" s="15"/>
      <c r="BU238" s="23"/>
      <c r="BV238" s="21"/>
      <c r="BW238" s="21"/>
      <c r="BX238" s="16"/>
      <c r="BY238" s="22"/>
      <c r="BZ238" s="16"/>
      <c r="CA238" s="8"/>
      <c r="CB238" s="10"/>
      <c r="CD238" s="10"/>
      <c r="CF238" s="10"/>
      <c r="CH238" s="10"/>
      <c r="CJ238" s="10"/>
      <c r="CL238" s="10"/>
      <c r="CN238" s="10"/>
      <c r="CP238" s="10"/>
      <c r="CR238" s="10"/>
      <c r="CT238" s="10"/>
      <c r="CV238" s="10"/>
      <c r="CX238" s="10"/>
      <c r="CZ238" s="10"/>
      <c r="DB238" s="10"/>
      <c r="DD238" s="10"/>
      <c r="DF238" s="10"/>
      <c r="DH238" s="10"/>
      <c r="DJ238" s="10"/>
      <c r="DL238" s="10"/>
    </row>
    <row r="239" spans="1:116" x14ac:dyDescent="0.2">
      <c r="A239" s="5"/>
      <c r="B239" s="6"/>
      <c r="C239" s="6"/>
      <c r="D239" s="27"/>
      <c r="E239" s="6"/>
      <c r="F239" s="8"/>
      <c r="G239" s="8"/>
      <c r="I239" s="10"/>
      <c r="J239" s="11"/>
      <c r="K239" s="12"/>
      <c r="L239" s="10"/>
      <c r="M239" s="11"/>
      <c r="N239" s="12"/>
      <c r="O239" s="10"/>
      <c r="P239" s="11"/>
      <c r="Q239" s="12"/>
      <c r="R239" s="13"/>
      <c r="S239" s="11"/>
      <c r="T239" s="12"/>
      <c r="U239" s="10"/>
      <c r="V239" s="12"/>
      <c r="W239" s="12"/>
      <c r="X239" s="10"/>
      <c r="Y239" s="12"/>
      <c r="Z239" s="12"/>
      <c r="AA239" s="10"/>
      <c r="AB239" s="12"/>
      <c r="AC239" s="12"/>
      <c r="AD239" s="10"/>
      <c r="AE239" s="12"/>
      <c r="AF239" s="12"/>
      <c r="AG239" s="10"/>
      <c r="AH239" s="12"/>
      <c r="AI239" s="12"/>
      <c r="AJ239" s="13"/>
      <c r="AK239" s="11"/>
      <c r="AL239" s="12"/>
      <c r="AM239" s="10"/>
      <c r="AN239" s="12"/>
      <c r="AO239" s="12"/>
      <c r="AP239" s="10"/>
      <c r="AQ239" s="12"/>
      <c r="AR239" s="12"/>
      <c r="AS239" s="10"/>
      <c r="AT239" s="12"/>
      <c r="AU239" s="12"/>
      <c r="AV239" s="10"/>
      <c r="AW239" s="12"/>
      <c r="AX239" s="12"/>
      <c r="AY239" s="10"/>
      <c r="AZ239" s="12"/>
      <c r="BA239" s="12"/>
      <c r="BB239" s="10"/>
      <c r="BC239" s="12"/>
      <c r="BD239" s="12"/>
      <c r="BE239" s="10"/>
      <c r="BF239" s="12"/>
      <c r="BG239" s="12"/>
      <c r="BH239" s="10"/>
      <c r="BI239" s="12"/>
      <c r="BK239" s="16"/>
      <c r="BL239" s="16"/>
      <c r="BM239" s="16"/>
      <c r="BN239" s="16"/>
      <c r="BO239" s="16"/>
      <c r="BP239" s="16"/>
      <c r="BQ239" s="16"/>
      <c r="BR239" s="16"/>
      <c r="BS239" s="14"/>
      <c r="BT239" s="15"/>
      <c r="BU239" s="23"/>
      <c r="BV239" s="21"/>
      <c r="BW239" s="21"/>
      <c r="BX239" s="16"/>
      <c r="BY239" s="22"/>
      <c r="BZ239" s="16"/>
      <c r="CA239" s="8"/>
      <c r="CB239" s="10"/>
      <c r="CD239" s="10"/>
      <c r="CF239" s="10"/>
      <c r="CH239" s="10"/>
      <c r="CJ239" s="10"/>
      <c r="CL239" s="10"/>
      <c r="CN239" s="10"/>
      <c r="CP239" s="10"/>
      <c r="CR239" s="10"/>
      <c r="CT239" s="10"/>
      <c r="CV239" s="10"/>
      <c r="CX239" s="10"/>
      <c r="CZ239" s="10"/>
      <c r="DB239" s="10"/>
      <c r="DD239" s="10"/>
      <c r="DF239" s="10"/>
      <c r="DH239" s="10"/>
      <c r="DJ239" s="10"/>
      <c r="DL239" s="10"/>
    </row>
    <row r="240" spans="1:116" x14ac:dyDescent="0.2">
      <c r="A240" s="5"/>
      <c r="B240" s="6"/>
      <c r="C240" s="6"/>
      <c r="D240" s="27"/>
      <c r="E240" s="6"/>
      <c r="F240" s="8"/>
      <c r="G240" s="8"/>
      <c r="I240" s="10"/>
      <c r="J240" s="11"/>
      <c r="K240" s="12"/>
      <c r="L240" s="10"/>
      <c r="M240" s="11"/>
      <c r="N240" s="12"/>
      <c r="O240" s="10"/>
      <c r="P240" s="11"/>
      <c r="Q240" s="12"/>
      <c r="R240" s="13"/>
      <c r="S240" s="11"/>
      <c r="T240" s="12"/>
      <c r="U240" s="10"/>
      <c r="V240" s="12"/>
      <c r="W240" s="12"/>
      <c r="X240" s="10"/>
      <c r="Y240" s="12"/>
      <c r="Z240" s="12"/>
      <c r="AA240" s="10"/>
      <c r="AB240" s="12"/>
      <c r="AC240" s="12"/>
      <c r="AD240" s="10"/>
      <c r="AE240" s="12"/>
      <c r="AF240" s="12"/>
      <c r="AG240" s="10"/>
      <c r="AH240" s="12"/>
      <c r="AI240" s="12"/>
      <c r="AJ240" s="13"/>
      <c r="AK240" s="11"/>
      <c r="AL240" s="12"/>
      <c r="AM240" s="10"/>
      <c r="AN240" s="12"/>
      <c r="AO240" s="12"/>
      <c r="AP240" s="10"/>
      <c r="AQ240" s="12"/>
      <c r="AR240" s="12"/>
      <c r="AS240" s="10"/>
      <c r="AT240" s="12"/>
      <c r="AU240" s="12"/>
      <c r="AV240" s="10"/>
      <c r="AW240" s="12"/>
      <c r="AX240" s="12"/>
      <c r="AY240" s="10"/>
      <c r="AZ240" s="12"/>
      <c r="BA240" s="12"/>
      <c r="BB240" s="10"/>
      <c r="BC240" s="12"/>
      <c r="BD240" s="12"/>
      <c r="BE240" s="10"/>
      <c r="BF240" s="12"/>
      <c r="BG240" s="12"/>
      <c r="BH240" s="10"/>
      <c r="BI240" s="12"/>
      <c r="BK240" s="16"/>
      <c r="BL240" s="16"/>
      <c r="BM240" s="16"/>
      <c r="BN240" s="16"/>
      <c r="BO240" s="16"/>
      <c r="BP240" s="16"/>
      <c r="BQ240" s="16"/>
      <c r="BR240" s="16"/>
      <c r="BS240" s="14"/>
      <c r="BT240" s="15"/>
      <c r="BU240" s="23"/>
      <c r="BV240" s="21"/>
      <c r="BW240" s="21"/>
      <c r="BX240" s="16"/>
      <c r="BY240" s="22"/>
      <c r="BZ240" s="16"/>
      <c r="CA240" s="8"/>
      <c r="CB240" s="10"/>
      <c r="CD240" s="10"/>
      <c r="CF240" s="10"/>
      <c r="CH240" s="10"/>
      <c r="CJ240" s="10"/>
      <c r="CL240" s="10"/>
      <c r="CN240" s="10"/>
      <c r="CP240" s="10"/>
      <c r="CR240" s="10"/>
      <c r="CT240" s="10"/>
      <c r="CV240" s="10"/>
      <c r="CX240" s="10"/>
      <c r="CZ240" s="10"/>
      <c r="DB240" s="10"/>
      <c r="DD240" s="10"/>
      <c r="DF240" s="10"/>
      <c r="DH240" s="10"/>
      <c r="DJ240" s="10"/>
      <c r="DL240" s="10"/>
    </row>
    <row r="241" spans="1:116" x14ac:dyDescent="0.2">
      <c r="A241" s="5"/>
      <c r="B241" s="6"/>
      <c r="C241" s="6"/>
      <c r="D241" s="27"/>
      <c r="E241" s="6"/>
      <c r="F241" s="8"/>
      <c r="G241" s="8"/>
      <c r="I241" s="10"/>
      <c r="J241" s="11"/>
      <c r="K241" s="12"/>
      <c r="L241" s="10"/>
      <c r="M241" s="11"/>
      <c r="N241" s="12"/>
      <c r="O241" s="10"/>
      <c r="P241" s="11"/>
      <c r="Q241" s="12"/>
      <c r="R241" s="13"/>
      <c r="S241" s="11"/>
      <c r="T241" s="12"/>
      <c r="U241" s="10"/>
      <c r="V241" s="12"/>
      <c r="W241" s="12"/>
      <c r="X241" s="10"/>
      <c r="Y241" s="12"/>
      <c r="Z241" s="12"/>
      <c r="AA241" s="10"/>
      <c r="AB241" s="12"/>
      <c r="AC241" s="12"/>
      <c r="AD241" s="10"/>
      <c r="AE241" s="12"/>
      <c r="AF241" s="12"/>
      <c r="AG241" s="10"/>
      <c r="AH241" s="12"/>
      <c r="AI241" s="12"/>
      <c r="AJ241" s="13"/>
      <c r="AK241" s="11"/>
      <c r="AL241" s="12"/>
      <c r="AM241" s="10"/>
      <c r="AN241" s="12"/>
      <c r="AO241" s="12"/>
      <c r="AP241" s="10"/>
      <c r="AQ241" s="12"/>
      <c r="AR241" s="12"/>
      <c r="AS241" s="10"/>
      <c r="AT241" s="12"/>
      <c r="AU241" s="12"/>
      <c r="AV241" s="10"/>
      <c r="AW241" s="12"/>
      <c r="AX241" s="12"/>
      <c r="AY241" s="10"/>
      <c r="AZ241" s="12"/>
      <c r="BA241" s="12"/>
      <c r="BB241" s="10"/>
      <c r="BC241" s="12"/>
      <c r="BD241" s="12"/>
      <c r="BE241" s="10"/>
      <c r="BF241" s="12"/>
      <c r="BG241" s="12"/>
      <c r="BH241" s="10"/>
      <c r="BI241" s="12"/>
      <c r="BK241" s="16"/>
      <c r="BL241" s="16"/>
      <c r="BM241" s="16"/>
      <c r="BN241" s="16"/>
      <c r="BO241" s="16"/>
      <c r="BP241" s="16"/>
      <c r="BQ241" s="16"/>
      <c r="BR241" s="16"/>
      <c r="BS241" s="14"/>
      <c r="BT241" s="15"/>
      <c r="BU241" s="23"/>
      <c r="BV241" s="21"/>
      <c r="BW241" s="21"/>
      <c r="BX241" s="16"/>
      <c r="BY241" s="22"/>
      <c r="BZ241" s="16"/>
      <c r="CA241" s="8"/>
      <c r="CB241" s="10"/>
      <c r="CD241" s="10"/>
      <c r="CF241" s="10"/>
      <c r="CH241" s="10"/>
      <c r="CJ241" s="10"/>
      <c r="CL241" s="10"/>
      <c r="CN241" s="10"/>
      <c r="CP241" s="10"/>
      <c r="CR241" s="10"/>
      <c r="CT241" s="10"/>
      <c r="CV241" s="10"/>
      <c r="CX241" s="10"/>
      <c r="CZ241" s="10"/>
      <c r="DB241" s="10"/>
      <c r="DD241" s="10"/>
      <c r="DF241" s="10"/>
      <c r="DH241" s="10"/>
      <c r="DJ241" s="10"/>
      <c r="DL241" s="10"/>
    </row>
    <row r="242" spans="1:116" x14ac:dyDescent="0.2">
      <c r="A242" s="5"/>
      <c r="B242" s="6"/>
      <c r="C242" s="6"/>
      <c r="D242" s="27"/>
      <c r="E242" s="6"/>
      <c r="F242" s="8"/>
      <c r="G242" s="8"/>
      <c r="I242" s="10"/>
      <c r="J242" s="11"/>
      <c r="K242" s="12"/>
      <c r="L242" s="10"/>
      <c r="M242" s="11"/>
      <c r="N242" s="12"/>
      <c r="O242" s="10"/>
      <c r="P242" s="11"/>
      <c r="Q242" s="12"/>
      <c r="R242" s="13"/>
      <c r="S242" s="11"/>
      <c r="T242" s="12"/>
      <c r="U242" s="10"/>
      <c r="V242" s="12"/>
      <c r="W242" s="12"/>
      <c r="X242" s="10"/>
      <c r="Y242" s="12"/>
      <c r="Z242" s="12"/>
      <c r="AA242" s="10"/>
      <c r="AB242" s="12"/>
      <c r="AC242" s="12"/>
      <c r="AD242" s="10"/>
      <c r="AE242" s="12"/>
      <c r="AF242" s="12"/>
      <c r="AG242" s="10"/>
      <c r="AH242" s="12"/>
      <c r="AI242" s="12"/>
      <c r="AJ242" s="13"/>
      <c r="AK242" s="11"/>
      <c r="AL242" s="12"/>
      <c r="AM242" s="10"/>
      <c r="AN242" s="12"/>
      <c r="AO242" s="12"/>
      <c r="AP242" s="10"/>
      <c r="AQ242" s="12"/>
      <c r="AR242" s="12"/>
      <c r="AS242" s="10"/>
      <c r="AT242" s="12"/>
      <c r="AU242" s="12"/>
      <c r="AV242" s="10"/>
      <c r="AW242" s="12"/>
      <c r="AX242" s="12"/>
      <c r="AY242" s="10"/>
      <c r="AZ242" s="12"/>
      <c r="BA242" s="12"/>
      <c r="BB242" s="10"/>
      <c r="BC242" s="12"/>
      <c r="BD242" s="12"/>
      <c r="BE242" s="10"/>
      <c r="BF242" s="12"/>
      <c r="BG242" s="12"/>
      <c r="BH242" s="10"/>
      <c r="BI242" s="12"/>
      <c r="BK242" s="16"/>
      <c r="BL242" s="16"/>
      <c r="BM242" s="16"/>
      <c r="BN242" s="16"/>
      <c r="BO242" s="16"/>
      <c r="BP242" s="16"/>
      <c r="BQ242" s="16"/>
      <c r="BR242" s="16"/>
      <c r="BS242" s="14"/>
      <c r="BT242" s="15"/>
      <c r="BU242" s="23"/>
      <c r="BV242" s="21"/>
      <c r="BW242" s="21"/>
      <c r="BX242" s="16"/>
      <c r="BY242" s="22"/>
      <c r="BZ242" s="16"/>
      <c r="CA242" s="8"/>
      <c r="CB242" s="10"/>
      <c r="CD242" s="10"/>
      <c r="CF242" s="10"/>
      <c r="CH242" s="10"/>
      <c r="CJ242" s="10"/>
      <c r="CL242" s="10"/>
      <c r="CN242" s="10"/>
      <c r="CP242" s="10"/>
      <c r="CR242" s="10"/>
      <c r="CT242" s="10"/>
      <c r="CV242" s="10"/>
      <c r="CX242" s="10"/>
      <c r="CZ242" s="10"/>
      <c r="DB242" s="10"/>
      <c r="DD242" s="10"/>
      <c r="DF242" s="10"/>
      <c r="DH242" s="10"/>
      <c r="DJ242" s="10"/>
      <c r="DL242" s="10"/>
    </row>
    <row r="243" spans="1:116" x14ac:dyDescent="0.2">
      <c r="A243" s="5"/>
      <c r="B243" s="6"/>
      <c r="C243" s="6"/>
      <c r="D243" s="27"/>
      <c r="E243" s="6"/>
      <c r="F243" s="8"/>
      <c r="G243" s="8"/>
      <c r="I243" s="10"/>
      <c r="J243" s="11"/>
      <c r="K243" s="12"/>
      <c r="L243" s="10"/>
      <c r="M243" s="11"/>
      <c r="N243" s="12"/>
      <c r="O243" s="10"/>
      <c r="P243" s="11"/>
      <c r="Q243" s="12"/>
      <c r="R243" s="13"/>
      <c r="S243" s="11"/>
      <c r="T243" s="12"/>
      <c r="U243" s="10"/>
      <c r="V243" s="12"/>
      <c r="W243" s="12"/>
      <c r="X243" s="10"/>
      <c r="Y243" s="12"/>
      <c r="Z243" s="12"/>
      <c r="AA243" s="10"/>
      <c r="AB243" s="12"/>
      <c r="AC243" s="12"/>
      <c r="AD243" s="10"/>
      <c r="AE243" s="12"/>
      <c r="AF243" s="12"/>
      <c r="AG243" s="10"/>
      <c r="AH243" s="12"/>
      <c r="AI243" s="12"/>
      <c r="AJ243" s="13"/>
      <c r="AK243" s="11"/>
      <c r="AL243" s="12"/>
      <c r="AM243" s="10"/>
      <c r="AN243" s="12"/>
      <c r="AO243" s="12"/>
      <c r="AP243" s="10"/>
      <c r="AQ243" s="12"/>
      <c r="AR243" s="12"/>
      <c r="AS243" s="10"/>
      <c r="AT243" s="12"/>
      <c r="AU243" s="12"/>
      <c r="AV243" s="10"/>
      <c r="AW243" s="12"/>
      <c r="AX243" s="12"/>
      <c r="AY243" s="10"/>
      <c r="AZ243" s="12"/>
      <c r="BA243" s="12"/>
      <c r="BB243" s="10"/>
      <c r="BC243" s="12"/>
      <c r="BD243" s="12"/>
      <c r="BE243" s="10"/>
      <c r="BF243" s="12"/>
      <c r="BG243" s="12"/>
      <c r="BH243" s="10"/>
      <c r="BI243" s="12"/>
      <c r="BK243" s="16"/>
      <c r="BL243" s="16"/>
      <c r="BM243" s="16"/>
      <c r="BN243" s="16"/>
      <c r="BO243" s="16"/>
      <c r="BP243" s="16"/>
      <c r="BQ243" s="16"/>
      <c r="BR243" s="16"/>
      <c r="BS243" s="14"/>
      <c r="BT243" s="15"/>
      <c r="BU243" s="23"/>
      <c r="BV243" s="21"/>
      <c r="BW243" s="21"/>
      <c r="BX243" s="16"/>
      <c r="BY243" s="22"/>
      <c r="BZ243" s="16"/>
      <c r="CA243" s="8"/>
      <c r="CB243" s="10"/>
      <c r="CD243" s="10"/>
      <c r="CF243" s="10"/>
      <c r="CH243" s="10"/>
      <c r="CJ243" s="10"/>
      <c r="CL243" s="10"/>
      <c r="CN243" s="10"/>
      <c r="CP243" s="10"/>
      <c r="CR243" s="10"/>
      <c r="CT243" s="10"/>
      <c r="CV243" s="10"/>
      <c r="CX243" s="10"/>
      <c r="CZ243" s="10"/>
      <c r="DB243" s="10"/>
      <c r="DD243" s="10"/>
      <c r="DF243" s="10"/>
      <c r="DH243" s="10"/>
      <c r="DJ243" s="10"/>
      <c r="DL243" s="10"/>
    </row>
    <row r="244" spans="1:116" x14ac:dyDescent="0.2">
      <c r="A244" s="5"/>
      <c r="B244" s="6"/>
      <c r="C244" s="6"/>
      <c r="D244" s="27"/>
      <c r="E244" s="6"/>
      <c r="F244" s="8"/>
      <c r="G244" s="8"/>
      <c r="I244" s="10"/>
      <c r="J244" s="11"/>
      <c r="K244" s="12"/>
      <c r="L244" s="10"/>
      <c r="M244" s="11"/>
      <c r="N244" s="12"/>
      <c r="O244" s="10"/>
      <c r="P244" s="11"/>
      <c r="Q244" s="12"/>
      <c r="R244" s="13"/>
      <c r="S244" s="11"/>
      <c r="T244" s="12"/>
      <c r="U244" s="10"/>
      <c r="V244" s="12"/>
      <c r="W244" s="12"/>
      <c r="X244" s="10"/>
      <c r="Y244" s="12"/>
      <c r="Z244" s="12"/>
      <c r="AA244" s="10"/>
      <c r="AB244" s="12"/>
      <c r="AC244" s="12"/>
      <c r="AD244" s="10"/>
      <c r="AE244" s="12"/>
      <c r="AF244" s="12"/>
      <c r="AG244" s="10"/>
      <c r="AH244" s="12"/>
      <c r="AI244" s="12"/>
      <c r="AJ244" s="13"/>
      <c r="AK244" s="11"/>
      <c r="AL244" s="12"/>
      <c r="AM244" s="10"/>
      <c r="AN244" s="12"/>
      <c r="AO244" s="12"/>
      <c r="AP244" s="10"/>
      <c r="AQ244" s="12"/>
      <c r="AR244" s="12"/>
      <c r="AS244" s="10"/>
      <c r="AT244" s="12"/>
      <c r="AU244" s="12"/>
      <c r="AV244" s="10"/>
      <c r="AW244" s="12"/>
      <c r="AX244" s="12"/>
      <c r="AY244" s="10"/>
      <c r="AZ244" s="12"/>
      <c r="BA244" s="12"/>
      <c r="BB244" s="10"/>
      <c r="BC244" s="12"/>
      <c r="BD244" s="12"/>
      <c r="BE244" s="10"/>
      <c r="BF244" s="12"/>
      <c r="BG244" s="12"/>
      <c r="BH244" s="10"/>
      <c r="BI244" s="12"/>
      <c r="BK244" s="16"/>
      <c r="BL244" s="16"/>
      <c r="BM244" s="16"/>
      <c r="BN244" s="16"/>
      <c r="BO244" s="16"/>
      <c r="BP244" s="16"/>
      <c r="BQ244" s="16"/>
      <c r="BR244" s="16"/>
      <c r="BS244" s="14"/>
      <c r="BT244" s="15"/>
      <c r="BU244" s="23"/>
      <c r="BV244" s="21"/>
      <c r="BW244" s="21"/>
      <c r="BX244" s="16"/>
      <c r="BY244" s="22"/>
      <c r="BZ244" s="16"/>
      <c r="CA244" s="8"/>
      <c r="CB244" s="10"/>
      <c r="CD244" s="10"/>
      <c r="CF244" s="10"/>
      <c r="CH244" s="10"/>
      <c r="CJ244" s="10"/>
      <c r="CL244" s="10"/>
      <c r="CN244" s="10"/>
      <c r="CP244" s="10"/>
      <c r="CR244" s="10"/>
      <c r="CT244" s="10"/>
      <c r="CV244" s="10"/>
      <c r="CX244" s="10"/>
      <c r="CZ244" s="10"/>
      <c r="DB244" s="10"/>
      <c r="DD244" s="10"/>
      <c r="DF244" s="10"/>
      <c r="DH244" s="10"/>
      <c r="DJ244" s="10"/>
      <c r="DL244" s="10"/>
    </row>
    <row r="245" spans="1:116" x14ac:dyDescent="0.2">
      <c r="A245" s="5"/>
      <c r="B245" s="6"/>
      <c r="C245" s="6"/>
      <c r="D245" s="27"/>
      <c r="E245" s="6"/>
      <c r="F245" s="8"/>
      <c r="G245" s="8"/>
      <c r="I245" s="10"/>
      <c r="J245" s="11"/>
      <c r="K245" s="12"/>
      <c r="L245" s="10"/>
      <c r="M245" s="11"/>
      <c r="N245" s="12"/>
      <c r="O245" s="10"/>
      <c r="P245" s="11"/>
      <c r="Q245" s="12"/>
      <c r="R245" s="13"/>
      <c r="S245" s="11"/>
      <c r="T245" s="12"/>
      <c r="U245" s="10"/>
      <c r="V245" s="12"/>
      <c r="W245" s="12"/>
      <c r="X245" s="10"/>
      <c r="Y245" s="12"/>
      <c r="Z245" s="12"/>
      <c r="AA245" s="10"/>
      <c r="AB245" s="12"/>
      <c r="AC245" s="12"/>
      <c r="AD245" s="10"/>
      <c r="AE245" s="12"/>
      <c r="AF245" s="12"/>
      <c r="AG245" s="10"/>
      <c r="AH245" s="12"/>
      <c r="AI245" s="12"/>
      <c r="AJ245" s="13"/>
      <c r="AK245" s="11"/>
      <c r="AL245" s="12"/>
      <c r="AM245" s="10"/>
      <c r="AN245" s="12"/>
      <c r="AO245" s="12"/>
      <c r="AP245" s="10"/>
      <c r="AQ245" s="12"/>
      <c r="AR245" s="12"/>
      <c r="AS245" s="10"/>
      <c r="AT245" s="12"/>
      <c r="AU245" s="12"/>
      <c r="AV245" s="10"/>
      <c r="AW245" s="12"/>
      <c r="AX245" s="12"/>
      <c r="AY245" s="10"/>
      <c r="AZ245" s="12"/>
      <c r="BA245" s="12"/>
      <c r="BB245" s="10"/>
      <c r="BC245" s="12"/>
      <c r="BD245" s="12"/>
      <c r="BE245" s="10"/>
      <c r="BF245" s="12"/>
      <c r="BG245" s="12"/>
      <c r="BH245" s="10"/>
      <c r="BI245" s="12"/>
      <c r="BK245" s="16"/>
      <c r="BL245" s="16"/>
      <c r="BM245" s="16"/>
      <c r="BN245" s="16"/>
      <c r="BO245" s="16"/>
      <c r="BP245" s="16"/>
      <c r="BQ245" s="16"/>
      <c r="BR245" s="16"/>
      <c r="BS245" s="14"/>
      <c r="BT245" s="15"/>
      <c r="BU245" s="23"/>
      <c r="BV245" s="21"/>
      <c r="BW245" s="21"/>
      <c r="BX245" s="16"/>
      <c r="BY245" s="22"/>
      <c r="BZ245" s="16"/>
      <c r="CA245" s="8"/>
      <c r="CB245" s="10"/>
      <c r="CD245" s="10"/>
      <c r="CF245" s="10"/>
      <c r="CH245" s="10"/>
      <c r="CJ245" s="10"/>
      <c r="CL245" s="10"/>
      <c r="CN245" s="10"/>
      <c r="CP245" s="10"/>
      <c r="CR245" s="10"/>
      <c r="CT245" s="10"/>
      <c r="CV245" s="10"/>
      <c r="CX245" s="10"/>
      <c r="CZ245" s="10"/>
      <c r="DB245" s="10"/>
      <c r="DD245" s="10"/>
      <c r="DF245" s="10"/>
      <c r="DH245" s="10"/>
      <c r="DJ245" s="10"/>
      <c r="DL245" s="10"/>
    </row>
    <row r="246" spans="1:116" x14ac:dyDescent="0.2">
      <c r="A246" s="5"/>
      <c r="B246" s="6"/>
      <c r="C246" s="6"/>
      <c r="D246" s="27"/>
      <c r="E246" s="6"/>
      <c r="F246" s="8"/>
      <c r="G246" s="8"/>
      <c r="I246" s="10"/>
      <c r="J246" s="11"/>
      <c r="K246" s="12"/>
      <c r="L246" s="10"/>
      <c r="M246" s="11"/>
      <c r="N246" s="12"/>
      <c r="O246" s="10"/>
      <c r="P246" s="11"/>
      <c r="Q246" s="12"/>
      <c r="R246" s="13"/>
      <c r="S246" s="11"/>
      <c r="T246" s="12"/>
      <c r="U246" s="10"/>
      <c r="V246" s="12"/>
      <c r="W246" s="12"/>
      <c r="X246" s="10"/>
      <c r="Y246" s="12"/>
      <c r="Z246" s="12"/>
      <c r="AA246" s="10"/>
      <c r="AB246" s="12"/>
      <c r="AC246" s="12"/>
      <c r="AD246" s="10"/>
      <c r="AE246" s="12"/>
      <c r="AF246" s="12"/>
      <c r="AG246" s="10"/>
      <c r="AH246" s="12"/>
      <c r="AI246" s="12"/>
      <c r="AJ246" s="13"/>
      <c r="AK246" s="11"/>
      <c r="AL246" s="12"/>
      <c r="AM246" s="10"/>
      <c r="AN246" s="12"/>
      <c r="AO246" s="12"/>
      <c r="AP246" s="10"/>
      <c r="AQ246" s="12"/>
      <c r="AR246" s="12"/>
      <c r="AS246" s="10"/>
      <c r="AT246" s="12"/>
      <c r="AU246" s="12"/>
      <c r="AV246" s="10"/>
      <c r="AW246" s="12"/>
      <c r="AX246" s="12"/>
      <c r="AY246" s="10"/>
      <c r="AZ246" s="12"/>
      <c r="BA246" s="12"/>
      <c r="BB246" s="10"/>
      <c r="BC246" s="12"/>
      <c r="BD246" s="12"/>
      <c r="BE246" s="10"/>
      <c r="BF246" s="12"/>
      <c r="BG246" s="12"/>
      <c r="BH246" s="10"/>
      <c r="BI246" s="12"/>
      <c r="BK246" s="16"/>
      <c r="BL246" s="16"/>
      <c r="BM246" s="16"/>
      <c r="BN246" s="16"/>
      <c r="BO246" s="16"/>
      <c r="BP246" s="16"/>
      <c r="BQ246" s="16"/>
      <c r="BR246" s="16"/>
      <c r="BS246" s="14"/>
      <c r="BT246" s="15"/>
      <c r="BU246" s="23"/>
      <c r="BV246" s="21"/>
      <c r="BW246" s="21"/>
      <c r="BX246" s="16"/>
      <c r="BY246" s="22"/>
      <c r="BZ246" s="16"/>
      <c r="CA246" s="8"/>
      <c r="CB246" s="10"/>
      <c r="CD246" s="10"/>
      <c r="CF246" s="10"/>
      <c r="CH246" s="10"/>
      <c r="CJ246" s="10"/>
      <c r="CL246" s="10"/>
      <c r="CN246" s="10"/>
      <c r="CP246" s="10"/>
      <c r="CR246" s="10"/>
      <c r="CT246" s="10"/>
      <c r="CV246" s="10"/>
      <c r="CX246" s="10"/>
      <c r="CZ246" s="10"/>
      <c r="DB246" s="10"/>
      <c r="DD246" s="10"/>
      <c r="DF246" s="10"/>
      <c r="DH246" s="10"/>
      <c r="DJ246" s="10"/>
      <c r="DL246" s="10"/>
    </row>
    <row r="247" spans="1:116" x14ac:dyDescent="0.2">
      <c r="A247" s="5"/>
      <c r="B247" s="6"/>
      <c r="C247" s="6"/>
      <c r="D247" s="27"/>
      <c r="E247" s="6"/>
      <c r="F247" s="8"/>
      <c r="G247" s="8"/>
      <c r="I247" s="10"/>
      <c r="J247" s="11"/>
      <c r="K247" s="12"/>
      <c r="L247" s="10"/>
      <c r="M247" s="11"/>
      <c r="N247" s="12"/>
      <c r="O247" s="10"/>
      <c r="P247" s="11"/>
      <c r="Q247" s="12"/>
      <c r="R247" s="13"/>
      <c r="S247" s="11"/>
      <c r="T247" s="12"/>
      <c r="U247" s="10"/>
      <c r="V247" s="12"/>
      <c r="W247" s="12"/>
      <c r="X247" s="10"/>
      <c r="Y247" s="12"/>
      <c r="Z247" s="12"/>
      <c r="AA247" s="10"/>
      <c r="AB247" s="12"/>
      <c r="AC247" s="12"/>
      <c r="AD247" s="10"/>
      <c r="AE247" s="12"/>
      <c r="AF247" s="12"/>
      <c r="AG247" s="10"/>
      <c r="AH247" s="12"/>
      <c r="AI247" s="12"/>
      <c r="AJ247" s="13"/>
      <c r="AK247" s="11"/>
      <c r="AL247" s="12"/>
      <c r="AM247" s="10"/>
      <c r="AN247" s="12"/>
      <c r="AO247" s="12"/>
      <c r="AP247" s="10"/>
      <c r="AQ247" s="12"/>
      <c r="AR247" s="12"/>
      <c r="AS247" s="10"/>
      <c r="AT247" s="12"/>
      <c r="AU247" s="12"/>
      <c r="AV247" s="10"/>
      <c r="AW247" s="12"/>
      <c r="AX247" s="12"/>
      <c r="AY247" s="10"/>
      <c r="AZ247" s="12"/>
      <c r="BA247" s="12"/>
      <c r="BB247" s="10"/>
      <c r="BC247" s="12"/>
      <c r="BD247" s="12"/>
      <c r="BE247" s="10"/>
      <c r="BF247" s="12"/>
      <c r="BG247" s="12"/>
      <c r="BH247" s="10"/>
      <c r="BI247" s="12"/>
      <c r="BK247" s="16"/>
      <c r="BL247" s="16"/>
      <c r="BM247" s="16"/>
      <c r="BN247" s="16"/>
      <c r="BO247" s="16"/>
      <c r="BP247" s="16"/>
      <c r="BQ247" s="16"/>
      <c r="BR247" s="16"/>
      <c r="BS247" s="14"/>
      <c r="BT247" s="15"/>
      <c r="BU247" s="23"/>
      <c r="BV247" s="21"/>
      <c r="BW247" s="21"/>
      <c r="BX247" s="16"/>
      <c r="BY247" s="22"/>
      <c r="BZ247" s="16"/>
      <c r="CA247" s="8"/>
      <c r="CB247" s="10"/>
      <c r="CD247" s="10"/>
      <c r="CF247" s="10"/>
      <c r="CH247" s="10"/>
      <c r="CJ247" s="10"/>
      <c r="CL247" s="10"/>
      <c r="CN247" s="10"/>
      <c r="CP247" s="10"/>
      <c r="CR247" s="10"/>
      <c r="CT247" s="10"/>
      <c r="CV247" s="10"/>
      <c r="CX247" s="10"/>
      <c r="CZ247" s="10"/>
      <c r="DB247" s="10"/>
      <c r="DD247" s="10"/>
      <c r="DF247" s="10"/>
      <c r="DH247" s="10"/>
      <c r="DJ247" s="10"/>
      <c r="DL247" s="10"/>
    </row>
    <row r="248" spans="1:116" x14ac:dyDescent="0.2">
      <c r="A248" s="5"/>
      <c r="B248" s="6"/>
      <c r="C248" s="6"/>
      <c r="D248" s="27"/>
      <c r="E248" s="6"/>
      <c r="F248" s="8"/>
      <c r="G248" s="8"/>
      <c r="I248" s="10"/>
      <c r="J248" s="11"/>
      <c r="K248" s="12"/>
      <c r="L248" s="10"/>
      <c r="M248" s="11"/>
      <c r="N248" s="12"/>
      <c r="O248" s="10"/>
      <c r="P248" s="11"/>
      <c r="Q248" s="12"/>
      <c r="R248" s="13"/>
      <c r="S248" s="11"/>
      <c r="T248" s="12"/>
      <c r="U248" s="10"/>
      <c r="V248" s="12"/>
      <c r="W248" s="12"/>
      <c r="X248" s="10"/>
      <c r="Y248" s="12"/>
      <c r="Z248" s="12"/>
      <c r="AA248" s="10"/>
      <c r="AB248" s="12"/>
      <c r="AC248" s="12"/>
      <c r="AD248" s="10"/>
      <c r="AE248" s="12"/>
      <c r="AF248" s="12"/>
      <c r="AG248" s="10"/>
      <c r="AH248" s="12"/>
      <c r="AI248" s="12"/>
      <c r="AJ248" s="13"/>
      <c r="AK248" s="11"/>
      <c r="AL248" s="12"/>
      <c r="AM248" s="10"/>
      <c r="AN248" s="12"/>
      <c r="AO248" s="12"/>
      <c r="AP248" s="10"/>
      <c r="AQ248" s="12"/>
      <c r="AR248" s="12"/>
      <c r="AS248" s="10"/>
      <c r="AT248" s="12"/>
      <c r="AU248" s="12"/>
      <c r="AV248" s="10"/>
      <c r="AW248" s="12"/>
      <c r="AX248" s="12"/>
      <c r="AY248" s="10"/>
      <c r="AZ248" s="12"/>
      <c r="BA248" s="12"/>
      <c r="BB248" s="10"/>
      <c r="BC248" s="12"/>
      <c r="BD248" s="12"/>
      <c r="BE248" s="10"/>
      <c r="BF248" s="12"/>
      <c r="BG248" s="12"/>
      <c r="BH248" s="10"/>
      <c r="BI248" s="12"/>
      <c r="BK248" s="16"/>
      <c r="BL248" s="16"/>
      <c r="BM248" s="16"/>
      <c r="BN248" s="16"/>
      <c r="BO248" s="16"/>
      <c r="BP248" s="16"/>
      <c r="BQ248" s="16"/>
      <c r="BR248" s="16"/>
      <c r="BS248" s="14"/>
      <c r="BT248" s="15"/>
      <c r="BU248" s="23"/>
      <c r="BV248" s="21"/>
      <c r="BW248" s="21"/>
      <c r="BX248" s="16"/>
      <c r="BY248" s="22"/>
      <c r="BZ248" s="16"/>
      <c r="CA248" s="8"/>
      <c r="CB248" s="10"/>
      <c r="CD248" s="10"/>
      <c r="CF248" s="10"/>
      <c r="CH248" s="10"/>
      <c r="CJ248" s="10"/>
      <c r="CL248" s="10"/>
      <c r="CN248" s="10"/>
      <c r="CP248" s="10"/>
      <c r="CR248" s="10"/>
      <c r="CT248" s="10"/>
      <c r="CV248" s="10"/>
      <c r="CX248" s="10"/>
      <c r="CZ248" s="10"/>
      <c r="DB248" s="10"/>
      <c r="DD248" s="10"/>
      <c r="DF248" s="10"/>
      <c r="DH248" s="10"/>
      <c r="DJ248" s="10"/>
      <c r="DL248" s="10"/>
    </row>
    <row r="249" spans="1:116" x14ac:dyDescent="0.2">
      <c r="A249" s="5"/>
      <c r="B249" s="6"/>
      <c r="C249" s="6"/>
      <c r="D249" s="27"/>
      <c r="E249" s="6"/>
      <c r="F249" s="8"/>
      <c r="G249" s="8"/>
      <c r="I249" s="10"/>
      <c r="J249" s="11"/>
      <c r="K249" s="12"/>
      <c r="L249" s="10"/>
      <c r="M249" s="11"/>
      <c r="N249" s="12"/>
      <c r="O249" s="10"/>
      <c r="P249" s="11"/>
      <c r="Q249" s="12"/>
      <c r="R249" s="13"/>
      <c r="S249" s="11"/>
      <c r="T249" s="12"/>
      <c r="U249" s="10"/>
      <c r="V249" s="12"/>
      <c r="W249" s="12"/>
      <c r="X249" s="10"/>
      <c r="Y249" s="12"/>
      <c r="Z249" s="12"/>
      <c r="AA249" s="10"/>
      <c r="AB249" s="12"/>
      <c r="AC249" s="12"/>
      <c r="AD249" s="10"/>
      <c r="AE249" s="12"/>
      <c r="AF249" s="12"/>
      <c r="AG249" s="10"/>
      <c r="AH249" s="12"/>
      <c r="AI249" s="12"/>
      <c r="AJ249" s="13"/>
      <c r="AK249" s="11"/>
      <c r="AL249" s="12"/>
      <c r="AM249" s="10"/>
      <c r="AN249" s="12"/>
      <c r="AO249" s="12"/>
      <c r="AP249" s="10"/>
      <c r="AQ249" s="12"/>
      <c r="AR249" s="12"/>
      <c r="AS249" s="10"/>
      <c r="AT249" s="12"/>
      <c r="AU249" s="12"/>
      <c r="AV249" s="10"/>
      <c r="AW249" s="12"/>
      <c r="AX249" s="12"/>
      <c r="AY249" s="10"/>
      <c r="AZ249" s="12"/>
      <c r="BA249" s="12"/>
      <c r="BB249" s="10"/>
      <c r="BC249" s="12"/>
      <c r="BD249" s="12"/>
      <c r="BE249" s="10"/>
      <c r="BF249" s="12"/>
      <c r="BG249" s="12"/>
      <c r="BH249" s="10"/>
      <c r="BI249" s="12"/>
      <c r="BK249" s="16"/>
      <c r="BL249" s="16"/>
      <c r="BM249" s="16"/>
      <c r="BN249" s="16"/>
      <c r="BO249" s="16"/>
      <c r="BP249" s="16"/>
      <c r="BQ249" s="16"/>
      <c r="BR249" s="16"/>
      <c r="BS249" s="14"/>
      <c r="BT249" s="15"/>
      <c r="BU249" s="23"/>
      <c r="BV249" s="21"/>
      <c r="BW249" s="21"/>
      <c r="BX249" s="16"/>
      <c r="BY249" s="22"/>
      <c r="BZ249" s="16"/>
      <c r="CA249" s="8"/>
      <c r="CB249" s="10"/>
      <c r="CD249" s="10"/>
      <c r="CF249" s="10"/>
      <c r="CH249" s="10"/>
      <c r="CJ249" s="10"/>
      <c r="CL249" s="10"/>
      <c r="CN249" s="10"/>
      <c r="CP249" s="10"/>
      <c r="CR249" s="10"/>
      <c r="CT249" s="10"/>
      <c r="CV249" s="10"/>
      <c r="CX249" s="10"/>
      <c r="CZ249" s="10"/>
      <c r="DB249" s="10"/>
      <c r="DD249" s="10"/>
      <c r="DF249" s="10"/>
      <c r="DH249" s="10"/>
      <c r="DJ249" s="10"/>
      <c r="DL249" s="10"/>
    </row>
    <row r="250" spans="1:116" x14ac:dyDescent="0.2">
      <c r="A250" s="5"/>
      <c r="B250" s="6"/>
      <c r="C250" s="6"/>
      <c r="D250" s="27"/>
      <c r="E250" s="6"/>
      <c r="F250" s="8"/>
      <c r="G250" s="8"/>
      <c r="I250" s="10"/>
      <c r="J250" s="11"/>
      <c r="K250" s="12"/>
      <c r="L250" s="10"/>
      <c r="M250" s="11"/>
      <c r="N250" s="12"/>
      <c r="O250" s="10"/>
      <c r="P250" s="11"/>
      <c r="Q250" s="12"/>
      <c r="R250" s="13"/>
      <c r="S250" s="11"/>
      <c r="T250" s="12"/>
      <c r="U250" s="10"/>
      <c r="V250" s="12"/>
      <c r="W250" s="12"/>
      <c r="X250" s="10"/>
      <c r="Y250" s="12"/>
      <c r="Z250" s="12"/>
      <c r="AA250" s="10"/>
      <c r="AB250" s="12"/>
      <c r="AC250" s="12"/>
      <c r="AD250" s="10"/>
      <c r="AE250" s="12"/>
      <c r="AF250" s="12"/>
      <c r="AG250" s="10"/>
      <c r="AH250" s="12"/>
      <c r="AI250" s="12"/>
      <c r="AJ250" s="13"/>
      <c r="AK250" s="11"/>
      <c r="AL250" s="12"/>
      <c r="AM250" s="10"/>
      <c r="AN250" s="12"/>
      <c r="AO250" s="12"/>
      <c r="AP250" s="10"/>
      <c r="AQ250" s="12"/>
      <c r="AR250" s="12"/>
      <c r="AS250" s="10"/>
      <c r="AT250" s="12"/>
      <c r="AU250" s="12"/>
      <c r="AV250" s="10"/>
      <c r="AW250" s="12"/>
      <c r="AX250" s="12"/>
      <c r="AY250" s="10"/>
      <c r="AZ250" s="12"/>
      <c r="BA250" s="12"/>
      <c r="BB250" s="10"/>
      <c r="BC250" s="12"/>
      <c r="BD250" s="12"/>
      <c r="BE250" s="10"/>
      <c r="BF250" s="12"/>
      <c r="BG250" s="12"/>
      <c r="BH250" s="10"/>
      <c r="BI250" s="12"/>
      <c r="BK250" s="16"/>
      <c r="BL250" s="16"/>
      <c r="BM250" s="16"/>
      <c r="BN250" s="16"/>
      <c r="BO250" s="16"/>
      <c r="BP250" s="16"/>
      <c r="BQ250" s="16"/>
      <c r="BR250" s="16"/>
      <c r="BS250" s="14"/>
      <c r="BT250" s="15"/>
      <c r="BU250" s="23"/>
      <c r="BV250" s="21"/>
      <c r="BW250" s="21"/>
      <c r="BX250" s="16"/>
      <c r="BY250" s="22"/>
      <c r="BZ250" s="16"/>
      <c r="CA250" s="8"/>
      <c r="CB250" s="10"/>
      <c r="CD250" s="10"/>
      <c r="CF250" s="10"/>
      <c r="CH250" s="10"/>
      <c r="CJ250" s="10"/>
      <c r="CL250" s="10"/>
      <c r="CN250" s="10"/>
      <c r="CP250" s="10"/>
      <c r="CR250" s="10"/>
      <c r="CT250" s="10"/>
      <c r="CV250" s="10"/>
      <c r="CX250" s="10"/>
      <c r="CZ250" s="10"/>
      <c r="DB250" s="10"/>
      <c r="DD250" s="10"/>
      <c r="DF250" s="10"/>
      <c r="DH250" s="10"/>
      <c r="DJ250" s="10"/>
      <c r="DL250" s="10"/>
    </row>
    <row r="251" spans="1:116" x14ac:dyDescent="0.2">
      <c r="A251" s="5"/>
      <c r="B251" s="6"/>
      <c r="C251" s="6"/>
      <c r="D251" s="27"/>
      <c r="E251" s="6"/>
      <c r="F251" s="8"/>
      <c r="G251" s="8"/>
      <c r="I251" s="10"/>
      <c r="J251" s="11"/>
      <c r="K251" s="12"/>
      <c r="L251" s="10"/>
      <c r="M251" s="11"/>
      <c r="N251" s="12"/>
      <c r="O251" s="10"/>
      <c r="P251" s="11"/>
      <c r="Q251" s="12"/>
      <c r="R251" s="13"/>
      <c r="S251" s="11"/>
      <c r="T251" s="12"/>
      <c r="U251" s="10"/>
      <c r="V251" s="12"/>
      <c r="W251" s="12"/>
      <c r="X251" s="10"/>
      <c r="Y251" s="12"/>
      <c r="Z251" s="12"/>
      <c r="AA251" s="10"/>
      <c r="AB251" s="12"/>
      <c r="AC251" s="12"/>
      <c r="AD251" s="10"/>
      <c r="AE251" s="12"/>
      <c r="AF251" s="12"/>
      <c r="AG251" s="10"/>
      <c r="AH251" s="12"/>
      <c r="AI251" s="12"/>
      <c r="AJ251" s="13"/>
      <c r="AK251" s="11"/>
      <c r="AL251" s="12"/>
      <c r="AM251" s="10"/>
      <c r="AN251" s="12"/>
      <c r="AO251" s="12"/>
      <c r="AP251" s="10"/>
      <c r="AQ251" s="12"/>
      <c r="AR251" s="12"/>
      <c r="AS251" s="10"/>
      <c r="AT251" s="12"/>
      <c r="AU251" s="12"/>
      <c r="AV251" s="10"/>
      <c r="AW251" s="12"/>
      <c r="AX251" s="12"/>
      <c r="AY251" s="10"/>
      <c r="AZ251" s="12"/>
      <c r="BA251" s="12"/>
      <c r="BB251" s="10"/>
      <c r="BC251" s="12"/>
      <c r="BD251" s="12"/>
      <c r="BE251" s="10"/>
      <c r="BF251" s="12"/>
      <c r="BG251" s="12"/>
      <c r="BH251" s="10"/>
      <c r="BI251" s="12"/>
      <c r="BK251" s="16"/>
      <c r="BL251" s="16"/>
      <c r="BM251" s="16"/>
      <c r="BN251" s="16"/>
      <c r="BO251" s="16"/>
      <c r="BP251" s="16"/>
      <c r="BQ251" s="16"/>
      <c r="BR251" s="16"/>
      <c r="BS251" s="14"/>
      <c r="BT251" s="15"/>
      <c r="BU251" s="23"/>
      <c r="BV251" s="21"/>
      <c r="BW251" s="21"/>
      <c r="BX251" s="16"/>
      <c r="BY251" s="22"/>
      <c r="BZ251" s="16"/>
      <c r="CA251" s="8"/>
      <c r="CB251" s="10"/>
      <c r="CD251" s="10"/>
      <c r="CF251" s="10"/>
      <c r="CH251" s="10"/>
      <c r="CJ251" s="10"/>
      <c r="CL251" s="10"/>
      <c r="CN251" s="10"/>
      <c r="CP251" s="10"/>
      <c r="CR251" s="10"/>
      <c r="CT251" s="10"/>
      <c r="CV251" s="10"/>
      <c r="CX251" s="10"/>
      <c r="CZ251" s="10"/>
      <c r="DB251" s="10"/>
      <c r="DD251" s="10"/>
      <c r="DF251" s="10"/>
      <c r="DH251" s="10"/>
      <c r="DJ251" s="10"/>
      <c r="DL251" s="10"/>
    </row>
    <row r="252" spans="1:116" x14ac:dyDescent="0.2">
      <c r="A252" s="5"/>
      <c r="B252" s="6"/>
      <c r="C252" s="6"/>
      <c r="D252" s="27"/>
      <c r="E252" s="6"/>
      <c r="F252" s="8"/>
      <c r="G252" s="8"/>
      <c r="I252" s="10"/>
      <c r="J252" s="11"/>
      <c r="K252" s="12"/>
      <c r="L252" s="10"/>
      <c r="M252" s="11"/>
      <c r="N252" s="12"/>
      <c r="O252" s="10"/>
      <c r="P252" s="11"/>
      <c r="Q252" s="12"/>
      <c r="R252" s="13"/>
      <c r="S252" s="11"/>
      <c r="T252" s="12"/>
      <c r="U252" s="10"/>
      <c r="V252" s="12"/>
      <c r="W252" s="12"/>
      <c r="X252" s="10"/>
      <c r="Y252" s="12"/>
      <c r="Z252" s="12"/>
      <c r="AA252" s="10"/>
      <c r="AB252" s="12"/>
      <c r="AC252" s="12"/>
      <c r="AD252" s="10"/>
      <c r="AE252" s="12"/>
      <c r="AF252" s="12"/>
      <c r="AG252" s="10"/>
      <c r="AH252" s="12"/>
      <c r="AI252" s="12"/>
      <c r="AJ252" s="13"/>
      <c r="AK252" s="11"/>
      <c r="AL252" s="12"/>
      <c r="AM252" s="10"/>
      <c r="AN252" s="12"/>
      <c r="AO252" s="12"/>
      <c r="AP252" s="10"/>
      <c r="AQ252" s="12"/>
      <c r="AR252" s="12"/>
      <c r="AS252" s="10"/>
      <c r="AT252" s="12"/>
      <c r="AU252" s="12"/>
      <c r="AV252" s="10"/>
      <c r="AW252" s="12"/>
      <c r="AX252" s="12"/>
      <c r="AY252" s="10"/>
      <c r="AZ252" s="12"/>
      <c r="BA252" s="12"/>
      <c r="BB252" s="10"/>
      <c r="BC252" s="12"/>
      <c r="BD252" s="12"/>
      <c r="BE252" s="10"/>
      <c r="BF252" s="12"/>
      <c r="BG252" s="12"/>
      <c r="BH252" s="10"/>
      <c r="BI252" s="12"/>
      <c r="BK252" s="16"/>
      <c r="BL252" s="16"/>
      <c r="BM252" s="16"/>
      <c r="BN252" s="16"/>
      <c r="BO252" s="16"/>
      <c r="BP252" s="16"/>
      <c r="BQ252" s="16"/>
      <c r="BR252" s="16"/>
      <c r="BS252" s="14"/>
      <c r="BT252" s="15"/>
      <c r="BU252" s="23"/>
      <c r="BV252" s="21"/>
      <c r="BW252" s="21"/>
      <c r="BX252" s="16"/>
      <c r="BY252" s="22"/>
      <c r="BZ252" s="16"/>
      <c r="CA252" s="8"/>
      <c r="CB252" s="10"/>
      <c r="CD252" s="10"/>
      <c r="CF252" s="10"/>
      <c r="CH252" s="10"/>
      <c r="CJ252" s="10"/>
      <c r="CL252" s="10"/>
      <c r="CN252" s="10"/>
      <c r="CP252" s="10"/>
      <c r="CR252" s="10"/>
      <c r="CT252" s="10"/>
      <c r="CV252" s="10"/>
      <c r="CX252" s="10"/>
      <c r="CZ252" s="10"/>
      <c r="DB252" s="10"/>
      <c r="DD252" s="10"/>
      <c r="DF252" s="10"/>
      <c r="DH252" s="10"/>
      <c r="DJ252" s="10"/>
      <c r="DL252" s="10"/>
    </row>
    <row r="253" spans="1:116" x14ac:dyDescent="0.2">
      <c r="A253" s="5"/>
      <c r="B253" s="6"/>
      <c r="C253" s="6"/>
      <c r="D253" s="27"/>
      <c r="E253" s="6"/>
      <c r="F253" s="8"/>
      <c r="G253" s="8"/>
      <c r="I253" s="10"/>
      <c r="J253" s="11"/>
      <c r="K253" s="12"/>
      <c r="L253" s="10"/>
      <c r="M253" s="11"/>
      <c r="N253" s="12"/>
      <c r="O253" s="10"/>
      <c r="P253" s="11"/>
      <c r="Q253" s="12"/>
      <c r="R253" s="13"/>
      <c r="S253" s="11"/>
      <c r="T253" s="12"/>
      <c r="U253" s="10"/>
      <c r="V253" s="12"/>
      <c r="W253" s="12"/>
      <c r="X253" s="10"/>
      <c r="Y253" s="12"/>
      <c r="Z253" s="12"/>
      <c r="AA253" s="10"/>
      <c r="AB253" s="12"/>
      <c r="AC253" s="12"/>
      <c r="AD253" s="10"/>
      <c r="AE253" s="12"/>
      <c r="AF253" s="12"/>
      <c r="AG253" s="10"/>
      <c r="AH253" s="12"/>
      <c r="AI253" s="12"/>
      <c r="AJ253" s="13"/>
      <c r="AK253" s="11"/>
      <c r="AL253" s="12"/>
      <c r="AM253" s="10"/>
      <c r="AN253" s="12"/>
      <c r="AO253" s="12"/>
      <c r="AP253" s="10"/>
      <c r="AQ253" s="12"/>
      <c r="AR253" s="12"/>
      <c r="AS253" s="10"/>
      <c r="AT253" s="12"/>
      <c r="AU253" s="12"/>
      <c r="AV253" s="10"/>
      <c r="AW253" s="12"/>
      <c r="AX253" s="12"/>
      <c r="AY253" s="10"/>
      <c r="AZ253" s="12"/>
      <c r="BA253" s="12"/>
      <c r="BB253" s="10"/>
      <c r="BC253" s="12"/>
      <c r="BD253" s="12"/>
      <c r="BE253" s="10"/>
      <c r="BF253" s="12"/>
      <c r="BG253" s="12"/>
      <c r="BH253" s="10"/>
      <c r="BI253" s="12"/>
      <c r="BK253" s="16"/>
      <c r="BL253" s="16"/>
      <c r="BM253" s="16"/>
      <c r="BN253" s="16"/>
      <c r="BO253" s="16"/>
      <c r="BP253" s="16"/>
      <c r="BQ253" s="16"/>
      <c r="BR253" s="16"/>
      <c r="BS253" s="14"/>
      <c r="BT253" s="15"/>
      <c r="BU253" s="23"/>
      <c r="BV253" s="21"/>
      <c r="BW253" s="21"/>
      <c r="BX253" s="16"/>
      <c r="BY253" s="22"/>
      <c r="BZ253" s="16"/>
      <c r="CA253" s="8"/>
      <c r="CB253" s="10"/>
      <c r="CD253" s="10"/>
      <c r="CF253" s="10"/>
      <c r="CH253" s="10"/>
      <c r="CJ253" s="10"/>
      <c r="CL253" s="10"/>
      <c r="CN253" s="10"/>
      <c r="CP253" s="10"/>
      <c r="CR253" s="10"/>
      <c r="CT253" s="10"/>
      <c r="CV253" s="10"/>
      <c r="CX253" s="10"/>
      <c r="CZ253" s="10"/>
      <c r="DB253" s="10"/>
      <c r="DD253" s="10"/>
      <c r="DF253" s="10"/>
      <c r="DH253" s="10"/>
      <c r="DJ253" s="10"/>
      <c r="DL253" s="10"/>
    </row>
    <row r="254" spans="1:116" x14ac:dyDescent="0.2">
      <c r="A254" s="5"/>
      <c r="B254" s="6"/>
      <c r="C254" s="6"/>
      <c r="D254" s="27"/>
      <c r="E254" s="6"/>
      <c r="F254" s="8"/>
      <c r="G254" s="8"/>
      <c r="I254" s="10"/>
      <c r="J254" s="11"/>
      <c r="K254" s="12"/>
      <c r="L254" s="10"/>
      <c r="M254" s="11"/>
      <c r="N254" s="12"/>
      <c r="O254" s="10"/>
      <c r="P254" s="11"/>
      <c r="Q254" s="12"/>
      <c r="R254" s="13"/>
      <c r="S254" s="11"/>
      <c r="T254" s="12"/>
      <c r="U254" s="10"/>
      <c r="V254" s="12"/>
      <c r="W254" s="12"/>
      <c r="X254" s="10"/>
      <c r="Y254" s="12"/>
      <c r="Z254" s="12"/>
      <c r="AA254" s="10"/>
      <c r="AB254" s="12"/>
      <c r="AC254" s="12"/>
      <c r="AD254" s="10"/>
      <c r="AE254" s="12"/>
      <c r="AF254" s="12"/>
      <c r="AG254" s="10"/>
      <c r="AH254" s="12"/>
      <c r="AI254" s="12"/>
      <c r="AJ254" s="13"/>
      <c r="AK254" s="11"/>
      <c r="AL254" s="12"/>
      <c r="AM254" s="10"/>
      <c r="AN254" s="12"/>
      <c r="AO254" s="12"/>
      <c r="AP254" s="10"/>
      <c r="AQ254" s="12"/>
      <c r="AR254" s="12"/>
      <c r="AS254" s="10"/>
      <c r="AT254" s="12"/>
      <c r="AU254" s="12"/>
      <c r="AV254" s="10"/>
      <c r="AW254" s="12"/>
      <c r="AX254" s="12"/>
      <c r="AY254" s="10"/>
      <c r="AZ254" s="12"/>
      <c r="BA254" s="12"/>
      <c r="BB254" s="10"/>
      <c r="BC254" s="12"/>
      <c r="BD254" s="12"/>
      <c r="BE254" s="10"/>
      <c r="BF254" s="12"/>
      <c r="BG254" s="12"/>
      <c r="BH254" s="10"/>
      <c r="BI254" s="12"/>
      <c r="BK254" s="16"/>
      <c r="BL254" s="16"/>
      <c r="BM254" s="16"/>
      <c r="BN254" s="16"/>
      <c r="BO254" s="16"/>
      <c r="BP254" s="16"/>
      <c r="BQ254" s="16"/>
      <c r="BR254" s="16"/>
      <c r="BS254" s="14"/>
      <c r="BT254" s="15"/>
      <c r="BU254" s="23"/>
      <c r="BV254" s="21"/>
      <c r="BW254" s="21"/>
      <c r="BX254" s="16"/>
      <c r="BY254" s="22"/>
      <c r="BZ254" s="16"/>
      <c r="CA254" s="8"/>
      <c r="CB254" s="10"/>
      <c r="CD254" s="10"/>
      <c r="CF254" s="10"/>
      <c r="CH254" s="10"/>
      <c r="CJ254" s="10"/>
      <c r="CL254" s="10"/>
      <c r="CN254" s="10"/>
      <c r="CP254" s="10"/>
      <c r="CR254" s="10"/>
      <c r="CT254" s="10"/>
      <c r="CV254" s="10"/>
      <c r="CX254" s="10"/>
      <c r="CZ254" s="10"/>
      <c r="DB254" s="10"/>
      <c r="DD254" s="10"/>
      <c r="DF254" s="10"/>
      <c r="DH254" s="10"/>
      <c r="DJ254" s="10"/>
      <c r="DL254" s="10"/>
    </row>
    <row r="255" spans="1:116" x14ac:dyDescent="0.2">
      <c r="A255" s="5"/>
      <c r="B255" s="6"/>
      <c r="C255" s="6"/>
      <c r="D255" s="27"/>
      <c r="E255" s="6"/>
      <c r="F255" s="8"/>
      <c r="G255" s="8"/>
      <c r="I255" s="10"/>
      <c r="J255" s="11"/>
      <c r="K255" s="12"/>
      <c r="L255" s="10"/>
      <c r="M255" s="11"/>
      <c r="N255" s="12"/>
      <c r="O255" s="10"/>
      <c r="P255" s="11"/>
      <c r="Q255" s="12"/>
      <c r="R255" s="13"/>
      <c r="S255" s="11"/>
      <c r="T255" s="12"/>
      <c r="U255" s="10"/>
      <c r="V255" s="12"/>
      <c r="W255" s="12"/>
      <c r="X255" s="10"/>
      <c r="Y255" s="12"/>
      <c r="Z255" s="12"/>
      <c r="AA255" s="10"/>
      <c r="AB255" s="12"/>
      <c r="AC255" s="12"/>
      <c r="AD255" s="10"/>
      <c r="AE255" s="12"/>
      <c r="AF255" s="12"/>
      <c r="AG255" s="10"/>
      <c r="AH255" s="12"/>
      <c r="AI255" s="12"/>
      <c r="AJ255" s="13"/>
      <c r="AK255" s="11"/>
      <c r="AL255" s="12"/>
      <c r="AM255" s="10"/>
      <c r="AN255" s="12"/>
      <c r="AO255" s="12"/>
      <c r="AP255" s="10"/>
      <c r="AQ255" s="12"/>
      <c r="AR255" s="12"/>
      <c r="AS255" s="10"/>
      <c r="AT255" s="12"/>
      <c r="AU255" s="12"/>
      <c r="AV255" s="10"/>
      <c r="AW255" s="12"/>
      <c r="AX255" s="12"/>
      <c r="AY255" s="10"/>
      <c r="AZ255" s="12"/>
      <c r="BA255" s="12"/>
      <c r="BB255" s="10"/>
      <c r="BC255" s="12"/>
      <c r="BD255" s="12"/>
      <c r="BE255" s="10"/>
      <c r="BF255" s="12"/>
      <c r="BG255" s="12"/>
      <c r="BH255" s="10"/>
      <c r="BI255" s="12"/>
      <c r="BK255" s="16"/>
      <c r="BL255" s="16"/>
      <c r="BM255" s="16"/>
      <c r="BN255" s="16"/>
      <c r="BO255" s="16"/>
      <c r="BP255" s="16"/>
      <c r="BQ255" s="16"/>
      <c r="BR255" s="16"/>
      <c r="BS255" s="14"/>
      <c r="BT255" s="15"/>
      <c r="BU255" s="23"/>
      <c r="BV255" s="21"/>
      <c r="BW255" s="21"/>
      <c r="BX255" s="16"/>
      <c r="BY255" s="22"/>
      <c r="BZ255" s="16"/>
      <c r="CA255" s="8"/>
      <c r="CB255" s="10"/>
      <c r="CD255" s="10"/>
      <c r="CF255" s="10"/>
      <c r="CH255" s="10"/>
      <c r="CJ255" s="10"/>
      <c r="CL255" s="10"/>
      <c r="CN255" s="10"/>
      <c r="CP255" s="10"/>
      <c r="CR255" s="10"/>
      <c r="CT255" s="10"/>
      <c r="CV255" s="10"/>
      <c r="CX255" s="10"/>
      <c r="CZ255" s="10"/>
      <c r="DB255" s="10"/>
      <c r="DD255" s="10"/>
      <c r="DF255" s="10"/>
      <c r="DH255" s="10"/>
      <c r="DJ255" s="10"/>
      <c r="DL255" s="10"/>
    </row>
    <row r="256" spans="1:116" x14ac:dyDescent="0.2">
      <c r="A256" s="5"/>
      <c r="B256" s="6"/>
      <c r="C256" s="6"/>
      <c r="D256" s="27"/>
      <c r="E256" s="6"/>
      <c r="F256" s="8"/>
      <c r="G256" s="8"/>
      <c r="I256" s="10"/>
      <c r="J256" s="11"/>
      <c r="K256" s="12"/>
      <c r="L256" s="10"/>
      <c r="M256" s="11"/>
      <c r="N256" s="12"/>
      <c r="O256" s="10"/>
      <c r="P256" s="11"/>
      <c r="Q256" s="12"/>
      <c r="R256" s="13"/>
      <c r="S256" s="11"/>
      <c r="T256" s="12"/>
      <c r="U256" s="10"/>
      <c r="V256" s="12"/>
      <c r="W256" s="12"/>
      <c r="X256" s="10"/>
      <c r="Y256" s="12"/>
      <c r="Z256" s="12"/>
      <c r="AA256" s="10"/>
      <c r="AB256" s="12"/>
      <c r="AC256" s="12"/>
      <c r="AD256" s="10"/>
      <c r="AE256" s="12"/>
      <c r="AF256" s="12"/>
      <c r="AG256" s="10"/>
      <c r="AH256" s="12"/>
      <c r="AI256" s="12"/>
      <c r="AJ256" s="13"/>
      <c r="AK256" s="11"/>
      <c r="AL256" s="12"/>
      <c r="AM256" s="10"/>
      <c r="AN256" s="12"/>
      <c r="AO256" s="12"/>
      <c r="AP256" s="10"/>
      <c r="AQ256" s="12"/>
      <c r="AR256" s="12"/>
      <c r="AS256" s="10"/>
      <c r="AT256" s="12"/>
      <c r="AU256" s="12"/>
      <c r="AV256" s="10"/>
      <c r="AW256" s="12"/>
      <c r="AX256" s="12"/>
      <c r="AY256" s="10"/>
      <c r="AZ256" s="12"/>
      <c r="BA256" s="12"/>
      <c r="BB256" s="10"/>
      <c r="BC256" s="12"/>
      <c r="BD256" s="12"/>
      <c r="BE256" s="10"/>
      <c r="BF256" s="12"/>
      <c r="BG256" s="12"/>
      <c r="BH256" s="10"/>
      <c r="BI256" s="12"/>
      <c r="BK256" s="16"/>
      <c r="BL256" s="16"/>
      <c r="BM256" s="16"/>
      <c r="BN256" s="16"/>
      <c r="BO256" s="16"/>
      <c r="BP256" s="16"/>
      <c r="BQ256" s="16"/>
      <c r="BR256" s="16"/>
      <c r="BS256" s="14"/>
      <c r="BT256" s="15"/>
      <c r="BU256" s="23"/>
      <c r="BV256" s="21"/>
      <c r="BW256" s="21"/>
      <c r="BX256" s="16"/>
      <c r="BY256" s="22"/>
      <c r="BZ256" s="16"/>
      <c r="CA256" s="8"/>
      <c r="CB256" s="10"/>
      <c r="CD256" s="10"/>
      <c r="CF256" s="10"/>
      <c r="CH256" s="10"/>
      <c r="CJ256" s="10"/>
      <c r="CL256" s="10"/>
      <c r="CN256" s="10"/>
      <c r="CP256" s="10"/>
      <c r="CR256" s="10"/>
      <c r="CT256" s="10"/>
      <c r="CV256" s="10"/>
      <c r="CX256" s="10"/>
      <c r="CZ256" s="10"/>
      <c r="DB256" s="10"/>
      <c r="DD256" s="10"/>
      <c r="DF256" s="10"/>
      <c r="DH256" s="10"/>
      <c r="DJ256" s="10"/>
      <c r="DL256" s="10"/>
    </row>
    <row r="257" spans="1:116" x14ac:dyDescent="0.2">
      <c r="A257" s="5"/>
      <c r="B257" s="6"/>
      <c r="C257" s="6"/>
      <c r="D257" s="27"/>
      <c r="E257" s="6"/>
      <c r="F257" s="8"/>
      <c r="G257" s="8"/>
      <c r="I257" s="10"/>
      <c r="J257" s="11"/>
      <c r="K257" s="12"/>
      <c r="L257" s="10"/>
      <c r="M257" s="11"/>
      <c r="N257" s="12"/>
      <c r="O257" s="10"/>
      <c r="P257" s="11"/>
      <c r="Q257" s="12"/>
      <c r="R257" s="13"/>
      <c r="S257" s="11"/>
      <c r="T257" s="12"/>
      <c r="U257" s="10"/>
      <c r="V257" s="12"/>
      <c r="W257" s="12"/>
      <c r="X257" s="10"/>
      <c r="Y257" s="12"/>
      <c r="Z257" s="12"/>
      <c r="AA257" s="10"/>
      <c r="AB257" s="12"/>
      <c r="AC257" s="12"/>
      <c r="AD257" s="10"/>
      <c r="AE257" s="12"/>
      <c r="AF257" s="12"/>
      <c r="AG257" s="10"/>
      <c r="AH257" s="12"/>
      <c r="AI257" s="12"/>
      <c r="AJ257" s="13"/>
      <c r="AK257" s="11"/>
      <c r="AL257" s="12"/>
      <c r="AM257" s="10"/>
      <c r="AN257" s="12"/>
      <c r="AO257" s="12"/>
      <c r="AP257" s="10"/>
      <c r="AQ257" s="12"/>
      <c r="AR257" s="12"/>
      <c r="AS257" s="10"/>
      <c r="AT257" s="12"/>
      <c r="AU257" s="12"/>
      <c r="AV257" s="10"/>
      <c r="AW257" s="12"/>
      <c r="AX257" s="12"/>
      <c r="AY257" s="10"/>
      <c r="AZ257" s="12"/>
      <c r="BA257" s="12"/>
      <c r="BB257" s="10"/>
      <c r="BC257" s="12"/>
      <c r="BD257" s="12"/>
      <c r="BE257" s="10"/>
      <c r="BF257" s="12"/>
      <c r="BG257" s="12"/>
      <c r="BH257" s="10"/>
      <c r="BI257" s="12"/>
      <c r="BK257" s="16"/>
      <c r="BL257" s="16"/>
      <c r="BM257" s="16"/>
      <c r="BN257" s="16"/>
      <c r="BO257" s="16"/>
      <c r="BP257" s="16"/>
      <c r="BQ257" s="16"/>
      <c r="BR257" s="16"/>
      <c r="BS257" s="14"/>
      <c r="BT257" s="15"/>
      <c r="BU257" s="23"/>
      <c r="BV257" s="21"/>
      <c r="BW257" s="21"/>
      <c r="BX257" s="16"/>
      <c r="BY257" s="22"/>
      <c r="BZ257" s="16"/>
      <c r="CA257" s="8"/>
      <c r="CB257" s="10"/>
      <c r="CD257" s="10"/>
      <c r="CF257" s="10"/>
      <c r="CH257" s="10"/>
      <c r="CJ257" s="10"/>
      <c r="CL257" s="10"/>
      <c r="CN257" s="10"/>
      <c r="CP257" s="10"/>
      <c r="CR257" s="10"/>
      <c r="CT257" s="10"/>
      <c r="CV257" s="10"/>
      <c r="CX257" s="10"/>
      <c r="CZ257" s="10"/>
      <c r="DB257" s="10"/>
      <c r="DD257" s="10"/>
      <c r="DF257" s="10"/>
      <c r="DH257" s="10"/>
      <c r="DJ257" s="10"/>
      <c r="DL257" s="10"/>
    </row>
    <row r="258" spans="1:116" x14ac:dyDescent="0.2">
      <c r="A258" s="5"/>
      <c r="B258" s="6"/>
      <c r="C258" s="6"/>
      <c r="D258" s="27"/>
      <c r="E258" s="6"/>
      <c r="F258" s="8"/>
      <c r="G258" s="8"/>
      <c r="I258" s="10"/>
      <c r="J258" s="11"/>
      <c r="K258" s="12"/>
      <c r="L258" s="10"/>
      <c r="M258" s="11"/>
      <c r="N258" s="12"/>
      <c r="O258" s="10"/>
      <c r="P258" s="11"/>
      <c r="Q258" s="12"/>
      <c r="R258" s="13"/>
      <c r="S258" s="11"/>
      <c r="T258" s="12"/>
      <c r="U258" s="10"/>
      <c r="V258" s="12"/>
      <c r="W258" s="12"/>
      <c r="X258" s="10"/>
      <c r="Y258" s="12"/>
      <c r="Z258" s="12"/>
      <c r="AA258" s="10"/>
      <c r="AB258" s="12"/>
      <c r="AC258" s="12"/>
      <c r="AD258" s="10"/>
      <c r="AE258" s="12"/>
      <c r="AF258" s="12"/>
      <c r="AG258" s="10"/>
      <c r="AH258" s="12"/>
      <c r="AI258" s="12"/>
      <c r="AJ258" s="13"/>
      <c r="AK258" s="11"/>
      <c r="AL258" s="12"/>
      <c r="AM258" s="10"/>
      <c r="AN258" s="12"/>
      <c r="AO258" s="12"/>
      <c r="AP258" s="10"/>
      <c r="AQ258" s="12"/>
      <c r="AR258" s="12"/>
      <c r="AS258" s="10"/>
      <c r="AT258" s="12"/>
      <c r="AU258" s="12"/>
      <c r="AV258" s="10"/>
      <c r="AW258" s="12"/>
      <c r="AX258" s="12"/>
      <c r="AY258" s="10"/>
      <c r="AZ258" s="12"/>
      <c r="BA258" s="12"/>
      <c r="BB258" s="10"/>
      <c r="BC258" s="12"/>
      <c r="BD258" s="12"/>
      <c r="BE258" s="10"/>
      <c r="BF258" s="12"/>
      <c r="BG258" s="12"/>
      <c r="BH258" s="10"/>
      <c r="BI258" s="12"/>
      <c r="BK258" s="16"/>
      <c r="BL258" s="16"/>
      <c r="BM258" s="16"/>
      <c r="BN258" s="16"/>
      <c r="BO258" s="16"/>
      <c r="BP258" s="16"/>
      <c r="BQ258" s="16"/>
      <c r="BR258" s="16"/>
      <c r="BS258" s="14"/>
      <c r="BT258" s="15"/>
      <c r="BU258" s="23"/>
      <c r="BV258" s="21"/>
      <c r="BW258" s="21"/>
      <c r="BX258" s="16"/>
      <c r="BY258" s="22"/>
      <c r="BZ258" s="16"/>
      <c r="CA258" s="8"/>
      <c r="CB258" s="10"/>
      <c r="CD258" s="10"/>
      <c r="CF258" s="10"/>
      <c r="CH258" s="10"/>
      <c r="CJ258" s="10"/>
      <c r="CL258" s="10"/>
      <c r="CN258" s="10"/>
      <c r="CP258" s="10"/>
      <c r="CR258" s="10"/>
      <c r="CT258" s="10"/>
      <c r="CV258" s="10"/>
      <c r="CX258" s="10"/>
      <c r="CZ258" s="10"/>
      <c r="DB258" s="10"/>
      <c r="DD258" s="10"/>
      <c r="DF258" s="10"/>
      <c r="DH258" s="10"/>
      <c r="DJ258" s="10"/>
      <c r="DL258" s="10"/>
    </row>
    <row r="259" spans="1:116" x14ac:dyDescent="0.2">
      <c r="A259" s="5"/>
      <c r="B259" s="6"/>
      <c r="C259" s="6"/>
      <c r="D259" s="27"/>
      <c r="E259" s="6"/>
      <c r="F259" s="8"/>
      <c r="G259" s="8"/>
      <c r="I259" s="10"/>
      <c r="J259" s="11"/>
      <c r="K259" s="12"/>
      <c r="L259" s="10"/>
      <c r="M259" s="11"/>
      <c r="N259" s="12"/>
      <c r="O259" s="10"/>
      <c r="P259" s="11"/>
      <c r="Q259" s="12"/>
      <c r="R259" s="13"/>
      <c r="S259" s="11"/>
      <c r="T259" s="12"/>
      <c r="U259" s="10"/>
      <c r="V259" s="12"/>
      <c r="W259" s="12"/>
      <c r="X259" s="10"/>
      <c r="Y259" s="12"/>
      <c r="Z259" s="12"/>
      <c r="AA259" s="10"/>
      <c r="AB259" s="12"/>
      <c r="AC259" s="12"/>
      <c r="AD259" s="10"/>
      <c r="AE259" s="12"/>
      <c r="AF259" s="12"/>
      <c r="AG259" s="10"/>
      <c r="AH259" s="12"/>
      <c r="AI259" s="12"/>
      <c r="AJ259" s="13"/>
      <c r="AK259" s="11"/>
      <c r="AL259" s="12"/>
      <c r="AM259" s="10"/>
      <c r="AN259" s="12"/>
      <c r="AO259" s="12"/>
      <c r="AP259" s="10"/>
      <c r="AQ259" s="12"/>
      <c r="AR259" s="12"/>
      <c r="AS259" s="10"/>
      <c r="AT259" s="12"/>
      <c r="AU259" s="12"/>
      <c r="AV259" s="10"/>
      <c r="AW259" s="12"/>
      <c r="AX259" s="12"/>
      <c r="AY259" s="10"/>
      <c r="AZ259" s="12"/>
      <c r="BA259" s="12"/>
      <c r="BB259" s="10"/>
      <c r="BC259" s="12"/>
      <c r="BD259" s="12"/>
      <c r="BE259" s="10"/>
      <c r="BF259" s="12"/>
      <c r="BG259" s="12"/>
      <c r="BH259" s="10"/>
      <c r="BI259" s="12"/>
      <c r="BK259" s="16"/>
      <c r="BL259" s="16"/>
      <c r="BM259" s="16"/>
      <c r="BN259" s="16"/>
      <c r="BO259" s="16"/>
      <c r="BP259" s="16"/>
      <c r="BQ259" s="16"/>
      <c r="BR259" s="16"/>
      <c r="BS259" s="14"/>
      <c r="BT259" s="15"/>
      <c r="BU259" s="23"/>
      <c r="BV259" s="21"/>
      <c r="BW259" s="21"/>
      <c r="BX259" s="16"/>
      <c r="BY259" s="22"/>
      <c r="BZ259" s="16"/>
      <c r="CA259" s="8"/>
      <c r="CB259" s="10"/>
      <c r="CD259" s="10"/>
      <c r="CF259" s="10"/>
      <c r="CH259" s="10"/>
      <c r="CJ259" s="10"/>
      <c r="CL259" s="10"/>
      <c r="CN259" s="10"/>
      <c r="CP259" s="10"/>
      <c r="CR259" s="10"/>
      <c r="CT259" s="10"/>
      <c r="CV259" s="10"/>
      <c r="CX259" s="10"/>
      <c r="CZ259" s="10"/>
      <c r="DB259" s="10"/>
      <c r="DD259" s="10"/>
      <c r="DF259" s="10"/>
      <c r="DH259" s="10"/>
      <c r="DJ259" s="10"/>
      <c r="DL259" s="10"/>
    </row>
    <row r="260" spans="1:116" x14ac:dyDescent="0.2">
      <c r="A260" s="5"/>
      <c r="B260" s="6"/>
      <c r="C260" s="6"/>
      <c r="D260" s="27"/>
      <c r="E260" s="6"/>
      <c r="F260" s="8"/>
      <c r="G260" s="8"/>
      <c r="I260" s="10"/>
      <c r="J260" s="11"/>
      <c r="K260" s="12"/>
      <c r="L260" s="10"/>
      <c r="M260" s="11"/>
      <c r="N260" s="12"/>
      <c r="O260" s="10"/>
      <c r="P260" s="11"/>
      <c r="Q260" s="12"/>
      <c r="R260" s="13"/>
      <c r="S260" s="11"/>
      <c r="T260" s="12"/>
      <c r="U260" s="10"/>
      <c r="V260" s="12"/>
      <c r="W260" s="12"/>
      <c r="X260" s="10"/>
      <c r="Y260" s="12"/>
      <c r="Z260" s="12"/>
      <c r="AA260" s="10"/>
      <c r="AB260" s="12"/>
      <c r="AC260" s="12"/>
      <c r="AD260" s="10"/>
      <c r="AE260" s="12"/>
      <c r="AF260" s="12"/>
      <c r="AG260" s="10"/>
      <c r="AH260" s="12"/>
      <c r="AI260" s="12"/>
      <c r="AJ260" s="13"/>
      <c r="AK260" s="11"/>
      <c r="AL260" s="12"/>
      <c r="AM260" s="10"/>
      <c r="AN260" s="12"/>
      <c r="AO260" s="12"/>
      <c r="AP260" s="10"/>
      <c r="AQ260" s="12"/>
      <c r="AR260" s="12"/>
      <c r="AS260" s="10"/>
      <c r="AT260" s="12"/>
      <c r="AU260" s="12"/>
      <c r="AV260" s="10"/>
      <c r="AW260" s="12"/>
      <c r="AX260" s="12"/>
      <c r="AY260" s="10"/>
      <c r="AZ260" s="12"/>
      <c r="BA260" s="12"/>
      <c r="BB260" s="10"/>
      <c r="BC260" s="12"/>
      <c r="BD260" s="12"/>
      <c r="BE260" s="10"/>
      <c r="BF260" s="12"/>
      <c r="BG260" s="12"/>
      <c r="BH260" s="10"/>
      <c r="BI260" s="12"/>
      <c r="BK260" s="16"/>
      <c r="BL260" s="16"/>
      <c r="BM260" s="16"/>
      <c r="BN260" s="16"/>
      <c r="BO260" s="16"/>
      <c r="BP260" s="16"/>
      <c r="BQ260" s="16"/>
      <c r="BR260" s="16"/>
      <c r="BS260" s="14"/>
      <c r="BT260" s="15"/>
      <c r="BU260" s="23"/>
      <c r="BV260" s="21"/>
      <c r="BW260" s="21"/>
      <c r="BX260" s="16"/>
      <c r="BY260" s="22"/>
      <c r="BZ260" s="16"/>
      <c r="CA260" s="8"/>
      <c r="CB260" s="10"/>
      <c r="CD260" s="10"/>
      <c r="CF260" s="10"/>
      <c r="CH260" s="10"/>
      <c r="CJ260" s="10"/>
      <c r="CL260" s="10"/>
      <c r="CN260" s="10"/>
      <c r="CP260" s="10"/>
      <c r="CR260" s="10"/>
      <c r="CT260" s="10"/>
      <c r="CV260" s="10"/>
      <c r="CX260" s="10"/>
      <c r="CZ260" s="10"/>
      <c r="DB260" s="10"/>
      <c r="DD260" s="10"/>
      <c r="DF260" s="10"/>
      <c r="DH260" s="10"/>
      <c r="DJ260" s="10"/>
      <c r="DL260" s="10"/>
    </row>
    <row r="261" spans="1:116" x14ac:dyDescent="0.2">
      <c r="A261" s="5"/>
      <c r="B261" s="6"/>
      <c r="C261" s="6"/>
      <c r="D261" s="27"/>
      <c r="E261" s="6"/>
      <c r="F261" s="8"/>
      <c r="G261" s="8"/>
      <c r="I261" s="10"/>
      <c r="J261" s="11"/>
      <c r="K261" s="12"/>
      <c r="L261" s="10"/>
      <c r="M261" s="11"/>
      <c r="N261" s="12"/>
      <c r="O261" s="10"/>
      <c r="P261" s="11"/>
      <c r="Q261" s="12"/>
      <c r="R261" s="13"/>
      <c r="S261" s="11"/>
      <c r="T261" s="12"/>
      <c r="U261" s="10"/>
      <c r="V261" s="12"/>
      <c r="W261" s="12"/>
      <c r="X261" s="10"/>
      <c r="Y261" s="12"/>
      <c r="Z261" s="12"/>
      <c r="AA261" s="10"/>
      <c r="AB261" s="12"/>
      <c r="AC261" s="12"/>
      <c r="AD261" s="10"/>
      <c r="AE261" s="12"/>
      <c r="AF261" s="12"/>
      <c r="AG261" s="10"/>
      <c r="AH261" s="12"/>
      <c r="AI261" s="12"/>
      <c r="AJ261" s="13"/>
      <c r="AK261" s="11"/>
      <c r="AL261" s="12"/>
      <c r="AM261" s="10"/>
      <c r="AN261" s="12"/>
      <c r="AO261" s="12"/>
      <c r="AP261" s="10"/>
      <c r="AQ261" s="12"/>
      <c r="AR261" s="12"/>
      <c r="AS261" s="10"/>
      <c r="AT261" s="12"/>
      <c r="AU261" s="12"/>
      <c r="AV261" s="10"/>
      <c r="AW261" s="12"/>
      <c r="AX261" s="12"/>
      <c r="AY261" s="10"/>
      <c r="AZ261" s="12"/>
      <c r="BA261" s="12"/>
      <c r="BB261" s="10"/>
      <c r="BC261" s="12"/>
      <c r="BD261" s="12"/>
      <c r="BE261" s="10"/>
      <c r="BF261" s="12"/>
      <c r="BG261" s="12"/>
      <c r="BH261" s="10"/>
      <c r="BI261" s="12"/>
      <c r="BK261" s="16"/>
      <c r="BL261" s="16"/>
      <c r="BM261" s="16"/>
      <c r="BN261" s="16"/>
      <c r="BO261" s="16"/>
      <c r="BP261" s="16"/>
      <c r="BQ261" s="16"/>
      <c r="BR261" s="16"/>
      <c r="BS261" s="14"/>
      <c r="BT261" s="15"/>
      <c r="BU261" s="23"/>
      <c r="BV261" s="21"/>
      <c r="BW261" s="21"/>
      <c r="BX261" s="16"/>
      <c r="BY261" s="22"/>
      <c r="BZ261" s="16"/>
      <c r="CA261" s="8"/>
      <c r="CB261" s="10"/>
      <c r="CD261" s="10"/>
      <c r="CF261" s="10"/>
      <c r="CH261" s="10"/>
      <c r="CJ261" s="10"/>
      <c r="CL261" s="10"/>
      <c r="CN261" s="10"/>
      <c r="CP261" s="10"/>
      <c r="CR261" s="10"/>
      <c r="CT261" s="10"/>
      <c r="CV261" s="10"/>
      <c r="CX261" s="10"/>
      <c r="CZ261" s="10"/>
      <c r="DB261" s="10"/>
      <c r="DD261" s="10"/>
      <c r="DF261" s="10"/>
      <c r="DH261" s="10"/>
      <c r="DJ261" s="10"/>
      <c r="DL261" s="10"/>
    </row>
    <row r="262" spans="1:116" x14ac:dyDescent="0.2">
      <c r="A262" s="5"/>
      <c r="B262" s="6"/>
      <c r="C262" s="6"/>
      <c r="D262" s="27"/>
      <c r="E262" s="6"/>
      <c r="F262" s="8"/>
      <c r="G262" s="8"/>
      <c r="I262" s="10"/>
      <c r="J262" s="11"/>
      <c r="K262" s="12"/>
      <c r="L262" s="10"/>
      <c r="M262" s="11"/>
      <c r="N262" s="12"/>
      <c r="O262" s="10"/>
      <c r="P262" s="11"/>
      <c r="Q262" s="12"/>
      <c r="R262" s="13"/>
      <c r="S262" s="11"/>
      <c r="T262" s="12"/>
      <c r="U262" s="10"/>
      <c r="V262" s="12"/>
      <c r="W262" s="12"/>
      <c r="X262" s="10"/>
      <c r="Y262" s="12"/>
      <c r="Z262" s="12"/>
      <c r="AA262" s="10"/>
      <c r="AB262" s="12"/>
      <c r="AC262" s="12"/>
      <c r="AD262" s="10"/>
      <c r="AE262" s="12"/>
      <c r="AF262" s="12"/>
      <c r="AG262" s="10"/>
      <c r="AH262" s="12"/>
      <c r="AI262" s="12"/>
      <c r="AJ262" s="13"/>
      <c r="AK262" s="11"/>
      <c r="AL262" s="12"/>
      <c r="AM262" s="10"/>
      <c r="AN262" s="12"/>
      <c r="AO262" s="12"/>
      <c r="AP262" s="10"/>
      <c r="AQ262" s="12"/>
      <c r="AR262" s="12"/>
      <c r="AS262" s="10"/>
      <c r="AT262" s="12"/>
      <c r="AU262" s="12"/>
      <c r="AV262" s="10"/>
      <c r="AW262" s="12"/>
      <c r="AX262" s="12"/>
      <c r="AY262" s="10"/>
      <c r="AZ262" s="12"/>
      <c r="BA262" s="12"/>
      <c r="BB262" s="10"/>
      <c r="BC262" s="12"/>
      <c r="BD262" s="12"/>
      <c r="BE262" s="10"/>
      <c r="BF262" s="12"/>
      <c r="BG262" s="12"/>
      <c r="BH262" s="10"/>
      <c r="BI262" s="12"/>
      <c r="BK262" s="16"/>
      <c r="BL262" s="16"/>
      <c r="BM262" s="16"/>
      <c r="BN262" s="16"/>
      <c r="BO262" s="16"/>
      <c r="BP262" s="16"/>
      <c r="BQ262" s="16"/>
      <c r="BR262" s="16"/>
      <c r="BS262" s="14"/>
      <c r="BT262" s="15"/>
      <c r="BU262" s="23"/>
      <c r="BV262" s="21"/>
      <c r="BW262" s="21"/>
      <c r="BX262" s="16"/>
      <c r="BY262" s="22"/>
      <c r="BZ262" s="16"/>
      <c r="CA262" s="8"/>
      <c r="CB262" s="10"/>
      <c r="CD262" s="10"/>
      <c r="CF262" s="10"/>
      <c r="CH262" s="10"/>
      <c r="CJ262" s="10"/>
      <c r="CL262" s="10"/>
      <c r="CN262" s="10"/>
      <c r="CP262" s="10"/>
      <c r="CR262" s="10"/>
      <c r="CT262" s="10"/>
      <c r="CV262" s="10"/>
      <c r="CX262" s="10"/>
      <c r="CZ262" s="10"/>
      <c r="DB262" s="10"/>
      <c r="DD262" s="10"/>
      <c r="DF262" s="10"/>
      <c r="DH262" s="10"/>
      <c r="DJ262" s="10"/>
      <c r="DL262" s="10"/>
    </row>
    <row r="263" spans="1:116" x14ac:dyDescent="0.2">
      <c r="A263" s="5"/>
      <c r="B263" s="6"/>
      <c r="C263" s="6"/>
      <c r="D263" s="27"/>
      <c r="E263" s="6"/>
      <c r="F263" s="8"/>
      <c r="G263" s="8"/>
      <c r="I263" s="10"/>
      <c r="J263" s="11"/>
      <c r="K263" s="12"/>
      <c r="L263" s="10"/>
      <c r="M263" s="11"/>
      <c r="N263" s="12"/>
      <c r="O263" s="10"/>
      <c r="P263" s="11"/>
      <c r="Q263" s="12"/>
      <c r="R263" s="13"/>
      <c r="S263" s="11"/>
      <c r="T263" s="12"/>
      <c r="U263" s="10"/>
      <c r="V263" s="12"/>
      <c r="W263" s="12"/>
      <c r="X263" s="10"/>
      <c r="Y263" s="12"/>
      <c r="Z263" s="12"/>
      <c r="AA263" s="10"/>
      <c r="AB263" s="12"/>
      <c r="AC263" s="12"/>
      <c r="AD263" s="10"/>
      <c r="AE263" s="12"/>
      <c r="AF263" s="12"/>
      <c r="AG263" s="10"/>
      <c r="AH263" s="12"/>
      <c r="AI263" s="12"/>
      <c r="AJ263" s="13"/>
      <c r="AK263" s="11"/>
      <c r="AL263" s="12"/>
      <c r="AM263" s="10"/>
      <c r="AN263" s="12"/>
      <c r="AO263" s="12"/>
      <c r="AP263" s="10"/>
      <c r="AQ263" s="12"/>
      <c r="AR263" s="12"/>
      <c r="AS263" s="10"/>
      <c r="AT263" s="12"/>
      <c r="AU263" s="12"/>
      <c r="AV263" s="10"/>
      <c r="AW263" s="12"/>
      <c r="AX263" s="12"/>
      <c r="AY263" s="10"/>
      <c r="AZ263" s="12"/>
      <c r="BA263" s="12"/>
      <c r="BB263" s="10"/>
      <c r="BC263" s="12"/>
      <c r="BD263" s="12"/>
      <c r="BE263" s="10"/>
      <c r="BF263" s="12"/>
      <c r="BG263" s="12"/>
      <c r="BH263" s="10"/>
      <c r="BI263" s="12"/>
      <c r="BK263" s="16"/>
      <c r="BL263" s="16"/>
      <c r="BM263" s="16"/>
      <c r="BN263" s="16"/>
      <c r="BO263" s="16"/>
      <c r="BP263" s="16"/>
      <c r="BQ263" s="16"/>
      <c r="BR263" s="16"/>
      <c r="BS263" s="14"/>
      <c r="BT263" s="15"/>
      <c r="BU263" s="23"/>
      <c r="BV263" s="21"/>
      <c r="BW263" s="21"/>
      <c r="BX263" s="16"/>
      <c r="BY263" s="22"/>
      <c r="BZ263" s="16"/>
      <c r="CA263" s="8"/>
      <c r="CB263" s="10"/>
      <c r="CD263" s="10"/>
      <c r="CF263" s="10"/>
      <c r="CH263" s="10"/>
      <c r="CJ263" s="10"/>
      <c r="CL263" s="10"/>
      <c r="CN263" s="10"/>
      <c r="CP263" s="10"/>
      <c r="CR263" s="10"/>
      <c r="CT263" s="10"/>
      <c r="CV263" s="10"/>
      <c r="CX263" s="10"/>
      <c r="CZ263" s="10"/>
      <c r="DB263" s="10"/>
      <c r="DD263" s="10"/>
      <c r="DF263" s="10"/>
      <c r="DH263" s="10"/>
      <c r="DJ263" s="10"/>
      <c r="DL263" s="10"/>
    </row>
    <row r="264" spans="1:116" x14ac:dyDescent="0.2">
      <c r="A264" s="5"/>
      <c r="B264" s="6"/>
      <c r="C264" s="6"/>
      <c r="D264" s="27"/>
      <c r="E264" s="6"/>
      <c r="F264" s="8"/>
      <c r="G264" s="8"/>
      <c r="I264" s="10"/>
      <c r="J264" s="11"/>
      <c r="K264" s="12"/>
      <c r="L264" s="10"/>
      <c r="M264" s="11"/>
      <c r="N264" s="12"/>
      <c r="O264" s="10"/>
      <c r="P264" s="11"/>
      <c r="Q264" s="12"/>
      <c r="R264" s="13"/>
      <c r="S264" s="11"/>
      <c r="T264" s="12"/>
      <c r="U264" s="10"/>
      <c r="V264" s="12"/>
      <c r="W264" s="12"/>
      <c r="X264" s="10"/>
      <c r="Y264" s="12"/>
      <c r="Z264" s="12"/>
      <c r="AA264" s="10"/>
      <c r="AB264" s="12"/>
      <c r="AC264" s="12"/>
      <c r="AD264" s="10"/>
      <c r="AE264" s="12"/>
      <c r="AF264" s="12"/>
      <c r="AG264" s="10"/>
      <c r="AH264" s="12"/>
      <c r="AI264" s="12"/>
      <c r="AJ264" s="13"/>
      <c r="AK264" s="11"/>
      <c r="AL264" s="12"/>
      <c r="AM264" s="10"/>
      <c r="AN264" s="12"/>
      <c r="AO264" s="12"/>
      <c r="AP264" s="10"/>
      <c r="AQ264" s="12"/>
      <c r="AR264" s="12"/>
      <c r="AS264" s="10"/>
      <c r="AT264" s="12"/>
      <c r="AU264" s="12"/>
      <c r="AV264" s="10"/>
      <c r="AW264" s="12"/>
      <c r="AX264" s="12"/>
      <c r="AY264" s="10"/>
      <c r="AZ264" s="12"/>
      <c r="BA264" s="12"/>
      <c r="BB264" s="10"/>
      <c r="BC264" s="12"/>
      <c r="BD264" s="12"/>
      <c r="BE264" s="10"/>
      <c r="BF264" s="12"/>
      <c r="BG264" s="12"/>
      <c r="BH264" s="10"/>
      <c r="BI264" s="12"/>
      <c r="BK264" s="16"/>
      <c r="BL264" s="16"/>
      <c r="BM264" s="16"/>
      <c r="BN264" s="16"/>
      <c r="BO264" s="16"/>
      <c r="BP264" s="16"/>
      <c r="BQ264" s="16"/>
      <c r="BR264" s="16"/>
      <c r="BS264" s="14"/>
      <c r="BT264" s="15"/>
      <c r="BU264" s="23"/>
      <c r="BV264" s="21"/>
      <c r="BW264" s="21"/>
      <c r="BX264" s="16"/>
      <c r="BY264" s="22"/>
      <c r="BZ264" s="16"/>
      <c r="CA264" s="8"/>
      <c r="CB264" s="10"/>
      <c r="CD264" s="10"/>
      <c r="CF264" s="10"/>
      <c r="CH264" s="10"/>
      <c r="CJ264" s="10"/>
      <c r="CL264" s="10"/>
      <c r="CN264" s="10"/>
      <c r="CP264" s="10"/>
      <c r="CR264" s="10"/>
      <c r="CT264" s="10"/>
      <c r="CV264" s="10"/>
      <c r="CX264" s="10"/>
      <c r="CZ264" s="10"/>
      <c r="DB264" s="10"/>
      <c r="DD264" s="10"/>
      <c r="DF264" s="10"/>
      <c r="DH264" s="10"/>
      <c r="DJ264" s="10"/>
      <c r="DL264" s="10"/>
    </row>
    <row r="265" spans="1:116" x14ac:dyDescent="0.2">
      <c r="A265" s="5"/>
      <c r="B265" s="6"/>
      <c r="C265" s="6"/>
      <c r="D265" s="27"/>
      <c r="E265" s="6"/>
      <c r="F265" s="8"/>
      <c r="G265" s="8"/>
      <c r="I265" s="10"/>
      <c r="J265" s="11"/>
      <c r="K265" s="12"/>
      <c r="L265" s="10"/>
      <c r="M265" s="11"/>
      <c r="N265" s="12"/>
      <c r="O265" s="10"/>
      <c r="P265" s="11"/>
      <c r="Q265" s="12"/>
      <c r="R265" s="13"/>
      <c r="S265" s="11"/>
      <c r="T265" s="12"/>
      <c r="U265" s="10"/>
      <c r="V265" s="12"/>
      <c r="W265" s="12"/>
      <c r="X265" s="10"/>
      <c r="Y265" s="12"/>
      <c r="Z265" s="12"/>
      <c r="AA265" s="10"/>
      <c r="AB265" s="12"/>
      <c r="AC265" s="12"/>
      <c r="AD265" s="10"/>
      <c r="AE265" s="12"/>
      <c r="AF265" s="12"/>
      <c r="AG265" s="10"/>
      <c r="AH265" s="12"/>
      <c r="AI265" s="12"/>
      <c r="AJ265" s="13"/>
      <c r="AK265" s="11"/>
      <c r="AL265" s="12"/>
      <c r="AM265" s="10"/>
      <c r="AN265" s="12"/>
      <c r="AO265" s="12"/>
      <c r="AP265" s="10"/>
      <c r="AQ265" s="12"/>
      <c r="AR265" s="12"/>
      <c r="AS265" s="10"/>
      <c r="AT265" s="12"/>
      <c r="AU265" s="12"/>
      <c r="AV265" s="10"/>
      <c r="AW265" s="12"/>
      <c r="AX265" s="12"/>
      <c r="AY265" s="10"/>
      <c r="AZ265" s="12"/>
      <c r="BA265" s="12"/>
      <c r="BB265" s="10"/>
      <c r="BC265" s="12"/>
      <c r="BD265" s="12"/>
      <c r="BE265" s="10"/>
      <c r="BF265" s="12"/>
      <c r="BG265" s="12"/>
      <c r="BH265" s="10"/>
      <c r="BI265" s="12"/>
      <c r="BK265" s="16"/>
      <c r="BL265" s="16"/>
      <c r="BM265" s="16"/>
      <c r="BN265" s="16"/>
      <c r="BO265" s="16"/>
      <c r="BP265" s="16"/>
      <c r="BQ265" s="16"/>
      <c r="BR265" s="16"/>
      <c r="BS265" s="14"/>
      <c r="BT265" s="15"/>
      <c r="BU265" s="23"/>
      <c r="BV265" s="21"/>
      <c r="BW265" s="21"/>
      <c r="BX265" s="16"/>
      <c r="BY265" s="22"/>
      <c r="BZ265" s="16"/>
      <c r="CA265" s="8"/>
      <c r="CB265" s="10"/>
      <c r="CD265" s="10"/>
      <c r="CF265" s="10"/>
      <c r="CH265" s="10"/>
      <c r="CJ265" s="10"/>
      <c r="CL265" s="10"/>
      <c r="CN265" s="10"/>
      <c r="CP265" s="10"/>
      <c r="CR265" s="10"/>
      <c r="CT265" s="10"/>
      <c r="CV265" s="10"/>
      <c r="CX265" s="10"/>
      <c r="CZ265" s="10"/>
      <c r="DB265" s="10"/>
      <c r="DD265" s="10"/>
      <c r="DF265" s="10"/>
      <c r="DH265" s="10"/>
      <c r="DJ265" s="10"/>
      <c r="DL265" s="10"/>
    </row>
    <row r="266" spans="1:116" x14ac:dyDescent="0.2">
      <c r="A266" s="5"/>
      <c r="B266" s="6"/>
      <c r="C266" s="6"/>
      <c r="D266" s="27"/>
      <c r="E266" s="6"/>
      <c r="F266" s="8"/>
      <c r="G266" s="8"/>
      <c r="I266" s="10"/>
      <c r="J266" s="11"/>
      <c r="K266" s="12"/>
      <c r="L266" s="10"/>
      <c r="M266" s="11"/>
      <c r="N266" s="12"/>
      <c r="O266" s="10"/>
      <c r="P266" s="11"/>
      <c r="Q266" s="12"/>
      <c r="R266" s="13"/>
      <c r="S266" s="11"/>
      <c r="T266" s="12"/>
      <c r="U266" s="10"/>
      <c r="V266" s="12"/>
      <c r="W266" s="12"/>
      <c r="X266" s="10"/>
      <c r="Y266" s="12"/>
      <c r="Z266" s="12"/>
      <c r="AA266" s="10"/>
      <c r="AB266" s="12"/>
      <c r="AC266" s="12"/>
      <c r="AD266" s="10"/>
      <c r="AE266" s="12"/>
      <c r="AF266" s="12"/>
      <c r="AG266" s="10"/>
      <c r="AH266" s="12"/>
      <c r="AI266" s="12"/>
      <c r="AJ266" s="13"/>
      <c r="AK266" s="11"/>
      <c r="AL266" s="12"/>
      <c r="AM266" s="10"/>
      <c r="AN266" s="12"/>
      <c r="AO266" s="12"/>
      <c r="AP266" s="10"/>
      <c r="AQ266" s="12"/>
      <c r="AR266" s="12"/>
      <c r="AS266" s="10"/>
      <c r="AT266" s="12"/>
      <c r="AU266" s="12"/>
      <c r="AV266" s="10"/>
      <c r="AW266" s="12"/>
      <c r="AX266" s="12"/>
      <c r="AY266" s="10"/>
      <c r="AZ266" s="12"/>
      <c r="BA266" s="12"/>
      <c r="BB266" s="10"/>
      <c r="BC266" s="12"/>
      <c r="BD266" s="12"/>
      <c r="BE266" s="10"/>
      <c r="BF266" s="12"/>
      <c r="BG266" s="12"/>
      <c r="BH266" s="10"/>
      <c r="BI266" s="12"/>
      <c r="BK266" s="16"/>
      <c r="BL266" s="16"/>
      <c r="BM266" s="16"/>
      <c r="BN266" s="16"/>
      <c r="BO266" s="16"/>
      <c r="BP266" s="16"/>
      <c r="BQ266" s="16"/>
      <c r="BR266" s="16"/>
      <c r="BS266" s="14"/>
      <c r="BT266" s="15"/>
      <c r="BU266" s="23"/>
      <c r="BV266" s="21"/>
      <c r="BW266" s="21"/>
      <c r="BX266" s="16"/>
      <c r="BY266" s="22"/>
      <c r="BZ266" s="16"/>
      <c r="CA266" s="8"/>
      <c r="CB266" s="10"/>
      <c r="CD266" s="10"/>
      <c r="CF266" s="10"/>
      <c r="CH266" s="10"/>
      <c r="CJ266" s="10"/>
      <c r="CL266" s="10"/>
      <c r="CN266" s="10"/>
      <c r="CP266" s="10"/>
      <c r="CR266" s="10"/>
      <c r="CT266" s="10"/>
      <c r="CV266" s="10"/>
      <c r="CX266" s="10"/>
      <c r="CZ266" s="10"/>
      <c r="DB266" s="10"/>
      <c r="DD266" s="10"/>
      <c r="DF266" s="10"/>
      <c r="DH266" s="10"/>
      <c r="DJ266" s="10"/>
      <c r="DL266" s="10"/>
    </row>
    <row r="267" spans="1:116" x14ac:dyDescent="0.2">
      <c r="A267" s="5"/>
      <c r="B267" s="6"/>
      <c r="C267" s="6"/>
      <c r="D267" s="27"/>
      <c r="E267" s="6"/>
      <c r="F267" s="8"/>
      <c r="G267" s="8"/>
      <c r="I267" s="10"/>
      <c r="J267" s="11"/>
      <c r="K267" s="12"/>
      <c r="L267" s="10"/>
      <c r="M267" s="11"/>
      <c r="N267" s="12"/>
      <c r="O267" s="10"/>
      <c r="P267" s="11"/>
      <c r="Q267" s="12"/>
      <c r="R267" s="13"/>
      <c r="S267" s="11"/>
      <c r="T267" s="12"/>
      <c r="U267" s="10"/>
      <c r="V267" s="12"/>
      <c r="W267" s="12"/>
      <c r="X267" s="10"/>
      <c r="Y267" s="12"/>
      <c r="Z267" s="12"/>
      <c r="AA267" s="10"/>
      <c r="AB267" s="12"/>
      <c r="AC267" s="12"/>
      <c r="AD267" s="10"/>
      <c r="AE267" s="12"/>
      <c r="AF267" s="12"/>
      <c r="AG267" s="10"/>
      <c r="AH267" s="12"/>
      <c r="AI267" s="12"/>
      <c r="AJ267" s="13"/>
      <c r="AK267" s="11"/>
      <c r="AL267" s="12"/>
      <c r="AM267" s="10"/>
      <c r="AN267" s="12"/>
      <c r="AO267" s="12"/>
      <c r="AP267" s="10"/>
      <c r="AQ267" s="12"/>
      <c r="AR267" s="12"/>
      <c r="AS267" s="10"/>
      <c r="AT267" s="12"/>
      <c r="AU267" s="12"/>
      <c r="AV267" s="10"/>
      <c r="AW267" s="12"/>
      <c r="AX267" s="12"/>
      <c r="AY267" s="10"/>
      <c r="AZ267" s="12"/>
      <c r="BA267" s="12"/>
      <c r="BB267" s="10"/>
      <c r="BC267" s="12"/>
      <c r="BD267" s="12"/>
      <c r="BE267" s="10"/>
      <c r="BF267" s="12"/>
      <c r="BG267" s="12"/>
      <c r="BH267" s="10"/>
      <c r="BI267" s="12"/>
      <c r="BK267" s="16"/>
      <c r="BL267" s="16"/>
      <c r="BM267" s="16"/>
      <c r="BN267" s="16"/>
      <c r="BO267" s="16"/>
      <c r="BP267" s="16"/>
      <c r="BQ267" s="16"/>
      <c r="BR267" s="16"/>
      <c r="BS267" s="14"/>
      <c r="BT267" s="15"/>
      <c r="BU267" s="23"/>
      <c r="BV267" s="21"/>
      <c r="BW267" s="21"/>
      <c r="BX267" s="16"/>
      <c r="BY267" s="22"/>
      <c r="BZ267" s="16"/>
      <c r="CA267" s="8"/>
      <c r="CB267" s="10"/>
      <c r="CD267" s="10"/>
      <c r="CF267" s="10"/>
      <c r="CH267" s="10"/>
      <c r="CJ267" s="10"/>
      <c r="CL267" s="10"/>
      <c r="CN267" s="10"/>
      <c r="CP267" s="10"/>
      <c r="CR267" s="10"/>
      <c r="CT267" s="10"/>
      <c r="CV267" s="10"/>
      <c r="CX267" s="10"/>
      <c r="CZ267" s="10"/>
      <c r="DB267" s="10"/>
      <c r="DD267" s="10"/>
      <c r="DF267" s="10"/>
      <c r="DH267" s="10"/>
      <c r="DJ267" s="10"/>
      <c r="DL267" s="10"/>
    </row>
    <row r="268" spans="1:116" x14ac:dyDescent="0.2">
      <c r="A268" s="5"/>
      <c r="B268" s="6"/>
      <c r="C268" s="6"/>
      <c r="D268" s="27"/>
      <c r="E268" s="6"/>
      <c r="F268" s="8"/>
      <c r="G268" s="8"/>
      <c r="I268" s="10"/>
      <c r="J268" s="11"/>
      <c r="K268" s="12"/>
      <c r="L268" s="10"/>
      <c r="M268" s="11"/>
      <c r="N268" s="12"/>
      <c r="O268" s="10"/>
      <c r="P268" s="11"/>
      <c r="Q268" s="12"/>
      <c r="R268" s="13"/>
      <c r="S268" s="11"/>
      <c r="T268" s="12"/>
      <c r="U268" s="10"/>
      <c r="V268" s="12"/>
      <c r="W268" s="12"/>
      <c r="X268" s="10"/>
      <c r="Y268" s="12"/>
      <c r="Z268" s="12"/>
      <c r="AA268" s="10"/>
      <c r="AB268" s="12"/>
      <c r="AC268" s="12"/>
      <c r="AD268" s="10"/>
      <c r="AE268" s="12"/>
      <c r="AF268" s="12"/>
      <c r="AG268" s="10"/>
      <c r="AH268" s="12"/>
      <c r="AI268" s="12"/>
      <c r="AJ268" s="13"/>
      <c r="AK268" s="11"/>
      <c r="AL268" s="12"/>
      <c r="AM268" s="10"/>
      <c r="AN268" s="12"/>
      <c r="AO268" s="12"/>
      <c r="AP268" s="10"/>
      <c r="AQ268" s="12"/>
      <c r="AR268" s="12"/>
      <c r="AS268" s="10"/>
      <c r="AT268" s="12"/>
      <c r="AU268" s="12"/>
      <c r="AV268" s="10"/>
      <c r="AW268" s="12"/>
      <c r="AX268" s="12"/>
      <c r="AY268" s="10"/>
      <c r="AZ268" s="12"/>
      <c r="BA268" s="12"/>
      <c r="BB268" s="10"/>
      <c r="BC268" s="12"/>
      <c r="BD268" s="12"/>
      <c r="BE268" s="10"/>
      <c r="BF268" s="12"/>
      <c r="BG268" s="12"/>
      <c r="BH268" s="10"/>
      <c r="BI268" s="12"/>
      <c r="BK268" s="16"/>
      <c r="BL268" s="16"/>
      <c r="BM268" s="16"/>
      <c r="BN268" s="16"/>
      <c r="BO268" s="16"/>
      <c r="BP268" s="16"/>
      <c r="BQ268" s="16"/>
      <c r="BR268" s="16"/>
      <c r="BS268" s="14"/>
      <c r="BT268" s="15"/>
      <c r="BU268" s="23"/>
      <c r="BV268" s="21"/>
      <c r="BW268" s="21"/>
      <c r="BX268" s="16"/>
      <c r="BY268" s="22"/>
      <c r="BZ268" s="16"/>
      <c r="CA268" s="8"/>
      <c r="CB268" s="10"/>
      <c r="CD268" s="10"/>
      <c r="CF268" s="10"/>
      <c r="CH268" s="10"/>
      <c r="CJ268" s="10"/>
      <c r="CL268" s="10"/>
      <c r="CN268" s="10"/>
      <c r="CP268" s="10"/>
      <c r="CR268" s="10"/>
      <c r="CT268" s="10"/>
      <c r="CV268" s="10"/>
      <c r="CX268" s="10"/>
      <c r="CZ268" s="10"/>
      <c r="DB268" s="10"/>
      <c r="DD268" s="10"/>
      <c r="DF268" s="10"/>
      <c r="DH268" s="10"/>
      <c r="DJ268" s="10"/>
      <c r="DL268" s="10"/>
    </row>
    <row r="269" spans="1:116" x14ac:dyDescent="0.2">
      <c r="A269" s="5"/>
      <c r="B269" s="6"/>
      <c r="C269" s="6"/>
      <c r="D269" s="27"/>
      <c r="E269" s="6"/>
      <c r="F269" s="8"/>
      <c r="G269" s="8"/>
      <c r="I269" s="10"/>
      <c r="J269" s="11"/>
      <c r="K269" s="12"/>
      <c r="L269" s="10"/>
      <c r="M269" s="11"/>
      <c r="N269" s="12"/>
      <c r="O269" s="10"/>
      <c r="P269" s="11"/>
      <c r="Q269" s="12"/>
      <c r="R269" s="13"/>
      <c r="S269" s="11"/>
      <c r="T269" s="12"/>
      <c r="U269" s="10"/>
      <c r="V269" s="12"/>
      <c r="W269" s="12"/>
      <c r="X269" s="10"/>
      <c r="Y269" s="12"/>
      <c r="Z269" s="12"/>
      <c r="AA269" s="10"/>
      <c r="AB269" s="12"/>
      <c r="AC269" s="12"/>
      <c r="AD269" s="10"/>
      <c r="AE269" s="12"/>
      <c r="AF269" s="12"/>
      <c r="AG269" s="10"/>
      <c r="AH269" s="12"/>
      <c r="AI269" s="12"/>
      <c r="AJ269" s="13"/>
      <c r="AK269" s="11"/>
      <c r="AL269" s="12"/>
      <c r="AM269" s="10"/>
      <c r="AN269" s="12"/>
      <c r="AO269" s="12"/>
      <c r="AP269" s="10"/>
      <c r="AQ269" s="12"/>
      <c r="AR269" s="12"/>
      <c r="AS269" s="10"/>
      <c r="AT269" s="12"/>
      <c r="AU269" s="12"/>
      <c r="AV269" s="10"/>
      <c r="AW269" s="12"/>
      <c r="AX269" s="12"/>
      <c r="AY269" s="10"/>
      <c r="AZ269" s="12"/>
      <c r="BA269" s="12"/>
      <c r="BB269" s="10"/>
      <c r="BC269" s="12"/>
      <c r="BD269" s="12"/>
      <c r="BE269" s="10"/>
      <c r="BF269" s="12"/>
      <c r="BG269" s="12"/>
      <c r="BH269" s="10"/>
      <c r="BI269" s="12"/>
      <c r="BK269" s="16"/>
      <c r="BL269" s="16"/>
      <c r="BM269" s="16"/>
      <c r="BN269" s="16"/>
      <c r="BO269" s="16"/>
      <c r="BP269" s="16"/>
      <c r="BQ269" s="16"/>
      <c r="BR269" s="16"/>
      <c r="BS269" s="14"/>
      <c r="BT269" s="15"/>
      <c r="BU269" s="23"/>
      <c r="BV269" s="21"/>
      <c r="BW269" s="21"/>
      <c r="BX269" s="16"/>
      <c r="BY269" s="22"/>
      <c r="BZ269" s="16"/>
      <c r="CA269" s="8"/>
      <c r="CB269" s="10"/>
      <c r="CD269" s="10"/>
      <c r="CF269" s="10"/>
      <c r="CH269" s="10"/>
      <c r="CJ269" s="10"/>
      <c r="CL269" s="10"/>
      <c r="CN269" s="10"/>
      <c r="CP269" s="10"/>
      <c r="CR269" s="10"/>
      <c r="CT269" s="10"/>
      <c r="CV269" s="10"/>
      <c r="CX269" s="10"/>
      <c r="CZ269" s="10"/>
      <c r="DB269" s="10"/>
      <c r="DD269" s="10"/>
      <c r="DF269" s="10"/>
      <c r="DH269" s="10"/>
      <c r="DJ269" s="10"/>
      <c r="DL269" s="10"/>
    </row>
    <row r="270" spans="1:116" x14ac:dyDescent="0.2">
      <c r="A270" s="5"/>
      <c r="B270" s="6"/>
      <c r="C270" s="6"/>
      <c r="D270" s="27"/>
      <c r="E270" s="6"/>
      <c r="F270" s="8"/>
      <c r="G270" s="8"/>
      <c r="I270" s="10"/>
      <c r="J270" s="11"/>
      <c r="K270" s="12"/>
      <c r="L270" s="10"/>
      <c r="M270" s="11"/>
      <c r="N270" s="12"/>
      <c r="O270" s="10"/>
      <c r="P270" s="11"/>
      <c r="Q270" s="12"/>
      <c r="R270" s="13"/>
      <c r="S270" s="11"/>
      <c r="T270" s="12"/>
      <c r="U270" s="10"/>
      <c r="V270" s="12"/>
      <c r="W270" s="12"/>
      <c r="X270" s="10"/>
      <c r="Y270" s="12"/>
      <c r="Z270" s="12"/>
      <c r="AA270" s="10"/>
      <c r="AB270" s="12"/>
      <c r="AC270" s="12"/>
      <c r="AD270" s="10"/>
      <c r="AE270" s="12"/>
      <c r="AF270" s="12"/>
      <c r="AG270" s="10"/>
      <c r="AH270" s="12"/>
      <c r="AI270" s="12"/>
      <c r="AJ270" s="13"/>
      <c r="AK270" s="11"/>
      <c r="AL270" s="12"/>
      <c r="AM270" s="10"/>
      <c r="AN270" s="12"/>
      <c r="AO270" s="12"/>
      <c r="AP270" s="10"/>
      <c r="AQ270" s="12"/>
      <c r="AR270" s="12"/>
      <c r="AS270" s="10"/>
      <c r="AT270" s="12"/>
      <c r="AU270" s="12"/>
      <c r="AV270" s="10"/>
      <c r="AW270" s="12"/>
      <c r="AX270" s="12"/>
      <c r="AY270" s="10"/>
      <c r="AZ270" s="12"/>
      <c r="BA270" s="12"/>
      <c r="BB270" s="10"/>
      <c r="BC270" s="12"/>
      <c r="BD270" s="12"/>
      <c r="BE270" s="10"/>
      <c r="BF270" s="12"/>
      <c r="BG270" s="12"/>
      <c r="BH270" s="10"/>
      <c r="BI270" s="12"/>
      <c r="BK270" s="16"/>
      <c r="BL270" s="16"/>
      <c r="BM270" s="16"/>
      <c r="BN270" s="16"/>
      <c r="BO270" s="16"/>
      <c r="BP270" s="16"/>
      <c r="BQ270" s="16"/>
      <c r="BR270" s="16"/>
      <c r="BS270" s="14"/>
      <c r="BT270" s="15"/>
      <c r="BU270" s="23"/>
      <c r="BV270" s="21"/>
      <c r="BW270" s="21"/>
      <c r="BX270" s="16"/>
      <c r="BY270" s="22"/>
      <c r="BZ270" s="16"/>
      <c r="CA270" s="8"/>
      <c r="CB270" s="10"/>
      <c r="CD270" s="10"/>
      <c r="CF270" s="10"/>
      <c r="CH270" s="10"/>
      <c r="CJ270" s="10"/>
      <c r="CL270" s="10"/>
      <c r="CN270" s="10"/>
      <c r="CP270" s="10"/>
      <c r="CR270" s="10"/>
      <c r="CT270" s="10"/>
      <c r="CV270" s="10"/>
      <c r="CX270" s="10"/>
      <c r="CZ270" s="10"/>
      <c r="DB270" s="10"/>
      <c r="DD270" s="10"/>
      <c r="DF270" s="10"/>
      <c r="DH270" s="10"/>
      <c r="DJ270" s="10"/>
      <c r="DL270" s="10"/>
    </row>
    <row r="271" spans="1:116" x14ac:dyDescent="0.2">
      <c r="A271" s="5"/>
      <c r="B271" s="6"/>
      <c r="C271" s="6"/>
      <c r="D271" s="27"/>
      <c r="E271" s="6"/>
      <c r="F271" s="8"/>
      <c r="G271" s="8"/>
      <c r="I271" s="10"/>
      <c r="J271" s="11"/>
      <c r="K271" s="12"/>
      <c r="L271" s="10"/>
      <c r="M271" s="11"/>
      <c r="N271" s="12"/>
      <c r="O271" s="10"/>
      <c r="P271" s="11"/>
      <c r="Q271" s="12"/>
      <c r="R271" s="13"/>
      <c r="S271" s="11"/>
      <c r="T271" s="12"/>
      <c r="U271" s="10"/>
      <c r="V271" s="12"/>
      <c r="W271" s="12"/>
      <c r="X271" s="10"/>
      <c r="Y271" s="12"/>
      <c r="Z271" s="12"/>
      <c r="AA271" s="10"/>
      <c r="AB271" s="12"/>
      <c r="AC271" s="12"/>
      <c r="AD271" s="10"/>
      <c r="AE271" s="12"/>
      <c r="AF271" s="12"/>
      <c r="AG271" s="10"/>
      <c r="AH271" s="12"/>
      <c r="AI271" s="12"/>
      <c r="AJ271" s="13"/>
      <c r="AK271" s="11"/>
      <c r="AL271" s="12"/>
      <c r="AM271" s="10"/>
      <c r="AN271" s="12"/>
      <c r="AO271" s="12"/>
      <c r="AP271" s="10"/>
      <c r="AQ271" s="12"/>
      <c r="AR271" s="12"/>
      <c r="AS271" s="10"/>
      <c r="AT271" s="12"/>
      <c r="AU271" s="12"/>
      <c r="AV271" s="10"/>
      <c r="AW271" s="12"/>
      <c r="AX271" s="12"/>
      <c r="AY271" s="10"/>
      <c r="AZ271" s="12"/>
      <c r="BA271" s="12"/>
      <c r="BB271" s="10"/>
      <c r="BC271" s="12"/>
      <c r="BD271" s="12"/>
      <c r="BE271" s="10"/>
      <c r="BF271" s="12"/>
      <c r="BG271" s="12"/>
      <c r="BH271" s="10"/>
      <c r="BI271" s="12"/>
      <c r="BK271" s="16"/>
      <c r="BL271" s="16"/>
      <c r="BM271" s="16"/>
      <c r="BN271" s="16"/>
      <c r="BO271" s="16"/>
      <c r="BP271" s="16"/>
      <c r="BQ271" s="16"/>
      <c r="BR271" s="16"/>
      <c r="BS271" s="14"/>
      <c r="BT271" s="15"/>
      <c r="BU271" s="23"/>
      <c r="BV271" s="21"/>
      <c r="BW271" s="21"/>
      <c r="BX271" s="16"/>
      <c r="BY271" s="22"/>
      <c r="BZ271" s="16"/>
      <c r="CA271" s="8"/>
      <c r="CB271" s="10"/>
      <c r="CD271" s="10"/>
      <c r="CF271" s="10"/>
      <c r="CH271" s="10"/>
      <c r="CJ271" s="10"/>
      <c r="CL271" s="10"/>
      <c r="CN271" s="10"/>
      <c r="CP271" s="10"/>
      <c r="CR271" s="10"/>
      <c r="CT271" s="10"/>
      <c r="CV271" s="10"/>
      <c r="CX271" s="10"/>
      <c r="CZ271" s="10"/>
      <c r="DB271" s="10"/>
      <c r="DD271" s="10"/>
      <c r="DF271" s="10"/>
      <c r="DH271" s="10"/>
      <c r="DJ271" s="10"/>
      <c r="DL271" s="10"/>
    </row>
    <row r="272" spans="1:116" x14ac:dyDescent="0.2">
      <c r="A272" s="5"/>
      <c r="B272" s="6"/>
      <c r="C272" s="6"/>
      <c r="D272" s="27"/>
      <c r="E272" s="6"/>
      <c r="F272" s="8"/>
      <c r="G272" s="8"/>
      <c r="I272" s="10"/>
      <c r="J272" s="11"/>
      <c r="K272" s="12"/>
      <c r="L272" s="10"/>
      <c r="M272" s="11"/>
      <c r="N272" s="12"/>
      <c r="O272" s="10"/>
      <c r="P272" s="11"/>
      <c r="Q272" s="12"/>
      <c r="R272" s="13"/>
      <c r="S272" s="11"/>
      <c r="T272" s="12"/>
      <c r="U272" s="10"/>
      <c r="V272" s="12"/>
      <c r="W272" s="12"/>
      <c r="X272" s="10"/>
      <c r="Y272" s="12"/>
      <c r="Z272" s="12"/>
      <c r="AA272" s="10"/>
      <c r="AB272" s="12"/>
      <c r="AC272" s="12"/>
      <c r="AD272" s="10"/>
      <c r="AE272" s="12"/>
      <c r="AF272" s="12"/>
      <c r="AG272" s="10"/>
      <c r="AH272" s="12"/>
      <c r="AI272" s="12"/>
      <c r="AJ272" s="13"/>
      <c r="AK272" s="11"/>
      <c r="AL272" s="12"/>
      <c r="AM272" s="10"/>
      <c r="AN272" s="12"/>
      <c r="AO272" s="12"/>
      <c r="AP272" s="10"/>
      <c r="AQ272" s="12"/>
      <c r="AR272" s="12"/>
      <c r="AS272" s="10"/>
      <c r="AT272" s="12"/>
      <c r="AU272" s="12"/>
      <c r="AV272" s="10"/>
      <c r="AW272" s="12"/>
      <c r="AX272" s="12"/>
      <c r="AY272" s="10"/>
      <c r="AZ272" s="12"/>
      <c r="BA272" s="12"/>
      <c r="BB272" s="10"/>
      <c r="BC272" s="12"/>
      <c r="BD272" s="12"/>
      <c r="BE272" s="10"/>
      <c r="BF272" s="12"/>
      <c r="BG272" s="12"/>
      <c r="BH272" s="10"/>
      <c r="BI272" s="12"/>
      <c r="BK272" s="16"/>
      <c r="BL272" s="16"/>
      <c r="BM272" s="16"/>
      <c r="BN272" s="16"/>
      <c r="BO272" s="16"/>
      <c r="BP272" s="16"/>
      <c r="BQ272" s="16"/>
      <c r="BR272" s="16"/>
      <c r="BS272" s="14"/>
      <c r="BT272" s="15"/>
      <c r="BU272" s="23"/>
      <c r="BV272" s="21"/>
      <c r="BW272" s="21"/>
      <c r="BX272" s="16"/>
      <c r="BY272" s="22"/>
      <c r="BZ272" s="16"/>
      <c r="CA272" s="8"/>
      <c r="CB272" s="10"/>
      <c r="CD272" s="10"/>
      <c r="CF272" s="10"/>
      <c r="CH272" s="10"/>
      <c r="CJ272" s="10"/>
      <c r="CL272" s="10"/>
      <c r="CN272" s="10"/>
      <c r="CP272" s="10"/>
      <c r="CR272" s="10"/>
      <c r="CT272" s="10"/>
      <c r="CV272" s="10"/>
      <c r="CX272" s="10"/>
      <c r="CZ272" s="10"/>
      <c r="DB272" s="10"/>
      <c r="DD272" s="10"/>
      <c r="DF272" s="10"/>
      <c r="DH272" s="10"/>
      <c r="DJ272" s="10"/>
      <c r="DL272" s="10"/>
    </row>
    <row r="273" spans="1:116" x14ac:dyDescent="0.2">
      <c r="A273" s="5"/>
      <c r="B273" s="6"/>
      <c r="C273" s="6"/>
      <c r="D273" s="27"/>
      <c r="E273" s="6"/>
      <c r="F273" s="8"/>
      <c r="G273" s="8"/>
      <c r="I273" s="10"/>
      <c r="J273" s="11"/>
      <c r="K273" s="12"/>
      <c r="L273" s="10"/>
      <c r="M273" s="11"/>
      <c r="N273" s="12"/>
      <c r="O273" s="10"/>
      <c r="P273" s="11"/>
      <c r="Q273" s="12"/>
      <c r="R273" s="13"/>
      <c r="S273" s="11"/>
      <c r="T273" s="12"/>
      <c r="U273" s="10"/>
      <c r="V273" s="12"/>
      <c r="W273" s="12"/>
      <c r="X273" s="10"/>
      <c r="Y273" s="12"/>
      <c r="Z273" s="12"/>
      <c r="AA273" s="10"/>
      <c r="AB273" s="12"/>
      <c r="AC273" s="12"/>
      <c r="AD273" s="10"/>
      <c r="AE273" s="12"/>
      <c r="AF273" s="12"/>
      <c r="AG273" s="10"/>
      <c r="AH273" s="12"/>
      <c r="AI273" s="12"/>
      <c r="AJ273" s="13"/>
      <c r="AK273" s="11"/>
      <c r="AL273" s="12"/>
      <c r="AM273" s="10"/>
      <c r="AN273" s="12"/>
      <c r="AO273" s="12"/>
      <c r="AP273" s="10"/>
      <c r="AQ273" s="12"/>
      <c r="AR273" s="12"/>
      <c r="AS273" s="10"/>
      <c r="AT273" s="12"/>
      <c r="AU273" s="12"/>
      <c r="AV273" s="10"/>
      <c r="AW273" s="12"/>
      <c r="AX273" s="12"/>
      <c r="AY273" s="10"/>
      <c r="AZ273" s="12"/>
      <c r="BA273" s="12"/>
      <c r="BB273" s="10"/>
      <c r="BC273" s="12"/>
      <c r="BD273" s="12"/>
      <c r="BE273" s="10"/>
      <c r="BF273" s="12"/>
      <c r="BG273" s="12"/>
      <c r="BH273" s="10"/>
      <c r="BI273" s="12"/>
      <c r="BK273" s="16"/>
      <c r="BL273" s="16"/>
      <c r="BM273" s="16"/>
      <c r="BN273" s="16"/>
      <c r="BO273" s="16"/>
      <c r="BP273" s="16"/>
      <c r="BQ273" s="16"/>
      <c r="BR273" s="16"/>
      <c r="BS273" s="14"/>
      <c r="BT273" s="15"/>
      <c r="BU273" s="23"/>
      <c r="BV273" s="21"/>
      <c r="BW273" s="21"/>
      <c r="BX273" s="16"/>
      <c r="BY273" s="22"/>
      <c r="BZ273" s="16"/>
      <c r="CA273" s="8"/>
      <c r="CB273" s="10"/>
      <c r="CD273" s="10"/>
      <c r="CF273" s="10"/>
      <c r="CH273" s="10"/>
      <c r="CJ273" s="10"/>
      <c r="CL273" s="10"/>
      <c r="CN273" s="10"/>
      <c r="CP273" s="10"/>
      <c r="CR273" s="10"/>
      <c r="CT273" s="10"/>
      <c r="CV273" s="10"/>
      <c r="CX273" s="10"/>
      <c r="CZ273" s="10"/>
      <c r="DB273" s="10"/>
      <c r="DD273" s="10"/>
      <c r="DF273" s="10"/>
      <c r="DH273" s="10"/>
      <c r="DJ273" s="10"/>
      <c r="DL273" s="10"/>
    </row>
    <row r="274" spans="1:116" x14ac:dyDescent="0.2">
      <c r="A274" s="5"/>
      <c r="B274" s="6"/>
      <c r="C274" s="6"/>
      <c r="D274" s="27"/>
      <c r="E274" s="6"/>
      <c r="F274" s="8"/>
      <c r="G274" s="8"/>
      <c r="I274" s="10"/>
      <c r="J274" s="11"/>
      <c r="K274" s="12"/>
      <c r="L274" s="10"/>
      <c r="M274" s="11"/>
      <c r="N274" s="12"/>
      <c r="O274" s="10"/>
      <c r="P274" s="11"/>
      <c r="Q274" s="12"/>
      <c r="R274" s="13"/>
      <c r="S274" s="11"/>
      <c r="T274" s="12"/>
      <c r="U274" s="10"/>
      <c r="V274" s="12"/>
      <c r="W274" s="12"/>
      <c r="X274" s="10"/>
      <c r="Y274" s="12"/>
      <c r="Z274" s="12"/>
      <c r="AA274" s="10"/>
      <c r="AB274" s="12"/>
      <c r="AC274" s="12"/>
      <c r="AD274" s="10"/>
      <c r="AE274" s="12"/>
      <c r="AF274" s="12"/>
      <c r="AG274" s="10"/>
      <c r="AH274" s="12"/>
      <c r="AI274" s="12"/>
      <c r="AJ274" s="13"/>
      <c r="AK274" s="11"/>
      <c r="AL274" s="12"/>
      <c r="AM274" s="10"/>
      <c r="AN274" s="12"/>
      <c r="AO274" s="12"/>
      <c r="AP274" s="10"/>
      <c r="AQ274" s="12"/>
      <c r="AR274" s="12"/>
      <c r="AS274" s="10"/>
      <c r="AT274" s="12"/>
      <c r="AU274" s="12"/>
      <c r="AV274" s="10"/>
      <c r="AW274" s="12"/>
      <c r="AX274" s="12"/>
      <c r="AY274" s="10"/>
      <c r="AZ274" s="12"/>
      <c r="BA274" s="12"/>
      <c r="BB274" s="10"/>
      <c r="BC274" s="12"/>
      <c r="BD274" s="12"/>
      <c r="BE274" s="10"/>
      <c r="BF274" s="12"/>
      <c r="BG274" s="12"/>
      <c r="BH274" s="10"/>
      <c r="BI274" s="12"/>
      <c r="BK274" s="16"/>
      <c r="BL274" s="16"/>
      <c r="BM274" s="16"/>
      <c r="BN274" s="16"/>
      <c r="BO274" s="16"/>
      <c r="BP274" s="16"/>
      <c r="BQ274" s="16"/>
      <c r="BR274" s="16"/>
      <c r="BS274" s="14"/>
      <c r="BT274" s="15"/>
      <c r="BU274" s="23"/>
      <c r="BV274" s="21"/>
      <c r="BW274" s="21"/>
      <c r="BX274" s="16"/>
      <c r="BY274" s="22"/>
      <c r="BZ274" s="16"/>
      <c r="CA274" s="8"/>
      <c r="CB274" s="10"/>
      <c r="CD274" s="10"/>
      <c r="CF274" s="10"/>
      <c r="CH274" s="10"/>
      <c r="CJ274" s="10"/>
      <c r="CL274" s="10"/>
      <c r="CN274" s="10"/>
      <c r="CP274" s="10"/>
      <c r="CR274" s="10"/>
      <c r="CT274" s="10"/>
      <c r="CV274" s="10"/>
      <c r="CX274" s="10"/>
      <c r="CZ274" s="10"/>
      <c r="DB274" s="10"/>
      <c r="DD274" s="10"/>
      <c r="DF274" s="10"/>
      <c r="DH274" s="10"/>
      <c r="DJ274" s="10"/>
      <c r="DL274" s="10"/>
    </row>
    <row r="275" spans="1:116" x14ac:dyDescent="0.2">
      <c r="A275" s="5"/>
      <c r="B275" s="6"/>
      <c r="C275" s="6"/>
      <c r="D275" s="27"/>
      <c r="E275" s="6"/>
      <c r="F275" s="8"/>
      <c r="G275" s="8"/>
      <c r="I275" s="10"/>
      <c r="J275" s="11"/>
      <c r="K275" s="12"/>
      <c r="L275" s="10"/>
      <c r="M275" s="11"/>
      <c r="N275" s="12"/>
      <c r="O275" s="10"/>
      <c r="P275" s="11"/>
      <c r="Q275" s="12"/>
      <c r="R275" s="13"/>
      <c r="S275" s="11"/>
      <c r="T275" s="12"/>
      <c r="U275" s="10"/>
      <c r="V275" s="12"/>
      <c r="W275" s="12"/>
      <c r="X275" s="10"/>
      <c r="Y275" s="12"/>
      <c r="Z275" s="12"/>
      <c r="AA275" s="10"/>
      <c r="AB275" s="12"/>
      <c r="AC275" s="12"/>
      <c r="AD275" s="10"/>
      <c r="AE275" s="12"/>
      <c r="AF275" s="12"/>
      <c r="AG275" s="10"/>
      <c r="AH275" s="12"/>
      <c r="AI275" s="12"/>
      <c r="AJ275" s="13"/>
      <c r="AK275" s="11"/>
      <c r="AL275" s="12"/>
      <c r="AM275" s="10"/>
      <c r="AN275" s="12"/>
      <c r="AO275" s="12"/>
      <c r="AP275" s="10"/>
      <c r="AQ275" s="12"/>
      <c r="AR275" s="12"/>
      <c r="AS275" s="10"/>
      <c r="AT275" s="12"/>
      <c r="AU275" s="12"/>
      <c r="AV275" s="10"/>
      <c r="AW275" s="12"/>
      <c r="AX275" s="12"/>
      <c r="AY275" s="10"/>
      <c r="AZ275" s="12"/>
      <c r="BA275" s="12"/>
      <c r="BB275" s="10"/>
      <c r="BC275" s="12"/>
      <c r="BD275" s="12"/>
      <c r="BE275" s="10"/>
      <c r="BF275" s="12"/>
      <c r="BG275" s="12"/>
      <c r="BH275" s="10"/>
      <c r="BI275" s="12"/>
      <c r="BK275" s="16"/>
      <c r="BL275" s="16"/>
      <c r="BM275" s="16"/>
      <c r="BN275" s="16"/>
      <c r="BO275" s="16"/>
      <c r="BP275" s="16"/>
      <c r="BQ275" s="16"/>
      <c r="BR275" s="16"/>
      <c r="BS275" s="14"/>
      <c r="BT275" s="15"/>
      <c r="BU275" s="23"/>
      <c r="BV275" s="21"/>
      <c r="BW275" s="21"/>
      <c r="BX275" s="16"/>
      <c r="BY275" s="22"/>
      <c r="BZ275" s="16"/>
      <c r="CA275" s="8"/>
      <c r="CB275" s="10"/>
      <c r="CD275" s="10"/>
      <c r="CF275" s="10"/>
      <c r="CH275" s="10"/>
      <c r="CJ275" s="10"/>
      <c r="CL275" s="10"/>
      <c r="CN275" s="10"/>
      <c r="CP275" s="10"/>
      <c r="CR275" s="10"/>
      <c r="CT275" s="10"/>
      <c r="CV275" s="10"/>
      <c r="CX275" s="10"/>
      <c r="CZ275" s="10"/>
      <c r="DB275" s="10"/>
      <c r="DD275" s="10"/>
      <c r="DF275" s="10"/>
      <c r="DH275" s="10"/>
      <c r="DJ275" s="10"/>
      <c r="DL275" s="10"/>
    </row>
    <row r="276" spans="1:116" x14ac:dyDescent="0.2">
      <c r="A276" s="5"/>
      <c r="B276" s="6"/>
      <c r="C276" s="6"/>
      <c r="D276" s="27"/>
      <c r="E276" s="6"/>
      <c r="F276" s="8"/>
      <c r="G276" s="8"/>
      <c r="I276" s="10"/>
      <c r="J276" s="11"/>
      <c r="K276" s="12"/>
      <c r="L276" s="10"/>
      <c r="M276" s="11"/>
      <c r="N276" s="12"/>
      <c r="O276" s="10"/>
      <c r="P276" s="11"/>
      <c r="Q276" s="12"/>
      <c r="R276" s="13"/>
      <c r="S276" s="11"/>
      <c r="T276" s="12"/>
      <c r="U276" s="10"/>
      <c r="V276" s="12"/>
      <c r="W276" s="12"/>
      <c r="X276" s="10"/>
      <c r="Y276" s="12"/>
      <c r="Z276" s="12"/>
      <c r="AA276" s="10"/>
      <c r="AB276" s="12"/>
      <c r="AC276" s="12"/>
      <c r="AD276" s="10"/>
      <c r="AE276" s="12"/>
      <c r="AF276" s="12"/>
      <c r="AG276" s="10"/>
      <c r="AH276" s="12"/>
      <c r="AI276" s="12"/>
      <c r="AJ276" s="13"/>
      <c r="AK276" s="11"/>
      <c r="AL276" s="12"/>
      <c r="AM276" s="10"/>
      <c r="AN276" s="12"/>
      <c r="AO276" s="12"/>
      <c r="AP276" s="10"/>
      <c r="AQ276" s="12"/>
      <c r="AR276" s="12"/>
      <c r="AS276" s="10"/>
      <c r="AT276" s="12"/>
      <c r="AU276" s="12"/>
      <c r="AV276" s="10"/>
      <c r="AW276" s="12"/>
      <c r="AX276" s="12"/>
      <c r="AY276" s="10"/>
      <c r="AZ276" s="12"/>
      <c r="BA276" s="12"/>
      <c r="BB276" s="10"/>
      <c r="BC276" s="12"/>
      <c r="BD276" s="12"/>
      <c r="BE276" s="10"/>
      <c r="BF276" s="12"/>
      <c r="BG276" s="12"/>
      <c r="BH276" s="10"/>
      <c r="BI276" s="12"/>
      <c r="BK276" s="16"/>
      <c r="BL276" s="16"/>
      <c r="BM276" s="16"/>
      <c r="BN276" s="16"/>
      <c r="BO276" s="16"/>
      <c r="BP276" s="16"/>
      <c r="BQ276" s="16"/>
      <c r="BR276" s="16"/>
      <c r="BS276" s="14"/>
      <c r="BT276" s="15"/>
      <c r="BU276" s="23"/>
      <c r="BV276" s="21"/>
      <c r="BW276" s="21"/>
      <c r="BX276" s="16"/>
      <c r="BY276" s="22"/>
      <c r="BZ276" s="16"/>
      <c r="CA276" s="8"/>
      <c r="CB276" s="10"/>
      <c r="CD276" s="10"/>
      <c r="CF276" s="10"/>
      <c r="CH276" s="10"/>
      <c r="CJ276" s="10"/>
      <c r="CL276" s="10"/>
      <c r="CN276" s="10"/>
      <c r="CP276" s="10"/>
      <c r="CR276" s="10"/>
      <c r="CT276" s="10"/>
      <c r="CV276" s="10"/>
      <c r="CX276" s="10"/>
      <c r="CZ276" s="10"/>
      <c r="DB276" s="10"/>
      <c r="DD276" s="10"/>
      <c r="DF276" s="10"/>
      <c r="DH276" s="10"/>
      <c r="DJ276" s="10"/>
      <c r="DL276" s="10"/>
    </row>
    <row r="277" spans="1:116" x14ac:dyDescent="0.2">
      <c r="A277" s="5"/>
      <c r="B277" s="6"/>
      <c r="C277" s="6"/>
      <c r="D277" s="27"/>
      <c r="E277" s="6"/>
      <c r="F277" s="8"/>
      <c r="G277" s="8"/>
      <c r="I277" s="10"/>
      <c r="J277" s="11"/>
      <c r="K277" s="12"/>
      <c r="L277" s="10"/>
      <c r="M277" s="11"/>
      <c r="N277" s="12"/>
      <c r="O277" s="10"/>
      <c r="P277" s="11"/>
      <c r="Q277" s="12"/>
      <c r="R277" s="13"/>
      <c r="S277" s="11"/>
      <c r="T277" s="12"/>
      <c r="U277" s="10"/>
      <c r="V277" s="12"/>
      <c r="W277" s="12"/>
      <c r="X277" s="10"/>
      <c r="Y277" s="12"/>
      <c r="Z277" s="12"/>
      <c r="AA277" s="10"/>
      <c r="AB277" s="12"/>
      <c r="AC277" s="12"/>
      <c r="AD277" s="10"/>
      <c r="AE277" s="12"/>
      <c r="AF277" s="12"/>
      <c r="AG277" s="10"/>
      <c r="AH277" s="12"/>
      <c r="AI277" s="12"/>
      <c r="AJ277" s="13"/>
      <c r="AK277" s="11"/>
      <c r="AL277" s="12"/>
      <c r="AM277" s="10"/>
      <c r="AN277" s="12"/>
      <c r="AO277" s="12"/>
      <c r="AP277" s="10"/>
      <c r="AQ277" s="12"/>
      <c r="AR277" s="12"/>
      <c r="AS277" s="10"/>
      <c r="AT277" s="12"/>
      <c r="AU277" s="12"/>
      <c r="AV277" s="10"/>
      <c r="AW277" s="12"/>
      <c r="AX277" s="12"/>
      <c r="AY277" s="10"/>
      <c r="AZ277" s="12"/>
      <c r="BA277" s="12"/>
      <c r="BB277" s="10"/>
      <c r="BC277" s="12"/>
      <c r="BD277" s="12"/>
      <c r="BE277" s="10"/>
      <c r="BF277" s="12"/>
      <c r="BG277" s="12"/>
      <c r="BH277" s="10"/>
      <c r="BI277" s="12"/>
      <c r="BK277" s="16"/>
      <c r="BL277" s="16"/>
      <c r="BM277" s="16"/>
      <c r="BN277" s="16"/>
      <c r="BO277" s="16"/>
      <c r="BP277" s="16"/>
      <c r="BQ277" s="16"/>
      <c r="BR277" s="16"/>
      <c r="BS277" s="14"/>
      <c r="BT277" s="15"/>
      <c r="BU277" s="23"/>
      <c r="BV277" s="21"/>
      <c r="BW277" s="21"/>
      <c r="BX277" s="16"/>
      <c r="BY277" s="22"/>
      <c r="BZ277" s="16"/>
      <c r="CA277" s="8"/>
      <c r="CB277" s="10"/>
      <c r="CD277" s="10"/>
      <c r="CF277" s="10"/>
      <c r="CH277" s="10"/>
      <c r="CJ277" s="10"/>
      <c r="CL277" s="10"/>
      <c r="CN277" s="10"/>
      <c r="CP277" s="10"/>
      <c r="CR277" s="10"/>
      <c r="CT277" s="10"/>
      <c r="CV277" s="10"/>
      <c r="CX277" s="10"/>
      <c r="CZ277" s="10"/>
      <c r="DB277" s="10"/>
      <c r="DD277" s="10"/>
      <c r="DF277" s="10"/>
      <c r="DH277" s="10"/>
      <c r="DJ277" s="10"/>
      <c r="DL277" s="10"/>
    </row>
    <row r="278" spans="1:116" x14ac:dyDescent="0.2">
      <c r="A278" s="5"/>
      <c r="B278" s="6"/>
      <c r="C278" s="6"/>
      <c r="D278" s="27"/>
      <c r="E278" s="6"/>
      <c r="F278" s="8"/>
      <c r="G278" s="8"/>
      <c r="I278" s="10"/>
      <c r="J278" s="11"/>
      <c r="K278" s="12"/>
      <c r="L278" s="10"/>
      <c r="M278" s="11"/>
      <c r="N278" s="12"/>
      <c r="O278" s="10"/>
      <c r="P278" s="11"/>
      <c r="Q278" s="12"/>
      <c r="R278" s="13"/>
      <c r="S278" s="11"/>
      <c r="T278" s="12"/>
      <c r="U278" s="10"/>
      <c r="V278" s="12"/>
      <c r="W278" s="12"/>
      <c r="X278" s="10"/>
      <c r="Y278" s="12"/>
      <c r="Z278" s="12"/>
      <c r="AA278" s="10"/>
      <c r="AB278" s="12"/>
      <c r="AC278" s="12"/>
      <c r="AD278" s="10"/>
      <c r="AE278" s="12"/>
      <c r="AF278" s="12"/>
      <c r="AG278" s="10"/>
      <c r="AH278" s="12"/>
      <c r="AI278" s="12"/>
      <c r="AJ278" s="13"/>
      <c r="AK278" s="11"/>
      <c r="AL278" s="12"/>
      <c r="AM278" s="10"/>
      <c r="AN278" s="12"/>
      <c r="AO278" s="12"/>
      <c r="AP278" s="10"/>
      <c r="AQ278" s="12"/>
      <c r="AR278" s="12"/>
      <c r="AS278" s="10"/>
      <c r="AT278" s="12"/>
      <c r="AU278" s="12"/>
      <c r="AV278" s="10"/>
      <c r="AW278" s="12"/>
      <c r="AX278" s="12"/>
      <c r="AY278" s="10"/>
      <c r="AZ278" s="12"/>
      <c r="BA278" s="12"/>
      <c r="BB278" s="10"/>
      <c r="BC278" s="12"/>
      <c r="BD278" s="12"/>
      <c r="BE278" s="10"/>
      <c r="BF278" s="12"/>
      <c r="BG278" s="12"/>
      <c r="BH278" s="10"/>
      <c r="BI278" s="12"/>
      <c r="BK278" s="16"/>
      <c r="BL278" s="16"/>
      <c r="BM278" s="16"/>
      <c r="BN278" s="16"/>
      <c r="BO278" s="16"/>
      <c r="BP278" s="16"/>
      <c r="BQ278" s="16"/>
      <c r="BR278" s="16"/>
      <c r="BS278" s="14"/>
      <c r="BT278" s="15"/>
      <c r="BU278" s="23"/>
      <c r="BV278" s="21"/>
      <c r="BW278" s="21"/>
      <c r="BX278" s="16"/>
      <c r="BY278" s="22"/>
      <c r="BZ278" s="16"/>
      <c r="CA278" s="8"/>
      <c r="CB278" s="10"/>
      <c r="CD278" s="10"/>
      <c r="CF278" s="10"/>
      <c r="CH278" s="10"/>
      <c r="CJ278" s="10"/>
      <c r="CL278" s="10"/>
      <c r="CN278" s="10"/>
      <c r="CP278" s="10"/>
      <c r="CR278" s="10"/>
      <c r="CT278" s="10"/>
      <c r="CV278" s="10"/>
      <c r="CX278" s="10"/>
      <c r="CZ278" s="10"/>
      <c r="DB278" s="10"/>
      <c r="DD278" s="10"/>
      <c r="DF278" s="10"/>
      <c r="DH278" s="10"/>
      <c r="DJ278" s="10"/>
      <c r="DL278" s="10"/>
    </row>
    <row r="279" spans="1:116" x14ac:dyDescent="0.2">
      <c r="A279" s="5"/>
      <c r="B279" s="6"/>
      <c r="C279" s="6"/>
      <c r="D279" s="27"/>
      <c r="E279" s="6"/>
      <c r="F279" s="8"/>
      <c r="G279" s="8"/>
      <c r="I279" s="10"/>
      <c r="J279" s="11"/>
      <c r="K279" s="12"/>
      <c r="L279" s="10"/>
      <c r="M279" s="11"/>
      <c r="N279" s="12"/>
      <c r="O279" s="10"/>
      <c r="P279" s="11"/>
      <c r="Q279" s="12"/>
      <c r="R279" s="13"/>
      <c r="S279" s="11"/>
      <c r="T279" s="12"/>
      <c r="U279" s="10"/>
      <c r="V279" s="12"/>
      <c r="W279" s="12"/>
      <c r="X279" s="10"/>
      <c r="Y279" s="12"/>
      <c r="Z279" s="12"/>
      <c r="AA279" s="10"/>
      <c r="AB279" s="12"/>
      <c r="AC279" s="12"/>
      <c r="AD279" s="10"/>
      <c r="AE279" s="12"/>
      <c r="AF279" s="12"/>
      <c r="AG279" s="10"/>
      <c r="AH279" s="12"/>
      <c r="AI279" s="12"/>
      <c r="AJ279" s="13"/>
      <c r="AK279" s="11"/>
      <c r="AL279" s="12"/>
      <c r="AM279" s="10"/>
      <c r="AN279" s="12"/>
      <c r="AO279" s="12"/>
      <c r="AP279" s="10"/>
      <c r="AQ279" s="12"/>
      <c r="AR279" s="12"/>
      <c r="AS279" s="10"/>
      <c r="AT279" s="12"/>
      <c r="AU279" s="12"/>
      <c r="AV279" s="10"/>
      <c r="AW279" s="12"/>
      <c r="AX279" s="12"/>
      <c r="AY279" s="10"/>
      <c r="AZ279" s="12"/>
      <c r="BA279" s="12"/>
      <c r="BB279" s="10"/>
      <c r="BC279" s="12"/>
      <c r="BD279" s="12"/>
      <c r="BE279" s="10"/>
      <c r="BF279" s="12"/>
      <c r="BG279" s="12"/>
      <c r="BH279" s="10"/>
      <c r="BI279" s="12"/>
      <c r="BK279" s="16"/>
      <c r="BL279" s="16"/>
      <c r="BM279" s="16"/>
      <c r="BN279" s="16"/>
      <c r="BO279" s="16"/>
      <c r="BP279" s="16"/>
      <c r="BQ279" s="16"/>
      <c r="BR279" s="16"/>
      <c r="BS279" s="14"/>
      <c r="BT279" s="15"/>
      <c r="BU279" s="23"/>
      <c r="BV279" s="21"/>
      <c r="BW279" s="21"/>
      <c r="BX279" s="16"/>
      <c r="BY279" s="22"/>
      <c r="BZ279" s="16"/>
      <c r="CA279" s="8"/>
      <c r="CB279" s="10"/>
      <c r="CD279" s="10"/>
      <c r="CF279" s="10"/>
      <c r="CH279" s="10"/>
      <c r="CJ279" s="10"/>
      <c r="CL279" s="10"/>
      <c r="CN279" s="10"/>
      <c r="CP279" s="10"/>
      <c r="CR279" s="10"/>
      <c r="CT279" s="10"/>
      <c r="CV279" s="10"/>
      <c r="CX279" s="10"/>
      <c r="CZ279" s="10"/>
      <c r="DB279" s="10"/>
      <c r="DD279" s="10"/>
      <c r="DF279" s="10"/>
      <c r="DH279" s="10"/>
      <c r="DJ279" s="10"/>
      <c r="DL279" s="10"/>
    </row>
    <row r="280" spans="1:116" x14ac:dyDescent="0.2">
      <c r="A280" s="5"/>
      <c r="B280" s="6"/>
      <c r="C280" s="6"/>
      <c r="D280" s="27"/>
      <c r="E280" s="6"/>
      <c r="F280" s="8"/>
      <c r="G280" s="8"/>
      <c r="I280" s="10"/>
      <c r="J280" s="11"/>
      <c r="K280" s="12"/>
      <c r="L280" s="10"/>
      <c r="M280" s="11"/>
      <c r="N280" s="12"/>
      <c r="O280" s="10"/>
      <c r="P280" s="11"/>
      <c r="Q280" s="12"/>
      <c r="R280" s="13"/>
      <c r="S280" s="11"/>
      <c r="T280" s="12"/>
      <c r="U280" s="10"/>
      <c r="V280" s="12"/>
      <c r="W280" s="12"/>
      <c r="X280" s="10"/>
      <c r="Y280" s="12"/>
      <c r="Z280" s="12"/>
      <c r="AA280" s="10"/>
      <c r="AB280" s="12"/>
      <c r="AC280" s="12"/>
      <c r="AD280" s="10"/>
      <c r="AE280" s="12"/>
      <c r="AF280" s="12"/>
      <c r="AG280" s="10"/>
      <c r="AH280" s="12"/>
      <c r="AI280" s="12"/>
      <c r="AJ280" s="13"/>
      <c r="AK280" s="11"/>
      <c r="AL280" s="12"/>
      <c r="AM280" s="10"/>
      <c r="AN280" s="12"/>
      <c r="AO280" s="12"/>
      <c r="AP280" s="10"/>
      <c r="AQ280" s="12"/>
      <c r="AR280" s="12"/>
      <c r="AS280" s="10"/>
      <c r="AT280" s="12"/>
      <c r="AU280" s="12"/>
      <c r="AV280" s="10"/>
      <c r="AW280" s="12"/>
      <c r="AX280" s="12"/>
      <c r="AY280" s="10"/>
      <c r="AZ280" s="12"/>
      <c r="BA280" s="12"/>
      <c r="BB280" s="10"/>
      <c r="BC280" s="12"/>
      <c r="BD280" s="12"/>
      <c r="BE280" s="10"/>
      <c r="BF280" s="12"/>
      <c r="BG280" s="12"/>
      <c r="BH280" s="10"/>
      <c r="BI280" s="12"/>
      <c r="BK280" s="16"/>
      <c r="BL280" s="16"/>
      <c r="BM280" s="16"/>
      <c r="BN280" s="16"/>
      <c r="BO280" s="16"/>
      <c r="BP280" s="16"/>
      <c r="BQ280" s="16"/>
      <c r="BR280" s="16"/>
      <c r="BS280" s="14"/>
      <c r="BT280" s="15"/>
      <c r="BU280" s="23"/>
      <c r="BV280" s="21"/>
      <c r="BW280" s="21"/>
      <c r="BX280" s="16"/>
      <c r="BY280" s="22"/>
      <c r="BZ280" s="16"/>
      <c r="CA280" s="8"/>
      <c r="CB280" s="10"/>
      <c r="CD280" s="10"/>
      <c r="CF280" s="10"/>
      <c r="CH280" s="10"/>
      <c r="CJ280" s="10"/>
      <c r="CL280" s="10"/>
      <c r="CN280" s="10"/>
      <c r="CP280" s="10"/>
      <c r="CR280" s="10"/>
      <c r="CT280" s="10"/>
      <c r="CV280" s="10"/>
      <c r="CX280" s="10"/>
      <c r="CZ280" s="10"/>
      <c r="DB280" s="10"/>
      <c r="DD280" s="10"/>
      <c r="DF280" s="10"/>
      <c r="DH280" s="10"/>
      <c r="DJ280" s="10"/>
      <c r="DL280" s="10"/>
    </row>
    <row r="281" spans="1:116" x14ac:dyDescent="0.2">
      <c r="A281" s="5"/>
      <c r="B281" s="6"/>
      <c r="C281" s="6"/>
      <c r="D281" s="27"/>
      <c r="E281" s="6"/>
      <c r="F281" s="8"/>
      <c r="G281" s="8"/>
      <c r="I281" s="10"/>
      <c r="J281" s="11"/>
      <c r="K281" s="12"/>
      <c r="L281" s="10"/>
      <c r="M281" s="11"/>
      <c r="N281" s="12"/>
      <c r="O281" s="10"/>
      <c r="P281" s="11"/>
      <c r="Q281" s="12"/>
      <c r="R281" s="13"/>
      <c r="S281" s="11"/>
      <c r="T281" s="12"/>
      <c r="U281" s="10"/>
      <c r="V281" s="12"/>
      <c r="W281" s="12"/>
      <c r="X281" s="10"/>
      <c r="Y281" s="12"/>
      <c r="Z281" s="12"/>
      <c r="AA281" s="10"/>
      <c r="AB281" s="12"/>
      <c r="AC281" s="12"/>
      <c r="AD281" s="10"/>
      <c r="AE281" s="12"/>
      <c r="AF281" s="12"/>
      <c r="AG281" s="10"/>
      <c r="AH281" s="12"/>
      <c r="AI281" s="12"/>
      <c r="AJ281" s="13"/>
      <c r="AK281" s="11"/>
      <c r="AL281" s="12"/>
      <c r="AM281" s="10"/>
      <c r="AN281" s="12"/>
      <c r="AO281" s="12"/>
      <c r="AP281" s="10"/>
      <c r="AQ281" s="12"/>
      <c r="AR281" s="12"/>
      <c r="AS281" s="10"/>
      <c r="AT281" s="12"/>
      <c r="AU281" s="12"/>
      <c r="AV281" s="10"/>
      <c r="AW281" s="12"/>
      <c r="AX281" s="12"/>
      <c r="AY281" s="10"/>
      <c r="AZ281" s="12"/>
      <c r="BA281" s="12"/>
      <c r="BB281" s="10"/>
      <c r="BC281" s="12"/>
      <c r="BD281" s="12"/>
      <c r="BE281" s="10"/>
      <c r="BF281" s="12"/>
      <c r="BG281" s="12"/>
      <c r="BH281" s="10"/>
      <c r="BI281" s="12"/>
      <c r="BK281" s="16"/>
      <c r="BL281" s="16"/>
      <c r="BM281" s="16"/>
      <c r="BN281" s="16"/>
      <c r="BO281" s="16"/>
      <c r="BP281" s="16"/>
      <c r="BQ281" s="16"/>
      <c r="BR281" s="16"/>
      <c r="BS281" s="14"/>
      <c r="BT281" s="15"/>
      <c r="BU281" s="23"/>
      <c r="BV281" s="21"/>
      <c r="BW281" s="21"/>
      <c r="BX281" s="16"/>
      <c r="BY281" s="22"/>
      <c r="BZ281" s="16"/>
      <c r="CA281" s="8"/>
      <c r="CB281" s="10"/>
      <c r="CD281" s="10"/>
      <c r="CF281" s="10"/>
      <c r="CH281" s="10"/>
      <c r="CJ281" s="10"/>
      <c r="CL281" s="10"/>
      <c r="CN281" s="10"/>
      <c r="CP281" s="10"/>
      <c r="CR281" s="10"/>
      <c r="CT281" s="10"/>
      <c r="CV281" s="10"/>
      <c r="CX281" s="10"/>
      <c r="CZ281" s="10"/>
      <c r="DB281" s="10"/>
      <c r="DD281" s="10"/>
      <c r="DF281" s="10"/>
      <c r="DH281" s="10"/>
      <c r="DJ281" s="10"/>
      <c r="DL281" s="10"/>
    </row>
    <row r="282" spans="1:116" x14ac:dyDescent="0.2">
      <c r="A282" s="5"/>
      <c r="B282" s="6"/>
      <c r="C282" s="6"/>
      <c r="D282" s="27"/>
      <c r="E282" s="6"/>
      <c r="F282" s="8"/>
      <c r="G282" s="8"/>
      <c r="I282" s="10"/>
      <c r="J282" s="11"/>
      <c r="K282" s="12"/>
      <c r="L282" s="10"/>
      <c r="M282" s="11"/>
      <c r="N282" s="12"/>
      <c r="O282" s="10"/>
      <c r="P282" s="11"/>
      <c r="Q282" s="12"/>
      <c r="R282" s="13"/>
      <c r="S282" s="11"/>
      <c r="T282" s="12"/>
      <c r="U282" s="10"/>
      <c r="V282" s="12"/>
      <c r="W282" s="12"/>
      <c r="X282" s="10"/>
      <c r="Y282" s="12"/>
      <c r="Z282" s="12"/>
      <c r="AA282" s="10"/>
      <c r="AB282" s="12"/>
      <c r="AC282" s="12"/>
      <c r="AD282" s="10"/>
      <c r="AE282" s="12"/>
      <c r="AF282" s="12"/>
      <c r="AG282" s="10"/>
      <c r="AH282" s="12"/>
      <c r="AI282" s="12"/>
      <c r="AJ282" s="13"/>
      <c r="AK282" s="11"/>
      <c r="AL282" s="12"/>
      <c r="AM282" s="10"/>
      <c r="AN282" s="12"/>
      <c r="AO282" s="12"/>
      <c r="AP282" s="10"/>
      <c r="AQ282" s="12"/>
      <c r="AR282" s="12"/>
      <c r="AS282" s="10"/>
      <c r="AT282" s="12"/>
      <c r="AU282" s="12"/>
      <c r="AV282" s="10"/>
      <c r="AW282" s="12"/>
      <c r="AX282" s="12"/>
      <c r="AY282" s="10"/>
      <c r="AZ282" s="12"/>
      <c r="BA282" s="12"/>
      <c r="BB282" s="10"/>
      <c r="BC282" s="12"/>
      <c r="BD282" s="12"/>
      <c r="BE282" s="10"/>
      <c r="BF282" s="12"/>
      <c r="BG282" s="12"/>
      <c r="BH282" s="10"/>
      <c r="BI282" s="12"/>
      <c r="BK282" s="16"/>
      <c r="BL282" s="16"/>
      <c r="BM282" s="16"/>
      <c r="BN282" s="16"/>
      <c r="BO282" s="16"/>
      <c r="BP282" s="16"/>
      <c r="BQ282" s="16"/>
      <c r="BR282" s="16"/>
      <c r="BS282" s="14"/>
      <c r="BT282" s="15"/>
      <c r="BU282" s="23"/>
      <c r="BV282" s="21"/>
      <c r="BW282" s="21"/>
      <c r="BX282" s="16"/>
      <c r="BY282" s="22"/>
      <c r="BZ282" s="16"/>
      <c r="CA282" s="8"/>
      <c r="CB282" s="10"/>
      <c r="CD282" s="10"/>
      <c r="CF282" s="10"/>
      <c r="CH282" s="10"/>
      <c r="CJ282" s="10"/>
      <c r="CL282" s="10"/>
      <c r="CN282" s="10"/>
      <c r="CP282" s="10"/>
      <c r="CR282" s="10"/>
      <c r="CT282" s="10"/>
      <c r="CV282" s="10"/>
      <c r="CX282" s="10"/>
      <c r="CZ282" s="10"/>
      <c r="DB282" s="10"/>
      <c r="DD282" s="10"/>
      <c r="DF282" s="10"/>
      <c r="DH282" s="10"/>
      <c r="DJ282" s="10"/>
      <c r="DL282" s="10"/>
    </row>
    <row r="283" spans="1:116" x14ac:dyDescent="0.2">
      <c r="A283" s="5"/>
      <c r="B283" s="6"/>
      <c r="C283" s="6"/>
      <c r="D283" s="7"/>
      <c r="E283" s="6"/>
      <c r="F283" s="8"/>
      <c r="G283" s="8"/>
      <c r="I283" s="10"/>
      <c r="J283" s="11"/>
      <c r="K283" s="12"/>
      <c r="L283" s="10"/>
      <c r="M283" s="11"/>
      <c r="N283" s="12"/>
      <c r="O283" s="10"/>
      <c r="P283" s="11"/>
      <c r="Q283" s="12"/>
      <c r="R283" s="13"/>
      <c r="S283" s="11"/>
      <c r="T283" s="12"/>
      <c r="U283" s="10"/>
      <c r="V283" s="12"/>
      <c r="W283" s="12"/>
      <c r="X283" s="10"/>
      <c r="Y283" s="12"/>
      <c r="Z283" s="12"/>
      <c r="AA283" s="10"/>
      <c r="AB283" s="12"/>
      <c r="AC283" s="12"/>
      <c r="AD283" s="10"/>
      <c r="AE283" s="12"/>
      <c r="AF283" s="12"/>
      <c r="AG283" s="10"/>
      <c r="AH283" s="12"/>
      <c r="AI283" s="12"/>
      <c r="AJ283" s="13"/>
      <c r="AK283" s="11"/>
      <c r="AL283" s="12"/>
      <c r="AM283" s="10"/>
      <c r="AN283" s="12"/>
      <c r="AO283" s="12"/>
      <c r="AP283" s="10"/>
      <c r="AQ283" s="12"/>
      <c r="AR283" s="12"/>
      <c r="AS283" s="10"/>
      <c r="AT283" s="12"/>
      <c r="AU283" s="12"/>
      <c r="AV283" s="10"/>
      <c r="AW283" s="12"/>
      <c r="AX283" s="12"/>
      <c r="AY283" s="10"/>
      <c r="AZ283" s="12"/>
      <c r="BA283" s="12"/>
      <c r="BB283" s="10"/>
      <c r="BC283" s="12"/>
      <c r="BD283" s="12"/>
      <c r="BE283" s="10"/>
      <c r="BF283" s="12"/>
      <c r="BG283" s="12"/>
      <c r="BH283" s="10"/>
      <c r="BI283" s="12"/>
      <c r="BK283" s="16"/>
      <c r="BL283" s="16"/>
      <c r="BM283" s="16"/>
      <c r="BN283" s="16"/>
      <c r="BO283" s="16"/>
      <c r="BP283" s="16"/>
      <c r="BQ283" s="16"/>
      <c r="BR283" s="16"/>
      <c r="BS283" s="14"/>
      <c r="BT283" s="15"/>
      <c r="BU283" s="23"/>
      <c r="BV283" s="21"/>
      <c r="BW283" s="21"/>
      <c r="BX283" s="16"/>
      <c r="BY283" s="22"/>
      <c r="BZ283" s="16"/>
      <c r="CA283" s="8"/>
      <c r="CB283" s="10"/>
      <c r="CD283" s="10"/>
      <c r="CF283" s="10"/>
      <c r="CH283" s="10"/>
      <c r="CJ283" s="10"/>
      <c r="CL283" s="10"/>
      <c r="CN283" s="10"/>
      <c r="CP283" s="10"/>
      <c r="CR283" s="10"/>
      <c r="CT283" s="10"/>
      <c r="CV283" s="10"/>
      <c r="CX283" s="10"/>
      <c r="CZ283" s="10"/>
      <c r="DB283" s="10"/>
      <c r="DD283" s="10"/>
      <c r="DF283" s="10"/>
      <c r="DH283" s="10"/>
      <c r="DJ283" s="10"/>
      <c r="DL283" s="10"/>
    </row>
    <row r="284" spans="1:116" x14ac:dyDescent="0.2">
      <c r="A284" s="5"/>
      <c r="B284" s="6"/>
      <c r="C284" s="6"/>
      <c r="D284" s="7"/>
      <c r="E284" s="6"/>
      <c r="F284" s="8"/>
      <c r="G284" s="8"/>
      <c r="I284" s="10"/>
      <c r="J284" s="11"/>
      <c r="K284" s="12"/>
      <c r="L284" s="10"/>
      <c r="M284" s="11"/>
      <c r="N284" s="12"/>
      <c r="O284" s="10"/>
      <c r="P284" s="11"/>
      <c r="Q284" s="12"/>
      <c r="R284" s="13"/>
      <c r="S284" s="11"/>
      <c r="T284" s="12"/>
      <c r="U284" s="10"/>
      <c r="V284" s="12"/>
      <c r="W284" s="12"/>
      <c r="X284" s="10"/>
      <c r="Y284" s="12"/>
      <c r="Z284" s="12"/>
      <c r="AA284" s="10"/>
      <c r="AB284" s="12"/>
      <c r="AC284" s="12"/>
      <c r="AD284" s="10"/>
      <c r="AE284" s="12"/>
      <c r="AF284" s="12"/>
      <c r="AG284" s="10"/>
      <c r="AH284" s="12"/>
      <c r="AI284" s="12"/>
      <c r="AJ284" s="13"/>
      <c r="AK284" s="11"/>
      <c r="AL284" s="12"/>
      <c r="AM284" s="10"/>
      <c r="AN284" s="12"/>
      <c r="AO284" s="12"/>
      <c r="AP284" s="10"/>
      <c r="AQ284" s="12"/>
      <c r="AR284" s="12"/>
      <c r="AS284" s="10"/>
      <c r="AT284" s="12"/>
      <c r="AU284" s="12"/>
      <c r="AV284" s="10"/>
      <c r="AW284" s="12"/>
      <c r="AX284" s="12"/>
      <c r="AY284" s="10"/>
      <c r="AZ284" s="12"/>
      <c r="BA284" s="12"/>
      <c r="BB284" s="10"/>
      <c r="BC284" s="12"/>
      <c r="BD284" s="12"/>
      <c r="BE284" s="10"/>
      <c r="BF284" s="12"/>
      <c r="BG284" s="12"/>
      <c r="BH284" s="10"/>
      <c r="BI284" s="12"/>
      <c r="BK284" s="16"/>
      <c r="BL284" s="16"/>
      <c r="BM284" s="16"/>
      <c r="BN284" s="16"/>
      <c r="BO284" s="16"/>
      <c r="BP284" s="16"/>
      <c r="BQ284" s="16"/>
      <c r="BR284" s="16"/>
      <c r="BS284" s="14"/>
      <c r="BT284" s="15"/>
      <c r="BU284" s="23"/>
      <c r="BV284" s="21"/>
      <c r="BW284" s="21"/>
      <c r="BX284" s="16"/>
      <c r="BY284" s="22"/>
      <c r="BZ284" s="16"/>
      <c r="CA284" s="8"/>
      <c r="CB284" s="10"/>
      <c r="CD284" s="10"/>
      <c r="CF284" s="10"/>
      <c r="CH284" s="10"/>
      <c r="CJ284" s="10"/>
      <c r="CL284" s="10"/>
      <c r="CN284" s="10"/>
      <c r="CP284" s="10"/>
      <c r="CR284" s="10"/>
      <c r="CT284" s="10"/>
      <c r="CV284" s="10"/>
      <c r="CX284" s="10"/>
      <c r="CZ284" s="10"/>
      <c r="DB284" s="10"/>
      <c r="DD284" s="10"/>
      <c r="DF284" s="10"/>
      <c r="DH284" s="10"/>
      <c r="DJ284" s="10"/>
      <c r="DL284" s="10"/>
    </row>
    <row r="285" spans="1:116" x14ac:dyDescent="0.2">
      <c r="A285" s="5"/>
      <c r="B285" s="6"/>
      <c r="C285" s="6"/>
      <c r="D285" s="7"/>
      <c r="E285" s="6"/>
      <c r="F285" s="8"/>
      <c r="G285" s="8"/>
      <c r="I285" s="10"/>
      <c r="J285" s="11"/>
      <c r="K285" s="12"/>
      <c r="L285" s="10"/>
      <c r="M285" s="11"/>
      <c r="N285" s="12"/>
      <c r="O285" s="10"/>
      <c r="P285" s="11"/>
      <c r="Q285" s="12"/>
      <c r="R285" s="13"/>
      <c r="S285" s="11"/>
      <c r="T285" s="12"/>
      <c r="U285" s="10"/>
      <c r="V285" s="12"/>
      <c r="W285" s="12"/>
      <c r="X285" s="10"/>
      <c r="Y285" s="12"/>
      <c r="Z285" s="12"/>
      <c r="AA285" s="10"/>
      <c r="AB285" s="12"/>
      <c r="AC285" s="12"/>
      <c r="AD285" s="10"/>
      <c r="AE285" s="12"/>
      <c r="AF285" s="12"/>
      <c r="AG285" s="10"/>
      <c r="AH285" s="12"/>
      <c r="AI285" s="12"/>
      <c r="AJ285" s="13"/>
      <c r="AK285" s="11"/>
      <c r="AL285" s="12"/>
      <c r="AM285" s="10"/>
      <c r="AN285" s="12"/>
      <c r="AO285" s="12"/>
      <c r="AP285" s="10"/>
      <c r="AQ285" s="12"/>
      <c r="AR285" s="12"/>
      <c r="AS285" s="10"/>
      <c r="AT285" s="12"/>
      <c r="AU285" s="12"/>
      <c r="AV285" s="10"/>
      <c r="AW285" s="12"/>
      <c r="AX285" s="12"/>
      <c r="AY285" s="10"/>
      <c r="AZ285" s="12"/>
      <c r="BA285" s="12"/>
      <c r="BB285" s="10"/>
      <c r="BC285" s="12"/>
      <c r="BD285" s="12"/>
      <c r="BE285" s="10"/>
      <c r="BF285" s="12"/>
      <c r="BG285" s="12"/>
      <c r="BH285" s="10"/>
      <c r="BI285" s="12"/>
      <c r="BK285" s="16"/>
      <c r="BL285" s="16"/>
      <c r="BM285" s="16"/>
      <c r="BN285" s="16"/>
      <c r="BO285" s="16"/>
      <c r="BP285" s="16"/>
      <c r="BQ285" s="16"/>
      <c r="BR285" s="16"/>
      <c r="BS285" s="14"/>
      <c r="BT285" s="15"/>
      <c r="BU285" s="23"/>
      <c r="BV285" s="21"/>
      <c r="BW285" s="21"/>
      <c r="BX285" s="16"/>
      <c r="BY285" s="22"/>
      <c r="BZ285" s="16"/>
      <c r="CA285" s="8"/>
      <c r="CB285" s="10"/>
      <c r="CD285" s="10"/>
      <c r="CF285" s="10"/>
      <c r="CH285" s="10"/>
      <c r="CJ285" s="10"/>
      <c r="CL285" s="10"/>
      <c r="CN285" s="10"/>
      <c r="CP285" s="10"/>
      <c r="CR285" s="10"/>
      <c r="CT285" s="10"/>
      <c r="CV285" s="10"/>
      <c r="CX285" s="10"/>
      <c r="CZ285" s="10"/>
      <c r="DB285" s="10"/>
      <c r="DD285" s="10"/>
      <c r="DF285" s="10"/>
      <c r="DH285" s="10"/>
      <c r="DJ285" s="10"/>
      <c r="DL285" s="10"/>
    </row>
    <row r="286" spans="1:116" x14ac:dyDescent="0.2">
      <c r="A286" s="5"/>
      <c r="B286" s="6"/>
      <c r="C286" s="6"/>
      <c r="D286" s="7"/>
      <c r="E286" s="6"/>
      <c r="F286" s="8"/>
      <c r="G286" s="8"/>
      <c r="I286" s="10"/>
      <c r="J286" s="11"/>
      <c r="K286" s="12"/>
      <c r="L286" s="10"/>
      <c r="M286" s="11"/>
      <c r="N286" s="12"/>
      <c r="O286" s="10"/>
      <c r="P286" s="11"/>
      <c r="Q286" s="12"/>
      <c r="R286" s="13"/>
      <c r="S286" s="11"/>
      <c r="T286" s="12"/>
      <c r="U286" s="10"/>
      <c r="V286" s="12"/>
      <c r="W286" s="12"/>
      <c r="X286" s="10"/>
      <c r="Y286" s="12"/>
      <c r="Z286" s="12"/>
      <c r="AA286" s="10"/>
      <c r="AB286" s="12"/>
      <c r="AC286" s="12"/>
      <c r="AD286" s="10"/>
      <c r="AE286" s="12"/>
      <c r="AF286" s="12"/>
      <c r="AG286" s="10"/>
      <c r="AH286" s="12"/>
      <c r="AI286" s="12"/>
      <c r="AJ286" s="13"/>
      <c r="AK286" s="11"/>
      <c r="AL286" s="12"/>
      <c r="AM286" s="10"/>
      <c r="AN286" s="12"/>
      <c r="AO286" s="12"/>
      <c r="AP286" s="10"/>
      <c r="AQ286" s="12"/>
      <c r="AR286" s="12"/>
      <c r="AS286" s="10"/>
      <c r="AT286" s="12"/>
      <c r="AU286" s="12"/>
      <c r="AV286" s="10"/>
      <c r="AW286" s="12"/>
      <c r="AX286" s="12"/>
      <c r="AY286" s="10"/>
      <c r="AZ286" s="12"/>
      <c r="BA286" s="12"/>
      <c r="BB286" s="10"/>
      <c r="BC286" s="12"/>
      <c r="BD286" s="12"/>
      <c r="BE286" s="10"/>
      <c r="BF286" s="12"/>
      <c r="BG286" s="12"/>
      <c r="BH286" s="10"/>
      <c r="BI286" s="12"/>
      <c r="BK286" s="16"/>
      <c r="BL286" s="16"/>
      <c r="BM286" s="16"/>
      <c r="BN286" s="16"/>
      <c r="BO286" s="16"/>
      <c r="BP286" s="16"/>
      <c r="BQ286" s="16"/>
      <c r="BR286" s="16"/>
      <c r="BS286" s="14"/>
      <c r="BT286" s="15"/>
      <c r="BU286" s="23"/>
      <c r="BV286" s="21"/>
      <c r="BW286" s="21"/>
      <c r="BX286" s="16"/>
      <c r="BY286" s="22"/>
      <c r="BZ286" s="16"/>
      <c r="CA286" s="8"/>
      <c r="CB286" s="10"/>
      <c r="CD286" s="10"/>
      <c r="CF286" s="10"/>
      <c r="CH286" s="10"/>
      <c r="CJ286" s="10"/>
      <c r="CL286" s="10"/>
      <c r="CN286" s="10"/>
      <c r="CP286" s="10"/>
      <c r="CR286" s="10"/>
      <c r="CT286" s="10"/>
      <c r="CV286" s="10"/>
      <c r="CX286" s="10"/>
      <c r="CZ286" s="10"/>
      <c r="DB286" s="10"/>
      <c r="DD286" s="10"/>
      <c r="DF286" s="10"/>
      <c r="DH286" s="10"/>
      <c r="DJ286" s="10"/>
      <c r="DL286" s="10"/>
    </row>
    <row r="287" spans="1:116" x14ac:dyDescent="0.2">
      <c r="A287" s="5"/>
      <c r="B287" s="6"/>
      <c r="C287" s="6"/>
      <c r="D287" s="7"/>
      <c r="E287" s="6"/>
      <c r="F287" s="8"/>
      <c r="G287" s="8"/>
      <c r="I287" s="10"/>
      <c r="J287" s="11"/>
      <c r="K287" s="12"/>
      <c r="L287" s="10"/>
      <c r="M287" s="11"/>
      <c r="N287" s="12"/>
      <c r="O287" s="10"/>
      <c r="P287" s="11"/>
      <c r="Q287" s="12"/>
      <c r="R287" s="13"/>
      <c r="S287" s="11"/>
      <c r="T287" s="12"/>
      <c r="U287" s="10"/>
      <c r="V287" s="12"/>
      <c r="W287" s="12"/>
      <c r="X287" s="10"/>
      <c r="Y287" s="12"/>
      <c r="Z287" s="12"/>
      <c r="AA287" s="10"/>
      <c r="AB287" s="12"/>
      <c r="AC287" s="12"/>
      <c r="AD287" s="10"/>
      <c r="AE287" s="12"/>
      <c r="AF287" s="12"/>
      <c r="AG287" s="10"/>
      <c r="AH287" s="12"/>
      <c r="AI287" s="12"/>
      <c r="AJ287" s="13"/>
      <c r="AK287" s="11"/>
      <c r="AL287" s="12"/>
      <c r="AM287" s="10"/>
      <c r="AN287" s="12"/>
      <c r="AO287" s="12"/>
      <c r="AP287" s="10"/>
      <c r="AQ287" s="12"/>
      <c r="AR287" s="12"/>
      <c r="AS287" s="10"/>
      <c r="AT287" s="12"/>
      <c r="AU287" s="12"/>
      <c r="AV287" s="10"/>
      <c r="AW287" s="12"/>
      <c r="AX287" s="12"/>
      <c r="AY287" s="10"/>
      <c r="AZ287" s="12"/>
      <c r="BA287" s="12"/>
      <c r="BB287" s="10"/>
      <c r="BC287" s="12"/>
      <c r="BD287" s="12"/>
      <c r="BE287" s="10"/>
      <c r="BF287" s="12"/>
      <c r="BG287" s="12"/>
      <c r="BH287" s="10"/>
      <c r="BI287" s="12"/>
      <c r="BK287" s="16"/>
      <c r="BL287" s="16"/>
      <c r="BM287" s="16"/>
      <c r="BN287" s="16"/>
      <c r="BO287" s="16"/>
      <c r="BP287" s="16"/>
      <c r="BQ287" s="16"/>
      <c r="BR287" s="16"/>
      <c r="BS287" s="14"/>
      <c r="BT287" s="15"/>
      <c r="BU287" s="23"/>
      <c r="BV287" s="21"/>
      <c r="BW287" s="21"/>
      <c r="BX287" s="16"/>
      <c r="BY287" s="22"/>
      <c r="BZ287" s="16"/>
      <c r="CA287" s="8"/>
      <c r="CB287" s="10"/>
      <c r="CD287" s="10"/>
      <c r="CF287" s="10"/>
      <c r="CH287" s="10"/>
      <c r="CJ287" s="10"/>
      <c r="CL287" s="10"/>
      <c r="CN287" s="10"/>
      <c r="CP287" s="10"/>
      <c r="CR287" s="10"/>
      <c r="CT287" s="10"/>
      <c r="CV287" s="10"/>
      <c r="CX287" s="10"/>
      <c r="CZ287" s="10"/>
      <c r="DB287" s="10"/>
      <c r="DD287" s="10"/>
      <c r="DF287" s="10"/>
      <c r="DH287" s="10"/>
      <c r="DJ287" s="10"/>
      <c r="DL287" s="10"/>
    </row>
  </sheetData>
  <mergeCells count="18">
    <mergeCell ref="AV1:AX1"/>
    <mergeCell ref="AY1:BA1"/>
    <mergeCell ref="BB1:BD1"/>
    <mergeCell ref="BE1:BG1"/>
    <mergeCell ref="BH1:BJ1"/>
    <mergeCell ref="I1:K1"/>
    <mergeCell ref="AS1:AU1"/>
    <mergeCell ref="L1:N1"/>
    <mergeCell ref="O1:Q1"/>
    <mergeCell ref="R1:T1"/>
    <mergeCell ref="U1:W1"/>
    <mergeCell ref="X1:Z1"/>
    <mergeCell ref="AA1:AC1"/>
    <mergeCell ref="AD1:AF1"/>
    <mergeCell ref="AG1:AI1"/>
    <mergeCell ref="AJ1:AL1"/>
    <mergeCell ref="AM1:AO1"/>
    <mergeCell ref="AP1:A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FE93D-6EEF-4075-8102-6D49786A65F4}">
  <dimension ref="C3:D21"/>
  <sheetViews>
    <sheetView workbookViewId="0"/>
  </sheetViews>
  <sheetFormatPr defaultRowHeight="15" x14ac:dyDescent="0.25"/>
  <cols>
    <col min="3" max="3" width="48.85546875" bestFit="1" customWidth="1"/>
    <col min="4" max="4" width="13.140625" style="39" bestFit="1" customWidth="1"/>
  </cols>
  <sheetData>
    <row r="3" spans="3:4" x14ac:dyDescent="0.25">
      <c r="C3" t="s">
        <v>254</v>
      </c>
    </row>
    <row r="4" spans="3:4" x14ac:dyDescent="0.25">
      <c r="C4" t="s">
        <v>46</v>
      </c>
      <c r="D4" s="39">
        <f>+calcoli!I3</f>
        <v>9038616</v>
      </c>
    </row>
    <row r="5" spans="3:4" x14ac:dyDescent="0.25">
      <c r="C5" t="s">
        <v>255</v>
      </c>
      <c r="D5" s="39">
        <f>+calcoli!L3</f>
        <v>9038616</v>
      </c>
    </row>
    <row r="6" spans="3:4" x14ac:dyDescent="0.25">
      <c r="C6" t="s">
        <v>10</v>
      </c>
      <c r="D6" s="39">
        <f>+calcoli!O3</f>
        <v>6285561</v>
      </c>
    </row>
    <row r="7" spans="3:4" x14ac:dyDescent="0.25">
      <c r="C7" s="38" t="s">
        <v>256</v>
      </c>
      <c r="D7" s="40">
        <f>+D5-D6</f>
        <v>2753055</v>
      </c>
    </row>
    <row r="8" spans="3:4" x14ac:dyDescent="0.25">
      <c r="C8" t="s">
        <v>12</v>
      </c>
      <c r="D8" s="39">
        <f>+calcoli!U3</f>
        <v>82030</v>
      </c>
    </row>
    <row r="9" spans="3:4" x14ac:dyDescent="0.25">
      <c r="C9" s="38" t="s">
        <v>257</v>
      </c>
      <c r="D9" s="40">
        <f>+D7+D8</f>
        <v>2835085</v>
      </c>
    </row>
    <row r="10" spans="3:4" x14ac:dyDescent="0.25">
      <c r="C10" t="s">
        <v>14</v>
      </c>
      <c r="D10" s="39">
        <f>+calcoli!AA3</f>
        <v>1015920</v>
      </c>
    </row>
    <row r="11" spans="3:4" x14ac:dyDescent="0.25">
      <c r="C11" t="s">
        <v>15</v>
      </c>
      <c r="D11" s="39">
        <f>+calcoli!AD3</f>
        <v>1052480</v>
      </c>
    </row>
    <row r="12" spans="3:4" x14ac:dyDescent="0.25">
      <c r="C12" t="s">
        <v>16</v>
      </c>
      <c r="D12" s="39">
        <f>+calcoli!AG3</f>
        <v>122827</v>
      </c>
    </row>
    <row r="13" spans="3:4" x14ac:dyDescent="0.25">
      <c r="C13" s="38" t="s">
        <v>17</v>
      </c>
      <c r="D13" s="40">
        <f>+D9-D10-D11-D12</f>
        <v>643858</v>
      </c>
    </row>
    <row r="14" spans="3:4" x14ac:dyDescent="0.25">
      <c r="C14" t="s">
        <v>18</v>
      </c>
      <c r="D14" s="39">
        <f>+calcoli!AM3</f>
        <v>25090</v>
      </c>
    </row>
    <row r="15" spans="3:4" x14ac:dyDescent="0.25">
      <c r="C15" s="38" t="s">
        <v>19</v>
      </c>
      <c r="D15" s="40">
        <f>+D13-D14</f>
        <v>618768</v>
      </c>
    </row>
    <row r="16" spans="3:4" x14ac:dyDescent="0.25">
      <c r="C16" t="s">
        <v>20</v>
      </c>
      <c r="D16" s="39">
        <f>+calcoli!AS3</f>
        <v>406552</v>
      </c>
    </row>
    <row r="17" spans="3:4" x14ac:dyDescent="0.25">
      <c r="C17" s="38" t="s">
        <v>21</v>
      </c>
      <c r="D17" s="40">
        <f>+D15-D16</f>
        <v>212216</v>
      </c>
    </row>
    <row r="18" spans="3:4" x14ac:dyDescent="0.25">
      <c r="C18" t="s">
        <v>22</v>
      </c>
      <c r="D18" s="39">
        <f>+calcoli!AY3</f>
        <v>-44934</v>
      </c>
    </row>
    <row r="19" spans="3:4" x14ac:dyDescent="0.25">
      <c r="C19" t="s">
        <v>23</v>
      </c>
      <c r="D19" s="39">
        <f>+calcoli!BB3</f>
        <v>1031</v>
      </c>
    </row>
    <row r="20" spans="3:4" x14ac:dyDescent="0.25">
      <c r="C20" t="s">
        <v>24</v>
      </c>
      <c r="D20" s="39">
        <f>+calcoli!BE3</f>
        <v>39284</v>
      </c>
    </row>
    <row r="21" spans="3:4" x14ac:dyDescent="0.25">
      <c r="C21" s="38" t="s">
        <v>25</v>
      </c>
      <c r="D21" s="40">
        <f>+D17+D18+D19-D20</f>
        <v>129029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93"/>
  <sheetViews>
    <sheetView workbookViewId="0">
      <selection activeCell="A2" sqref="A2"/>
    </sheetView>
  </sheetViews>
  <sheetFormatPr defaultRowHeight="15" x14ac:dyDescent="0.25"/>
  <cols>
    <col min="1" max="1" width="2" customWidth="1"/>
    <col min="2" max="2" width="12.140625" customWidth="1"/>
    <col min="3" max="3" width="73.42578125" customWidth="1"/>
  </cols>
  <sheetData>
    <row r="1" spans="2:3" ht="4.9000000000000004" customHeight="1" thickBot="1" x14ac:dyDescent="0.3"/>
    <row r="2" spans="2:3" ht="43.9" customHeight="1" thickBot="1" x14ac:dyDescent="0.55000000000000004">
      <c r="B2" s="65" t="s">
        <v>232</v>
      </c>
      <c r="C2" s="66"/>
    </row>
    <row r="3" spans="2:3" ht="18" x14ac:dyDescent="0.25">
      <c r="B3" s="28" t="s">
        <v>49</v>
      </c>
      <c r="C3" s="29" t="s">
        <v>50</v>
      </c>
    </row>
    <row r="4" spans="2:3" ht="25.5" x14ac:dyDescent="0.25">
      <c r="B4" s="24" t="s">
        <v>51</v>
      </c>
      <c r="C4" s="25" t="s">
        <v>215</v>
      </c>
    </row>
    <row r="5" spans="2:3" x14ac:dyDescent="0.25">
      <c r="B5" s="24" t="s">
        <v>52</v>
      </c>
      <c r="C5" s="25" t="s">
        <v>143</v>
      </c>
    </row>
    <row r="6" spans="2:3" x14ac:dyDescent="0.25">
      <c r="B6" s="24" t="s">
        <v>53</v>
      </c>
      <c r="C6" s="25" t="s">
        <v>144</v>
      </c>
    </row>
    <row r="7" spans="2:3" x14ac:dyDescent="0.25">
      <c r="B7" s="24" t="s">
        <v>54</v>
      </c>
      <c r="C7" s="25" t="s">
        <v>145</v>
      </c>
    </row>
    <row r="8" spans="2:3" x14ac:dyDescent="0.25">
      <c r="B8" s="24" t="s">
        <v>55</v>
      </c>
      <c r="C8" s="25" t="s">
        <v>146</v>
      </c>
    </row>
    <row r="9" spans="2:3" x14ac:dyDescent="0.25">
      <c r="B9" s="24" t="s">
        <v>56</v>
      </c>
      <c r="C9" s="25" t="s">
        <v>147</v>
      </c>
    </row>
    <row r="10" spans="2:3" x14ac:dyDescent="0.25">
      <c r="B10" s="24" t="s">
        <v>57</v>
      </c>
      <c r="C10" s="25" t="s">
        <v>148</v>
      </c>
    </row>
    <row r="11" spans="2:3" x14ac:dyDescent="0.25">
      <c r="B11" s="24" t="s">
        <v>58</v>
      </c>
      <c r="C11" s="25" t="s">
        <v>149</v>
      </c>
    </row>
    <row r="12" spans="2:3" x14ac:dyDescent="0.25">
      <c r="B12" s="24" t="s">
        <v>59</v>
      </c>
      <c r="C12" s="25" t="s">
        <v>150</v>
      </c>
    </row>
    <row r="13" spans="2:3" x14ac:dyDescent="0.25">
      <c r="B13" s="24" t="s">
        <v>60</v>
      </c>
      <c r="C13" s="25" t="s">
        <v>151</v>
      </c>
    </row>
    <row r="14" spans="2:3" x14ac:dyDescent="0.25">
      <c r="B14" s="24" t="s">
        <v>61</v>
      </c>
      <c r="C14" s="25" t="s">
        <v>152</v>
      </c>
    </row>
    <row r="15" spans="2:3" x14ac:dyDescent="0.25">
      <c r="B15" s="24" t="s">
        <v>62</v>
      </c>
      <c r="C15" s="25" t="s">
        <v>153</v>
      </c>
    </row>
    <row r="16" spans="2:3" ht="25.5" x14ac:dyDescent="0.25">
      <c r="B16" s="24" t="s">
        <v>63</v>
      </c>
      <c r="C16" s="25" t="s">
        <v>154</v>
      </c>
    </row>
    <row r="17" spans="2:3" x14ac:dyDescent="0.25">
      <c r="B17" s="24" t="s">
        <v>64</v>
      </c>
      <c r="C17" s="25" t="s">
        <v>155</v>
      </c>
    </row>
    <row r="18" spans="2:3" ht="25.5" x14ac:dyDescent="0.25">
      <c r="B18" s="24" t="s">
        <v>65</v>
      </c>
      <c r="C18" s="25" t="s">
        <v>156</v>
      </c>
    </row>
    <row r="19" spans="2:3" x14ac:dyDescent="0.25">
      <c r="B19" s="24" t="s">
        <v>66</v>
      </c>
      <c r="C19" s="25" t="s">
        <v>157</v>
      </c>
    </row>
    <row r="20" spans="2:3" x14ac:dyDescent="0.25">
      <c r="B20" s="24" t="s">
        <v>67</v>
      </c>
      <c r="C20" s="25" t="s">
        <v>158</v>
      </c>
    </row>
    <row r="21" spans="2:3" x14ac:dyDescent="0.25">
      <c r="B21" s="24" t="s">
        <v>68</v>
      </c>
      <c r="C21" s="25" t="s">
        <v>159</v>
      </c>
    </row>
    <row r="22" spans="2:3" x14ac:dyDescent="0.25">
      <c r="B22" s="24" t="s">
        <v>69</v>
      </c>
      <c r="C22" s="25" t="s">
        <v>160</v>
      </c>
    </row>
    <row r="23" spans="2:3" x14ac:dyDescent="0.25">
      <c r="B23" s="24" t="s">
        <v>70</v>
      </c>
      <c r="C23" s="25" t="s">
        <v>161</v>
      </c>
    </row>
    <row r="24" spans="2:3" x14ac:dyDescent="0.25">
      <c r="B24" s="24" t="s">
        <v>71</v>
      </c>
      <c r="C24" s="25" t="s">
        <v>162</v>
      </c>
    </row>
    <row r="25" spans="2:3" x14ac:dyDescent="0.25">
      <c r="B25" s="24" t="s">
        <v>72</v>
      </c>
      <c r="C25" s="25" t="s">
        <v>163</v>
      </c>
    </row>
    <row r="26" spans="2:3" x14ac:dyDescent="0.25">
      <c r="B26" s="24" t="s">
        <v>73</v>
      </c>
      <c r="C26" s="25" t="s">
        <v>164</v>
      </c>
    </row>
    <row r="27" spans="2:3" x14ac:dyDescent="0.25">
      <c r="B27" s="24" t="s">
        <v>74</v>
      </c>
      <c r="C27" s="25" t="s">
        <v>165</v>
      </c>
    </row>
    <row r="28" spans="2:3" ht="25.5" x14ac:dyDescent="0.25">
      <c r="B28" s="24" t="s">
        <v>75</v>
      </c>
      <c r="C28" s="25" t="s">
        <v>216</v>
      </c>
    </row>
    <row r="29" spans="2:3" ht="25.5" x14ac:dyDescent="0.25">
      <c r="B29" s="24" t="s">
        <v>76</v>
      </c>
      <c r="C29" s="25" t="s">
        <v>166</v>
      </c>
    </row>
    <row r="30" spans="2:3" x14ac:dyDescent="0.25">
      <c r="B30" s="24" t="s">
        <v>77</v>
      </c>
      <c r="C30" s="25" t="s">
        <v>167</v>
      </c>
    </row>
    <row r="31" spans="2:3" x14ac:dyDescent="0.25">
      <c r="B31" s="24" t="s">
        <v>78</v>
      </c>
      <c r="C31" s="25" t="s">
        <v>217</v>
      </c>
    </row>
    <row r="32" spans="2:3" x14ac:dyDescent="0.25">
      <c r="B32" s="24" t="s">
        <v>79</v>
      </c>
      <c r="C32" s="25" t="s">
        <v>168</v>
      </c>
    </row>
    <row r="33" spans="2:3" x14ac:dyDescent="0.25">
      <c r="B33" s="24" t="s">
        <v>80</v>
      </c>
      <c r="C33" s="25" t="s">
        <v>169</v>
      </c>
    </row>
    <row r="34" spans="2:3" x14ac:dyDescent="0.25">
      <c r="B34" s="24" t="s">
        <v>81</v>
      </c>
      <c r="C34" s="25" t="s">
        <v>170</v>
      </c>
    </row>
    <row r="35" spans="2:3" x14ac:dyDescent="0.25">
      <c r="B35" s="24" t="s">
        <v>82</v>
      </c>
      <c r="C35" s="25" t="s">
        <v>218</v>
      </c>
    </row>
    <row r="36" spans="2:3" x14ac:dyDescent="0.25">
      <c r="B36" s="24" t="s">
        <v>83</v>
      </c>
      <c r="C36" s="25" t="s">
        <v>219</v>
      </c>
    </row>
    <row r="37" spans="2:3" x14ac:dyDescent="0.25">
      <c r="B37" s="24" t="s">
        <v>84</v>
      </c>
      <c r="C37" s="25" t="s">
        <v>220</v>
      </c>
    </row>
    <row r="38" spans="2:3" x14ac:dyDescent="0.25">
      <c r="B38" s="24" t="s">
        <v>85</v>
      </c>
      <c r="C38" s="25" t="s">
        <v>171</v>
      </c>
    </row>
    <row r="39" spans="2:3" ht="25.5" x14ac:dyDescent="0.25">
      <c r="B39" s="24" t="s">
        <v>86</v>
      </c>
      <c r="C39" s="25" t="s">
        <v>221</v>
      </c>
    </row>
    <row r="40" spans="2:3" x14ac:dyDescent="0.25">
      <c r="B40" s="24" t="s">
        <v>87</v>
      </c>
      <c r="C40" s="25" t="s">
        <v>172</v>
      </c>
    </row>
    <row r="41" spans="2:3" x14ac:dyDescent="0.25">
      <c r="B41" s="24" t="s">
        <v>88</v>
      </c>
      <c r="C41" s="25" t="s">
        <v>173</v>
      </c>
    </row>
    <row r="42" spans="2:3" x14ac:dyDescent="0.25">
      <c r="B42" s="24" t="s">
        <v>89</v>
      </c>
      <c r="C42" s="25" t="s">
        <v>174</v>
      </c>
    </row>
    <row r="43" spans="2:3" x14ac:dyDescent="0.25">
      <c r="B43" s="24" t="s">
        <v>90</v>
      </c>
      <c r="C43" s="25" t="s">
        <v>175</v>
      </c>
    </row>
    <row r="44" spans="2:3" x14ac:dyDescent="0.25">
      <c r="B44" s="24" t="s">
        <v>91</v>
      </c>
      <c r="C44" s="25" t="s">
        <v>176</v>
      </c>
    </row>
    <row r="45" spans="2:3" x14ac:dyDescent="0.25">
      <c r="B45" s="24" t="s">
        <v>92</v>
      </c>
      <c r="C45" s="25" t="s">
        <v>177</v>
      </c>
    </row>
    <row r="46" spans="2:3" x14ac:dyDescent="0.25">
      <c r="B46" s="24" t="s">
        <v>93</v>
      </c>
      <c r="C46" s="25" t="s">
        <v>178</v>
      </c>
    </row>
    <row r="47" spans="2:3" x14ac:dyDescent="0.25">
      <c r="B47" s="24" t="s">
        <v>94</v>
      </c>
      <c r="C47" s="25" t="s">
        <v>179</v>
      </c>
    </row>
    <row r="48" spans="2:3" x14ac:dyDescent="0.25">
      <c r="B48" s="24" t="s">
        <v>95</v>
      </c>
      <c r="C48" s="25" t="s">
        <v>180</v>
      </c>
    </row>
    <row r="49" spans="2:3" x14ac:dyDescent="0.25">
      <c r="B49" s="24" t="s">
        <v>96</v>
      </c>
      <c r="C49" s="25" t="s">
        <v>181</v>
      </c>
    </row>
    <row r="50" spans="2:3" x14ac:dyDescent="0.25">
      <c r="B50" s="24" t="s">
        <v>97</v>
      </c>
      <c r="C50" s="25" t="s">
        <v>182</v>
      </c>
    </row>
    <row r="51" spans="2:3" x14ac:dyDescent="0.25">
      <c r="B51" s="24" t="s">
        <v>98</v>
      </c>
      <c r="C51" s="25" t="s">
        <v>183</v>
      </c>
    </row>
    <row r="52" spans="2:3" x14ac:dyDescent="0.25">
      <c r="B52" s="24" t="s">
        <v>99</v>
      </c>
      <c r="C52" s="25" t="s">
        <v>184</v>
      </c>
    </row>
    <row r="53" spans="2:3" x14ac:dyDescent="0.25">
      <c r="B53" s="24" t="s">
        <v>100</v>
      </c>
      <c r="C53" s="25" t="s">
        <v>185</v>
      </c>
    </row>
    <row r="54" spans="2:3" x14ac:dyDescent="0.25">
      <c r="B54" s="24" t="s">
        <v>101</v>
      </c>
      <c r="C54" s="25" t="s">
        <v>186</v>
      </c>
    </row>
    <row r="55" spans="2:3" ht="25.5" x14ac:dyDescent="0.25">
      <c r="B55" s="24" t="s">
        <v>102</v>
      </c>
      <c r="C55" s="25" t="s">
        <v>222</v>
      </c>
    </row>
    <row r="56" spans="2:3" x14ac:dyDescent="0.25">
      <c r="B56" s="24" t="s">
        <v>103</v>
      </c>
      <c r="C56" s="25" t="s">
        <v>187</v>
      </c>
    </row>
    <row r="57" spans="2:3" x14ac:dyDescent="0.25">
      <c r="B57" s="24" t="s">
        <v>104</v>
      </c>
      <c r="C57" s="25" t="s">
        <v>188</v>
      </c>
    </row>
    <row r="58" spans="2:3" x14ac:dyDescent="0.25">
      <c r="B58" s="24" t="s">
        <v>105</v>
      </c>
      <c r="C58" s="25" t="s">
        <v>223</v>
      </c>
    </row>
    <row r="59" spans="2:3" x14ac:dyDescent="0.25">
      <c r="B59" s="24" t="s">
        <v>106</v>
      </c>
      <c r="C59" s="25" t="s">
        <v>189</v>
      </c>
    </row>
    <row r="60" spans="2:3" x14ac:dyDescent="0.25">
      <c r="B60" s="24" t="s">
        <v>107</v>
      </c>
      <c r="C60" s="25" t="s">
        <v>190</v>
      </c>
    </row>
    <row r="61" spans="2:3" ht="25.5" x14ac:dyDescent="0.25">
      <c r="B61" s="24" t="s">
        <v>108</v>
      </c>
      <c r="C61" s="25" t="s">
        <v>224</v>
      </c>
    </row>
    <row r="62" spans="2:3" x14ac:dyDescent="0.25">
      <c r="B62" s="24" t="s">
        <v>109</v>
      </c>
      <c r="C62" s="25" t="s">
        <v>191</v>
      </c>
    </row>
    <row r="63" spans="2:3" x14ac:dyDescent="0.25">
      <c r="B63" s="24" t="s">
        <v>110</v>
      </c>
      <c r="C63" s="25" t="s">
        <v>192</v>
      </c>
    </row>
    <row r="64" spans="2:3" x14ac:dyDescent="0.25">
      <c r="B64" s="24" t="s">
        <v>111</v>
      </c>
      <c r="C64" s="25" t="s">
        <v>193</v>
      </c>
    </row>
    <row r="65" spans="2:3" x14ac:dyDescent="0.25">
      <c r="B65" s="24" t="s">
        <v>112</v>
      </c>
      <c r="C65" s="25" t="s">
        <v>194</v>
      </c>
    </row>
    <row r="66" spans="2:3" ht="25.5" x14ac:dyDescent="0.25">
      <c r="B66" s="24" t="s">
        <v>113</v>
      </c>
      <c r="C66" s="25" t="s">
        <v>195</v>
      </c>
    </row>
    <row r="67" spans="2:3" x14ac:dyDescent="0.25">
      <c r="B67" s="24" t="s">
        <v>114</v>
      </c>
      <c r="C67" s="25" t="s">
        <v>196</v>
      </c>
    </row>
    <row r="68" spans="2:3" x14ac:dyDescent="0.25">
      <c r="B68" s="24" t="s">
        <v>115</v>
      </c>
      <c r="C68" s="25" t="s">
        <v>197</v>
      </c>
    </row>
    <row r="69" spans="2:3" x14ac:dyDescent="0.25">
      <c r="B69" s="24" t="s">
        <v>116</v>
      </c>
      <c r="C69" s="25" t="s">
        <v>225</v>
      </c>
    </row>
    <row r="70" spans="2:3" x14ac:dyDescent="0.25">
      <c r="B70" s="24" t="s">
        <v>117</v>
      </c>
      <c r="C70" s="25" t="s">
        <v>198</v>
      </c>
    </row>
    <row r="71" spans="2:3" x14ac:dyDescent="0.25">
      <c r="B71" s="24" t="s">
        <v>118</v>
      </c>
      <c r="C71" s="25" t="s">
        <v>199</v>
      </c>
    </row>
    <row r="72" spans="2:3" x14ac:dyDescent="0.25">
      <c r="B72" s="24" t="s">
        <v>119</v>
      </c>
      <c r="C72" s="25" t="s">
        <v>226</v>
      </c>
    </row>
    <row r="73" spans="2:3" ht="25.5" x14ac:dyDescent="0.25">
      <c r="B73" s="24" t="s">
        <v>120</v>
      </c>
      <c r="C73" s="25" t="s">
        <v>227</v>
      </c>
    </row>
    <row r="74" spans="2:3" x14ac:dyDescent="0.25">
      <c r="B74" s="24" t="s">
        <v>121</v>
      </c>
      <c r="C74" s="25" t="s">
        <v>200</v>
      </c>
    </row>
    <row r="75" spans="2:3" x14ac:dyDescent="0.25">
      <c r="B75" s="24" t="s">
        <v>122</v>
      </c>
      <c r="C75" s="25" t="s">
        <v>201</v>
      </c>
    </row>
    <row r="76" spans="2:3" ht="25.5" x14ac:dyDescent="0.25">
      <c r="B76" s="24" t="s">
        <v>123</v>
      </c>
      <c r="C76" s="25" t="s">
        <v>202</v>
      </c>
    </row>
    <row r="77" spans="2:3" x14ac:dyDescent="0.25">
      <c r="B77" s="24" t="s">
        <v>124</v>
      </c>
      <c r="C77" s="25" t="s">
        <v>203</v>
      </c>
    </row>
    <row r="78" spans="2:3" x14ac:dyDescent="0.25">
      <c r="B78" s="24" t="s">
        <v>140</v>
      </c>
      <c r="C78" s="25" t="s">
        <v>141</v>
      </c>
    </row>
    <row r="79" spans="2:3" x14ac:dyDescent="0.25">
      <c r="B79" s="24" t="s">
        <v>125</v>
      </c>
      <c r="C79" s="25" t="s">
        <v>204</v>
      </c>
    </row>
    <row r="80" spans="2:3" x14ac:dyDescent="0.25">
      <c r="B80" s="24" t="s">
        <v>126</v>
      </c>
      <c r="C80" s="25" t="s">
        <v>205</v>
      </c>
    </row>
    <row r="81" spans="2:3" x14ac:dyDescent="0.25">
      <c r="B81" s="24" t="s">
        <v>127</v>
      </c>
      <c r="C81" s="25" t="s">
        <v>206</v>
      </c>
    </row>
    <row r="82" spans="2:3" x14ac:dyDescent="0.25">
      <c r="B82" s="24" t="s">
        <v>128</v>
      </c>
      <c r="C82" s="25" t="s">
        <v>207</v>
      </c>
    </row>
    <row r="83" spans="2:3" x14ac:dyDescent="0.25">
      <c r="B83" s="24" t="s">
        <v>129</v>
      </c>
      <c r="C83" s="25" t="s">
        <v>228</v>
      </c>
    </row>
    <row r="84" spans="2:3" x14ac:dyDescent="0.25">
      <c r="B84" s="24" t="s">
        <v>130</v>
      </c>
      <c r="C84" s="25" t="s">
        <v>229</v>
      </c>
    </row>
    <row r="85" spans="2:3" x14ac:dyDescent="0.25">
      <c r="B85" s="24" t="s">
        <v>131</v>
      </c>
      <c r="C85" s="25" t="s">
        <v>230</v>
      </c>
    </row>
    <row r="86" spans="2:3" x14ac:dyDescent="0.25">
      <c r="B86" s="24" t="s">
        <v>132</v>
      </c>
      <c r="C86" s="25" t="s">
        <v>231</v>
      </c>
    </row>
    <row r="87" spans="2:3" x14ac:dyDescent="0.25">
      <c r="B87" s="24" t="s">
        <v>133</v>
      </c>
      <c r="C87" s="25" t="s">
        <v>208</v>
      </c>
    </row>
    <row r="88" spans="2:3" x14ac:dyDescent="0.25">
      <c r="B88" s="24" t="s">
        <v>142</v>
      </c>
      <c r="C88" s="25" t="s">
        <v>209</v>
      </c>
    </row>
    <row r="89" spans="2:3" x14ac:dyDescent="0.25">
      <c r="B89" s="24" t="s">
        <v>134</v>
      </c>
      <c r="C89" s="25" t="s">
        <v>210</v>
      </c>
    </row>
    <row r="90" spans="2:3" x14ac:dyDescent="0.25">
      <c r="B90" s="24" t="s">
        <v>135</v>
      </c>
      <c r="C90" s="25" t="s">
        <v>211</v>
      </c>
    </row>
    <row r="91" spans="2:3" ht="25.5" x14ac:dyDescent="0.25">
      <c r="B91" s="24" t="s">
        <v>136</v>
      </c>
      <c r="C91" s="25" t="s">
        <v>212</v>
      </c>
    </row>
    <row r="92" spans="2:3" ht="25.5" x14ac:dyDescent="0.25">
      <c r="B92" s="24" t="s">
        <v>137</v>
      </c>
      <c r="C92" s="25" t="s">
        <v>213</v>
      </c>
    </row>
    <row r="93" spans="2:3" x14ac:dyDescent="0.25">
      <c r="B93" s="24" t="s">
        <v>138</v>
      </c>
      <c r="C93" s="25" t="s">
        <v>214</v>
      </c>
    </row>
  </sheetData>
  <mergeCells count="1">
    <mergeCell ref="B2:C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Risultati</vt:lpstr>
      <vt:lpstr>calcoli</vt:lpstr>
      <vt:lpstr>export</vt:lpstr>
      <vt:lpstr>test</vt:lpstr>
      <vt:lpstr>ateco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Di Napoli</dc:creator>
  <cp:lastModifiedBy>A F</cp:lastModifiedBy>
  <dcterms:created xsi:type="dcterms:W3CDTF">2020-02-04T14:01:54Z</dcterms:created>
  <dcterms:modified xsi:type="dcterms:W3CDTF">2025-09-15T11:06:27Z</dcterms:modified>
</cp:coreProperties>
</file>